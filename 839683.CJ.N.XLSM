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660" windowWidth="28350" windowHeight="12510" tabRatio="770"/>
  </bookViews>
  <sheets>
    <sheet name="ImportantDisclosures" sheetId="25" r:id="rId1"/>
    <sheet name="Model" sheetId="1" r:id="rId2"/>
    <sheet name="IndexInformation" sheetId="26" r:id="rId3"/>
    <sheet name="ModPubIndex" sheetId="27" r:id="rId4"/>
    <sheet name="MW-Cache" sheetId="16" state="veryHidden" r:id="rId5"/>
  </sheets>
  <definedNames>
    <definedName name="__FDS_HYPERLINK_TOGGLE_STATE__" hidden="1">"ON"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Model!$B$9:$K$55</definedName>
    <definedName name="Linking_2">Model!$B$208:$K$234</definedName>
    <definedName name="Linking_3">Model!$B$237:$K$281</definedName>
    <definedName name="Linking_7">Model!$B$9:$L$55</definedName>
    <definedName name="Linking_8">Model!$B$208:$L$234</definedName>
    <definedName name="Linking_9">Model!$B$237:$L$281</definedName>
    <definedName name="MacroVersion" localSheetId="2">IndexInformation!$B$1</definedName>
    <definedName name="Model">Model!$B$9:$BB$420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/>
</workbook>
</file>

<file path=xl/calcChain.xml><?xml version="1.0" encoding="utf-8"?>
<calcChain xmlns="http://schemas.openxmlformats.org/spreadsheetml/2006/main">
  <c r="BD10" i="1" l="1"/>
  <c r="BD11" i="1" s="1"/>
  <c r="BD12" i="1" s="1"/>
  <c r="BD13" i="1" s="1"/>
  <c r="BD14" i="1" s="1"/>
  <c r="BD15" i="1" s="1"/>
  <c r="BD16" i="1" s="1"/>
  <c r="BD17" i="1" s="1"/>
  <c r="BD18" i="1" s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BD32" i="1" s="1"/>
  <c r="BD33" i="1" s="1"/>
  <c r="BD34" i="1" s="1"/>
  <c r="BD35" i="1" s="1"/>
  <c r="BD36" i="1" s="1"/>
  <c r="BD37" i="1" s="1"/>
  <c r="BD38" i="1" s="1"/>
  <c r="BD39" i="1" s="1"/>
  <c r="BD40" i="1" s="1"/>
  <c r="BD41" i="1" s="1"/>
  <c r="BD42" i="1" s="1"/>
  <c r="BD43" i="1" s="1"/>
  <c r="BD44" i="1" s="1"/>
  <c r="BD45" i="1" s="1"/>
  <c r="BD46" i="1" s="1"/>
  <c r="BD47" i="1" s="1"/>
  <c r="BD48" i="1" s="1"/>
  <c r="BD49" i="1" s="1"/>
  <c r="BD50" i="1" s="1"/>
  <c r="BD51" i="1" s="1"/>
  <c r="BD52" i="1" s="1"/>
  <c r="BD53" i="1" s="1"/>
  <c r="BD54" i="1" s="1"/>
  <c r="BD55" i="1" s="1"/>
  <c r="BD56" i="1" s="1"/>
  <c r="BD57" i="1" s="1"/>
  <c r="BD58" i="1" s="1"/>
  <c r="BD59" i="1" s="1"/>
  <c r="BD60" i="1" s="1"/>
  <c r="BD61" i="1" s="1"/>
  <c r="BD62" i="1" s="1"/>
  <c r="BD63" i="1" s="1"/>
  <c r="BD64" i="1" s="1"/>
  <c r="BD65" i="1" s="1"/>
  <c r="BD66" i="1" s="1"/>
  <c r="BD67" i="1" s="1"/>
  <c r="BD68" i="1" s="1"/>
  <c r="BD69" i="1" s="1"/>
  <c r="BD70" i="1" s="1"/>
  <c r="BD71" i="1" s="1"/>
  <c r="BD72" i="1" s="1"/>
  <c r="BD73" i="1" s="1"/>
  <c r="BD74" i="1" s="1"/>
  <c r="BD75" i="1" s="1"/>
  <c r="BD76" i="1" s="1"/>
  <c r="BD77" i="1" s="1"/>
  <c r="BD78" i="1" s="1"/>
  <c r="BD79" i="1" s="1"/>
  <c r="BD80" i="1" s="1"/>
  <c r="BD81" i="1" s="1"/>
  <c r="BD82" i="1" s="1"/>
  <c r="BD83" i="1" s="1"/>
  <c r="BD84" i="1" s="1"/>
  <c r="BD85" i="1" s="1"/>
  <c r="BD86" i="1" s="1"/>
  <c r="BD87" i="1" s="1"/>
  <c r="BD88" i="1" s="1"/>
  <c r="BD89" i="1" s="1"/>
  <c r="BD90" i="1" s="1"/>
  <c r="BD91" i="1" s="1"/>
  <c r="BD92" i="1" s="1"/>
  <c r="BD93" i="1" s="1"/>
  <c r="BD94" i="1" s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BD107" i="1" s="1"/>
  <c r="BD108" i="1" s="1"/>
  <c r="BD109" i="1" s="1"/>
  <c r="BD110" i="1" s="1"/>
  <c r="BD111" i="1" s="1"/>
  <c r="BD112" i="1" s="1"/>
  <c r="BD113" i="1" s="1"/>
  <c r="BD114" i="1" s="1"/>
  <c r="BD115" i="1" s="1"/>
  <c r="BD116" i="1" s="1"/>
  <c r="BD117" i="1" s="1"/>
  <c r="BD118" i="1" s="1"/>
  <c r="BD119" i="1" s="1"/>
  <c r="BD120" i="1" s="1"/>
  <c r="BD121" i="1" s="1"/>
  <c r="BD122" i="1" s="1"/>
  <c r="BD123" i="1" s="1"/>
  <c r="BD124" i="1" s="1"/>
  <c r="BD125" i="1" s="1"/>
  <c r="BD126" i="1" s="1"/>
  <c r="BD127" i="1" s="1"/>
  <c r="BD128" i="1" s="1"/>
  <c r="BD129" i="1" s="1"/>
  <c r="BD130" i="1" s="1"/>
  <c r="BD131" i="1" s="1"/>
  <c r="BD132" i="1" s="1"/>
  <c r="BD133" i="1" s="1"/>
  <c r="BD134" i="1" s="1"/>
  <c r="BD135" i="1" s="1"/>
  <c r="BD136" i="1" s="1"/>
  <c r="BD137" i="1" s="1"/>
  <c r="BD138" i="1" s="1"/>
  <c r="BD139" i="1" s="1"/>
  <c r="BD140" i="1" s="1"/>
  <c r="BD141" i="1" s="1"/>
  <c r="BD142" i="1" s="1"/>
  <c r="BD143" i="1" s="1"/>
  <c r="BD144" i="1" s="1"/>
  <c r="BD145" i="1" s="1"/>
  <c r="BD146" i="1" s="1"/>
  <c r="BD147" i="1" s="1"/>
  <c r="BD148" i="1" s="1"/>
  <c r="BD149" i="1" s="1"/>
  <c r="BD150" i="1" s="1"/>
  <c r="BD151" i="1" s="1"/>
  <c r="BD152" i="1" s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BD176" i="1" s="1"/>
  <c r="BD177" i="1" s="1"/>
  <c r="BD178" i="1" s="1"/>
  <c r="BD179" i="1" s="1"/>
  <c r="BD180" i="1" s="1"/>
  <c r="BD181" i="1" s="1"/>
  <c r="BD182" i="1" s="1"/>
  <c r="BD183" i="1" s="1"/>
  <c r="BD184" i="1" s="1"/>
  <c r="BD185" i="1" s="1"/>
  <c r="BD186" i="1" s="1"/>
  <c r="BD187" i="1" s="1"/>
  <c r="BD188" i="1" s="1"/>
  <c r="BD189" i="1" s="1"/>
  <c r="BD190" i="1" s="1"/>
  <c r="BD191" i="1" s="1"/>
  <c r="BD192" i="1" s="1"/>
  <c r="BD193" i="1" s="1"/>
  <c r="BD194" i="1" s="1"/>
  <c r="BD195" i="1" s="1"/>
  <c r="BD196" i="1" s="1"/>
  <c r="BD197" i="1" s="1"/>
  <c r="BD198" i="1" s="1"/>
  <c r="BD199" i="1" s="1"/>
  <c r="BD200" i="1" s="1"/>
  <c r="BD201" i="1" s="1"/>
  <c r="BD202" i="1" s="1"/>
  <c r="BD203" i="1" s="1"/>
  <c r="BD204" i="1" s="1"/>
  <c r="BD205" i="1" s="1"/>
  <c r="BD206" i="1" s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D232" i="1" s="1"/>
  <c r="BD233" i="1" s="1"/>
  <c r="BD234" i="1" s="1"/>
  <c r="BD235" i="1" s="1"/>
  <c r="BD236" i="1" s="1"/>
  <c r="BD237" i="1" s="1"/>
  <c r="BD238" i="1" s="1"/>
  <c r="BD239" i="1" s="1"/>
  <c r="BD240" i="1" s="1"/>
  <c r="BD241" i="1" s="1"/>
  <c r="BD242" i="1" s="1"/>
  <c r="BD243" i="1" s="1"/>
  <c r="BD244" i="1" s="1"/>
  <c r="BD245" i="1" s="1"/>
  <c r="BD246" i="1" s="1"/>
  <c r="BD247" i="1" s="1"/>
  <c r="BD248" i="1" s="1"/>
  <c r="BD249" i="1" s="1"/>
  <c r="BD250" i="1" s="1"/>
  <c r="BD251" i="1" s="1"/>
  <c r="BD252" i="1" s="1"/>
  <c r="BD253" i="1" s="1"/>
  <c r="BD254" i="1" s="1"/>
  <c r="BD255" i="1" s="1"/>
  <c r="BD256" i="1" s="1"/>
  <c r="BD257" i="1" s="1"/>
  <c r="BD258" i="1" s="1"/>
  <c r="BD259" i="1" s="1"/>
  <c r="BD260" i="1" s="1"/>
  <c r="BD261" i="1" s="1"/>
  <c r="BD262" i="1" s="1"/>
  <c r="BD263" i="1" s="1"/>
  <c r="BD264" i="1" s="1"/>
  <c r="BD265" i="1" s="1"/>
  <c r="BD266" i="1" s="1"/>
  <c r="BD267" i="1" s="1"/>
  <c r="BD268" i="1" s="1"/>
  <c r="BD269" i="1" s="1"/>
  <c r="BD270" i="1" s="1"/>
  <c r="BD271" i="1" s="1"/>
  <c r="BD272" i="1" s="1"/>
  <c r="BD273" i="1" s="1"/>
  <c r="BD274" i="1" s="1"/>
  <c r="BD275" i="1" s="1"/>
  <c r="BD276" i="1" s="1"/>
  <c r="BD277" i="1" s="1"/>
  <c r="BD278" i="1" s="1"/>
  <c r="BD279" i="1" s="1"/>
  <c r="BD280" i="1" s="1"/>
  <c r="BD281" i="1" s="1"/>
  <c r="BD282" i="1" s="1"/>
  <c r="BD283" i="1" s="1"/>
  <c r="BD284" i="1" s="1"/>
  <c r="BD285" i="1" s="1"/>
  <c r="BD286" i="1" s="1"/>
  <c r="BD287" i="1" s="1"/>
  <c r="BD288" i="1" s="1"/>
  <c r="BD289" i="1" s="1"/>
  <c r="BD290" i="1" s="1"/>
  <c r="BD291" i="1" s="1"/>
  <c r="BD292" i="1" s="1"/>
  <c r="BD293" i="1" s="1"/>
  <c r="BD294" i="1" s="1"/>
  <c r="BD295" i="1" s="1"/>
  <c r="BD296" i="1" s="1"/>
  <c r="BD297" i="1" s="1"/>
  <c r="BD298" i="1" s="1"/>
  <c r="BD299" i="1" s="1"/>
  <c r="BD300" i="1" s="1"/>
  <c r="BD301" i="1" s="1"/>
  <c r="BD302" i="1" s="1"/>
  <c r="BD303" i="1" s="1"/>
  <c r="BD304" i="1" s="1"/>
  <c r="BD305" i="1" s="1"/>
  <c r="BD306" i="1" s="1"/>
  <c r="BD307" i="1" s="1"/>
  <c r="BD308" i="1" s="1"/>
  <c r="BD309" i="1" s="1"/>
  <c r="BD310" i="1" s="1"/>
  <c r="BD311" i="1" s="1"/>
  <c r="BD312" i="1" s="1"/>
  <c r="BD313" i="1" s="1"/>
  <c r="BD314" i="1" s="1"/>
  <c r="BD315" i="1" s="1"/>
  <c r="BD316" i="1" s="1"/>
  <c r="BD317" i="1" s="1"/>
  <c r="BD318" i="1" s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D344" i="1" s="1"/>
  <c r="BD345" i="1" s="1"/>
  <c r="BD346" i="1" s="1"/>
  <c r="BD347" i="1" s="1"/>
  <c r="BD348" i="1" s="1"/>
  <c r="BD349" i="1" s="1"/>
  <c r="BD350" i="1" s="1"/>
  <c r="BD351" i="1" s="1"/>
  <c r="BD352" i="1" s="1"/>
  <c r="BD353" i="1" s="1"/>
  <c r="BD354" i="1" s="1"/>
  <c r="BD355" i="1" s="1"/>
  <c r="BD356" i="1" s="1"/>
  <c r="BD357" i="1" s="1"/>
  <c r="BD358" i="1" s="1"/>
  <c r="BD359" i="1" s="1"/>
  <c r="BD360" i="1" s="1"/>
  <c r="BD361" i="1" s="1"/>
  <c r="BD362" i="1" s="1"/>
  <c r="BD363" i="1" s="1"/>
  <c r="BD364" i="1" s="1"/>
  <c r="BD365" i="1" s="1"/>
  <c r="BD366" i="1" s="1"/>
  <c r="BD367" i="1" s="1"/>
  <c r="BD368" i="1" s="1"/>
  <c r="BD369" i="1" s="1"/>
  <c r="BD370" i="1" s="1"/>
  <c r="BD371" i="1" s="1"/>
  <c r="BD372" i="1" s="1"/>
  <c r="BD373" i="1" s="1"/>
  <c r="BD374" i="1" s="1"/>
  <c r="BD375" i="1" s="1"/>
  <c r="BD376" i="1" s="1"/>
  <c r="BD377" i="1" s="1"/>
  <c r="BD378" i="1" s="1"/>
  <c r="BD379" i="1" s="1"/>
  <c r="BD380" i="1" s="1"/>
  <c r="BD381" i="1" s="1"/>
  <c r="BD382" i="1" s="1"/>
  <c r="BD383" i="1" s="1"/>
  <c r="BD384" i="1" s="1"/>
  <c r="BD385" i="1" s="1"/>
  <c r="BD386" i="1" s="1"/>
  <c r="BD387" i="1" s="1"/>
  <c r="BD388" i="1" s="1"/>
  <c r="BD389" i="1" s="1"/>
  <c r="BD390" i="1" s="1"/>
  <c r="BD391" i="1" s="1"/>
  <c r="BD392" i="1" s="1"/>
  <c r="BD393" i="1" s="1"/>
  <c r="BD394" i="1" s="1"/>
  <c r="BD395" i="1" s="1"/>
  <c r="BD396" i="1" s="1"/>
  <c r="BD397" i="1" s="1"/>
  <c r="BD398" i="1" s="1"/>
  <c r="BD399" i="1" s="1"/>
  <c r="BD400" i="1" s="1"/>
  <c r="BD401" i="1" s="1"/>
  <c r="BD402" i="1" s="1"/>
  <c r="BD403" i="1" s="1"/>
  <c r="BD404" i="1" s="1"/>
  <c r="BD405" i="1" s="1"/>
  <c r="BD406" i="1" s="1"/>
  <c r="BD407" i="1" s="1"/>
  <c r="BD408" i="1" s="1"/>
  <c r="BD409" i="1" s="1"/>
  <c r="BD410" i="1" s="1"/>
  <c r="BD411" i="1" s="1"/>
  <c r="BD412" i="1" s="1"/>
  <c r="BD413" i="1" s="1"/>
  <c r="BD414" i="1" s="1"/>
  <c r="BD415" i="1" s="1"/>
  <c r="BD416" i="1" s="1"/>
  <c r="BD417" i="1" s="1"/>
  <c r="BD418" i="1" s="1"/>
  <c r="BD419" i="1" s="1"/>
  <c r="BD420" i="1" s="1"/>
  <c r="BA418" i="1"/>
  <c r="AZ418" i="1"/>
  <c r="AY418" i="1"/>
  <c r="AX418" i="1"/>
  <c r="AW418" i="1"/>
  <c r="AV418" i="1"/>
  <c r="AU418" i="1"/>
  <c r="AT418" i="1"/>
  <c r="AS418" i="1"/>
  <c r="AR418" i="1"/>
  <c r="AQ418" i="1"/>
  <c r="AP418" i="1"/>
  <c r="AL418" i="1"/>
  <c r="AK418" i="1"/>
  <c r="AJ418" i="1"/>
  <c r="AI418" i="1"/>
  <c r="AH418" i="1"/>
  <c r="AD418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P414" i="1"/>
  <c r="O414" i="1"/>
  <c r="N414" i="1"/>
  <c r="AD410" i="1"/>
  <c r="AB410" i="1"/>
  <c r="Z410" i="1"/>
  <c r="X410" i="1"/>
  <c r="V410" i="1"/>
  <c r="T410" i="1"/>
  <c r="R410" i="1"/>
  <c r="P410" i="1"/>
  <c r="N410" i="1"/>
  <c r="AD408" i="1"/>
  <c r="AC408" i="1"/>
  <c r="AC410" i="1" s="1"/>
  <c r="AB408" i="1"/>
  <c r="AA408" i="1"/>
  <c r="Z408" i="1"/>
  <c r="Y408" i="1"/>
  <c r="Y410" i="1" s="1"/>
  <c r="X408" i="1"/>
  <c r="W408" i="1"/>
  <c r="V408" i="1"/>
  <c r="U408" i="1"/>
  <c r="U410" i="1" s="1"/>
  <c r="T408" i="1"/>
  <c r="S408" i="1"/>
  <c r="R408" i="1"/>
  <c r="Q408" i="1"/>
  <c r="Q410" i="1" s="1"/>
  <c r="P408" i="1"/>
  <c r="O408" i="1"/>
  <c r="N408" i="1"/>
  <c r="AD405" i="1"/>
  <c r="T405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P404" i="1"/>
  <c r="O404" i="1"/>
  <c r="N404" i="1"/>
  <c r="AD403" i="1"/>
  <c r="AD402" i="1" s="1"/>
  <c r="AC403" i="1"/>
  <c r="AB403" i="1"/>
  <c r="AB402" i="1" s="1"/>
  <c r="AB405" i="1" s="1"/>
  <c r="AA403" i="1"/>
  <c r="Z403" i="1"/>
  <c r="Z402" i="1" s="1"/>
  <c r="Z405" i="1" s="1"/>
  <c r="Y403" i="1"/>
  <c r="X403" i="1"/>
  <c r="X402" i="1" s="1"/>
  <c r="X405" i="1" s="1"/>
  <c r="W403" i="1"/>
  <c r="V403" i="1"/>
  <c r="V402" i="1" s="1"/>
  <c r="V405" i="1" s="1"/>
  <c r="U403" i="1"/>
  <c r="T403" i="1"/>
  <c r="T402" i="1" s="1"/>
  <c r="S403" i="1"/>
  <c r="R403" i="1"/>
  <c r="R402" i="1" s="1"/>
  <c r="R405" i="1" s="1"/>
  <c r="Q403" i="1"/>
  <c r="P403" i="1"/>
  <c r="P402" i="1" s="1"/>
  <c r="P405" i="1" s="1"/>
  <c r="O403" i="1"/>
  <c r="N403" i="1"/>
  <c r="N402" i="1" s="1"/>
  <c r="N405" i="1" s="1"/>
  <c r="AC402" i="1"/>
  <c r="AC405" i="1" s="1"/>
  <c r="Y402" i="1"/>
  <c r="Y405" i="1" s="1"/>
  <c r="U402" i="1"/>
  <c r="U405" i="1" s="1"/>
  <c r="Q402" i="1"/>
  <c r="Q405" i="1" s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P397" i="1"/>
  <c r="O397" i="1"/>
  <c r="N397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P393" i="1"/>
  <c r="O393" i="1"/>
  <c r="N393" i="1"/>
  <c r="AD392" i="1"/>
  <c r="AD393" i="1" s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P388" i="1"/>
  <c r="O388" i="1"/>
  <c r="N388" i="1"/>
  <c r="AD385" i="1"/>
  <c r="AD388" i="1" s="1"/>
  <c r="AO378" i="1"/>
  <c r="AU367" i="1"/>
  <c r="AM367" i="1"/>
  <c r="AW366" i="1"/>
  <c r="AV366" i="1"/>
  <c r="AV367" i="1" s="1"/>
  <c r="AU366" i="1"/>
  <c r="AT366" i="1"/>
  <c r="AS366" i="1"/>
  <c r="AR366" i="1"/>
  <c r="AR367" i="1" s="1"/>
  <c r="AQ366" i="1"/>
  <c r="AP366" i="1"/>
  <c r="AO366" i="1"/>
  <c r="AN366" i="1"/>
  <c r="AN367" i="1" s="1"/>
  <c r="AM366" i="1"/>
  <c r="AL366" i="1"/>
  <c r="AK366" i="1"/>
  <c r="AU365" i="1"/>
  <c r="AS365" i="1"/>
  <c r="AQ365" i="1"/>
  <c r="AM365" i="1"/>
  <c r="AK365" i="1"/>
  <c r="AK367" i="1" s="1"/>
  <c r="BA364" i="1"/>
  <c r="AZ364" i="1"/>
  <c r="AY364" i="1"/>
  <c r="AX364" i="1"/>
  <c r="AW364" i="1"/>
  <c r="AV364" i="1"/>
  <c r="AV365" i="1" s="1"/>
  <c r="AU364" i="1"/>
  <c r="AT364" i="1"/>
  <c r="AS364" i="1"/>
  <c r="AR364" i="1"/>
  <c r="AR365" i="1" s="1"/>
  <c r="AQ364" i="1"/>
  <c r="AP364" i="1"/>
  <c r="AO364" i="1"/>
  <c r="AN364" i="1"/>
  <c r="AN365" i="1" s="1"/>
  <c r="AM364" i="1"/>
  <c r="AL364" i="1"/>
  <c r="AK364" i="1"/>
  <c r="BA363" i="1"/>
  <c r="AZ363" i="1"/>
  <c r="AY363" i="1"/>
  <c r="AX363" i="1"/>
  <c r="AW363" i="1"/>
  <c r="AW365" i="1" s="1"/>
  <c r="AV363" i="1"/>
  <c r="AU363" i="1"/>
  <c r="AT363" i="1"/>
  <c r="AT365" i="1" s="1"/>
  <c r="AS359" i="1" s="1"/>
  <c r="AS363" i="1"/>
  <c r="AR363" i="1"/>
  <c r="AQ363" i="1"/>
  <c r="AP363" i="1"/>
  <c r="AP365" i="1" s="1"/>
  <c r="AO359" i="1" s="1"/>
  <c r="AO363" i="1"/>
  <c r="AO365" i="1" s="1"/>
  <c r="AN363" i="1"/>
  <c r="AM363" i="1"/>
  <c r="AL363" i="1"/>
  <c r="AL365" i="1" s="1"/>
  <c r="AK363" i="1"/>
  <c r="K366" i="1"/>
  <c r="J366" i="1"/>
  <c r="I366" i="1"/>
  <c r="H366" i="1"/>
  <c r="G366" i="1"/>
  <c r="AQ359" i="1"/>
  <c r="AM353" i="1"/>
  <c r="AN352" i="1"/>
  <c r="AL352" i="1"/>
  <c r="AK352" i="1"/>
  <c r="AO350" i="1"/>
  <c r="AO353" i="1" s="1"/>
  <c r="AN350" i="1"/>
  <c r="AN353" i="1" s="1"/>
  <c r="AM350" i="1"/>
  <c r="AL350" i="1"/>
  <c r="AK350" i="1"/>
  <c r="AK353" i="1" s="1"/>
  <c r="AO348" i="1"/>
  <c r="AP348" i="1" s="1"/>
  <c r="AN348" i="1"/>
  <c r="BA346" i="1"/>
  <c r="AZ346" i="1"/>
  <c r="AZ365" i="1" s="1"/>
  <c r="AY346" i="1"/>
  <c r="AX346" i="1"/>
  <c r="AW346" i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BA340" i="1"/>
  <c r="AZ340" i="1"/>
  <c r="AY340" i="1"/>
  <c r="AX340" i="1"/>
  <c r="AW340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O336" i="1"/>
  <c r="AN336" i="1"/>
  <c r="AM336" i="1"/>
  <c r="AL336" i="1"/>
  <c r="AK336" i="1"/>
  <c r="AD325" i="1"/>
  <c r="AD326" i="1" s="1"/>
  <c r="AD317" i="1"/>
  <c r="AD316" i="1"/>
  <c r="AO314" i="1"/>
  <c r="AN314" i="1"/>
  <c r="AM314" i="1"/>
  <c r="AL314" i="1"/>
  <c r="AJ314" i="1"/>
  <c r="AI314" i="1"/>
  <c r="AH314" i="1"/>
  <c r="AG314" i="1"/>
  <c r="AF314" i="1"/>
  <c r="AE314" i="1"/>
  <c r="AD314" i="1"/>
  <c r="AK312" i="1"/>
  <c r="AK314" i="1" s="1"/>
  <c r="AK311" i="1"/>
  <c r="AQ313" i="1"/>
  <c r="AP313" i="1"/>
  <c r="AP311" i="1"/>
  <c r="AD308" i="1"/>
  <c r="AD307" i="1"/>
  <c r="AD306" i="1"/>
  <c r="AL301" i="1"/>
  <c r="AH301" i="1"/>
  <c r="AD301" i="1"/>
  <c r="AD304" i="1" s="1"/>
  <c r="AD300" i="1"/>
  <c r="AP297" i="1"/>
  <c r="AQ297" i="1" s="1"/>
  <c r="AR297" i="1" s="1"/>
  <c r="AS297" i="1" s="1"/>
  <c r="AT297" i="1" s="1"/>
  <c r="AU297" i="1" s="1"/>
  <c r="AV297" i="1" s="1"/>
  <c r="AW297" i="1" s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R293" i="1"/>
  <c r="AQ293" i="1"/>
  <c r="AP293" i="1"/>
  <c r="AT292" i="1"/>
  <c r="AU292" i="1" s="1"/>
  <c r="AV292" i="1" s="1"/>
  <c r="AW292" i="1" s="1"/>
  <c r="AX292" i="1" s="1"/>
  <c r="AY292" i="1" s="1"/>
  <c r="AZ292" i="1" s="1"/>
  <c r="BA292" i="1" s="1"/>
  <c r="AS292" i="1"/>
  <c r="AS293" i="1" s="1"/>
  <c r="AD291" i="1"/>
  <c r="AD289" i="1"/>
  <c r="AU290" i="1"/>
  <c r="AV290" i="1" s="1"/>
  <c r="AW290" i="1" s="1"/>
  <c r="AX290" i="1" s="1"/>
  <c r="AY290" i="1" s="1"/>
  <c r="AZ290" i="1" s="1"/>
  <c r="BA290" i="1" s="1"/>
  <c r="AT290" i="1"/>
  <c r="AU288" i="1"/>
  <c r="AU293" i="1" s="1"/>
  <c r="AT288" i="1"/>
  <c r="AT293" i="1" s="1"/>
  <c r="AD281" i="1"/>
  <c r="AD280" i="1"/>
  <c r="AD279" i="1"/>
  <c r="AD278" i="1"/>
  <c r="AH270" i="1"/>
  <c r="AH273" i="1" s="1"/>
  <c r="AO269" i="1"/>
  <c r="AN269" i="1"/>
  <c r="AK269" i="1"/>
  <c r="AI269" i="1"/>
  <c r="AH269" i="1"/>
  <c r="AG269" i="1"/>
  <c r="AF269" i="1"/>
  <c r="AE269" i="1"/>
  <c r="AD269" i="1"/>
  <c r="AD271" i="1" s="1"/>
  <c r="AD268" i="1"/>
  <c r="BA266" i="1"/>
  <c r="AZ266" i="1"/>
  <c r="AY266" i="1"/>
  <c r="AX266" i="1"/>
  <c r="AW266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L266" i="1"/>
  <c r="K266" i="1"/>
  <c r="J266" i="1"/>
  <c r="I266" i="1"/>
  <c r="H266" i="1"/>
  <c r="G266" i="1"/>
  <c r="F266" i="1"/>
  <c r="E266" i="1"/>
  <c r="D266" i="1"/>
  <c r="C266" i="1"/>
  <c r="AN263" i="1"/>
  <c r="AJ263" i="1"/>
  <c r="AF263" i="1"/>
  <c r="AD262" i="1"/>
  <c r="AO260" i="1"/>
  <c r="AO263" i="1" s="1"/>
  <c r="AN260" i="1"/>
  <c r="AM260" i="1"/>
  <c r="AM263" i="1" s="1"/>
  <c r="AL260" i="1"/>
  <c r="AL263" i="1" s="1"/>
  <c r="AK260" i="1"/>
  <c r="AK263" i="1" s="1"/>
  <c r="AJ260" i="1"/>
  <c r="AI260" i="1"/>
  <c r="AI263" i="1" s="1"/>
  <c r="AH260" i="1"/>
  <c r="AH263" i="1" s="1"/>
  <c r="AH268" i="1" s="1"/>
  <c r="AG260" i="1"/>
  <c r="AG263" i="1" s="1"/>
  <c r="AF260" i="1"/>
  <c r="AE260" i="1"/>
  <c r="AE263" i="1" s="1"/>
  <c r="AD260" i="1"/>
  <c r="AD263" i="1" s="1"/>
  <c r="AO255" i="1"/>
  <c r="AN255" i="1"/>
  <c r="AM255" i="1"/>
  <c r="AL255" i="1"/>
  <c r="AK255" i="1"/>
  <c r="AK256" i="1" s="1"/>
  <c r="AJ255" i="1"/>
  <c r="AI255" i="1"/>
  <c r="AH255" i="1"/>
  <c r="AG255" i="1"/>
  <c r="AF255" i="1"/>
  <c r="AE255" i="1"/>
  <c r="AD255" i="1"/>
  <c r="AD256" i="1" s="1"/>
  <c r="AJ254" i="1"/>
  <c r="AP262" i="1"/>
  <c r="AQ262" i="1" s="1"/>
  <c r="AR262" i="1" s="1"/>
  <c r="AS262" i="1" s="1"/>
  <c r="AT262" i="1" s="1"/>
  <c r="AU262" i="1" s="1"/>
  <c r="AV262" i="1" s="1"/>
  <c r="AW262" i="1" s="1"/>
  <c r="AX262" i="1" s="1"/>
  <c r="AY262" i="1" s="1"/>
  <c r="AZ262" i="1" s="1"/>
  <c r="BA262" i="1" s="1"/>
  <c r="AP260" i="1"/>
  <c r="AQ260" i="1" s="1"/>
  <c r="AP259" i="1"/>
  <c r="AQ259" i="1" s="1"/>
  <c r="AR259" i="1" s="1"/>
  <c r="AS259" i="1" s="1"/>
  <c r="AT259" i="1" s="1"/>
  <c r="AU259" i="1" s="1"/>
  <c r="AV259" i="1" s="1"/>
  <c r="AW259" i="1" s="1"/>
  <c r="AX259" i="1" s="1"/>
  <c r="AY259" i="1" s="1"/>
  <c r="AZ259" i="1" s="1"/>
  <c r="BA259" i="1" s="1"/>
  <c r="BA254" i="1"/>
  <c r="AZ254" i="1"/>
  <c r="AY254" i="1"/>
  <c r="AX254" i="1"/>
  <c r="AS254" i="1"/>
  <c r="AQ254" i="1"/>
  <c r="AJ250" i="1"/>
  <c r="AH250" i="1"/>
  <c r="AD250" i="1"/>
  <c r="AP249" i="1"/>
  <c r="AQ249" i="1" s="1"/>
  <c r="AR249" i="1" s="1"/>
  <c r="AS249" i="1" s="1"/>
  <c r="AT249" i="1" s="1"/>
  <c r="AU249" i="1" s="1"/>
  <c r="AV249" i="1" s="1"/>
  <c r="AW249" i="1" s="1"/>
  <c r="AX249" i="1" s="1"/>
  <c r="AY249" i="1" s="1"/>
  <c r="AZ249" i="1" s="1"/>
  <c r="BA249" i="1" s="1"/>
  <c r="AO249" i="1"/>
  <c r="AN249" i="1"/>
  <c r="AN323" i="1" s="1"/>
  <c r="AN335" i="1" s="1"/>
  <c r="AN337" i="1" s="1"/>
  <c r="AM249" i="1"/>
  <c r="AL249" i="1"/>
  <c r="AL323" i="1" s="1"/>
  <c r="AL335" i="1" s="1"/>
  <c r="AL337" i="1" s="1"/>
  <c r="AK249" i="1"/>
  <c r="AH249" i="1"/>
  <c r="AH323" i="1" s="1"/>
  <c r="AG249" i="1"/>
  <c r="AF249" i="1"/>
  <c r="AF250" i="1" s="1"/>
  <c r="AE249" i="1"/>
  <c r="AD249" i="1"/>
  <c r="AP248" i="1"/>
  <c r="AQ248" i="1" s="1"/>
  <c r="AR248" i="1" s="1"/>
  <c r="AS248" i="1" s="1"/>
  <c r="AT248" i="1" s="1"/>
  <c r="AU248" i="1" s="1"/>
  <c r="AV248" i="1" s="1"/>
  <c r="AW248" i="1" s="1"/>
  <c r="AX248" i="1" s="1"/>
  <c r="AY248" i="1" s="1"/>
  <c r="AZ248" i="1" s="1"/>
  <c r="BA248" i="1" s="1"/>
  <c r="AO248" i="1"/>
  <c r="AO250" i="1" s="1"/>
  <c r="AG248" i="1"/>
  <c r="AG323" i="1" s="1"/>
  <c r="AF248" i="1"/>
  <c r="AE248" i="1"/>
  <c r="AE323" i="1" s="1"/>
  <c r="AD248" i="1"/>
  <c r="AH246" i="1"/>
  <c r="AO245" i="1"/>
  <c r="AN245" i="1"/>
  <c r="AM245" i="1"/>
  <c r="AL245" i="1"/>
  <c r="AK245" i="1"/>
  <c r="AH245" i="1"/>
  <c r="AG245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Q242" i="1"/>
  <c r="AP242" i="1"/>
  <c r="BA237" i="1"/>
  <c r="AZ237" i="1"/>
  <c r="AY237" i="1"/>
  <c r="AX237" i="1"/>
  <c r="AW237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L237" i="1"/>
  <c r="K237" i="1"/>
  <c r="J237" i="1"/>
  <c r="I237" i="1"/>
  <c r="H237" i="1"/>
  <c r="G237" i="1"/>
  <c r="F237" i="1"/>
  <c r="E237" i="1"/>
  <c r="D237" i="1"/>
  <c r="C237" i="1"/>
  <c r="AL234" i="1"/>
  <c r="AL235" i="1" s="1"/>
  <c r="AH234" i="1"/>
  <c r="AH235" i="1" s="1"/>
  <c r="AJ233" i="1"/>
  <c r="AK233" i="1" s="1"/>
  <c r="AN233" i="1"/>
  <c r="AO233" i="1" s="1"/>
  <c r="AM233" i="1"/>
  <c r="AO232" i="1"/>
  <c r="AM232" i="1"/>
  <c r="AN232" i="1" s="1"/>
  <c r="AL232" i="1"/>
  <c r="AI232" i="1"/>
  <c r="AJ232" i="1" s="1"/>
  <c r="AK232" i="1" s="1"/>
  <c r="AH232" i="1"/>
  <c r="AG232" i="1"/>
  <c r="AE232" i="1"/>
  <c r="AF232" i="1" s="1"/>
  <c r="AN230" i="1"/>
  <c r="AM230" i="1"/>
  <c r="AM418" i="1" s="1"/>
  <c r="AE230" i="1"/>
  <c r="AQ229" i="1"/>
  <c r="AP229" i="1"/>
  <c r="AO229" i="1"/>
  <c r="AN229" i="1"/>
  <c r="AM229" i="1"/>
  <c r="AI228" i="1"/>
  <c r="AJ228" i="1" s="1"/>
  <c r="AK228" i="1" s="1"/>
  <c r="AH228" i="1"/>
  <c r="AG228" i="1"/>
  <c r="AE228" i="1"/>
  <c r="AF228" i="1" s="1"/>
  <c r="AK227" i="1"/>
  <c r="AL227" i="1" s="1"/>
  <c r="AI227" i="1"/>
  <c r="AJ227" i="1" s="1"/>
  <c r="AM226" i="1"/>
  <c r="AM225" i="1"/>
  <c r="AN225" i="1"/>
  <c r="AJ226" i="1"/>
  <c r="AK226" i="1" s="1"/>
  <c r="AI226" i="1"/>
  <c r="AI225" i="1"/>
  <c r="AF226" i="1"/>
  <c r="AG226" i="1" s="1"/>
  <c r="AE226" i="1"/>
  <c r="AE225" i="1"/>
  <c r="AL222" i="1"/>
  <c r="AI222" i="1"/>
  <c r="AH222" i="1"/>
  <c r="AI221" i="1"/>
  <c r="AJ220" i="1"/>
  <c r="AI220" i="1"/>
  <c r="AE221" i="1"/>
  <c r="AD220" i="1"/>
  <c r="AL219" i="1"/>
  <c r="AJ219" i="1"/>
  <c r="AI219" i="1"/>
  <c r="AK219" i="1" s="1"/>
  <c r="AH219" i="1"/>
  <c r="AE219" i="1"/>
  <c r="AF219" i="1" s="1"/>
  <c r="AG219" i="1" s="1"/>
  <c r="AN221" i="1"/>
  <c r="AM221" i="1"/>
  <c r="AM220" i="1"/>
  <c r="AN219" i="1"/>
  <c r="AO219" i="1" s="1"/>
  <c r="AM219" i="1"/>
  <c r="AM218" i="1"/>
  <c r="AN218" i="1" s="1"/>
  <c r="AO218" i="1" s="1"/>
  <c r="AN217" i="1"/>
  <c r="AO217" i="1" s="1"/>
  <c r="AM217" i="1"/>
  <c r="AM216" i="1"/>
  <c r="AN216" i="1" s="1"/>
  <c r="AO216" i="1" s="1"/>
  <c r="AJ218" i="1"/>
  <c r="AK218" i="1" s="1"/>
  <c r="AI218" i="1"/>
  <c r="AI217" i="1"/>
  <c r="AJ216" i="1"/>
  <c r="AK216" i="1" s="1"/>
  <c r="AI216" i="1"/>
  <c r="AE218" i="1"/>
  <c r="AF218" i="1" s="1"/>
  <c r="AG218" i="1" s="1"/>
  <c r="AF217" i="1"/>
  <c r="AG217" i="1" s="1"/>
  <c r="AE217" i="1"/>
  <c r="AE216" i="1"/>
  <c r="AF216" i="1" s="1"/>
  <c r="AG216" i="1" s="1"/>
  <c r="AM213" i="1"/>
  <c r="AN213" i="1" s="1"/>
  <c r="AO213" i="1" s="1"/>
  <c r="AF213" i="1"/>
  <c r="AG213" i="1" s="1"/>
  <c r="AE213" i="1"/>
  <c r="AI213" i="1"/>
  <c r="AJ213" i="1" s="1"/>
  <c r="AK213" i="1" s="1"/>
  <c r="AH212" i="1"/>
  <c r="AI212" i="1" s="1"/>
  <c r="AJ212" i="1" s="1"/>
  <c r="AK212" i="1" s="1"/>
  <c r="AF212" i="1"/>
  <c r="AG212" i="1" s="1"/>
  <c r="AE212" i="1"/>
  <c r="AO212" i="1"/>
  <c r="AO211" i="1"/>
  <c r="AO300" i="1" s="1"/>
  <c r="AN211" i="1"/>
  <c r="AN300" i="1" s="1"/>
  <c r="AM211" i="1"/>
  <c r="AL211" i="1"/>
  <c r="AJ211" i="1"/>
  <c r="AJ300" i="1" s="1"/>
  <c r="AI211" i="1"/>
  <c r="AI300" i="1" s="1"/>
  <c r="AH211" i="1"/>
  <c r="AG211" i="1"/>
  <c r="AG300" i="1" s="1"/>
  <c r="AF211" i="1"/>
  <c r="AF300" i="1" s="1"/>
  <c r="AE211" i="1"/>
  <c r="AE300" i="1" s="1"/>
  <c r="BA208" i="1"/>
  <c r="AZ208" i="1"/>
  <c r="AY208" i="1"/>
  <c r="AX208" i="1"/>
  <c r="AW208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L208" i="1"/>
  <c r="K208" i="1"/>
  <c r="J208" i="1"/>
  <c r="I208" i="1"/>
  <c r="H208" i="1"/>
  <c r="G208" i="1"/>
  <c r="F208" i="1"/>
  <c r="E208" i="1"/>
  <c r="D208" i="1"/>
  <c r="C208" i="1"/>
  <c r="AN205" i="1"/>
  <c r="AM205" i="1"/>
  <c r="AL205" i="1"/>
  <c r="AP204" i="1"/>
  <c r="AR203" i="1"/>
  <c r="AQ203" i="1"/>
  <c r="AP203" i="1"/>
  <c r="AN202" i="1"/>
  <c r="AL202" i="1"/>
  <c r="AS187" i="1"/>
  <c r="AR187" i="1"/>
  <c r="AO185" i="1"/>
  <c r="AP185" i="1" s="1"/>
  <c r="AQ185" i="1" s="1"/>
  <c r="AR185" i="1" s="1"/>
  <c r="AS185" i="1" s="1"/>
  <c r="AT185" i="1" s="1"/>
  <c r="AU185" i="1" s="1"/>
  <c r="AV185" i="1" s="1"/>
  <c r="AW185" i="1" s="1"/>
  <c r="AX185" i="1" s="1"/>
  <c r="AY185" i="1" s="1"/>
  <c r="AZ185" i="1" s="1"/>
  <c r="BA185" i="1" s="1"/>
  <c r="AN185" i="1"/>
  <c r="AM185" i="1"/>
  <c r="AL185" i="1"/>
  <c r="AP184" i="1"/>
  <c r="AQ184" i="1" s="1"/>
  <c r="AR184" i="1" s="1"/>
  <c r="AS184" i="1" s="1"/>
  <c r="AT184" i="1" s="1"/>
  <c r="AU184" i="1" s="1"/>
  <c r="AV184" i="1" s="1"/>
  <c r="AW184" i="1" s="1"/>
  <c r="AX184" i="1" s="1"/>
  <c r="AY184" i="1" s="1"/>
  <c r="AZ184" i="1" s="1"/>
  <c r="BA184" i="1" s="1"/>
  <c r="AO184" i="1"/>
  <c r="AN184" i="1"/>
  <c r="AM184" i="1"/>
  <c r="AL184" i="1"/>
  <c r="AP183" i="1"/>
  <c r="AQ183" i="1" s="1"/>
  <c r="AR183" i="1" s="1"/>
  <c r="AS183" i="1" s="1"/>
  <c r="AT183" i="1" s="1"/>
  <c r="AU183" i="1" s="1"/>
  <c r="AV183" i="1" s="1"/>
  <c r="AW183" i="1" s="1"/>
  <c r="AX183" i="1" s="1"/>
  <c r="AY183" i="1" s="1"/>
  <c r="AZ183" i="1" s="1"/>
  <c r="BA183" i="1" s="1"/>
  <c r="AO183" i="1"/>
  <c r="AN183" i="1"/>
  <c r="AM183" i="1"/>
  <c r="AL183" i="1"/>
  <c r="AP182" i="1"/>
  <c r="AQ182" i="1" s="1"/>
  <c r="AO182" i="1"/>
  <c r="AN182" i="1"/>
  <c r="AN189" i="1" s="1"/>
  <c r="AM182" i="1"/>
  <c r="AM189" i="1" s="1"/>
  <c r="AL182" i="1"/>
  <c r="AL189" i="1" s="1"/>
  <c r="AP181" i="1"/>
  <c r="AQ181" i="1" s="1"/>
  <c r="AR181" i="1" s="1"/>
  <c r="AS181" i="1" s="1"/>
  <c r="AT181" i="1" s="1"/>
  <c r="AU181" i="1" s="1"/>
  <c r="AV181" i="1" s="1"/>
  <c r="AW181" i="1" s="1"/>
  <c r="AX181" i="1" s="1"/>
  <c r="AY181" i="1" s="1"/>
  <c r="AZ181" i="1" s="1"/>
  <c r="BA181" i="1" s="1"/>
  <c r="AO181" i="1"/>
  <c r="AN181" i="1"/>
  <c r="AM181" i="1"/>
  <c r="AL181" i="1"/>
  <c r="AP180" i="1"/>
  <c r="AQ180" i="1" s="1"/>
  <c r="AR180" i="1" s="1"/>
  <c r="AS180" i="1" s="1"/>
  <c r="AT180" i="1" s="1"/>
  <c r="AU180" i="1" s="1"/>
  <c r="AV180" i="1" s="1"/>
  <c r="AW180" i="1" s="1"/>
  <c r="AX180" i="1" s="1"/>
  <c r="AY180" i="1" s="1"/>
  <c r="AZ180" i="1" s="1"/>
  <c r="BA180" i="1" s="1"/>
  <c r="AO180" i="1"/>
  <c r="AN180" i="1"/>
  <c r="AN188" i="1" s="1"/>
  <c r="AM180" i="1"/>
  <c r="AM188" i="1" s="1"/>
  <c r="AL180" i="1"/>
  <c r="AL188" i="1" s="1"/>
  <c r="BA179" i="1"/>
  <c r="AZ179" i="1"/>
  <c r="AY179" i="1"/>
  <c r="AX179" i="1"/>
  <c r="AW179" i="1"/>
  <c r="AV179" i="1"/>
  <c r="AV187" i="1" s="1"/>
  <c r="AU179" i="1"/>
  <c r="AT179" i="1"/>
  <c r="AT187" i="1" s="1"/>
  <c r="AS179" i="1"/>
  <c r="AR179" i="1"/>
  <c r="AQ179" i="1"/>
  <c r="AP179" i="1"/>
  <c r="AP187" i="1" s="1"/>
  <c r="AO179" i="1"/>
  <c r="AN179" i="1"/>
  <c r="AM179" i="1"/>
  <c r="AL179" i="1"/>
  <c r="AP172" i="1"/>
  <c r="AO172" i="1"/>
  <c r="AN172" i="1"/>
  <c r="AM172" i="1"/>
  <c r="AL172" i="1"/>
  <c r="AJ172" i="1"/>
  <c r="AK172" i="1" s="1"/>
  <c r="AI172" i="1"/>
  <c r="AK166" i="1"/>
  <c r="AI166" i="1"/>
  <c r="AH166" i="1"/>
  <c r="AG166" i="1"/>
  <c r="AF166" i="1"/>
  <c r="AE166" i="1"/>
  <c r="AD166" i="1"/>
  <c r="AD163" i="1"/>
  <c r="AO162" i="1"/>
  <c r="AN162" i="1"/>
  <c r="AM162" i="1"/>
  <c r="AL162" i="1"/>
  <c r="AJ162" i="1"/>
  <c r="AI162" i="1"/>
  <c r="AH162" i="1"/>
  <c r="AG162" i="1"/>
  <c r="AF162" i="1"/>
  <c r="AE162" i="1"/>
  <c r="AD162" i="1"/>
  <c r="AD164" i="1" s="1"/>
  <c r="AN159" i="1"/>
  <c r="AN157" i="1" s="1"/>
  <c r="AN158" i="1" s="1"/>
  <c r="AM159" i="1"/>
  <c r="AL159" i="1"/>
  <c r="AL157" i="1" s="1"/>
  <c r="AL158" i="1" s="1"/>
  <c r="AK159" i="1"/>
  <c r="AJ159" i="1"/>
  <c r="AJ157" i="1" s="1"/>
  <c r="AJ158" i="1" s="1"/>
  <c r="AI159" i="1"/>
  <c r="AH159" i="1"/>
  <c r="AH157" i="1" s="1"/>
  <c r="AH158" i="1" s="1"/>
  <c r="AG159" i="1"/>
  <c r="AF159" i="1"/>
  <c r="AE159" i="1"/>
  <c r="AD159" i="1"/>
  <c r="AG158" i="1"/>
  <c r="AF158" i="1"/>
  <c r="AE158" i="1"/>
  <c r="AM157" i="1"/>
  <c r="AM158" i="1" s="1"/>
  <c r="AK157" i="1"/>
  <c r="AI157" i="1"/>
  <c r="AI158" i="1" s="1"/>
  <c r="H159" i="1"/>
  <c r="H157" i="1" s="1"/>
  <c r="H158" i="1" s="1"/>
  <c r="G159" i="1"/>
  <c r="F159" i="1"/>
  <c r="G158" i="1"/>
  <c r="G157" i="1"/>
  <c r="F157" i="1"/>
  <c r="F158" i="1" s="1"/>
  <c r="AP155" i="1"/>
  <c r="AN155" i="1"/>
  <c r="AM155" i="1"/>
  <c r="AL155" i="1"/>
  <c r="AJ155" i="1"/>
  <c r="AI155" i="1"/>
  <c r="AH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H155" i="1"/>
  <c r="G155" i="1"/>
  <c r="F155" i="1"/>
  <c r="D155" i="1"/>
  <c r="C155" i="1"/>
  <c r="AN154" i="1"/>
  <c r="AM154" i="1"/>
  <c r="AL154" i="1"/>
  <c r="AJ154" i="1"/>
  <c r="AI154" i="1"/>
  <c r="AH154" i="1"/>
  <c r="AO153" i="1"/>
  <c r="AO155" i="1" s="1"/>
  <c r="AK153" i="1"/>
  <c r="AD153" i="1"/>
  <c r="AP152" i="1"/>
  <c r="AQ152" i="1" s="1"/>
  <c r="AO152" i="1"/>
  <c r="AZ152" i="1"/>
  <c r="AY152" i="1"/>
  <c r="AO151" i="1"/>
  <c r="AP151" i="1" s="1"/>
  <c r="AQ151" i="1" s="1"/>
  <c r="AR151" i="1" s="1"/>
  <c r="AS151" i="1" s="1"/>
  <c r="AT151" i="1" s="1"/>
  <c r="AU151" i="1" s="1"/>
  <c r="AV151" i="1" s="1"/>
  <c r="AW151" i="1" s="1"/>
  <c r="AX151" i="1" s="1"/>
  <c r="AN148" i="1"/>
  <c r="AM148" i="1"/>
  <c r="AL148" i="1"/>
  <c r="AK148" i="1"/>
  <c r="AJ148" i="1"/>
  <c r="AI148" i="1"/>
  <c r="AH148" i="1"/>
  <c r="H148" i="1"/>
  <c r="P147" i="1"/>
  <c r="AN146" i="1"/>
  <c r="AM146" i="1"/>
  <c r="AM147" i="1" s="1"/>
  <c r="AL146" i="1"/>
  <c r="AJ146" i="1"/>
  <c r="AJ147" i="1" s="1"/>
  <c r="AI146" i="1"/>
  <c r="AI147" i="1" s="1"/>
  <c r="AH146" i="1"/>
  <c r="AH147" i="1" s="1"/>
  <c r="AG146" i="1"/>
  <c r="AF146" i="1"/>
  <c r="AE146" i="1"/>
  <c r="AD146" i="1"/>
  <c r="AD147" i="1" s="1"/>
  <c r="AC146" i="1"/>
  <c r="AB146" i="1"/>
  <c r="AA146" i="1"/>
  <c r="AA147" i="1" s="1"/>
  <c r="Z146" i="1"/>
  <c r="Z147" i="1" s="1"/>
  <c r="Y146" i="1"/>
  <c r="X146" i="1"/>
  <c r="W146" i="1"/>
  <c r="V146" i="1"/>
  <c r="V147" i="1" s="1"/>
  <c r="U146" i="1"/>
  <c r="T146" i="1"/>
  <c r="S146" i="1"/>
  <c r="S147" i="1" s="1"/>
  <c r="R146" i="1"/>
  <c r="R147" i="1" s="1"/>
  <c r="Q146" i="1"/>
  <c r="P146" i="1"/>
  <c r="Q147" i="1" s="1"/>
  <c r="O146" i="1"/>
  <c r="O147" i="1" s="1"/>
  <c r="N146" i="1"/>
  <c r="H146" i="1"/>
  <c r="H144" i="1"/>
  <c r="G144" i="1"/>
  <c r="F144" i="1"/>
  <c r="AN144" i="1"/>
  <c r="AM144" i="1"/>
  <c r="AL144" i="1"/>
  <c r="AJ144" i="1"/>
  <c r="AI144" i="1"/>
  <c r="AH144" i="1"/>
  <c r="N144" i="1"/>
  <c r="AN143" i="1"/>
  <c r="AM143" i="1"/>
  <c r="AL143" i="1"/>
  <c r="AJ143" i="1"/>
  <c r="AI143" i="1"/>
  <c r="AH143" i="1"/>
  <c r="AK142" i="1"/>
  <c r="AO142" i="1"/>
  <c r="AO141" i="1"/>
  <c r="N141" i="1"/>
  <c r="N143" i="1" s="1"/>
  <c r="AP140" i="1"/>
  <c r="AQ140" i="1" s="1"/>
  <c r="AR140" i="1" s="1"/>
  <c r="AS140" i="1" s="1"/>
  <c r="AT140" i="1" s="1"/>
  <c r="AU140" i="1" s="1"/>
  <c r="AV140" i="1" s="1"/>
  <c r="AW140" i="1" s="1"/>
  <c r="AX140" i="1" s="1"/>
  <c r="AY140" i="1" s="1"/>
  <c r="AZ140" i="1" s="1"/>
  <c r="BA140" i="1" s="1"/>
  <c r="AQ137" i="1"/>
  <c r="AT136" i="1"/>
  <c r="AU136" i="1" s="1"/>
  <c r="AV136" i="1" s="1"/>
  <c r="AR136" i="1"/>
  <c r="AS136" i="1" s="1"/>
  <c r="AN136" i="1"/>
  <c r="H137" i="1"/>
  <c r="H136" i="1"/>
  <c r="G136" i="1"/>
  <c r="G137" i="1" s="1"/>
  <c r="F136" i="1"/>
  <c r="F137" i="1" s="1"/>
  <c r="AR134" i="1"/>
  <c r="AQ134" i="1"/>
  <c r="AP134" i="1"/>
  <c r="AN134" i="1"/>
  <c r="AM134" i="1"/>
  <c r="AL134" i="1"/>
  <c r="H134" i="1"/>
  <c r="G134" i="1"/>
  <c r="F134" i="1"/>
  <c r="AS132" i="1"/>
  <c r="AS134" i="1" s="1"/>
  <c r="AQ132" i="1"/>
  <c r="AR132" i="1" s="1"/>
  <c r="AO132" i="1"/>
  <c r="AO134" i="1" s="1"/>
  <c r="AH129" i="1"/>
  <c r="BA129" i="1"/>
  <c r="AZ129" i="1"/>
  <c r="AY129" i="1"/>
  <c r="AX129" i="1"/>
  <c r="AO128" i="1"/>
  <c r="AP128" i="1" s="1"/>
  <c r="AQ128" i="1" s="1"/>
  <c r="AR128" i="1" s="1"/>
  <c r="AS128" i="1" s="1"/>
  <c r="AT128" i="1" s="1"/>
  <c r="AU128" i="1" s="1"/>
  <c r="AV128" i="1" s="1"/>
  <c r="AW128" i="1" s="1"/>
  <c r="AX128" i="1" s="1"/>
  <c r="AY128" i="1" s="1"/>
  <c r="AZ128" i="1" s="1"/>
  <c r="BA128" i="1" s="1"/>
  <c r="AN128" i="1"/>
  <c r="AM128" i="1"/>
  <c r="AM129" i="1" s="1"/>
  <c r="AL128" i="1"/>
  <c r="AL129" i="1" s="1"/>
  <c r="AK128" i="1"/>
  <c r="AK129" i="1" s="1"/>
  <c r="AJ128" i="1"/>
  <c r="AI128" i="1"/>
  <c r="AI129" i="1" s="1"/>
  <c r="AH128" i="1"/>
  <c r="F129" i="1"/>
  <c r="H128" i="1"/>
  <c r="H129" i="1" s="1"/>
  <c r="G128" i="1"/>
  <c r="G129" i="1" s="1"/>
  <c r="F128" i="1"/>
  <c r="AR126" i="1"/>
  <c r="AQ126" i="1"/>
  <c r="AK126" i="1"/>
  <c r="AJ126" i="1"/>
  <c r="AI126" i="1"/>
  <c r="AH126" i="1"/>
  <c r="H126" i="1"/>
  <c r="G126" i="1"/>
  <c r="F126" i="1"/>
  <c r="AQ125" i="1"/>
  <c r="AO125" i="1"/>
  <c r="AS124" i="1"/>
  <c r="AT124" i="1" s="1"/>
  <c r="AR124" i="1"/>
  <c r="AM124" i="1"/>
  <c r="AM126" i="1" s="1"/>
  <c r="AL124" i="1"/>
  <c r="AL126" i="1" s="1"/>
  <c r="AQ121" i="1"/>
  <c r="AO121" i="1"/>
  <c r="AK121" i="1"/>
  <c r="AJ121" i="1"/>
  <c r="AI121" i="1"/>
  <c r="AL120" i="1"/>
  <c r="AL119" i="1"/>
  <c r="AL121" i="1" s="1"/>
  <c r="AR120" i="1"/>
  <c r="AS120" i="1" s="1"/>
  <c r="AT120" i="1" s="1"/>
  <c r="AU120" i="1" s="1"/>
  <c r="AV120" i="1" s="1"/>
  <c r="AW120" i="1" s="1"/>
  <c r="AX120" i="1" s="1"/>
  <c r="AY120" i="1" s="1"/>
  <c r="AZ120" i="1" s="1"/>
  <c r="BA120" i="1" s="1"/>
  <c r="AQ120" i="1"/>
  <c r="AQ119" i="1"/>
  <c r="AR119" i="1" s="1"/>
  <c r="AP119" i="1"/>
  <c r="AP121" i="1" s="1"/>
  <c r="AN116" i="1"/>
  <c r="AL116" i="1"/>
  <c r="AJ116" i="1"/>
  <c r="AN115" i="1"/>
  <c r="AM115" i="1"/>
  <c r="AM116" i="1" s="1"/>
  <c r="AM117" i="1" s="1"/>
  <c r="AL115" i="1"/>
  <c r="AK115" i="1"/>
  <c r="AK116" i="1" s="1"/>
  <c r="AK117" i="1" s="1"/>
  <c r="AJ115" i="1"/>
  <c r="AI115" i="1"/>
  <c r="AI116" i="1" s="1"/>
  <c r="AI117" i="1" s="1"/>
  <c r="H116" i="1"/>
  <c r="F116" i="1"/>
  <c r="F117" i="1" s="1"/>
  <c r="H115" i="1"/>
  <c r="H117" i="1" s="1"/>
  <c r="G115" i="1"/>
  <c r="G116" i="1" s="1"/>
  <c r="G117" i="1" s="1"/>
  <c r="F115" i="1"/>
  <c r="AO114" i="1"/>
  <c r="AO115" i="1" s="1"/>
  <c r="AP113" i="1"/>
  <c r="AO113" i="1"/>
  <c r="AN110" i="1"/>
  <c r="AM110" i="1"/>
  <c r="AL110" i="1"/>
  <c r="AM109" i="1"/>
  <c r="AJ110" i="1"/>
  <c r="AI110" i="1"/>
  <c r="AH110" i="1"/>
  <c r="AI109" i="1"/>
  <c r="H110" i="1"/>
  <c r="G110" i="1"/>
  <c r="F110" i="1"/>
  <c r="AV108" i="1"/>
  <c r="AT108" i="1"/>
  <c r="AS108" i="1"/>
  <c r="AR108" i="1"/>
  <c r="AQ108" i="1"/>
  <c r="AP108" i="1"/>
  <c r="AO108" i="1"/>
  <c r="AN100" i="1"/>
  <c r="AM100" i="1"/>
  <c r="AL100" i="1"/>
  <c r="AK100" i="1"/>
  <c r="AJ100" i="1"/>
  <c r="AI100" i="1"/>
  <c r="AH100" i="1"/>
  <c r="H100" i="1"/>
  <c r="G100" i="1"/>
  <c r="F100" i="1"/>
  <c r="AP97" i="1"/>
  <c r="AN97" i="1"/>
  <c r="AM97" i="1"/>
  <c r="AL97" i="1"/>
  <c r="AK97" i="1"/>
  <c r="AJ97" i="1"/>
  <c r="AI97" i="1"/>
  <c r="AH97" i="1"/>
  <c r="AG97" i="1"/>
  <c r="AF97" i="1"/>
  <c r="AE97" i="1"/>
  <c r="AD97" i="1"/>
  <c r="AB97" i="1"/>
  <c r="Z97" i="1"/>
  <c r="X97" i="1"/>
  <c r="V97" i="1"/>
  <c r="T97" i="1"/>
  <c r="R97" i="1"/>
  <c r="P97" i="1"/>
  <c r="N97" i="1"/>
  <c r="AV96" i="1"/>
  <c r="AT96" i="1"/>
  <c r="AS96" i="1"/>
  <c r="AR96" i="1"/>
  <c r="AQ96" i="1"/>
  <c r="AP96" i="1"/>
  <c r="AO96" i="1"/>
  <c r="AO97" i="1" s="1"/>
  <c r="AC96" i="1"/>
  <c r="AB96" i="1"/>
  <c r="AA96" i="1"/>
  <c r="AA97" i="1" s="1"/>
  <c r="Z96" i="1"/>
  <c r="Y96" i="1"/>
  <c r="X96" i="1"/>
  <c r="W96" i="1"/>
  <c r="W97" i="1" s="1"/>
  <c r="V96" i="1"/>
  <c r="U96" i="1"/>
  <c r="T96" i="1"/>
  <c r="S96" i="1"/>
  <c r="S97" i="1" s="1"/>
  <c r="R96" i="1"/>
  <c r="Q96" i="1"/>
  <c r="P96" i="1"/>
  <c r="O96" i="1"/>
  <c r="O97" i="1" s="1"/>
  <c r="N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AQ94" i="1"/>
  <c r="AQ97" i="1" s="1"/>
  <c r="AP94" i="1"/>
  <c r="AM89" i="1"/>
  <c r="AK89" i="1"/>
  <c r="AI89" i="1"/>
  <c r="AN88" i="1"/>
  <c r="AN109" i="1" s="1"/>
  <c r="AM88" i="1"/>
  <c r="AL88" i="1"/>
  <c r="AK88" i="1"/>
  <c r="AJ88" i="1"/>
  <c r="AJ109" i="1" s="1"/>
  <c r="AI88" i="1"/>
  <c r="AH88" i="1"/>
  <c r="AG88" i="1"/>
  <c r="AF88" i="1"/>
  <c r="AE88" i="1"/>
  <c r="AD88" i="1"/>
  <c r="AB88" i="1"/>
  <c r="Z88" i="1"/>
  <c r="X88" i="1"/>
  <c r="V88" i="1"/>
  <c r="T88" i="1"/>
  <c r="R88" i="1"/>
  <c r="P88" i="1"/>
  <c r="N88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H89" i="1"/>
  <c r="F89" i="1"/>
  <c r="H88" i="1"/>
  <c r="H109" i="1" s="1"/>
  <c r="G88" i="1"/>
  <c r="F88" i="1"/>
  <c r="F109" i="1" s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X81" i="1"/>
  <c r="P81" i="1"/>
  <c r="AN80" i="1"/>
  <c r="AM80" i="1"/>
  <c r="AL80" i="1"/>
  <c r="AK80" i="1"/>
  <c r="AJ80" i="1"/>
  <c r="AI80" i="1"/>
  <c r="AF80" i="1"/>
  <c r="AN79" i="1"/>
  <c r="AM79" i="1"/>
  <c r="AL79" i="1"/>
  <c r="AK79" i="1"/>
  <c r="AJ79" i="1"/>
  <c r="AI79" i="1"/>
  <c r="AB79" i="1"/>
  <c r="T79" i="1"/>
  <c r="F83" i="1"/>
  <c r="H82" i="1"/>
  <c r="G82" i="1"/>
  <c r="H81" i="1"/>
  <c r="G81" i="1"/>
  <c r="H80" i="1"/>
  <c r="G80" i="1"/>
  <c r="H79" i="1"/>
  <c r="G79" i="1"/>
  <c r="AI77" i="1"/>
  <c r="AQ76" i="1"/>
  <c r="AJ76" i="1"/>
  <c r="AI76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AO74" i="1"/>
  <c r="AN74" i="1"/>
  <c r="AM74" i="1"/>
  <c r="AL74" i="1"/>
  <c r="AK74" i="1"/>
  <c r="AJ74" i="1"/>
  <c r="AI74" i="1"/>
  <c r="AE74" i="1"/>
  <c r="W74" i="1"/>
  <c r="O74" i="1"/>
  <c r="AN73" i="1"/>
  <c r="AM73" i="1"/>
  <c r="AL73" i="1"/>
  <c r="AK73" i="1"/>
  <c r="AJ73" i="1"/>
  <c r="AI73" i="1"/>
  <c r="AB73" i="1"/>
  <c r="X73" i="1"/>
  <c r="W73" i="1"/>
  <c r="G77" i="1"/>
  <c r="F77" i="1"/>
  <c r="H76" i="1"/>
  <c r="G76" i="1"/>
  <c r="H75" i="1"/>
  <c r="G75" i="1"/>
  <c r="F75" i="1"/>
  <c r="E75" i="1"/>
  <c r="D75" i="1"/>
  <c r="H74" i="1"/>
  <c r="G74" i="1"/>
  <c r="H73" i="1"/>
  <c r="G73" i="1"/>
  <c r="AN69" i="1"/>
  <c r="AM69" i="1"/>
  <c r="AJ69" i="1"/>
  <c r="AJ83" i="1" s="1"/>
  <c r="AI69" i="1"/>
  <c r="AH69" i="1"/>
  <c r="AH83" i="1" s="1"/>
  <c r="AG69" i="1"/>
  <c r="AG83" i="1" s="1"/>
  <c r="AF69" i="1"/>
  <c r="AF83" i="1" s="1"/>
  <c r="AE69" i="1"/>
  <c r="H69" i="1"/>
  <c r="G69" i="1"/>
  <c r="G83" i="1" s="1"/>
  <c r="F69" i="1"/>
  <c r="AM68" i="1"/>
  <c r="AK68" i="1"/>
  <c r="AK82" i="1" s="1"/>
  <c r="AO66" i="1"/>
  <c r="AO159" i="1" s="1"/>
  <c r="AO157" i="1" s="1"/>
  <c r="AO65" i="1"/>
  <c r="AF67" i="1"/>
  <c r="AD67" i="1"/>
  <c r="AD81" i="1" s="1"/>
  <c r="AC67" i="1"/>
  <c r="AC81" i="1" s="1"/>
  <c r="AB67" i="1"/>
  <c r="AB81" i="1" s="1"/>
  <c r="AA67" i="1"/>
  <c r="Z67" i="1"/>
  <c r="Z81" i="1" s="1"/>
  <c r="Y67" i="1"/>
  <c r="Y81" i="1" s="1"/>
  <c r="X67" i="1"/>
  <c r="W67" i="1"/>
  <c r="V67" i="1"/>
  <c r="V81" i="1" s="1"/>
  <c r="U67" i="1"/>
  <c r="U81" i="1" s="1"/>
  <c r="T67" i="1"/>
  <c r="T81" i="1" s="1"/>
  <c r="S67" i="1"/>
  <c r="R67" i="1"/>
  <c r="R81" i="1" s="1"/>
  <c r="Q67" i="1"/>
  <c r="Q81" i="1" s="1"/>
  <c r="P67" i="1"/>
  <c r="O67" i="1"/>
  <c r="N67" i="1"/>
  <c r="N81" i="1" s="1"/>
  <c r="AG66" i="1"/>
  <c r="AG80" i="1" s="1"/>
  <c r="AF66" i="1"/>
  <c r="AE66" i="1"/>
  <c r="AD66" i="1"/>
  <c r="X66" i="1"/>
  <c r="T66" i="1"/>
  <c r="T69" i="1" s="1"/>
  <c r="R66" i="1"/>
  <c r="P66" i="1"/>
  <c r="P69" i="1" s="1"/>
  <c r="AG65" i="1"/>
  <c r="AG79" i="1" s="1"/>
  <c r="AF65" i="1"/>
  <c r="AF79" i="1" s="1"/>
  <c r="AE65" i="1"/>
  <c r="AD65" i="1"/>
  <c r="AD79" i="1" s="1"/>
  <c r="AC65" i="1"/>
  <c r="AC79" i="1" s="1"/>
  <c r="AB65" i="1"/>
  <c r="AA65" i="1"/>
  <c r="Z65" i="1"/>
  <c r="Y65" i="1"/>
  <c r="Y79" i="1" s="1"/>
  <c r="X65" i="1"/>
  <c r="X79" i="1" s="1"/>
  <c r="W65" i="1"/>
  <c r="V65" i="1"/>
  <c r="V79" i="1" s="1"/>
  <c r="U65" i="1"/>
  <c r="U79" i="1" s="1"/>
  <c r="T65" i="1"/>
  <c r="S65" i="1"/>
  <c r="R65" i="1"/>
  <c r="R79" i="1" s="1"/>
  <c r="Q65" i="1"/>
  <c r="Q79" i="1" s="1"/>
  <c r="P65" i="1"/>
  <c r="P79" i="1" s="1"/>
  <c r="O65" i="1"/>
  <c r="N65" i="1"/>
  <c r="N79" i="1" s="1"/>
  <c r="AN63" i="1"/>
  <c r="AN77" i="1" s="1"/>
  <c r="AM63" i="1"/>
  <c r="AL63" i="1"/>
  <c r="AJ63" i="1"/>
  <c r="AJ77" i="1" s="1"/>
  <c r="AI63" i="1"/>
  <c r="AH63" i="1"/>
  <c r="AG63" i="1"/>
  <c r="AG77" i="1" s="1"/>
  <c r="AF63" i="1"/>
  <c r="AF77" i="1" s="1"/>
  <c r="AE63" i="1"/>
  <c r="AB63" i="1"/>
  <c r="Z63" i="1"/>
  <c r="P63" i="1"/>
  <c r="H63" i="1"/>
  <c r="H77" i="1" s="1"/>
  <c r="G63" i="1"/>
  <c r="F63" i="1"/>
  <c r="AU62" i="1"/>
  <c r="AU76" i="1" s="1"/>
  <c r="AT62" i="1"/>
  <c r="AS62" i="1"/>
  <c r="AS76" i="1" s="1"/>
  <c r="AR62" i="1"/>
  <c r="AQ62" i="1"/>
  <c r="AP62" i="1"/>
  <c r="AM62" i="1"/>
  <c r="AM136" i="1" s="1"/>
  <c r="AN137" i="1" s="1"/>
  <c r="AL62" i="1"/>
  <c r="AK62" i="1"/>
  <c r="AK63" i="1" s="1"/>
  <c r="AK77" i="1" s="1"/>
  <c r="AG62" i="1"/>
  <c r="AF62" i="1"/>
  <c r="AE62" i="1"/>
  <c r="AD62" i="1"/>
  <c r="AC62" i="1"/>
  <c r="AC76" i="1" s="1"/>
  <c r="AB62" i="1"/>
  <c r="AA62" i="1"/>
  <c r="AA76" i="1" s="1"/>
  <c r="Z62" i="1"/>
  <c r="Y62" i="1"/>
  <c r="Y76" i="1" s="1"/>
  <c r="X62" i="1"/>
  <c r="W62" i="1"/>
  <c r="V62" i="1"/>
  <c r="U62" i="1"/>
  <c r="U76" i="1" s="1"/>
  <c r="T62" i="1"/>
  <c r="S62" i="1"/>
  <c r="S76" i="1" s="1"/>
  <c r="R62" i="1"/>
  <c r="Q62" i="1"/>
  <c r="Q76" i="1" s="1"/>
  <c r="P62" i="1"/>
  <c r="O62" i="1"/>
  <c r="N62" i="1"/>
  <c r="N76" i="1" s="1"/>
  <c r="AO60" i="1"/>
  <c r="AO116" i="1" s="1"/>
  <c r="AO59" i="1"/>
  <c r="AO73" i="1" s="1"/>
  <c r="AS61" i="1"/>
  <c r="AS75" i="1" s="1"/>
  <c r="AR61" i="1"/>
  <c r="AQ61" i="1"/>
  <c r="AQ75" i="1" s="1"/>
  <c r="AP61" i="1"/>
  <c r="AP75" i="1" s="1"/>
  <c r="AG60" i="1"/>
  <c r="AF60" i="1"/>
  <c r="AE60" i="1"/>
  <c r="AD60" i="1"/>
  <c r="AC60" i="1"/>
  <c r="AC74" i="1" s="1"/>
  <c r="AB60" i="1"/>
  <c r="AA60" i="1"/>
  <c r="AA74" i="1" s="1"/>
  <c r="Z60" i="1"/>
  <c r="Y60" i="1"/>
  <c r="Y74" i="1" s="1"/>
  <c r="X60" i="1"/>
  <c r="W60" i="1"/>
  <c r="V60" i="1"/>
  <c r="U60" i="1"/>
  <c r="U74" i="1" s="1"/>
  <c r="T60" i="1"/>
  <c r="S60" i="1"/>
  <c r="S74" i="1" s="1"/>
  <c r="R60" i="1"/>
  <c r="Q60" i="1"/>
  <c r="Q74" i="1" s="1"/>
  <c r="P60" i="1"/>
  <c r="O60" i="1"/>
  <c r="N60" i="1"/>
  <c r="N74" i="1" s="1"/>
  <c r="AG59" i="1"/>
  <c r="AF59" i="1"/>
  <c r="AE59" i="1"/>
  <c r="AD59" i="1"/>
  <c r="AD63" i="1" s="1"/>
  <c r="AC59" i="1"/>
  <c r="AB59" i="1"/>
  <c r="AA59" i="1"/>
  <c r="AA73" i="1" s="1"/>
  <c r="Z59" i="1"/>
  <c r="Y59" i="1"/>
  <c r="X59" i="1"/>
  <c r="W59" i="1"/>
  <c r="V59" i="1"/>
  <c r="U59" i="1"/>
  <c r="U63" i="1" s="1"/>
  <c r="T59" i="1"/>
  <c r="S59" i="1"/>
  <c r="R59" i="1"/>
  <c r="Q59" i="1"/>
  <c r="P59" i="1"/>
  <c r="O59" i="1"/>
  <c r="N59" i="1"/>
  <c r="N63" i="1" s="1"/>
  <c r="N77" i="1" s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AO53" i="1"/>
  <c r="AL53" i="1"/>
  <c r="AJ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O52" i="1"/>
  <c r="AN52" i="1"/>
  <c r="AM52" i="1"/>
  <c r="AL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D41" i="1"/>
  <c r="AV52" i="1"/>
  <c r="AW52" i="1" s="1"/>
  <c r="AX52" i="1" s="1"/>
  <c r="AY52" i="1" s="1"/>
  <c r="AR52" i="1"/>
  <c r="AS52" i="1" s="1"/>
  <c r="AT52" i="1" s="1"/>
  <c r="AU52" i="1" s="1"/>
  <c r="AQ52" i="1"/>
  <c r="AN50" i="1"/>
  <c r="AK50" i="1"/>
  <c r="AJ50" i="1"/>
  <c r="AI50" i="1"/>
  <c r="AH50" i="1"/>
  <c r="AG50" i="1"/>
  <c r="AF50" i="1"/>
  <c r="AN49" i="1"/>
  <c r="AM49" i="1"/>
  <c r="AL49" i="1"/>
  <c r="AK49" i="1"/>
  <c r="AJ49" i="1"/>
  <c r="AI49" i="1"/>
  <c r="AH49" i="1"/>
  <c r="AG49" i="1"/>
  <c r="AF49" i="1"/>
  <c r="AN47" i="1"/>
  <c r="AM47" i="1"/>
  <c r="AK47" i="1"/>
  <c r="AJ47" i="1"/>
  <c r="AI47" i="1"/>
  <c r="AH47" i="1"/>
  <c r="AG47" i="1"/>
  <c r="AF47" i="1"/>
  <c r="AE47" i="1"/>
  <c r="AN46" i="1"/>
  <c r="AN101" i="1" s="1"/>
  <c r="AM46" i="1"/>
  <c r="AL46" i="1"/>
  <c r="AK46" i="1"/>
  <c r="AJ46" i="1"/>
  <c r="AJ101" i="1" s="1"/>
  <c r="AI46" i="1"/>
  <c r="AH46" i="1"/>
  <c r="AG46" i="1"/>
  <c r="AF46" i="1"/>
  <c r="AE46" i="1"/>
  <c r="V46" i="1"/>
  <c r="AT47" i="1"/>
  <c r="AU47" i="1" s="1"/>
  <c r="AV47" i="1" s="1"/>
  <c r="AW47" i="1" s="1"/>
  <c r="AX47" i="1" s="1"/>
  <c r="AY47" i="1" s="1"/>
  <c r="AZ47" i="1" s="1"/>
  <c r="BA47" i="1" s="1"/>
  <c r="AT46" i="1"/>
  <c r="AU46" i="1" s="1"/>
  <c r="AV46" i="1" s="1"/>
  <c r="AW46" i="1" s="1"/>
  <c r="AX46" i="1" s="1"/>
  <c r="AY46" i="1" s="1"/>
  <c r="AZ46" i="1" s="1"/>
  <c r="BA46" i="1" s="1"/>
  <c r="BA41" i="1"/>
  <c r="AZ41" i="1"/>
  <c r="AY41" i="1"/>
  <c r="AX41" i="1"/>
  <c r="AW41" i="1"/>
  <c r="AV41" i="1"/>
  <c r="AU41" i="1"/>
  <c r="AT41" i="1"/>
  <c r="AN44" i="1"/>
  <c r="AK44" i="1"/>
  <c r="AJ44" i="1"/>
  <c r="AI44" i="1"/>
  <c r="AH44" i="1"/>
  <c r="AG44" i="1"/>
  <c r="AF44" i="1"/>
  <c r="AO43" i="1"/>
  <c r="AN43" i="1"/>
  <c r="AM43" i="1"/>
  <c r="AL43" i="1"/>
  <c r="AK43" i="1"/>
  <c r="AJ43" i="1"/>
  <c r="AI43" i="1"/>
  <c r="AH43" i="1"/>
  <c r="AG43" i="1"/>
  <c r="AF43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G53" i="1"/>
  <c r="F53" i="1"/>
  <c r="E53" i="1"/>
  <c r="G52" i="1"/>
  <c r="F52" i="1"/>
  <c r="E52" i="1"/>
  <c r="G50" i="1"/>
  <c r="F50" i="1"/>
  <c r="G49" i="1"/>
  <c r="F49" i="1"/>
  <c r="G47" i="1"/>
  <c r="F47" i="1"/>
  <c r="E47" i="1"/>
  <c r="G46" i="1"/>
  <c r="F46" i="1"/>
  <c r="E46" i="1"/>
  <c r="G44" i="1"/>
  <c r="F44" i="1"/>
  <c r="G43" i="1"/>
  <c r="F43" i="1"/>
  <c r="L41" i="1"/>
  <c r="K41" i="1"/>
  <c r="J41" i="1"/>
  <c r="I41" i="1"/>
  <c r="H41" i="1"/>
  <c r="G41" i="1"/>
  <c r="F41" i="1"/>
  <c r="E41" i="1"/>
  <c r="C41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B37" i="1" s="1"/>
  <c r="AA38" i="1"/>
  <c r="Z38" i="1"/>
  <c r="Y38" i="1"/>
  <c r="X38" i="1"/>
  <c r="X37" i="1" s="1"/>
  <c r="W38" i="1"/>
  <c r="V38" i="1"/>
  <c r="U38" i="1"/>
  <c r="T38" i="1"/>
  <c r="T37" i="1" s="1"/>
  <c r="S38" i="1"/>
  <c r="R38" i="1"/>
  <c r="Q38" i="1"/>
  <c r="P38" i="1"/>
  <c r="P37" i="1" s="1"/>
  <c r="O38" i="1"/>
  <c r="N38" i="1"/>
  <c r="AD37" i="1"/>
  <c r="AC37" i="1"/>
  <c r="AA37" i="1"/>
  <c r="Z37" i="1"/>
  <c r="Y37" i="1"/>
  <c r="W37" i="1"/>
  <c r="V37" i="1"/>
  <c r="U37" i="1"/>
  <c r="S37" i="1"/>
  <c r="R37" i="1"/>
  <c r="Q37" i="1"/>
  <c r="O37" i="1"/>
  <c r="N37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F38" i="1"/>
  <c r="E38" i="1"/>
  <c r="D38" i="1"/>
  <c r="C38" i="1"/>
  <c r="D37" i="1"/>
  <c r="C37" i="1"/>
  <c r="D36" i="1"/>
  <c r="C36" i="1"/>
  <c r="AO33" i="1"/>
  <c r="AN33" i="1"/>
  <c r="AJ33" i="1"/>
  <c r="AI33" i="1"/>
  <c r="AH33" i="1"/>
  <c r="AG33" i="1"/>
  <c r="AF33" i="1"/>
  <c r="AF163" i="1" s="1"/>
  <c r="AO31" i="1"/>
  <c r="AO163" i="1" s="1"/>
  <c r="AN31" i="1"/>
  <c r="AM31" i="1"/>
  <c r="AJ31" i="1"/>
  <c r="AI31" i="1"/>
  <c r="AJ30" i="1"/>
  <c r="AI30" i="1"/>
  <c r="AH30" i="1"/>
  <c r="AG30" i="1"/>
  <c r="AE30" i="1"/>
  <c r="AE29" i="1"/>
  <c r="AE163" i="1" s="1"/>
  <c r="G30" i="1"/>
  <c r="AN29" i="1"/>
  <c r="AM29" i="1"/>
  <c r="AL29" i="1"/>
  <c r="AL163" i="1" s="1"/>
  <c r="AJ29" i="1"/>
  <c r="AI29" i="1"/>
  <c r="AH29" i="1"/>
  <c r="AH163" i="1" s="1"/>
  <c r="AG29" i="1"/>
  <c r="AI25" i="1"/>
  <c r="G26" i="1"/>
  <c r="G54" i="1" s="1"/>
  <c r="G25" i="1"/>
  <c r="G27" i="1" s="1"/>
  <c r="AO24" i="1"/>
  <c r="AL24" i="1"/>
  <c r="AK24" i="1"/>
  <c r="AG24" i="1"/>
  <c r="AK21" i="1"/>
  <c r="AK22" i="1" s="1"/>
  <c r="AK20" i="1"/>
  <c r="AI23" i="1"/>
  <c r="AI53" i="1" s="1"/>
  <c r="AI22" i="1"/>
  <c r="AO22" i="1"/>
  <c r="AL22" i="1"/>
  <c r="AH22" i="1"/>
  <c r="AH25" i="1" s="1"/>
  <c r="AE22" i="1"/>
  <c r="AE25" i="1" s="1"/>
  <c r="G22" i="1"/>
  <c r="AP23" i="1"/>
  <c r="AP21" i="1"/>
  <c r="AP211" i="1" s="1"/>
  <c r="AO20" i="1"/>
  <c r="AN20" i="1"/>
  <c r="AN48" i="1" s="1"/>
  <c r="AL20" i="1"/>
  <c r="AJ20" i="1"/>
  <c r="AJ22" i="1" s="1"/>
  <c r="AI20" i="1"/>
  <c r="AH20" i="1"/>
  <c r="AG20" i="1"/>
  <c r="AF20" i="1"/>
  <c r="AF22" i="1" s="1"/>
  <c r="AE20" i="1"/>
  <c r="G20" i="1"/>
  <c r="F20" i="1"/>
  <c r="F22" i="1" s="1"/>
  <c r="F51" i="1" s="1"/>
  <c r="E20" i="1"/>
  <c r="AM19" i="1"/>
  <c r="AM20" i="1" s="1"/>
  <c r="AL18" i="1"/>
  <c r="AL50" i="1" s="1"/>
  <c r="AU19" i="1"/>
  <c r="AV19" i="1" s="1"/>
  <c r="AW19" i="1" s="1"/>
  <c r="AX19" i="1" s="1"/>
  <c r="AY19" i="1" s="1"/>
  <c r="AZ19" i="1" s="1"/>
  <c r="BA19" i="1" s="1"/>
  <c r="AT19" i="1"/>
  <c r="AT172" i="1" s="1"/>
  <c r="AD18" i="1"/>
  <c r="AC18" i="1"/>
  <c r="AB18" i="1"/>
  <c r="Z18" i="1"/>
  <c r="Y18" i="1"/>
  <c r="X18" i="1"/>
  <c r="V18" i="1"/>
  <c r="U18" i="1"/>
  <c r="T18" i="1"/>
  <c r="R18" i="1"/>
  <c r="Q18" i="1"/>
  <c r="P18" i="1"/>
  <c r="N18" i="1"/>
  <c r="N47" i="1" s="1"/>
  <c r="AD17" i="1"/>
  <c r="AC17" i="1"/>
  <c r="AB17" i="1"/>
  <c r="AB46" i="1" s="1"/>
  <c r="Z17" i="1"/>
  <c r="Z46" i="1" s="1"/>
  <c r="Y17" i="1"/>
  <c r="X17" i="1"/>
  <c r="X46" i="1" s="1"/>
  <c r="X91" i="1" s="1"/>
  <c r="V17" i="1"/>
  <c r="U17" i="1"/>
  <c r="T17" i="1"/>
  <c r="T46" i="1" s="1"/>
  <c r="R17" i="1"/>
  <c r="R46" i="1" s="1"/>
  <c r="Q17" i="1"/>
  <c r="P17" i="1"/>
  <c r="P46" i="1" s="1"/>
  <c r="N17" i="1"/>
  <c r="N46" i="1" s="1"/>
  <c r="AN14" i="1"/>
  <c r="AN42" i="1" s="1"/>
  <c r="AM14" i="1"/>
  <c r="AL14" i="1"/>
  <c r="AL45" i="1" s="1"/>
  <c r="AK14" i="1"/>
  <c r="AJ14" i="1"/>
  <c r="AI14" i="1"/>
  <c r="AH14" i="1"/>
  <c r="AH45" i="1" s="1"/>
  <c r="AG14" i="1"/>
  <c r="AF14" i="1"/>
  <c r="AG42" i="1" s="1"/>
  <c r="AE14" i="1"/>
  <c r="AB14" i="1"/>
  <c r="X14" i="1"/>
  <c r="T14" i="1"/>
  <c r="T51" i="1" s="1"/>
  <c r="P14" i="1"/>
  <c r="G14" i="1"/>
  <c r="G45" i="1" s="1"/>
  <c r="F14" i="1"/>
  <c r="F104" i="1" s="1"/>
  <c r="F105" i="1" s="1"/>
  <c r="F106" i="1" s="1"/>
  <c r="E14" i="1"/>
  <c r="AO11" i="1"/>
  <c r="AL12" i="1"/>
  <c r="AL69" i="1" s="1"/>
  <c r="AQ13" i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AP13" i="1"/>
  <c r="AD12" i="1"/>
  <c r="AD44" i="1" s="1"/>
  <c r="AC12" i="1"/>
  <c r="AB12" i="1"/>
  <c r="AB44" i="1" s="1"/>
  <c r="AA12" i="1"/>
  <c r="AA44" i="1" s="1"/>
  <c r="Z12" i="1"/>
  <c r="Z14" i="1" s="1"/>
  <c r="Y12" i="1"/>
  <c r="X12" i="1"/>
  <c r="X44" i="1" s="1"/>
  <c r="W12" i="1"/>
  <c r="W44" i="1" s="1"/>
  <c r="V12" i="1"/>
  <c r="V44" i="1" s="1"/>
  <c r="U12" i="1"/>
  <c r="T12" i="1"/>
  <c r="T44" i="1" s="1"/>
  <c r="S12" i="1"/>
  <c r="S44" i="1" s="1"/>
  <c r="R12" i="1"/>
  <c r="R14" i="1" s="1"/>
  <c r="Q12" i="1"/>
  <c r="P12" i="1"/>
  <c r="P44" i="1" s="1"/>
  <c r="O12" i="1"/>
  <c r="O44" i="1" s="1"/>
  <c r="N12" i="1"/>
  <c r="N14" i="1" s="1"/>
  <c r="N45" i="1" s="1"/>
  <c r="AD11" i="1"/>
  <c r="AE43" i="1" s="1"/>
  <c r="AC11" i="1"/>
  <c r="AC43" i="1" s="1"/>
  <c r="AB11" i="1"/>
  <c r="AA11" i="1"/>
  <c r="AA43" i="1" s="1"/>
  <c r="Z11" i="1"/>
  <c r="Y11" i="1"/>
  <c r="Y14" i="1" s="1"/>
  <c r="X11" i="1"/>
  <c r="W11" i="1"/>
  <c r="W43" i="1" s="1"/>
  <c r="V11" i="1"/>
  <c r="V43" i="1" s="1"/>
  <c r="U11" i="1"/>
  <c r="U43" i="1" s="1"/>
  <c r="T11" i="1"/>
  <c r="S11" i="1"/>
  <c r="S43" i="1" s="1"/>
  <c r="R11" i="1"/>
  <c r="Q11" i="1"/>
  <c r="Q14" i="1" s="1"/>
  <c r="P11" i="1"/>
  <c r="O11" i="1"/>
  <c r="O43" i="1" s="1"/>
  <c r="N11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L9" i="1"/>
  <c r="K9" i="1"/>
  <c r="J9" i="1"/>
  <c r="I9" i="1"/>
  <c r="H9" i="1"/>
  <c r="G9" i="1"/>
  <c r="F9" i="1"/>
  <c r="E9" i="1"/>
  <c r="D9" i="1"/>
  <c r="C9" i="1"/>
  <c r="U5" i="1"/>
  <c r="Y5" i="1" s="1"/>
  <c r="AC5" i="1" s="1"/>
  <c r="AG5" i="1" s="1"/>
  <c r="AK5" i="1" s="1"/>
  <c r="AO5" i="1" s="1"/>
  <c r="AS5" i="1" s="1"/>
  <c r="AW5" i="1" s="1"/>
  <c r="BA5" i="1" s="1"/>
  <c r="T5" i="1"/>
  <c r="X5" i="1" s="1"/>
  <c r="AB5" i="1" s="1"/>
  <c r="AF5" i="1" s="1"/>
  <c r="AJ5" i="1" s="1"/>
  <c r="AN5" i="1" s="1"/>
  <c r="AR5" i="1" s="1"/>
  <c r="AV5" i="1" s="1"/>
  <c r="AZ5" i="1" s="1"/>
  <c r="S5" i="1"/>
  <c r="R5" i="1"/>
  <c r="O4" i="1"/>
  <c r="O6" i="1" s="1"/>
  <c r="O141" i="1" s="1"/>
  <c r="K5" i="1"/>
  <c r="K4" i="1"/>
  <c r="J4" i="1"/>
  <c r="I4" i="1"/>
  <c r="I6" i="1" s="1"/>
  <c r="H4" i="1"/>
  <c r="G4" i="1"/>
  <c r="G6" i="1" s="1"/>
  <c r="F6" i="1" s="1"/>
  <c r="E6" i="1" s="1"/>
  <c r="D6" i="1" s="1"/>
  <c r="C6" i="1" s="1"/>
  <c r="F4" i="1"/>
  <c r="E4" i="1"/>
  <c r="D4" i="1"/>
  <c r="C4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F2" i="1"/>
  <c r="E2" i="1"/>
  <c r="D2" i="1"/>
  <c r="C2" i="1"/>
  <c r="D1" i="1"/>
  <c r="C1" i="1"/>
  <c r="O144" i="1" l="1"/>
  <c r="O143" i="1"/>
  <c r="Q55" i="1"/>
  <c r="Q51" i="1"/>
  <c r="Q48" i="1"/>
  <c r="Q45" i="1"/>
  <c r="Q42" i="1"/>
  <c r="Y55" i="1"/>
  <c r="Y51" i="1"/>
  <c r="Y48" i="1"/>
  <c r="Y45" i="1"/>
  <c r="Y42" i="1"/>
  <c r="AK325" i="1"/>
  <c r="AK326" i="1" s="1"/>
  <c r="AK51" i="1"/>
  <c r="R51" i="1"/>
  <c r="R48" i="1"/>
  <c r="R42" i="1"/>
  <c r="R55" i="1"/>
  <c r="R45" i="1"/>
  <c r="Z51" i="1"/>
  <c r="Z48" i="1"/>
  <c r="Z42" i="1"/>
  <c r="Z55" i="1"/>
  <c r="Z45" i="1"/>
  <c r="AF325" i="1"/>
  <c r="AF326" i="1" s="1"/>
  <c r="AF280" i="1"/>
  <c r="AF25" i="1"/>
  <c r="AF51" i="1"/>
  <c r="AJ325" i="1"/>
  <c r="AJ326" i="1" s="1"/>
  <c r="AJ280" i="1"/>
  <c r="AJ25" i="1"/>
  <c r="AJ51" i="1"/>
  <c r="G55" i="1"/>
  <c r="G34" i="1"/>
  <c r="W5" i="1"/>
  <c r="AA5" i="1" s="1"/>
  <c r="AE5" i="1" s="1"/>
  <c r="AI5" i="1" s="1"/>
  <c r="AM5" i="1" s="1"/>
  <c r="AQ5" i="1" s="1"/>
  <c r="AU5" i="1" s="1"/>
  <c r="AY5" i="1" s="1"/>
  <c r="AB45" i="1"/>
  <c r="AB55" i="1"/>
  <c r="E45" i="1"/>
  <c r="E22" i="1"/>
  <c r="J6" i="1"/>
  <c r="L5" i="1"/>
  <c r="C94" i="1"/>
  <c r="C87" i="1" s="1"/>
  <c r="I142" i="1"/>
  <c r="J108" i="1"/>
  <c r="J133" i="1"/>
  <c r="I153" i="1"/>
  <c r="I133" i="1"/>
  <c r="H94" i="1"/>
  <c r="D65" i="1"/>
  <c r="J62" i="1"/>
  <c r="I39" i="1"/>
  <c r="I32" i="1"/>
  <c r="J31" i="1"/>
  <c r="I65" i="1"/>
  <c r="D67" i="1"/>
  <c r="D81" i="1" s="1"/>
  <c r="I61" i="1"/>
  <c r="I60" i="1"/>
  <c r="E96" i="1"/>
  <c r="E94" i="1"/>
  <c r="C67" i="1"/>
  <c r="C65" i="1"/>
  <c r="D60" i="1"/>
  <c r="I33" i="1"/>
  <c r="J32" i="1"/>
  <c r="V5" i="1"/>
  <c r="Z5" i="1" s="1"/>
  <c r="AD5" i="1" s="1"/>
  <c r="AH5" i="1" s="1"/>
  <c r="AL5" i="1" s="1"/>
  <c r="AP5" i="1" s="1"/>
  <c r="AT5" i="1" s="1"/>
  <c r="AX5" i="1" s="1"/>
  <c r="K6" i="1"/>
  <c r="D11" i="1"/>
  <c r="I13" i="1"/>
  <c r="Q44" i="1"/>
  <c r="U44" i="1"/>
  <c r="Y44" i="1"/>
  <c r="AC44" i="1"/>
  <c r="AO12" i="1"/>
  <c r="O14" i="1"/>
  <c r="P42" i="1" s="1"/>
  <c r="S14" i="1"/>
  <c r="W14" i="1"/>
  <c r="AA14" i="1"/>
  <c r="AE295" i="1"/>
  <c r="AE287" i="1"/>
  <c r="AE170" i="1"/>
  <c r="AI295" i="1"/>
  <c r="AI287" i="1"/>
  <c r="AI170" i="1"/>
  <c r="AI104" i="1"/>
  <c r="AI105" i="1" s="1"/>
  <c r="AI106" i="1" s="1"/>
  <c r="AI42" i="1"/>
  <c r="AM295" i="1"/>
  <c r="AM287" i="1"/>
  <c r="AM170" i="1"/>
  <c r="AM104" i="1"/>
  <c r="AM105" i="1" s="1"/>
  <c r="AM106" i="1" s="1"/>
  <c r="AM42" i="1"/>
  <c r="I17" i="1"/>
  <c r="H18" i="1"/>
  <c r="I21" i="1"/>
  <c r="J24" i="1"/>
  <c r="R50" i="1"/>
  <c r="V50" i="1"/>
  <c r="Z50" i="1"/>
  <c r="AD50" i="1"/>
  <c r="AE50" i="1"/>
  <c r="AM279" i="1"/>
  <c r="AM278" i="1"/>
  <c r="AM171" i="1"/>
  <c r="AM22" i="1"/>
  <c r="AM45" i="1"/>
  <c r="AM48" i="1"/>
  <c r="AE279" i="1"/>
  <c r="AE278" i="1"/>
  <c r="AE171" i="1"/>
  <c r="AE45" i="1"/>
  <c r="AL374" i="1"/>
  <c r="AI279" i="1"/>
  <c r="AI278" i="1"/>
  <c r="AI171" i="1"/>
  <c r="AI45" i="1"/>
  <c r="AI48" i="1"/>
  <c r="AO278" i="1"/>
  <c r="AO171" i="1"/>
  <c r="AP378" i="1"/>
  <c r="AN22" i="1"/>
  <c r="AN374" i="1"/>
  <c r="AK171" i="1"/>
  <c r="AK48" i="1"/>
  <c r="AK45" i="1"/>
  <c r="F25" i="1"/>
  <c r="I29" i="1"/>
  <c r="H32" i="1"/>
  <c r="K33" i="1"/>
  <c r="H39" i="1"/>
  <c r="F42" i="1"/>
  <c r="F45" i="1"/>
  <c r="AF42" i="1"/>
  <c r="Q43" i="1"/>
  <c r="Y43" i="1"/>
  <c r="AE44" i="1"/>
  <c r="AM44" i="1"/>
  <c r="V47" i="1"/>
  <c r="AB51" i="1"/>
  <c r="AE77" i="1"/>
  <c r="H11" i="1"/>
  <c r="P45" i="1"/>
  <c r="P55" i="1"/>
  <c r="AN287" i="1"/>
  <c r="AN295" i="1"/>
  <c r="AN170" i="1"/>
  <c r="AN104" i="1"/>
  <c r="AN105" i="1" s="1"/>
  <c r="AN106" i="1" s="1"/>
  <c r="AO325" i="1"/>
  <c r="AO326" i="1" s="1"/>
  <c r="AO280" i="1"/>
  <c r="J29" i="1"/>
  <c r="H31" i="1"/>
  <c r="K39" i="1"/>
  <c r="G42" i="1"/>
  <c r="F101" i="1"/>
  <c r="F102" i="1" s="1"/>
  <c r="F91" i="1"/>
  <c r="R43" i="1"/>
  <c r="Z43" i="1"/>
  <c r="R44" i="1"/>
  <c r="Z44" i="1"/>
  <c r="Z47" i="1"/>
  <c r="AB48" i="1"/>
  <c r="P51" i="1"/>
  <c r="X45" i="1"/>
  <c r="X55" i="1"/>
  <c r="AJ287" i="1"/>
  <c r="AJ295" i="1"/>
  <c r="AJ170" i="1"/>
  <c r="AJ104" i="1"/>
  <c r="AJ105" i="1" s="1"/>
  <c r="AJ106" i="1" s="1"/>
  <c r="H19" i="1"/>
  <c r="AF278" i="1"/>
  <c r="AF171" i="1"/>
  <c r="AF45" i="1"/>
  <c r="AH325" i="1"/>
  <c r="AH326" i="1" s="1"/>
  <c r="AH280" i="1"/>
  <c r="AH51" i="1"/>
  <c r="K32" i="1"/>
  <c r="C39" i="1"/>
  <c r="P4" i="1"/>
  <c r="D12" i="1"/>
  <c r="I11" i="1"/>
  <c r="H12" i="1"/>
  <c r="H44" i="1" s="1"/>
  <c r="K13" i="1"/>
  <c r="P43" i="1"/>
  <c r="T43" i="1"/>
  <c r="X43" i="1"/>
  <c r="AB43" i="1"/>
  <c r="AL68" i="1"/>
  <c r="AL82" i="1" s="1"/>
  <c r="U14" i="1"/>
  <c r="AC14" i="1"/>
  <c r="AG295" i="1"/>
  <c r="AG287" i="1"/>
  <c r="AG170" i="1"/>
  <c r="AK295" i="1"/>
  <c r="AK287" i="1"/>
  <c r="AK170" i="1"/>
  <c r="AK104" i="1"/>
  <c r="AK105" i="1" s="1"/>
  <c r="AK106" i="1" s="1"/>
  <c r="I19" i="1"/>
  <c r="I23" i="1"/>
  <c r="H24" i="1"/>
  <c r="Q49" i="1"/>
  <c r="Q46" i="1"/>
  <c r="U49" i="1"/>
  <c r="U46" i="1"/>
  <c r="U101" i="1" s="1"/>
  <c r="U102" i="1" s="1"/>
  <c r="Y49" i="1"/>
  <c r="Y46" i="1"/>
  <c r="AC49" i="1"/>
  <c r="AC46" i="1"/>
  <c r="P47" i="1"/>
  <c r="T47" i="1"/>
  <c r="X47" i="1"/>
  <c r="AB47" i="1"/>
  <c r="AG278" i="1"/>
  <c r="AG171" i="1"/>
  <c r="AG22" i="1"/>
  <c r="AG48" i="1"/>
  <c r="AG45" i="1"/>
  <c r="AO374" i="1"/>
  <c r="AL278" i="1"/>
  <c r="AL279" i="1"/>
  <c r="AL171" i="1"/>
  <c r="AL48" i="1"/>
  <c r="AP300" i="1"/>
  <c r="AP246" i="1"/>
  <c r="G325" i="1"/>
  <c r="G326" i="1" s="1"/>
  <c r="G280" i="1"/>
  <c r="AI325" i="1"/>
  <c r="AI326" i="1" s="1"/>
  <c r="AI280" i="1"/>
  <c r="AI51" i="1"/>
  <c r="K29" i="1"/>
  <c r="I31" i="1"/>
  <c r="AM163" i="1"/>
  <c r="D39" i="1"/>
  <c r="G101" i="1"/>
  <c r="G91" i="1"/>
  <c r="F48" i="1"/>
  <c r="T42" i="1"/>
  <c r="AB42" i="1"/>
  <c r="AJ42" i="1"/>
  <c r="AD47" i="1"/>
  <c r="AL47" i="1"/>
  <c r="P48" i="1"/>
  <c r="AF48" i="1"/>
  <c r="AZ52" i="1"/>
  <c r="D59" i="1"/>
  <c r="E62" i="1"/>
  <c r="AH76" i="1"/>
  <c r="AG76" i="1"/>
  <c r="H6" i="1"/>
  <c r="C12" i="1"/>
  <c r="J13" i="1"/>
  <c r="G170" i="1"/>
  <c r="G104" i="1"/>
  <c r="G105" i="1" s="1"/>
  <c r="G106" i="1" s="1"/>
  <c r="T45" i="1"/>
  <c r="T55" i="1"/>
  <c r="AF287" i="1"/>
  <c r="AF295" i="1"/>
  <c r="AF170" i="1"/>
  <c r="AM374" i="1"/>
  <c r="AJ278" i="1"/>
  <c r="AJ171" i="1"/>
  <c r="AJ45" i="1"/>
  <c r="AK211" i="1"/>
  <c r="AK300" i="1" s="1"/>
  <c r="AK52" i="1"/>
  <c r="AO25" i="1"/>
  <c r="C11" i="1"/>
  <c r="H13" i="1"/>
  <c r="AO63" i="1"/>
  <c r="AO49" i="1"/>
  <c r="AO46" i="1"/>
  <c r="V14" i="1"/>
  <c r="AD14" i="1"/>
  <c r="AH329" i="1"/>
  <c r="AH287" i="1"/>
  <c r="AH295" i="1"/>
  <c r="AH170" i="1"/>
  <c r="AH104" i="1"/>
  <c r="AH105" i="1" s="1"/>
  <c r="AH106" i="1" s="1"/>
  <c r="AH42" i="1"/>
  <c r="AL287" i="1"/>
  <c r="AL295" i="1"/>
  <c r="AL170" i="1"/>
  <c r="AL104" i="1"/>
  <c r="AL105" i="1" s="1"/>
  <c r="AL106" i="1" s="1"/>
  <c r="AL42" i="1"/>
  <c r="H17" i="1"/>
  <c r="J19" i="1"/>
  <c r="H21" i="1"/>
  <c r="R49" i="1"/>
  <c r="V49" i="1"/>
  <c r="Z49" i="1"/>
  <c r="AD49" i="1"/>
  <c r="AE49" i="1"/>
  <c r="Q50" i="1"/>
  <c r="Q47" i="1"/>
  <c r="U50" i="1"/>
  <c r="U47" i="1"/>
  <c r="Y50" i="1"/>
  <c r="Y47" i="1"/>
  <c r="AC50" i="1"/>
  <c r="AC47" i="1"/>
  <c r="AN279" i="1"/>
  <c r="AN278" i="1"/>
  <c r="AN171" i="1"/>
  <c r="AN45" i="1"/>
  <c r="AE325" i="1"/>
  <c r="AE326" i="1" s="1"/>
  <c r="AE280" i="1"/>
  <c r="AE51" i="1"/>
  <c r="AL325" i="1"/>
  <c r="AL326" i="1" s="1"/>
  <c r="AL280" i="1"/>
  <c r="AL51" i="1"/>
  <c r="AL25" i="1"/>
  <c r="AL27" i="1" s="1"/>
  <c r="I30" i="1"/>
  <c r="J33" i="1"/>
  <c r="AI163" i="1"/>
  <c r="AK29" i="1"/>
  <c r="G39" i="1"/>
  <c r="G48" i="1"/>
  <c r="G51" i="1"/>
  <c r="AK42" i="1"/>
  <c r="AD43" i="1"/>
  <c r="AL44" i="1"/>
  <c r="AD46" i="1"/>
  <c r="AH101" i="1"/>
  <c r="AH102" i="1" s="1"/>
  <c r="AH91" i="1"/>
  <c r="AL101" i="1"/>
  <c r="AL91" i="1"/>
  <c r="R47" i="1"/>
  <c r="T48" i="1"/>
  <c r="AJ48" i="1"/>
  <c r="X51" i="1"/>
  <c r="E60" i="1"/>
  <c r="Q101" i="1"/>
  <c r="Q102" i="1" s="1"/>
  <c r="Q100" i="1"/>
  <c r="Q91" i="1"/>
  <c r="Q104" i="1"/>
  <c r="Q105" i="1" s="1"/>
  <c r="Q106" i="1" s="1"/>
  <c r="Q89" i="1"/>
  <c r="Q63" i="1"/>
  <c r="Q77" i="1" s="1"/>
  <c r="Q73" i="1"/>
  <c r="U100" i="1"/>
  <c r="U104" i="1"/>
  <c r="U105" i="1" s="1"/>
  <c r="U106" i="1" s="1"/>
  <c r="U73" i="1"/>
  <c r="Y101" i="1"/>
  <c r="Y102" i="1" s="1"/>
  <c r="Y100" i="1"/>
  <c r="Y104" i="1"/>
  <c r="Y105" i="1" s="1"/>
  <c r="Y106" i="1" s="1"/>
  <c r="Y73" i="1"/>
  <c r="Y89" i="1"/>
  <c r="Y63" i="1"/>
  <c r="AC101" i="1"/>
  <c r="AC102" i="1" s="1"/>
  <c r="AC100" i="1"/>
  <c r="AC91" i="1"/>
  <c r="AC104" i="1"/>
  <c r="AC105" i="1" s="1"/>
  <c r="AC106" i="1" s="1"/>
  <c r="AC63" i="1"/>
  <c r="AC77" i="1" s="1"/>
  <c r="AC73" i="1"/>
  <c r="AC89" i="1"/>
  <c r="AG101" i="1"/>
  <c r="AG100" i="1"/>
  <c r="AG91" i="1"/>
  <c r="AG104" i="1"/>
  <c r="AG105" i="1" s="1"/>
  <c r="AG106" i="1" s="1"/>
  <c r="AH73" i="1"/>
  <c r="AG89" i="1"/>
  <c r="AG73" i="1"/>
  <c r="AH74" i="1"/>
  <c r="AG74" i="1"/>
  <c r="R80" i="1"/>
  <c r="AG163" i="1"/>
  <c r="AK101" i="1"/>
  <c r="AK91" i="1"/>
  <c r="AM50" i="1"/>
  <c r="C59" i="1"/>
  <c r="P104" i="1"/>
  <c r="P105" i="1" s="1"/>
  <c r="P106" i="1" s="1"/>
  <c r="P101" i="1"/>
  <c r="P102" i="1" s="1"/>
  <c r="P100" i="1"/>
  <c r="P89" i="1"/>
  <c r="T104" i="1"/>
  <c r="T105" i="1" s="1"/>
  <c r="T106" i="1" s="1"/>
  <c r="T101" i="1"/>
  <c r="T102" i="1" s="1"/>
  <c r="T100" i="1"/>
  <c r="T89" i="1"/>
  <c r="T90" i="1" s="1"/>
  <c r="X104" i="1"/>
  <c r="X105" i="1" s="1"/>
  <c r="X106" i="1" s="1"/>
  <c r="X101" i="1"/>
  <c r="X102" i="1" s="1"/>
  <c r="X100" i="1"/>
  <c r="X89" i="1"/>
  <c r="AB104" i="1"/>
  <c r="AB105" i="1" s="1"/>
  <c r="AB106" i="1" s="1"/>
  <c r="AB101" i="1"/>
  <c r="AB102" i="1" s="1"/>
  <c r="AB100" i="1"/>
  <c r="AB89" i="1"/>
  <c r="AF104" i="1"/>
  <c r="AF105" i="1" s="1"/>
  <c r="AF106" i="1" s="1"/>
  <c r="AF101" i="1"/>
  <c r="AF102" i="1" s="1"/>
  <c r="AF100" i="1"/>
  <c r="AF89" i="1"/>
  <c r="AF90" i="1" s="1"/>
  <c r="P74" i="1"/>
  <c r="T74" i="1"/>
  <c r="X74" i="1"/>
  <c r="AB74" i="1"/>
  <c r="AF74" i="1"/>
  <c r="AR75" i="1"/>
  <c r="C62" i="1"/>
  <c r="P76" i="1"/>
  <c r="T76" i="1"/>
  <c r="X76" i="1"/>
  <c r="AB76" i="1"/>
  <c r="AF76" i="1"/>
  <c r="AR76" i="1"/>
  <c r="T63" i="1"/>
  <c r="U77" i="1" s="1"/>
  <c r="AH77" i="1"/>
  <c r="AL77" i="1"/>
  <c r="Q66" i="1"/>
  <c r="Q80" i="1" s="1"/>
  <c r="V66" i="1"/>
  <c r="V80" i="1" s="1"/>
  <c r="AB66" i="1"/>
  <c r="AB80" i="1" s="1"/>
  <c r="AG67" i="1"/>
  <c r="Q69" i="1"/>
  <c r="Q83" i="1" s="1"/>
  <c r="V69" i="1"/>
  <c r="AN83" i="1"/>
  <c r="AN68" i="1"/>
  <c r="AN82" i="1" s="1"/>
  <c r="P73" i="1"/>
  <c r="AF73" i="1"/>
  <c r="Z79" i="1"/>
  <c r="AH79" i="1"/>
  <c r="AK90" i="1"/>
  <c r="T91" i="1"/>
  <c r="AJ91" i="1"/>
  <c r="AL117" i="1"/>
  <c r="AU124" i="1"/>
  <c r="AV124" i="1" s="1"/>
  <c r="AW124" i="1" s="1"/>
  <c r="AX124" i="1" s="1"/>
  <c r="AY124" i="1" s="1"/>
  <c r="AZ124" i="1" s="1"/>
  <c r="BA124" i="1" s="1"/>
  <c r="AT125" i="1"/>
  <c r="AC66" i="1"/>
  <c r="AO148" i="1"/>
  <c r="AO146" i="1" s="1"/>
  <c r="AO79" i="1"/>
  <c r="R69" i="1"/>
  <c r="R83" i="1" s="1"/>
  <c r="X69" i="1"/>
  <c r="AC69" i="1"/>
  <c r="AK69" i="1"/>
  <c r="AK83" i="1" s="1"/>
  <c r="G109" i="1"/>
  <c r="G89" i="1"/>
  <c r="G90" i="1" s="1"/>
  <c r="H90" i="1"/>
  <c r="AH89" i="1"/>
  <c r="AH109" i="1"/>
  <c r="AL109" i="1"/>
  <c r="I109" i="1" s="1"/>
  <c r="AL89" i="1"/>
  <c r="AL90" i="1" s="1"/>
  <c r="AN91" i="1"/>
  <c r="C96" i="1"/>
  <c r="Q97" i="1"/>
  <c r="Q88" i="1"/>
  <c r="U97" i="1"/>
  <c r="U88" i="1"/>
  <c r="U91" i="1" s="1"/>
  <c r="Y97" i="1"/>
  <c r="Y88" i="1"/>
  <c r="Y91" i="1" s="1"/>
  <c r="AC97" i="1"/>
  <c r="AC88" i="1"/>
  <c r="AN117" i="1"/>
  <c r="AF164" i="1"/>
  <c r="AF167" i="1" s="1"/>
  <c r="AF26" i="1" s="1"/>
  <c r="AF54" i="1" s="1"/>
  <c r="AI101" i="1"/>
  <c r="AI102" i="1" s="1"/>
  <c r="AI91" i="1"/>
  <c r="AM101" i="1"/>
  <c r="AM102" i="1" s="1"/>
  <c r="AM91" i="1"/>
  <c r="N101" i="1"/>
  <c r="N100" i="1"/>
  <c r="N91" i="1"/>
  <c r="N89" i="1"/>
  <c r="N104" i="1"/>
  <c r="N105" i="1" s="1"/>
  <c r="N106" i="1" s="1"/>
  <c r="N73" i="1"/>
  <c r="R101" i="1"/>
  <c r="R100" i="1"/>
  <c r="R91" i="1"/>
  <c r="R89" i="1"/>
  <c r="R104" i="1"/>
  <c r="R105" i="1" s="1"/>
  <c r="R106" i="1" s="1"/>
  <c r="R73" i="1"/>
  <c r="V101" i="1"/>
  <c r="V100" i="1"/>
  <c r="V91" i="1"/>
  <c r="V89" i="1"/>
  <c r="V104" i="1"/>
  <c r="V105" i="1" s="1"/>
  <c r="V106" i="1" s="1"/>
  <c r="V73" i="1"/>
  <c r="Z101" i="1"/>
  <c r="Z100" i="1"/>
  <c r="Z91" i="1"/>
  <c r="Z89" i="1"/>
  <c r="Z104" i="1"/>
  <c r="Z105" i="1" s="1"/>
  <c r="Z106" i="1" s="1"/>
  <c r="Z73" i="1"/>
  <c r="AD101" i="1"/>
  <c r="AD100" i="1"/>
  <c r="AD91" i="1"/>
  <c r="AD89" i="1"/>
  <c r="AD104" i="1"/>
  <c r="AD105" i="1" s="1"/>
  <c r="AD106" i="1" s="1"/>
  <c r="AD73" i="1"/>
  <c r="R74" i="1"/>
  <c r="V74" i="1"/>
  <c r="Z74" i="1"/>
  <c r="AD74" i="1"/>
  <c r="AO101" i="1"/>
  <c r="AO100" i="1"/>
  <c r="AO91" i="1"/>
  <c r="AO110" i="1"/>
  <c r="R76" i="1"/>
  <c r="V76" i="1"/>
  <c r="Z76" i="1"/>
  <c r="AD76" i="1"/>
  <c r="AT76" i="1"/>
  <c r="V63" i="1"/>
  <c r="V77" i="1" s="1"/>
  <c r="N66" i="1"/>
  <c r="Y66" i="1"/>
  <c r="Y80" i="1" s="1"/>
  <c r="H83" i="1"/>
  <c r="AD69" i="1"/>
  <c r="AD83" i="1" s="1"/>
  <c r="S73" i="1"/>
  <c r="O76" i="1"/>
  <c r="W76" i="1"/>
  <c r="AE76" i="1"/>
  <c r="AK76" i="1"/>
  <c r="AO89" i="1"/>
  <c r="AB91" i="1"/>
  <c r="AY151" i="1"/>
  <c r="AZ151" i="1" s="1"/>
  <c r="BA151" i="1" s="1"/>
  <c r="AX154" i="1"/>
  <c r="AU172" i="1"/>
  <c r="AV172" i="1" s="1"/>
  <c r="AW172" i="1" s="1"/>
  <c r="AX172" i="1" s="1"/>
  <c r="AY172" i="1" s="1"/>
  <c r="AZ172" i="1" s="1"/>
  <c r="BA172" i="1" s="1"/>
  <c r="G278" i="1"/>
  <c r="G171" i="1"/>
  <c r="AK374" i="1"/>
  <c r="AH278" i="1"/>
  <c r="AH279" i="1"/>
  <c r="AH171" i="1"/>
  <c r="AL378" i="1"/>
  <c r="AK23" i="1"/>
  <c r="AK25" i="1" s="1"/>
  <c r="AJ163" i="1"/>
  <c r="AN163" i="1"/>
  <c r="AN164" i="1" s="1"/>
  <c r="AN167" i="1" s="1"/>
  <c r="AN26" i="1" s="1"/>
  <c r="AJ102" i="1"/>
  <c r="AN102" i="1"/>
  <c r="AH48" i="1"/>
  <c r="C60" i="1"/>
  <c r="O104" i="1"/>
  <c r="O105" i="1" s="1"/>
  <c r="O106" i="1" s="1"/>
  <c r="O100" i="1"/>
  <c r="O63" i="1"/>
  <c r="O77" i="1" s="1"/>
  <c r="S89" i="1"/>
  <c r="S90" i="1" s="1"/>
  <c r="S104" i="1"/>
  <c r="S105" i="1" s="1"/>
  <c r="S106" i="1" s="1"/>
  <c r="S100" i="1"/>
  <c r="S63" i="1"/>
  <c r="S77" i="1" s="1"/>
  <c r="W104" i="1"/>
  <c r="W105" i="1" s="1"/>
  <c r="W106" i="1" s="1"/>
  <c r="W100" i="1"/>
  <c r="W63" i="1"/>
  <c r="W77" i="1" s="1"/>
  <c r="AA104" i="1"/>
  <c r="AA105" i="1" s="1"/>
  <c r="AA106" i="1" s="1"/>
  <c r="AA100" i="1"/>
  <c r="AA63" i="1"/>
  <c r="AA77" i="1" s="1"/>
  <c r="AE89" i="1"/>
  <c r="AE104" i="1"/>
  <c r="AE105" i="1" s="1"/>
  <c r="AE106" i="1" s="1"/>
  <c r="AE101" i="1"/>
  <c r="AE102" i="1" s="1"/>
  <c r="AE100" i="1"/>
  <c r="AE91" i="1"/>
  <c r="AP116" i="1"/>
  <c r="AQ116" i="1" s="1"/>
  <c r="AR116" i="1" s="1"/>
  <c r="AS116" i="1" s="1"/>
  <c r="AT116" i="1" s="1"/>
  <c r="AU116" i="1" s="1"/>
  <c r="AV116" i="1" s="1"/>
  <c r="AW116" i="1" s="1"/>
  <c r="AX116" i="1" s="1"/>
  <c r="AY116" i="1" s="1"/>
  <c r="AZ116" i="1" s="1"/>
  <c r="BA116" i="1" s="1"/>
  <c r="AO117" i="1"/>
  <c r="AL136" i="1"/>
  <c r="AL137" i="1" s="1"/>
  <c r="AL76" i="1"/>
  <c r="R63" i="1"/>
  <c r="X63" i="1"/>
  <c r="X77" i="1" s="1"/>
  <c r="O79" i="1"/>
  <c r="S79" i="1"/>
  <c r="W79" i="1"/>
  <c r="AA79" i="1"/>
  <c r="AE79" i="1"/>
  <c r="U66" i="1"/>
  <c r="U80" i="1" s="1"/>
  <c r="Z66" i="1"/>
  <c r="Z69" i="1" s="1"/>
  <c r="AE80" i="1"/>
  <c r="O81" i="1"/>
  <c r="S81" i="1"/>
  <c r="W81" i="1"/>
  <c r="AA81" i="1"/>
  <c r="AP157" i="1"/>
  <c r="AQ157" i="1" s="1"/>
  <c r="AR157" i="1" s="1"/>
  <c r="AS157" i="1" s="1"/>
  <c r="AT157" i="1" s="1"/>
  <c r="AU157" i="1" s="1"/>
  <c r="AV157" i="1" s="1"/>
  <c r="AW157" i="1" s="1"/>
  <c r="AX157" i="1" s="1"/>
  <c r="AY157" i="1" s="1"/>
  <c r="AZ157" i="1" s="1"/>
  <c r="BA157" i="1" s="1"/>
  <c r="AO158" i="1"/>
  <c r="AM82" i="1"/>
  <c r="U69" i="1"/>
  <c r="U83" i="1" s="1"/>
  <c r="AE83" i="1"/>
  <c r="AI83" i="1"/>
  <c r="AM83" i="1"/>
  <c r="O73" i="1"/>
  <c r="T73" i="1"/>
  <c r="AE73" i="1"/>
  <c r="AM76" i="1"/>
  <c r="AM77" i="1"/>
  <c r="AH80" i="1"/>
  <c r="AI90" i="1"/>
  <c r="P91" i="1"/>
  <c r="AF91" i="1"/>
  <c r="AO109" i="1"/>
  <c r="AJ117" i="1"/>
  <c r="AR121" i="1"/>
  <c r="AS119" i="1"/>
  <c r="J119" i="1" s="1"/>
  <c r="AW136" i="1"/>
  <c r="AV62" i="1"/>
  <c r="AV76" i="1" s="1"/>
  <c r="O66" i="1"/>
  <c r="S66" i="1"/>
  <c r="S80" i="1" s="1"/>
  <c r="W66" i="1"/>
  <c r="W80" i="1" s="1"/>
  <c r="AA66" i="1"/>
  <c r="AE67" i="1"/>
  <c r="O69" i="1"/>
  <c r="S69" i="1"/>
  <c r="S83" i="1" s="1"/>
  <c r="AA69" i="1"/>
  <c r="AO80" i="1"/>
  <c r="AO88" i="1"/>
  <c r="AJ89" i="1"/>
  <c r="AJ90" i="1" s="1"/>
  <c r="AN89" i="1"/>
  <c r="AN90" i="1" s="1"/>
  <c r="AR94" i="1"/>
  <c r="AR97" i="1" s="1"/>
  <c r="AQ113" i="1"/>
  <c r="AP114" i="1"/>
  <c r="AQ114" i="1" s="1"/>
  <c r="AR114" i="1" s="1"/>
  <c r="AS114" i="1" s="1"/>
  <c r="AT114" i="1" s="1"/>
  <c r="AM119" i="1"/>
  <c r="AS126" i="1"/>
  <c r="AJ129" i="1"/>
  <c r="AN129" i="1"/>
  <c r="AO129" i="1"/>
  <c r="AM137" i="1"/>
  <c r="AO144" i="1"/>
  <c r="AP144" i="1" s="1"/>
  <c r="AO154" i="1"/>
  <c r="AE164" i="1"/>
  <c r="AE167" i="1" s="1"/>
  <c r="AE26" i="1" s="1"/>
  <c r="AE54" i="1" s="1"/>
  <c r="AI164" i="1"/>
  <c r="AI167" i="1" s="1"/>
  <c r="AI26" i="1" s="1"/>
  <c r="AE147" i="1"/>
  <c r="AR152" i="1"/>
  <c r="AQ154" i="1"/>
  <c r="AQ155" i="1"/>
  <c r="AP153" i="1"/>
  <c r="AK162" i="1"/>
  <c r="AJ164" i="1"/>
  <c r="AJ167" i="1" s="1"/>
  <c r="AJ26" i="1" s="1"/>
  <c r="AO164" i="1"/>
  <c r="AO167" i="1" s="1"/>
  <c r="AO26" i="1" s="1"/>
  <c r="AL187" i="1"/>
  <c r="AN76" i="1"/>
  <c r="AM199" i="1"/>
  <c r="AM202" i="1" s="1"/>
  <c r="AQ87" i="1"/>
  <c r="O88" i="1"/>
  <c r="O89" i="1" s="1"/>
  <c r="O90" i="1" s="1"/>
  <c r="S88" i="1"/>
  <c r="W88" i="1"/>
  <c r="W89" i="1" s="1"/>
  <c r="W90" i="1" s="1"/>
  <c r="AA88" i="1"/>
  <c r="AA89" i="1" s="1"/>
  <c r="AA90" i="1" s="1"/>
  <c r="AO188" i="1"/>
  <c r="AN124" i="1"/>
  <c r="AT132" i="1"/>
  <c r="AO189" i="1"/>
  <c r="AO143" i="1"/>
  <c r="AP141" i="1"/>
  <c r="AN147" i="1"/>
  <c r="AK146" i="1"/>
  <c r="AK147" i="1" s="1"/>
  <c r="AP154" i="1"/>
  <c r="AK158" i="1"/>
  <c r="AG164" i="1"/>
  <c r="AG167" i="1" s="1"/>
  <c r="AG26" i="1" s="1"/>
  <c r="AL164" i="1"/>
  <c r="AL167" i="1" s="1"/>
  <c r="AL26" i="1" s="1"/>
  <c r="AP188" i="1"/>
  <c r="U147" i="1"/>
  <c r="T147" i="1"/>
  <c r="Y147" i="1"/>
  <c r="X147" i="1"/>
  <c r="AC147" i="1"/>
  <c r="AB147" i="1"/>
  <c r="AG147" i="1"/>
  <c r="AF147" i="1"/>
  <c r="W147" i="1"/>
  <c r="AH164" i="1"/>
  <c r="AH167" i="1" s="1"/>
  <c r="AH26" i="1" s="1"/>
  <c r="AM164" i="1"/>
  <c r="AM167" i="1" s="1"/>
  <c r="AM26" i="1" s="1"/>
  <c r="AD167" i="1"/>
  <c r="AN187" i="1"/>
  <c r="AR182" i="1"/>
  <c r="BA152" i="1"/>
  <c r="BA154" i="1" s="1"/>
  <c r="AP186" i="1"/>
  <c r="AP201" i="1" s="1"/>
  <c r="AP189" i="1"/>
  <c r="AG308" i="1"/>
  <c r="AG307" i="1"/>
  <c r="AG302" i="1"/>
  <c r="AD222" i="1"/>
  <c r="AD234" i="1" s="1"/>
  <c r="AE220" i="1"/>
  <c r="AI234" i="1"/>
  <c r="AI235" i="1" s="1"/>
  <c r="AJ225" i="1"/>
  <c r="AI285" i="1"/>
  <c r="AH271" i="1"/>
  <c r="AL186" i="1"/>
  <c r="AL201" i="1" s="1"/>
  <c r="AL204" i="1" s="1"/>
  <c r="AJ217" i="1"/>
  <c r="AN220" i="1"/>
  <c r="AK220" i="1"/>
  <c r="AM234" i="1"/>
  <c r="AM235" i="1" s="1"/>
  <c r="AO226" i="1"/>
  <c r="AN418" i="1"/>
  <c r="AO230" i="1"/>
  <c r="AO418" i="1" s="1"/>
  <c r="AN285" i="1"/>
  <c r="AM187" i="1"/>
  <c r="AM186" i="1"/>
  <c r="AM201" i="1" s="1"/>
  <c r="AQ187" i="1"/>
  <c r="AN186" i="1"/>
  <c r="AN201" i="1" s="1"/>
  <c r="AN204" i="1" s="1"/>
  <c r="AE302" i="1"/>
  <c r="AE308" i="1"/>
  <c r="AE307" i="1"/>
  <c r="AE306" i="1"/>
  <c r="AI302" i="1"/>
  <c r="AI308" i="1"/>
  <c r="AM300" i="1"/>
  <c r="AM281" i="1"/>
  <c r="AN301" i="1"/>
  <c r="AN281" i="1"/>
  <c r="AO221" i="1"/>
  <c r="AE301" i="1"/>
  <c r="AE281" i="1"/>
  <c r="AF221" i="1"/>
  <c r="AF279" i="1" s="1"/>
  <c r="AI301" i="1"/>
  <c r="AI281" i="1"/>
  <c r="AJ221" i="1"/>
  <c r="AM222" i="1"/>
  <c r="AI246" i="1"/>
  <c r="AR260" i="1"/>
  <c r="AN308" i="1"/>
  <c r="AN307" i="1"/>
  <c r="AN302" i="1"/>
  <c r="AE418" i="1"/>
  <c r="AF230" i="1"/>
  <c r="AH300" i="1"/>
  <c r="AH281" i="1"/>
  <c r="AL300" i="1"/>
  <c r="AL281" i="1"/>
  <c r="AO308" i="1"/>
  <c r="AO307" i="1"/>
  <c r="AO375" i="1"/>
  <c r="AM301" i="1"/>
  <c r="AF225" i="1"/>
  <c r="AR242" i="1"/>
  <c r="AJ286" i="1"/>
  <c r="AI245" i="1"/>
  <c r="AM306" i="1"/>
  <c r="AF323" i="1"/>
  <c r="AG329" i="1" s="1"/>
  <c r="AK323" i="1"/>
  <c r="AK335" i="1" s="1"/>
  <c r="AK337" i="1" s="1"/>
  <c r="AK341" i="1" s="1"/>
  <c r="AG250" i="1"/>
  <c r="AK250" i="1"/>
  <c r="AF296" i="1"/>
  <c r="AJ323" i="1"/>
  <c r="AK329" i="1" s="1"/>
  <c r="AJ296" i="1"/>
  <c r="AN296" i="1"/>
  <c r="AN256" i="1"/>
  <c r="AN264" i="1" s="1"/>
  <c r="AN265" i="1" s="1"/>
  <c r="AF256" i="1"/>
  <c r="AF264" i="1" s="1"/>
  <c r="AF265" i="1" s="1"/>
  <c r="AE320" i="1"/>
  <c r="AE324" i="1"/>
  <c r="AE319" i="1"/>
  <c r="AE268" i="1"/>
  <c r="AE271" i="1" s="1"/>
  <c r="AI319" i="1"/>
  <c r="AI324" i="1"/>
  <c r="AI320" i="1"/>
  <c r="AI273" i="1"/>
  <c r="AI268" i="1"/>
  <c r="AI264" i="1"/>
  <c r="AI265" i="1" s="1"/>
  <c r="AM339" i="1"/>
  <c r="AM324" i="1"/>
  <c r="AM319" i="1"/>
  <c r="AM320" i="1"/>
  <c r="AF324" i="1"/>
  <c r="AF320" i="1"/>
  <c r="AF319" i="1"/>
  <c r="AF268" i="1"/>
  <c r="AF271" i="1" s="1"/>
  <c r="AI271" i="1"/>
  <c r="AO271" i="1"/>
  <c r="AD270" i="1"/>
  <c r="AH275" i="1"/>
  <c r="AI284" i="1"/>
  <c r="AX297" i="1"/>
  <c r="AG286" i="1"/>
  <c r="AG284" i="1"/>
  <c r="AK286" i="1"/>
  <c r="AK285" i="1"/>
  <c r="AK284" i="1"/>
  <c r="AO285" i="1"/>
  <c r="AO284" i="1"/>
  <c r="AN306" i="1"/>
  <c r="AL250" i="1"/>
  <c r="AG296" i="1"/>
  <c r="AK296" i="1"/>
  <c r="AG256" i="1"/>
  <c r="AG285" i="1" s="1"/>
  <c r="AJ324" i="1"/>
  <c r="AJ320" i="1"/>
  <c r="AJ319" i="1"/>
  <c r="AJ273" i="1"/>
  <c r="AK271" i="1"/>
  <c r="AH272" i="1"/>
  <c r="AF308" i="1"/>
  <c r="AF307" i="1"/>
  <c r="AF306" i="1"/>
  <c r="AF302" i="1"/>
  <c r="AJ308" i="1"/>
  <c r="AJ302" i="1"/>
  <c r="AD286" i="1"/>
  <c r="AD285" i="1"/>
  <c r="AD284" i="1"/>
  <c r="AH286" i="1"/>
  <c r="AH284" i="1"/>
  <c r="AG306" i="1"/>
  <c r="AK306" i="1"/>
  <c r="AO306" i="1"/>
  <c r="AD323" i="1"/>
  <c r="AE329" i="1" s="1"/>
  <c r="AO323" i="1"/>
  <c r="AO335" i="1" s="1"/>
  <c r="AO337" i="1" s="1"/>
  <c r="AM323" i="1"/>
  <c r="AM335" i="1" s="1"/>
  <c r="AM337" i="1" s="1"/>
  <c r="AM341" i="1" s="1"/>
  <c r="AM355" i="1" s="1"/>
  <c r="AE250" i="1"/>
  <c r="AI250" i="1"/>
  <c r="AM250" i="1"/>
  <c r="AH296" i="1"/>
  <c r="AL296" i="1"/>
  <c r="AH256" i="1"/>
  <c r="AH285" i="1" s="1"/>
  <c r="AO256" i="1"/>
  <c r="AO286" i="1" s="1"/>
  <c r="AG324" i="1"/>
  <c r="AG319" i="1"/>
  <c r="AG320" i="1"/>
  <c r="AG264" i="1"/>
  <c r="AG268" i="1"/>
  <c r="AG271" i="1" s="1"/>
  <c r="AK320" i="1"/>
  <c r="AK339" i="1"/>
  <c r="AK324" i="1"/>
  <c r="AK264" i="1"/>
  <c r="AK319" i="1"/>
  <c r="AK268" i="1"/>
  <c r="AO320" i="1"/>
  <c r="AO339" i="1"/>
  <c r="AO324" i="1"/>
  <c r="AO319" i="1"/>
  <c r="AO264" i="1"/>
  <c r="AO265" i="1" s="1"/>
  <c r="AO273" i="1"/>
  <c r="AO268" i="1"/>
  <c r="AN339" i="1"/>
  <c r="AN341" i="1" s="1"/>
  <c r="AN355" i="1" s="1"/>
  <c r="AN324" i="1"/>
  <c r="AN319" i="1"/>
  <c r="AN320" i="1"/>
  <c r="AN268" i="1"/>
  <c r="AN271" i="1" s="1"/>
  <c r="AH276" i="1"/>
  <c r="AI286" i="1"/>
  <c r="AL306" i="1"/>
  <c r="AH307" i="1"/>
  <c r="AN250" i="1"/>
  <c r="AP255" i="1"/>
  <c r="AJ269" i="1"/>
  <c r="AJ268" i="1"/>
  <c r="AJ256" i="1"/>
  <c r="AJ284" i="1" s="1"/>
  <c r="AE296" i="1"/>
  <c r="AI323" i="1"/>
  <c r="AI329" i="1" s="1"/>
  <c r="AI296" i="1"/>
  <c r="AM296" i="1"/>
  <c r="AE256" i="1"/>
  <c r="AE264" i="1" s="1"/>
  <c r="AE265" i="1" s="1"/>
  <c r="AI256" i="1"/>
  <c r="AD332" i="1"/>
  <c r="AD331" i="1"/>
  <c r="AD320" i="1"/>
  <c r="AD319" i="1"/>
  <c r="AD324" i="1"/>
  <c r="AD264" i="1"/>
  <c r="AD265" i="1" s="1"/>
  <c r="AH320" i="1"/>
  <c r="AH319" i="1"/>
  <c r="AH324" i="1"/>
  <c r="AH264" i="1"/>
  <c r="AH265" i="1" s="1"/>
  <c r="AL339" i="1"/>
  <c r="AL341" i="1" s="1"/>
  <c r="AL320" i="1"/>
  <c r="AL319" i="1"/>
  <c r="AL324" i="1"/>
  <c r="AL304" i="1"/>
  <c r="AG270" i="1"/>
  <c r="AK270" i="1"/>
  <c r="AO270" i="1"/>
  <c r="AE270" i="1"/>
  <c r="AI270" i="1"/>
  <c r="AD302" i="1"/>
  <c r="AR313" i="1"/>
  <c r="AR311" i="1" s="1"/>
  <c r="AQ311" i="1"/>
  <c r="AF270" i="1"/>
  <c r="AN270" i="1"/>
  <c r="AD303" i="1"/>
  <c r="AH303" i="1"/>
  <c r="AL303" i="1"/>
  <c r="AV288" i="1"/>
  <c r="AP350" i="1"/>
  <c r="AQ348" i="1"/>
  <c r="AN359" i="1"/>
  <c r="AM359" i="1"/>
  <c r="AM254" i="1" s="1"/>
  <c r="AO367" i="1"/>
  <c r="AV359" i="1"/>
  <c r="AV254" i="1" s="1"/>
  <c r="AW367" i="1"/>
  <c r="AD330" i="1"/>
  <c r="AD327" i="1"/>
  <c r="AX365" i="1"/>
  <c r="AU359" i="1" s="1"/>
  <c r="AU254" i="1" s="1"/>
  <c r="AY365" i="1"/>
  <c r="AT359" i="1"/>
  <c r="AT254" i="1" s="1"/>
  <c r="AK355" i="1"/>
  <c r="AK360" i="1" s="1"/>
  <c r="AK359" i="1"/>
  <c r="AL359" i="1"/>
  <c r="AL254" i="1" s="1"/>
  <c r="AL353" i="1"/>
  <c r="AL367" i="1"/>
  <c r="AP367" i="1"/>
  <c r="AT367" i="1"/>
  <c r="C404" i="1"/>
  <c r="AP359" i="1"/>
  <c r="AP254" i="1" s="1"/>
  <c r="AQ367" i="1"/>
  <c r="O410" i="1"/>
  <c r="O18" i="1" s="1"/>
  <c r="P50" i="1" s="1"/>
  <c r="O402" i="1"/>
  <c r="O405" i="1" s="1"/>
  <c r="O17" i="1" s="1"/>
  <c r="S410" i="1"/>
  <c r="S18" i="1" s="1"/>
  <c r="S402" i="1"/>
  <c r="S405" i="1" s="1"/>
  <c r="S17" i="1" s="1"/>
  <c r="W410" i="1"/>
  <c r="W18" i="1" s="1"/>
  <c r="X50" i="1" s="1"/>
  <c r="W402" i="1"/>
  <c r="W405" i="1" s="1"/>
  <c r="W17" i="1" s="1"/>
  <c r="AA410" i="1"/>
  <c r="AA18" i="1" s="1"/>
  <c r="AA402" i="1"/>
  <c r="AA405" i="1" s="1"/>
  <c r="AA17" i="1" s="1"/>
  <c r="AR359" i="1"/>
  <c r="AR254" i="1" s="1"/>
  <c r="BA365" i="1"/>
  <c r="AS367" i="1"/>
  <c r="C402" i="1"/>
  <c r="C403" i="1"/>
  <c r="C408" i="1"/>
  <c r="C414" i="1"/>
  <c r="AN360" i="1" l="1"/>
  <c r="AN356" i="1"/>
  <c r="AN357" i="1" s="1"/>
  <c r="AN371" i="1" s="1"/>
  <c r="AH54" i="1"/>
  <c r="AH27" i="1"/>
  <c r="AM360" i="1"/>
  <c r="AM356" i="1"/>
  <c r="AM357" i="1" s="1"/>
  <c r="AM371" i="1" s="1"/>
  <c r="S47" i="1"/>
  <c r="S50" i="1"/>
  <c r="AI276" i="1"/>
  <c r="AI275" i="1"/>
  <c r="AI272" i="1"/>
  <c r="AS242" i="1"/>
  <c r="AH302" i="1"/>
  <c r="AH308" i="1"/>
  <c r="AH306" i="1"/>
  <c r="AD102" i="1"/>
  <c r="AQ350" i="1"/>
  <c r="AR348" i="1"/>
  <c r="AE276" i="1"/>
  <c r="AE275" i="1"/>
  <c r="AE273" i="1"/>
  <c r="AE272" i="1"/>
  <c r="AK265" i="1"/>
  <c r="AY297" i="1"/>
  <c r="AF284" i="1"/>
  <c r="AF418" i="1"/>
  <c r="AG230" i="1"/>
  <c r="AG418" i="1" s="1"/>
  <c r="AI304" i="1"/>
  <c r="AI303" i="1"/>
  <c r="AF220" i="1"/>
  <c r="AE222" i="1"/>
  <c r="AE234" i="1" s="1"/>
  <c r="AE235" i="1" s="1"/>
  <c r="AU132" i="1"/>
  <c r="AT134" i="1"/>
  <c r="AE285" i="1"/>
  <c r="AO341" i="1"/>
  <c r="AO355" i="1" s="1"/>
  <c r="AA46" i="1"/>
  <c r="AA49" i="1"/>
  <c r="S46" i="1"/>
  <c r="S49" i="1"/>
  <c r="AL268" i="1"/>
  <c r="AL269" i="1"/>
  <c r="AL256" i="1"/>
  <c r="AF276" i="1"/>
  <c r="AF275" i="1"/>
  <c r="AF273" i="1"/>
  <c r="AF272" i="1"/>
  <c r="AK276" i="1"/>
  <c r="AK275" i="1"/>
  <c r="AK272" i="1"/>
  <c r="AJ264" i="1"/>
  <c r="AJ265" i="1" s="1"/>
  <c r="AJ271" i="1"/>
  <c r="AJ270" i="1"/>
  <c r="AE286" i="1"/>
  <c r="AK273" i="1"/>
  <c r="AJ285" i="1"/>
  <c r="AF286" i="1"/>
  <c r="AM304" i="1"/>
  <c r="AM303" i="1"/>
  <c r="AJ281" i="1"/>
  <c r="AJ301" i="1"/>
  <c r="AK221" i="1"/>
  <c r="AM375" i="1" s="1"/>
  <c r="AO301" i="1"/>
  <c r="AO281" i="1"/>
  <c r="AO205" i="1"/>
  <c r="AM204" i="1"/>
  <c r="AJ222" i="1"/>
  <c r="AS182" i="1"/>
  <c r="AO376" i="1"/>
  <c r="AL54" i="1"/>
  <c r="AZ154" i="1"/>
  <c r="AO54" i="1"/>
  <c r="AR155" i="1"/>
  <c r="AQ153" i="1"/>
  <c r="AQ66" i="1" s="1"/>
  <c r="AY154" i="1"/>
  <c r="AI54" i="1"/>
  <c r="AQ144" i="1"/>
  <c r="AP142" i="1"/>
  <c r="AQ188" i="1"/>
  <c r="AQ115" i="1"/>
  <c r="AQ60" i="1" s="1"/>
  <c r="AR113" i="1"/>
  <c r="AO187" i="1"/>
  <c r="AO186" i="1"/>
  <c r="AO201" i="1" s="1"/>
  <c r="W69" i="1"/>
  <c r="W83" i="1" s="1"/>
  <c r="AA80" i="1"/>
  <c r="AE90" i="1"/>
  <c r="AK378" i="1"/>
  <c r="AP115" i="1"/>
  <c r="AP60" i="1" s="1"/>
  <c r="AP74" i="1" s="1"/>
  <c r="Z90" i="1"/>
  <c r="R90" i="1"/>
  <c r="AM90" i="1"/>
  <c r="AH90" i="1"/>
  <c r="AT126" i="1"/>
  <c r="AT61" i="1"/>
  <c r="AT75" i="1" s="1"/>
  <c r="T80" i="1"/>
  <c r="AK102" i="1"/>
  <c r="AG102" i="1"/>
  <c r="Y77" i="1"/>
  <c r="U89" i="1"/>
  <c r="U90" i="1" s="1"/>
  <c r="F74" i="1"/>
  <c r="E74" i="1"/>
  <c r="AL102" i="1"/>
  <c r="AL173" i="1"/>
  <c r="AL174" i="1"/>
  <c r="AL175" i="1" s="1"/>
  <c r="AL329" i="1"/>
  <c r="AD329" i="1"/>
  <c r="AD287" i="1"/>
  <c r="AD295" i="1"/>
  <c r="AD296" i="1"/>
  <c r="AD51" i="1"/>
  <c r="AD48" i="1"/>
  <c r="AD42" i="1"/>
  <c r="AD55" i="1"/>
  <c r="AD45" i="1"/>
  <c r="AO27" i="1"/>
  <c r="H23" i="1"/>
  <c r="D73" i="1"/>
  <c r="D18" i="1"/>
  <c r="AC55" i="1"/>
  <c r="AC51" i="1"/>
  <c r="AC48" i="1"/>
  <c r="AC45" i="1"/>
  <c r="AC42" i="1"/>
  <c r="D44" i="1"/>
  <c r="E44" i="1"/>
  <c r="AJ173" i="1"/>
  <c r="AJ329" i="1"/>
  <c r="Z77" i="1"/>
  <c r="H43" i="1"/>
  <c r="H14" i="1"/>
  <c r="AD77" i="1"/>
  <c r="J30" i="1"/>
  <c r="AO279" i="1"/>
  <c r="AE48" i="1"/>
  <c r="K19" i="1"/>
  <c r="AA45" i="1"/>
  <c r="AA51" i="1"/>
  <c r="AA48" i="1"/>
  <c r="AA42" i="1"/>
  <c r="AA55" i="1"/>
  <c r="AO50" i="1"/>
  <c r="AO69" i="1"/>
  <c r="AO47" i="1"/>
  <c r="AO44" i="1"/>
  <c r="D13" i="1"/>
  <c r="J39" i="1"/>
  <c r="I67" i="1"/>
  <c r="I81" i="1" s="1"/>
  <c r="I66" i="1"/>
  <c r="I59" i="1"/>
  <c r="E65" i="1"/>
  <c r="H29" i="1"/>
  <c r="E39" i="1"/>
  <c r="J61" i="1"/>
  <c r="D62" i="1"/>
  <c r="D76" i="1" s="1"/>
  <c r="D94" i="1"/>
  <c r="I120" i="1"/>
  <c r="D148" i="1"/>
  <c r="D146" i="1" s="1"/>
  <c r="I108" i="1"/>
  <c r="I132" i="1"/>
  <c r="D142" i="1"/>
  <c r="I96" i="1"/>
  <c r="I114" i="1"/>
  <c r="F140" i="1"/>
  <c r="F143" i="1" s="1"/>
  <c r="E163" i="1"/>
  <c r="J96" i="1"/>
  <c r="G140" i="1"/>
  <c r="G143" i="1" s="1"/>
  <c r="J120" i="1"/>
  <c r="J121" i="1" s="1"/>
  <c r="H140" i="1"/>
  <c r="H143" i="1" s="1"/>
  <c r="H151" i="1"/>
  <c r="H166" i="1"/>
  <c r="C173" i="1"/>
  <c r="H179" i="1"/>
  <c r="H183" i="1"/>
  <c r="H187" i="1"/>
  <c r="C196" i="1"/>
  <c r="I195" i="1"/>
  <c r="G199" i="1"/>
  <c r="E204" i="1"/>
  <c r="G216" i="1"/>
  <c r="I233" i="1"/>
  <c r="G167" i="1"/>
  <c r="H171" i="1"/>
  <c r="E179" i="1"/>
  <c r="E181" i="1"/>
  <c r="E183" i="1"/>
  <c r="E185" i="1"/>
  <c r="E187" i="1"/>
  <c r="E189" i="1"/>
  <c r="D196" i="1"/>
  <c r="G194" i="1"/>
  <c r="E197" i="1"/>
  <c r="H199" i="1"/>
  <c r="G204" i="1"/>
  <c r="I216" i="1"/>
  <c r="I148" i="1"/>
  <c r="I146" i="1" s="1"/>
  <c r="I147" i="1" s="1"/>
  <c r="H162" i="1"/>
  <c r="C172" i="1"/>
  <c r="D179" i="1"/>
  <c r="J179" i="1"/>
  <c r="J181" i="1"/>
  <c r="J183" i="1"/>
  <c r="J185" i="1"/>
  <c r="J187" i="1"/>
  <c r="I192" i="1"/>
  <c r="I196" i="1"/>
  <c r="E162" i="1"/>
  <c r="E164" i="1"/>
  <c r="E167" i="1"/>
  <c r="F171" i="1"/>
  <c r="F173" i="1"/>
  <c r="C184" i="1"/>
  <c r="G182" i="1"/>
  <c r="G186" i="1"/>
  <c r="D192" i="1"/>
  <c r="G193" i="1"/>
  <c r="E196" i="1"/>
  <c r="J198" i="1"/>
  <c r="E203" i="1"/>
  <c r="G213" i="1"/>
  <c r="D186" i="1"/>
  <c r="H192" i="1"/>
  <c r="H196" i="1"/>
  <c r="H202" i="1"/>
  <c r="H204" i="1"/>
  <c r="H211" i="1"/>
  <c r="H300" i="1" s="1"/>
  <c r="H302" i="1" s="1"/>
  <c r="H221" i="1"/>
  <c r="H229" i="1"/>
  <c r="G226" i="1"/>
  <c r="F202" i="1"/>
  <c r="F204" i="1"/>
  <c r="H227" i="1"/>
  <c r="J233" i="1"/>
  <c r="I227" i="1"/>
  <c r="H232" i="1"/>
  <c r="I312" i="1"/>
  <c r="I311" i="1"/>
  <c r="C385" i="1"/>
  <c r="H403" i="1"/>
  <c r="H414" i="1"/>
  <c r="I387" i="1"/>
  <c r="I396" i="1"/>
  <c r="G385" i="1"/>
  <c r="C392" i="1"/>
  <c r="J402" i="1"/>
  <c r="I385" i="1"/>
  <c r="E392" i="1"/>
  <c r="J404" i="1"/>
  <c r="J384" i="1"/>
  <c r="J386" i="1"/>
  <c r="J391" i="1"/>
  <c r="J395" i="1"/>
  <c r="J397" i="1"/>
  <c r="I402" i="1"/>
  <c r="F408" i="1"/>
  <c r="D384" i="1"/>
  <c r="D386" i="1"/>
  <c r="D391" i="1"/>
  <c r="D395" i="1"/>
  <c r="D397" i="1"/>
  <c r="G402" i="1"/>
  <c r="D408" i="1"/>
  <c r="J414" i="1"/>
  <c r="G396" i="1"/>
  <c r="J401" i="1"/>
  <c r="J403" i="1"/>
  <c r="J408" i="1"/>
  <c r="G408" i="1"/>
  <c r="G413" i="1"/>
  <c r="E413" i="1"/>
  <c r="C13" i="1"/>
  <c r="C14" i="1" s="1"/>
  <c r="K67" i="1"/>
  <c r="K140" i="1"/>
  <c r="K194" i="1"/>
  <c r="K167" i="1"/>
  <c r="K193" i="1"/>
  <c r="K180" i="1"/>
  <c r="K184" i="1"/>
  <c r="K233" i="1"/>
  <c r="K397" i="1"/>
  <c r="K392" i="1"/>
  <c r="K403" i="1"/>
  <c r="K408" i="1"/>
  <c r="E51" i="1"/>
  <c r="E25" i="1"/>
  <c r="I18" i="1"/>
  <c r="AE27" i="1"/>
  <c r="AK330" i="1"/>
  <c r="AK327" i="1"/>
  <c r="AD275" i="1"/>
  <c r="AD273" i="1"/>
  <c r="AD276" i="1"/>
  <c r="AD272" i="1"/>
  <c r="AJ54" i="1"/>
  <c r="AX136" i="1"/>
  <c r="AW62" i="1"/>
  <c r="AW76" i="1" s="1"/>
  <c r="N102" i="1"/>
  <c r="AB90" i="1"/>
  <c r="X90" i="1"/>
  <c r="P90" i="1"/>
  <c r="C100" i="1"/>
  <c r="C63" i="1"/>
  <c r="AC90" i="1"/>
  <c r="Y90" i="1"/>
  <c r="AE330" i="1"/>
  <c r="AE327" i="1"/>
  <c r="H49" i="1"/>
  <c r="H46" i="1"/>
  <c r="H20" i="1"/>
  <c r="V51" i="1"/>
  <c r="V48" i="1"/>
  <c r="V42" i="1"/>
  <c r="V55" i="1"/>
  <c r="V45" i="1"/>
  <c r="AO77" i="1"/>
  <c r="AO62" i="1"/>
  <c r="BA52" i="1"/>
  <c r="G102" i="1"/>
  <c r="AI330" i="1"/>
  <c r="AI327" i="1"/>
  <c r="AP307" i="1"/>
  <c r="U55" i="1"/>
  <c r="U51" i="1"/>
  <c r="U48" i="1"/>
  <c r="U45" i="1"/>
  <c r="U42" i="1"/>
  <c r="P6" i="1"/>
  <c r="P141" i="1" s="1"/>
  <c r="Q4" i="1"/>
  <c r="AH330" i="1"/>
  <c r="AH327" i="1"/>
  <c r="AN173" i="1"/>
  <c r="AN174" i="1" s="1"/>
  <c r="AN175" i="1" s="1"/>
  <c r="AN329" i="1"/>
  <c r="T83" i="1"/>
  <c r="H50" i="1"/>
  <c r="H47" i="1"/>
  <c r="AI173" i="1"/>
  <c r="W45" i="1"/>
  <c r="W51" i="1"/>
  <c r="W48" i="1"/>
  <c r="W42" i="1"/>
  <c r="W55" i="1"/>
  <c r="E43" i="1"/>
  <c r="D14" i="1"/>
  <c r="D104" i="1" s="1"/>
  <c r="D105" i="1" s="1"/>
  <c r="D106" i="1" s="1"/>
  <c r="D43" i="1"/>
  <c r="D74" i="1"/>
  <c r="E95" i="1"/>
  <c r="E87" i="1"/>
  <c r="I74" i="1"/>
  <c r="J136" i="1"/>
  <c r="D79" i="1"/>
  <c r="H97" i="1"/>
  <c r="H87" i="1"/>
  <c r="I134" i="1"/>
  <c r="I152" i="1"/>
  <c r="G164" i="1"/>
  <c r="I141" i="1"/>
  <c r="I144" i="1"/>
  <c r="C142" i="1"/>
  <c r="F162" i="1"/>
  <c r="F164" i="1"/>
  <c r="F167" i="1"/>
  <c r="C171" i="1"/>
  <c r="D180" i="1"/>
  <c r="H180" i="1"/>
  <c r="H184" i="1"/>
  <c r="H188" i="1"/>
  <c r="F192" i="1"/>
  <c r="F196" i="1"/>
  <c r="C201" i="1"/>
  <c r="C205" i="1"/>
  <c r="I217" i="1"/>
  <c r="E166" i="1"/>
  <c r="F170" i="1"/>
  <c r="F174" i="1" s="1"/>
  <c r="F175" i="1" s="1"/>
  <c r="F172" i="1"/>
  <c r="C179" i="1"/>
  <c r="I179" i="1"/>
  <c r="I181" i="1"/>
  <c r="I183" i="1"/>
  <c r="I185" i="1"/>
  <c r="I187" i="1"/>
  <c r="I189" i="1"/>
  <c r="G192" i="1"/>
  <c r="E195" i="1"/>
  <c r="J197" i="1"/>
  <c r="E201" i="1"/>
  <c r="E205" i="1"/>
  <c r="G219" i="1"/>
  <c r="J151" i="1"/>
  <c r="F163" i="1"/>
  <c r="F166" i="1"/>
  <c r="C170" i="1"/>
  <c r="C174" i="1" s="1"/>
  <c r="G172" i="1"/>
  <c r="D181" i="1"/>
  <c r="F180" i="1"/>
  <c r="F182" i="1"/>
  <c r="F184" i="1"/>
  <c r="F186" i="1"/>
  <c r="F188" i="1"/>
  <c r="C192" i="1"/>
  <c r="F193" i="1"/>
  <c r="F197" i="1"/>
  <c r="G201" i="1"/>
  <c r="G205" i="1"/>
  <c r="G218" i="1"/>
  <c r="G231" i="1"/>
  <c r="I162" i="1"/>
  <c r="I164" i="1"/>
  <c r="I167" i="1"/>
  <c r="G179" i="1"/>
  <c r="G183" i="1"/>
  <c r="G187" i="1"/>
  <c r="C195" i="1"/>
  <c r="E194" i="1"/>
  <c r="J196" i="1"/>
  <c r="E199" i="1"/>
  <c r="C204" i="1"/>
  <c r="H226" i="1"/>
  <c r="D193" i="1"/>
  <c r="H193" i="1"/>
  <c r="H197" i="1"/>
  <c r="F201" i="1"/>
  <c r="F203" i="1"/>
  <c r="F205" i="1"/>
  <c r="J231" i="1"/>
  <c r="G230" i="1"/>
  <c r="J204" i="1"/>
  <c r="H216" i="1"/>
  <c r="G228" i="1"/>
  <c r="H228" i="1"/>
  <c r="G311" i="1"/>
  <c r="G312" i="1"/>
  <c r="I386" i="1"/>
  <c r="E384" i="1"/>
  <c r="G384" i="1"/>
  <c r="C391" i="1"/>
  <c r="C393" i="1" s="1"/>
  <c r="F402" i="1"/>
  <c r="E386" i="1"/>
  <c r="G395" i="1"/>
  <c r="F404" i="1"/>
  <c r="G386" i="1"/>
  <c r="G397" i="1"/>
  <c r="J409" i="1"/>
  <c r="D385" i="1"/>
  <c r="D387" i="1"/>
  <c r="D392" i="1"/>
  <c r="D396" i="1"/>
  <c r="C401" i="1"/>
  <c r="C405" i="1" s="1"/>
  <c r="G403" i="1"/>
  <c r="H409" i="1"/>
  <c r="H384" i="1"/>
  <c r="H386" i="1"/>
  <c r="H391" i="1"/>
  <c r="H395" i="1"/>
  <c r="H397" i="1"/>
  <c r="E403" i="1"/>
  <c r="I408" i="1"/>
  <c r="E395" i="1"/>
  <c r="E397" i="1"/>
  <c r="D402" i="1"/>
  <c r="D404" i="1"/>
  <c r="F409" i="1"/>
  <c r="E409" i="1"/>
  <c r="E414" i="1"/>
  <c r="I413" i="1"/>
  <c r="K120" i="1"/>
  <c r="K164" i="1"/>
  <c r="K124" i="1"/>
  <c r="K196" i="1"/>
  <c r="K227" i="1"/>
  <c r="K195" i="1"/>
  <c r="K163" i="1"/>
  <c r="K181" i="1"/>
  <c r="K185" i="1"/>
  <c r="K232" i="1"/>
  <c r="K386" i="1"/>
  <c r="K384" i="1"/>
  <c r="K402" i="1"/>
  <c r="K413" i="1"/>
  <c r="AI27" i="1"/>
  <c r="AJ27" i="1"/>
  <c r="AF27" i="1"/>
  <c r="AO14" i="1"/>
  <c r="I24" i="1"/>
  <c r="AI307" i="1"/>
  <c r="AJ246" i="1"/>
  <c r="AJ307" i="1" s="1"/>
  <c r="AF301" i="1"/>
  <c r="AF281" i="1"/>
  <c r="AG221" i="1"/>
  <c r="G221" i="1" s="1"/>
  <c r="AM302" i="1"/>
  <c r="AM308" i="1"/>
  <c r="AM307" i="1"/>
  <c r="V102" i="1"/>
  <c r="O46" i="1"/>
  <c r="O49" i="1"/>
  <c r="C17" i="1"/>
  <c r="C46" i="1" s="1"/>
  <c r="C101" i="1" s="1"/>
  <c r="AH304" i="1"/>
  <c r="AE284" i="1"/>
  <c r="AN222" i="1"/>
  <c r="AN234" i="1" s="1"/>
  <c r="AN235" i="1" s="1"/>
  <c r="AO220" i="1"/>
  <c r="AM121" i="1"/>
  <c r="AN119" i="1"/>
  <c r="AT119" i="1"/>
  <c r="AS121" i="1"/>
  <c r="Y69" i="1"/>
  <c r="Y83" i="1" s="1"/>
  <c r="C66" i="1"/>
  <c r="C69" i="1" s="1"/>
  <c r="N80" i="1"/>
  <c r="AD90" i="1"/>
  <c r="V90" i="1"/>
  <c r="C97" i="1"/>
  <c r="C88" i="1"/>
  <c r="C89" i="1" s="1"/>
  <c r="AC83" i="1"/>
  <c r="AO147" i="1"/>
  <c r="AP146" i="1"/>
  <c r="AQ146" i="1" s="1"/>
  <c r="AR146" i="1" s="1"/>
  <c r="AS146" i="1" s="1"/>
  <c r="AT146" i="1" s="1"/>
  <c r="AU146" i="1" s="1"/>
  <c r="AV146" i="1" s="1"/>
  <c r="AW146" i="1" s="1"/>
  <c r="AX146" i="1" s="1"/>
  <c r="AY146" i="1" s="1"/>
  <c r="AZ146" i="1" s="1"/>
  <c r="BA146" i="1" s="1"/>
  <c r="T50" i="1"/>
  <c r="AK163" i="1"/>
  <c r="AK164" i="1" s="1"/>
  <c r="AK30" i="1"/>
  <c r="H30" i="1" s="1"/>
  <c r="AL331" i="1"/>
  <c r="AL317" i="1"/>
  <c r="AL36" i="1"/>
  <c r="AL1" i="1" s="1"/>
  <c r="AL34" i="1"/>
  <c r="AL55" i="1"/>
  <c r="AL330" i="1"/>
  <c r="AL327" i="1"/>
  <c r="AK308" i="1"/>
  <c r="AK307" i="1"/>
  <c r="AK302" i="1"/>
  <c r="AJ279" i="1"/>
  <c r="AF173" i="1"/>
  <c r="AF329" i="1"/>
  <c r="G174" i="1"/>
  <c r="G175" i="1" s="1"/>
  <c r="G173" i="1"/>
  <c r="AG325" i="1"/>
  <c r="AG326" i="1" s="1"/>
  <c r="AG280" i="1"/>
  <c r="AG51" i="1"/>
  <c r="AG25" i="1"/>
  <c r="AG27" i="1" s="1"/>
  <c r="AK173" i="1"/>
  <c r="AK174" i="1" s="1"/>
  <c r="AK175" i="1" s="1"/>
  <c r="AL83" i="1"/>
  <c r="AO330" i="1"/>
  <c r="AO327" i="1"/>
  <c r="AB69" i="1"/>
  <c r="AB83" i="1" s="1"/>
  <c r="X42" i="1"/>
  <c r="AN325" i="1"/>
  <c r="AN326" i="1" s="1"/>
  <c r="AN280" i="1"/>
  <c r="AN25" i="1"/>
  <c r="AN27" i="1" s="1"/>
  <c r="AN51" i="1"/>
  <c r="I49" i="1"/>
  <c r="I46" i="1"/>
  <c r="I20" i="1"/>
  <c r="AM174" i="1"/>
  <c r="AM175" i="1" s="1"/>
  <c r="AM173" i="1"/>
  <c r="AM329" i="1"/>
  <c r="AE42" i="1"/>
  <c r="S45" i="1"/>
  <c r="S51" i="1"/>
  <c r="S48" i="1"/>
  <c r="S42" i="1"/>
  <c r="S55" i="1"/>
  <c r="D66" i="1"/>
  <c r="D80" i="1" s="1"/>
  <c r="E88" i="1"/>
  <c r="E97" i="1"/>
  <c r="I75" i="1"/>
  <c r="I79" i="1"/>
  <c r="E67" i="1"/>
  <c r="E66" i="1"/>
  <c r="J67" i="1"/>
  <c r="J81" i="1" s="1"/>
  <c r="D96" i="1"/>
  <c r="C140" i="1"/>
  <c r="G162" i="1"/>
  <c r="I119" i="1"/>
  <c r="I121" i="1" s="1"/>
  <c r="E140" i="1"/>
  <c r="F94" i="1"/>
  <c r="J109" i="1"/>
  <c r="E142" i="1"/>
  <c r="G94" i="1"/>
  <c r="H95" i="1" s="1"/>
  <c r="J114" i="1"/>
  <c r="C162" i="1"/>
  <c r="I125" i="1"/>
  <c r="C148" i="1"/>
  <c r="C146" i="1" s="1"/>
  <c r="J162" i="1"/>
  <c r="J164" i="1"/>
  <c r="J167" i="1"/>
  <c r="E172" i="1"/>
  <c r="D182" i="1"/>
  <c r="H181" i="1"/>
  <c r="H185" i="1"/>
  <c r="H189" i="1"/>
  <c r="I193" i="1"/>
  <c r="I197" i="1"/>
  <c r="G212" i="1"/>
  <c r="I221" i="1"/>
  <c r="I166" i="1"/>
  <c r="J172" i="1"/>
  <c r="C181" i="1"/>
  <c r="E180" i="1"/>
  <c r="E182" i="1"/>
  <c r="E184" i="1"/>
  <c r="E186" i="1"/>
  <c r="E188" i="1"/>
  <c r="C186" i="1"/>
  <c r="E193" i="1"/>
  <c r="J195" i="1"/>
  <c r="G198" i="1"/>
  <c r="C202" i="1"/>
  <c r="G211" i="1"/>
  <c r="G300" i="1" s="1"/>
  <c r="G302" i="1" s="1"/>
  <c r="G227" i="1"/>
  <c r="J163" i="1"/>
  <c r="J166" i="1"/>
  <c r="E171" i="1"/>
  <c r="E173" i="1"/>
  <c r="D183" i="1"/>
  <c r="J180" i="1"/>
  <c r="J182" i="1"/>
  <c r="J184" i="1"/>
  <c r="D194" i="1"/>
  <c r="I194" i="1"/>
  <c r="I198" i="1"/>
  <c r="E202" i="1"/>
  <c r="I219" i="1"/>
  <c r="F148" i="1"/>
  <c r="F146" i="1" s="1"/>
  <c r="C163" i="1"/>
  <c r="C166" i="1"/>
  <c r="D170" i="1"/>
  <c r="D172" i="1"/>
  <c r="C180" i="1"/>
  <c r="G180" i="1"/>
  <c r="G184" i="1"/>
  <c r="G188" i="1"/>
  <c r="E192" i="1"/>
  <c r="J194" i="1"/>
  <c r="G197" i="1"/>
  <c r="I201" i="1"/>
  <c r="I205" i="1"/>
  <c r="G217" i="1"/>
  <c r="I229" i="1"/>
  <c r="D195" i="1"/>
  <c r="H194" i="1"/>
  <c r="H198" i="1"/>
  <c r="J203" i="1"/>
  <c r="H213" i="1"/>
  <c r="J227" i="1"/>
  <c r="I232" i="1"/>
  <c r="D201" i="1"/>
  <c r="D203" i="1"/>
  <c r="D205" i="1"/>
  <c r="H212" i="1"/>
  <c r="J225" i="1"/>
  <c r="I230" i="1"/>
  <c r="G232" i="1"/>
  <c r="J230" i="1"/>
  <c r="J418" i="1" s="1"/>
  <c r="G229" i="1"/>
  <c r="H311" i="1"/>
  <c r="I391" i="1"/>
  <c r="I393" i="1" s="1"/>
  <c r="G387" i="1"/>
  <c r="E385" i="1"/>
  <c r="I392" i="1"/>
  <c r="H408" i="1"/>
  <c r="H410" i="1" s="1"/>
  <c r="C387" i="1"/>
  <c r="C397" i="1"/>
  <c r="C409" i="1"/>
  <c r="C410" i="1" s="1"/>
  <c r="E387" i="1"/>
  <c r="H401" i="1"/>
  <c r="J413" i="1"/>
  <c r="H385" i="1"/>
  <c r="H387" i="1"/>
  <c r="H392" i="1"/>
  <c r="H396" i="1"/>
  <c r="G401" i="1"/>
  <c r="E404" i="1"/>
  <c r="H413" i="1"/>
  <c r="F385" i="1"/>
  <c r="F387" i="1"/>
  <c r="F392" i="1"/>
  <c r="F396" i="1"/>
  <c r="E401" i="1"/>
  <c r="I403" i="1"/>
  <c r="D409" i="1"/>
  <c r="I395" i="1"/>
  <c r="I397" i="1"/>
  <c r="H402" i="1"/>
  <c r="H404" i="1"/>
  <c r="F413" i="1"/>
  <c r="I409" i="1"/>
  <c r="I414" i="1"/>
  <c r="G414" i="1"/>
  <c r="K31" i="1"/>
  <c r="K62" i="1"/>
  <c r="K30" i="1"/>
  <c r="K162" i="1"/>
  <c r="K198" i="1"/>
  <c r="K214" i="1"/>
  <c r="K213" i="1"/>
  <c r="K197" i="1"/>
  <c r="K231" i="1"/>
  <c r="K166" i="1"/>
  <c r="K226" i="1"/>
  <c r="K225" i="1"/>
  <c r="K391" i="1"/>
  <c r="K393" i="1" s="1"/>
  <c r="K395" i="1"/>
  <c r="K404" i="1"/>
  <c r="K409" i="1"/>
  <c r="G316" i="1"/>
  <c r="X48" i="1"/>
  <c r="AA47" i="1"/>
  <c r="AA50" i="1"/>
  <c r="AB50" i="1"/>
  <c r="AG276" i="1"/>
  <c r="AG275" i="1"/>
  <c r="AG273" i="1"/>
  <c r="AG272" i="1"/>
  <c r="AR87" i="1"/>
  <c r="AR199" i="1" s="1"/>
  <c r="AR202" i="1" s="1"/>
  <c r="AS94" i="1"/>
  <c r="AG81" i="1"/>
  <c r="AH81" i="1"/>
  <c r="W46" i="1"/>
  <c r="W49" i="1"/>
  <c r="AK356" i="1"/>
  <c r="AK357" i="1" s="1"/>
  <c r="AK371" i="1" s="1"/>
  <c r="AS311" i="1"/>
  <c r="J311" i="1" s="1"/>
  <c r="AS313" i="1"/>
  <c r="AR229" i="1"/>
  <c r="AQ255" i="1"/>
  <c r="AP219" i="1"/>
  <c r="AI306" i="1"/>
  <c r="AJ245" i="1"/>
  <c r="AJ306" i="1" s="1"/>
  <c r="AN303" i="1"/>
  <c r="AN304" i="1"/>
  <c r="W47" i="1"/>
  <c r="W50" i="1"/>
  <c r="O47" i="1"/>
  <c r="O50" i="1"/>
  <c r="C18" i="1"/>
  <c r="C47" i="1" s="1"/>
  <c r="AL356" i="1"/>
  <c r="AL357" i="1" s="1"/>
  <c r="AL371" i="1" s="1"/>
  <c r="AL355" i="1"/>
  <c r="AL360" i="1" s="1"/>
  <c r="AW359" i="1"/>
  <c r="AW254" i="1" s="1"/>
  <c r="AM256" i="1"/>
  <c r="AM269" i="1"/>
  <c r="AM268" i="1"/>
  <c r="AW288" i="1"/>
  <c r="AV293" i="1"/>
  <c r="AN276" i="1"/>
  <c r="AN275" i="1"/>
  <c r="AN272" i="1"/>
  <c r="AO276" i="1"/>
  <c r="AO275" i="1"/>
  <c r="AO272" i="1"/>
  <c r="AN273" i="1"/>
  <c r="AG265" i="1"/>
  <c r="AN286" i="1"/>
  <c r="AN284" i="1"/>
  <c r="AF285" i="1"/>
  <c r="AG225" i="1"/>
  <c r="AL302" i="1"/>
  <c r="AL308" i="1"/>
  <c r="AL307" i="1"/>
  <c r="AS260" i="1"/>
  <c r="AE304" i="1"/>
  <c r="AE303" i="1"/>
  <c r="AK222" i="1"/>
  <c r="AK217" i="1"/>
  <c r="H217" i="1" s="1"/>
  <c r="AJ234" i="1"/>
  <c r="AJ235" i="1" s="1"/>
  <c r="AK225" i="1"/>
  <c r="AK234" i="1" s="1"/>
  <c r="AK235" i="1" s="1"/>
  <c r="AQ141" i="1"/>
  <c r="AP143" i="1"/>
  <c r="AO124" i="1"/>
  <c r="AN126" i="1"/>
  <c r="AP66" i="1"/>
  <c r="AR154" i="1"/>
  <c r="AS152" i="1"/>
  <c r="AL147" i="1"/>
  <c r="AA83" i="1"/>
  <c r="AE81" i="1"/>
  <c r="AF81" i="1"/>
  <c r="O80" i="1"/>
  <c r="P80" i="1"/>
  <c r="Z80" i="1"/>
  <c r="R77" i="1"/>
  <c r="AN378" i="1"/>
  <c r="AM378" i="1"/>
  <c r="AK53" i="1"/>
  <c r="AP89" i="1"/>
  <c r="AO90" i="1"/>
  <c r="N69" i="1"/>
  <c r="N83" i="1" s="1"/>
  <c r="AB77" i="1"/>
  <c r="Z102" i="1"/>
  <c r="R102" i="1"/>
  <c r="X83" i="1"/>
  <c r="AC80" i="1"/>
  <c r="AD80" i="1"/>
  <c r="V83" i="1"/>
  <c r="T77" i="1"/>
  <c r="P77" i="1"/>
  <c r="AG90" i="1"/>
  <c r="Q90" i="1"/>
  <c r="X49" i="1"/>
  <c r="I26" i="1"/>
  <c r="AH173" i="1"/>
  <c r="H173" i="1" s="1"/>
  <c r="AH174" i="1"/>
  <c r="AH175" i="1" s="1"/>
  <c r="P83" i="1"/>
  <c r="F76" i="1"/>
  <c r="E76" i="1"/>
  <c r="T49" i="1"/>
  <c r="G327" i="1"/>
  <c r="AO377" i="1"/>
  <c r="AO379" i="1" s="1"/>
  <c r="AG173" i="1"/>
  <c r="AG174" i="1" s="1"/>
  <c r="AG175" i="1" s="1"/>
  <c r="I43" i="1"/>
  <c r="X80" i="1"/>
  <c r="P49" i="1"/>
  <c r="AB49" i="1"/>
  <c r="F27" i="1"/>
  <c r="F54" i="1"/>
  <c r="AK278" i="1"/>
  <c r="AM325" i="1"/>
  <c r="AM326" i="1" s="1"/>
  <c r="AM280" i="1"/>
  <c r="AM51" i="1"/>
  <c r="AM25" i="1"/>
  <c r="AM27" i="1" s="1"/>
  <c r="D17" i="1"/>
  <c r="AE174" i="1"/>
  <c r="AE175" i="1" s="1"/>
  <c r="AE173" i="1"/>
  <c r="O45" i="1"/>
  <c r="O51" i="1"/>
  <c r="O48" i="1"/>
  <c r="O42" i="1"/>
  <c r="O55" i="1"/>
  <c r="F39" i="1"/>
  <c r="D68" i="1"/>
  <c r="E68" i="1"/>
  <c r="E59" i="1"/>
  <c r="I62" i="1"/>
  <c r="H33" i="1"/>
  <c r="C68" i="1"/>
  <c r="H119" i="1"/>
  <c r="I140" i="1"/>
  <c r="C164" i="1"/>
  <c r="J125" i="1"/>
  <c r="J140" i="1"/>
  <c r="I94" i="1"/>
  <c r="I113" i="1"/>
  <c r="I115" i="1" s="1"/>
  <c r="I116" i="1" s="1"/>
  <c r="I117" i="1" s="1"/>
  <c r="J132" i="1"/>
  <c r="J134" i="1" s="1"/>
  <c r="I151" i="1"/>
  <c r="J94" i="1"/>
  <c r="H120" i="1"/>
  <c r="G120" i="1" s="1"/>
  <c r="F120" i="1" s="1"/>
  <c r="I163" i="1"/>
  <c r="D140" i="1"/>
  <c r="G148" i="1"/>
  <c r="G146" i="1" s="1"/>
  <c r="D163" i="1"/>
  <c r="D166" i="1"/>
  <c r="E170" i="1"/>
  <c r="E174" i="1" s="1"/>
  <c r="E175" i="1" s="1"/>
  <c r="I172" i="1"/>
  <c r="D184" i="1"/>
  <c r="H182" i="1"/>
  <c r="H186" i="1"/>
  <c r="C193" i="1"/>
  <c r="F194" i="1"/>
  <c r="F198" i="1"/>
  <c r="G203" i="1"/>
  <c r="I213" i="1"/>
  <c r="H230" i="1"/>
  <c r="C167" i="1"/>
  <c r="D171" i="1"/>
  <c r="D173" i="1"/>
  <c r="C183" i="1"/>
  <c r="I180" i="1"/>
  <c r="I182" i="1"/>
  <c r="I184" i="1"/>
  <c r="I186" i="1"/>
  <c r="I188" i="1"/>
  <c r="C194" i="1"/>
  <c r="J193" i="1"/>
  <c r="G196" i="1"/>
  <c r="C199" i="1"/>
  <c r="I203" i="1"/>
  <c r="I212" i="1"/>
  <c r="E148" i="1"/>
  <c r="E146" i="1" s="1"/>
  <c r="E147" i="1" s="1"/>
  <c r="D162" i="1"/>
  <c r="D164" i="1"/>
  <c r="D167" i="1"/>
  <c r="I171" i="1"/>
  <c r="F179" i="1"/>
  <c r="F181" i="1"/>
  <c r="F183" i="1"/>
  <c r="F185" i="1"/>
  <c r="F187" i="1"/>
  <c r="F189" i="1"/>
  <c r="C197" i="1"/>
  <c r="F195" i="1"/>
  <c r="D199" i="1"/>
  <c r="C203" i="1"/>
  <c r="I211" i="1"/>
  <c r="I300" i="1" s="1"/>
  <c r="I225" i="1"/>
  <c r="G163" i="1"/>
  <c r="G166" i="1"/>
  <c r="H170" i="1"/>
  <c r="H172" i="1"/>
  <c r="C182" i="1"/>
  <c r="G181" i="1"/>
  <c r="G185" i="1"/>
  <c r="G189" i="1"/>
  <c r="J192" i="1"/>
  <c r="G195" i="1"/>
  <c r="E198" i="1"/>
  <c r="G202" i="1"/>
  <c r="I218" i="1"/>
  <c r="J232" i="1"/>
  <c r="D197" i="1"/>
  <c r="H195" i="1"/>
  <c r="F199" i="1"/>
  <c r="D202" i="1"/>
  <c r="D204" i="1"/>
  <c r="J214" i="1"/>
  <c r="H219" i="1"/>
  <c r="I228" i="1"/>
  <c r="H233" i="1"/>
  <c r="H201" i="1"/>
  <c r="H203" i="1"/>
  <c r="H205" i="1"/>
  <c r="J213" i="1"/>
  <c r="H218" i="1"/>
  <c r="I226" i="1"/>
  <c r="H231" i="1"/>
  <c r="J226" i="1"/>
  <c r="I231" i="1"/>
  <c r="G233" i="1"/>
  <c r="H312" i="1"/>
  <c r="E396" i="1"/>
  <c r="G392" i="1"/>
  <c r="C386" i="1"/>
  <c r="C395" i="1"/>
  <c r="I384" i="1"/>
  <c r="I388" i="1" s="1"/>
  <c r="E391" i="1"/>
  <c r="E393" i="1" s="1"/>
  <c r="D401" i="1"/>
  <c r="D405" i="1" s="1"/>
  <c r="C384" i="1"/>
  <c r="G391" i="1"/>
  <c r="G393" i="1" s="1"/>
  <c r="D403" i="1"/>
  <c r="F384" i="1"/>
  <c r="F388" i="1" s="1"/>
  <c r="F386" i="1"/>
  <c r="F391" i="1"/>
  <c r="F393" i="1" s="1"/>
  <c r="F395" i="1"/>
  <c r="F397" i="1"/>
  <c r="E402" i="1"/>
  <c r="I404" i="1"/>
  <c r="F414" i="1"/>
  <c r="J385" i="1"/>
  <c r="J387" i="1"/>
  <c r="J392" i="1"/>
  <c r="J396" i="1"/>
  <c r="I401" i="1"/>
  <c r="I405" i="1" s="1"/>
  <c r="G404" i="1"/>
  <c r="D413" i="1"/>
  <c r="C396" i="1"/>
  <c r="F401" i="1"/>
  <c r="F405" i="1" s="1"/>
  <c r="F403" i="1"/>
  <c r="E408" i="1"/>
  <c r="E410" i="1" s="1"/>
  <c r="D414" i="1"/>
  <c r="C413" i="1"/>
  <c r="G409" i="1"/>
  <c r="L414" i="1"/>
  <c r="L404" i="1"/>
  <c r="L402" i="1"/>
  <c r="L413" i="1"/>
  <c r="L409" i="1"/>
  <c r="L397" i="1"/>
  <c r="L395" i="1"/>
  <c r="L391" i="1"/>
  <c r="L386" i="1"/>
  <c r="L384" i="1"/>
  <c r="L364" i="1"/>
  <c r="L408" i="1"/>
  <c r="L410" i="1" s="1"/>
  <c r="L396" i="1"/>
  <c r="L392" i="1"/>
  <c r="L387" i="1"/>
  <c r="L385" i="1"/>
  <c r="L365" i="1"/>
  <c r="L363" i="1"/>
  <c r="L403" i="1"/>
  <c r="L401" i="1"/>
  <c r="L232" i="1"/>
  <c r="L231" i="1"/>
  <c r="L227" i="1"/>
  <c r="L214" i="1"/>
  <c r="L203" i="1"/>
  <c r="L233" i="1"/>
  <c r="L225" i="1"/>
  <c r="L213" i="1"/>
  <c r="L204" i="1"/>
  <c r="L198" i="1"/>
  <c r="L197" i="1"/>
  <c r="L196" i="1"/>
  <c r="L195" i="1"/>
  <c r="L194" i="1"/>
  <c r="L193" i="1"/>
  <c r="L192" i="1"/>
  <c r="L172" i="1"/>
  <c r="L167" i="1"/>
  <c r="L164" i="1"/>
  <c r="L162" i="1"/>
  <c r="L230" i="1"/>
  <c r="L418" i="1" s="1"/>
  <c r="L226" i="1"/>
  <c r="L185" i="1"/>
  <c r="L184" i="1"/>
  <c r="L183" i="1"/>
  <c r="L181" i="1"/>
  <c r="L180" i="1"/>
  <c r="L179" i="1"/>
  <c r="L166" i="1"/>
  <c r="L163" i="1"/>
  <c r="L151" i="1"/>
  <c r="L140" i="1"/>
  <c r="L133" i="1"/>
  <c r="L120" i="1"/>
  <c r="L124" i="1"/>
  <c r="L109" i="1"/>
  <c r="L33" i="1"/>
  <c r="L29" i="1"/>
  <c r="L67" i="1"/>
  <c r="L30" i="1"/>
  <c r="L31" i="1"/>
  <c r="L13" i="1"/>
  <c r="L39" i="1"/>
  <c r="L32" i="1"/>
  <c r="L24" i="1"/>
  <c r="L4" i="1"/>
  <c r="L19" i="1"/>
  <c r="I12" i="1"/>
  <c r="I44" i="1" s="1"/>
  <c r="K109" i="1"/>
  <c r="K133" i="1"/>
  <c r="K192" i="1"/>
  <c r="K172" i="1"/>
  <c r="K203" i="1"/>
  <c r="K151" i="1"/>
  <c r="K179" i="1"/>
  <c r="K183" i="1"/>
  <c r="K204" i="1"/>
  <c r="K230" i="1"/>
  <c r="K418" i="1" s="1"/>
  <c r="K385" i="1"/>
  <c r="K387" i="1"/>
  <c r="K401" i="1"/>
  <c r="K405" i="1" s="1"/>
  <c r="K396" i="1"/>
  <c r="K414" i="1"/>
  <c r="K24" i="1"/>
  <c r="AJ330" i="1"/>
  <c r="AJ327" i="1"/>
  <c r="AF330" i="1"/>
  <c r="AF327" i="1"/>
  <c r="AK280" i="1"/>
  <c r="G301" i="1" l="1"/>
  <c r="G281" i="1"/>
  <c r="G279" i="1"/>
  <c r="AK167" i="1"/>
  <c r="H164" i="1"/>
  <c r="C45" i="1"/>
  <c r="C104" i="1"/>
  <c r="C105" i="1" s="1"/>
  <c r="C106" i="1" s="1"/>
  <c r="C102" i="1" s="1"/>
  <c r="H418" i="1"/>
  <c r="D82" i="1"/>
  <c r="AQ89" i="1"/>
  <c r="AP59" i="1"/>
  <c r="AT260" i="1"/>
  <c r="AW293" i="1"/>
  <c r="AX288" i="1"/>
  <c r="AT94" i="1"/>
  <c r="AS87" i="1"/>
  <c r="AS199" i="1" s="1"/>
  <c r="AS202" i="1" s="1"/>
  <c r="AS97" i="1"/>
  <c r="K136" i="1"/>
  <c r="K137" i="1" s="1"/>
  <c r="K76" i="1"/>
  <c r="E405" i="1"/>
  <c r="I418" i="1"/>
  <c r="F147" i="1"/>
  <c r="E144" i="1"/>
  <c r="E141" i="1"/>
  <c r="E143" i="1" s="1"/>
  <c r="D88" i="1"/>
  <c r="D89" i="1" s="1"/>
  <c r="D90" i="1" s="1"/>
  <c r="D97" i="1"/>
  <c r="I128" i="1"/>
  <c r="I129" i="1" s="1"/>
  <c r="AF291" i="1"/>
  <c r="AF289" i="1"/>
  <c r="O83" i="1"/>
  <c r="O101" i="1"/>
  <c r="O102" i="1" s="1"/>
  <c r="O91" i="1"/>
  <c r="AF304" i="1"/>
  <c r="AF303" i="1"/>
  <c r="AO329" i="1"/>
  <c r="AO295" i="1"/>
  <c r="AO287" i="1"/>
  <c r="AO170" i="1"/>
  <c r="AO42" i="1"/>
  <c r="AO104" i="1"/>
  <c r="AO105" i="1" s="1"/>
  <c r="AO106" i="1" s="1"/>
  <c r="AO102" i="1" s="1"/>
  <c r="AO302" i="1"/>
  <c r="AO48" i="1"/>
  <c r="AO296" i="1"/>
  <c r="AO45" i="1"/>
  <c r="AO51" i="1"/>
  <c r="I410" i="1"/>
  <c r="H393" i="1"/>
  <c r="G418" i="1"/>
  <c r="C175" i="1"/>
  <c r="P144" i="1"/>
  <c r="P143" i="1"/>
  <c r="H278" i="1"/>
  <c r="H279" i="1"/>
  <c r="H48" i="1"/>
  <c r="H45" i="1"/>
  <c r="H22" i="1"/>
  <c r="C91" i="1"/>
  <c r="K410" i="1"/>
  <c r="J410" i="1"/>
  <c r="F410" i="1"/>
  <c r="J393" i="1"/>
  <c r="H163" i="1"/>
  <c r="AJ291" i="1"/>
  <c r="AJ289" i="1"/>
  <c r="D50" i="1"/>
  <c r="E50" i="1"/>
  <c r="D47" i="1"/>
  <c r="AP65" i="1"/>
  <c r="AT182" i="1"/>
  <c r="AK375" i="1"/>
  <c r="AF222" i="1"/>
  <c r="AF234" i="1" s="1"/>
  <c r="AF235" i="1" s="1"/>
  <c r="AG220" i="1"/>
  <c r="AZ297" i="1"/>
  <c r="AG54" i="1"/>
  <c r="AH331" i="1"/>
  <c r="AH317" i="1"/>
  <c r="AH36" i="1"/>
  <c r="AH1" i="1" s="1"/>
  <c r="AH34" i="1"/>
  <c r="AH55" i="1"/>
  <c r="Z83" i="1"/>
  <c r="L81" i="1"/>
  <c r="L393" i="1"/>
  <c r="C388" i="1"/>
  <c r="H314" i="1"/>
  <c r="H38" i="1"/>
  <c r="G147" i="1"/>
  <c r="H147" i="1"/>
  <c r="J95" i="1"/>
  <c r="J87" i="1"/>
  <c r="I95" i="1"/>
  <c r="I87" i="1"/>
  <c r="I136" i="1"/>
  <c r="I137" i="1" s="1"/>
  <c r="I76" i="1"/>
  <c r="D49" i="1"/>
  <c r="D46" i="1"/>
  <c r="E49" i="1"/>
  <c r="AG291" i="1"/>
  <c r="AG289" i="1"/>
  <c r="AS154" i="1"/>
  <c r="AT152" i="1"/>
  <c r="AP124" i="1"/>
  <c r="AO126" i="1"/>
  <c r="AT313" i="1"/>
  <c r="AT311" i="1" s="1"/>
  <c r="AS229" i="1"/>
  <c r="J229" i="1" s="1"/>
  <c r="W101" i="1"/>
  <c r="W102" i="1" s="1"/>
  <c r="W91" i="1"/>
  <c r="H405" i="1"/>
  <c r="D174" i="1"/>
  <c r="D175" i="1" s="1"/>
  <c r="I278" i="1"/>
  <c r="I279" i="1"/>
  <c r="I45" i="1"/>
  <c r="I22" i="1"/>
  <c r="AN331" i="1"/>
  <c r="AN317" i="1"/>
  <c r="AN55" i="1"/>
  <c r="AN34" i="1"/>
  <c r="AN36" i="1"/>
  <c r="AN1" i="1" s="1"/>
  <c r="AL332" i="1"/>
  <c r="AL316" i="1"/>
  <c r="AL210" i="1"/>
  <c r="AL37" i="1"/>
  <c r="AN121" i="1"/>
  <c r="AO199" i="1"/>
  <c r="AO222" i="1"/>
  <c r="AO234" i="1" s="1"/>
  <c r="AO235" i="1" s="1"/>
  <c r="AF331" i="1"/>
  <c r="AF317" i="1"/>
  <c r="AF55" i="1"/>
  <c r="AF34" i="1"/>
  <c r="AF36" i="1"/>
  <c r="AF1" i="1" s="1"/>
  <c r="G314" i="1"/>
  <c r="G38" i="1"/>
  <c r="G317" i="1"/>
  <c r="C141" i="1"/>
  <c r="C143" i="1" s="1"/>
  <c r="I154" i="1"/>
  <c r="J76" i="1"/>
  <c r="AI291" i="1"/>
  <c r="AI289" i="1"/>
  <c r="AN291" i="1"/>
  <c r="AN289" i="1"/>
  <c r="AO136" i="1"/>
  <c r="AO76" i="1"/>
  <c r="AP76" i="1"/>
  <c r="H91" i="1"/>
  <c r="H101" i="1"/>
  <c r="I50" i="1"/>
  <c r="I47" i="1"/>
  <c r="D410" i="1"/>
  <c r="D393" i="1"/>
  <c r="G151" i="1"/>
  <c r="H154" i="1"/>
  <c r="J97" i="1"/>
  <c r="J88" i="1"/>
  <c r="I88" i="1"/>
  <c r="I97" i="1"/>
  <c r="D147" i="1"/>
  <c r="F79" i="1"/>
  <c r="E79" i="1"/>
  <c r="D63" i="1"/>
  <c r="AO331" i="1"/>
  <c r="AO317" i="1"/>
  <c r="AO55" i="1"/>
  <c r="AO36" i="1"/>
  <c r="AO1" i="1" s="1"/>
  <c r="AO34" i="1"/>
  <c r="AR188" i="1"/>
  <c r="AR115" i="1"/>
  <c r="AR60" i="1" s="1"/>
  <c r="AS113" i="1"/>
  <c r="AQ142" i="1"/>
  <c r="AR144" i="1"/>
  <c r="AQ159" i="1"/>
  <c r="AQ80" i="1"/>
  <c r="AN375" i="1"/>
  <c r="AK301" i="1"/>
  <c r="AK281" i="1"/>
  <c r="AL375" i="1"/>
  <c r="AK279" i="1"/>
  <c r="AL286" i="1"/>
  <c r="AL285" i="1"/>
  <c r="AL264" i="1"/>
  <c r="AL265" i="1" s="1"/>
  <c r="AL284" i="1"/>
  <c r="S91" i="1"/>
  <c r="S101" i="1"/>
  <c r="S102" i="1" s="1"/>
  <c r="AO356" i="1"/>
  <c r="AO357" i="1" s="1"/>
  <c r="AO371" i="1" s="1"/>
  <c r="AO360" i="1"/>
  <c r="AT242" i="1"/>
  <c r="AN54" i="1"/>
  <c r="G119" i="1"/>
  <c r="H121" i="1"/>
  <c r="E100" i="1"/>
  <c r="E91" i="1"/>
  <c r="E104" i="1"/>
  <c r="E105" i="1" s="1"/>
  <c r="E106" i="1" s="1"/>
  <c r="E101" i="1"/>
  <c r="E102" i="1" s="1"/>
  <c r="E89" i="1"/>
  <c r="E73" i="1"/>
  <c r="F73" i="1"/>
  <c r="AM330" i="1"/>
  <c r="AM327" i="1"/>
  <c r="F34" i="1"/>
  <c r="F37" i="1" s="1"/>
  <c r="F36" i="1"/>
  <c r="F1" i="1" s="1"/>
  <c r="F55" i="1"/>
  <c r="I14" i="1"/>
  <c r="AM271" i="1"/>
  <c r="AM270" i="1"/>
  <c r="AN53" i="1"/>
  <c r="AR255" i="1"/>
  <c r="AQ219" i="1"/>
  <c r="I301" i="1"/>
  <c r="I281" i="1"/>
  <c r="E80" i="1"/>
  <c r="F80" i="1"/>
  <c r="AK291" i="1"/>
  <c r="AK289" i="1"/>
  <c r="AG330" i="1"/>
  <c r="AG327" i="1"/>
  <c r="AG301" i="1"/>
  <c r="AG281" i="1"/>
  <c r="AG279" i="1"/>
  <c r="AJ331" i="1"/>
  <c r="AJ317" i="1"/>
  <c r="AJ55" i="1"/>
  <c r="AJ36" i="1"/>
  <c r="AJ1" i="1" s="1"/>
  <c r="AJ34" i="1"/>
  <c r="K388" i="1"/>
  <c r="H388" i="1"/>
  <c r="G388" i="1"/>
  <c r="H225" i="1"/>
  <c r="I124" i="1"/>
  <c r="I126" i="1" s="1"/>
  <c r="I143" i="1"/>
  <c r="I155" i="1"/>
  <c r="D45" i="1"/>
  <c r="D48" i="1"/>
  <c r="D42" i="1"/>
  <c r="E48" i="1"/>
  <c r="E42" i="1"/>
  <c r="AI174" i="1"/>
  <c r="AI175" i="1" s="1"/>
  <c r="AY136" i="1"/>
  <c r="AX62" i="1"/>
  <c r="AE331" i="1"/>
  <c r="AE317" i="1"/>
  <c r="AE36" i="1"/>
  <c r="AE1" i="1" s="1"/>
  <c r="AE34" i="1"/>
  <c r="AE55" i="1"/>
  <c r="E27" i="1"/>
  <c r="E54" i="1"/>
  <c r="K81" i="1"/>
  <c r="J405" i="1"/>
  <c r="J388" i="1"/>
  <c r="D141" i="1"/>
  <c r="D143" i="1" s="1"/>
  <c r="D144" i="1"/>
  <c r="J128" i="1"/>
  <c r="J75" i="1"/>
  <c r="I100" i="1"/>
  <c r="I91" i="1"/>
  <c r="I104" i="1"/>
  <c r="I105" i="1" s="1"/>
  <c r="I106" i="1" s="1"/>
  <c r="I101" i="1"/>
  <c r="I102" i="1" s="1"/>
  <c r="I110" i="1"/>
  <c r="I89" i="1"/>
  <c r="I90" i="1" s="1"/>
  <c r="I73" i="1"/>
  <c r="I63" i="1"/>
  <c r="I77" i="1" s="1"/>
  <c r="D100" i="1"/>
  <c r="AL291" i="1"/>
  <c r="AL289" i="1"/>
  <c r="AQ74" i="1"/>
  <c r="AS155" i="1"/>
  <c r="AR153" i="1"/>
  <c r="AO304" i="1"/>
  <c r="AO303" i="1"/>
  <c r="AJ304" i="1"/>
  <c r="AJ303" i="1"/>
  <c r="AL270" i="1"/>
  <c r="AL271" i="1"/>
  <c r="AM53" i="1"/>
  <c r="AV132" i="1"/>
  <c r="AU134" i="1"/>
  <c r="AR350" i="1"/>
  <c r="AS348" i="1"/>
  <c r="L6" i="1"/>
  <c r="L405" i="1"/>
  <c r="L388" i="1"/>
  <c r="H174" i="1"/>
  <c r="H175" i="1" s="1"/>
  <c r="E82" i="1"/>
  <c r="F82" i="1"/>
  <c r="AE291" i="1"/>
  <c r="AE289" i="1"/>
  <c r="AM331" i="1"/>
  <c r="AM317" i="1"/>
  <c r="AM36" i="1"/>
  <c r="AM1" i="1" s="1"/>
  <c r="AM34" i="1"/>
  <c r="AM55" i="1"/>
  <c r="AH291" i="1"/>
  <c r="AH289" i="1"/>
  <c r="AP159" i="1"/>
  <c r="AP80" i="1"/>
  <c r="AQ143" i="1"/>
  <c r="AR141" i="1"/>
  <c r="AQ186" i="1"/>
  <c r="AQ189" i="1"/>
  <c r="AM284" i="1"/>
  <c r="AM264" i="1"/>
  <c r="AM265" i="1" s="1"/>
  <c r="AM286" i="1"/>
  <c r="AM285" i="1"/>
  <c r="G405" i="1"/>
  <c r="G97" i="1"/>
  <c r="G95" i="1"/>
  <c r="G87" i="1"/>
  <c r="F95" i="1"/>
  <c r="F87" i="1"/>
  <c r="F97" i="1"/>
  <c r="F81" i="1"/>
  <c r="E81" i="1"/>
  <c r="AM291" i="1"/>
  <c r="AM289" i="1"/>
  <c r="AN330" i="1"/>
  <c r="AN327" i="1"/>
  <c r="AG331" i="1"/>
  <c r="AG317" i="1"/>
  <c r="AG55" i="1"/>
  <c r="AG36" i="1"/>
  <c r="AG1" i="1" s="1"/>
  <c r="AG34" i="1"/>
  <c r="AF174" i="1"/>
  <c r="AF175" i="1" s="1"/>
  <c r="AT121" i="1"/>
  <c r="AU119" i="1"/>
  <c r="AM54" i="1"/>
  <c r="AI331" i="1"/>
  <c r="AI317" i="1"/>
  <c r="AI36" i="1"/>
  <c r="AI1" i="1" s="1"/>
  <c r="AI34" i="1"/>
  <c r="AI55" i="1"/>
  <c r="E388" i="1"/>
  <c r="G225" i="1"/>
  <c r="D69" i="1"/>
  <c r="Q6" i="1"/>
  <c r="Q141" i="1" s="1"/>
  <c r="R4" i="1"/>
  <c r="G410" i="1"/>
  <c r="D388" i="1"/>
  <c r="I314" i="1"/>
  <c r="I38" i="1"/>
  <c r="H301" i="1"/>
  <c r="H281" i="1"/>
  <c r="D95" i="1"/>
  <c r="D87" i="1"/>
  <c r="I159" i="1"/>
  <c r="I157" i="1" s="1"/>
  <c r="I158" i="1" s="1"/>
  <c r="I80" i="1"/>
  <c r="AO83" i="1"/>
  <c r="AO68" i="1"/>
  <c r="H104" i="1"/>
  <c r="H105" i="1" s="1"/>
  <c r="H106" i="1" s="1"/>
  <c r="H42" i="1"/>
  <c r="AJ174" i="1"/>
  <c r="AJ175" i="1" s="1"/>
  <c r="AJ276" i="1"/>
  <c r="AJ275" i="1"/>
  <c r="AJ272" i="1"/>
  <c r="AA91" i="1"/>
  <c r="AA101" i="1"/>
  <c r="AA102" i="1" s="1"/>
  <c r="S4" i="1" l="1"/>
  <c r="R6" i="1"/>
  <c r="R141" i="1" s="1"/>
  <c r="AR143" i="1"/>
  <c r="AS141" i="1"/>
  <c r="AS186" i="1" s="1"/>
  <c r="AR189" i="1"/>
  <c r="AS350" i="1"/>
  <c r="AT348" i="1"/>
  <c r="AS153" i="1"/>
  <c r="AS66" i="1" s="1"/>
  <c r="AT155" i="1"/>
  <c r="J129" i="1"/>
  <c r="AE332" i="1"/>
  <c r="AE316" i="1"/>
  <c r="AE210" i="1"/>
  <c r="AE37" i="1"/>
  <c r="AX76" i="1"/>
  <c r="J137" i="1"/>
  <c r="AJ332" i="1"/>
  <c r="AJ316" i="1"/>
  <c r="AJ210" i="1"/>
  <c r="AJ214" i="1" s="1"/>
  <c r="AJ37" i="1"/>
  <c r="I42" i="1"/>
  <c r="E90" i="1"/>
  <c r="F90" i="1"/>
  <c r="AS188" i="1"/>
  <c r="J188" i="1" s="1"/>
  <c r="AS115" i="1"/>
  <c r="AS60" i="1" s="1"/>
  <c r="AS74" i="1" s="1"/>
  <c r="AT113" i="1"/>
  <c r="J113" i="1"/>
  <c r="J115" i="1" s="1"/>
  <c r="G36" i="1"/>
  <c r="G1" i="1" s="1"/>
  <c r="G37" i="1"/>
  <c r="AL214" i="1"/>
  <c r="AN332" i="1"/>
  <c r="AN316" i="1"/>
  <c r="AN210" i="1"/>
  <c r="AN214" i="1" s="1"/>
  <c r="AN37" i="1"/>
  <c r="I325" i="1"/>
  <c r="I326" i="1" s="1"/>
  <c r="I280" i="1"/>
  <c r="I51" i="1"/>
  <c r="I25" i="1"/>
  <c r="AU260" i="1"/>
  <c r="H303" i="1"/>
  <c r="H304" i="1"/>
  <c r="Q144" i="1"/>
  <c r="Q143" i="1"/>
  <c r="AZ136" i="1"/>
  <c r="AY62" i="1"/>
  <c r="AY76" i="1" s="1"/>
  <c r="I304" i="1"/>
  <c r="I303" i="1"/>
  <c r="AU242" i="1"/>
  <c r="AR74" i="1"/>
  <c r="J60" i="1"/>
  <c r="AO202" i="1"/>
  <c r="I199" i="1"/>
  <c r="AH332" i="1"/>
  <c r="AH316" i="1"/>
  <c r="AH210" i="1"/>
  <c r="AH37" i="1"/>
  <c r="AG222" i="1"/>
  <c r="AG234" i="1" s="1"/>
  <c r="AG235" i="1" s="1"/>
  <c r="AU182" i="1"/>
  <c r="H325" i="1"/>
  <c r="H326" i="1" s="1"/>
  <c r="H280" i="1"/>
  <c r="H51" i="1"/>
  <c r="H25" i="1"/>
  <c r="AO173" i="1"/>
  <c r="AO174" i="1"/>
  <c r="AO175" i="1" s="1"/>
  <c r="I170" i="1"/>
  <c r="AO82" i="1"/>
  <c r="AP68" i="1"/>
  <c r="I68" i="1"/>
  <c r="D83" i="1"/>
  <c r="E83" i="1"/>
  <c r="AI316" i="1"/>
  <c r="AI332" i="1"/>
  <c r="AI210" i="1"/>
  <c r="AI214" i="1" s="1"/>
  <c r="AI37" i="1"/>
  <c r="AG332" i="1"/>
  <c r="AG316" i="1"/>
  <c r="AG210" i="1"/>
  <c r="AG214" i="1" s="1"/>
  <c r="AG37" i="1"/>
  <c r="AM332" i="1"/>
  <c r="AM316" i="1"/>
  <c r="AM210" i="1"/>
  <c r="AM214" i="1" s="1"/>
  <c r="AM37" i="1"/>
  <c r="AL276" i="1"/>
  <c r="AL272" i="1"/>
  <c r="AL275" i="1"/>
  <c r="AL273" i="1"/>
  <c r="E55" i="1"/>
  <c r="E34" i="1"/>
  <c r="E37" i="1" s="1"/>
  <c r="E36" i="1"/>
  <c r="E1" i="1" s="1"/>
  <c r="AM276" i="1"/>
  <c r="AM275" i="1"/>
  <c r="AM272" i="1"/>
  <c r="AM273" i="1"/>
  <c r="G121" i="1"/>
  <c r="F119" i="1"/>
  <c r="F121" i="1" s="1"/>
  <c r="AK304" i="1"/>
  <c r="AK303" i="1"/>
  <c r="AS144" i="1"/>
  <c r="AR142" i="1"/>
  <c r="AR65" i="1" s="1"/>
  <c r="AR186" i="1"/>
  <c r="AR201" i="1" s="1"/>
  <c r="AR205" i="1" s="1"/>
  <c r="AR221" i="1" s="1"/>
  <c r="AO316" i="1"/>
  <c r="AO332" i="1"/>
  <c r="AO210" i="1"/>
  <c r="AO214" i="1" s="1"/>
  <c r="AO37" i="1"/>
  <c r="E77" i="1"/>
  <c r="D77" i="1"/>
  <c r="G154" i="1"/>
  <c r="F151" i="1"/>
  <c r="F154" i="1" s="1"/>
  <c r="H102" i="1"/>
  <c r="AO137" i="1"/>
  <c r="AP137" i="1"/>
  <c r="C144" i="1"/>
  <c r="I48" i="1"/>
  <c r="AP126" i="1"/>
  <c r="AP199" i="1"/>
  <c r="AQ199" i="1"/>
  <c r="AQ202" i="1" s="1"/>
  <c r="J124" i="1"/>
  <c r="J126" i="1" s="1"/>
  <c r="D101" i="1"/>
  <c r="D102" i="1" s="1"/>
  <c r="D91" i="1"/>
  <c r="AU94" i="1"/>
  <c r="AT97" i="1"/>
  <c r="AT87" i="1"/>
  <c r="AT199" i="1" s="1"/>
  <c r="AX293" i="1"/>
  <c r="AY288" i="1"/>
  <c r="AP101" i="1"/>
  <c r="AP100" i="1"/>
  <c r="AP91" i="1"/>
  <c r="AP110" i="1"/>
  <c r="AP73" i="1"/>
  <c r="AP63" i="1"/>
  <c r="AP77" i="1" s="1"/>
  <c r="AP43" i="1" s="1"/>
  <c r="AP11" i="1" s="1"/>
  <c r="AK26" i="1"/>
  <c r="H167" i="1"/>
  <c r="G303" i="1"/>
  <c r="G304" i="1"/>
  <c r="AV119" i="1"/>
  <c r="AU121" i="1"/>
  <c r="AQ201" i="1"/>
  <c r="AV134" i="1"/>
  <c r="AW132" i="1"/>
  <c r="K132" i="1"/>
  <c r="K134" i="1" s="1"/>
  <c r="AR66" i="1"/>
  <c r="J153" i="1"/>
  <c r="AG304" i="1"/>
  <c r="AG303" i="1"/>
  <c r="AS255" i="1"/>
  <c r="AR219" i="1"/>
  <c r="AQ65" i="1"/>
  <c r="AF332" i="1"/>
  <c r="AF316" i="1"/>
  <c r="AF210" i="1"/>
  <c r="AF214" i="1" s="1"/>
  <c r="AF37" i="1"/>
  <c r="AU313" i="1"/>
  <c r="AU311" i="1"/>
  <c r="AT229" i="1"/>
  <c r="AU152" i="1"/>
  <c r="AT154" i="1"/>
  <c r="BA297" i="1"/>
  <c r="AP148" i="1"/>
  <c r="AP79" i="1"/>
  <c r="AP69" i="1"/>
  <c r="AP83" i="1" s="1"/>
  <c r="AP44" i="1" s="1"/>
  <c r="AP12" i="1" s="1"/>
  <c r="AR89" i="1"/>
  <c r="AQ59" i="1"/>
  <c r="I302" i="1"/>
  <c r="AS201" i="1" l="1"/>
  <c r="AS205" i="1" s="1"/>
  <c r="AS221" i="1" s="1"/>
  <c r="J186" i="1"/>
  <c r="AP18" i="1"/>
  <c r="AQ148" i="1"/>
  <c r="AQ79" i="1"/>
  <c r="AR159" i="1"/>
  <c r="AR80" i="1"/>
  <c r="J66" i="1"/>
  <c r="AT202" i="1"/>
  <c r="AP202" i="1"/>
  <c r="J199" i="1"/>
  <c r="AR301" i="1"/>
  <c r="G210" i="1"/>
  <c r="AE214" i="1"/>
  <c r="G214" i="1" s="1"/>
  <c r="AT350" i="1"/>
  <c r="AU348" i="1"/>
  <c r="R143" i="1"/>
  <c r="R144" i="1"/>
  <c r="AQ205" i="1"/>
  <c r="AQ221" i="1" s="1"/>
  <c r="AP14" i="1"/>
  <c r="AP17" i="1"/>
  <c r="AY293" i="1"/>
  <c r="AZ288" i="1"/>
  <c r="AR148" i="1"/>
  <c r="AR79" i="1"/>
  <c r="I82" i="1"/>
  <c r="I69" i="1"/>
  <c r="I83" i="1" s="1"/>
  <c r="AV182" i="1"/>
  <c r="AV260" i="1"/>
  <c r="I327" i="1"/>
  <c r="S6" i="1"/>
  <c r="S141" i="1" s="1"/>
  <c r="T4" i="1"/>
  <c r="AQ110" i="1"/>
  <c r="AQ101" i="1"/>
  <c r="AQ100" i="1"/>
  <c r="AQ91" i="1"/>
  <c r="AQ63" i="1"/>
  <c r="AQ77" i="1" s="1"/>
  <c r="AQ43" i="1" s="1"/>
  <c r="AQ11" i="1" s="1"/>
  <c r="AQ73" i="1"/>
  <c r="AV311" i="1"/>
  <c r="AV313" i="1"/>
  <c r="AU229" i="1"/>
  <c r="AW134" i="1"/>
  <c r="AX132" i="1"/>
  <c r="AV94" i="1"/>
  <c r="AU87" i="1"/>
  <c r="AS142" i="1"/>
  <c r="AT144" i="1"/>
  <c r="AP82" i="1"/>
  <c r="AQ68" i="1"/>
  <c r="AQ69" i="1" s="1"/>
  <c r="AQ83" i="1" s="1"/>
  <c r="AQ44" i="1" s="1"/>
  <c r="AQ12" i="1" s="1"/>
  <c r="AO291" i="1"/>
  <c r="AO289" i="1"/>
  <c r="I173" i="1"/>
  <c r="AH214" i="1"/>
  <c r="I202" i="1"/>
  <c r="AO204" i="1"/>
  <c r="I204" i="1" s="1"/>
  <c r="AV242" i="1"/>
  <c r="I27" i="1"/>
  <c r="I54" i="1"/>
  <c r="I210" i="1"/>
  <c r="AT188" i="1"/>
  <c r="AT115" i="1"/>
  <c r="AT60" i="1" s="1"/>
  <c r="AU155" i="1"/>
  <c r="AT153" i="1"/>
  <c r="AS143" i="1"/>
  <c r="AT141" i="1"/>
  <c r="AS189" i="1"/>
  <c r="AS89" i="1"/>
  <c r="AR59" i="1"/>
  <c r="AV152" i="1"/>
  <c r="AU154" i="1"/>
  <c r="AT255" i="1"/>
  <c r="AS219" i="1"/>
  <c r="J155" i="1"/>
  <c r="J152" i="1"/>
  <c r="J154" i="1" s="1"/>
  <c r="AV121" i="1"/>
  <c r="AW119" i="1"/>
  <c r="AN376" i="1"/>
  <c r="AN377" i="1" s="1"/>
  <c r="AN379" i="1" s="1"/>
  <c r="AK54" i="1"/>
  <c r="H26" i="1"/>
  <c r="H54" i="1" s="1"/>
  <c r="AL376" i="1"/>
  <c r="AL377" i="1" s="1"/>
  <c r="AL379" i="1" s="1"/>
  <c r="AK376" i="1"/>
  <c r="AK377" i="1" s="1"/>
  <c r="AK379" i="1" s="1"/>
  <c r="AK27" i="1"/>
  <c r="AM376" i="1"/>
  <c r="AM377" i="1" s="1"/>
  <c r="AM379" i="1" s="1"/>
  <c r="H327" i="1"/>
  <c r="J116" i="1"/>
  <c r="J117" i="1" s="1"/>
  <c r="J74" i="1"/>
  <c r="BA136" i="1"/>
  <c r="BA62" i="1" s="1"/>
  <c r="BA76" i="1" s="1"/>
  <c r="AZ62" i="1"/>
  <c r="I214" i="1"/>
  <c r="AS159" i="1"/>
  <c r="AS80" i="1"/>
  <c r="AQ18" i="1" l="1"/>
  <c r="AQ50" i="1" s="1"/>
  <c r="AQ17" i="1"/>
  <c r="AQ14" i="1"/>
  <c r="AZ76" i="1"/>
  <c r="L62" i="1"/>
  <c r="AK331" i="1"/>
  <c r="AK317" i="1"/>
  <c r="AK55" i="1"/>
  <c r="AK36" i="1"/>
  <c r="AK1" i="1" s="1"/>
  <c r="AK34" i="1"/>
  <c r="AT89" i="1"/>
  <c r="AS59" i="1"/>
  <c r="I317" i="1"/>
  <c r="I55" i="1"/>
  <c r="I34" i="1"/>
  <c r="I36" i="1"/>
  <c r="I1" i="1" s="1"/>
  <c r="AV87" i="1"/>
  <c r="AV199" i="1" s="1"/>
  <c r="AV202" i="1" s="1"/>
  <c r="AW94" i="1"/>
  <c r="AV97" i="1"/>
  <c r="K94" i="1"/>
  <c r="AW313" i="1"/>
  <c r="AW311" i="1" s="1"/>
  <c r="AV229" i="1"/>
  <c r="S143" i="1"/>
  <c r="S144" i="1"/>
  <c r="AW260" i="1"/>
  <c r="J201" i="1"/>
  <c r="J202" i="1"/>
  <c r="AP205" i="1"/>
  <c r="AP50" i="1"/>
  <c r="AT143" i="1"/>
  <c r="AU141" i="1"/>
  <c r="AT189" i="1"/>
  <c r="AT186" i="1"/>
  <c r="AW242" i="1"/>
  <c r="AU144" i="1"/>
  <c r="AT142" i="1"/>
  <c r="AX134" i="1"/>
  <c r="AY132" i="1"/>
  <c r="AP49" i="1"/>
  <c r="AP20" i="1"/>
  <c r="AQ301" i="1"/>
  <c r="AX119" i="1"/>
  <c r="AW121" i="1"/>
  <c r="AV154" i="1"/>
  <c r="AW152" i="1"/>
  <c r="AW154" i="1" s="1"/>
  <c r="AT66" i="1"/>
  <c r="I220" i="1"/>
  <c r="I222" i="1" s="1"/>
  <c r="I234" i="1" s="1"/>
  <c r="AS65" i="1"/>
  <c r="J142" i="1"/>
  <c r="AW182" i="1"/>
  <c r="BA288" i="1"/>
  <c r="AZ293" i="1"/>
  <c r="AV348" i="1"/>
  <c r="AU350" i="1"/>
  <c r="G220" i="1"/>
  <c r="G222" i="1" s="1"/>
  <c r="G234" i="1" s="1"/>
  <c r="H27" i="1"/>
  <c r="AU255" i="1"/>
  <c r="AT219" i="1"/>
  <c r="AR101" i="1"/>
  <c r="AR100" i="1"/>
  <c r="AR110" i="1"/>
  <c r="AR91" i="1"/>
  <c r="AR73" i="1"/>
  <c r="AR63" i="1"/>
  <c r="AR77" i="1" s="1"/>
  <c r="AR43" i="1" s="1"/>
  <c r="AR11" i="1" s="1"/>
  <c r="AV155" i="1"/>
  <c r="AU153" i="1"/>
  <c r="AU66" i="1" s="1"/>
  <c r="AT74" i="1"/>
  <c r="AQ82" i="1"/>
  <c r="AR68" i="1"/>
  <c r="AU199" i="1"/>
  <c r="AU88" i="1"/>
  <c r="T6" i="1"/>
  <c r="T141" i="1" s="1"/>
  <c r="U4" i="1"/>
  <c r="AP170" i="1"/>
  <c r="AP42" i="1"/>
  <c r="AP295" i="1"/>
  <c r="AP302" i="1"/>
  <c r="AP296" i="1"/>
  <c r="AP104" i="1"/>
  <c r="AP105" i="1" s="1"/>
  <c r="AP106" i="1" s="1"/>
  <c r="AP102" i="1" s="1"/>
  <c r="I174" i="1"/>
  <c r="I175" i="1" s="1"/>
  <c r="J159" i="1"/>
  <c r="J157" i="1" s="1"/>
  <c r="J158" i="1" s="1"/>
  <c r="J80" i="1"/>
  <c r="AS301" i="1"/>
  <c r="AR17" i="1" l="1"/>
  <c r="AR14" i="1"/>
  <c r="T144" i="1"/>
  <c r="T143" i="1"/>
  <c r="AS68" i="1"/>
  <c r="AR82" i="1"/>
  <c r="AR69" i="1"/>
  <c r="AR83" i="1" s="1"/>
  <c r="AR44" i="1" s="1"/>
  <c r="AR12" i="1" s="1"/>
  <c r="J141" i="1"/>
  <c r="J143" i="1" s="1"/>
  <c r="AZ132" i="1"/>
  <c r="AY134" i="1"/>
  <c r="L136" i="1"/>
  <c r="L137" i="1" s="1"/>
  <c r="L76" i="1"/>
  <c r="AU159" i="1"/>
  <c r="AU80" i="1"/>
  <c r="AV350" i="1"/>
  <c r="AW348" i="1"/>
  <c r="AS148" i="1"/>
  <c r="J148" i="1" s="1"/>
  <c r="J146" i="1" s="1"/>
  <c r="J147" i="1" s="1"/>
  <c r="AS79" i="1"/>
  <c r="AS69" i="1"/>
  <c r="AS83" i="1" s="1"/>
  <c r="AS44" i="1" s="1"/>
  <c r="J65" i="1"/>
  <c r="AT159" i="1"/>
  <c r="AT80" i="1"/>
  <c r="AX121" i="1"/>
  <c r="AY119" i="1"/>
  <c r="AP278" i="1"/>
  <c r="AP171" i="1"/>
  <c r="AP173" i="1" s="1"/>
  <c r="AP48" i="1"/>
  <c r="AP22" i="1"/>
  <c r="AP45" i="1"/>
  <c r="AP374" i="1"/>
  <c r="AT201" i="1"/>
  <c r="K95" i="1"/>
  <c r="K87" i="1"/>
  <c r="AS101" i="1"/>
  <c r="AS100" i="1"/>
  <c r="AS91" i="1"/>
  <c r="AS110" i="1"/>
  <c r="AS73" i="1"/>
  <c r="AS63" i="1"/>
  <c r="AS77" i="1" s="1"/>
  <c r="AS43" i="1" s="1"/>
  <c r="AS11" i="1" s="1"/>
  <c r="AQ170" i="1"/>
  <c r="AQ42" i="1"/>
  <c r="AQ295" i="1"/>
  <c r="AQ296" i="1"/>
  <c r="AQ104" i="1"/>
  <c r="AQ105" i="1" s="1"/>
  <c r="AQ106" i="1" s="1"/>
  <c r="AQ102" i="1" s="1"/>
  <c r="AU108" i="1"/>
  <c r="AU96" i="1"/>
  <c r="AU187" i="1"/>
  <c r="AU114" i="1"/>
  <c r="AU125" i="1"/>
  <c r="AU113" i="1"/>
  <c r="AW155" i="1"/>
  <c r="AV153" i="1"/>
  <c r="AV66" i="1" s="1"/>
  <c r="H317" i="1"/>
  <c r="H55" i="1"/>
  <c r="H34" i="1"/>
  <c r="H36" i="1"/>
  <c r="H1" i="1" s="1"/>
  <c r="BA293" i="1"/>
  <c r="J68" i="1"/>
  <c r="J82" i="1" s="1"/>
  <c r="AQ303" i="1"/>
  <c r="AT65" i="1"/>
  <c r="AX260" i="1"/>
  <c r="I316" i="1"/>
  <c r="I37" i="1"/>
  <c r="AU89" i="1"/>
  <c r="AT59" i="1"/>
  <c r="AQ49" i="1"/>
  <c r="AQ20" i="1"/>
  <c r="U6" i="1"/>
  <c r="U141" i="1" s="1"/>
  <c r="V4" i="1"/>
  <c r="AU202" i="1"/>
  <c r="AV255" i="1"/>
  <c r="AU219" i="1"/>
  <c r="AX182" i="1"/>
  <c r="AV144" i="1"/>
  <c r="AU142" i="1"/>
  <c r="AU65" i="1" s="1"/>
  <c r="AX242" i="1"/>
  <c r="AV141" i="1"/>
  <c r="AU143" i="1"/>
  <c r="AU189" i="1"/>
  <c r="AP221" i="1"/>
  <c r="J205" i="1"/>
  <c r="AX313" i="1"/>
  <c r="AX311" i="1" s="1"/>
  <c r="AW229" i="1"/>
  <c r="AW87" i="1"/>
  <c r="AX94" i="1"/>
  <c r="AK332" i="1"/>
  <c r="AK316" i="1"/>
  <c r="AK210" i="1"/>
  <c r="AK37" i="1"/>
  <c r="AS14" i="1" l="1"/>
  <c r="AS17" i="1"/>
  <c r="J11" i="1"/>
  <c r="AP174" i="1"/>
  <c r="AP175" i="1" s="1"/>
  <c r="AW199" i="1"/>
  <c r="AW88" i="1"/>
  <c r="AV143" i="1"/>
  <c r="AW141" i="1"/>
  <c r="AV189" i="1"/>
  <c r="AU148" i="1"/>
  <c r="AU79" i="1"/>
  <c r="AT148" i="1"/>
  <c r="AT79" i="1"/>
  <c r="AX155" i="1"/>
  <c r="AW153" i="1"/>
  <c r="AW66" i="1" s="1"/>
  <c r="AT205" i="1"/>
  <c r="AY121" i="1"/>
  <c r="AZ119" i="1"/>
  <c r="AW350" i="1"/>
  <c r="AX348" i="1"/>
  <c r="K153" i="1"/>
  <c r="AS12" i="1"/>
  <c r="AR18" i="1"/>
  <c r="J12" i="1"/>
  <c r="J44" i="1" s="1"/>
  <c r="AS375" i="1"/>
  <c r="AP301" i="1"/>
  <c r="AP281" i="1"/>
  <c r="AP245" i="1"/>
  <c r="AQ375" i="1"/>
  <c r="AP375" i="1"/>
  <c r="AR375" i="1"/>
  <c r="J221" i="1"/>
  <c r="AW144" i="1"/>
  <c r="AV142" i="1"/>
  <c r="AW255" i="1"/>
  <c r="AV219" i="1"/>
  <c r="AT101" i="1"/>
  <c r="AT100" i="1"/>
  <c r="AT91" i="1"/>
  <c r="AT110" i="1"/>
  <c r="AT73" i="1"/>
  <c r="AT63" i="1"/>
  <c r="AT77" i="1" s="1"/>
  <c r="AT43" i="1" s="1"/>
  <c r="AT11" i="1" s="1"/>
  <c r="AU188" i="1"/>
  <c r="AU115" i="1"/>
  <c r="AU60" i="1" s="1"/>
  <c r="AV113" i="1"/>
  <c r="AU186" i="1"/>
  <c r="AP325" i="1"/>
  <c r="AP326" i="1" s="1"/>
  <c r="AP280" i="1"/>
  <c r="AP51" i="1"/>
  <c r="AP25" i="1"/>
  <c r="AP279" i="1"/>
  <c r="J79" i="1"/>
  <c r="J69" i="1"/>
  <c r="J83" i="1" s="1"/>
  <c r="AR170" i="1"/>
  <c r="AR42" i="1"/>
  <c r="AR295" i="1"/>
  <c r="AR296" i="1"/>
  <c r="AR303" i="1"/>
  <c r="AR104" i="1"/>
  <c r="AR105" i="1" s="1"/>
  <c r="AR106" i="1" s="1"/>
  <c r="AR102" i="1" s="1"/>
  <c r="AY242" i="1"/>
  <c r="AY182" i="1"/>
  <c r="V6" i="1"/>
  <c r="V141" i="1" s="1"/>
  <c r="W4" i="1"/>
  <c r="AV89" i="1"/>
  <c r="AU59" i="1"/>
  <c r="H316" i="1"/>
  <c r="H37" i="1"/>
  <c r="AV125" i="1"/>
  <c r="AU126" i="1"/>
  <c r="AU61" i="1"/>
  <c r="AU97" i="1"/>
  <c r="AQ173" i="1"/>
  <c r="AQ374" i="1"/>
  <c r="BA132" i="1"/>
  <c r="BA134" i="1" s="1"/>
  <c r="AZ134" i="1"/>
  <c r="L132" i="1"/>
  <c r="L134" i="1" s="1"/>
  <c r="J144" i="1"/>
  <c r="AS82" i="1"/>
  <c r="AT68" i="1"/>
  <c r="AT69" i="1" s="1"/>
  <c r="AT83" i="1" s="1"/>
  <c r="AT44" i="1" s="1"/>
  <c r="AK214" i="1"/>
  <c r="H214" i="1" s="1"/>
  <c r="H210" i="1"/>
  <c r="AY94" i="1"/>
  <c r="AX87" i="1"/>
  <c r="AX199" i="1" s="1"/>
  <c r="AY313" i="1"/>
  <c r="AY311" i="1" s="1"/>
  <c r="AX229" i="1"/>
  <c r="U144" i="1"/>
  <c r="U143" i="1"/>
  <c r="AQ171" i="1"/>
  <c r="AQ45" i="1"/>
  <c r="AQ48" i="1"/>
  <c r="AY260" i="1"/>
  <c r="AV159" i="1"/>
  <c r="AV80" i="1"/>
  <c r="AV114" i="1"/>
  <c r="AW114" i="1" s="1"/>
  <c r="AX114" i="1" s="1"/>
  <c r="K114" i="1"/>
  <c r="AR49" i="1"/>
  <c r="AR20" i="1"/>
  <c r="J17" i="1"/>
  <c r="AT17" i="1" l="1"/>
  <c r="J46" i="1"/>
  <c r="J49" i="1"/>
  <c r="AY114" i="1"/>
  <c r="AZ114" i="1" s="1"/>
  <c r="BA114" i="1" s="1"/>
  <c r="H220" i="1"/>
  <c r="H222" i="1" s="1"/>
  <c r="H234" i="1" s="1"/>
  <c r="AQ174" i="1"/>
  <c r="AQ175" i="1" s="1"/>
  <c r="AU75" i="1"/>
  <c r="AU110" i="1"/>
  <c r="AU101" i="1"/>
  <c r="AU100" i="1"/>
  <c r="AU91" i="1"/>
  <c r="AU63" i="1"/>
  <c r="AU77" i="1" s="1"/>
  <c r="AU43" i="1" s="1"/>
  <c r="AU11" i="1" s="1"/>
  <c r="AU73" i="1"/>
  <c r="V144" i="1"/>
  <c r="V143" i="1"/>
  <c r="AR173" i="1"/>
  <c r="AP27" i="1"/>
  <c r="AP26" i="1"/>
  <c r="AR374" i="1"/>
  <c r="AU74" i="1"/>
  <c r="AX350" i="1"/>
  <c r="AY348" i="1"/>
  <c r="AW143" i="1"/>
  <c r="AX141" i="1"/>
  <c r="AW189" i="1"/>
  <c r="J43" i="1"/>
  <c r="J14" i="1"/>
  <c r="AR171" i="1"/>
  <c r="AR45" i="1"/>
  <c r="AR48" i="1"/>
  <c r="AW89" i="1"/>
  <c r="AV59" i="1"/>
  <c r="AZ242" i="1"/>
  <c r="AU201" i="1"/>
  <c r="AV65" i="1"/>
  <c r="K142" i="1"/>
  <c r="AP304" i="1"/>
  <c r="AP303" i="1"/>
  <c r="AR50" i="1"/>
  <c r="AT221" i="1"/>
  <c r="AW159" i="1"/>
  <c r="AW80" i="1"/>
  <c r="AS49" i="1"/>
  <c r="AX202" i="1"/>
  <c r="AV126" i="1"/>
  <c r="AW125" i="1"/>
  <c r="AV61" i="1"/>
  <c r="AV75" i="1" s="1"/>
  <c r="AZ182" i="1"/>
  <c r="AW142" i="1"/>
  <c r="AW65" i="1" s="1"/>
  <c r="AX144" i="1"/>
  <c r="AS18" i="1"/>
  <c r="AS50" i="1" s="1"/>
  <c r="AT12" i="1"/>
  <c r="BA119" i="1"/>
  <c r="AZ121" i="1"/>
  <c r="L119" i="1"/>
  <c r="L121" i="1" s="1"/>
  <c r="AY155" i="1"/>
  <c r="AX153" i="1"/>
  <c r="AW187" i="1"/>
  <c r="K187" i="1" s="1"/>
  <c r="AW96" i="1"/>
  <c r="AW108" i="1"/>
  <c r="K108" i="1" s="1"/>
  <c r="AX88" i="1"/>
  <c r="AZ260" i="1"/>
  <c r="AZ313" i="1"/>
  <c r="AZ311" i="1"/>
  <c r="AY229" i="1"/>
  <c r="AZ94" i="1"/>
  <c r="AY87" i="1"/>
  <c r="AY199" i="1" s="1"/>
  <c r="AY202" i="1" s="1"/>
  <c r="AT82" i="1"/>
  <c r="AU68" i="1"/>
  <c r="W6" i="1"/>
  <c r="W141" i="1" s="1"/>
  <c r="X4" i="1"/>
  <c r="AP327" i="1"/>
  <c r="AV188" i="1"/>
  <c r="AV115" i="1"/>
  <c r="AV60" i="1" s="1"/>
  <c r="AV74" i="1" s="1"/>
  <c r="AW113" i="1"/>
  <c r="AV186" i="1"/>
  <c r="AV201" i="1" s="1"/>
  <c r="AV205" i="1" s="1"/>
  <c r="AV221" i="1" s="1"/>
  <c r="AX255" i="1"/>
  <c r="AW219" i="1"/>
  <c r="J301" i="1"/>
  <c r="AP306" i="1"/>
  <c r="AQ245" i="1"/>
  <c r="AP247" i="1"/>
  <c r="K152" i="1"/>
  <c r="K154" i="1" s="1"/>
  <c r="AW202" i="1"/>
  <c r="K199" i="1"/>
  <c r="AS170" i="1"/>
  <c r="J170" i="1" s="1"/>
  <c r="AS42" i="1"/>
  <c r="AS295" i="1"/>
  <c r="AS296" i="1"/>
  <c r="AS104" i="1"/>
  <c r="AS105" i="1" s="1"/>
  <c r="AS106" i="1" s="1"/>
  <c r="AS102" i="1" s="1"/>
  <c r="AS303" i="1"/>
  <c r="AU17" i="1" l="1"/>
  <c r="AR245" i="1"/>
  <c r="AW188" i="1"/>
  <c r="AW115" i="1"/>
  <c r="AW60" i="1" s="1"/>
  <c r="AW74" i="1" s="1"/>
  <c r="AX113" i="1"/>
  <c r="AU82" i="1"/>
  <c r="AV68" i="1"/>
  <c r="AU69" i="1"/>
  <c r="AU83" i="1" s="1"/>
  <c r="AU44" i="1" s="1"/>
  <c r="AU12" i="1" s="1"/>
  <c r="AW186" i="1"/>
  <c r="AW201" i="1" s="1"/>
  <c r="AW205" i="1" s="1"/>
  <c r="AW221" i="1" s="1"/>
  <c r="AZ155" i="1"/>
  <c r="AY153" i="1"/>
  <c r="AY66" i="1" s="1"/>
  <c r="AT18" i="1"/>
  <c r="AT301" i="1"/>
  <c r="AT375" i="1"/>
  <c r="BA242" i="1"/>
  <c r="AP243" i="1"/>
  <c r="AP376" i="1"/>
  <c r="AP377" i="1" s="1"/>
  <c r="AP379" i="1" s="1"/>
  <c r="L114" i="1"/>
  <c r="AT14" i="1"/>
  <c r="K155" i="1"/>
  <c r="AY255" i="1"/>
  <c r="AX219" i="1"/>
  <c r="X6" i="1"/>
  <c r="X141" i="1" s="1"/>
  <c r="Y4" i="1"/>
  <c r="AX96" i="1"/>
  <c r="AX108" i="1"/>
  <c r="AY88" i="1"/>
  <c r="AX187" i="1"/>
  <c r="AX186" i="1"/>
  <c r="BA182" i="1"/>
  <c r="L182" i="1" s="1"/>
  <c r="AW126" i="1"/>
  <c r="AX125" i="1"/>
  <c r="AW61" i="1"/>
  <c r="AW75" i="1" s="1"/>
  <c r="K125" i="1"/>
  <c r="K126" i="1" s="1"/>
  <c r="AV101" i="1"/>
  <c r="AV100" i="1"/>
  <c r="AV110" i="1"/>
  <c r="AV91" i="1"/>
  <c r="AV73" i="1"/>
  <c r="AV63" i="1"/>
  <c r="AV77" i="1" s="1"/>
  <c r="AV43" i="1" s="1"/>
  <c r="AV11" i="1" s="1"/>
  <c r="AX143" i="1"/>
  <c r="AY141" i="1"/>
  <c r="AX189" i="1"/>
  <c r="AP314" i="1"/>
  <c r="AP312" i="1" s="1"/>
  <c r="AP317" i="1" s="1"/>
  <c r="AP34" i="1"/>
  <c r="AP55" i="1"/>
  <c r="AT49" i="1"/>
  <c r="AT20" i="1"/>
  <c r="W143" i="1"/>
  <c r="W144" i="1"/>
  <c r="BA313" i="1"/>
  <c r="BA229" i="1" s="1"/>
  <c r="K229" i="1" s="1"/>
  <c r="AZ229" i="1"/>
  <c r="AX142" i="1"/>
  <c r="AY144" i="1"/>
  <c r="J18" i="1"/>
  <c r="K141" i="1"/>
  <c r="K143" i="1" s="1"/>
  <c r="K186" i="1"/>
  <c r="AX89" i="1"/>
  <c r="AW59" i="1"/>
  <c r="J42" i="1"/>
  <c r="AP308" i="1"/>
  <c r="AP258" i="1"/>
  <c r="AQ21" i="1"/>
  <c r="J303" i="1"/>
  <c r="AV301" i="1"/>
  <c r="AZ87" i="1"/>
  <c r="AZ199" i="1" s="1"/>
  <c r="AZ202" i="1" s="1"/>
  <c r="BA94" i="1"/>
  <c r="BA87" i="1" s="1"/>
  <c r="BA199" i="1" s="1"/>
  <c r="BA202" i="1" s="1"/>
  <c r="K202" i="1" s="1"/>
  <c r="BA260" i="1"/>
  <c r="AW97" i="1"/>
  <c r="K96" i="1"/>
  <c r="AX66" i="1"/>
  <c r="BA121" i="1"/>
  <c r="K119" i="1"/>
  <c r="K121" i="1" s="1"/>
  <c r="AW148" i="1"/>
  <c r="AW79" i="1"/>
  <c r="AS20" i="1"/>
  <c r="AV148" i="1"/>
  <c r="K148" i="1" s="1"/>
  <c r="K146" i="1" s="1"/>
  <c r="K147" i="1" s="1"/>
  <c r="AV79" i="1"/>
  <c r="AV69" i="1"/>
  <c r="AV83" i="1" s="1"/>
  <c r="AV44" i="1" s="1"/>
  <c r="K65" i="1"/>
  <c r="AU205" i="1"/>
  <c r="K201" i="1"/>
  <c r="AY350" i="1"/>
  <c r="AZ348" i="1"/>
  <c r="AR174" i="1"/>
  <c r="AR175" i="1" s="1"/>
  <c r="L94" i="1"/>
  <c r="AV14" i="1" l="1"/>
  <c r="AV17" i="1"/>
  <c r="AU18" i="1"/>
  <c r="AU50" i="1" s="1"/>
  <c r="AV12" i="1"/>
  <c r="AU14" i="1"/>
  <c r="L87" i="1"/>
  <c r="L95" i="1"/>
  <c r="BA348" i="1"/>
  <c r="BA350" i="1" s="1"/>
  <c r="AZ350" i="1"/>
  <c r="K97" i="1"/>
  <c r="K88" i="1"/>
  <c r="AV303" i="1"/>
  <c r="AQ211" i="1"/>
  <c r="AQ22" i="1"/>
  <c r="AZ144" i="1"/>
  <c r="AY142" i="1"/>
  <c r="AY65" i="1" s="1"/>
  <c r="BA311" i="1"/>
  <c r="AY143" i="1"/>
  <c r="AZ141" i="1"/>
  <c r="AY189" i="1"/>
  <c r="AX126" i="1"/>
  <c r="AY125" i="1"/>
  <c r="AX61" i="1"/>
  <c r="AT170" i="1"/>
  <c r="AT42" i="1"/>
  <c r="AT295" i="1"/>
  <c r="AT296" i="1"/>
  <c r="AT104" i="1"/>
  <c r="AT105" i="1" s="1"/>
  <c r="AT106" i="1" s="1"/>
  <c r="AT102" i="1" s="1"/>
  <c r="L199" i="1"/>
  <c r="AY159" i="1"/>
  <c r="AY80" i="1"/>
  <c r="AV82" i="1"/>
  <c r="AW68" i="1"/>
  <c r="AX188" i="1"/>
  <c r="AX115" i="1"/>
  <c r="AX60" i="1" s="1"/>
  <c r="AY113" i="1"/>
  <c r="L229" i="1"/>
  <c r="AX65" i="1"/>
  <c r="AT171" i="1"/>
  <c r="AT48" i="1"/>
  <c r="AT45" i="1"/>
  <c r="AP316" i="1"/>
  <c r="AP261" i="1"/>
  <c r="AP210" i="1"/>
  <c r="L202" i="1"/>
  <c r="AX201" i="1"/>
  <c r="AX97" i="1"/>
  <c r="AZ255" i="1"/>
  <c r="AY219" i="1"/>
  <c r="BA155" i="1"/>
  <c r="BA153" i="1" s="1"/>
  <c r="BA66" i="1" s="1"/>
  <c r="AZ153" i="1"/>
  <c r="AU221" i="1"/>
  <c r="K205" i="1"/>
  <c r="AX159" i="1"/>
  <c r="AX80" i="1"/>
  <c r="AW101" i="1"/>
  <c r="AW100" i="1"/>
  <c r="AW91" i="1"/>
  <c r="AW110" i="1"/>
  <c r="AW73" i="1"/>
  <c r="AW63" i="1"/>
  <c r="AW77" i="1" s="1"/>
  <c r="AW43" i="1" s="1"/>
  <c r="AW11" i="1" s="1"/>
  <c r="K144" i="1"/>
  <c r="Y6" i="1"/>
  <c r="Y141" i="1" s="1"/>
  <c r="Z4" i="1"/>
  <c r="K61" i="1"/>
  <c r="AT303" i="1"/>
  <c r="AW301" i="1"/>
  <c r="AU49" i="1"/>
  <c r="K79" i="1"/>
  <c r="AS171" i="1"/>
  <c r="AS173" i="1" s="1"/>
  <c r="AS48" i="1"/>
  <c r="AS45" i="1"/>
  <c r="AT374" i="1"/>
  <c r="AS374" i="1"/>
  <c r="AY89" i="1"/>
  <c r="AX59" i="1"/>
  <c r="J50" i="1"/>
  <c r="J47" i="1"/>
  <c r="J20" i="1"/>
  <c r="AP38" i="1"/>
  <c r="AP36" i="1" s="1"/>
  <c r="AP1" i="1" s="1"/>
  <c r="K182" i="1"/>
  <c r="AY108" i="1"/>
  <c r="AZ88" i="1"/>
  <c r="AY96" i="1"/>
  <c r="AY97" i="1" s="1"/>
  <c r="AY187" i="1"/>
  <c r="AY186" i="1"/>
  <c r="AY201" i="1" s="1"/>
  <c r="AY205" i="1" s="1"/>
  <c r="AY221" i="1" s="1"/>
  <c r="X143" i="1"/>
  <c r="X144" i="1"/>
  <c r="AP212" i="1"/>
  <c r="AT50" i="1"/>
  <c r="AS245" i="1"/>
  <c r="AW17" i="1" l="1"/>
  <c r="K11" i="1"/>
  <c r="AT245" i="1"/>
  <c r="AX101" i="1"/>
  <c r="AX100" i="1"/>
  <c r="AX91" i="1"/>
  <c r="AX110" i="1"/>
  <c r="AX73" i="1"/>
  <c r="AX63" i="1"/>
  <c r="AX77" i="1" s="1"/>
  <c r="AX43" i="1" s="1"/>
  <c r="AX11" i="1" s="1"/>
  <c r="AS174" i="1"/>
  <c r="AS175" i="1" s="1"/>
  <c r="AP37" i="1"/>
  <c r="AY188" i="1"/>
  <c r="AY115" i="1"/>
  <c r="AY60" i="1" s="1"/>
  <c r="AY74" i="1" s="1"/>
  <c r="AZ113" i="1"/>
  <c r="AT173" i="1"/>
  <c r="AT174" i="1" s="1"/>
  <c r="AT175" i="1" s="1"/>
  <c r="AZ125" i="1"/>
  <c r="AY126" i="1"/>
  <c r="AY61" i="1"/>
  <c r="AY75" i="1" s="1"/>
  <c r="AQ325" i="1"/>
  <c r="AQ326" i="1" s="1"/>
  <c r="AQ51" i="1"/>
  <c r="AZ96" i="1"/>
  <c r="AZ108" i="1"/>
  <c r="BA88" i="1"/>
  <c r="AZ187" i="1"/>
  <c r="AZ186" i="1"/>
  <c r="AZ89" i="1"/>
  <c r="AY59" i="1"/>
  <c r="Z6" i="1"/>
  <c r="Z141" i="1" s="1"/>
  <c r="AA4" i="1"/>
  <c r="AX148" i="1"/>
  <c r="AX79" i="1"/>
  <c r="AX74" i="1"/>
  <c r="K311" i="1"/>
  <c r="L311" i="1"/>
  <c r="AU170" i="1"/>
  <c r="AU42" i="1"/>
  <c r="AU295" i="1"/>
  <c r="AU296" i="1"/>
  <c r="AU104" i="1"/>
  <c r="AU105" i="1" s="1"/>
  <c r="AU106" i="1" s="1"/>
  <c r="AU102" i="1" s="1"/>
  <c r="J45" i="1"/>
  <c r="J48" i="1"/>
  <c r="K128" i="1"/>
  <c r="K129" i="1" s="1"/>
  <c r="K75" i="1"/>
  <c r="AU301" i="1"/>
  <c r="AW375" i="1"/>
  <c r="AV375" i="1"/>
  <c r="AU375" i="1"/>
  <c r="K221" i="1"/>
  <c r="BA255" i="1"/>
  <c r="AZ219" i="1"/>
  <c r="AY301" i="1"/>
  <c r="AU20" i="1"/>
  <c r="Y144" i="1"/>
  <c r="Y143" i="1"/>
  <c r="AZ66" i="1"/>
  <c r="BA80" i="1" s="1"/>
  <c r="L153" i="1"/>
  <c r="L152" i="1" s="1"/>
  <c r="L154" i="1" s="1"/>
  <c r="AX205" i="1"/>
  <c r="AP263" i="1"/>
  <c r="AY148" i="1"/>
  <c r="AY79" i="1"/>
  <c r="AQ300" i="1"/>
  <c r="AQ246" i="1"/>
  <c r="AQ281" i="1"/>
  <c r="AV18" i="1"/>
  <c r="AV49" i="1"/>
  <c r="AV20" i="1"/>
  <c r="K17" i="1"/>
  <c r="BA159" i="1"/>
  <c r="K66" i="1"/>
  <c r="AW82" i="1"/>
  <c r="AX68" i="1"/>
  <c r="K68" i="1"/>
  <c r="K82" i="1" s="1"/>
  <c r="AW69" i="1"/>
  <c r="AW83" i="1" s="1"/>
  <c r="AW44" i="1" s="1"/>
  <c r="AW12" i="1" s="1"/>
  <c r="AX75" i="1"/>
  <c r="BA141" i="1"/>
  <c r="AZ143" i="1"/>
  <c r="AZ189" i="1"/>
  <c r="BA144" i="1"/>
  <c r="BA142" i="1" s="1"/>
  <c r="BA65" i="1" s="1"/>
  <c r="AZ142" i="1"/>
  <c r="AV170" i="1"/>
  <c r="AV42" i="1"/>
  <c r="AV295" i="1"/>
  <c r="AV296" i="1"/>
  <c r="AV104" i="1"/>
  <c r="AV105" i="1" s="1"/>
  <c r="AV106" i="1" s="1"/>
  <c r="AV102" i="1" s="1"/>
  <c r="AX12" i="1" l="1"/>
  <c r="AX14" i="1" s="1"/>
  <c r="AW18" i="1"/>
  <c r="AW50" i="1" s="1"/>
  <c r="K12" i="1"/>
  <c r="K44" i="1" s="1"/>
  <c r="AW14" i="1"/>
  <c r="AX17" i="1"/>
  <c r="AY11" i="1"/>
  <c r="AV171" i="1"/>
  <c r="AV45" i="1"/>
  <c r="AV48" i="1"/>
  <c r="AX221" i="1"/>
  <c r="K301" i="1"/>
  <c r="AZ65" i="1"/>
  <c r="L142" i="1"/>
  <c r="L141" i="1" s="1"/>
  <c r="L143" i="1" s="1"/>
  <c r="BA143" i="1"/>
  <c r="BA189" i="1"/>
  <c r="K49" i="1"/>
  <c r="K46" i="1"/>
  <c r="AV50" i="1"/>
  <c r="K18" i="1"/>
  <c r="AQ302" i="1"/>
  <c r="AQ304" i="1"/>
  <c r="AQ306" i="1"/>
  <c r="AU303" i="1"/>
  <c r="AZ201" i="1"/>
  <c r="AZ97" i="1"/>
  <c r="AZ126" i="1"/>
  <c r="BA125" i="1"/>
  <c r="AZ61" i="1"/>
  <c r="AZ188" i="1"/>
  <c r="AZ115" i="1"/>
  <c r="AZ60" i="1" s="1"/>
  <c r="AZ74" i="1" s="1"/>
  <c r="BA113" i="1"/>
  <c r="L113" i="1"/>
  <c r="L115" i="1" s="1"/>
  <c r="AU245" i="1"/>
  <c r="BA148" i="1"/>
  <c r="BA79" i="1"/>
  <c r="BA219" i="1"/>
  <c r="AU173" i="1"/>
  <c r="AU174" i="1" s="1"/>
  <c r="AU175" i="1" s="1"/>
  <c r="AQ327" i="1"/>
  <c r="AV173" i="1"/>
  <c r="AV174" i="1"/>
  <c r="AV175" i="1" s="1"/>
  <c r="AX82" i="1"/>
  <c r="AY68" i="1"/>
  <c r="L189" i="1"/>
  <c r="AP339" i="1"/>
  <c r="AP320" i="1"/>
  <c r="AP319" i="1"/>
  <c r="AP331" i="1"/>
  <c r="AP332" i="1"/>
  <c r="AU171" i="1"/>
  <c r="AU48" i="1"/>
  <c r="AU45" i="1"/>
  <c r="AV374" i="1"/>
  <c r="AU374" i="1"/>
  <c r="AA6" i="1"/>
  <c r="AA141" i="1" s="1"/>
  <c r="AB4" i="1"/>
  <c r="AY110" i="1"/>
  <c r="AY101" i="1"/>
  <c r="AY100" i="1"/>
  <c r="AY91" i="1"/>
  <c r="AY63" i="1"/>
  <c r="AY77" i="1" s="1"/>
  <c r="AY43" i="1" s="1"/>
  <c r="AY73" i="1"/>
  <c r="BA96" i="1"/>
  <c r="BA97" i="1" s="1"/>
  <c r="BA108" i="1"/>
  <c r="BA186" i="1"/>
  <c r="BA201" i="1" s="1"/>
  <c r="BA205" i="1" s="1"/>
  <c r="BA221" i="1" s="1"/>
  <c r="BA187" i="1"/>
  <c r="L187" i="1" s="1"/>
  <c r="AW20" i="1"/>
  <c r="AW49" i="1"/>
  <c r="K159" i="1"/>
  <c r="K157" i="1" s="1"/>
  <c r="K158" i="1" s="1"/>
  <c r="K80" i="1"/>
  <c r="K69" i="1"/>
  <c r="K83" i="1" s="1"/>
  <c r="AQ307" i="1"/>
  <c r="AQ247" i="1"/>
  <c r="AZ159" i="1"/>
  <c r="AZ80" i="1"/>
  <c r="L66" i="1"/>
  <c r="AX69" i="1"/>
  <c r="AX83" i="1" s="1"/>
  <c r="AX44" i="1" s="1"/>
  <c r="Z144" i="1"/>
  <c r="Z143" i="1"/>
  <c r="BA89" i="1"/>
  <c r="BA59" i="1" s="1"/>
  <c r="AZ59" i="1"/>
  <c r="L108" i="1"/>
  <c r="K43" i="1"/>
  <c r="AX170" i="1" l="1"/>
  <c r="AX42" i="1"/>
  <c r="AX295" i="1"/>
  <c r="AX296" i="1"/>
  <c r="AX104" i="1"/>
  <c r="AX105" i="1" s="1"/>
  <c r="AX106" i="1" s="1"/>
  <c r="AX102" i="1" s="1"/>
  <c r="BA301" i="1"/>
  <c r="L188" i="1"/>
  <c r="L96" i="1"/>
  <c r="K50" i="1"/>
  <c r="K47" i="1"/>
  <c r="K20" i="1"/>
  <c r="AZ148" i="1"/>
  <c r="L148" i="1" s="1"/>
  <c r="L146" i="1" s="1"/>
  <c r="L147" i="1" s="1"/>
  <c r="AZ79" i="1"/>
  <c r="L65" i="1"/>
  <c r="AX301" i="1"/>
  <c r="AY375" i="1"/>
  <c r="AX375" i="1"/>
  <c r="AW170" i="1"/>
  <c r="AW42" i="1"/>
  <c r="AW295" i="1"/>
  <c r="AW296" i="1"/>
  <c r="AW104" i="1"/>
  <c r="AW105" i="1" s="1"/>
  <c r="AW106" i="1" s="1"/>
  <c r="AW102" i="1" s="1"/>
  <c r="AW303" i="1"/>
  <c r="J219" i="1"/>
  <c r="K219" i="1"/>
  <c r="L219" i="1"/>
  <c r="AZ75" i="1"/>
  <c r="J189" i="1"/>
  <c r="K189" i="1"/>
  <c r="AY17" i="1"/>
  <c r="AW171" i="1"/>
  <c r="AW48" i="1"/>
  <c r="AW45" i="1"/>
  <c r="AX374" i="1"/>
  <c r="K14" i="1"/>
  <c r="AZ73" i="1"/>
  <c r="AZ101" i="1"/>
  <c r="AZ100" i="1"/>
  <c r="AZ110" i="1"/>
  <c r="AZ63" i="1"/>
  <c r="AZ77" i="1" s="1"/>
  <c r="AZ43" i="1" s="1"/>
  <c r="AZ11" i="1" s="1"/>
  <c r="AZ91" i="1"/>
  <c r="L59" i="1"/>
  <c r="AQ308" i="1"/>
  <c r="AQ258" i="1"/>
  <c r="AR21" i="1"/>
  <c r="AB6" i="1"/>
  <c r="AB141" i="1" s="1"/>
  <c r="AC4" i="1"/>
  <c r="AW374" i="1"/>
  <c r="K171" i="1"/>
  <c r="BA188" i="1"/>
  <c r="K188" i="1" s="1"/>
  <c r="BA115" i="1"/>
  <c r="BA60" i="1" s="1"/>
  <c r="BA63" i="1" s="1"/>
  <c r="BA77" i="1" s="1"/>
  <c r="BA43" i="1" s="1"/>
  <c r="K113" i="1"/>
  <c r="K115" i="1" s="1"/>
  <c r="BA126" i="1"/>
  <c r="BA61" i="1"/>
  <c r="BA75" i="1" s="1"/>
  <c r="L125" i="1"/>
  <c r="L186" i="1"/>
  <c r="K303" i="1"/>
  <c r="BA101" i="1"/>
  <c r="BA100" i="1"/>
  <c r="BA91" i="1"/>
  <c r="BA110" i="1"/>
  <c r="BA73" i="1"/>
  <c r="J59" i="1"/>
  <c r="K59" i="1"/>
  <c r="L159" i="1"/>
  <c r="L157" i="1" s="1"/>
  <c r="L158" i="1" s="1"/>
  <c r="L80" i="1"/>
  <c r="AA144" i="1"/>
  <c r="AA143" i="1"/>
  <c r="AY82" i="1"/>
  <c r="AZ68" i="1"/>
  <c r="AY69" i="1"/>
  <c r="AY83" i="1" s="1"/>
  <c r="AY44" i="1" s="1"/>
  <c r="AV245" i="1"/>
  <c r="AZ205" i="1"/>
  <c r="L201" i="1"/>
  <c r="AX49" i="1"/>
  <c r="AX20" i="1"/>
  <c r="AX18" i="1"/>
  <c r="AY12" i="1"/>
  <c r="BA11" i="1" l="1"/>
  <c r="AZ17" i="1"/>
  <c r="L11" i="1"/>
  <c r="AW245" i="1"/>
  <c r="BA68" i="1"/>
  <c r="L68" i="1" s="1"/>
  <c r="AZ82" i="1"/>
  <c r="AX50" i="1"/>
  <c r="AR211" i="1"/>
  <c r="AR22" i="1"/>
  <c r="L110" i="1"/>
  <c r="L89" i="1"/>
  <c r="L90" i="1" s="1"/>
  <c r="L100" i="1"/>
  <c r="L73" i="1"/>
  <c r="K42" i="1"/>
  <c r="AY49" i="1"/>
  <c r="L79" i="1"/>
  <c r="K45" i="1"/>
  <c r="K48" i="1"/>
  <c r="L88" i="1"/>
  <c r="L97" i="1"/>
  <c r="AX171" i="1"/>
  <c r="AX48" i="1"/>
  <c r="AX45" i="1"/>
  <c r="AZ221" i="1"/>
  <c r="L205" i="1"/>
  <c r="K104" i="1"/>
  <c r="K105" i="1" s="1"/>
  <c r="K106" i="1" s="1"/>
  <c r="K101" i="1"/>
  <c r="K110" i="1"/>
  <c r="K89" i="1"/>
  <c r="K100" i="1"/>
  <c r="K91" i="1"/>
  <c r="K73" i="1"/>
  <c r="L126" i="1"/>
  <c r="L128" i="1"/>
  <c r="L129" i="1" s="1"/>
  <c r="BA74" i="1"/>
  <c r="K60" i="1"/>
  <c r="K63" i="1" s="1"/>
  <c r="K77" i="1" s="1"/>
  <c r="AC6" i="1"/>
  <c r="AC141" i="1" s="1"/>
  <c r="AD4" i="1"/>
  <c r="AW173" i="1"/>
  <c r="AW174" i="1"/>
  <c r="AW175" i="1" s="1"/>
  <c r="K170" i="1"/>
  <c r="AX303" i="1"/>
  <c r="AZ69" i="1"/>
  <c r="AZ83" i="1" s="1"/>
  <c r="AZ44" i="1" s="1"/>
  <c r="AY18" i="1"/>
  <c r="AY50" i="1" s="1"/>
  <c r="AZ12" i="1"/>
  <c r="AZ14" i="1" s="1"/>
  <c r="J104" i="1"/>
  <c r="J105" i="1" s="1"/>
  <c r="J106" i="1" s="1"/>
  <c r="J101" i="1"/>
  <c r="J102" i="1" s="1"/>
  <c r="J110" i="1"/>
  <c r="J100" i="1"/>
  <c r="J91" i="1"/>
  <c r="J63" i="1"/>
  <c r="J77" i="1" s="1"/>
  <c r="J73" i="1"/>
  <c r="J89" i="1"/>
  <c r="J90" i="1" s="1"/>
  <c r="AB143" i="1"/>
  <c r="AB144" i="1"/>
  <c r="AY14" i="1"/>
  <c r="L61" i="1"/>
  <c r="L75" i="1" s="1"/>
  <c r="L60" i="1"/>
  <c r="AX173" i="1"/>
  <c r="AX174" i="1" s="1"/>
  <c r="AX175" i="1" s="1"/>
  <c r="L82" i="1" l="1"/>
  <c r="L69" i="1"/>
  <c r="L83" i="1" s="1"/>
  <c r="AZ170" i="1"/>
  <c r="AZ42" i="1"/>
  <c r="AZ295" i="1"/>
  <c r="AZ296" i="1"/>
  <c r="AZ104" i="1"/>
  <c r="AZ105" i="1" s="1"/>
  <c r="AZ106" i="1" s="1"/>
  <c r="AZ102" i="1" s="1"/>
  <c r="AD6" i="1"/>
  <c r="AE4" i="1"/>
  <c r="AZ301" i="1"/>
  <c r="BA375" i="1"/>
  <c r="AZ375" i="1"/>
  <c r="L221" i="1"/>
  <c r="L43" i="1"/>
  <c r="L116" i="1"/>
  <c r="L117" i="1" s="1"/>
  <c r="L74" i="1"/>
  <c r="AC144" i="1"/>
  <c r="AC143" i="1"/>
  <c r="K102" i="1"/>
  <c r="L63" i="1"/>
  <c r="L77" i="1" s="1"/>
  <c r="AR325" i="1"/>
  <c r="AR326" i="1" s="1"/>
  <c r="AR51" i="1"/>
  <c r="AZ18" i="1"/>
  <c r="AZ50" i="1" s="1"/>
  <c r="K116" i="1"/>
  <c r="K117" i="1" s="1"/>
  <c r="K74" i="1"/>
  <c r="AR300" i="1"/>
  <c r="AR281" i="1"/>
  <c r="AR246" i="1"/>
  <c r="BA82" i="1"/>
  <c r="BA69" i="1"/>
  <c r="BA83" i="1" s="1"/>
  <c r="BA44" i="1" s="1"/>
  <c r="BA12" i="1" s="1"/>
  <c r="AZ49" i="1"/>
  <c r="AZ20" i="1"/>
  <c r="L17" i="1"/>
  <c r="AY170" i="1"/>
  <c r="AY42" i="1"/>
  <c r="AY295" i="1"/>
  <c r="AY296" i="1"/>
  <c r="AY303" i="1"/>
  <c r="AY104" i="1"/>
  <c r="AY105" i="1" s="1"/>
  <c r="AY106" i="1" s="1"/>
  <c r="AY102" i="1" s="1"/>
  <c r="K173" i="1"/>
  <c r="K174" i="1" s="1"/>
  <c r="K175" i="1" s="1"/>
  <c r="K90" i="1"/>
  <c r="AY20" i="1"/>
  <c r="BA17" i="1"/>
  <c r="AX245" i="1"/>
  <c r="BA18" i="1" l="1"/>
  <c r="L12" i="1"/>
  <c r="BA14" i="1"/>
  <c r="AE6" i="1"/>
  <c r="AF4" i="1"/>
  <c r="AY245" i="1"/>
  <c r="AY171" i="1"/>
  <c r="AY45" i="1"/>
  <c r="AY48" i="1"/>
  <c r="AZ374" i="1"/>
  <c r="AY374" i="1"/>
  <c r="L49" i="1"/>
  <c r="L46" i="1"/>
  <c r="AR302" i="1"/>
  <c r="AR304" i="1"/>
  <c r="AR306" i="1"/>
  <c r="AR327" i="1"/>
  <c r="AD292" i="1"/>
  <c r="AD290" i="1"/>
  <c r="AD152" i="1"/>
  <c r="AD141" i="1"/>
  <c r="AD288" i="1"/>
  <c r="BA20" i="1"/>
  <c r="BA374" i="1" s="1"/>
  <c r="BA49" i="1"/>
  <c r="AY174" i="1"/>
  <c r="AY175" i="1" s="1"/>
  <c r="AY173" i="1"/>
  <c r="AZ171" i="1"/>
  <c r="AZ45" i="1"/>
  <c r="AZ48" i="1"/>
  <c r="AR307" i="1"/>
  <c r="AR247" i="1"/>
  <c r="AZ303" i="1"/>
  <c r="L301" i="1"/>
  <c r="AZ173" i="1"/>
  <c r="AZ174" i="1" s="1"/>
  <c r="AZ175" i="1" s="1"/>
  <c r="AR308" i="1" l="1"/>
  <c r="AR258" i="1"/>
  <c r="AS21" i="1"/>
  <c r="AD154" i="1"/>
  <c r="AD155" i="1"/>
  <c r="AE141" i="1"/>
  <c r="AE152" i="1"/>
  <c r="AE288" i="1"/>
  <c r="AE290" i="1"/>
  <c r="AE292" i="1"/>
  <c r="BA171" i="1"/>
  <c r="J171" i="1" s="1"/>
  <c r="BA48" i="1"/>
  <c r="BA45" i="1"/>
  <c r="L91" i="1"/>
  <c r="L101" i="1"/>
  <c r="BA170" i="1"/>
  <c r="BA42" i="1"/>
  <c r="BA295" i="1"/>
  <c r="BA296" i="1"/>
  <c r="BA104" i="1"/>
  <c r="BA105" i="1" s="1"/>
  <c r="BA106" i="1" s="1"/>
  <c r="BA102" i="1" s="1"/>
  <c r="BA303" i="1"/>
  <c r="AD293" i="1"/>
  <c r="AZ245" i="1"/>
  <c r="L44" i="1"/>
  <c r="L14" i="1"/>
  <c r="L303" i="1"/>
  <c r="AD143" i="1"/>
  <c r="AD144" i="1"/>
  <c r="AF6" i="1"/>
  <c r="AG4" i="1"/>
  <c r="BA50" i="1"/>
  <c r="L18" i="1"/>
  <c r="AF152" i="1" l="1"/>
  <c r="AF141" i="1"/>
  <c r="AF288" i="1"/>
  <c r="AF293" i="1" s="1"/>
  <c r="AF292" i="1"/>
  <c r="AF290" i="1"/>
  <c r="BA245" i="1"/>
  <c r="L102" i="1"/>
  <c r="AE144" i="1"/>
  <c r="AE143" i="1"/>
  <c r="L42" i="1"/>
  <c r="L104" i="1"/>
  <c r="L105" i="1" s="1"/>
  <c r="L106" i="1" s="1"/>
  <c r="L171" i="1"/>
  <c r="AE293" i="1"/>
  <c r="L50" i="1"/>
  <c r="L47" i="1"/>
  <c r="L20" i="1"/>
  <c r="AG6" i="1"/>
  <c r="AH4" i="1"/>
  <c r="BA173" i="1"/>
  <c r="BA174" i="1"/>
  <c r="BA175" i="1" s="1"/>
  <c r="L170" i="1"/>
  <c r="AE155" i="1"/>
  <c r="AE154" i="1"/>
  <c r="AS211" i="1"/>
  <c r="AS22" i="1"/>
  <c r="J21" i="1"/>
  <c r="AF155" i="1" l="1"/>
  <c r="AF154" i="1"/>
  <c r="J173" i="1"/>
  <c r="L173" i="1"/>
  <c r="AI4" i="1"/>
  <c r="AH6" i="1"/>
  <c r="J22" i="1"/>
  <c r="AS325" i="1"/>
  <c r="AS326" i="1" s="1"/>
  <c r="AS51" i="1"/>
  <c r="L174" i="1"/>
  <c r="L175" i="1" s="1"/>
  <c r="AG152" i="1"/>
  <c r="AG141" i="1"/>
  <c r="AG288" i="1"/>
  <c r="AG290" i="1"/>
  <c r="AG292" i="1"/>
  <c r="AF144" i="1"/>
  <c r="AF143" i="1"/>
  <c r="AS300" i="1"/>
  <c r="AS281" i="1"/>
  <c r="J211" i="1"/>
  <c r="AS246" i="1"/>
  <c r="L48" i="1"/>
  <c r="L45" i="1"/>
  <c r="AG155" i="1" l="1"/>
  <c r="AG154" i="1"/>
  <c r="J325" i="1"/>
  <c r="J326" i="1" s="1"/>
  <c r="J51" i="1"/>
  <c r="AS302" i="1"/>
  <c r="AS304" i="1"/>
  <c r="AS306" i="1"/>
  <c r="AS327" i="1"/>
  <c r="AS307" i="1"/>
  <c r="AS247" i="1"/>
  <c r="AG293" i="1"/>
  <c r="AH288" i="1"/>
  <c r="AH290" i="1"/>
  <c r="AH292" i="1"/>
  <c r="J174" i="1"/>
  <c r="J175" i="1" s="1"/>
  <c r="J300" i="1"/>
  <c r="J281" i="1"/>
  <c r="AG144" i="1"/>
  <c r="AG143" i="1"/>
  <c r="AI6" i="1"/>
  <c r="AJ4" i="1"/>
  <c r="AI288" i="1" l="1"/>
  <c r="AI292" i="1"/>
  <c r="AI290" i="1"/>
  <c r="J302" i="1"/>
  <c r="J304" i="1"/>
  <c r="AS308" i="1"/>
  <c r="AS258" i="1"/>
  <c r="AT21" i="1"/>
  <c r="J327" i="1"/>
  <c r="AH293" i="1"/>
  <c r="AJ6" i="1"/>
  <c r="AK4" i="1"/>
  <c r="AK6" i="1" l="1"/>
  <c r="AL4" i="1"/>
  <c r="AJ288" i="1"/>
  <c r="AJ293" i="1" s="1"/>
  <c r="AJ290" i="1"/>
  <c r="AJ292" i="1"/>
  <c r="AT211" i="1"/>
  <c r="AT22" i="1"/>
  <c r="AI293" i="1"/>
  <c r="AT325" i="1" l="1"/>
  <c r="AT326" i="1" s="1"/>
  <c r="AT51" i="1"/>
  <c r="AT300" i="1"/>
  <c r="AT281" i="1"/>
  <c r="AT246" i="1"/>
  <c r="AL6" i="1"/>
  <c r="AM4" i="1"/>
  <c r="AK152" i="1"/>
  <c r="AK141" i="1"/>
  <c r="AK288" i="1"/>
  <c r="AK290" i="1"/>
  <c r="AK292" i="1"/>
  <c r="AK143" i="1" l="1"/>
  <c r="AK144" i="1"/>
  <c r="AT307" i="1"/>
  <c r="AT247" i="1"/>
  <c r="AK154" i="1"/>
  <c r="AK155" i="1"/>
  <c r="AM6" i="1"/>
  <c r="AN4" i="1"/>
  <c r="AK293" i="1"/>
  <c r="AL288" i="1"/>
  <c r="AL290" i="1"/>
  <c r="AL292" i="1"/>
  <c r="AT302" i="1"/>
  <c r="AT304" i="1"/>
  <c r="AT306" i="1"/>
  <c r="AT327" i="1"/>
  <c r="AM288" i="1" l="1"/>
  <c r="AM290" i="1"/>
  <c r="AM292" i="1"/>
  <c r="AL293" i="1"/>
  <c r="AN6" i="1"/>
  <c r="AO4" i="1"/>
  <c r="AT308" i="1"/>
  <c r="AT258" i="1"/>
  <c r="AU21" i="1"/>
  <c r="AU211" i="1" l="1"/>
  <c r="AU22" i="1"/>
  <c r="AO6" i="1"/>
  <c r="AP4" i="1"/>
  <c r="AN288" i="1"/>
  <c r="AN292" i="1"/>
  <c r="AN290" i="1"/>
  <c r="AM293" i="1"/>
  <c r="AO288" i="1" l="1"/>
  <c r="AO290" i="1"/>
  <c r="AO292" i="1"/>
  <c r="AN293" i="1"/>
  <c r="AU325" i="1"/>
  <c r="AU326" i="1" s="1"/>
  <c r="AU51" i="1"/>
  <c r="AP6" i="1"/>
  <c r="AQ4" i="1"/>
  <c r="AU300" i="1"/>
  <c r="AU281" i="1"/>
  <c r="AU246" i="1"/>
  <c r="AU307" i="1" l="1"/>
  <c r="AU247" i="1"/>
  <c r="AU302" i="1"/>
  <c r="AU304" i="1"/>
  <c r="AU306" i="1"/>
  <c r="AQ6" i="1"/>
  <c r="AR4" i="1"/>
  <c r="AP240" i="1"/>
  <c r="AP241" i="1"/>
  <c r="AP253" i="1"/>
  <c r="AU327" i="1"/>
  <c r="AO293" i="1"/>
  <c r="AQ240" i="1" l="1"/>
  <c r="AQ253" i="1"/>
  <c r="AQ241" i="1"/>
  <c r="AU308" i="1"/>
  <c r="AV21" i="1"/>
  <c r="AU258" i="1"/>
  <c r="AR6" i="1"/>
  <c r="AS4" i="1"/>
  <c r="AP256" i="1"/>
  <c r="AP218" i="1"/>
  <c r="AP291" i="1"/>
  <c r="AQ291" i="1"/>
  <c r="AP217" i="1"/>
  <c r="AP289" i="1"/>
  <c r="AQ289" i="1"/>
  <c r="AP352" i="1"/>
  <c r="AP353" i="1" s="1"/>
  <c r="AP323" i="1"/>
  <c r="AP216" i="1"/>
  <c r="AP287" i="1"/>
  <c r="AQ287" i="1"/>
  <c r="AR240" i="1" l="1"/>
  <c r="AR241" i="1"/>
  <c r="AR253" i="1"/>
  <c r="AQ217" i="1"/>
  <c r="AR289" i="1"/>
  <c r="AV211" i="1"/>
  <c r="AV22" i="1"/>
  <c r="AQ256" i="1"/>
  <c r="AQ218" i="1"/>
  <c r="AP220" i="1"/>
  <c r="AP222" i="1" s="1"/>
  <c r="AP335" i="1"/>
  <c r="AP337" i="1" s="1"/>
  <c r="AP341" i="1" s="1"/>
  <c r="AP355" i="1" s="1"/>
  <c r="AP329" i="1"/>
  <c r="AP330" i="1"/>
  <c r="AS6" i="1"/>
  <c r="AT4" i="1"/>
  <c r="AQ352" i="1"/>
  <c r="AQ353" i="1" s="1"/>
  <c r="AQ216" i="1"/>
  <c r="AR287" i="1"/>
  <c r="AP360" i="1" l="1"/>
  <c r="AP257" i="1" s="1"/>
  <c r="AP356" i="1"/>
  <c r="AT6" i="1"/>
  <c r="AU4" i="1"/>
  <c r="AV300" i="1"/>
  <c r="AV281" i="1"/>
  <c r="AV246" i="1"/>
  <c r="AR256" i="1"/>
  <c r="AR218" i="1"/>
  <c r="AR217" i="1"/>
  <c r="AS240" i="1"/>
  <c r="AS241" i="1"/>
  <c r="AS253" i="1"/>
  <c r="AS291" i="1" s="1"/>
  <c r="AR291" i="1"/>
  <c r="AV325" i="1"/>
  <c r="AV326" i="1" s="1"/>
  <c r="AV51" i="1"/>
  <c r="AR352" i="1"/>
  <c r="AR353" i="1" s="1"/>
  <c r="AR216" i="1"/>
  <c r="AS287" i="1"/>
  <c r="AS217" i="1" l="1"/>
  <c r="AS352" i="1"/>
  <c r="AS353" i="1" s="1"/>
  <c r="AS216" i="1"/>
  <c r="AS289" i="1"/>
  <c r="AV302" i="1"/>
  <c r="AV304" i="1"/>
  <c r="AV306" i="1"/>
  <c r="AV327" i="1"/>
  <c r="AS256" i="1"/>
  <c r="AS218" i="1"/>
  <c r="J217" i="1"/>
  <c r="AV307" i="1"/>
  <c r="AV247" i="1"/>
  <c r="AU6" i="1"/>
  <c r="AV4" i="1"/>
  <c r="AP269" i="1"/>
  <c r="AP268" i="1"/>
  <c r="AP264" i="1"/>
  <c r="AT240" i="1"/>
  <c r="AT287" i="1" s="1"/>
  <c r="AT253" i="1"/>
  <c r="AT241" i="1"/>
  <c r="AT289" i="1" s="1"/>
  <c r="AT256" i="1" l="1"/>
  <c r="AT218" i="1"/>
  <c r="AP228" i="1"/>
  <c r="AP271" i="1"/>
  <c r="AQ23" i="1"/>
  <c r="AT352" i="1"/>
  <c r="AT353" i="1" s="1"/>
  <c r="AT216" i="1"/>
  <c r="AW4" i="1"/>
  <c r="AV6" i="1"/>
  <c r="AU240" i="1"/>
  <c r="AU253" i="1"/>
  <c r="AU241" i="1"/>
  <c r="AT217" i="1"/>
  <c r="AU289" i="1"/>
  <c r="AV308" i="1"/>
  <c r="AV258" i="1"/>
  <c r="AW21" i="1"/>
  <c r="AT291" i="1"/>
  <c r="AU256" i="1" l="1"/>
  <c r="AU218" i="1"/>
  <c r="AW6" i="1"/>
  <c r="AX4" i="1"/>
  <c r="AW211" i="1"/>
  <c r="AW22" i="1"/>
  <c r="K21" i="1"/>
  <c r="AU352" i="1"/>
  <c r="AU353" i="1" s="1"/>
  <c r="AU216" i="1"/>
  <c r="AU287" i="1"/>
  <c r="AQ378" i="1"/>
  <c r="AQ279" i="1"/>
  <c r="AQ278" i="1"/>
  <c r="AQ25" i="1"/>
  <c r="AQ280" i="1"/>
  <c r="AU291" i="1"/>
  <c r="AU217" i="1"/>
  <c r="AV289" i="1"/>
  <c r="AV240" i="1"/>
  <c r="AV287" i="1" s="1"/>
  <c r="AV253" i="1"/>
  <c r="AV241" i="1"/>
  <c r="AP234" i="1"/>
  <c r="AV256" i="1" l="1"/>
  <c r="AV218" i="1"/>
  <c r="AW300" i="1"/>
  <c r="AW281" i="1"/>
  <c r="AW246" i="1"/>
  <c r="AW240" i="1"/>
  <c r="AW253" i="1"/>
  <c r="AW241" i="1"/>
  <c r="AQ27" i="1"/>
  <c r="AQ26" i="1"/>
  <c r="AV291" i="1"/>
  <c r="K22" i="1"/>
  <c r="AV352" i="1"/>
  <c r="AV353" i="1" s="1"/>
  <c r="AV216" i="1"/>
  <c r="AW287" i="1"/>
  <c r="AP239" i="1"/>
  <c r="AP235" i="1"/>
  <c r="AV217" i="1"/>
  <c r="AW289" i="1"/>
  <c r="AW325" i="1"/>
  <c r="AW326" i="1" s="1"/>
  <c r="AW51" i="1"/>
  <c r="AY4" i="1"/>
  <c r="AX6" i="1"/>
  <c r="AX240" i="1" l="1"/>
  <c r="AX253" i="1"/>
  <c r="AX241" i="1"/>
  <c r="K325" i="1"/>
  <c r="K326" i="1" s="1"/>
  <c r="K51" i="1"/>
  <c r="AW256" i="1"/>
  <c r="AW218" i="1"/>
  <c r="AX291" i="1"/>
  <c r="AW302" i="1"/>
  <c r="AW304" i="1"/>
  <c r="AW306" i="1"/>
  <c r="K216" i="1"/>
  <c r="AQ376" i="1"/>
  <c r="AQ377" i="1" s="1"/>
  <c r="AQ379" i="1" s="1"/>
  <c r="AQ243" i="1"/>
  <c r="AW352" i="1"/>
  <c r="AW353" i="1" s="1"/>
  <c r="AW216" i="1"/>
  <c r="AX287" i="1"/>
  <c r="AW291" i="1"/>
  <c r="AQ314" i="1"/>
  <c r="AQ312" i="1" s="1"/>
  <c r="AQ34" i="1"/>
  <c r="AQ55" i="1"/>
  <c r="AW307" i="1"/>
  <c r="AW247" i="1"/>
  <c r="K218" i="1"/>
  <c r="AY6" i="1"/>
  <c r="AZ4" i="1"/>
  <c r="AW327" i="1"/>
  <c r="AP357" i="1"/>
  <c r="AP371" i="1" s="1"/>
  <c r="AP324" i="1"/>
  <c r="AP244" i="1"/>
  <c r="AP2" i="1"/>
  <c r="AP270" i="1"/>
  <c r="AW217" i="1"/>
  <c r="AX289" i="1"/>
  <c r="AX217" i="1" l="1"/>
  <c r="AQ38" i="1"/>
  <c r="AQ36" i="1" s="1"/>
  <c r="AQ1" i="1" s="1"/>
  <c r="AW308" i="1"/>
  <c r="AX21" i="1"/>
  <c r="AW258" i="1"/>
  <c r="AQ316" i="1"/>
  <c r="AQ210" i="1"/>
  <c r="AQ37" i="1"/>
  <c r="AQ261" i="1"/>
  <c r="AQ317" i="1"/>
  <c r="AX256" i="1"/>
  <c r="AX218" i="1"/>
  <c r="AY240" i="1"/>
  <c r="AY241" i="1"/>
  <c r="AY253" i="1"/>
  <c r="AP286" i="1"/>
  <c r="AP285" i="1"/>
  <c r="AP284" i="1"/>
  <c r="AP250" i="1"/>
  <c r="AP265" i="1" s="1"/>
  <c r="AP272" i="1"/>
  <c r="AP275" i="1"/>
  <c r="AP276" i="1"/>
  <c r="AP273" i="1"/>
  <c r="AZ6" i="1"/>
  <c r="BA4" i="1"/>
  <c r="AX352" i="1"/>
  <c r="AX353" i="1" s="1"/>
  <c r="AX216" i="1"/>
  <c r="AY287" i="1"/>
  <c r="AQ212" i="1"/>
  <c r="AQ323" i="1"/>
  <c r="K327" i="1"/>
  <c r="AY256" i="1" l="1"/>
  <c r="AY218" i="1"/>
  <c r="AY217" i="1"/>
  <c r="AQ220" i="1"/>
  <c r="AQ222" i="1" s="1"/>
  <c r="AX211" i="1"/>
  <c r="AX22" i="1"/>
  <c r="BA6" i="1"/>
  <c r="I246" i="1"/>
  <c r="I307" i="1" s="1"/>
  <c r="G378" i="1"/>
  <c r="I257" i="1"/>
  <c r="J248" i="1"/>
  <c r="K248" i="1"/>
  <c r="H350" i="1"/>
  <c r="G245" i="1"/>
  <c r="H257" i="1"/>
  <c r="K352" i="1"/>
  <c r="G346" i="1"/>
  <c r="H255" i="1"/>
  <c r="H296" i="1" s="1"/>
  <c r="H253" i="1"/>
  <c r="H359" i="1"/>
  <c r="I260" i="1"/>
  <c r="G339" i="1"/>
  <c r="G246" i="1"/>
  <c r="G307" i="1" s="1"/>
  <c r="K349" i="1"/>
  <c r="H259" i="1"/>
  <c r="H378" i="1"/>
  <c r="J352" i="1"/>
  <c r="G253" i="1"/>
  <c r="G261" i="1"/>
  <c r="K359" i="1"/>
  <c r="J344" i="1"/>
  <c r="K253" i="1"/>
  <c r="H349" i="1"/>
  <c r="J245" i="1"/>
  <c r="H345" i="1"/>
  <c r="K249" i="1"/>
  <c r="G357" i="1"/>
  <c r="K345" i="1"/>
  <c r="K364" i="1" s="1"/>
  <c r="G360" i="1"/>
  <c r="G336" i="1"/>
  <c r="J345" i="1"/>
  <c r="G341" i="1"/>
  <c r="G371" i="1"/>
  <c r="I245" i="1"/>
  <c r="J370" i="1"/>
  <c r="I255" i="1"/>
  <c r="I296" i="1" s="1"/>
  <c r="I350" i="1"/>
  <c r="K348" i="1"/>
  <c r="I241" i="1"/>
  <c r="H357" i="1"/>
  <c r="J260" i="1"/>
  <c r="G257" i="1"/>
  <c r="H246" i="1"/>
  <c r="H307" i="1" s="1"/>
  <c r="J375" i="1"/>
  <c r="J346" i="1"/>
  <c r="H258" i="1"/>
  <c r="H353" i="1"/>
  <c r="I379" i="1"/>
  <c r="H337" i="1"/>
  <c r="J253" i="1"/>
  <c r="I337" i="1"/>
  <c r="J246" i="1"/>
  <c r="J307" i="1" s="1"/>
  <c r="H245" i="1"/>
  <c r="H336" i="1"/>
  <c r="G248" i="1"/>
  <c r="G356" i="1"/>
  <c r="I357" i="1"/>
  <c r="K374" i="1"/>
  <c r="G344" i="1"/>
  <c r="G363" i="1" s="1"/>
  <c r="H261" i="1"/>
  <c r="G353" i="1"/>
  <c r="J417" i="1"/>
  <c r="K346" i="1"/>
  <c r="I340" i="1"/>
  <c r="K313" i="1"/>
  <c r="H260" i="1"/>
  <c r="H241" i="1"/>
  <c r="H376" i="1"/>
  <c r="H374" i="1"/>
  <c r="G340" i="1"/>
  <c r="H242" i="1"/>
  <c r="H295" i="1" s="1"/>
  <c r="J336" i="1"/>
  <c r="L345" i="1"/>
  <c r="G249" i="1"/>
  <c r="G349" i="1"/>
  <c r="I375" i="1"/>
  <c r="K259" i="1"/>
  <c r="G254" i="1"/>
  <c r="H356" i="1"/>
  <c r="J242" i="1"/>
  <c r="J295" i="1" s="1"/>
  <c r="H377" i="1"/>
  <c r="H239" i="1"/>
  <c r="K240" i="1"/>
  <c r="I313" i="1"/>
  <c r="H262" i="1"/>
  <c r="I376" i="1"/>
  <c r="J348" i="1"/>
  <c r="K241" i="1"/>
  <c r="I356" i="1"/>
  <c r="H313" i="1"/>
  <c r="I336" i="1"/>
  <c r="L262" i="1"/>
  <c r="G370" i="1"/>
  <c r="G243" i="1"/>
  <c r="J255" i="1"/>
  <c r="J296" i="1" s="1"/>
  <c r="G350" i="1"/>
  <c r="H360" i="1"/>
  <c r="I348" i="1"/>
  <c r="L242" i="1"/>
  <c r="L295" i="1" s="1"/>
  <c r="K417" i="1"/>
  <c r="G241" i="1"/>
  <c r="G259" i="1"/>
  <c r="K254" i="1"/>
  <c r="I359" i="1"/>
  <c r="I371" i="1"/>
  <c r="I378" i="1"/>
  <c r="H340" i="1"/>
  <c r="H339" i="1"/>
  <c r="G337" i="1"/>
  <c r="J350" i="1"/>
  <c r="J374" i="1"/>
  <c r="I253" i="1"/>
  <c r="I242" i="1"/>
  <c r="I295" i="1" s="1"/>
  <c r="J313" i="1"/>
  <c r="I335" i="1"/>
  <c r="K255" i="1"/>
  <c r="K296" i="1" s="1"/>
  <c r="G239" i="1"/>
  <c r="K336" i="1"/>
  <c r="I374" i="1"/>
  <c r="G313" i="1"/>
  <c r="I360" i="1"/>
  <c r="G260" i="1"/>
  <c r="K262" i="1"/>
  <c r="K350" i="1"/>
  <c r="I344" i="1"/>
  <c r="J259" i="1"/>
  <c r="H417" i="1"/>
  <c r="K242" i="1"/>
  <c r="K295" i="1" s="1"/>
  <c r="I349" i="1"/>
  <c r="H243" i="1"/>
  <c r="K370" i="1"/>
  <c r="G345" i="1"/>
  <c r="G364" i="1" s="1"/>
  <c r="H379" i="1"/>
  <c r="I377" i="1"/>
  <c r="G374" i="1"/>
  <c r="J249" i="1"/>
  <c r="J254" i="1"/>
  <c r="I254" i="1"/>
  <c r="K246" i="1"/>
  <c r="J359" i="1"/>
  <c r="I339" i="1"/>
  <c r="G417" i="1"/>
  <c r="I345" i="1"/>
  <c r="I364" i="1" s="1"/>
  <c r="K245" i="1"/>
  <c r="J349" i="1"/>
  <c r="J340" i="1"/>
  <c r="H371" i="1"/>
  <c r="I239" i="1"/>
  <c r="G240" i="1"/>
  <c r="H346" i="1"/>
  <c r="G258" i="1"/>
  <c r="J240" i="1"/>
  <c r="I240" i="1"/>
  <c r="J258" i="1"/>
  <c r="K340" i="1"/>
  <c r="G262" i="1"/>
  <c r="J262" i="1"/>
  <c r="H344" i="1"/>
  <c r="H363" i="1" s="1"/>
  <c r="I353" i="1"/>
  <c r="I352" i="1"/>
  <c r="G379" i="1"/>
  <c r="I417" i="1"/>
  <c r="H352" i="1"/>
  <c r="G348" i="1"/>
  <c r="G359" i="1"/>
  <c r="I249" i="1"/>
  <c r="K260" i="1"/>
  <c r="H348" i="1"/>
  <c r="J241" i="1"/>
  <c r="K258" i="1"/>
  <c r="I258" i="1"/>
  <c r="H254" i="1"/>
  <c r="H248" i="1"/>
  <c r="I346" i="1"/>
  <c r="L344" i="1"/>
  <c r="G352" i="1"/>
  <c r="H341" i="1"/>
  <c r="J353" i="1"/>
  <c r="G377" i="1"/>
  <c r="H335" i="1"/>
  <c r="H370" i="1"/>
  <c r="H355" i="1"/>
  <c r="K344" i="1"/>
  <c r="K363" i="1" s="1"/>
  <c r="K365" i="1" s="1"/>
  <c r="K367" i="1" s="1"/>
  <c r="I243" i="1"/>
  <c r="H249" i="1"/>
  <c r="L245" i="1"/>
  <c r="K353" i="1"/>
  <c r="H240" i="1"/>
  <c r="H375" i="1"/>
  <c r="K375" i="1"/>
  <c r="I261" i="1"/>
  <c r="L249" i="1"/>
  <c r="L359" i="1"/>
  <c r="G375" i="1"/>
  <c r="G376" i="1"/>
  <c r="L254" i="1"/>
  <c r="I259" i="1"/>
  <c r="I370" i="1"/>
  <c r="L248" i="1"/>
  <c r="I355" i="1"/>
  <c r="L374" i="1"/>
  <c r="L340" i="1"/>
  <c r="G335" i="1"/>
  <c r="G355" i="1"/>
  <c r="I341" i="1"/>
  <c r="I248" i="1"/>
  <c r="I262" i="1"/>
  <c r="G242" i="1"/>
  <c r="G295" i="1" s="1"/>
  <c r="L346" i="1"/>
  <c r="L370" i="1"/>
  <c r="L255" i="1"/>
  <c r="L296" i="1" s="1"/>
  <c r="L259" i="1"/>
  <c r="L375" i="1"/>
  <c r="L417" i="1"/>
  <c r="G255" i="1"/>
  <c r="G296" i="1" s="1"/>
  <c r="L260" i="1"/>
  <c r="L349" i="1"/>
  <c r="L313" i="1"/>
  <c r="L336" i="1"/>
  <c r="L348" i="1"/>
  <c r="L350" i="1"/>
  <c r="AY352" i="1"/>
  <c r="AY353" i="1" s="1"/>
  <c r="AY216" i="1"/>
  <c r="AY289" i="1"/>
  <c r="AQ335" i="1"/>
  <c r="AQ337" i="1" s="1"/>
  <c r="AQ330" i="1"/>
  <c r="AQ329" i="1"/>
  <c r="AZ240" i="1"/>
  <c r="AZ287" i="1" s="1"/>
  <c r="AZ253" i="1"/>
  <c r="AZ291" i="1" s="1"/>
  <c r="AZ241" i="1"/>
  <c r="AY291" i="1"/>
  <c r="AQ263" i="1"/>
  <c r="I244" i="1" l="1"/>
  <c r="I2" i="1"/>
  <c r="I235" i="1"/>
  <c r="K247" i="1"/>
  <c r="I269" i="1"/>
  <c r="G244" i="1"/>
  <c r="G2" i="1"/>
  <c r="H244" i="1"/>
  <c r="H2" i="1"/>
  <c r="H235" i="1"/>
  <c r="G269" i="1"/>
  <c r="J292" i="1"/>
  <c r="J256" i="1"/>
  <c r="K291" i="1"/>
  <c r="I290" i="1"/>
  <c r="J289" i="1"/>
  <c r="H364" i="1"/>
  <c r="H365" i="1" s="1"/>
  <c r="H367" i="1" s="1"/>
  <c r="J363" i="1"/>
  <c r="G292" i="1"/>
  <c r="G256" i="1"/>
  <c r="G291" i="1"/>
  <c r="H291" i="1"/>
  <c r="AX325" i="1"/>
  <c r="AX326" i="1" s="1"/>
  <c r="AX51" i="1"/>
  <c r="AZ217" i="1"/>
  <c r="K297" i="1"/>
  <c r="K290" i="1"/>
  <c r="H306" i="1"/>
  <c r="H247" i="1"/>
  <c r="I306" i="1"/>
  <c r="I247" i="1"/>
  <c r="J364" i="1"/>
  <c r="J306" i="1"/>
  <c r="J247" i="1"/>
  <c r="J297" i="1" s="1"/>
  <c r="I263" i="1"/>
  <c r="H292" i="1"/>
  <c r="H256" i="1"/>
  <c r="I291" i="1"/>
  <c r="AZ289" i="1"/>
  <c r="J290" i="1"/>
  <c r="K289" i="1"/>
  <c r="I323" i="1"/>
  <c r="I288" i="1"/>
  <c r="J287" i="1"/>
  <c r="G263" i="1"/>
  <c r="I292" i="1"/>
  <c r="I256" i="1"/>
  <c r="J291" i="1"/>
  <c r="H290" i="1"/>
  <c r="I289" i="1"/>
  <c r="G365" i="1"/>
  <c r="G367" i="1" s="1"/>
  <c r="BA240" i="1"/>
  <c r="BA253" i="1"/>
  <c r="BA241" i="1"/>
  <c r="AX300" i="1"/>
  <c r="AX281" i="1"/>
  <c r="AX246" i="1"/>
  <c r="AQ320" i="1"/>
  <c r="AQ319" i="1"/>
  <c r="AQ339" i="1"/>
  <c r="AQ341" i="1" s="1"/>
  <c r="AQ355" i="1" s="1"/>
  <c r="AQ331" i="1"/>
  <c r="AQ332" i="1"/>
  <c r="AZ256" i="1"/>
  <c r="AZ218" i="1"/>
  <c r="BA291" i="1"/>
  <c r="AZ352" i="1"/>
  <c r="AZ353" i="1" s="1"/>
  <c r="AZ216" i="1"/>
  <c r="BA287" i="1"/>
  <c r="H323" i="1"/>
  <c r="H288" i="1"/>
  <c r="H293" i="1" s="1"/>
  <c r="I287" i="1"/>
  <c r="H269" i="1"/>
  <c r="J288" i="1"/>
  <c r="J293" i="1" s="1"/>
  <c r="K287" i="1"/>
  <c r="G288" i="1"/>
  <c r="G287" i="1"/>
  <c r="H287" i="1"/>
  <c r="I363" i="1"/>
  <c r="I365" i="1" s="1"/>
  <c r="I367" i="1" s="1"/>
  <c r="G290" i="1"/>
  <c r="H289" i="1"/>
  <c r="G289" i="1"/>
  <c r="K288" i="1"/>
  <c r="K293" i="1" s="1"/>
  <c r="H263" i="1"/>
  <c r="H324" i="1" s="1"/>
  <c r="K292" i="1"/>
  <c r="K256" i="1"/>
  <c r="G306" i="1"/>
  <c r="G247" i="1"/>
  <c r="AQ360" i="1" l="1"/>
  <c r="AQ257" i="1" s="1"/>
  <c r="AQ356" i="1"/>
  <c r="G308" i="1"/>
  <c r="G250" i="1"/>
  <c r="H52" i="1"/>
  <c r="H270" i="1"/>
  <c r="I53" i="1"/>
  <c r="AX302" i="1"/>
  <c r="AX304" i="1"/>
  <c r="AX306" i="1"/>
  <c r="G297" i="1"/>
  <c r="G270" i="1"/>
  <c r="H53" i="1"/>
  <c r="I270" i="1"/>
  <c r="G323" i="1"/>
  <c r="I329" i="1"/>
  <c r="I330" i="1"/>
  <c r="H320" i="1"/>
  <c r="H319" i="1"/>
  <c r="H264" i="1"/>
  <c r="I331" i="1"/>
  <c r="I332" i="1"/>
  <c r="H268" i="1"/>
  <c r="H271" i="1" s="1"/>
  <c r="AX307" i="1"/>
  <c r="AX247" i="1"/>
  <c r="BA217" i="1"/>
  <c r="K217" i="1" s="1"/>
  <c r="L241" i="1"/>
  <c r="I293" i="1"/>
  <c r="I320" i="1"/>
  <c r="I319" i="1"/>
  <c r="I264" i="1"/>
  <c r="I265" i="1" s="1"/>
  <c r="I308" i="1"/>
  <c r="I250" i="1"/>
  <c r="J52" i="1"/>
  <c r="BA289" i="1"/>
  <c r="I268" i="1"/>
  <c r="I271" i="1" s="1"/>
  <c r="BA256" i="1"/>
  <c r="BA218" i="1"/>
  <c r="J218" i="1" s="1"/>
  <c r="L253" i="1"/>
  <c r="J308" i="1"/>
  <c r="K52" i="1"/>
  <c r="L217" i="1"/>
  <c r="AX327" i="1"/>
  <c r="G286" i="1"/>
  <c r="G284" i="1"/>
  <c r="G285" i="1"/>
  <c r="I285" i="1"/>
  <c r="I286" i="1"/>
  <c r="I284" i="1"/>
  <c r="I297" i="1"/>
  <c r="G293" i="1"/>
  <c r="BA352" i="1"/>
  <c r="BA216" i="1"/>
  <c r="L240" i="1"/>
  <c r="G319" i="1"/>
  <c r="G320" i="1"/>
  <c r="G264" i="1"/>
  <c r="G265" i="1" s="1"/>
  <c r="G331" i="1"/>
  <c r="G332" i="1"/>
  <c r="H331" i="1"/>
  <c r="H332" i="1"/>
  <c r="H308" i="1"/>
  <c r="H250" i="1"/>
  <c r="I52" i="1"/>
  <c r="J365" i="1"/>
  <c r="J367" i="1" s="1"/>
  <c r="H297" i="1"/>
  <c r="G268" i="1"/>
  <c r="G271" i="1" s="1"/>
  <c r="H286" i="1"/>
  <c r="H285" i="1"/>
  <c r="H284" i="1"/>
  <c r="G324" i="1"/>
  <c r="I324" i="1"/>
  <c r="L290" i="1" l="1"/>
  <c r="L289" i="1"/>
  <c r="H265" i="1"/>
  <c r="L288" i="1"/>
  <c r="L287" i="1"/>
  <c r="J216" i="1"/>
  <c r="L216" i="1"/>
  <c r="G329" i="1"/>
  <c r="G330" i="1"/>
  <c r="H329" i="1"/>
  <c r="H330" i="1"/>
  <c r="G276" i="1"/>
  <c r="G273" i="1"/>
  <c r="G272" i="1"/>
  <c r="G275" i="1"/>
  <c r="L292" i="1"/>
  <c r="L256" i="1"/>
  <c r="L291" i="1"/>
  <c r="AX308" i="1"/>
  <c r="AY21" i="1"/>
  <c r="AX258" i="1"/>
  <c r="H275" i="1"/>
  <c r="H272" i="1"/>
  <c r="H276" i="1"/>
  <c r="H273" i="1"/>
  <c r="BA353" i="1"/>
  <c r="L352" i="1"/>
  <c r="I275" i="1"/>
  <c r="I272" i="1"/>
  <c r="I276" i="1"/>
  <c r="I273" i="1"/>
  <c r="L218" i="1"/>
  <c r="AQ268" i="1"/>
  <c r="AQ269" i="1"/>
  <c r="AQ264" i="1"/>
  <c r="L353" i="1" l="1"/>
  <c r="AY211" i="1"/>
  <c r="AY22" i="1"/>
  <c r="AQ271" i="1"/>
  <c r="AQ228" i="1"/>
  <c r="AR23" i="1"/>
  <c r="L293" i="1"/>
  <c r="AY300" i="1" l="1"/>
  <c r="AY281" i="1"/>
  <c r="AY246" i="1"/>
  <c r="AR278" i="1"/>
  <c r="AR279" i="1"/>
  <c r="AR25" i="1"/>
  <c r="AR280" i="1"/>
  <c r="AR378" i="1"/>
  <c r="AQ234" i="1"/>
  <c r="AY325" i="1"/>
  <c r="AY326" i="1" s="1"/>
  <c r="AY51" i="1"/>
  <c r="AY327" i="1" l="1"/>
  <c r="AR26" i="1"/>
  <c r="AY307" i="1"/>
  <c r="AY247" i="1"/>
  <c r="AQ235" i="1"/>
  <c r="AQ239" i="1"/>
  <c r="AY302" i="1"/>
  <c r="AY304" i="1"/>
  <c r="AY306" i="1"/>
  <c r="AR376" i="1" l="1"/>
  <c r="AR377" i="1" s="1"/>
  <c r="AR379" i="1" s="1"/>
  <c r="AR243" i="1"/>
  <c r="AY308" i="1"/>
  <c r="AZ21" i="1"/>
  <c r="AY258" i="1"/>
  <c r="AR27" i="1"/>
  <c r="AQ357" i="1"/>
  <c r="AQ371" i="1" s="1"/>
  <c r="AQ324" i="1"/>
  <c r="AQ244" i="1"/>
  <c r="AQ2" i="1"/>
  <c r="AQ270" i="1"/>
  <c r="AR314" i="1" l="1"/>
  <c r="AR312" i="1" s="1"/>
  <c r="AR317" i="1"/>
  <c r="AR55" i="1"/>
  <c r="AR34" i="1"/>
  <c r="AQ286" i="1"/>
  <c r="AQ285" i="1"/>
  <c r="AQ284" i="1"/>
  <c r="AQ250" i="1"/>
  <c r="AQ265" i="1" s="1"/>
  <c r="AR212" i="1"/>
  <c r="AR323" i="1"/>
  <c r="AQ276" i="1"/>
  <c r="AQ275" i="1"/>
  <c r="AQ272" i="1"/>
  <c r="AQ273" i="1"/>
  <c r="AZ211" i="1"/>
  <c r="AZ22" i="1"/>
  <c r="AZ325" i="1" l="1"/>
  <c r="AZ326" i="1" s="1"/>
  <c r="AZ51" i="1"/>
  <c r="AZ300" i="1"/>
  <c r="AZ281" i="1"/>
  <c r="AZ246" i="1"/>
  <c r="AR316" i="1"/>
  <c r="AR210" i="1"/>
  <c r="AR37" i="1"/>
  <c r="AR261" i="1"/>
  <c r="AR38" i="1"/>
  <c r="AR36" i="1" s="1"/>
  <c r="AR1" i="1" s="1"/>
  <c r="AR335" i="1"/>
  <c r="AR337" i="1" s="1"/>
  <c r="AR329" i="1"/>
  <c r="AR330" i="1"/>
  <c r="AZ307" i="1" l="1"/>
  <c r="AZ247" i="1"/>
  <c r="AR220" i="1"/>
  <c r="AR222" i="1" s="1"/>
  <c r="AR263" i="1"/>
  <c r="AZ302" i="1"/>
  <c r="AZ304" i="1"/>
  <c r="AZ306" i="1"/>
  <c r="AZ327" i="1"/>
  <c r="AR339" i="1" l="1"/>
  <c r="AR341" i="1" s="1"/>
  <c r="AR355" i="1" s="1"/>
  <c r="AR319" i="1"/>
  <c r="AR320" i="1"/>
  <c r="AR331" i="1"/>
  <c r="AR332" i="1"/>
  <c r="AZ308" i="1"/>
  <c r="BA21" i="1"/>
  <c r="AZ258" i="1"/>
  <c r="BA211" i="1" l="1"/>
  <c r="BA22" i="1"/>
  <c r="L21" i="1"/>
  <c r="AR360" i="1"/>
  <c r="AR257" i="1" s="1"/>
  <c r="AR356" i="1"/>
  <c r="AR269" i="1" l="1"/>
  <c r="AR268" i="1"/>
  <c r="AR264" i="1"/>
  <c r="L52" i="1"/>
  <c r="L22" i="1"/>
  <c r="BA325" i="1"/>
  <c r="BA326" i="1" s="1"/>
  <c r="BA51" i="1"/>
  <c r="BA300" i="1"/>
  <c r="BA281" i="1"/>
  <c r="K211" i="1"/>
  <c r="L211" i="1"/>
  <c r="BA246" i="1"/>
  <c r="K300" i="1" l="1"/>
  <c r="K281" i="1"/>
  <c r="BA307" i="1"/>
  <c r="BA247" i="1"/>
  <c r="L246" i="1"/>
  <c r="BA302" i="1"/>
  <c r="BA304" i="1"/>
  <c r="BA306" i="1"/>
  <c r="BA327" i="1"/>
  <c r="L300" i="1"/>
  <c r="L281" i="1"/>
  <c r="L325" i="1"/>
  <c r="L326" i="1" s="1"/>
  <c r="L51" i="1"/>
  <c r="AR271" i="1"/>
  <c r="AR228" i="1"/>
  <c r="AS23" i="1"/>
  <c r="AR234" i="1" l="1"/>
  <c r="L302" i="1"/>
  <c r="L304" i="1"/>
  <c r="L306" i="1"/>
  <c r="L327" i="1"/>
  <c r="L307" i="1"/>
  <c r="L247" i="1"/>
  <c r="AS279" i="1"/>
  <c r="AS278" i="1"/>
  <c r="AS25" i="1"/>
  <c r="AS280" i="1"/>
  <c r="AS378" i="1"/>
  <c r="J378" i="1" s="1"/>
  <c r="J23" i="1"/>
  <c r="BA308" i="1"/>
  <c r="BA258" i="1"/>
  <c r="L258" i="1" s="1"/>
  <c r="L297" i="1" s="1"/>
  <c r="K302" i="1"/>
  <c r="K304" i="1"/>
  <c r="K306" i="1"/>
  <c r="K307" i="1"/>
  <c r="K308" i="1"/>
  <c r="J53" i="1" l="1"/>
  <c r="J278" i="1"/>
  <c r="J279" i="1"/>
  <c r="J25" i="1"/>
  <c r="J280" i="1"/>
  <c r="AS26" i="1"/>
  <c r="AS27" i="1"/>
  <c r="L308" i="1"/>
  <c r="AR239" i="1"/>
  <c r="AR357" i="1" l="1"/>
  <c r="AR371" i="1" s="1"/>
  <c r="AR324" i="1"/>
  <c r="AR244" i="1"/>
  <c r="AR2" i="1"/>
  <c r="AR270" i="1"/>
  <c r="AS314" i="1"/>
  <c r="AS312" i="1" s="1"/>
  <c r="AS38" i="1" s="1"/>
  <c r="AS55" i="1"/>
  <c r="AS36" i="1"/>
  <c r="AS1" i="1" s="1"/>
  <c r="AS34" i="1"/>
  <c r="AR235" i="1"/>
  <c r="AS376" i="1"/>
  <c r="AS243" i="1"/>
  <c r="AS212" i="1" l="1"/>
  <c r="AS323" i="1"/>
  <c r="J243" i="1"/>
  <c r="J323" i="1" s="1"/>
  <c r="AR276" i="1"/>
  <c r="AR275" i="1"/>
  <c r="AR272" i="1"/>
  <c r="AR273" i="1"/>
  <c r="AS377" i="1"/>
  <c r="J376" i="1"/>
  <c r="AS316" i="1"/>
  <c r="AS210" i="1"/>
  <c r="AS220" i="1" s="1"/>
  <c r="AS222" i="1" s="1"/>
  <c r="AS37" i="1"/>
  <c r="AS261" i="1"/>
  <c r="AS317" i="1"/>
  <c r="AR286" i="1"/>
  <c r="AR285" i="1"/>
  <c r="AR284" i="1"/>
  <c r="AR250" i="1"/>
  <c r="AR265" i="1" s="1"/>
  <c r="J329" i="1" l="1"/>
  <c r="J330" i="1"/>
  <c r="AS263" i="1"/>
  <c r="J261" i="1"/>
  <c r="J263" i="1" s="1"/>
  <c r="AS335" i="1"/>
  <c r="AS329" i="1"/>
  <c r="AS330" i="1"/>
  <c r="AS379" i="1"/>
  <c r="J379" i="1" s="1"/>
  <c r="J377" i="1"/>
  <c r="J319" i="1" l="1"/>
  <c r="J320" i="1"/>
  <c r="AS319" i="1"/>
  <c r="AS339" i="1"/>
  <c r="J339" i="1" s="1"/>
  <c r="AS320" i="1"/>
  <c r="AS331" i="1"/>
  <c r="AS332" i="1"/>
  <c r="AS337" i="1"/>
  <c r="J335" i="1"/>
  <c r="AS341" i="1" l="1"/>
  <c r="J337" i="1"/>
  <c r="AS355" i="1" l="1"/>
  <c r="J341" i="1"/>
  <c r="AS360" i="1" l="1"/>
  <c r="AS356" i="1"/>
  <c r="J356" i="1" s="1"/>
  <c r="J355" i="1"/>
  <c r="AS257" i="1" l="1"/>
  <c r="J360" i="1"/>
  <c r="AS268" i="1" l="1"/>
  <c r="AS269" i="1"/>
  <c r="J257" i="1"/>
  <c r="AS264" i="1"/>
  <c r="J269" i="1" l="1"/>
  <c r="J268" i="1"/>
  <c r="J264" i="1"/>
  <c r="AS271" i="1"/>
  <c r="AS228" i="1"/>
  <c r="AS234" i="1" s="1"/>
  <c r="AT23" i="1"/>
  <c r="AT279" i="1" l="1"/>
  <c r="AT278" i="1"/>
  <c r="AT280" i="1"/>
  <c r="AT25" i="1"/>
  <c r="AT378" i="1"/>
  <c r="AS239" i="1"/>
  <c r="J271" i="1"/>
  <c r="AS357" i="1" l="1"/>
  <c r="AS324" i="1"/>
  <c r="AS244" i="1"/>
  <c r="AS2" i="1"/>
  <c r="J239" i="1"/>
  <c r="AS270" i="1"/>
  <c r="AS235" i="1"/>
  <c r="AT26" i="1"/>
  <c r="AS286" i="1" l="1"/>
  <c r="AS284" i="1"/>
  <c r="AS285" i="1"/>
  <c r="AS250" i="1"/>
  <c r="AS265" i="1" s="1"/>
  <c r="AS276" i="1"/>
  <c r="AS275" i="1"/>
  <c r="AS272" i="1"/>
  <c r="AS273" i="1"/>
  <c r="AT376" i="1"/>
  <c r="AT377" i="1" s="1"/>
  <c r="AT379" i="1" s="1"/>
  <c r="AT243" i="1"/>
  <c r="J324" i="1"/>
  <c r="J244" i="1"/>
  <c r="J2" i="1"/>
  <c r="J270" i="1"/>
  <c r="AT27" i="1"/>
  <c r="AS371" i="1"/>
  <c r="J371" i="1" s="1"/>
  <c r="J357" i="1"/>
  <c r="AT314" i="1" l="1"/>
  <c r="AT312" i="1" s="1"/>
  <c r="AT34" i="1"/>
  <c r="AT55" i="1"/>
  <c r="J285" i="1"/>
  <c r="J284" i="1"/>
  <c r="J286" i="1"/>
  <c r="J250" i="1"/>
  <c r="J265" i="1" s="1"/>
  <c r="J276" i="1"/>
  <c r="J273" i="1"/>
  <c r="J275" i="1"/>
  <c r="J272" i="1"/>
  <c r="AT212" i="1"/>
  <c r="AT323" i="1"/>
  <c r="AT38" i="1" l="1"/>
  <c r="AT36" i="1" s="1"/>
  <c r="AT1" i="1" s="1"/>
  <c r="AT317" i="1"/>
  <c r="AT335" i="1"/>
  <c r="AT337" i="1" s="1"/>
  <c r="AT329" i="1"/>
  <c r="AT330" i="1"/>
  <c r="AT316" i="1"/>
  <c r="AT210" i="1"/>
  <c r="AT261" i="1"/>
  <c r="AT220" i="1" l="1"/>
  <c r="AT222" i="1" s="1"/>
  <c r="AT263" i="1"/>
  <c r="AT37" i="1"/>
  <c r="AT339" i="1" l="1"/>
  <c r="AT341" i="1" s="1"/>
  <c r="AT355" i="1" s="1"/>
  <c r="AT320" i="1"/>
  <c r="AT319" i="1"/>
  <c r="AT331" i="1"/>
  <c r="AT332" i="1"/>
  <c r="AT360" i="1" l="1"/>
  <c r="AT257" i="1" s="1"/>
  <c r="AT356" i="1"/>
  <c r="AT269" i="1" l="1"/>
  <c r="AT268" i="1"/>
  <c r="AT264" i="1"/>
  <c r="AT271" i="1" l="1"/>
  <c r="AT228" i="1"/>
  <c r="AU23" i="1"/>
  <c r="AT234" i="1" l="1"/>
  <c r="AU278" i="1"/>
  <c r="AU279" i="1"/>
  <c r="AU280" i="1"/>
  <c r="AU25" i="1"/>
  <c r="AU378" i="1"/>
  <c r="AU26" i="1" l="1"/>
  <c r="AU27" i="1"/>
  <c r="AT239" i="1"/>
  <c r="AT357" i="1" l="1"/>
  <c r="AT371" i="1" s="1"/>
  <c r="AT324" i="1"/>
  <c r="AT244" i="1"/>
  <c r="AT2" i="1"/>
  <c r="AT270" i="1"/>
  <c r="AT235" i="1"/>
  <c r="AU314" i="1"/>
  <c r="AU312" i="1" s="1"/>
  <c r="AU34" i="1"/>
  <c r="AU55" i="1"/>
  <c r="AU376" i="1"/>
  <c r="AU377" i="1" s="1"/>
  <c r="AU379" i="1" s="1"/>
  <c r="AU243" i="1"/>
  <c r="AU316" i="1" l="1"/>
  <c r="AU210" i="1"/>
  <c r="AU37" i="1"/>
  <c r="AU261" i="1"/>
  <c r="AT286" i="1"/>
  <c r="AT285" i="1"/>
  <c r="AT284" i="1"/>
  <c r="AT250" i="1"/>
  <c r="AT265" i="1" s="1"/>
  <c r="AU212" i="1"/>
  <c r="AU323" i="1"/>
  <c r="AU38" i="1"/>
  <c r="AU36" i="1" s="1"/>
  <c r="AU1" i="1" s="1"/>
  <c r="AT275" i="1"/>
  <c r="AT276" i="1"/>
  <c r="AT272" i="1"/>
  <c r="AT273" i="1"/>
  <c r="AU317" i="1"/>
  <c r="AU335" i="1" l="1"/>
  <c r="AU337" i="1" s="1"/>
  <c r="AU330" i="1"/>
  <c r="AU329" i="1"/>
  <c r="AU220" i="1"/>
  <c r="AU222" i="1" s="1"/>
  <c r="AU263" i="1"/>
  <c r="AU339" i="1" l="1"/>
  <c r="AU320" i="1"/>
  <c r="AU319" i="1"/>
  <c r="AU331" i="1"/>
  <c r="AU332" i="1"/>
  <c r="AU341" i="1"/>
  <c r="AU355" i="1" s="1"/>
  <c r="AU360" i="1" l="1"/>
  <c r="AU257" i="1" s="1"/>
  <c r="AU356" i="1"/>
  <c r="AU269" i="1" l="1"/>
  <c r="AU268" i="1"/>
  <c r="AU264" i="1"/>
  <c r="AU271" i="1" l="1"/>
  <c r="AU228" i="1"/>
  <c r="AV23" i="1"/>
  <c r="AU234" i="1" l="1"/>
  <c r="AV279" i="1"/>
  <c r="AV278" i="1"/>
  <c r="AV280" i="1"/>
  <c r="AV25" i="1"/>
  <c r="AV378" i="1"/>
  <c r="AV26" i="1" l="1"/>
  <c r="AU239" i="1"/>
  <c r="AV376" i="1" l="1"/>
  <c r="AV377" i="1" s="1"/>
  <c r="AV379" i="1" s="1"/>
  <c r="AV243" i="1"/>
  <c r="AU357" i="1"/>
  <c r="AU371" i="1" s="1"/>
  <c r="AU324" i="1"/>
  <c r="AU244" i="1"/>
  <c r="AU2" i="1"/>
  <c r="AU270" i="1"/>
  <c r="AU235" i="1"/>
  <c r="AV27" i="1"/>
  <c r="AU276" i="1" l="1"/>
  <c r="AU275" i="1"/>
  <c r="AU272" i="1"/>
  <c r="AU273" i="1"/>
  <c r="AV212" i="1"/>
  <c r="AV323" i="1"/>
  <c r="AV314" i="1"/>
  <c r="AV312" i="1" s="1"/>
  <c r="AV55" i="1"/>
  <c r="AV34" i="1"/>
  <c r="AU286" i="1"/>
  <c r="AU285" i="1"/>
  <c r="AU284" i="1"/>
  <c r="AU250" i="1"/>
  <c r="AU265" i="1" s="1"/>
  <c r="AV316" i="1" l="1"/>
  <c r="AV210" i="1"/>
  <c r="AV37" i="1"/>
  <c r="AV261" i="1"/>
  <c r="AV335" i="1"/>
  <c r="AV337" i="1" s="1"/>
  <c r="AV330" i="1"/>
  <c r="AV329" i="1"/>
  <c r="AV38" i="1"/>
  <c r="AV36" i="1" s="1"/>
  <c r="AV1" i="1" s="1"/>
  <c r="AV317" i="1"/>
  <c r="AV220" i="1" l="1"/>
  <c r="AV222" i="1" s="1"/>
  <c r="AV263" i="1"/>
  <c r="AV339" i="1" l="1"/>
  <c r="AV341" i="1" s="1"/>
  <c r="AV355" i="1" s="1"/>
  <c r="AV320" i="1"/>
  <c r="AV319" i="1"/>
  <c r="AV331" i="1"/>
  <c r="AV332" i="1"/>
  <c r="AV360" i="1" l="1"/>
  <c r="AV257" i="1" s="1"/>
  <c r="AV356" i="1"/>
  <c r="AV268" i="1" l="1"/>
  <c r="AV269" i="1"/>
  <c r="AV264" i="1"/>
  <c r="AV271" i="1" l="1"/>
  <c r="AV228" i="1"/>
  <c r="AW23" i="1"/>
  <c r="AV234" i="1" l="1"/>
  <c r="AW278" i="1"/>
  <c r="AW279" i="1"/>
  <c r="AW25" i="1"/>
  <c r="AW280" i="1"/>
  <c r="AW378" i="1"/>
  <c r="K378" i="1" s="1"/>
  <c r="K23" i="1"/>
  <c r="AW26" i="1" l="1"/>
  <c r="AW27" i="1" s="1"/>
  <c r="K53" i="1"/>
  <c r="K279" i="1"/>
  <c r="K278" i="1"/>
  <c r="K280" i="1"/>
  <c r="K25" i="1"/>
  <c r="AV235" i="1"/>
  <c r="AV239" i="1"/>
  <c r="AW314" i="1" l="1"/>
  <c r="AW312" i="1" s="1"/>
  <c r="AW38" i="1" s="1"/>
  <c r="AW36" i="1" s="1"/>
  <c r="AW1" i="1" s="1"/>
  <c r="AW55" i="1"/>
  <c r="AW34" i="1"/>
  <c r="AV357" i="1"/>
  <c r="AV371" i="1" s="1"/>
  <c r="AV324" i="1"/>
  <c r="AV244" i="1"/>
  <c r="AV2" i="1"/>
  <c r="AV270" i="1"/>
  <c r="K26" i="1"/>
  <c r="K54" i="1" s="1"/>
  <c r="AW376" i="1"/>
  <c r="AW243" i="1"/>
  <c r="AW212" i="1" l="1"/>
  <c r="AW323" i="1"/>
  <c r="K243" i="1"/>
  <c r="K323" i="1" s="1"/>
  <c r="AV286" i="1"/>
  <c r="AV285" i="1"/>
  <c r="AV284" i="1"/>
  <c r="AV250" i="1"/>
  <c r="AV265" i="1" s="1"/>
  <c r="K27" i="1"/>
  <c r="AW317" i="1"/>
  <c r="AW316" i="1"/>
  <c r="AW210" i="1"/>
  <c r="AW220" i="1" s="1"/>
  <c r="AW222" i="1" s="1"/>
  <c r="AW37" i="1"/>
  <c r="AW261" i="1"/>
  <c r="AW377" i="1"/>
  <c r="K376" i="1"/>
  <c r="AV276" i="1"/>
  <c r="AV275" i="1"/>
  <c r="AV272" i="1"/>
  <c r="AV273" i="1"/>
  <c r="K329" i="1" l="1"/>
  <c r="K330" i="1"/>
  <c r="AW335" i="1"/>
  <c r="AW329" i="1"/>
  <c r="AW330" i="1"/>
  <c r="AW263" i="1"/>
  <c r="K261" i="1"/>
  <c r="K263" i="1" s="1"/>
  <c r="AW379" i="1"/>
  <c r="K379" i="1" s="1"/>
  <c r="K377" i="1"/>
  <c r="K55" i="1"/>
  <c r="K34" i="1"/>
  <c r="K319" i="1" l="1"/>
  <c r="K320" i="1"/>
  <c r="K332" i="1"/>
  <c r="K316" i="1"/>
  <c r="K331" i="1"/>
  <c r="AW319" i="1"/>
  <c r="AW339" i="1"/>
  <c r="K339" i="1" s="1"/>
  <c r="AW320" i="1"/>
  <c r="AW331" i="1"/>
  <c r="AW332" i="1"/>
  <c r="AW337" i="1"/>
  <c r="K335" i="1"/>
  <c r="AW341" i="1" l="1"/>
  <c r="K337" i="1"/>
  <c r="AW355" i="1" l="1"/>
  <c r="K341" i="1"/>
  <c r="AW360" i="1" l="1"/>
  <c r="AW356" i="1"/>
  <c r="K356" i="1" s="1"/>
  <c r="K355" i="1"/>
  <c r="AW257" i="1" l="1"/>
  <c r="K360" i="1"/>
  <c r="AW268" i="1" l="1"/>
  <c r="AW269" i="1"/>
  <c r="K257" i="1"/>
  <c r="AW264" i="1"/>
  <c r="K268" i="1" l="1"/>
  <c r="K269" i="1"/>
  <c r="K264" i="1"/>
  <c r="AW271" i="1"/>
  <c r="AW228" i="1"/>
  <c r="AW234" i="1" s="1"/>
  <c r="AX23" i="1"/>
  <c r="AX278" i="1" l="1"/>
  <c r="AX279" i="1"/>
  <c r="AX25" i="1"/>
  <c r="AX280" i="1"/>
  <c r="AX378" i="1"/>
  <c r="AW239" i="1"/>
  <c r="K271" i="1"/>
  <c r="AW357" i="1" l="1"/>
  <c r="AW324" i="1"/>
  <c r="AW244" i="1"/>
  <c r="AW2" i="1"/>
  <c r="K239" i="1"/>
  <c r="AW270" i="1"/>
  <c r="AW235" i="1"/>
  <c r="AX26" i="1"/>
  <c r="AW285" i="1" l="1"/>
  <c r="AW284" i="1"/>
  <c r="AW286" i="1"/>
  <c r="AW250" i="1"/>
  <c r="AW265" i="1" s="1"/>
  <c r="AW276" i="1"/>
  <c r="AW275" i="1"/>
  <c r="AW272" i="1"/>
  <c r="AW273" i="1"/>
  <c r="AX376" i="1"/>
  <c r="AX377" i="1" s="1"/>
  <c r="AX379" i="1" s="1"/>
  <c r="AX243" i="1"/>
  <c r="K324" i="1"/>
  <c r="K244" i="1"/>
  <c r="K2" i="1"/>
  <c r="K270" i="1"/>
  <c r="AX27" i="1"/>
  <c r="AW371" i="1"/>
  <c r="K371" i="1" s="1"/>
  <c r="K357" i="1"/>
  <c r="K286" i="1" l="1"/>
  <c r="K284" i="1"/>
  <c r="K285" i="1"/>
  <c r="K250" i="1"/>
  <c r="K265" i="1" s="1"/>
  <c r="AX314" i="1"/>
  <c r="AX312" i="1" s="1"/>
  <c r="AX34" i="1"/>
  <c r="AX55" i="1"/>
  <c r="K276" i="1"/>
  <c r="K273" i="1"/>
  <c r="K272" i="1"/>
  <c r="K275" i="1"/>
  <c r="AX212" i="1"/>
  <c r="AX323" i="1"/>
  <c r="AX38" i="1" l="1"/>
  <c r="AX36" i="1" s="1"/>
  <c r="AX1" i="1" s="1"/>
  <c r="AX317" i="1"/>
  <c r="AX335" i="1"/>
  <c r="AX337" i="1" s="1"/>
  <c r="AX329" i="1"/>
  <c r="AX330" i="1"/>
  <c r="AX316" i="1"/>
  <c r="AX210" i="1"/>
  <c r="AX37" i="1"/>
  <c r="AX261" i="1"/>
  <c r="AX220" i="1" l="1"/>
  <c r="AX222" i="1" s="1"/>
  <c r="AX263" i="1"/>
  <c r="AX339" i="1" l="1"/>
  <c r="AX341" i="1" s="1"/>
  <c r="AX355" i="1" s="1"/>
  <c r="AX320" i="1"/>
  <c r="AX319" i="1"/>
  <c r="AX331" i="1"/>
  <c r="AX332" i="1"/>
  <c r="AX366" i="1" l="1"/>
  <c r="AX360" i="1"/>
  <c r="AX257" i="1" s="1"/>
  <c r="AX356" i="1"/>
  <c r="AX269" i="1" l="1"/>
  <c r="AX268" i="1"/>
  <c r="AX264" i="1"/>
  <c r="AX367" i="1"/>
  <c r="AX271" i="1" l="1"/>
  <c r="AX228" i="1"/>
  <c r="AY23" i="1"/>
  <c r="AX234" i="1" l="1"/>
  <c r="AY279" i="1"/>
  <c r="AY278" i="1"/>
  <c r="AY280" i="1"/>
  <c r="AY25" i="1"/>
  <c r="AY378" i="1"/>
  <c r="AY26" i="1" l="1"/>
  <c r="AX239" i="1"/>
  <c r="AX357" i="1" l="1"/>
  <c r="AX371" i="1" s="1"/>
  <c r="AX324" i="1"/>
  <c r="AX244" i="1"/>
  <c r="AX2" i="1"/>
  <c r="AX270" i="1"/>
  <c r="AY376" i="1"/>
  <c r="AY377" i="1" s="1"/>
  <c r="AY379" i="1" s="1"/>
  <c r="AY243" i="1"/>
  <c r="AX235" i="1"/>
  <c r="AY27" i="1"/>
  <c r="AX276" i="1" l="1"/>
  <c r="AX272" i="1"/>
  <c r="AX275" i="1"/>
  <c r="AX273" i="1"/>
  <c r="AY314" i="1"/>
  <c r="AY312" i="1" s="1"/>
  <c r="AY317" i="1"/>
  <c r="AY34" i="1"/>
  <c r="AY55" i="1"/>
  <c r="AX286" i="1"/>
  <c r="AX285" i="1"/>
  <c r="AX284" i="1"/>
  <c r="AX250" i="1"/>
  <c r="AX265" i="1" s="1"/>
  <c r="AY212" i="1"/>
  <c r="AY323" i="1"/>
  <c r="AY38" i="1" l="1"/>
  <c r="AY36" i="1" s="1"/>
  <c r="AY1" i="1" s="1"/>
  <c r="AY335" i="1"/>
  <c r="AY337" i="1" s="1"/>
  <c r="AY329" i="1"/>
  <c r="AY330" i="1"/>
  <c r="AY316" i="1"/>
  <c r="AY210" i="1"/>
  <c r="AY37" i="1"/>
  <c r="AY261" i="1"/>
  <c r="AY263" i="1" l="1"/>
  <c r="AY220" i="1"/>
  <c r="AY222" i="1" s="1"/>
  <c r="AY319" i="1" l="1"/>
  <c r="AY339" i="1"/>
  <c r="AY341" i="1" s="1"/>
  <c r="AY355" i="1" s="1"/>
  <c r="AY320" i="1"/>
  <c r="AY331" i="1"/>
  <c r="AY332" i="1"/>
  <c r="AY366" i="1" l="1"/>
  <c r="AY360" i="1"/>
  <c r="AY257" i="1" s="1"/>
  <c r="AY356" i="1"/>
  <c r="AY268" i="1" l="1"/>
  <c r="AY269" i="1"/>
  <c r="AY264" i="1"/>
  <c r="AY367" i="1"/>
  <c r="AY271" i="1" l="1"/>
  <c r="AY228" i="1"/>
  <c r="AZ23" i="1"/>
  <c r="AY234" i="1" l="1"/>
  <c r="AZ278" i="1"/>
  <c r="AZ279" i="1"/>
  <c r="AZ280" i="1"/>
  <c r="AZ25" i="1"/>
  <c r="AZ378" i="1"/>
  <c r="AZ26" i="1" l="1"/>
  <c r="AZ27" i="1"/>
  <c r="AY239" i="1"/>
  <c r="AZ314" i="1" l="1"/>
  <c r="AZ312" i="1" s="1"/>
  <c r="AZ317" i="1"/>
  <c r="AZ55" i="1"/>
  <c r="AZ34" i="1"/>
  <c r="AY357" i="1"/>
  <c r="AY371" i="1" s="1"/>
  <c r="AY324" i="1"/>
  <c r="AY244" i="1"/>
  <c r="AY2" i="1"/>
  <c r="AY270" i="1"/>
  <c r="AY235" i="1"/>
  <c r="AZ376" i="1"/>
  <c r="AZ377" i="1" s="1"/>
  <c r="AZ379" i="1" s="1"/>
  <c r="AZ243" i="1"/>
  <c r="AY276" i="1" l="1"/>
  <c r="AY275" i="1"/>
  <c r="AY272" i="1"/>
  <c r="AY273" i="1"/>
  <c r="AZ316" i="1"/>
  <c r="AZ210" i="1"/>
  <c r="AZ37" i="1"/>
  <c r="AZ261" i="1"/>
  <c r="AZ38" i="1"/>
  <c r="AZ36" i="1" s="1"/>
  <c r="AZ1" i="1" s="1"/>
  <c r="AZ212" i="1"/>
  <c r="AZ323" i="1"/>
  <c r="AY286" i="1"/>
  <c r="AY285" i="1"/>
  <c r="AY284" i="1"/>
  <c r="AY250" i="1"/>
  <c r="AY265" i="1" s="1"/>
  <c r="AZ220" i="1" l="1"/>
  <c r="AZ222" i="1" s="1"/>
  <c r="AZ335" i="1"/>
  <c r="AZ337" i="1" s="1"/>
  <c r="AZ330" i="1"/>
  <c r="AZ329" i="1"/>
  <c r="AZ263" i="1"/>
  <c r="AZ339" i="1" l="1"/>
  <c r="AZ341" i="1" s="1"/>
  <c r="AZ355" i="1" s="1"/>
  <c r="AZ320" i="1"/>
  <c r="AZ319" i="1"/>
  <c r="AZ331" i="1"/>
  <c r="AZ332" i="1"/>
  <c r="AZ366" i="1" l="1"/>
  <c r="AZ360" i="1"/>
  <c r="AZ257" i="1" s="1"/>
  <c r="AZ356" i="1"/>
  <c r="AZ269" i="1" l="1"/>
  <c r="AZ268" i="1"/>
  <c r="AZ264" i="1"/>
  <c r="AZ367" i="1"/>
  <c r="AZ271" i="1" l="1"/>
  <c r="AZ228" i="1"/>
  <c r="BA23" i="1"/>
  <c r="AZ234" i="1" l="1"/>
  <c r="BA279" i="1"/>
  <c r="BA278" i="1"/>
  <c r="BA25" i="1"/>
  <c r="BA280" i="1"/>
  <c r="BA378" i="1"/>
  <c r="L378" i="1" s="1"/>
  <c r="L23" i="1"/>
  <c r="L53" i="1" l="1"/>
  <c r="L278" i="1"/>
  <c r="L279" i="1"/>
  <c r="L25" i="1"/>
  <c r="L280" i="1"/>
  <c r="BA26" i="1"/>
  <c r="BA27" i="1"/>
  <c r="AZ235" i="1"/>
  <c r="AZ239" i="1"/>
  <c r="BA314" i="1" l="1"/>
  <c r="BA312" i="1" s="1"/>
  <c r="BA55" i="1"/>
  <c r="BA34" i="1"/>
  <c r="J26" i="1"/>
  <c r="L26" i="1"/>
  <c r="L54" i="1" s="1"/>
  <c r="BA376" i="1"/>
  <c r="BA243" i="1"/>
  <c r="AZ324" i="1"/>
  <c r="AZ357" i="1"/>
  <c r="AZ371" i="1" s="1"/>
  <c r="AZ244" i="1"/>
  <c r="AZ2" i="1"/>
  <c r="AZ270" i="1"/>
  <c r="J54" i="1" l="1"/>
  <c r="J27" i="1"/>
  <c r="BA38" i="1"/>
  <c r="BA36" i="1" s="1"/>
  <c r="BA1" i="1" s="1"/>
  <c r="J312" i="1"/>
  <c r="K312" i="1"/>
  <c r="L312" i="1"/>
  <c r="AZ286" i="1"/>
  <c r="AZ285" i="1"/>
  <c r="AZ284" i="1"/>
  <c r="AZ250" i="1"/>
  <c r="AZ265" i="1" s="1"/>
  <c r="BA212" i="1"/>
  <c r="L243" i="1"/>
  <c r="L323" i="1" s="1"/>
  <c r="BA323" i="1"/>
  <c r="BA316" i="1"/>
  <c r="BA210" i="1"/>
  <c r="BA37" i="1"/>
  <c r="BA261" i="1"/>
  <c r="BA317" i="1"/>
  <c r="BA377" i="1"/>
  <c r="L376" i="1"/>
  <c r="AZ276" i="1"/>
  <c r="AZ275" i="1"/>
  <c r="AZ272" i="1"/>
  <c r="AZ273" i="1"/>
  <c r="L27" i="1"/>
  <c r="BA379" i="1" l="1"/>
  <c r="L379" i="1" s="1"/>
  <c r="L377" i="1"/>
  <c r="BA220" i="1"/>
  <c r="BA222" i="1" s="1"/>
  <c r="J210" i="1"/>
  <c r="J220" i="1" s="1"/>
  <c r="J222" i="1" s="1"/>
  <c r="K210" i="1"/>
  <c r="L210" i="1"/>
  <c r="L220" i="1" s="1"/>
  <c r="L222" i="1" s="1"/>
  <c r="J314" i="1"/>
  <c r="J38" i="1"/>
  <c r="L329" i="1"/>
  <c r="L330" i="1"/>
  <c r="J212" i="1"/>
  <c r="K212" i="1"/>
  <c r="L212" i="1"/>
  <c r="BA263" i="1"/>
  <c r="L261" i="1"/>
  <c r="L263" i="1" s="1"/>
  <c r="L314" i="1"/>
  <c r="L38" i="1"/>
  <c r="L36" i="1" s="1"/>
  <c r="L1" i="1" s="1"/>
  <c r="J331" i="1"/>
  <c r="J317" i="1"/>
  <c r="J55" i="1"/>
  <c r="J34" i="1"/>
  <c r="J36" i="1"/>
  <c r="J1" i="1" s="1"/>
  <c r="L331" i="1"/>
  <c r="L317" i="1"/>
  <c r="L55" i="1"/>
  <c r="L34" i="1"/>
  <c r="BA335" i="1"/>
  <c r="BA330" i="1"/>
  <c r="BA329" i="1"/>
  <c r="K314" i="1"/>
  <c r="K38" i="1"/>
  <c r="K317" i="1"/>
  <c r="L332" i="1" l="1"/>
  <c r="L316" i="1"/>
  <c r="L37" i="1"/>
  <c r="BA320" i="1"/>
  <c r="BA339" i="1"/>
  <c r="L339" i="1" s="1"/>
  <c r="BA319" i="1"/>
  <c r="BA331" i="1"/>
  <c r="BA332" i="1"/>
  <c r="J316" i="1"/>
  <c r="J332" i="1"/>
  <c r="J37" i="1"/>
  <c r="K36" i="1"/>
  <c r="K1" i="1" s="1"/>
  <c r="K37" i="1"/>
  <c r="BA337" i="1"/>
  <c r="L335" i="1"/>
  <c r="L320" i="1"/>
  <c r="L319" i="1"/>
  <c r="K220" i="1"/>
  <c r="K222" i="1" s="1"/>
  <c r="BA341" i="1" l="1"/>
  <c r="L337" i="1"/>
  <c r="L341" i="1" l="1"/>
  <c r="BA355" i="1"/>
  <c r="BA366" i="1" l="1"/>
  <c r="BA360" i="1"/>
  <c r="L355" i="1"/>
  <c r="BA356" i="1"/>
  <c r="L356" i="1" s="1"/>
  <c r="BA257" i="1" l="1"/>
  <c r="L360" i="1"/>
  <c r="BA367" i="1"/>
  <c r="L367" i="1" s="1"/>
  <c r="L366" i="1"/>
  <c r="BA268" i="1" l="1"/>
  <c r="BA269" i="1"/>
  <c r="L257" i="1"/>
  <c r="BA264" i="1"/>
  <c r="L269" i="1" l="1"/>
  <c r="L268" i="1"/>
  <c r="L264" i="1"/>
  <c r="BA271" i="1"/>
  <c r="BA228" i="1"/>
  <c r="BA234" i="1" l="1"/>
  <c r="J228" i="1"/>
  <c r="J234" i="1" s="1"/>
  <c r="J235" i="1" s="1"/>
  <c r="K228" i="1"/>
  <c r="K234" i="1" s="1"/>
  <c r="K235" i="1" s="1"/>
  <c r="L228" i="1"/>
  <c r="L234" i="1" s="1"/>
  <c r="L271" i="1"/>
  <c r="BA239" i="1" l="1"/>
  <c r="BA357" i="1" l="1"/>
  <c r="BA324" i="1"/>
  <c r="BA244" i="1"/>
  <c r="BA2" i="1"/>
  <c r="L239" i="1"/>
  <c r="BA270" i="1"/>
  <c r="BA235" i="1"/>
  <c r="BA285" i="1" l="1"/>
  <c r="BA284" i="1"/>
  <c r="BA286" i="1"/>
  <c r="BA250" i="1"/>
  <c r="BA265" i="1" s="1"/>
  <c r="BA276" i="1"/>
  <c r="BA275" i="1"/>
  <c r="BA272" i="1"/>
  <c r="BA273" i="1"/>
  <c r="L324" i="1"/>
  <c r="L244" i="1"/>
  <c r="L2" i="1"/>
  <c r="L270" i="1"/>
  <c r="L235" i="1"/>
  <c r="BA371" i="1"/>
  <c r="L371" i="1" s="1"/>
  <c r="L357" i="1"/>
  <c r="L275" i="1" l="1"/>
  <c r="L272" i="1"/>
  <c r="L276" i="1"/>
  <c r="L273" i="1"/>
  <c r="L284" i="1"/>
  <c r="L286" i="1"/>
  <c r="L285" i="1"/>
  <c r="L250" i="1"/>
  <c r="L265" i="1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AE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L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PF for coiled tubing reclassification</t>
        </r>
      </text>
    </comment>
    <comment ref="AE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L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PF for coiled tubing reclassification</t>
        </r>
      </text>
    </comment>
    <comment ref="AE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E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L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E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F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G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 reported</t>
        </r>
      </text>
    </comment>
    <comment ref="AO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25-30mm, on higher end of that range</t>
        </r>
      </text>
    </comment>
    <comment ref="AI2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portion related to amortization of OID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less assumed tax benefit of one-times</t>
        </r>
      </text>
    </comment>
    <comment ref="AE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F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G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H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I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J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K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gain/loss on sale assumed at 35% tax rate</t>
        </r>
      </text>
    </comment>
    <comment ref="AL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 on sale assumed taxed at 35% rate</t>
        </r>
      </text>
    </comment>
    <comment ref="AM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 taxed at 35% rate</t>
        </r>
      </text>
    </comment>
    <comment ref="AN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 taxed at 35% rate</t>
        </r>
      </text>
    </comment>
    <comment ref="AO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Canadian rig services business</t>
        </r>
      </text>
    </comment>
    <comment ref="G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assumed tax benefit on 792 + 31 + 21 at 35%</t>
        </r>
      </text>
    </comment>
    <comment ref="AE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inventory  &amp; A/R writedown</t>
        </r>
      </text>
    </comment>
    <comment ref="AF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 and A/R writedown</t>
        </r>
      </text>
    </comment>
    <comment ref="AG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impairment, inventory writedown, A/R writedown</t>
        </r>
      </text>
    </comment>
    <comment ref="AH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impairment, A/R write-off, inventory write-off</t>
        </r>
      </text>
    </comment>
    <comment ref="AI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impairment, A/R write-off, inventory write-off</t>
        </r>
      </text>
    </comment>
    <comment ref="AJ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A/R write-off, inventory write-off</t>
        </r>
      </text>
    </comment>
    <comment ref="AE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AF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AG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AH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severance, facility closures, etc.</t>
        </r>
      </text>
    </comment>
    <comment ref="AI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severance, facility closures, etc.</t>
        </r>
      </text>
    </comment>
    <comment ref="AJ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severance, facility closures, "reorganization items"</t>
        </r>
      </text>
    </comment>
    <comment ref="AM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restructuring and severance</t>
        </r>
      </text>
    </comment>
    <comment ref="AN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 taxed at 35% rate</t>
        </r>
      </text>
    </comment>
    <comment ref="AE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acquisition-related costs</t>
        </r>
      </text>
    </comment>
    <comment ref="AF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insurance true-up and acquisition-related costs</t>
        </r>
      </text>
    </comment>
    <comment ref="AG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acquisition-related costs, out of period adjustment</t>
        </r>
      </text>
    </comment>
    <comment ref="AH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acquisition-related costs, share based comp acceleration</t>
        </r>
      </text>
    </comment>
    <comment ref="AI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amortization of OID, debt restructuring costs</t>
        </r>
      </text>
    </comment>
    <comment ref="AJ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acquisition-related</t>
        </r>
      </text>
    </comment>
    <comment ref="AL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accelerated share award vesting</t>
        </r>
      </text>
    </comment>
    <comment ref="AN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acq. costs, assumed taxed at 35% rate</t>
        </r>
      </text>
    </comment>
    <comment ref="AO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$29mm tax benefit related to O-Tex, 3.4mm of acq. costs</t>
        </r>
      </text>
    </comment>
    <comment ref="AO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impact of O-Tex acquisition; 10-15%</t>
        </r>
      </text>
    </comment>
    <comment ref="AP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impact of O-Tex acquisition</t>
        </r>
      </text>
    </comment>
    <comment ref="AO4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impact of divestiture</t>
        </r>
      </text>
    </comment>
    <comment ref="AP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currently in high single digits</t>
        </r>
      </text>
    </comment>
    <comment ref="AR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 2Q at double-digit</t>
        </r>
      </text>
    </comment>
    <comment ref="AN5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increase 10% seq.</t>
        </r>
      </text>
    </comment>
    <comment ref="AO5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 5-10%, adding ~$2mm more for partial quarter of O-TEX</t>
        </r>
      </text>
    </comment>
    <comment ref="AP5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resetting lower due to acquisition</t>
        </r>
      </text>
    </comment>
    <comment ref="AO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expect to be roughly tax neutral in 4Q</t>
        </r>
      </text>
    </comment>
    <comment ref="AP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near 0, max 3% for the state</t>
        </r>
      </text>
    </comment>
    <comment ref="B6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moved as of 2Q17</t>
        </r>
      </text>
    </comment>
    <comment ref="AK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does not exactly match $10mm shown in presentation to reconcile to full-segment totals</t>
        </r>
      </text>
    </comment>
    <comment ref="AI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does not add to total due to reclassification of CT division</t>
        </r>
      </text>
    </comment>
    <comment ref="AJ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does not add to total due to reclassification of CT division</t>
        </r>
      </text>
    </comment>
    <comment ref="AK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does not exactly match amount shown in presentation to reconcile to full-segment totals</t>
        </r>
      </text>
    </comment>
    <comment ref="AI6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does not add to total due to reclassification of CT division</t>
        </r>
      </text>
    </comment>
    <comment ref="AL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11 hz, 1 vertical</t>
        </r>
      </text>
    </comment>
    <comment ref="AM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1/3 q impact from add'l fleet</t>
        </r>
      </text>
    </comment>
    <comment ref="AN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avg. ~535 in 3Q17, 13th Hz spread went to work at end of Aug., 10 pump vertical fleet went to work late Sept., didn't contribute much</t>
        </r>
      </text>
    </comment>
    <comment ref="AO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exiting 4Q at 575kHP, adding Nov. 1st refurb fleet , actually 1st week of dec., averaging ~588</t>
        </r>
      </text>
    </comment>
    <comment ref="AP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exiting year at 615kHP, adding in the newbuild fleet in Mar.</t>
        </r>
      </text>
    </comment>
    <comment ref="AQ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 in May, 1 in June, 1 in July</t>
        </r>
      </text>
    </comment>
    <comment ref="AR8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 in Oct., 1 in Nov.</t>
        </r>
      </text>
    </comment>
    <comment ref="AL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utilization + pricing</t>
        </r>
      </text>
    </comment>
    <comment ref="AM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utilization + pricing</t>
        </r>
      </text>
    </comment>
    <comment ref="AN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pricing up, up to 10% so more like 5-10%, better performance in 3Q</t>
        </r>
      </text>
    </comment>
    <comment ref="AO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mid-high single digits</t>
        </r>
      </text>
    </comment>
    <comment ref="AP9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low-to-mid single digit pricing</t>
        </r>
      </text>
    </comment>
    <comment ref="N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O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P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Q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R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S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T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U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V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W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X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Y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Z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A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B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C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D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E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F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G9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T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U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V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W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X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Y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Z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BA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L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already fully deployed</t>
        </r>
      </text>
    </comment>
    <comment ref="AM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N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O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P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Q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R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S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T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U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V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W1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with frac fleet growth</t>
        </r>
      </text>
    </comment>
    <comment ref="AP1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will get some uplift from new tools</t>
        </r>
      </text>
    </comment>
    <comment ref="AQ12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 new CT units ordered, active in 2Q</t>
        </r>
      </text>
    </comment>
    <comment ref="AT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U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V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W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X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Y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Z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BA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in line w/ frac fleets</t>
        </r>
      </text>
    </comment>
    <comment ref="AM1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seeing pricing as large diameter units are sold out</t>
        </r>
      </text>
    </comment>
    <comment ref="AP1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OTEX Acq.</t>
        </r>
      </text>
    </comment>
    <comment ref="F1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MSe</t>
        </r>
      </text>
    </comment>
    <comment ref="G1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MSe</t>
        </r>
      </text>
    </comment>
    <comment ref="H1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MSe</t>
        </r>
      </text>
    </comment>
    <comment ref="AP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O-Tex fleet addition &amp; guidance implies ~$3.5mm/unit</t>
        </r>
      </text>
    </comment>
    <comment ref="AQ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O-Tex fleet addition &amp; guidance implies ~$3.5mm/unit</t>
        </r>
      </text>
    </comment>
    <comment ref="AM1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seeing pricing as large diameter units are sold out</t>
        </r>
      </text>
    </comment>
    <comment ref="AP1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seeing pricing as large diameter units are sold out</t>
        </r>
      </text>
    </comment>
    <comment ref="AQ1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seeing pricing as large diameter units are sold out</t>
        </r>
      </text>
    </comment>
    <comment ref="AO14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20k hours in Canada in 3Q, assume mostly gone</t>
        </r>
      </text>
    </comment>
    <comment ref="H1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linked to above</t>
        </r>
      </text>
    </comment>
    <comment ref="AK15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impaired some trucks</t>
        </r>
      </text>
    </comment>
    <comment ref="AL15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impaired some trucks</t>
        </r>
      </text>
    </comment>
    <comment ref="AS15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30 this year</t>
        </r>
      </text>
    </comment>
    <comment ref="AD153" authorId="0">
      <text>
        <r>
          <rPr>
            <sz val="9"/>
            <color indexed="81"/>
            <rFont val="Tahoma"/>
            <family val="2"/>
          </rPr>
          <t>570 was a decline of 10%</t>
        </r>
      </text>
    </comment>
    <comment ref="AH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restructuring, severance, insurance expense</t>
        </r>
      </text>
    </comment>
    <comment ref="AI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restructuring, severance, insurance expense</t>
        </r>
      </text>
    </comment>
    <comment ref="AJ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restructuring</t>
        </r>
      </text>
    </comment>
    <comment ref="AK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restructuring adjustments and other prior-period adjustments</t>
        </r>
      </text>
    </comment>
    <comment ref="AL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acceleration of share-based expense</t>
        </r>
      </text>
    </comment>
    <comment ref="AM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$50-55mm</t>
        </r>
      </text>
    </comment>
    <comment ref="AN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restructuring and transaction costs</t>
        </r>
      </text>
    </comment>
    <comment ref="AO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restructuring, and acquisition-related costs</t>
        </r>
      </text>
    </comment>
    <comment ref="AT17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part of 'maintenance' program in 2018 is recertification and rotational maintenance</t>
        </r>
      </text>
    </comment>
    <comment ref="AL1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$3-3.5mm for full spread</t>
        </r>
      </text>
    </comment>
    <comment ref="AN19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hardcode - pumps only</t>
        </r>
      </text>
    </comment>
    <comment ref="AO19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service rigs to ignore impact of sale and cementing impact for O-Tex</t>
        </r>
      </text>
    </comment>
    <comment ref="AP19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cementing for this quarter - acquired assets</t>
        </r>
      </text>
    </comment>
    <comment ref="AP2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frac carryover</t>
        </r>
      </text>
    </comment>
    <comment ref="AM2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N2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P2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$145mm for frac refurb, $20mm for cementing refurb</t>
        </r>
      </text>
    </comment>
    <comment ref="AQ2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$145mm for frac refurb, $20mm for cementing refurb</t>
        </r>
      </text>
    </comment>
    <comment ref="AR2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$145mm for frac refurb, $20mm for cementing refurb</t>
        </r>
      </text>
    </comment>
    <comment ref="AF214" authorId="0">
      <text>
        <r>
          <rPr>
            <sz val="9"/>
            <color indexed="81"/>
            <rFont val="Tahoma"/>
            <family val="2"/>
          </rPr>
          <t>impairments, etc.</t>
        </r>
      </text>
    </comment>
    <comment ref="AG214" authorId="0">
      <text>
        <r>
          <rPr>
            <sz val="9"/>
            <color indexed="81"/>
            <rFont val="Tahoma"/>
            <family val="2"/>
          </rPr>
          <t>primarily impairment</t>
        </r>
      </text>
    </comment>
    <comment ref="AH214" authorId="0">
      <text>
        <r>
          <rPr>
            <sz val="9"/>
            <color indexed="81"/>
            <rFont val="Tahoma"/>
            <family val="2"/>
          </rPr>
          <t>primarily impairment</t>
        </r>
      </text>
    </comment>
    <comment ref="AI2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primarily impairment, inventory writedown, etc.</t>
        </r>
      </text>
    </comment>
    <comment ref="AJ2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primarily impairment, inventory writedown, etc.</t>
        </r>
      </text>
    </comment>
    <comment ref="K2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2-225 for maint, refresh and replace</t>
        </r>
      </text>
    </comment>
    <comment ref="AF225" authorId="0">
      <text>
        <r>
          <rPr>
            <sz val="9"/>
            <color indexed="81"/>
            <rFont val="Tahoma"/>
            <family val="2"/>
          </rPr>
          <t>working capital true-up from acquisition</t>
        </r>
      </text>
    </comment>
    <comment ref="AN2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sale of NE fluids assets</t>
        </r>
      </text>
    </comment>
    <comment ref="AO2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Canadian rig sale</t>
        </r>
      </text>
    </comment>
    <comment ref="AK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plug for combined impact of reorganization</t>
        </r>
      </text>
    </comment>
    <comment ref="AL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plug to reconcile</t>
        </r>
      </text>
    </comment>
    <comment ref="AM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plug to reconcile</t>
        </r>
      </text>
    </comment>
    <comment ref="AN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plug to reconcile</t>
        </r>
      </text>
    </comment>
    <comment ref="AO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plug to reconcile</t>
        </r>
      </text>
    </comment>
    <comment ref="AK2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uses implied 4Q16 using "fresh start accounting" method</t>
        </r>
      </text>
    </comment>
    <comment ref="AL2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DTA accumulation to avoid cash tax benefit</t>
        </r>
      </text>
    </comment>
    <comment ref="AG24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construction in progress</t>
        </r>
      </text>
    </comment>
    <comment ref="AJ2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DIP facility</t>
        </r>
      </text>
    </comment>
    <comment ref="AK2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DIP facility paid off</t>
        </r>
      </text>
    </comment>
    <comment ref="AJ25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"liabilities subject to compromise"</t>
        </r>
      </text>
    </comment>
    <comment ref="AH258" authorId="0">
      <text>
        <r>
          <rPr>
            <sz val="9"/>
            <color indexed="81"/>
            <rFont val="Tahoma"/>
            <family val="2"/>
          </rPr>
          <t>assume relatively flat in '16</t>
        </r>
      </text>
    </comment>
    <comment ref="AK25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"liabilities subject to compromise"</t>
        </r>
      </text>
    </comment>
    <comment ref="AK3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amount issued as of restructuring</t>
        </r>
      </text>
    </comment>
    <comment ref="AK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$100mm DIP facility</t>
        </r>
      </text>
    </comment>
    <comment ref="AM3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upsized to $200mm</t>
        </r>
      </text>
    </comment>
    <comment ref="AK35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unknown, assume 85% AR and 60% inventory</t>
        </r>
      </text>
    </comment>
    <comment ref="AD38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CJES completion services, as reported</t>
        </r>
      </text>
    </comment>
    <comment ref="AD39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the proportion of Well Support reported in 1Q by CJES</t>
        </r>
      </text>
    </comment>
    <comment ref="N4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20%</t>
        </r>
      </text>
    </comment>
    <comment ref="N40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20%</t>
        </r>
      </text>
    </comment>
    <comment ref="N40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20%</t>
        </r>
      </text>
    </comment>
  </commentList>
</comments>
</file>

<file path=xl/sharedStrings.xml><?xml version="1.0" encoding="utf-8"?>
<sst xmlns="http://schemas.openxmlformats.org/spreadsheetml/2006/main" count="806" uniqueCount="703">
  <si>
    <t>Morgan Stanley</t>
  </si>
  <si>
    <t>Period End</t>
  </si>
  <si>
    <t>Year</t>
  </si>
  <si>
    <t>Days in Period</t>
  </si>
  <si>
    <t>2018E</t>
  </si>
  <si>
    <t>2019E</t>
  </si>
  <si>
    <t>2020E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</si>
  <si>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</si>
  <si>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</si>
  <si>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</si>
  <si>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</si>
  <si>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</si>
  <si>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</si>
  <si>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</si>
  <si>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</si>
  <si>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</si>
  <si>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</si>
  <si>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</si>
  <si>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1Q18E</t>
  </si>
  <si>
    <t>2Q18E</t>
  </si>
  <si>
    <t>3Q18E</t>
  </si>
  <si>
    <t>4Q18E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</si>
  <si>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</si>
  <si>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</si>
  <si>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</si>
  <si>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</si>
  <si>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</si>
  <si>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</si>
  <si>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</si>
  <si>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</si>
  <si>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Q Index</t>
  </si>
  <si>
    <t>1Q13</t>
  </si>
  <si>
    <t>2Q13</t>
  </si>
  <si>
    <t>3Q13</t>
  </si>
  <si>
    <t>4Q13</t>
  </si>
  <si>
    <t>1Q12</t>
  </si>
  <si>
    <t>2Q12</t>
  </si>
  <si>
    <t>3Q12</t>
  </si>
  <si>
    <t>4Q12</t>
  </si>
  <si>
    <t>1Q11</t>
  </si>
  <si>
    <t>2Q11</t>
  </si>
  <si>
    <t>3Q11</t>
  </si>
  <si>
    <t>4Q11</t>
  </si>
  <si>
    <t>Income Statement</t>
  </si>
  <si>
    <t>($ in Millions)</t>
  </si>
  <si>
    <t>Revenue Breakdown:</t>
  </si>
  <si>
    <t>Completion Services</t>
  </si>
  <si>
    <t>Well Support Services</t>
  </si>
  <si>
    <t>Other Services &amp; Eliminations</t>
  </si>
  <si>
    <t>Total Revenues</t>
  </si>
  <si>
    <t>EBITDA Breakdown:</t>
  </si>
  <si>
    <t>Other Services &amp; Corporate</t>
  </si>
  <si>
    <t>EBITDA</t>
  </si>
  <si>
    <t>(D&amp;A)</t>
  </si>
  <si>
    <t>EBIT</t>
  </si>
  <si>
    <t>Interest (Expense), net</t>
  </si>
  <si>
    <t>Other (Expense) Income</t>
  </si>
  <si>
    <t>EBT</t>
  </si>
  <si>
    <t>Taxes</t>
  </si>
  <si>
    <t>Net Income (Operating)</t>
  </si>
  <si>
    <t>Reconciliation to GAAP Net Income:</t>
  </si>
  <si>
    <t>Gain (Loss) on Sale</t>
  </si>
  <si>
    <t>Impairments and Asset Write-Downs</t>
  </si>
  <si>
    <t>Restructuring Charges</t>
  </si>
  <si>
    <t>Discontinued Operations</t>
  </si>
  <si>
    <t>Other</t>
  </si>
  <si>
    <t>Net Income (GAAP)</t>
  </si>
  <si>
    <t>Operating EPS</t>
  </si>
  <si>
    <t>GAAP EPS</t>
  </si>
  <si>
    <t>Avg. Diluted Share Count</t>
  </si>
  <si>
    <t>Dividends per Share</t>
  </si>
  <si>
    <t>x</t>
  </si>
  <si>
    <t>NCPS Completion Services</t>
  </si>
  <si>
    <t>CJES Hydraulic Fracturing</t>
  </si>
  <si>
    <t>CJES Coiled Tubing</t>
  </si>
  <si>
    <t>CJES Wireline &amp; Pumpdown</t>
  </si>
  <si>
    <t>Total Completion Services</t>
  </si>
  <si>
    <t>Completion Services:</t>
  </si>
  <si>
    <t>NCPS Production Services</t>
  </si>
  <si>
    <t>CJES Adjusted EBITDA</t>
  </si>
  <si>
    <t>Total CJES Revenues</t>
  </si>
  <si>
    <t>Total NCPS Revenues</t>
  </si>
  <si>
    <t>Total Pro Forma Revenues</t>
  </si>
  <si>
    <t>NCPS EBITDA</t>
  </si>
  <si>
    <t>Total Pro Forma EBITDA</t>
  </si>
  <si>
    <t>Well Support Services:</t>
  </si>
  <si>
    <t>Total Well Support Services</t>
  </si>
  <si>
    <t>Pre-Tax Adjustments</t>
  </si>
  <si>
    <t>Post-Tax Adjustments</t>
  </si>
  <si>
    <t>Tax Benefit</t>
  </si>
  <si>
    <t>Reported Tax Expense</t>
  </si>
  <si>
    <t>Adjusted Tax Expense</t>
  </si>
  <si>
    <t>Drivers</t>
  </si>
  <si>
    <t>Revenue</t>
  </si>
  <si>
    <t>Less: EBITDA</t>
  </si>
  <si>
    <t>Cost of Sales</t>
  </si>
  <si>
    <t>Gross Margin</t>
  </si>
  <si>
    <t>Gross Margin %</t>
  </si>
  <si>
    <t>Revenues</t>
  </si>
  <si>
    <t>Revenue Detail</t>
  </si>
  <si>
    <t>Revenue Growth (Seq.)</t>
  </si>
  <si>
    <t>EBITDA Margin %</t>
  </si>
  <si>
    <t>EBIT Margin %</t>
  </si>
  <si>
    <t>Hydraulic Fracturing</t>
  </si>
  <si>
    <t>Wireline &amp; Pumpdown</t>
  </si>
  <si>
    <t>Cementing &amp; Other</t>
  </si>
  <si>
    <t>Rig Services</t>
  </si>
  <si>
    <t>Fluids Management</t>
  </si>
  <si>
    <t>Coiled Tubing</t>
  </si>
  <si>
    <t>Other Well Support</t>
  </si>
  <si>
    <t>4Q16</t>
  </si>
  <si>
    <t>Incremental EBITDA Margin %</t>
  </si>
  <si>
    <t>Adjustments</t>
  </si>
  <si>
    <t>Sequential Growth</t>
  </si>
  <si>
    <t>D&amp;A % of Beginning Net PP&amp;E (Ann.)</t>
  </si>
  <si>
    <t>Effective Interest Rate</t>
  </si>
  <si>
    <t>Effective Tax Rate</t>
  </si>
  <si>
    <t>Net Margin</t>
  </si>
  <si>
    <t>Active Frac HP</t>
  </si>
  <si>
    <t>Net Additions</t>
  </si>
  <si>
    <t>Active Fleets (assume 40kHP/Fleet)</t>
  </si>
  <si>
    <t>Revenue/Active Fleet (Ann.)</t>
  </si>
  <si>
    <t>Wireline Trucks Active</t>
  </si>
  <si>
    <t>Pumpdown Units Active</t>
  </si>
  <si>
    <t>Total Active Units</t>
  </si>
  <si>
    <t>Revenue/Active Unit (Ann.)</t>
  </si>
  <si>
    <t>Available Rigs</t>
  </si>
  <si>
    <t>Active Rigs</t>
  </si>
  <si>
    <t>Utilization</t>
  </si>
  <si>
    <t>Revenue/Hr ($000s)</t>
  </si>
  <si>
    <t>Rig Revenues</t>
  </si>
  <si>
    <t>Rig Hours (000s)</t>
  </si>
  <si>
    <t>Seq. Chg.</t>
  </si>
  <si>
    <t>Fluid Management</t>
  </si>
  <si>
    <t>Available Trucks</t>
  </si>
  <si>
    <t>Active Trucks</t>
  </si>
  <si>
    <t>Trucking Revenues</t>
  </si>
  <si>
    <t>Truck Hours (000s)</t>
  </si>
  <si>
    <t>Wireline Trucks Available</t>
  </si>
  <si>
    <t>Pumpdown Trucks Available</t>
  </si>
  <si>
    <t>Total Available Units</t>
  </si>
  <si>
    <t>Available Units</t>
  </si>
  <si>
    <t>Active Units</t>
  </si>
  <si>
    <t>Pro Forma Revenue &amp; EBITDA Ests.</t>
  </si>
  <si>
    <t>Cash Flow Statement</t>
  </si>
  <si>
    <t>Operating Cash Flows</t>
  </si>
  <si>
    <t>D&amp;A</t>
  </si>
  <si>
    <t>Deferred Taxes</t>
  </si>
  <si>
    <t>Stock based compensation</t>
  </si>
  <si>
    <t>Changes in Working Capital</t>
  </si>
  <si>
    <t>Accounts Receivable</t>
  </si>
  <si>
    <t>Inventory</t>
  </si>
  <si>
    <t>Accounts Payable</t>
  </si>
  <si>
    <t>Other Current Assets/Liabs</t>
  </si>
  <si>
    <t>Cash Flow from Operations</t>
  </si>
  <si>
    <t>Capital Expenditures</t>
  </si>
  <si>
    <t>Free Cash Flow (FCF)</t>
  </si>
  <si>
    <t>Financing/Investing Cash Flows</t>
  </si>
  <si>
    <t>Acquisitions &amp; Investments</t>
  </si>
  <si>
    <t>Asset Disposals</t>
  </si>
  <si>
    <t>Other Cash Flows from Investing</t>
  </si>
  <si>
    <t>Issuance / (Paydown) of Debt</t>
  </si>
  <si>
    <t>Dividends</t>
  </si>
  <si>
    <t>Equity Issues / Options Activity</t>
  </si>
  <si>
    <t>Purchase of Treasury Shares</t>
  </si>
  <si>
    <t>Other Cash Flows from Financing</t>
  </si>
  <si>
    <t>Foreign Exchange</t>
  </si>
  <si>
    <t>Total Change in Cash</t>
  </si>
  <si>
    <t>Less: G&amp;A &amp; R&amp;D</t>
  </si>
  <si>
    <t>Balance Sheet</t>
  </si>
  <si>
    <t>Assets:</t>
  </si>
  <si>
    <t>Cash &amp; Equivalents</t>
  </si>
  <si>
    <t>Accounts Receivables</t>
  </si>
  <si>
    <t>Prepaid Expenses &amp; Other Current Assets</t>
  </si>
  <si>
    <t>Deferred Tax Assets</t>
  </si>
  <si>
    <t>Total Current Assets</t>
  </si>
  <si>
    <t>Gross PP&amp;E</t>
  </si>
  <si>
    <t>Accumulated Depreciation</t>
  </si>
  <si>
    <t>Net PP&amp;E</t>
  </si>
  <si>
    <t>Goodwill &amp; Intangibles</t>
  </si>
  <si>
    <t>Other Assets</t>
  </si>
  <si>
    <t>Total Assets</t>
  </si>
  <si>
    <t>Liabilities &amp; Equity:</t>
  </si>
  <si>
    <t>Current LTD</t>
  </si>
  <si>
    <t>Other Current Liabilities</t>
  </si>
  <si>
    <t>Total Current Liabilities</t>
  </si>
  <si>
    <t>LT Debt</t>
  </si>
  <si>
    <t>Deferred Tax Liabilities</t>
  </si>
  <si>
    <t>Other LT Liabilities</t>
  </si>
  <si>
    <t>Contributed Capital</t>
  </si>
  <si>
    <t>Retained Earnings</t>
  </si>
  <si>
    <t>AOCI</t>
  </si>
  <si>
    <t>Shareholders' Equity</t>
  </si>
  <si>
    <t>Total Liabilities &amp; Equity</t>
  </si>
  <si>
    <t>Supporting Schedules</t>
  </si>
  <si>
    <t>Leverage &amp; Credit Metrics:</t>
  </si>
  <si>
    <t>Total Capital</t>
  </si>
  <si>
    <t>Total Debt</t>
  </si>
  <si>
    <t>Net Debt</t>
  </si>
  <si>
    <t>Total Debt/Capital</t>
  </si>
  <si>
    <t>Net Debt/Net Capital</t>
  </si>
  <si>
    <t>Net Debt/Equity</t>
  </si>
  <si>
    <t>Net Debt/LTM EBITDA</t>
  </si>
  <si>
    <t>Net Debt/LTM EBIT</t>
  </si>
  <si>
    <t>EBITDA/Int. Expense</t>
  </si>
  <si>
    <t>(EBITDA-Capex)/Int. Expense</t>
  </si>
  <si>
    <t>EBIT/Int. Expense</t>
  </si>
  <si>
    <t>Capex/D&amp;A</t>
  </si>
  <si>
    <t>Working Capital Management:</t>
  </si>
  <si>
    <t>Total Working Capital ($mm)</t>
  </si>
  <si>
    <t>Operating Working Capital ($mm)</t>
  </si>
  <si>
    <t>Current Ratio</t>
  </si>
  <si>
    <t>Receivables Turnover (x)</t>
  </si>
  <si>
    <t>Receivables Days</t>
  </si>
  <si>
    <t>Inventory Turnover (x)</t>
  </si>
  <si>
    <t>Days Inventory</t>
  </si>
  <si>
    <t>Payables Turnover (x)</t>
  </si>
  <si>
    <t>Payables Days</t>
  </si>
  <si>
    <t>Cash Conversion Cycle (Days)</t>
  </si>
  <si>
    <t>Depreciation &amp; Capex:</t>
  </si>
  <si>
    <t>Depreciation</t>
  </si>
  <si>
    <t>Depreciation / Revenues</t>
  </si>
  <si>
    <t>Capex / Revenues</t>
  </si>
  <si>
    <t>Capex / Depreciation</t>
  </si>
  <si>
    <t>Avg. Asset Life (Years)</t>
  </si>
  <si>
    <t>Average Asset Age (Years)</t>
  </si>
  <si>
    <t>Remaining Useful Life (Years)</t>
  </si>
  <si>
    <t>Shares Outstanding &amp; Book Value/Sh.</t>
  </si>
  <si>
    <t>Basic Shares Outstanding</t>
  </si>
  <si>
    <t>Diluted Shares Outstanding</t>
  </si>
  <si>
    <t>Common Shares at Period End</t>
  </si>
  <si>
    <t>Dilution Ratio</t>
  </si>
  <si>
    <t>Basic EPS (Incl. Extraordinary)</t>
  </si>
  <si>
    <t>Basic EPS (Ex-Extraordinary)</t>
  </si>
  <si>
    <t>Book Value/Share</t>
  </si>
  <si>
    <t>Tangible Book Value/Share</t>
  </si>
  <si>
    <t>Return Metrics:</t>
  </si>
  <si>
    <t>Net Operating Assets</t>
  </si>
  <si>
    <t>Invested Capital</t>
  </si>
  <si>
    <t>NOPAT</t>
  </si>
  <si>
    <t>NOPAT % Margin</t>
  </si>
  <si>
    <t>Op. Asset Turnover</t>
  </si>
  <si>
    <t>RNOA (ROIC)</t>
  </si>
  <si>
    <t>ROE (Operating)</t>
  </si>
  <si>
    <t>ROE (GAAP)</t>
  </si>
  <si>
    <t>Funding</t>
  </si>
  <si>
    <t>Net Operating Assets Req'd</t>
  </si>
  <si>
    <t>Operating Cash</t>
  </si>
  <si>
    <t>Funding Req'd</t>
  </si>
  <si>
    <t>Revolver Req'd</t>
  </si>
  <si>
    <t>Debt Detail</t>
  </si>
  <si>
    <t>Capital Leases</t>
  </si>
  <si>
    <t>Total Debt, Ex Revolver</t>
  </si>
  <si>
    <t>Revolver Capacity</t>
  </si>
  <si>
    <t>(Letters of Credit)</t>
  </si>
  <si>
    <t>Cash Capacity</t>
  </si>
  <si>
    <t>Est. Borrowing Base</t>
  </si>
  <si>
    <t>Max Availability</t>
  </si>
  <si>
    <t>Amount Drawn</t>
  </si>
  <si>
    <t>Revolver Availability</t>
  </si>
  <si>
    <t>Total Liquidity</t>
  </si>
  <si>
    <t>ST Debt</t>
  </si>
  <si>
    <t>Net Drawn (Repaid)</t>
  </si>
  <si>
    <t>Revolver</t>
  </si>
  <si>
    <t>Total</t>
  </si>
  <si>
    <t>MW Tags</t>
  </si>
  <si>
    <t>Unrecorded Goodwill</t>
  </si>
  <si>
    <t>Net Issuance and repurchase</t>
  </si>
  <si>
    <t>Statutory Tax Rate</t>
  </si>
  <si>
    <t>Other Current Assets (% of Revenue)</t>
  </si>
  <si>
    <t>Other Current Liabilities (% of Revenue)</t>
  </si>
  <si>
    <t>DTL % of Net PP&amp;E</t>
  </si>
  <si>
    <t>Term Loans &amp; Notes</t>
  </si>
  <si>
    <t>Loans, Notes &amp; Other</t>
  </si>
  <si>
    <t>Covenants</t>
  </si>
  <si>
    <t>Minimum Liquidity</t>
  </si>
  <si>
    <t>Actual Liquidity</t>
  </si>
  <si>
    <t>Fixed Charge Coverage</t>
  </si>
  <si>
    <t>Less: Capex</t>
  </si>
  <si>
    <t>Fixed Charge Coverage (assumed TTM)</t>
  </si>
  <si>
    <t>Less: Cash Tax (assume = book)</t>
  </si>
  <si>
    <t>Numerator</t>
  </si>
  <si>
    <t>Interest Expense</t>
  </si>
  <si>
    <t>Capex Schedule</t>
  </si>
  <si>
    <t>Frac Spread</t>
  </si>
  <si>
    <t>Wireline Truck</t>
  </si>
  <si>
    <t>Pump Truck</t>
  </si>
  <si>
    <t>Well Service Rig</t>
  </si>
  <si>
    <t>Fluid Truck</t>
  </si>
  <si>
    <t>CT Unit</t>
  </si>
  <si>
    <t>Maintenance Capex</t>
  </si>
  <si>
    <t>Newbuild Capex</t>
  </si>
  <si>
    <t>Available Fleets (assume 40kHP/Fleet)</t>
  </si>
  <si>
    <t>Maintenance</t>
  </si>
  <si>
    <t>Newbuild</t>
  </si>
  <si>
    <t>Refurb</t>
  </si>
  <si>
    <t>Corporate/Other</t>
  </si>
  <si>
    <t>Total Capex</t>
  </si>
  <si>
    <t>Maintenance / Active Unit ($mm)</t>
  </si>
  <si>
    <t>Capex / Newbuild Unit ($mm)</t>
  </si>
  <si>
    <t>% of Total</t>
  </si>
  <si>
    <t>Operating Data &amp; Drivers</t>
  </si>
  <si>
    <t>USD</t>
  </si>
  <si>
    <t>CJ.N</t>
  </si>
  <si>
    <t>C&amp;J Energy Services Inc</t>
  </si>
  <si>
    <t>Currency</t>
  </si>
  <si>
    <t>Current Stock Price</t>
  </si>
  <si>
    <t>Count</t>
  </si>
  <si>
    <t>CJ.N,mscalc:sedolCodeCalc</t>
  </si>
  <si>
    <t>CJ.N,mscalc:targetPrice,,,,USD</t>
  </si>
  <si>
    <t>CJ.N,mscalc:closePriceCurrencyCalc</t>
  </si>
  <si>
    <t>$F$2</t>
  </si>
  <si>
    <t>1Q17</t>
  </si>
  <si>
    <t>Nameplate Frac HP</t>
  </si>
  <si>
    <t>HP Utilization</t>
  </si>
  <si>
    <t>Ann. Revenue/Active HP ($000s)</t>
  </si>
  <si>
    <t>Ann. EBITDA/Active HP ($000s)</t>
  </si>
  <si>
    <t>Frac-Only Economics</t>
  </si>
  <si>
    <t>EBITDA/Active Fleet (Ann.)</t>
  </si>
  <si>
    <t>C&amp;J Energy Services (CJ) Earnings Model</t>
  </si>
  <si>
    <t>2Q17</t>
  </si>
  <si>
    <t>Hrs/Rig</t>
  </si>
  <si>
    <t>BD8PMN4</t>
  </si>
  <si>
    <t>38</t>
  </si>
  <si>
    <t>Stages</t>
  </si>
  <si>
    <t>Revenue / Stage</t>
  </si>
  <si>
    <t>Stages / Active Fleet</t>
  </si>
  <si>
    <t>Cementing</t>
  </si>
  <si>
    <t>Cementing Unit</t>
  </si>
  <si>
    <t>3Q17</t>
  </si>
  <si>
    <t>Hrs/Truck</t>
  </si>
  <si>
    <t>Frac % of Revenues</t>
  </si>
  <si>
    <t>Proportionate Corp.</t>
  </si>
  <si>
    <t>Fully-Loaded EBITDA/Active HP ($000s)</t>
  </si>
  <si>
    <t>Ann. Corp. / HP</t>
  </si>
  <si>
    <t>4Q17</t>
  </si>
  <si>
    <t>Frac</t>
  </si>
  <si>
    <t>Non-Frac Completions</t>
  </si>
  <si>
    <t>Well Support</t>
  </si>
  <si>
    <t>CJ Disclosed Ann. EBITDA / Fleet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</si>
  <si>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</si>
  <si>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</si>
  <si>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</si>
  <si>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</si>
  <si>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</si>
  <si>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</si>
  <si>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</si>
  <si>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</si>
  <si>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</si>
  <si>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</si>
  <si>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</si>
  <si>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CJ.N</t>
  </si>
  <si>
    <t>Stock Rating: Overweight</t>
  </si>
  <si>
    <t>Industry: Oil Services, Drilling &amp; Equipment</t>
  </si>
  <si>
    <t>Industry View: In-Line</t>
  </si>
  <si>
    <t>Price as of 11 Apr 2018: 27.26</t>
  </si>
  <si>
    <t>Target Price: 40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</si>
  <si>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</si>
  <si>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</si>
  <si>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</si>
  <si>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</si>
  <si>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</si>
  <si>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</si>
  <si>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</si>
  <si>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</si>
  <si>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</si>
  <si>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</si>
  <si>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</si>
  <si>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</si>
  <si>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</si>
  <si>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</si>
  <si>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</si>
  <si>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</si>
  <si>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</si>
  <si>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</si>
  <si>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</si>
  <si>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</si>
  <si>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</si>
  <si>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</si>
  <si>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</si>
  <si>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</si>
  <si>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</si>
  <si>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</si>
  <si>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</si>
  <si>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</si>
  <si>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</si>
  <si>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</si>
  <si>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</si>
  <si>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</si>
  <si>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</si>
  <si>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</si>
  <si>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</si>
  <si>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</si>
  <si>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</si>
  <si>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</si>
  <si>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</si>
  <si>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</si>
  <si>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</si>
  <si>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</si>
  <si>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</si>
  <si>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</si>
  <si>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</si>
  <si>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</si>
  <si>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</si>
  <si>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</si>
  <si>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</si>
  <si>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</si>
  <si>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</si>
  <si>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</si>
  <si>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</si>
  <si>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</si>
  <si>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</si>
  <si>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</si>
  <si>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</si>
  <si>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</si>
  <si>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</si>
  <si>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</si>
  <si>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</si>
  <si>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</si>
  <si>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</si>
  <si>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</si>
  <si>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</si>
  <si>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</si>
  <si>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</si>
  <si>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</si>
  <si>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</si>
  <si>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</si>
  <si>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</si>
  <si>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</si>
  <si>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</si>
  <si>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</si>
  <si>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</si>
  <si>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</si>
  <si>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</si>
  <si>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</si>
  <si>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</si>
  <si>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</si>
  <si>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</si>
  <si>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</si>
  <si>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</si>
  <si>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</si>
  <si>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</si>
  <si>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</si>
  <si>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</si>
  <si>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</si>
  <si>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</si>
  <si>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</si>
  <si>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</si>
  <si>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</si>
  <si>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</si>
  <si>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</si>
  <si>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</si>
  <si>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</si>
  <si>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</si>
  <si>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</si>
  <si>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</si>
  <si>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</si>
  <si>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</si>
  <si>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</si>
  <si>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</si>
  <si>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</si>
  <si>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</si>
  <si>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</si>
  <si>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</si>
  <si>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</si>
  <si>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</si>
  <si>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</si>
  <si>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</si>
  <si>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</si>
  <si>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</si>
  <si>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</si>
  <si>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</si>
  <si>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</si>
  <si>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</si>
  <si>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</si>
  <si>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</si>
  <si>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</si>
  <si>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</si>
  <si>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</si>
  <si>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</si>
  <si>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</si>
  <si>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</si>
  <si>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</si>
  <si>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</si>
  <si>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</si>
  <si>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</si>
  <si>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</si>
  <si>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</si>
  <si>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</si>
  <si>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</si>
  <si>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</si>
  <si>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</si>
  <si>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</si>
  <si>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</si>
  <si>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</si>
  <si>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</si>
  <si>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</si>
  <si>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</si>
  <si>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</si>
  <si>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</si>
  <si>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</si>
  <si>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</si>
  <si>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</si>
  <si>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</si>
  <si>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</si>
  <si>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</si>
  <si>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</si>
  <si>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</si>
  <si>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</si>
  <si>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</si>
  <si>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</si>
  <si>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</si>
  <si>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</si>
  <si>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</si>
  <si>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</si>
  <si>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</si>
  <si>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</si>
  <si>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</si>
  <si>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</si>
  <si>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</si>
  <si>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</si>
  <si>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</si>
  <si>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</si>
  <si>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</si>
  <si>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</si>
  <si>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</si>
  <si>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</si>
  <si>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</si>
  <si>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</si>
  <si>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</si>
  <si>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</si>
  <si>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</si>
  <si>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</si>
  <si>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</si>
  <si>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</si>
  <si>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</si>
  <si>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C&amp;J Energy Services Inc.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</si>
  <si>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</si>
  <si>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</si>
  <si>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</si>
  <si>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</si>
  <si>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</si>
  <si>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</si>
  <si>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</si>
  <si>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</si>
  <si>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</si>
  <si>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</si>
  <si>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</si>
  <si>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</si>
  <si>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</si>
  <si>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</si>
  <si>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</si>
  <si>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</si>
  <si>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</si>
  <si>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</si>
  <si>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</si>
  <si>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</si>
  <si>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</si>
  <si>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</si>
  <si>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</si>
  <si>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</si>
  <si>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</si>
  <si>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</si>
  <si>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</si>
  <si>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</si>
  <si>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</si>
  <si>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</si>
  <si>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</si>
  <si>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</si>
  <si>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</si>
  <si>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</si>
  <si>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</si>
  <si>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</si>
  <si>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</si>
  <si>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</si>
  <si>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</si>
  <si>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</si>
  <si>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</si>
  <si>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</si>
  <si>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</si>
  <si>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</si>
  <si>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</si>
  <si>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</si>
  <si>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</si>
  <si>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</si>
  <si>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</si>
  <si>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</si>
  <si>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</si>
  <si>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</si>
  <si>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</si>
  <si>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</si>
  <si>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</si>
  <si>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</si>
  <si>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</si>
  <si>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</si>
  <si>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</si>
  <si>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</si>
  <si>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</si>
  <si>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</si>
  <si>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</si>
  <si>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</si>
  <si>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</si>
  <si>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</si>
  <si>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</si>
  <si>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C&amp;J Energy Services Inc.</t>
  </si>
  <si>
    <t>In the next 3 months, Morgan Stanley expects to receive or intends to seek compensation for investment</t>
  </si>
  <si>
    <t>banking services from C&amp;J Energy Services Inc.</t>
  </si>
  <si>
    <t>Within the last 12 months, Morgan Stanley has received compensation for investment banking services from</t>
  </si>
  <si>
    <t>C&amp;J Energy Services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</si>
  <si>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</si>
  <si>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</si>
  <si>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</si>
  <si>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</si>
  <si>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</si>
  <si>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</si>
  <si>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</si>
  <si>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</si>
  <si>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</si>
  <si>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</si>
  <si>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</si>
  <si>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</si>
  <si>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</si>
  <si>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</si>
  <si>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</si>
  <si>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</si>
  <si>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</si>
  <si>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</si>
  <si>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</si>
  <si>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</si>
  <si>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</si>
  <si>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</si>
  <si>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</si>
  <si>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</si>
  <si>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</si>
  <si>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</si>
  <si>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</si>
  <si>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</si>
  <si>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</si>
  <si>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</si>
  <si>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</si>
  <si>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</si>
  <si>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</si>
  <si>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</si>
  <si>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</si>
  <si>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</si>
  <si>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</si>
  <si>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</si>
  <si>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</si>
  <si>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</si>
  <si>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</si>
  <si>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</si>
  <si>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</si>
  <si>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</si>
  <si>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</si>
  <si>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</si>
  <si>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</si>
  <si>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</si>
  <si>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</si>
  <si>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</si>
  <si>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</si>
  <si>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</si>
  <si>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</si>
  <si>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</si>
  <si>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</si>
  <si>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</si>
  <si>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</si>
  <si>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</si>
  <si>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</si>
  <si>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</si>
  <si>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</si>
  <si>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</si>
  <si>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</si>
  <si>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</si>
  <si>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</si>
  <si>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</si>
  <si>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</si>
  <si>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</si>
  <si>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</si>
  <si>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</si>
  <si>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</si>
  <si>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</si>
  <si>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</si>
  <si>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</si>
  <si>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</si>
  <si>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</si>
  <si>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</si>
  <si>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</si>
  <si>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ozierale</t>
  </si>
  <si>
    <t>12674R100</t>
  </si>
  <si>
    <t>L:\ENERGY\Lynagh\Models\CJ.xlsm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</si>
  <si>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</si>
  <si>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</si>
  <si>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</si>
  <si>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</si>
  <si>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</si>
  <si>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</si>
  <si>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09:33]</t>
  </si>
  <si>
    <t>[PSYM CJ.N(S&amp;P) (None)]</t>
  </si>
  <si>
    <t>[COU 1]</t>
  </si>
  <si>
    <t>[ANA ]</t>
  </si>
  <si>
    <t>[HL CJ.N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</si>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</sst>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_);\ \(#,##0.00\);\ &quot;- &quot;"/>
    <numFmt numFmtId="165" formatCode="#,##0.0_);\(#,##0.0\);&quot;-&quot;_);@_)"/>
    <numFmt numFmtId="166" formatCode="[$-409]mmm\-yy;@"/>
    <numFmt numFmtId="167" formatCode="####"/>
    <numFmt numFmtId="168" formatCode="#,##0_);\ \(#,##0\);\ &quot;- &quot;"/>
    <numFmt numFmtId="169" formatCode="#,##0.0_);\(#,##0.0\);\–_)"/>
    <numFmt numFmtId="170" formatCode="#,##0.00_);\(#,##0.00\);\–_)"/>
    <numFmt numFmtId="171" formatCode="#,##0.0_);\ \(#,##0.0\);\ &quot;- &quot;"/>
    <numFmt numFmtId="172" formatCode="0.0%_);\(0.0%\);&quot;–&quot;_)"/>
    <numFmt numFmtId="173" formatCode="#,##0_);\(#,##0\);\–_)"/>
    <numFmt numFmtId="174" formatCode="0.0%"/>
    <numFmt numFmtId="175" formatCode="_(* #,##0_);_(* \(#,##0\);_(* &quot;-&quot;??_);_(@_)"/>
    <numFmt numFmtId="176" formatCode="_(* #,##0.0_);_(* \(#,##0.0\);_(* &quot;-&quot;??_);_(@_)"/>
    <numFmt numFmtId="177" formatCode="#,##0.0%_);\ \(#,##0.0%\);\ &quot;- &quot;"/>
    <numFmt numFmtId="178" formatCode="0.0\x_);\(0.0\x\);&quot;–&quot;_)"/>
    <numFmt numFmtId="179" formatCode="#,##0.0\x_);\ \(#,##0.0\x\);\ &quot;- &quot;"/>
    <numFmt numFmtId="180" formatCode="0%_);\(0%\);&quot;–&quot;_)"/>
    <numFmt numFmtId="183" formatCode="#,##0.0_);\(#,##0.0\);&quot;-&quot;"/>
    <numFmt numFmtId="184" formatCode="0.0%_);\(0.0%\);&quot;-&quot;"/>
    <numFmt numFmtId="185" formatCode="_ * #,##0_ ;_ * \-#,##0_ ;_ * &quot;-&quot;_ ;_ @_ "/>
    <numFmt numFmtId="193" formatCode="#,##0.000_);\ \(#,##0.000\);\ &quot;- &quot;"/>
    <numFmt numFmtId="194" formatCode="#,##0.000_);\(#,##0.000\);\–_)"/>
    <numFmt numFmtId="201" formatCode="mm/dd/yy\ hh:mm"/>
  </numFmts>
  <fonts count="44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5"/>
      <color indexed="8"/>
      <name val="Arial"/>
      <family val="2"/>
    </font>
    <font>
      <b/>
      <sz val="12"/>
      <color indexed="8"/>
      <name val="News Gothic MT"/>
      <family val="2"/>
    </font>
    <font>
      <b/>
      <sz val="8"/>
      <name val="Arial"/>
      <family val="2"/>
    </font>
    <font>
      <sz val="5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i/>
      <sz val="8"/>
      <color indexed="12"/>
      <name val="Arial"/>
      <family val="2"/>
    </font>
    <font>
      <b/>
      <sz val="8"/>
      <color indexed="53"/>
      <name val="Arial"/>
      <family val="2"/>
    </font>
    <font>
      <b/>
      <sz val="8"/>
      <color indexed="12"/>
      <name val="Arial"/>
      <family val="2"/>
    </font>
    <font>
      <b/>
      <sz val="8"/>
      <color indexed="19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sz val="5"/>
      <color theme="1"/>
      <name val="Arial"/>
      <family val="2"/>
    </font>
    <font>
      <sz val="8"/>
      <color rgb="FF008000"/>
      <name val="Arial"/>
      <family val="2"/>
    </font>
    <font>
      <sz val="8"/>
      <color rgb="FF137CB1"/>
      <name val="Arial"/>
      <family val="2"/>
    </font>
    <font>
      <sz val="8"/>
      <color indexed="12"/>
      <name val="Arial"/>
      <family val="2"/>
    </font>
    <font>
      <sz val="9"/>
      <color indexed="81"/>
      <name val="Tahoma"/>
      <family val="2"/>
    </font>
    <font>
      <i/>
      <sz val="8"/>
      <color theme="1"/>
      <name val="Arial"/>
      <family val="2"/>
    </font>
    <font>
      <b/>
      <sz val="9"/>
      <color indexed="81"/>
      <name val="Tahoma"/>
      <family val="2"/>
    </font>
    <font>
      <b/>
      <sz val="5"/>
      <color theme="1"/>
      <name val="Arial"/>
      <family val="2"/>
    </font>
    <font>
      <b/>
      <sz val="8"/>
      <color rgb="FF137CB1"/>
      <name val="Arial"/>
      <family val="2"/>
    </font>
    <font>
      <i/>
      <u/>
      <sz val="8"/>
      <color theme="1"/>
      <name val="Arial"/>
      <family val="2"/>
    </font>
    <font>
      <u/>
      <sz val="8"/>
      <name val="Arial"/>
      <family val="2"/>
    </font>
    <font>
      <sz val="8"/>
      <color rgb="FF800080"/>
      <name val="Arial"/>
      <family val="2"/>
    </font>
    <font>
      <sz val="8"/>
      <color theme="1"/>
      <name val="Arial"/>
      <family val="2"/>
    </font>
    <font>
      <b/>
      <sz val="10"/>
      <name val="Beatles"/>
      <charset val="16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1"/>
      <color theme="1"/>
      <name val="Calibri"/>
      <family val="2"/>
      <scheme val="minor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sz val="8"/>
      <name val="Times New Roman"/>
      <family val="1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1">
    <xf numFmtId="0" fontId="0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4" fillId="0" borderId="0"/>
    <xf numFmtId="0" fontId="4" fillId="0" borderId="0"/>
    <xf numFmtId="0" fontId="31" fillId="0" borderId="0"/>
    <xf numFmtId="0" fontId="31" fillId="0" borderId="0"/>
    <xf numFmtId="0" fontId="32" fillId="0" borderId="0"/>
    <xf numFmtId="43" fontId="4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29" fillId="0" borderId="0"/>
    <xf numFmtId="0" fontId="4" fillId="0" borderId="0"/>
    <xf numFmtId="183" fontId="10" fillId="0" borderId="0"/>
    <xf numFmtId="0" fontId="34" fillId="0" borderId="0">
      <alignment vertical="center"/>
    </xf>
    <xf numFmtId="184" fontId="4" fillId="0" borderId="0" applyFont="0" applyFill="0" applyBorder="0" applyAlignment="0" applyProtection="0"/>
    <xf numFmtId="0" fontId="4" fillId="6" borderId="0" applyNumberFormat="0" applyFont="0" applyBorder="0" applyAlignment="0" applyProtection="0"/>
    <xf numFmtId="0" fontId="35" fillId="0" borderId="0"/>
    <xf numFmtId="0" fontId="35" fillId="0" borderId="6">
      <alignment horizontal="centerContinuous"/>
    </xf>
    <xf numFmtId="0" fontId="36" fillId="0" borderId="6"/>
    <xf numFmtId="183" fontId="7" fillId="0" borderId="2"/>
    <xf numFmtId="185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3" fontId="7" fillId="0" borderId="2"/>
    <xf numFmtId="0" fontId="29" fillId="0" borderId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39" fillId="0" borderId="0"/>
  </cellStyleXfs>
  <cellXfs count="260">
    <xf numFmtId="0" fontId="0" fillId="0" borderId="0" xfId="0"/>
    <xf numFmtId="0" fontId="5" fillId="0" borderId="0" xfId="1" applyFont="1"/>
    <xf numFmtId="49" fontId="6" fillId="0" borderId="0" xfId="1" applyNumberFormat="1" applyFont="1" applyFill="1" applyBorder="1"/>
    <xf numFmtId="164" fontId="7" fillId="0" borderId="0" xfId="1" applyNumberFormat="1" applyFont="1"/>
    <xf numFmtId="0" fontId="4" fillId="0" borderId="0" xfId="2"/>
    <xf numFmtId="0" fontId="8" fillId="0" borderId="0" xfId="1" applyFont="1"/>
    <xf numFmtId="49" fontId="7" fillId="0" borderId="0" xfId="1" applyNumberFormat="1" applyFont="1" applyFill="1" applyBorder="1" applyAlignment="1">
      <alignment vertical="center"/>
    </xf>
    <xf numFmtId="165" fontId="2" fillId="0" borderId="0" xfId="2" applyNumberFormat="1" applyFont="1"/>
    <xf numFmtId="0" fontId="9" fillId="0" borderId="0" xfId="1" applyNumberFormat="1" applyFont="1" applyFill="1" applyBorder="1" applyAlignment="1">
      <alignment vertical="center"/>
    </xf>
    <xf numFmtId="164" fontId="7" fillId="0" borderId="0" xfId="1" applyNumberFormat="1" applyFont="1" applyFill="1"/>
    <xf numFmtId="0" fontId="10" fillId="0" borderId="0" xfId="1" applyFont="1"/>
    <xf numFmtId="0" fontId="11" fillId="0" borderId="0" xfId="1" applyFont="1" applyBorder="1" applyAlignment="1">
      <alignment horizontal="right"/>
    </xf>
    <xf numFmtId="0" fontId="8" fillId="2" borderId="0" xfId="1" applyFont="1" applyFill="1"/>
    <xf numFmtId="49" fontId="10" fillId="2" borderId="0" xfId="1" applyNumberFormat="1" applyFont="1" applyFill="1" applyBorder="1" applyAlignment="1">
      <alignment vertical="center"/>
    </xf>
    <xf numFmtId="166" fontId="10" fillId="2" borderId="0" xfId="1" applyNumberFormat="1" applyFont="1" applyFill="1" applyBorder="1" applyAlignment="1">
      <alignment horizontal="right"/>
    </xf>
    <xf numFmtId="14" fontId="4" fillId="2" borderId="0" xfId="2" applyNumberFormat="1" applyFill="1"/>
    <xf numFmtId="0" fontId="10" fillId="2" borderId="0" xfId="1" applyFont="1" applyFill="1" applyBorder="1" applyAlignment="1">
      <alignment horizontal="right"/>
    </xf>
    <xf numFmtId="0" fontId="4" fillId="2" borderId="0" xfId="2" applyFill="1"/>
    <xf numFmtId="0" fontId="10" fillId="2" borderId="0" xfId="1" applyFont="1" applyFill="1"/>
    <xf numFmtId="167" fontId="10" fillId="2" borderId="0" xfId="1" applyNumberFormat="1" applyFont="1" applyFill="1" applyBorder="1" applyAlignment="1">
      <alignment horizontal="right"/>
    </xf>
    <xf numFmtId="167" fontId="12" fillId="0" borderId="0" xfId="1" applyNumberFormat="1" applyFont="1" applyBorder="1" applyAlignment="1">
      <alignment horizontal="right"/>
    </xf>
    <xf numFmtId="0" fontId="13" fillId="0" borderId="1" xfId="1" applyFont="1" applyBorder="1" applyAlignment="1">
      <alignment horizontal="right"/>
    </xf>
    <xf numFmtId="0" fontId="14" fillId="0" borderId="0" xfId="1" applyFont="1"/>
    <xf numFmtId="0" fontId="7" fillId="0" borderId="0" xfId="1" applyFont="1" applyFill="1"/>
    <xf numFmtId="0" fontId="10" fillId="0" borderId="1" xfId="1" applyFont="1" applyFill="1" applyBorder="1" applyAlignment="1">
      <alignment horizontal="left"/>
    </xf>
    <xf numFmtId="37" fontId="15" fillId="0" borderId="0" xfId="3" applyNumberFormat="1" applyFont="1" applyFill="1" applyBorder="1" applyAlignment="1"/>
    <xf numFmtId="168" fontId="10" fillId="0" borderId="0" xfId="1" applyNumberFormat="1" applyFont="1" applyFill="1" applyAlignment="1">
      <alignment horizontal="left" indent="1"/>
    </xf>
    <xf numFmtId="168" fontId="7" fillId="0" borderId="0" xfId="1" applyNumberFormat="1" applyFont="1" applyFill="1" applyAlignment="1"/>
    <xf numFmtId="168" fontId="16" fillId="0" borderId="0" xfId="1" applyNumberFormat="1" applyFont="1" applyFill="1" applyAlignment="1">
      <alignment horizontal="left" indent="1"/>
    </xf>
    <xf numFmtId="168" fontId="10" fillId="0" borderId="0" xfId="1" applyNumberFormat="1" applyFont="1" applyFill="1" applyAlignment="1">
      <alignment horizontal="left" indent="2"/>
    </xf>
    <xf numFmtId="0" fontId="10" fillId="0" borderId="0" xfId="1" applyFont="1" applyFill="1"/>
    <xf numFmtId="168" fontId="7" fillId="0" borderId="0" xfId="1" applyNumberFormat="1" applyFont="1" applyFill="1"/>
    <xf numFmtId="168" fontId="10" fillId="0" borderId="0" xfId="1" applyNumberFormat="1" applyFont="1" applyFill="1"/>
    <xf numFmtId="167" fontId="7" fillId="0" borderId="1" xfId="1" applyNumberFormat="1" applyFont="1" applyFill="1" applyBorder="1" applyAlignment="1">
      <alignment horizontal="right"/>
    </xf>
    <xf numFmtId="0" fontId="3" fillId="0" borderId="0" xfId="0" applyFont="1"/>
    <xf numFmtId="169" fontId="0" fillId="0" borderId="0" xfId="0" applyNumberFormat="1"/>
    <xf numFmtId="169" fontId="3" fillId="0" borderId="2" xfId="0" applyNumberFormat="1" applyFont="1" applyBorder="1"/>
    <xf numFmtId="169" fontId="3" fillId="0" borderId="0" xfId="0" applyNumberFormat="1" applyFont="1"/>
    <xf numFmtId="0" fontId="17" fillId="0" borderId="0" xfId="0" applyFont="1"/>
    <xf numFmtId="0" fontId="0" fillId="0" borderId="0" xfId="0" applyFont="1"/>
    <xf numFmtId="0" fontId="0" fillId="0" borderId="0" xfId="0" applyAlignment="1">
      <alignment horizontal="left" indent="1"/>
    </xf>
    <xf numFmtId="169" fontId="19" fillId="0" borderId="0" xfId="0" applyNumberFormat="1" applyFont="1"/>
    <xf numFmtId="170" fontId="0" fillId="0" borderId="0" xfId="0" applyNumberFormat="1"/>
    <xf numFmtId="171" fontId="20" fillId="0" borderId="0" xfId="1" applyNumberFormat="1" applyFont="1" applyFill="1"/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1"/>
    </xf>
    <xf numFmtId="0" fontId="22" fillId="0" borderId="0" xfId="0" applyFont="1" applyAlignment="1">
      <alignment horizontal="left" indent="1"/>
    </xf>
    <xf numFmtId="169" fontId="19" fillId="3" borderId="0" xfId="0" applyNumberFormat="1" applyFont="1" applyFill="1"/>
    <xf numFmtId="169" fontId="0" fillId="3" borderId="0" xfId="0" applyNumberFormat="1" applyFill="1"/>
    <xf numFmtId="169" fontId="10" fillId="3" borderId="0" xfId="0" applyNumberFormat="1" applyFont="1" applyFill="1"/>
    <xf numFmtId="169" fontId="19" fillId="0" borderId="0" xfId="0" applyNumberFormat="1" applyFont="1" applyFill="1"/>
    <xf numFmtId="169" fontId="3" fillId="3" borderId="2" xfId="0" applyNumberFormat="1" applyFont="1" applyFill="1" applyBorder="1"/>
    <xf numFmtId="169" fontId="19" fillId="0" borderId="0" xfId="1" applyNumberFormat="1" applyFont="1" applyFill="1" applyBorder="1"/>
    <xf numFmtId="169" fontId="19" fillId="0" borderId="0" xfId="1" applyNumberFormat="1" applyFont="1" applyFill="1"/>
    <xf numFmtId="169" fontId="10" fillId="0" borderId="0" xfId="1" applyNumberFormat="1" applyFont="1" applyFill="1"/>
    <xf numFmtId="171" fontId="19" fillId="0" borderId="0" xfId="1" applyNumberFormat="1" applyFont="1" applyFill="1"/>
    <xf numFmtId="169" fontId="10" fillId="3" borderId="0" xfId="1" applyNumberFormat="1" applyFont="1" applyFill="1"/>
    <xf numFmtId="169" fontId="19" fillId="3" borderId="0" xfId="1" applyNumberFormat="1" applyFont="1" applyFill="1"/>
    <xf numFmtId="0" fontId="10" fillId="3" borderId="0" xfId="2" applyFont="1" applyFill="1"/>
    <xf numFmtId="0" fontId="7" fillId="0" borderId="1" xfId="1" applyFont="1" applyFill="1" applyBorder="1" applyAlignment="1">
      <alignment horizontal="left"/>
    </xf>
    <xf numFmtId="0" fontId="7" fillId="0" borderId="0" xfId="1" applyFont="1" applyFill="1" applyBorder="1" applyAlignment="1">
      <alignment horizontal="left"/>
    </xf>
    <xf numFmtId="167" fontId="7" fillId="0" borderId="0" xfId="1" applyNumberFormat="1" applyFont="1" applyFill="1" applyBorder="1" applyAlignment="1">
      <alignment horizontal="right"/>
    </xf>
    <xf numFmtId="172" fontId="0" fillId="0" borderId="0" xfId="0" applyNumberFormat="1" applyFont="1"/>
    <xf numFmtId="172" fontId="0" fillId="0" borderId="0" xfId="0" applyNumberFormat="1" applyFont="1" applyAlignment="1">
      <alignment horizontal="right"/>
    </xf>
    <xf numFmtId="0" fontId="22" fillId="0" borderId="0" xfId="0" applyFont="1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Alignment="1">
      <alignment horizontal="left" indent="2"/>
    </xf>
    <xf numFmtId="172" fontId="7" fillId="0" borderId="0" xfId="1" applyNumberFormat="1" applyFont="1" applyFill="1" applyBorder="1" applyAlignment="1">
      <alignment horizontal="right"/>
    </xf>
    <xf numFmtId="172" fontId="10" fillId="0" borderId="0" xfId="1" applyNumberFormat="1" applyFont="1" applyFill="1" applyBorder="1" applyAlignment="1">
      <alignment horizontal="right"/>
    </xf>
    <xf numFmtId="172" fontId="19" fillId="5" borderId="0" xfId="1" applyNumberFormat="1" applyFont="1" applyFill="1" applyBorder="1" applyAlignment="1">
      <alignment horizontal="right"/>
    </xf>
    <xf numFmtId="172" fontId="3" fillId="0" borderId="0" xfId="0" applyNumberFormat="1" applyFont="1"/>
    <xf numFmtId="172" fontId="3" fillId="0" borderId="0" xfId="0" applyNumberFormat="1" applyFont="1" applyAlignment="1">
      <alignment horizontal="right"/>
    </xf>
    <xf numFmtId="168" fontId="10" fillId="0" borderId="0" xfId="1" applyNumberFormat="1" applyFont="1" applyFill="1" applyAlignment="1"/>
    <xf numFmtId="0" fontId="0" fillId="0" borderId="0" xfId="0" applyAlignment="1"/>
    <xf numFmtId="0" fontId="3" fillId="0" borderId="0" xfId="0" applyFont="1" applyAlignment="1"/>
    <xf numFmtId="167" fontId="10" fillId="0" borderId="0" xfId="1" applyNumberFormat="1" applyFont="1" applyFill="1" applyBorder="1" applyAlignment="1">
      <alignment horizontal="right"/>
    </xf>
    <xf numFmtId="0" fontId="0" fillId="0" borderId="0" xfId="0" applyFont="1" applyAlignment="1">
      <alignment horizontal="left" indent="2"/>
    </xf>
    <xf numFmtId="0" fontId="24" fillId="0" borderId="0" xfId="0" applyFont="1"/>
    <xf numFmtId="169" fontId="10" fillId="0" borderId="0" xfId="1" applyNumberFormat="1" applyFont="1" applyFill="1" applyBorder="1" applyAlignment="1">
      <alignment horizontal="right"/>
    </xf>
    <xf numFmtId="169" fontId="19" fillId="0" borderId="0" xfId="1" applyNumberFormat="1" applyFont="1" applyFill="1" applyBorder="1" applyAlignment="1">
      <alignment horizontal="right"/>
    </xf>
    <xf numFmtId="169" fontId="0" fillId="0" borderId="0" xfId="0" applyNumberFormat="1" applyFont="1"/>
    <xf numFmtId="169" fontId="7" fillId="0" borderId="0" xfId="1" applyNumberFormat="1" applyFont="1" applyFill="1" applyBorder="1" applyAlignment="1">
      <alignment horizontal="right"/>
    </xf>
    <xf numFmtId="169" fontId="0" fillId="0" borderId="0" xfId="0" applyNumberFormat="1" applyFill="1"/>
    <xf numFmtId="169" fontId="25" fillId="0" borderId="0" xfId="1" applyNumberFormat="1" applyFont="1" applyFill="1" applyBorder="1" applyAlignment="1">
      <alignment horizontal="right"/>
    </xf>
    <xf numFmtId="169" fontId="3" fillId="0" borderId="2" xfId="0" applyNumberFormat="1" applyFont="1" applyFill="1" applyBorder="1"/>
    <xf numFmtId="169" fontId="10" fillId="0" borderId="0" xfId="0" applyNumberFormat="1" applyFont="1" applyFill="1"/>
    <xf numFmtId="172" fontId="3" fillId="0" borderId="0" xfId="0" applyNumberFormat="1" applyFont="1" applyFill="1" applyAlignment="1">
      <alignment horizontal="right"/>
    </xf>
    <xf numFmtId="0" fontId="0" fillId="0" borderId="0" xfId="0" applyFill="1"/>
    <xf numFmtId="172" fontId="0" fillId="0" borderId="0" xfId="0" applyNumberFormat="1" applyFont="1" applyFill="1" applyAlignment="1">
      <alignment horizontal="right"/>
    </xf>
    <xf numFmtId="172" fontId="19" fillId="0" borderId="0" xfId="1" applyNumberFormat="1" applyFont="1" applyFill="1" applyBorder="1" applyAlignment="1">
      <alignment horizontal="right"/>
    </xf>
    <xf numFmtId="169" fontId="10" fillId="3" borderId="0" xfId="1" applyNumberFormat="1" applyFont="1" applyFill="1" applyBorder="1" applyAlignment="1">
      <alignment horizontal="right"/>
    </xf>
    <xf numFmtId="173" fontId="19" fillId="0" borderId="0" xfId="1" applyNumberFormat="1" applyFont="1" applyFill="1" applyBorder="1" applyAlignment="1">
      <alignment horizontal="right"/>
    </xf>
    <xf numFmtId="168" fontId="19" fillId="0" borderId="0" xfId="1" applyNumberFormat="1" applyFont="1" applyFill="1"/>
    <xf numFmtId="173" fontId="10" fillId="0" borderId="0" xfId="1" applyNumberFormat="1" applyFont="1" applyFill="1" applyBorder="1" applyAlignment="1">
      <alignment horizontal="right"/>
    </xf>
    <xf numFmtId="173" fontId="0" fillId="0" borderId="0" xfId="0" applyNumberFormat="1"/>
    <xf numFmtId="173" fontId="19" fillId="3" borderId="0" xfId="1" applyNumberFormat="1" applyFont="1" applyFill="1" applyBorder="1" applyAlignment="1">
      <alignment horizontal="right"/>
    </xf>
    <xf numFmtId="169" fontId="7" fillId="3" borderId="0" xfId="1" applyNumberFormat="1" applyFont="1" applyFill="1" applyBorder="1" applyAlignment="1">
      <alignment horizontal="right"/>
    </xf>
    <xf numFmtId="173" fontId="19" fillId="0" borderId="0" xfId="0" applyNumberFormat="1" applyFont="1"/>
    <xf numFmtId="0" fontId="0" fillId="0" borderId="0" xfId="0" applyAlignment="1">
      <alignment horizontal="left" indent="4"/>
    </xf>
    <xf numFmtId="173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3" fontId="19" fillId="0" borderId="0" xfId="0" applyNumberFormat="1" applyFont="1" applyFill="1"/>
    <xf numFmtId="173" fontId="0" fillId="3" borderId="0" xfId="0" applyNumberFormat="1" applyFill="1"/>
    <xf numFmtId="169" fontId="10" fillId="0" borderId="0" xfId="0" applyNumberFormat="1" applyFont="1"/>
    <xf numFmtId="0" fontId="26" fillId="0" borderId="0" xfId="0" applyFont="1" applyAlignment="1">
      <alignment horizontal="left" indent="1"/>
    </xf>
    <xf numFmtId="175" fontId="19" fillId="0" borderId="0" xfId="3" applyNumberFormat="1" applyFont="1" applyFill="1" applyBorder="1"/>
    <xf numFmtId="173" fontId="19" fillId="0" borderId="0" xfId="0" applyNumberFormat="1" applyFont="1" applyAlignment="1">
      <alignment horizontal="right"/>
    </xf>
    <xf numFmtId="169" fontId="10" fillId="0" borderId="0" xfId="0" applyNumberFormat="1" applyFont="1" applyAlignment="1">
      <alignment horizontal="right"/>
    </xf>
    <xf numFmtId="168" fontId="0" fillId="0" borderId="0" xfId="0" applyNumberFormat="1"/>
    <xf numFmtId="172" fontId="19" fillId="5" borderId="0" xfId="0" applyNumberFormat="1" applyFont="1" applyFill="1"/>
    <xf numFmtId="173" fontId="19" fillId="5" borderId="0" xfId="0" applyNumberFormat="1" applyFont="1" applyFill="1"/>
    <xf numFmtId="172" fontId="19" fillId="5" borderId="0" xfId="0" applyNumberFormat="1" applyFont="1" applyFill="1" applyAlignment="1">
      <alignment horizontal="right"/>
    </xf>
    <xf numFmtId="175" fontId="19" fillId="5" borderId="0" xfId="3" applyNumberFormat="1" applyFont="1" applyFill="1" applyBorder="1"/>
    <xf numFmtId="176" fontId="20" fillId="0" borderId="0" xfId="3" applyNumberFormat="1" applyFont="1" applyFill="1" applyBorder="1"/>
    <xf numFmtId="176" fontId="19" fillId="0" borderId="0" xfId="3" applyNumberFormat="1" applyFont="1" applyFill="1" applyBorder="1"/>
    <xf numFmtId="175" fontId="19" fillId="3" borderId="0" xfId="3" applyNumberFormat="1" applyFont="1" applyFill="1" applyBorder="1"/>
    <xf numFmtId="172" fontId="0" fillId="3" borderId="0" xfId="0" applyNumberFormat="1" applyFont="1" applyFill="1"/>
    <xf numFmtId="0" fontId="0" fillId="3" borderId="0" xfId="0" applyFill="1"/>
    <xf numFmtId="0" fontId="27" fillId="0" borderId="0" xfId="1" applyFont="1" applyFill="1" applyAlignment="1"/>
    <xf numFmtId="0" fontId="10" fillId="0" borderId="0" xfId="1" applyFont="1" applyFill="1" applyAlignment="1">
      <alignment horizontal="left" indent="1"/>
    </xf>
    <xf numFmtId="0" fontId="10" fillId="0" borderId="0" xfId="1" applyFont="1" applyFill="1" applyAlignment="1"/>
    <xf numFmtId="0" fontId="7" fillId="0" borderId="0" xfId="1" applyFont="1" applyFill="1" applyAlignment="1"/>
    <xf numFmtId="171" fontId="10" fillId="0" borderId="0" xfId="1" applyNumberFormat="1" applyFont="1" applyFill="1"/>
    <xf numFmtId="171" fontId="7" fillId="0" borderId="2" xfId="1" applyNumberFormat="1" applyFont="1" applyFill="1" applyBorder="1"/>
    <xf numFmtId="171" fontId="25" fillId="0" borderId="2" xfId="1" applyNumberFormat="1" applyFont="1" applyFill="1" applyBorder="1"/>
    <xf numFmtId="0" fontId="7" fillId="0" borderId="0" xfId="1" applyFont="1" applyFill="1" applyBorder="1" applyAlignment="1"/>
    <xf numFmtId="171" fontId="10" fillId="0" borderId="0" xfId="1" applyNumberFormat="1" applyFont="1" applyFill="1" applyAlignment="1">
      <alignment horizontal="left" indent="1"/>
    </xf>
    <xf numFmtId="171" fontId="7" fillId="0" borderId="0" xfId="1" applyNumberFormat="1" applyFont="1" applyFill="1" applyAlignment="1"/>
    <xf numFmtId="171" fontId="18" fillId="0" borderId="0" xfId="1" applyNumberFormat="1" applyFont="1" applyFill="1" applyAlignment="1">
      <alignment horizontal="left" indent="2"/>
    </xf>
    <xf numFmtId="171" fontId="10" fillId="0" borderId="0" xfId="1" applyNumberFormat="1" applyFont="1" applyFill="1" applyAlignment="1"/>
    <xf numFmtId="171" fontId="10" fillId="0" borderId="0" xfId="1" applyNumberFormat="1" applyFont="1" applyFill="1" applyAlignment="1">
      <alignment horizontal="left"/>
    </xf>
    <xf numFmtId="167" fontId="7" fillId="3" borderId="0" xfId="1" applyNumberFormat="1" applyFont="1" applyFill="1" applyBorder="1" applyAlignment="1">
      <alignment horizontal="right"/>
    </xf>
    <xf numFmtId="173" fontId="10" fillId="3" borderId="0" xfId="1" applyNumberFormat="1" applyFont="1" applyFill="1" applyBorder="1" applyAlignment="1">
      <alignment horizontal="right"/>
    </xf>
    <xf numFmtId="172" fontId="0" fillId="3" borderId="0" xfId="0" applyNumberFormat="1" applyFont="1" applyFill="1" applyAlignment="1">
      <alignment horizontal="right"/>
    </xf>
    <xf numFmtId="168" fontId="20" fillId="3" borderId="0" xfId="1" applyNumberFormat="1" applyFont="1" applyFill="1"/>
    <xf numFmtId="168" fontId="0" fillId="3" borderId="0" xfId="0" applyNumberFormat="1" applyFill="1"/>
    <xf numFmtId="169" fontId="7" fillId="0" borderId="3" xfId="1" applyNumberFormat="1" applyFont="1" applyFill="1" applyBorder="1" applyAlignment="1">
      <alignment horizontal="right"/>
    </xf>
    <xf numFmtId="169" fontId="19" fillId="3" borderId="0" xfId="1" applyNumberFormat="1" applyFont="1" applyFill="1" applyBorder="1" applyAlignment="1">
      <alignment horizontal="right"/>
    </xf>
    <xf numFmtId="169" fontId="7" fillId="0" borderId="2" xfId="1" applyNumberFormat="1" applyFont="1" applyFill="1" applyBorder="1"/>
    <xf numFmtId="169" fontId="18" fillId="0" borderId="0" xfId="1" applyNumberFormat="1" applyFont="1" applyFill="1"/>
    <xf numFmtId="169" fontId="18" fillId="0" borderId="1" xfId="1" applyNumberFormat="1" applyFont="1" applyFill="1" applyBorder="1"/>
    <xf numFmtId="169" fontId="10" fillId="0" borderId="2" xfId="1" applyNumberFormat="1" applyFont="1" applyFill="1" applyBorder="1"/>
    <xf numFmtId="169" fontId="7" fillId="3" borderId="2" xfId="1" applyNumberFormat="1" applyFont="1" applyFill="1" applyBorder="1"/>
    <xf numFmtId="169" fontId="18" fillId="3" borderId="0" xfId="1" applyNumberFormat="1" applyFont="1" applyFill="1"/>
    <xf numFmtId="169" fontId="18" fillId="3" borderId="1" xfId="1" applyNumberFormat="1" applyFont="1" applyFill="1" applyBorder="1"/>
    <xf numFmtId="169" fontId="10" fillId="3" borderId="2" xfId="1" applyNumberFormat="1" applyFont="1" applyFill="1" applyBorder="1"/>
    <xf numFmtId="169" fontId="3" fillId="0" borderId="0" xfId="0" applyNumberFormat="1" applyFont="1" applyBorder="1"/>
    <xf numFmtId="169" fontId="2" fillId="0" borderId="0" xfId="1" applyNumberFormat="1" applyFont="1" applyFill="1" applyBorder="1"/>
    <xf numFmtId="0" fontId="8" fillId="0" borderId="0" xfId="1" applyFont="1" applyFill="1"/>
    <xf numFmtId="0" fontId="7" fillId="0" borderId="0" xfId="1" applyFont="1" applyFill="1" applyAlignment="1">
      <alignment horizontal="left"/>
    </xf>
    <xf numFmtId="0" fontId="10" fillId="0" borderId="0" xfId="1" applyFont="1" applyFill="1" applyAlignment="1">
      <alignment horizontal="left"/>
    </xf>
    <xf numFmtId="49" fontId="10" fillId="0" borderId="0" xfId="1" applyNumberFormat="1" applyFont="1" applyFill="1" applyBorder="1"/>
    <xf numFmtId="49" fontId="7" fillId="0" borderId="0" xfId="1" applyNumberFormat="1" applyFont="1" applyFill="1" applyBorder="1"/>
    <xf numFmtId="49" fontId="10" fillId="0" borderId="0" xfId="3" applyNumberFormat="1" applyFont="1" applyFill="1" applyBorder="1"/>
    <xf numFmtId="49" fontId="10" fillId="0" borderId="0" xfId="3" applyNumberFormat="1" applyFont="1" applyFill="1" applyAlignment="1">
      <alignment horizontal="left"/>
    </xf>
    <xf numFmtId="0" fontId="8" fillId="0" borderId="0" xfId="2" applyFont="1" applyFill="1"/>
    <xf numFmtId="0" fontId="7" fillId="0" borderId="0" xfId="1" applyNumberFormat="1" applyFont="1" applyFill="1" applyBorder="1" applyAlignment="1">
      <alignment horizontal="left" vertical="center"/>
    </xf>
    <xf numFmtId="0" fontId="10" fillId="0" borderId="0" xfId="1" applyNumberFormat="1" applyFont="1" applyFill="1" applyBorder="1" applyAlignment="1">
      <alignment horizontal="left" vertical="center"/>
    </xf>
    <xf numFmtId="169" fontId="3" fillId="0" borderId="0" xfId="0" applyNumberFormat="1" applyFont="1" applyFill="1" applyBorder="1"/>
    <xf numFmtId="177" fontId="10" fillId="0" borderId="0" xfId="1" applyNumberFormat="1" applyFont="1" applyFill="1"/>
    <xf numFmtId="172" fontId="10" fillId="0" borderId="0" xfId="4" applyNumberFormat="1" applyFont="1" applyFill="1"/>
    <xf numFmtId="174" fontId="10" fillId="0" borderId="0" xfId="4" applyNumberFormat="1" applyFont="1" applyFill="1"/>
    <xf numFmtId="179" fontId="10" fillId="0" borderId="0" xfId="1" applyNumberFormat="1" applyFont="1" applyFill="1" applyAlignment="1">
      <alignment horizontal="right"/>
    </xf>
    <xf numFmtId="9" fontId="10" fillId="0" borderId="0" xfId="4" applyNumberFormat="1" applyFont="1" applyFill="1" applyAlignment="1">
      <alignment horizontal="right"/>
    </xf>
    <xf numFmtId="178" fontId="10" fillId="0" borderId="0" xfId="4" applyNumberFormat="1" applyFont="1" applyFill="1" applyAlignment="1">
      <alignment horizontal="right"/>
    </xf>
    <xf numFmtId="172" fontId="10" fillId="0" borderId="0" xfId="4" applyNumberFormat="1" applyFont="1" applyFill="1" applyAlignment="1">
      <alignment horizontal="right"/>
    </xf>
    <xf numFmtId="178" fontId="0" fillId="0" borderId="0" xfId="0" applyNumberFormat="1"/>
    <xf numFmtId="178" fontId="0" fillId="0" borderId="0" xfId="0" applyNumberFormat="1" applyFont="1"/>
    <xf numFmtId="172" fontId="19" fillId="0" borderId="0" xfId="0" applyNumberFormat="1" applyFont="1"/>
    <xf numFmtId="176" fontId="10" fillId="0" borderId="0" xfId="3" applyNumberFormat="1" applyFont="1" applyFill="1"/>
    <xf numFmtId="176" fontId="10" fillId="0" borderId="0" xfId="4" applyNumberFormat="1" applyFont="1" applyFill="1"/>
    <xf numFmtId="180" fontId="0" fillId="0" borderId="0" xfId="0" applyNumberFormat="1" applyFont="1"/>
    <xf numFmtId="49" fontId="7" fillId="0" borderId="0" xfId="1" applyNumberFormat="1" applyFont="1" applyFill="1" applyBorder="1" applyAlignment="1">
      <alignment horizontal="left"/>
    </xf>
    <xf numFmtId="0" fontId="0" fillId="0" borderId="0" xfId="0" applyFont="1" applyFill="1"/>
    <xf numFmtId="0" fontId="17" fillId="0" borderId="0" xfId="0" applyFont="1" applyFill="1"/>
    <xf numFmtId="169" fontId="19" fillId="0" borderId="4" xfId="1" applyNumberFormat="1" applyFont="1" applyFill="1" applyBorder="1"/>
    <xf numFmtId="169" fontId="28" fillId="0" borderId="0" xfId="0" applyNumberFormat="1" applyFont="1"/>
    <xf numFmtId="165" fontId="19" fillId="0" borderId="0" xfId="1" applyNumberFormat="1" applyFont="1" applyFill="1" applyAlignment="1">
      <alignment horizontal="right"/>
    </xf>
    <xf numFmtId="165" fontId="19" fillId="0" borderId="0" xfId="1" applyNumberFormat="1" applyFont="1" applyFill="1" applyBorder="1"/>
    <xf numFmtId="0" fontId="10" fillId="0" borderId="0" xfId="1" applyNumberFormat="1" applyFont="1" applyFill="1" applyBorder="1" applyAlignment="1">
      <alignment horizontal="left" vertical="center" indent="1"/>
    </xf>
    <xf numFmtId="178" fontId="0" fillId="0" borderId="0" xfId="0" applyNumberFormat="1" applyAlignment="1">
      <alignment horizontal="right"/>
    </xf>
    <xf numFmtId="178" fontId="10" fillId="0" borderId="0" xfId="1" applyNumberFormat="1" applyFont="1" applyFill="1" applyAlignment="1">
      <alignment horizontal="right"/>
    </xf>
    <xf numFmtId="170" fontId="3" fillId="0" borderId="0" xfId="0" applyNumberFormat="1" applyFont="1"/>
    <xf numFmtId="169" fontId="7" fillId="0" borderId="2" xfId="0" applyNumberFormat="1" applyFont="1" applyBorder="1"/>
    <xf numFmtId="169" fontId="7" fillId="0" borderId="2" xfId="0" applyNumberFormat="1" applyFont="1" applyFill="1" applyBorder="1"/>
    <xf numFmtId="169" fontId="0" fillId="0" borderId="0" xfId="0" applyNumberFormat="1" applyBorder="1"/>
    <xf numFmtId="0" fontId="0" fillId="2" borderId="0" xfId="0" applyFill="1"/>
    <xf numFmtId="0" fontId="4" fillId="0" borderId="0" xfId="16"/>
    <xf numFmtId="169" fontId="0" fillId="0" borderId="0" xfId="0" applyNumberFormat="1"/>
    <xf numFmtId="173" fontId="0" fillId="0" borderId="0" xfId="0" applyNumberFormat="1" applyFont="1"/>
    <xf numFmtId="49" fontId="0" fillId="0" borderId="0" xfId="0" applyNumberFormat="1"/>
    <xf numFmtId="169" fontId="2" fillId="4" borderId="0" xfId="1" applyNumberFormat="1" applyFont="1" applyFill="1" applyBorder="1"/>
    <xf numFmtId="172" fontId="19" fillId="0" borderId="0" xfId="0" applyNumberFormat="1" applyFont="1" applyFill="1"/>
    <xf numFmtId="193" fontId="10" fillId="0" borderId="0" xfId="1" applyNumberFormat="1" applyFont="1" applyFill="1"/>
    <xf numFmtId="169" fontId="19" fillId="0" borderId="3" xfId="1" applyNumberFormat="1" applyFont="1" applyFill="1" applyBorder="1" applyAlignment="1">
      <alignment horizontal="right"/>
    </xf>
    <xf numFmtId="173" fontId="0" fillId="0" borderId="0" xfId="0" applyNumberFormat="1" applyFill="1"/>
    <xf numFmtId="169" fontId="19" fillId="5" borderId="0" xfId="0" applyNumberFormat="1" applyFont="1" applyFill="1"/>
    <xf numFmtId="194" fontId="0" fillId="0" borderId="0" xfId="0" applyNumberFormat="1"/>
    <xf numFmtId="169" fontId="19" fillId="0" borderId="3" xfId="0" applyNumberFormat="1" applyFont="1" applyFill="1" applyBorder="1"/>
    <xf numFmtId="169" fontId="19" fillId="0" borderId="5" xfId="0" applyNumberFormat="1" applyFont="1" applyFill="1" applyBorder="1"/>
    <xf numFmtId="165" fontId="19" fillId="0" borderId="4" xfId="1" applyNumberFormat="1" applyFont="1" applyFill="1" applyBorder="1"/>
    <xf numFmtId="169" fontId="19" fillId="0" borderId="0" xfId="0" applyNumberFormat="1" applyFont="1" applyFill="1" applyBorder="1"/>
    <xf numFmtId="169" fontId="19" fillId="0" borderId="1" xfId="0" applyNumberFormat="1" applyFont="1" applyFill="1" applyBorder="1"/>
    <xf numFmtId="169" fontId="10" fillId="0" borderId="3" xfId="1" applyNumberFormat="1" applyFont="1" applyFill="1" applyBorder="1" applyAlignment="1">
      <alignment horizontal="right"/>
    </xf>
    <xf numFmtId="173" fontId="19" fillId="3" borderId="0" xfId="0" applyNumberFormat="1" applyFont="1" applyFill="1"/>
    <xf numFmtId="173" fontId="0" fillId="0" borderId="0" xfId="0" applyNumberFormat="1" applyFont="1" applyAlignment="1">
      <alignment horizontal="right"/>
    </xf>
    <xf numFmtId="169" fontId="19" fillId="0" borderId="4" xfId="0" applyNumberFormat="1" applyFont="1" applyFill="1" applyBorder="1"/>
    <xf numFmtId="0" fontId="0" fillId="0" borderId="0" xfId="0" applyFill="1" applyAlignment="1">
      <alignment horizontal="left" indent="1"/>
    </xf>
    <xf numFmtId="173" fontId="0" fillId="0" borderId="0" xfId="0" applyNumberFormat="1" applyFont="1" applyFill="1"/>
    <xf numFmtId="169" fontId="0" fillId="0" borderId="0" xfId="0" applyNumberFormat="1" applyFont="1" applyFill="1"/>
    <xf numFmtId="173" fontId="10" fillId="0" borderId="0" xfId="0" applyNumberFormat="1" applyFont="1" applyFill="1"/>
    <xf numFmtId="169" fontId="0" fillId="3" borderId="0" xfId="0" applyNumberFormat="1" applyFont="1" applyFill="1"/>
    <xf numFmtId="170" fontId="0" fillId="0" borderId="0" xfId="0" applyNumberFormat="1" applyAlignment="1">
      <alignment horizontal="right"/>
    </xf>
    <xf numFmtId="169" fontId="0" fillId="3" borderId="0" xfId="0" applyNumberFormat="1" applyFill="1" applyAlignment="1">
      <alignment horizontal="right"/>
    </xf>
    <xf numFmtId="175" fontId="19" fillId="0" borderId="4" xfId="3" applyNumberFormat="1" applyFont="1" applyFill="1" applyBorder="1"/>
    <xf numFmtId="172" fontId="19" fillId="5" borderId="4" xfId="1" applyNumberFormat="1" applyFont="1" applyFill="1" applyBorder="1" applyAlignment="1">
      <alignment horizontal="right"/>
    </xf>
    <xf numFmtId="170" fontId="19" fillId="0" borderId="7" xfId="0" applyNumberFormat="1" applyFont="1" applyBorder="1" applyAlignment="1">
      <alignment horizontal="right"/>
    </xf>
    <xf numFmtId="172" fontId="0" fillId="0" borderId="8" xfId="0" applyNumberFormat="1" applyFont="1" applyBorder="1" applyAlignment="1">
      <alignment horizontal="right"/>
    </xf>
    <xf numFmtId="169" fontId="0" fillId="0" borderId="4" xfId="0" applyNumberFormat="1" applyBorder="1"/>
    <xf numFmtId="172" fontId="19" fillId="0" borderId="4" xfId="1" applyNumberFormat="1" applyFont="1" applyFill="1" applyBorder="1" applyAlignment="1">
      <alignment horizontal="right"/>
    </xf>
    <xf numFmtId="169" fontId="0" fillId="4" borderId="0" xfId="0" applyNumberFormat="1" applyFill="1"/>
    <xf numFmtId="180" fontId="19" fillId="0" borderId="0" xfId="0" applyNumberFormat="1" applyFont="1"/>
    <xf numFmtId="9" fontId="0" fillId="0" borderId="0" xfId="0" applyNumberFormat="1" applyFont="1"/>
    <xf numFmtId="173" fontId="19" fillId="4" borderId="0" xfId="0" applyNumberFormat="1" applyFont="1" applyFill="1"/>
    <xf numFmtId="169" fontId="19" fillId="0" borderId="4" xfId="0" applyNumberFormat="1" applyFont="1" applyBorder="1"/>
    <xf numFmtId="170" fontId="0" fillId="3" borderId="0" xfId="0" applyNumberFormat="1" applyFill="1"/>
    <xf numFmtId="170" fontId="19" fillId="0" borderId="0" xfId="0" applyNumberFormat="1" applyFont="1" applyFill="1"/>
    <xf numFmtId="170" fontId="19" fillId="0" borderId="0" xfId="0" applyNumberFormat="1" applyFont="1"/>
    <xf numFmtId="194" fontId="3" fillId="0" borderId="2" xfId="0" applyNumberFormat="1" applyFont="1" applyFill="1" applyBorder="1"/>
    <xf numFmtId="0" fontId="0" fillId="0" borderId="0" xfId="0" applyFill="1" applyAlignment="1">
      <alignment horizontal="left" indent="3"/>
    </xf>
    <xf numFmtId="172" fontId="0" fillId="0" borderId="0" xfId="0" applyNumberFormat="1" applyFont="1" applyFill="1"/>
    <xf numFmtId="169" fontId="0" fillId="0" borderId="0" xfId="0" applyNumberFormat="1" applyFont="1" applyFill="1" applyAlignment="1">
      <alignment horizontal="right"/>
    </xf>
    <xf numFmtId="173" fontId="19" fillId="0" borderId="0" xfId="0" applyNumberFormat="1" applyFont="1" applyFill="1" applyAlignment="1">
      <alignment horizontal="right"/>
    </xf>
    <xf numFmtId="169" fontId="0" fillId="0" borderId="4" xfId="0" applyNumberFormat="1" applyFill="1" applyBorder="1"/>
    <xf numFmtId="0" fontId="4" fillId="7" borderId="0" xfId="40" applyFont="1" applyFill="1" applyAlignment="1">
      <alignment vertical="top"/>
    </xf>
    <xf numFmtId="0" fontId="4" fillId="7" borderId="0" xfId="16" applyFill="1" applyAlignment="1">
      <alignment vertical="top"/>
    </xf>
    <xf numFmtId="0" fontId="4" fillId="7" borderId="0" xfId="16" applyFill="1"/>
    <xf numFmtId="0" fontId="40" fillId="7" borderId="0" xfId="40" applyFont="1" applyFill="1" applyAlignment="1">
      <alignment horizontal="left" vertical="top"/>
    </xf>
    <xf numFmtId="0" fontId="4" fillId="7" borderId="0" xfId="16" applyFont="1" applyFill="1" applyAlignment="1">
      <alignment vertical="top"/>
    </xf>
    <xf numFmtId="0" fontId="41" fillId="7" borderId="0" xfId="40" applyFont="1" applyFill="1" applyAlignment="1">
      <alignment vertical="top"/>
    </xf>
    <xf numFmtId="0" fontId="0" fillId="7" borderId="0" xfId="0" applyFill="1" applyAlignment="1">
      <alignment vertical="top"/>
    </xf>
    <xf numFmtId="0" fontId="42" fillId="7" borderId="0" xfId="0" applyFont="1" applyFill="1" applyAlignment="1">
      <alignment vertical="top"/>
    </xf>
    <xf numFmtId="0" fontId="43" fillId="7" borderId="0" xfId="0" applyFont="1" applyFill="1" applyAlignment="1">
      <alignment vertical="top"/>
    </xf>
    <xf numFmtId="0" fontId="43" fillId="7" borderId="0" xfId="0" applyFont="1" applyFill="1" applyAlignment="1">
      <alignment vertical="top"/>
    </xf>
    <xf numFmtId="0" fontId="42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0" fillId="7" borderId="13" xfId="0" applyFill="1" applyBorder="1" applyAlignment="1">
      <alignment vertical="top"/>
    </xf>
    <xf numFmtId="0" fontId="42" fillId="7" borderId="9" xfId="0" applyFont="1" applyFill="1" applyBorder="1" applyAlignment="1">
      <alignment vertical="top"/>
    </xf>
    <xf numFmtId="0" fontId="42" fillId="7" borderId="10" xfId="0" applyFont="1" applyFill="1" applyBorder="1" applyAlignment="1">
      <alignment vertical="top"/>
    </xf>
    <xf numFmtId="0" fontId="42" fillId="7" borderId="11" xfId="0" applyFont="1" applyFill="1" applyBorder="1" applyAlignment="1">
      <alignment vertical="top"/>
    </xf>
    <xf numFmtId="0" fontId="42" fillId="7" borderId="12" xfId="0" applyFont="1" applyFill="1" applyBorder="1" applyAlignment="1">
      <alignment vertical="top"/>
    </xf>
    <xf numFmtId="9" fontId="42" fillId="7" borderId="9" xfId="0" applyNumberFormat="1" applyFont="1" applyFill="1" applyBorder="1" applyAlignment="1">
      <alignment vertical="top"/>
    </xf>
    <xf numFmtId="3" fontId="42" fillId="7" borderId="9" xfId="0" applyNumberFormat="1" applyFont="1" applyFill="1" applyBorder="1" applyAlignment="1">
      <alignment vertical="top"/>
    </xf>
    <xf numFmtId="0" fontId="0" fillId="7" borderId="14" xfId="0" applyFill="1" applyBorder="1" applyAlignment="1">
      <alignment vertical="top"/>
    </xf>
    <xf numFmtId="2" fontId="4" fillId="0" borderId="0" xfId="16" applyNumberFormat="1" applyAlignment="1">
      <alignment horizontal="left"/>
    </xf>
    <xf numFmtId="0" fontId="4" fillId="0" borderId="0" xfId="16" applyNumberFormat="1" applyAlignment="1">
      <alignment horizontal="left"/>
    </xf>
    <xf numFmtId="1" fontId="4" fillId="0" borderId="0" xfId="16" applyNumberFormat="1" applyAlignment="1">
      <alignment horizontal="left"/>
    </xf>
    <xf numFmtId="0" fontId="4" fillId="0" borderId="0" xfId="16" applyFont="1"/>
    <xf numFmtId="201" fontId="4" fillId="0" borderId="0" xfId="16" applyNumberFormat="1" applyAlignment="1">
      <alignment horizontal="left"/>
    </xf>
    <xf numFmtId="49" fontId="4" fillId="0" borderId="0" xfId="16" applyNumberFormat="1"/>
  </cellXfs>
  <cellStyles count="41">
    <cellStyle name="          _x000d__x000a_network.drv=netware." xfId="5"/>
    <cellStyle name=" 1" xfId="6"/>
    <cellStyle name=" 1 2" xfId="37"/>
    <cellStyle name="_x000a_386grabber=M" xfId="1"/>
    <cellStyle name="_SUMMARY " xfId="7"/>
    <cellStyle name="0_Capex &amp; Depreciation " xfId="8"/>
    <cellStyle name="0_Valuing BP " xfId="9"/>
    <cellStyle name="c_HardInc " xfId="10"/>
    <cellStyle name="Comma 2" xfId="3"/>
    <cellStyle name="Comma 2 2" xfId="11"/>
    <cellStyle name="Comma 2 3" xfId="12"/>
    <cellStyle name="Comma 2 3 2" xfId="31"/>
    <cellStyle name="Comma 4" xfId="13"/>
    <cellStyle name="Comma 8" xfId="14"/>
    <cellStyle name="Currency 2" xfId="15"/>
    <cellStyle name="Currency 6" xfId="38"/>
    <cellStyle name="Normal" xfId="0" builtinId="0"/>
    <cellStyle name="Normal 2" xfId="2"/>
    <cellStyle name="Normal 2 2" xfId="16"/>
    <cellStyle name="Normal 2 2 2" xfId="32"/>
    <cellStyle name="Normal 3" xfId="17"/>
    <cellStyle name="Normal 3 2" xfId="18"/>
    <cellStyle name="Normal 3 3" xfId="36"/>
    <cellStyle name="Normal 4" xfId="19"/>
    <cellStyle name="Normal 5" xfId="20"/>
    <cellStyle name="Normal 6" xfId="21"/>
    <cellStyle name="Normal_DisclaimerSheet Samples" xfId="40"/>
    <cellStyle name="p " xfId="22"/>
    <cellStyle name="Percent 2" xfId="4"/>
    <cellStyle name="Percent 3" xfId="39"/>
    <cellStyle name="Percent 4" xfId="23"/>
    <cellStyle name="Percent 4 2" xfId="33"/>
    <cellStyle name="Percent 5" xfId="34"/>
    <cellStyle name="RRSInstruction" xfId="24"/>
    <cellStyle name="s_HardInc " xfId="25"/>
    <cellStyle name="s_Valuation " xfId="26"/>
    <cellStyle name="ssp " xfId="27"/>
    <cellStyle name="Subtotal" xfId="28"/>
    <cellStyle name="Subtotal 2" xfId="35"/>
    <cellStyle name="콤마 [0]_#3이설 견적_준공내역총괄표 " xfId="29"/>
    <cellStyle name="콤마_#3이설 견적_준공내역총괄표 " xfId="30"/>
  </cellStyles>
  <dxfs count="5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9</xdr:col>
      <xdr:colOff>114300</xdr:colOff>
      <xdr:row>191</xdr:row>
      <xdr:rowOff>104775</xdr:rowOff>
    </xdr:to>
    <xdr:pic>
      <xdr:nvPicPr>
        <xdr:cNvPr id="40961" name="Picture 1" descr="C:\Users\ozierale.MSAD\AppData\Local\Temp\MercuryPriceRatingHistoryChart\CJ.N_2018_04_11_00_10_2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556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5"/>
  <sheetViews>
    <sheetView showGridLines="0" tabSelected="1" workbookViewId="0">
      <selection activeCell="Z1" sqref="Z1"/>
    </sheetView>
  </sheetViews>
  <sheetFormatPr defaultRowHeight="12.75"/>
  <cols>
    <col min="1" max="1" width="25.83203125" style="236" customWidth="1"/>
    <col min="2" max="5" width="9.33203125" style="236"/>
    <col min="6" max="6" width="18.83203125" style="236" customWidth="1"/>
    <col min="7" max="256" width="9.33203125" style="236"/>
    <col min="257" max="257" width="117.5" style="236" customWidth="1"/>
    <col min="258" max="512" width="9.33203125" style="236"/>
    <col min="513" max="513" width="117.5" style="236" customWidth="1"/>
    <col min="514" max="768" width="9.33203125" style="236"/>
    <col min="769" max="769" width="117.5" style="236" customWidth="1"/>
    <col min="770" max="1024" width="9.33203125" style="236"/>
    <col min="1025" max="1025" width="117.5" style="236" customWidth="1"/>
    <col min="1026" max="1280" width="9.33203125" style="236"/>
    <col min="1281" max="1281" width="117.5" style="236" customWidth="1"/>
    <col min="1282" max="1536" width="9.33203125" style="236"/>
    <col min="1537" max="1537" width="117.5" style="236" customWidth="1"/>
    <col min="1538" max="1792" width="9.33203125" style="236"/>
    <col min="1793" max="1793" width="117.5" style="236" customWidth="1"/>
    <col min="1794" max="2048" width="9.33203125" style="236"/>
    <col min="2049" max="2049" width="117.5" style="236" customWidth="1"/>
    <col min="2050" max="2304" width="9.33203125" style="236"/>
    <col min="2305" max="2305" width="117.5" style="236" customWidth="1"/>
    <col min="2306" max="2560" width="9.33203125" style="236"/>
    <col min="2561" max="2561" width="117.5" style="236" customWidth="1"/>
    <col min="2562" max="2816" width="9.33203125" style="236"/>
    <col min="2817" max="2817" width="117.5" style="236" customWidth="1"/>
    <col min="2818" max="3072" width="9.33203125" style="236"/>
    <col min="3073" max="3073" width="117.5" style="236" customWidth="1"/>
    <col min="3074" max="3328" width="9.33203125" style="236"/>
    <col min="3329" max="3329" width="117.5" style="236" customWidth="1"/>
    <col min="3330" max="3584" width="9.33203125" style="236"/>
    <col min="3585" max="3585" width="117.5" style="236" customWidth="1"/>
    <col min="3586" max="3840" width="9.33203125" style="236"/>
    <col min="3841" max="3841" width="117.5" style="236" customWidth="1"/>
    <col min="3842" max="4096" width="9.33203125" style="236"/>
    <col min="4097" max="4097" width="117.5" style="236" customWidth="1"/>
    <col min="4098" max="4352" width="9.33203125" style="236"/>
    <col min="4353" max="4353" width="117.5" style="236" customWidth="1"/>
    <col min="4354" max="4608" width="9.33203125" style="236"/>
    <col min="4609" max="4609" width="117.5" style="236" customWidth="1"/>
    <col min="4610" max="4864" width="9.33203125" style="236"/>
    <col min="4865" max="4865" width="117.5" style="236" customWidth="1"/>
    <col min="4866" max="5120" width="9.33203125" style="236"/>
    <col min="5121" max="5121" width="117.5" style="236" customWidth="1"/>
    <col min="5122" max="5376" width="9.33203125" style="236"/>
    <col min="5377" max="5377" width="117.5" style="236" customWidth="1"/>
    <col min="5378" max="5632" width="9.33203125" style="236"/>
    <col min="5633" max="5633" width="117.5" style="236" customWidth="1"/>
    <col min="5634" max="5888" width="9.33203125" style="236"/>
    <col min="5889" max="5889" width="117.5" style="236" customWidth="1"/>
    <col min="5890" max="6144" width="9.33203125" style="236"/>
    <col min="6145" max="6145" width="117.5" style="236" customWidth="1"/>
    <col min="6146" max="6400" width="9.33203125" style="236"/>
    <col min="6401" max="6401" width="117.5" style="236" customWidth="1"/>
    <col min="6402" max="6656" width="9.33203125" style="236"/>
    <col min="6657" max="6657" width="117.5" style="236" customWidth="1"/>
    <col min="6658" max="6912" width="9.33203125" style="236"/>
    <col min="6913" max="6913" width="117.5" style="236" customWidth="1"/>
    <col min="6914" max="7168" width="9.33203125" style="236"/>
    <col min="7169" max="7169" width="117.5" style="236" customWidth="1"/>
    <col min="7170" max="7424" width="9.33203125" style="236"/>
    <col min="7425" max="7425" width="117.5" style="236" customWidth="1"/>
    <col min="7426" max="7680" width="9.33203125" style="236"/>
    <col min="7681" max="7681" width="117.5" style="236" customWidth="1"/>
    <col min="7682" max="7936" width="9.33203125" style="236"/>
    <col min="7937" max="7937" width="117.5" style="236" customWidth="1"/>
    <col min="7938" max="8192" width="9.33203125" style="236"/>
    <col min="8193" max="8193" width="117.5" style="236" customWidth="1"/>
    <col min="8194" max="8448" width="9.33203125" style="236"/>
    <col min="8449" max="8449" width="117.5" style="236" customWidth="1"/>
    <col min="8450" max="8704" width="9.33203125" style="236"/>
    <col min="8705" max="8705" width="117.5" style="236" customWidth="1"/>
    <col min="8706" max="8960" width="9.33203125" style="236"/>
    <col min="8961" max="8961" width="117.5" style="236" customWidth="1"/>
    <col min="8962" max="9216" width="9.33203125" style="236"/>
    <col min="9217" max="9217" width="117.5" style="236" customWidth="1"/>
    <col min="9218" max="9472" width="9.33203125" style="236"/>
    <col min="9473" max="9473" width="117.5" style="236" customWidth="1"/>
    <col min="9474" max="9728" width="9.33203125" style="236"/>
    <col min="9729" max="9729" width="117.5" style="236" customWidth="1"/>
    <col min="9730" max="9984" width="9.33203125" style="236"/>
    <col min="9985" max="9985" width="117.5" style="236" customWidth="1"/>
    <col min="9986" max="10240" width="9.33203125" style="236"/>
    <col min="10241" max="10241" width="117.5" style="236" customWidth="1"/>
    <col min="10242" max="10496" width="9.33203125" style="236"/>
    <col min="10497" max="10497" width="117.5" style="236" customWidth="1"/>
    <col min="10498" max="10752" width="9.33203125" style="236"/>
    <col min="10753" max="10753" width="117.5" style="236" customWidth="1"/>
    <col min="10754" max="11008" width="9.33203125" style="236"/>
    <col min="11009" max="11009" width="117.5" style="236" customWidth="1"/>
    <col min="11010" max="11264" width="9.33203125" style="236"/>
    <col min="11265" max="11265" width="117.5" style="236" customWidth="1"/>
    <col min="11266" max="11520" width="9.33203125" style="236"/>
    <col min="11521" max="11521" width="117.5" style="236" customWidth="1"/>
    <col min="11522" max="11776" width="9.33203125" style="236"/>
    <col min="11777" max="11777" width="117.5" style="236" customWidth="1"/>
    <col min="11778" max="12032" width="9.33203125" style="236"/>
    <col min="12033" max="12033" width="117.5" style="236" customWidth="1"/>
    <col min="12034" max="12288" width="9.33203125" style="236"/>
    <col min="12289" max="12289" width="117.5" style="236" customWidth="1"/>
    <col min="12290" max="12544" width="9.33203125" style="236"/>
    <col min="12545" max="12545" width="117.5" style="236" customWidth="1"/>
    <col min="12546" max="12800" width="9.33203125" style="236"/>
    <col min="12801" max="12801" width="117.5" style="236" customWidth="1"/>
    <col min="12802" max="13056" width="9.33203125" style="236"/>
    <col min="13057" max="13057" width="117.5" style="236" customWidth="1"/>
    <col min="13058" max="13312" width="9.33203125" style="236"/>
    <col min="13313" max="13313" width="117.5" style="236" customWidth="1"/>
    <col min="13314" max="13568" width="9.33203125" style="236"/>
    <col min="13569" max="13569" width="117.5" style="236" customWidth="1"/>
    <col min="13570" max="13824" width="9.33203125" style="236"/>
    <col min="13825" max="13825" width="117.5" style="236" customWidth="1"/>
    <col min="13826" max="14080" width="9.33203125" style="236"/>
    <col min="14081" max="14081" width="117.5" style="236" customWidth="1"/>
    <col min="14082" max="14336" width="9.33203125" style="236"/>
    <col min="14337" max="14337" width="117.5" style="236" customWidth="1"/>
    <col min="14338" max="14592" width="9.33203125" style="236"/>
    <col min="14593" max="14593" width="117.5" style="236" customWidth="1"/>
    <col min="14594" max="14848" width="9.33203125" style="236"/>
    <col min="14849" max="14849" width="117.5" style="236" customWidth="1"/>
    <col min="14850" max="15104" width="9.33203125" style="236"/>
    <col min="15105" max="15105" width="117.5" style="236" customWidth="1"/>
    <col min="15106" max="15360" width="9.33203125" style="236"/>
    <col min="15361" max="15361" width="117.5" style="236" customWidth="1"/>
    <col min="15362" max="15616" width="9.33203125" style="236"/>
    <col min="15617" max="15617" width="117.5" style="236" customWidth="1"/>
    <col min="15618" max="15872" width="9.33203125" style="236"/>
    <col min="15873" max="15873" width="117.5" style="236" customWidth="1"/>
    <col min="15874" max="16128" width="9.33203125" style="236"/>
    <col min="16129" max="16129" width="117.5" style="236" customWidth="1"/>
    <col min="16130" max="16384" width="9.33203125" style="236"/>
  </cols>
  <sheetData>
    <row r="1" spans="1:8" ht="30" customHeight="1">
      <c r="A1" s="234"/>
      <c r="B1" s="235"/>
      <c r="C1" s="235"/>
      <c r="D1" s="235"/>
      <c r="E1" s="235"/>
      <c r="F1" s="235"/>
      <c r="G1" s="235"/>
      <c r="H1" s="235"/>
    </row>
    <row r="2" spans="1:8" ht="14.25">
      <c r="A2" s="237" t="s">
        <v>345</v>
      </c>
      <c r="B2" s="235"/>
      <c r="C2" s="235"/>
      <c r="D2" s="235"/>
      <c r="E2" s="235"/>
      <c r="F2" s="235"/>
      <c r="G2" s="235"/>
      <c r="H2" s="235"/>
    </row>
    <row r="3" spans="1:8" ht="14.25">
      <c r="A3" s="237" t="s">
        <v>346</v>
      </c>
      <c r="B3" s="235"/>
      <c r="C3" s="235"/>
      <c r="D3" s="235"/>
      <c r="E3" s="235"/>
      <c r="F3" s="235"/>
      <c r="G3" s="235"/>
      <c r="H3" s="235"/>
    </row>
    <row r="4" spans="1:8" ht="14.25">
      <c r="A4" s="237" t="s">
        <v>347</v>
      </c>
      <c r="B4" s="235"/>
      <c r="C4" s="235"/>
      <c r="D4" s="235"/>
      <c r="E4" s="235"/>
      <c r="F4" s="235"/>
      <c r="G4" s="235"/>
      <c r="H4" s="235"/>
    </row>
    <row r="5" spans="1:8" ht="14.25">
      <c r="A5" s="237" t="s">
        <v>348</v>
      </c>
      <c r="B5" s="235"/>
      <c r="C5" s="235"/>
      <c r="D5" s="235"/>
      <c r="E5" s="235"/>
      <c r="F5" s="235"/>
      <c r="G5" s="235"/>
      <c r="H5" s="235"/>
    </row>
    <row r="6" spans="1:8" ht="14.25">
      <c r="A6" s="237"/>
      <c r="B6" s="235"/>
      <c r="C6" s="235"/>
      <c r="D6" s="235"/>
      <c r="E6" s="235"/>
      <c r="F6" s="235"/>
      <c r="G6" s="235"/>
      <c r="H6" s="235"/>
    </row>
    <row r="7" spans="1:8">
      <c r="A7" s="234" t="s">
        <v>349</v>
      </c>
      <c r="B7" s="235"/>
      <c r="C7" s="235"/>
      <c r="D7" s="235"/>
      <c r="E7" s="235"/>
      <c r="F7" s="235"/>
      <c r="G7" s="235"/>
      <c r="H7" s="235"/>
    </row>
    <row r="8" spans="1:8">
      <c r="A8" s="234" t="s">
        <v>350</v>
      </c>
      <c r="B8" s="235"/>
      <c r="C8" s="235"/>
      <c r="D8" s="235"/>
      <c r="E8" s="235"/>
      <c r="F8" s="235"/>
      <c r="G8" s="235"/>
      <c r="H8" s="235"/>
    </row>
    <row r="9" spans="1:8">
      <c r="A9" s="234"/>
      <c r="B9" s="235"/>
      <c r="C9" s="235"/>
      <c r="D9" s="235"/>
      <c r="E9" s="235"/>
      <c r="F9" s="235"/>
      <c r="G9" s="235"/>
      <c r="H9" s="235"/>
    </row>
    <row r="10" spans="1:8">
      <c r="A10" s="238" t="s">
        <v>351</v>
      </c>
      <c r="B10" s="235"/>
      <c r="C10" s="235"/>
      <c r="D10" s="235"/>
      <c r="E10" s="235"/>
      <c r="F10" s="235"/>
      <c r="G10" s="235"/>
      <c r="H10" s="235"/>
    </row>
    <row r="11" spans="1:8">
      <c r="A11" s="238" t="s">
        <v>352</v>
      </c>
      <c r="B11" s="235"/>
      <c r="C11" s="235"/>
      <c r="D11" s="235"/>
      <c r="E11" s="235"/>
      <c r="F11" s="235"/>
      <c r="G11" s="235"/>
      <c r="H11" s="235"/>
    </row>
    <row r="12" spans="1:8">
      <c r="A12" s="238" t="s">
        <v>353</v>
      </c>
      <c r="B12" s="235"/>
      <c r="C12" s="235"/>
      <c r="D12" s="235"/>
      <c r="E12" s="235"/>
      <c r="F12" s="235"/>
      <c r="G12" s="235"/>
      <c r="H12" s="235"/>
    </row>
    <row r="13" spans="1:8">
      <c r="A13" s="238" t="s">
        <v>354</v>
      </c>
      <c r="B13" s="235"/>
      <c r="C13" s="235"/>
      <c r="D13" s="235"/>
      <c r="E13" s="235"/>
      <c r="F13" s="235"/>
      <c r="G13" s="235"/>
      <c r="H13" s="235"/>
    </row>
    <row r="14" spans="1:8">
      <c r="A14" s="238" t="s">
        <v>355</v>
      </c>
      <c r="B14" s="235"/>
      <c r="C14" s="235"/>
      <c r="D14" s="235"/>
      <c r="E14" s="235"/>
      <c r="F14" s="235"/>
      <c r="G14" s="235"/>
      <c r="H14" s="235"/>
    </row>
    <row r="15" spans="1:8">
      <c r="A15" s="238" t="s">
        <v>356</v>
      </c>
      <c r="B15" s="235"/>
      <c r="C15" s="235"/>
      <c r="D15" s="235"/>
      <c r="E15" s="235"/>
      <c r="F15" s="235"/>
      <c r="G15" s="235"/>
      <c r="H15" s="235"/>
    </row>
    <row r="16" spans="1:8">
      <c r="A16" s="238"/>
      <c r="B16" s="235"/>
      <c r="C16" s="235"/>
      <c r="D16" s="235"/>
      <c r="E16" s="235"/>
      <c r="F16" s="235"/>
      <c r="G16" s="235"/>
      <c r="H16" s="235"/>
    </row>
    <row r="17" spans="1:8">
      <c r="A17" s="238" t="s">
        <v>342</v>
      </c>
      <c r="B17" s="235"/>
      <c r="C17" s="235"/>
      <c r="D17" s="235"/>
      <c r="E17" s="235"/>
      <c r="F17" s="235"/>
      <c r="G17" s="235"/>
      <c r="H17" s="235"/>
    </row>
    <row r="18" spans="1:8">
      <c r="A18" s="238"/>
      <c r="B18" s="235"/>
      <c r="C18" s="235"/>
      <c r="D18" s="235"/>
      <c r="E18" s="235"/>
      <c r="F18" s="235"/>
      <c r="G18" s="235"/>
      <c r="H18" s="235"/>
    </row>
    <row r="19" spans="1:8">
      <c r="A19" s="238" t="s">
        <v>343</v>
      </c>
      <c r="B19" s="235"/>
      <c r="C19" s="235"/>
      <c r="D19" s="235"/>
      <c r="E19" s="235"/>
      <c r="F19" s="235"/>
      <c r="G19" s="235"/>
      <c r="H19" s="235"/>
    </row>
    <row r="20" spans="1:8">
      <c r="A20" s="234"/>
      <c r="B20" s="235"/>
      <c r="C20" s="235"/>
      <c r="D20" s="235"/>
      <c r="E20" s="235"/>
      <c r="F20" s="235"/>
      <c r="G20" s="235"/>
      <c r="H20" s="235"/>
    </row>
    <row r="21" spans="1:8">
      <c r="A21" s="239" t="s">
        <v>344</v>
      </c>
      <c r="B21" s="235"/>
      <c r="C21" s="235"/>
      <c r="D21" s="235"/>
      <c r="E21" s="235"/>
      <c r="F21" s="235"/>
      <c r="G21" s="235"/>
      <c r="H21" s="235"/>
    </row>
    <row r="22" spans="1:8">
      <c r="A22" s="240"/>
      <c r="B22" s="240"/>
      <c r="C22" s="240"/>
      <c r="D22" s="240"/>
      <c r="E22" s="240"/>
      <c r="F22" s="240"/>
      <c r="G22" s="240"/>
      <c r="H22" s="240"/>
    </row>
    <row r="23" spans="1:8">
      <c r="A23" s="241" t="s">
        <v>630</v>
      </c>
      <c r="B23" s="240"/>
      <c r="C23" s="240"/>
      <c r="D23" s="240"/>
      <c r="E23" s="240"/>
      <c r="F23" s="240"/>
      <c r="G23" s="240"/>
      <c r="H23" s="240"/>
    </row>
    <row r="24" spans="1:8">
      <c r="A24" s="241" t="s">
        <v>631</v>
      </c>
      <c r="B24" s="240"/>
      <c r="C24" s="240"/>
      <c r="D24" s="240"/>
      <c r="E24" s="240"/>
      <c r="F24" s="240"/>
      <c r="G24" s="240"/>
      <c r="H24" s="240"/>
    </row>
    <row r="25" spans="1:8">
      <c r="A25" s="241" t="s">
        <v>632</v>
      </c>
      <c r="B25" s="240"/>
      <c r="C25" s="240"/>
      <c r="D25" s="240"/>
      <c r="E25" s="240"/>
      <c r="F25" s="240"/>
      <c r="G25" s="240"/>
      <c r="H25" s="240"/>
    </row>
    <row r="26" spans="1:8">
      <c r="A26" s="241" t="s">
        <v>633</v>
      </c>
      <c r="B26" s="240"/>
      <c r="C26" s="240"/>
      <c r="D26" s="240"/>
      <c r="E26" s="240"/>
      <c r="F26" s="240"/>
      <c r="G26" s="240"/>
      <c r="H26" s="240"/>
    </row>
    <row r="27" spans="1:8">
      <c r="A27" s="240"/>
      <c r="B27" s="240"/>
      <c r="C27" s="240"/>
      <c r="D27" s="240"/>
      <c r="E27" s="240"/>
      <c r="F27" s="240"/>
      <c r="G27" s="240"/>
      <c r="H27" s="240"/>
    </row>
    <row r="28" spans="1:8">
      <c r="A28" s="240"/>
      <c r="B28" s="240"/>
      <c r="C28" s="240"/>
      <c r="D28" s="240"/>
      <c r="E28" s="240"/>
      <c r="F28" s="240"/>
      <c r="G28" s="240"/>
      <c r="H28" s="240"/>
    </row>
    <row r="29" spans="1:8">
      <c r="A29" s="241" t="s">
        <v>625</v>
      </c>
      <c r="B29" s="240"/>
      <c r="C29" s="240"/>
      <c r="D29" s="240"/>
      <c r="E29" s="240"/>
      <c r="F29" s="240"/>
      <c r="G29" s="240"/>
      <c r="H29" s="240"/>
    </row>
    <row r="30" spans="1:8">
      <c r="A30" s="241" t="s">
        <v>626</v>
      </c>
      <c r="B30" s="240"/>
      <c r="C30" s="240"/>
      <c r="D30" s="240"/>
      <c r="E30" s="240"/>
      <c r="F30" s="240"/>
      <c r="G30" s="240"/>
      <c r="H30" s="240"/>
    </row>
    <row r="31" spans="1:8">
      <c r="A31" s="241" t="s">
        <v>627</v>
      </c>
      <c r="B31" s="240"/>
      <c r="C31" s="240"/>
      <c r="D31" s="240"/>
      <c r="E31" s="240"/>
      <c r="F31" s="240"/>
      <c r="G31" s="240"/>
      <c r="H31" s="240"/>
    </row>
    <row r="32" spans="1:8">
      <c r="A32" s="241" t="s">
        <v>628</v>
      </c>
      <c r="B32" s="240"/>
      <c r="C32" s="240"/>
      <c r="D32" s="240"/>
      <c r="E32" s="240"/>
      <c r="F32" s="240"/>
      <c r="G32" s="240"/>
      <c r="H32" s="240"/>
    </row>
    <row r="33" spans="1:8">
      <c r="A33" s="241" t="s">
        <v>629</v>
      </c>
      <c r="B33" s="240"/>
      <c r="C33" s="240"/>
      <c r="D33" s="240"/>
      <c r="E33" s="240"/>
      <c r="F33" s="240"/>
      <c r="G33" s="240"/>
      <c r="H33" s="240"/>
    </row>
    <row r="34" spans="1:8">
      <c r="A34" s="240"/>
      <c r="B34" s="240"/>
      <c r="C34" s="240"/>
      <c r="D34" s="240"/>
      <c r="E34" s="240"/>
      <c r="F34" s="240"/>
      <c r="G34" s="240"/>
      <c r="H34" s="240"/>
    </row>
    <row r="35" spans="1:8">
      <c r="A35" s="241" t="s">
        <v>621</v>
      </c>
      <c r="B35" s="240"/>
      <c r="C35" s="240"/>
      <c r="D35" s="240"/>
      <c r="E35" s="240"/>
      <c r="F35" s="240"/>
      <c r="G35" s="240"/>
      <c r="H35" s="240"/>
    </row>
    <row r="36" spans="1:8">
      <c r="A36" s="241" t="s">
        <v>622</v>
      </c>
      <c r="B36" s="240"/>
      <c r="C36" s="240"/>
      <c r="D36" s="240"/>
      <c r="E36" s="240"/>
      <c r="F36" s="240"/>
      <c r="G36" s="240"/>
      <c r="H36" s="240"/>
    </row>
    <row r="37" spans="1:8">
      <c r="A37" s="241" t="s">
        <v>623</v>
      </c>
      <c r="B37" s="240"/>
      <c r="C37" s="240"/>
      <c r="D37" s="240"/>
      <c r="E37" s="240"/>
      <c r="F37" s="240"/>
      <c r="G37" s="240"/>
      <c r="H37" s="240"/>
    </row>
    <row r="38" spans="1:8">
      <c r="A38" s="241" t="s">
        <v>624</v>
      </c>
      <c r="B38" s="240"/>
      <c r="C38" s="240"/>
      <c r="D38" s="240"/>
      <c r="E38" s="240"/>
      <c r="F38" s="240"/>
      <c r="G38" s="240"/>
      <c r="H38" s="240"/>
    </row>
    <row r="39" spans="1:8">
      <c r="A39" s="240"/>
      <c r="B39" s="240"/>
      <c r="C39" s="240"/>
      <c r="D39" s="240"/>
      <c r="E39" s="240"/>
      <c r="F39" s="240"/>
      <c r="G39" s="240"/>
      <c r="H39" s="240"/>
    </row>
    <row r="40" spans="1:8">
      <c r="A40" s="241" t="s">
        <v>615</v>
      </c>
      <c r="B40" s="240"/>
      <c r="C40" s="240"/>
      <c r="D40" s="240"/>
      <c r="E40" s="240"/>
      <c r="F40" s="240"/>
      <c r="G40" s="240"/>
      <c r="H40" s="240"/>
    </row>
    <row r="41" spans="1:8">
      <c r="A41" s="241" t="s">
        <v>616</v>
      </c>
      <c r="B41" s="240"/>
      <c r="C41" s="240"/>
      <c r="D41" s="240"/>
      <c r="E41" s="240"/>
      <c r="F41" s="240"/>
      <c r="G41" s="240"/>
      <c r="H41" s="240"/>
    </row>
    <row r="42" spans="1:8">
      <c r="A42" s="241" t="s">
        <v>617</v>
      </c>
      <c r="B42" s="240"/>
      <c r="C42" s="240"/>
      <c r="D42" s="240"/>
      <c r="E42" s="240"/>
      <c r="F42" s="240"/>
      <c r="G42" s="240"/>
      <c r="H42" s="240"/>
    </row>
    <row r="43" spans="1:8">
      <c r="A43" s="241" t="s">
        <v>618</v>
      </c>
      <c r="B43" s="240"/>
      <c r="C43" s="240"/>
      <c r="D43" s="240"/>
      <c r="E43" s="240"/>
      <c r="F43" s="240"/>
      <c r="G43" s="240"/>
      <c r="H43" s="240"/>
    </row>
    <row r="44" spans="1:8">
      <c r="A44" s="241" t="s">
        <v>619</v>
      </c>
      <c r="B44" s="240"/>
      <c r="C44" s="240"/>
      <c r="D44" s="240"/>
      <c r="E44" s="240"/>
      <c r="F44" s="240"/>
      <c r="G44" s="240"/>
      <c r="H44" s="240"/>
    </row>
    <row r="45" spans="1:8">
      <c r="A45" s="241" t="s">
        <v>620</v>
      </c>
      <c r="B45" s="240"/>
      <c r="C45" s="240"/>
      <c r="D45" s="240"/>
      <c r="E45" s="240"/>
      <c r="F45" s="240"/>
      <c r="G45" s="240"/>
      <c r="H45" s="240"/>
    </row>
    <row r="46" spans="1:8">
      <c r="A46" s="240"/>
      <c r="B46" s="240"/>
      <c r="C46" s="240"/>
      <c r="D46" s="240"/>
      <c r="E46" s="240"/>
      <c r="F46" s="240"/>
      <c r="G46" s="240"/>
      <c r="H46" s="240"/>
    </row>
    <row r="47" spans="1:8" ht="15.75">
      <c r="A47" s="242" t="s">
        <v>357</v>
      </c>
      <c r="B47" s="240"/>
      <c r="C47" s="240"/>
      <c r="D47" s="240"/>
      <c r="E47" s="240"/>
      <c r="F47" s="240"/>
      <c r="G47" s="240"/>
      <c r="H47" s="240"/>
    </row>
    <row r="48" spans="1:8">
      <c r="A48" s="240"/>
      <c r="B48" s="240"/>
      <c r="C48" s="240"/>
      <c r="D48" s="240"/>
      <c r="E48" s="240"/>
      <c r="F48" s="240"/>
      <c r="G48" s="240"/>
      <c r="H48" s="240"/>
    </row>
    <row r="49" spans="1:8">
      <c r="A49" s="241" t="s">
        <v>611</v>
      </c>
      <c r="B49" s="240"/>
      <c r="C49" s="240"/>
      <c r="D49" s="240"/>
      <c r="E49" s="240"/>
      <c r="F49" s="240"/>
      <c r="G49" s="240"/>
      <c r="H49" s="240"/>
    </row>
    <row r="50" spans="1:8">
      <c r="A50" s="241" t="s">
        <v>612</v>
      </c>
      <c r="B50" s="240"/>
      <c r="C50" s="240"/>
      <c r="D50" s="240"/>
      <c r="E50" s="240"/>
      <c r="F50" s="240"/>
      <c r="G50" s="240"/>
      <c r="H50" s="240"/>
    </row>
    <row r="51" spans="1:8">
      <c r="A51" s="241" t="s">
        <v>613</v>
      </c>
      <c r="B51" s="240"/>
      <c r="C51" s="240"/>
      <c r="D51" s="240"/>
      <c r="E51" s="240"/>
      <c r="F51" s="240"/>
      <c r="G51" s="240"/>
      <c r="H51" s="240"/>
    </row>
    <row r="52" spans="1:8">
      <c r="A52" s="241" t="s">
        <v>614</v>
      </c>
      <c r="B52" s="240"/>
      <c r="C52" s="240"/>
      <c r="D52" s="240"/>
      <c r="E52" s="240"/>
      <c r="F52" s="240"/>
      <c r="G52" s="240"/>
      <c r="H52" s="240"/>
    </row>
    <row r="53" spans="1:8">
      <c r="A53" s="240"/>
      <c r="B53" s="240"/>
      <c r="C53" s="240"/>
      <c r="D53" s="240"/>
      <c r="E53" s="240"/>
      <c r="F53" s="240"/>
      <c r="G53" s="240"/>
      <c r="H53" s="240"/>
    </row>
    <row r="54" spans="1:8">
      <c r="A54" s="241" t="s">
        <v>358</v>
      </c>
      <c r="B54" s="240"/>
      <c r="C54" s="240"/>
      <c r="D54" s="240"/>
      <c r="E54" s="240"/>
      <c r="F54" s="240"/>
      <c r="G54" s="240"/>
      <c r="H54" s="240"/>
    </row>
    <row r="55" spans="1:8">
      <c r="A55" s="240"/>
      <c r="B55" s="240"/>
      <c r="C55" s="240"/>
      <c r="D55" s="240"/>
      <c r="E55" s="240"/>
      <c r="F55" s="240"/>
      <c r="G55" s="240"/>
      <c r="H55" s="240"/>
    </row>
    <row r="56" spans="1:8" ht="15.75">
      <c r="A56" s="242" t="s">
        <v>359</v>
      </c>
      <c r="B56" s="240"/>
      <c r="C56" s="240"/>
      <c r="D56" s="240"/>
      <c r="E56" s="240"/>
      <c r="F56" s="240"/>
      <c r="G56" s="240"/>
      <c r="H56" s="240"/>
    </row>
    <row r="57" spans="1:8">
      <c r="A57" s="240"/>
      <c r="B57" s="240"/>
      <c r="C57" s="240"/>
      <c r="D57" s="240"/>
      <c r="E57" s="240"/>
      <c r="F57" s="240"/>
      <c r="G57" s="240"/>
      <c r="H57" s="240"/>
    </row>
    <row r="58" spans="1:8">
      <c r="A58" s="241" t="s">
        <v>609</v>
      </c>
      <c r="B58" s="240"/>
      <c r="C58" s="240"/>
      <c r="D58" s="240"/>
      <c r="E58" s="240"/>
      <c r="F58" s="240"/>
      <c r="G58" s="240"/>
      <c r="H58" s="240"/>
    </row>
    <row r="59" spans="1:8">
      <c r="A59" s="241" t="s">
        <v>610</v>
      </c>
      <c r="B59" s="240"/>
      <c r="C59" s="240"/>
      <c r="D59" s="240"/>
      <c r="E59" s="240"/>
      <c r="F59" s="240"/>
      <c r="G59" s="240"/>
      <c r="H59" s="240"/>
    </row>
    <row r="60" spans="1:8">
      <c r="A60" s="240"/>
      <c r="B60" s="240"/>
      <c r="C60" s="240"/>
      <c r="D60" s="240"/>
      <c r="E60" s="240"/>
      <c r="F60" s="240"/>
      <c r="G60" s="240"/>
      <c r="H60" s="240"/>
    </row>
    <row r="61" spans="1:8" ht="15.75">
      <c r="A61" s="242" t="s">
        <v>360</v>
      </c>
      <c r="B61" s="240"/>
      <c r="C61" s="240"/>
      <c r="D61" s="240"/>
      <c r="E61" s="240"/>
      <c r="F61" s="240"/>
      <c r="G61" s="240"/>
      <c r="H61" s="240"/>
    </row>
    <row r="62" spans="1:8">
      <c r="A62" s="240"/>
      <c r="B62" s="240"/>
      <c r="C62" s="240"/>
      <c r="D62" s="240"/>
      <c r="E62" s="240"/>
      <c r="F62" s="240"/>
      <c r="G62" s="240"/>
      <c r="H62" s="240"/>
    </row>
    <row r="63" spans="1:8">
      <c r="A63" s="241" t="s">
        <v>607</v>
      </c>
      <c r="B63" s="240"/>
      <c r="C63" s="240"/>
      <c r="D63" s="240"/>
      <c r="E63" s="240"/>
      <c r="F63" s="240"/>
      <c r="G63" s="240"/>
      <c r="H63" s="240"/>
    </row>
    <row r="64" spans="1:8">
      <c r="A64" s="241" t="s">
        <v>608</v>
      </c>
      <c r="B64" s="240"/>
      <c r="C64" s="240"/>
      <c r="D64" s="240"/>
      <c r="E64" s="240"/>
      <c r="F64" s="240"/>
      <c r="G64" s="240"/>
      <c r="H64" s="240"/>
    </row>
    <row r="65" spans="1:8">
      <c r="A65" s="240"/>
      <c r="B65" s="240"/>
      <c r="C65" s="240"/>
      <c r="D65" s="240"/>
      <c r="E65" s="240"/>
      <c r="F65" s="240"/>
      <c r="G65" s="240"/>
      <c r="H65" s="240"/>
    </row>
    <row r="66" spans="1:8">
      <c r="A66" s="241" t="s">
        <v>605</v>
      </c>
      <c r="B66" s="240"/>
      <c r="C66" s="240"/>
      <c r="D66" s="240"/>
      <c r="E66" s="240"/>
      <c r="F66" s="240"/>
      <c r="G66" s="240"/>
      <c r="H66" s="240"/>
    </row>
    <row r="67" spans="1:8">
      <c r="A67" s="241" t="s">
        <v>606</v>
      </c>
      <c r="B67" s="240"/>
      <c r="C67" s="240"/>
      <c r="D67" s="240"/>
      <c r="E67" s="240"/>
      <c r="F67" s="240"/>
      <c r="G67" s="240"/>
      <c r="H67" s="240"/>
    </row>
    <row r="68" spans="1:8">
      <c r="A68" s="240"/>
      <c r="B68" s="240"/>
      <c r="C68" s="240"/>
      <c r="D68" s="240"/>
      <c r="E68" s="240"/>
      <c r="F68" s="240"/>
      <c r="G68" s="240"/>
      <c r="H68" s="240"/>
    </row>
    <row r="69" spans="1:8">
      <c r="A69" s="241" t="s">
        <v>603</v>
      </c>
      <c r="B69" s="240"/>
      <c r="C69" s="240"/>
      <c r="D69" s="240"/>
      <c r="E69" s="240"/>
      <c r="F69" s="240"/>
      <c r="G69" s="240"/>
      <c r="H69" s="240"/>
    </row>
    <row r="70" spans="1:8">
      <c r="A70" s="241" t="s">
        <v>604</v>
      </c>
      <c r="B70" s="240"/>
      <c r="C70" s="240"/>
      <c r="D70" s="240"/>
      <c r="E70" s="240"/>
      <c r="F70" s="240"/>
      <c r="G70" s="240"/>
      <c r="H70" s="240"/>
    </row>
    <row r="71" spans="1:8">
      <c r="A71" s="240"/>
      <c r="B71" s="240"/>
      <c r="C71" s="240"/>
      <c r="D71" s="240"/>
      <c r="E71" s="240"/>
      <c r="F71" s="240"/>
      <c r="G71" s="240"/>
      <c r="H71" s="240"/>
    </row>
    <row r="72" spans="1:8">
      <c r="A72" s="241" t="s">
        <v>598</v>
      </c>
      <c r="B72" s="240"/>
      <c r="C72" s="240"/>
      <c r="D72" s="240"/>
      <c r="E72" s="240"/>
      <c r="F72" s="240"/>
      <c r="G72" s="240"/>
      <c r="H72" s="240"/>
    </row>
    <row r="73" spans="1:8">
      <c r="A73" s="241" t="s">
        <v>599</v>
      </c>
      <c r="B73" s="240"/>
      <c r="C73" s="240"/>
      <c r="D73" s="240"/>
      <c r="E73" s="240"/>
      <c r="F73" s="240"/>
      <c r="G73" s="240"/>
      <c r="H73" s="240"/>
    </row>
    <row r="74" spans="1:8">
      <c r="A74" s="241" t="s">
        <v>600</v>
      </c>
      <c r="B74" s="240"/>
      <c r="C74" s="240"/>
      <c r="D74" s="240"/>
      <c r="E74" s="240"/>
      <c r="F74" s="240"/>
      <c r="G74" s="240"/>
      <c r="H74" s="240"/>
    </row>
    <row r="75" spans="1:8">
      <c r="A75" s="241" t="s">
        <v>601</v>
      </c>
      <c r="B75" s="240"/>
      <c r="C75" s="240"/>
      <c r="D75" s="240"/>
      <c r="E75" s="240"/>
      <c r="F75" s="240"/>
      <c r="G75" s="240"/>
      <c r="H75" s="240"/>
    </row>
    <row r="76" spans="1:8">
      <c r="A76" s="241" t="s">
        <v>602</v>
      </c>
      <c r="B76" s="240"/>
      <c r="C76" s="240"/>
      <c r="D76" s="240"/>
      <c r="E76" s="240"/>
      <c r="F76" s="240"/>
      <c r="G76" s="240"/>
      <c r="H76" s="240"/>
    </row>
    <row r="77" spans="1:8">
      <c r="A77" s="241" t="s">
        <v>485</v>
      </c>
      <c r="B77" s="240"/>
      <c r="C77" s="240"/>
      <c r="D77" s="240"/>
      <c r="E77" s="240"/>
      <c r="F77" s="240"/>
      <c r="G77" s="240"/>
      <c r="H77" s="240"/>
    </row>
    <row r="78" spans="1:8">
      <c r="A78" s="240"/>
      <c r="B78" s="240"/>
      <c r="C78" s="240"/>
      <c r="D78" s="240"/>
      <c r="E78" s="240"/>
      <c r="F78" s="240"/>
      <c r="G78" s="240"/>
      <c r="H78" s="240"/>
    </row>
    <row r="79" spans="1:8">
      <c r="A79" s="241" t="s">
        <v>591</v>
      </c>
      <c r="B79" s="240"/>
      <c r="C79" s="240"/>
      <c r="D79" s="240"/>
      <c r="E79" s="240"/>
      <c r="F79" s="240"/>
      <c r="G79" s="240"/>
      <c r="H79" s="240"/>
    </row>
    <row r="80" spans="1:8">
      <c r="A80" s="241" t="s">
        <v>592</v>
      </c>
      <c r="B80" s="240"/>
      <c r="C80" s="240"/>
      <c r="D80" s="240"/>
      <c r="E80" s="240"/>
      <c r="F80" s="240"/>
      <c r="G80" s="240"/>
      <c r="H80" s="240"/>
    </row>
    <row r="81" spans="1:8">
      <c r="A81" s="241" t="s">
        <v>593</v>
      </c>
      <c r="B81" s="240"/>
      <c r="C81" s="240"/>
      <c r="D81" s="240"/>
      <c r="E81" s="240"/>
      <c r="F81" s="240"/>
      <c r="G81" s="240"/>
      <c r="H81" s="240"/>
    </row>
    <row r="82" spans="1:8">
      <c r="A82" s="241" t="s">
        <v>594</v>
      </c>
      <c r="B82" s="240"/>
      <c r="C82" s="240"/>
      <c r="D82" s="240"/>
      <c r="E82" s="240"/>
      <c r="F82" s="240"/>
      <c r="G82" s="240"/>
      <c r="H82" s="240"/>
    </row>
    <row r="83" spans="1:8">
      <c r="A83" s="241" t="s">
        <v>595</v>
      </c>
      <c r="B83" s="240"/>
      <c r="C83" s="240"/>
      <c r="D83" s="240"/>
      <c r="E83" s="240"/>
      <c r="F83" s="240"/>
      <c r="G83" s="240"/>
      <c r="H83" s="240"/>
    </row>
    <row r="84" spans="1:8">
      <c r="A84" s="241" t="s">
        <v>596</v>
      </c>
      <c r="B84" s="240"/>
      <c r="C84" s="240"/>
      <c r="D84" s="240"/>
      <c r="E84" s="240"/>
      <c r="F84" s="240"/>
      <c r="G84" s="240"/>
      <c r="H84" s="240"/>
    </row>
    <row r="85" spans="1:8">
      <c r="A85" s="241" t="s">
        <v>597</v>
      </c>
      <c r="B85" s="240"/>
      <c r="C85" s="240"/>
      <c r="D85" s="240"/>
      <c r="E85" s="240"/>
      <c r="F85" s="240"/>
      <c r="G85" s="240"/>
      <c r="H85" s="240"/>
    </row>
    <row r="86" spans="1:8">
      <c r="A86" s="240"/>
      <c r="B86" s="240"/>
      <c r="C86" s="240"/>
      <c r="D86" s="240"/>
      <c r="E86" s="240"/>
      <c r="F86" s="240"/>
      <c r="G86" s="240"/>
      <c r="H86" s="240"/>
    </row>
    <row r="87" spans="1:8">
      <c r="A87" s="241" t="s">
        <v>589</v>
      </c>
      <c r="B87" s="240"/>
      <c r="C87" s="240"/>
      <c r="D87" s="240"/>
      <c r="E87" s="240"/>
      <c r="F87" s="240"/>
      <c r="G87" s="240"/>
      <c r="H87" s="240"/>
    </row>
    <row r="88" spans="1:8">
      <c r="A88" s="241" t="s">
        <v>590</v>
      </c>
      <c r="B88" s="240"/>
      <c r="C88" s="240"/>
      <c r="D88" s="240"/>
      <c r="E88" s="240"/>
      <c r="F88" s="240"/>
      <c r="G88" s="240"/>
      <c r="H88" s="240"/>
    </row>
    <row r="89" spans="1:8">
      <c r="A89" s="240"/>
      <c r="B89" s="240"/>
      <c r="C89" s="240"/>
      <c r="D89" s="240"/>
      <c r="E89" s="240"/>
      <c r="F89" s="240"/>
      <c r="G89" s="240"/>
      <c r="H89" s="240"/>
    </row>
    <row r="90" spans="1:8" ht="15.75">
      <c r="A90" s="242" t="s">
        <v>361</v>
      </c>
      <c r="B90" s="240"/>
      <c r="C90" s="240"/>
      <c r="D90" s="240"/>
      <c r="E90" s="240"/>
      <c r="F90" s="240"/>
      <c r="G90" s="240"/>
      <c r="H90" s="240"/>
    </row>
    <row r="91" spans="1:8">
      <c r="A91" s="240"/>
      <c r="B91" s="240"/>
      <c r="C91" s="240"/>
      <c r="D91" s="240"/>
      <c r="E91" s="240"/>
      <c r="F91" s="240"/>
      <c r="G91" s="240"/>
      <c r="H91" s="240"/>
    </row>
    <row r="92" spans="1:8">
      <c r="A92" s="241" t="s">
        <v>580</v>
      </c>
      <c r="B92" s="240"/>
      <c r="C92" s="240"/>
      <c r="D92" s="240"/>
      <c r="E92" s="240"/>
      <c r="F92" s="240"/>
      <c r="G92" s="240"/>
      <c r="H92" s="240"/>
    </row>
    <row r="93" spans="1:8">
      <c r="A93" s="241" t="s">
        <v>581</v>
      </c>
      <c r="B93" s="240"/>
      <c r="C93" s="240"/>
      <c r="D93" s="240"/>
      <c r="E93" s="240"/>
      <c r="F93" s="240"/>
      <c r="G93" s="240"/>
      <c r="H93" s="240"/>
    </row>
    <row r="94" spans="1:8">
      <c r="A94" s="241" t="s">
        <v>582</v>
      </c>
      <c r="B94" s="240"/>
      <c r="C94" s="240"/>
      <c r="D94" s="240"/>
      <c r="E94" s="240"/>
      <c r="F94" s="240"/>
      <c r="G94" s="240"/>
      <c r="H94" s="240"/>
    </row>
    <row r="95" spans="1:8">
      <c r="A95" s="241" t="s">
        <v>583</v>
      </c>
      <c r="B95" s="240"/>
      <c r="C95" s="240"/>
      <c r="D95" s="240"/>
      <c r="E95" s="240"/>
      <c r="F95" s="240"/>
      <c r="G95" s="240"/>
      <c r="H95" s="240"/>
    </row>
    <row r="96" spans="1:8">
      <c r="A96" s="241" t="s">
        <v>584</v>
      </c>
      <c r="B96" s="240"/>
      <c r="C96" s="240"/>
      <c r="D96" s="240"/>
      <c r="E96" s="240"/>
      <c r="F96" s="240"/>
      <c r="G96" s="240"/>
      <c r="H96" s="240"/>
    </row>
    <row r="97" spans="1:8">
      <c r="A97" s="241" t="s">
        <v>585</v>
      </c>
      <c r="B97" s="240"/>
      <c r="C97" s="240"/>
      <c r="D97" s="240"/>
      <c r="E97" s="240"/>
      <c r="F97" s="240"/>
      <c r="G97" s="240"/>
      <c r="H97" s="240"/>
    </row>
    <row r="98" spans="1:8">
      <c r="A98" s="241" t="s">
        <v>586</v>
      </c>
      <c r="B98" s="240"/>
      <c r="C98" s="240"/>
      <c r="D98" s="240"/>
      <c r="E98" s="240"/>
      <c r="F98" s="240"/>
      <c r="G98" s="240"/>
      <c r="H98" s="240"/>
    </row>
    <row r="99" spans="1:8">
      <c r="A99" s="241" t="s">
        <v>587</v>
      </c>
      <c r="B99" s="240"/>
      <c r="C99" s="240"/>
      <c r="D99" s="240"/>
      <c r="E99" s="240"/>
      <c r="F99" s="240"/>
      <c r="G99" s="240"/>
      <c r="H99" s="240"/>
    </row>
    <row r="100" spans="1:8">
      <c r="A100" s="241" t="s">
        <v>588</v>
      </c>
      <c r="B100" s="240"/>
      <c r="C100" s="240"/>
      <c r="D100" s="240"/>
      <c r="E100" s="240"/>
      <c r="F100" s="240"/>
      <c r="G100" s="240"/>
      <c r="H100" s="240"/>
    </row>
    <row r="101" spans="1:8">
      <c r="A101" s="240"/>
      <c r="B101" s="240"/>
      <c r="C101" s="240"/>
      <c r="D101" s="240"/>
      <c r="E101" s="240"/>
      <c r="F101" s="240"/>
      <c r="G101" s="240"/>
      <c r="H101" s="240"/>
    </row>
    <row r="102" spans="1:8" ht="15.75">
      <c r="A102" s="243" t="s">
        <v>362</v>
      </c>
      <c r="B102" s="243"/>
      <c r="C102" s="243"/>
      <c r="D102" s="243"/>
      <c r="E102" s="243"/>
      <c r="F102" s="243"/>
      <c r="G102" s="243"/>
      <c r="H102" s="243"/>
    </row>
    <row r="103" spans="1:8">
      <c r="A103" s="244" t="s">
        <v>363</v>
      </c>
      <c r="B103" s="244"/>
      <c r="C103" s="244"/>
      <c r="D103" s="244"/>
      <c r="E103" s="244"/>
      <c r="F103" s="244"/>
      <c r="G103" s="244"/>
      <c r="H103" s="244"/>
    </row>
    <row r="104" spans="1:8">
      <c r="A104" s="245"/>
      <c r="B104" s="245"/>
      <c r="C104" s="245"/>
      <c r="D104" s="245"/>
      <c r="E104" s="245"/>
      <c r="F104" s="245"/>
      <c r="G104" s="245"/>
      <c r="H104" s="245"/>
    </row>
    <row r="105" spans="1:8">
      <c r="A105" s="244" t="s">
        <v>578</v>
      </c>
      <c r="B105" s="244"/>
      <c r="C105" s="244"/>
      <c r="D105" s="244"/>
      <c r="E105" s="244"/>
      <c r="F105" s="244"/>
      <c r="G105" s="244"/>
      <c r="H105" s="244"/>
    </row>
    <row r="106" spans="1:8">
      <c r="A106" s="241" t="s">
        <v>579</v>
      </c>
      <c r="B106" s="241"/>
      <c r="C106" s="241"/>
      <c r="D106" s="241"/>
      <c r="E106" s="241"/>
      <c r="F106" s="241"/>
      <c r="G106" s="241"/>
      <c r="H106" s="241"/>
    </row>
    <row r="107" spans="1:8">
      <c r="A107" s="245"/>
      <c r="B107" s="245"/>
      <c r="C107" s="245"/>
      <c r="D107" s="245"/>
      <c r="E107" s="245"/>
      <c r="F107" s="245"/>
      <c r="G107" s="245"/>
      <c r="H107" s="245"/>
    </row>
    <row r="108" spans="1:8">
      <c r="A108" s="244" t="s">
        <v>571</v>
      </c>
      <c r="B108" s="244"/>
      <c r="C108" s="244"/>
      <c r="D108" s="244"/>
      <c r="E108" s="244"/>
      <c r="F108" s="244"/>
      <c r="G108" s="244"/>
      <c r="H108" s="244"/>
    </row>
    <row r="109" spans="1:8">
      <c r="A109" s="241" t="s">
        <v>572</v>
      </c>
      <c r="B109" s="241"/>
      <c r="C109" s="241"/>
      <c r="D109" s="241"/>
      <c r="E109" s="241"/>
      <c r="F109" s="241"/>
      <c r="G109" s="241"/>
      <c r="H109" s="241"/>
    </row>
    <row r="110" spans="1:8">
      <c r="A110" s="241" t="s">
        <v>573</v>
      </c>
      <c r="B110" s="241"/>
      <c r="C110" s="241"/>
      <c r="D110" s="241"/>
      <c r="E110" s="241"/>
      <c r="F110" s="241"/>
      <c r="G110" s="241"/>
      <c r="H110" s="241"/>
    </row>
    <row r="111" spans="1:8">
      <c r="A111" s="241" t="s">
        <v>574</v>
      </c>
      <c r="B111" s="241"/>
      <c r="C111" s="241"/>
      <c r="D111" s="241"/>
      <c r="E111" s="241"/>
      <c r="F111" s="241"/>
      <c r="G111" s="241"/>
      <c r="H111" s="241"/>
    </row>
    <row r="112" spans="1:8">
      <c r="A112" s="241" t="s">
        <v>575</v>
      </c>
      <c r="B112" s="241"/>
      <c r="C112" s="241"/>
      <c r="D112" s="241"/>
      <c r="E112" s="241"/>
      <c r="F112" s="241"/>
      <c r="G112" s="241"/>
      <c r="H112" s="241"/>
    </row>
    <row r="113" spans="1:8">
      <c r="A113" s="241" t="s">
        <v>576</v>
      </c>
      <c r="B113" s="241"/>
      <c r="C113" s="241"/>
      <c r="D113" s="241"/>
      <c r="E113" s="241"/>
      <c r="F113" s="241"/>
      <c r="G113" s="241"/>
      <c r="H113" s="241"/>
    </row>
    <row r="114" spans="1:8">
      <c r="A114" s="241" t="s">
        <v>577</v>
      </c>
      <c r="B114" s="241"/>
      <c r="C114" s="241"/>
      <c r="D114" s="241"/>
      <c r="E114" s="241"/>
      <c r="F114" s="241"/>
      <c r="G114" s="241"/>
      <c r="H114" s="241"/>
    </row>
    <row r="115" spans="1:8">
      <c r="A115" s="246"/>
      <c r="B115" s="246"/>
      <c r="C115" s="246"/>
      <c r="D115" s="246"/>
      <c r="E115" s="246"/>
      <c r="F115" s="246"/>
      <c r="G115" s="246"/>
      <c r="H115" s="246"/>
    </row>
    <row r="116" spans="1:8">
      <c r="A116" s="247"/>
      <c r="B116" s="248" t="s">
        <v>364</v>
      </c>
      <c r="C116" s="249"/>
      <c r="D116" s="248" t="s">
        <v>365</v>
      </c>
      <c r="E116" s="250"/>
      <c r="F116" s="249"/>
      <c r="G116" s="248" t="s">
        <v>366</v>
      </c>
      <c r="H116" s="249"/>
    </row>
    <row r="117" spans="1:8">
      <c r="A117" s="247" t="s">
        <v>367</v>
      </c>
      <c r="B117" s="247" t="s">
        <v>307</v>
      </c>
      <c r="C117" s="247" t="s">
        <v>300</v>
      </c>
      <c r="D117" s="247" t="s">
        <v>307</v>
      </c>
      <c r="E117" s="247" t="s">
        <v>368</v>
      </c>
      <c r="F117" s="247" t="s">
        <v>369</v>
      </c>
      <c r="G117" s="247" t="s">
        <v>307</v>
      </c>
      <c r="H117" s="247" t="s">
        <v>370</v>
      </c>
    </row>
    <row r="118" spans="1:8">
      <c r="A118" s="247" t="s">
        <v>371</v>
      </c>
      <c r="B118" s="247">
        <v>1189</v>
      </c>
      <c r="C118" s="251">
        <v>0.38</v>
      </c>
      <c r="D118" s="247">
        <v>315</v>
      </c>
      <c r="E118" s="251">
        <v>0.41</v>
      </c>
      <c r="F118" s="251">
        <v>0.26</v>
      </c>
      <c r="G118" s="247">
        <v>555</v>
      </c>
      <c r="H118" s="251">
        <v>0.39</v>
      </c>
    </row>
    <row r="119" spans="1:8">
      <c r="A119" s="247" t="s">
        <v>372</v>
      </c>
      <c r="B119" s="247">
        <v>1355</v>
      </c>
      <c r="C119" s="251">
        <v>0.43</v>
      </c>
      <c r="D119" s="247">
        <v>364</v>
      </c>
      <c r="E119" s="251">
        <v>0.47</v>
      </c>
      <c r="F119" s="251">
        <v>0.27</v>
      </c>
      <c r="G119" s="247">
        <v>644</v>
      </c>
      <c r="H119" s="251">
        <v>0.45</v>
      </c>
    </row>
    <row r="120" spans="1:8">
      <c r="A120" s="247" t="s">
        <v>373</v>
      </c>
      <c r="B120" s="247">
        <v>53</v>
      </c>
      <c r="C120" s="251">
        <v>0.02</v>
      </c>
      <c r="D120" s="247">
        <v>4</v>
      </c>
      <c r="E120" s="251">
        <v>0.01</v>
      </c>
      <c r="F120" s="251">
        <v>0.08</v>
      </c>
      <c r="G120" s="247">
        <v>7</v>
      </c>
      <c r="H120" s="251">
        <v>0</v>
      </c>
    </row>
    <row r="121" spans="1:8">
      <c r="A121" s="247" t="s">
        <v>374</v>
      </c>
      <c r="B121" s="247">
        <v>545</v>
      </c>
      <c r="C121" s="251">
        <v>0.17</v>
      </c>
      <c r="D121" s="247">
        <v>84</v>
      </c>
      <c r="E121" s="251">
        <v>0.11</v>
      </c>
      <c r="F121" s="251">
        <v>0.15</v>
      </c>
      <c r="G121" s="247">
        <v>214</v>
      </c>
      <c r="H121" s="251">
        <v>0.15</v>
      </c>
    </row>
    <row r="122" spans="1:8">
      <c r="A122" s="247" t="s">
        <v>264</v>
      </c>
      <c r="B122" s="252">
        <v>3142</v>
      </c>
      <c r="C122" s="247"/>
      <c r="D122" s="247">
        <v>767</v>
      </c>
      <c r="E122" s="247"/>
      <c r="F122" s="247"/>
      <c r="G122" s="247">
        <v>1420</v>
      </c>
      <c r="H122" s="247"/>
    </row>
    <row r="123" spans="1:8">
      <c r="A123" s="253"/>
      <c r="B123" s="253"/>
      <c r="C123" s="253"/>
      <c r="D123" s="253"/>
      <c r="E123" s="253"/>
      <c r="F123" s="253"/>
      <c r="G123" s="253"/>
      <c r="H123" s="253"/>
    </row>
    <row r="124" spans="1:8">
      <c r="A124" s="244" t="s">
        <v>567</v>
      </c>
      <c r="B124" s="244"/>
      <c r="C124" s="244"/>
      <c r="D124" s="244"/>
      <c r="E124" s="244"/>
      <c r="F124" s="244"/>
      <c r="G124" s="244"/>
      <c r="H124" s="244"/>
    </row>
    <row r="125" spans="1:8">
      <c r="A125" s="241" t="s">
        <v>568</v>
      </c>
      <c r="B125" s="241"/>
      <c r="C125" s="241"/>
      <c r="D125" s="241"/>
      <c r="E125" s="241"/>
      <c r="F125" s="241"/>
      <c r="G125" s="241"/>
      <c r="H125" s="241"/>
    </row>
    <row r="126" spans="1:8">
      <c r="A126" s="241" t="s">
        <v>569</v>
      </c>
      <c r="B126" s="241"/>
      <c r="C126" s="241"/>
      <c r="D126" s="241"/>
      <c r="E126" s="241"/>
      <c r="F126" s="241"/>
      <c r="G126" s="241"/>
      <c r="H126" s="241"/>
    </row>
    <row r="127" spans="1:8">
      <c r="A127" s="241" t="s">
        <v>570</v>
      </c>
      <c r="B127" s="241"/>
      <c r="C127" s="241"/>
      <c r="D127" s="241"/>
      <c r="E127" s="241"/>
      <c r="F127" s="241"/>
      <c r="G127" s="241"/>
      <c r="H127" s="241"/>
    </row>
    <row r="128" spans="1:8">
      <c r="A128" s="240"/>
      <c r="B128" s="240"/>
      <c r="C128" s="240"/>
      <c r="D128" s="240"/>
      <c r="E128" s="240"/>
      <c r="F128" s="240"/>
      <c r="G128" s="240"/>
      <c r="H128" s="240"/>
    </row>
    <row r="129" spans="1:8" ht="15.75">
      <c r="A129" s="242" t="s">
        <v>375</v>
      </c>
      <c r="B129" s="240"/>
      <c r="C129" s="240"/>
      <c r="D129" s="240"/>
      <c r="E129" s="240"/>
      <c r="F129" s="240"/>
      <c r="G129" s="240"/>
      <c r="H129" s="240"/>
    </row>
    <row r="130" spans="1:8">
      <c r="A130" s="240"/>
      <c r="B130" s="240"/>
      <c r="C130" s="240"/>
      <c r="D130" s="240"/>
      <c r="E130" s="240"/>
      <c r="F130" s="240"/>
      <c r="G130" s="240"/>
      <c r="H130" s="240"/>
    </row>
    <row r="131" spans="1:8">
      <c r="A131" s="241" t="s">
        <v>565</v>
      </c>
      <c r="B131" s="240"/>
      <c r="C131" s="240"/>
      <c r="D131" s="240"/>
      <c r="E131" s="240"/>
      <c r="F131" s="240"/>
      <c r="G131" s="240"/>
      <c r="H131" s="240"/>
    </row>
    <row r="132" spans="1:8">
      <c r="A132" s="241" t="s">
        <v>566</v>
      </c>
      <c r="B132" s="240"/>
      <c r="C132" s="240"/>
      <c r="D132" s="240"/>
      <c r="E132" s="240"/>
      <c r="F132" s="240"/>
      <c r="G132" s="240"/>
      <c r="H132" s="240"/>
    </row>
    <row r="133" spans="1:8">
      <c r="A133" s="240"/>
      <c r="B133" s="240"/>
      <c r="C133" s="240"/>
      <c r="D133" s="240"/>
      <c r="E133" s="240"/>
      <c r="F133" s="240"/>
      <c r="G133" s="240"/>
      <c r="H133" s="240"/>
    </row>
    <row r="134" spans="1:8">
      <c r="A134" s="241" t="s">
        <v>562</v>
      </c>
      <c r="B134" s="240"/>
      <c r="C134" s="240"/>
      <c r="D134" s="240"/>
      <c r="E134" s="240"/>
      <c r="F134" s="240"/>
      <c r="G134" s="240"/>
      <c r="H134" s="240"/>
    </row>
    <row r="135" spans="1:8">
      <c r="A135" s="241" t="s">
        <v>563</v>
      </c>
      <c r="B135" s="240"/>
      <c r="C135" s="240"/>
      <c r="D135" s="240"/>
      <c r="E135" s="240"/>
      <c r="F135" s="240"/>
      <c r="G135" s="240"/>
      <c r="H135" s="240"/>
    </row>
    <row r="136" spans="1:8">
      <c r="A136" s="241" t="s">
        <v>564</v>
      </c>
      <c r="B136" s="240"/>
      <c r="C136" s="240"/>
      <c r="D136" s="240"/>
      <c r="E136" s="240"/>
      <c r="F136" s="240"/>
      <c r="G136" s="240"/>
      <c r="H136" s="240"/>
    </row>
    <row r="137" spans="1:8">
      <c r="A137" s="240"/>
      <c r="B137" s="240"/>
      <c r="C137" s="240"/>
      <c r="D137" s="240"/>
      <c r="E137" s="240"/>
      <c r="F137" s="240"/>
      <c r="G137" s="240"/>
      <c r="H137" s="240"/>
    </row>
    <row r="138" spans="1:8">
      <c r="A138" s="241" t="s">
        <v>559</v>
      </c>
      <c r="B138" s="240"/>
      <c r="C138" s="240"/>
      <c r="D138" s="240"/>
      <c r="E138" s="240"/>
      <c r="F138" s="240"/>
      <c r="G138" s="240"/>
      <c r="H138" s="240"/>
    </row>
    <row r="139" spans="1:8">
      <c r="A139" s="241" t="s">
        <v>560</v>
      </c>
      <c r="B139" s="240"/>
      <c r="C139" s="240"/>
      <c r="D139" s="240"/>
      <c r="E139" s="240"/>
      <c r="F139" s="240"/>
      <c r="G139" s="240"/>
      <c r="H139" s="240"/>
    </row>
    <row r="140" spans="1:8">
      <c r="A140" s="241" t="s">
        <v>561</v>
      </c>
      <c r="B140" s="240"/>
      <c r="C140" s="240"/>
      <c r="D140" s="240"/>
      <c r="E140" s="240"/>
      <c r="F140" s="240"/>
      <c r="G140" s="240"/>
      <c r="H140" s="240"/>
    </row>
    <row r="141" spans="1:8">
      <c r="A141" s="240"/>
      <c r="B141" s="240"/>
      <c r="C141" s="240"/>
      <c r="D141" s="240"/>
      <c r="E141" s="240"/>
      <c r="F141" s="240"/>
      <c r="G141" s="240"/>
      <c r="H141" s="240"/>
    </row>
    <row r="142" spans="1:8">
      <c r="A142" s="241" t="s">
        <v>556</v>
      </c>
      <c r="B142" s="240"/>
      <c r="C142" s="240"/>
      <c r="D142" s="240"/>
      <c r="E142" s="240"/>
      <c r="F142" s="240"/>
      <c r="G142" s="240"/>
      <c r="H142" s="240"/>
    </row>
    <row r="143" spans="1:8">
      <c r="A143" s="241" t="s">
        <v>557</v>
      </c>
      <c r="B143" s="240"/>
      <c r="C143" s="240"/>
      <c r="D143" s="240"/>
      <c r="E143" s="240"/>
      <c r="F143" s="240"/>
      <c r="G143" s="240"/>
      <c r="H143" s="240"/>
    </row>
    <row r="144" spans="1:8">
      <c r="A144" s="241" t="s">
        <v>558</v>
      </c>
      <c r="B144" s="240"/>
      <c r="C144" s="240"/>
      <c r="D144" s="240"/>
      <c r="E144" s="240"/>
      <c r="F144" s="240"/>
      <c r="G144" s="240"/>
      <c r="H144" s="240"/>
    </row>
    <row r="145" spans="1:8">
      <c r="A145" s="240"/>
      <c r="B145" s="240"/>
      <c r="C145" s="240"/>
      <c r="D145" s="240"/>
      <c r="E145" s="240"/>
      <c r="F145" s="240"/>
      <c r="G145" s="240"/>
      <c r="H145" s="240"/>
    </row>
    <row r="146" spans="1:8">
      <c r="A146" s="241" t="s">
        <v>554</v>
      </c>
      <c r="B146" s="240"/>
      <c r="C146" s="240"/>
      <c r="D146" s="240"/>
      <c r="E146" s="240"/>
      <c r="F146" s="240"/>
      <c r="G146" s="240"/>
      <c r="H146" s="240"/>
    </row>
    <row r="147" spans="1:8">
      <c r="A147" s="241" t="s">
        <v>555</v>
      </c>
      <c r="B147" s="240"/>
      <c r="C147" s="240"/>
      <c r="D147" s="240"/>
      <c r="E147" s="240"/>
      <c r="F147" s="240"/>
      <c r="G147" s="240"/>
      <c r="H147" s="240"/>
    </row>
    <row r="148" spans="1:8">
      <c r="A148" s="240"/>
      <c r="B148" s="240"/>
      <c r="C148" s="240"/>
      <c r="D148" s="240"/>
      <c r="E148" s="240"/>
      <c r="F148" s="240"/>
      <c r="G148" s="240"/>
      <c r="H148" s="240"/>
    </row>
    <row r="149" spans="1:8" ht="15.75">
      <c r="A149" s="242" t="s">
        <v>376</v>
      </c>
      <c r="B149" s="240"/>
      <c r="C149" s="240"/>
      <c r="D149" s="240"/>
      <c r="E149" s="240"/>
      <c r="F149" s="240"/>
      <c r="G149" s="240"/>
      <c r="H149" s="240"/>
    </row>
    <row r="150" spans="1:8">
      <c r="A150" s="240"/>
      <c r="B150" s="240"/>
      <c r="C150" s="240"/>
      <c r="D150" s="240"/>
      <c r="E150" s="240"/>
      <c r="F150" s="240"/>
      <c r="G150" s="240"/>
      <c r="H150" s="240"/>
    </row>
    <row r="151" spans="1:8">
      <c r="A151" s="241" t="s">
        <v>552</v>
      </c>
      <c r="B151" s="240"/>
      <c r="C151" s="240"/>
      <c r="D151" s="240"/>
      <c r="E151" s="240"/>
      <c r="F151" s="240"/>
      <c r="G151" s="240"/>
      <c r="H151" s="240"/>
    </row>
    <row r="152" spans="1:8">
      <c r="A152" s="241" t="s">
        <v>553</v>
      </c>
      <c r="B152" s="240"/>
      <c r="C152" s="240"/>
      <c r="D152" s="240"/>
      <c r="E152" s="240"/>
      <c r="F152" s="240"/>
      <c r="G152" s="240"/>
      <c r="H152" s="240"/>
    </row>
    <row r="153" spans="1:8">
      <c r="A153" s="240"/>
      <c r="B153" s="240"/>
      <c r="C153" s="240"/>
      <c r="D153" s="240"/>
      <c r="E153" s="240"/>
      <c r="F153" s="240"/>
      <c r="G153" s="240"/>
      <c r="H153" s="240"/>
    </row>
    <row r="154" spans="1:8">
      <c r="A154" s="241" t="s">
        <v>550</v>
      </c>
      <c r="B154" s="240"/>
      <c r="C154" s="240"/>
      <c r="D154" s="240"/>
      <c r="E154" s="240"/>
      <c r="F154" s="240"/>
      <c r="G154" s="240"/>
      <c r="H154" s="240"/>
    </row>
    <row r="155" spans="1:8">
      <c r="A155" s="241" t="s">
        <v>551</v>
      </c>
      <c r="B155" s="240"/>
      <c r="C155" s="240"/>
      <c r="D155" s="240"/>
      <c r="E155" s="240"/>
      <c r="F155" s="240"/>
      <c r="G155" s="240"/>
      <c r="H155" s="240"/>
    </row>
    <row r="156" spans="1:8">
      <c r="A156" s="240"/>
      <c r="B156" s="240"/>
      <c r="C156" s="240"/>
      <c r="D156" s="240"/>
      <c r="E156" s="240"/>
      <c r="F156" s="240"/>
      <c r="G156" s="240"/>
      <c r="H156" s="240"/>
    </row>
    <row r="157" spans="1:8">
      <c r="A157" s="241" t="s">
        <v>548</v>
      </c>
      <c r="B157" s="240"/>
      <c r="C157" s="240"/>
      <c r="D157" s="240"/>
      <c r="E157" s="240"/>
      <c r="F157" s="240"/>
      <c r="G157" s="240"/>
      <c r="H157" s="240"/>
    </row>
    <row r="158" spans="1:8">
      <c r="A158" s="241" t="s">
        <v>549</v>
      </c>
      <c r="B158" s="240"/>
      <c r="C158" s="240"/>
      <c r="D158" s="240"/>
      <c r="E158" s="240"/>
      <c r="F158" s="240"/>
      <c r="G158" s="240"/>
      <c r="H158" s="240"/>
    </row>
    <row r="159" spans="1:8">
      <c r="A159" s="240"/>
      <c r="B159" s="240"/>
      <c r="C159" s="240"/>
      <c r="D159" s="240"/>
      <c r="E159" s="240"/>
      <c r="F159" s="240"/>
      <c r="G159" s="240"/>
      <c r="H159" s="240"/>
    </row>
    <row r="160" spans="1:8">
      <c r="A160" s="241" t="s">
        <v>545</v>
      </c>
      <c r="B160" s="240"/>
      <c r="C160" s="240"/>
      <c r="D160" s="240"/>
      <c r="E160" s="240"/>
      <c r="F160" s="240"/>
      <c r="G160" s="240"/>
      <c r="H160" s="240"/>
    </row>
    <row r="161" spans="1:8">
      <c r="A161" s="241" t="s">
        <v>546</v>
      </c>
      <c r="B161" s="240"/>
      <c r="C161" s="240"/>
      <c r="D161" s="240"/>
      <c r="E161" s="240"/>
      <c r="F161" s="240"/>
      <c r="G161" s="240"/>
      <c r="H161" s="240"/>
    </row>
    <row r="162" spans="1:8">
      <c r="A162" s="241" t="s">
        <v>547</v>
      </c>
      <c r="B162" s="240"/>
      <c r="C162" s="240"/>
      <c r="D162" s="240"/>
      <c r="E162" s="240"/>
      <c r="F162" s="240"/>
      <c r="G162" s="240"/>
      <c r="H162" s="240"/>
    </row>
    <row r="163" spans="1:8">
      <c r="A163" s="240"/>
      <c r="B163" s="240"/>
      <c r="C163" s="240"/>
      <c r="D163" s="240"/>
      <c r="E163" s="240"/>
      <c r="F163" s="240"/>
      <c r="G163" s="240"/>
      <c r="H163" s="240"/>
    </row>
    <row r="164" spans="1:8">
      <c r="A164" s="240"/>
      <c r="B164" s="240"/>
      <c r="C164" s="240"/>
      <c r="D164" s="240"/>
      <c r="E164" s="240"/>
      <c r="F164" s="240"/>
      <c r="G164" s="240"/>
      <c r="H164" s="240"/>
    </row>
    <row r="165" spans="1:8">
      <c r="A165" s="241" t="s">
        <v>377</v>
      </c>
      <c r="B165" s="240"/>
      <c r="C165" s="240"/>
      <c r="D165" s="240"/>
      <c r="E165" s="240"/>
      <c r="F165" s="240"/>
      <c r="G165" s="240"/>
      <c r="H165" s="240"/>
    </row>
    <row r="166" spans="1:8">
      <c r="A166" s="240"/>
      <c r="B166" s="240"/>
      <c r="C166" s="240"/>
      <c r="D166" s="240"/>
      <c r="E166" s="240"/>
      <c r="F166" s="240"/>
      <c r="G166" s="240"/>
      <c r="H166" s="240"/>
    </row>
    <row r="167" spans="1:8" ht="15.75">
      <c r="A167" s="242" t="s">
        <v>378</v>
      </c>
      <c r="B167" s="240"/>
      <c r="C167" s="240"/>
      <c r="D167" s="240"/>
      <c r="E167" s="240"/>
      <c r="F167" s="240"/>
      <c r="G167" s="240"/>
      <c r="H167" s="240"/>
    </row>
    <row r="168" spans="1:8">
      <c r="A168" s="240"/>
      <c r="B168" s="240"/>
      <c r="C168" s="240"/>
      <c r="D168" s="240"/>
      <c r="E168" s="240"/>
      <c r="F168" s="240"/>
      <c r="G168" s="240"/>
      <c r="H168" s="240"/>
    </row>
    <row r="169" spans="1:8">
      <c r="A169" s="240"/>
      <c r="B169" s="240"/>
      <c r="C169" s="240"/>
      <c r="D169" s="240"/>
      <c r="E169" s="240"/>
      <c r="F169" s="240"/>
      <c r="G169" s="240"/>
      <c r="H169" s="240"/>
    </row>
    <row r="170" spans="1:8">
      <c r="A170" s="240"/>
      <c r="B170" s="240"/>
      <c r="C170" s="240"/>
      <c r="D170" s="240"/>
      <c r="E170" s="240"/>
      <c r="F170" s="240"/>
      <c r="G170" s="240"/>
      <c r="H170" s="240"/>
    </row>
    <row r="171" spans="1:8">
      <c r="A171" s="240"/>
      <c r="B171" s="240"/>
      <c r="C171" s="240"/>
      <c r="D171" s="240"/>
      <c r="E171" s="240"/>
      <c r="F171" s="240"/>
      <c r="G171" s="240"/>
      <c r="H171" s="240"/>
    </row>
    <row r="172" spans="1:8">
      <c r="A172" s="240"/>
      <c r="B172" s="240"/>
      <c r="C172" s="240"/>
      <c r="D172" s="240"/>
      <c r="E172" s="240"/>
      <c r="F172" s="240"/>
      <c r="G172" s="240"/>
      <c r="H172" s="240"/>
    </row>
    <row r="173" spans="1:8">
      <c r="A173" s="240"/>
      <c r="B173" s="240"/>
      <c r="C173" s="240"/>
      <c r="D173" s="240"/>
      <c r="E173" s="240"/>
      <c r="F173" s="240"/>
      <c r="G173" s="240"/>
      <c r="H173" s="240"/>
    </row>
    <row r="174" spans="1:8">
      <c r="A174" s="240"/>
      <c r="B174" s="240"/>
      <c r="C174" s="240"/>
      <c r="D174" s="240"/>
      <c r="E174" s="240"/>
      <c r="F174" s="240"/>
      <c r="G174" s="240"/>
      <c r="H174" s="240"/>
    </row>
    <row r="175" spans="1:8">
      <c r="A175" s="240"/>
      <c r="B175" s="240"/>
      <c r="C175" s="240"/>
      <c r="D175" s="240"/>
      <c r="E175" s="240"/>
      <c r="F175" s="240"/>
      <c r="G175" s="240"/>
      <c r="H175" s="240"/>
    </row>
    <row r="176" spans="1:8">
      <c r="A176" s="240"/>
      <c r="B176" s="240"/>
      <c r="C176" s="240"/>
      <c r="D176" s="240"/>
      <c r="E176" s="240"/>
      <c r="F176" s="240"/>
      <c r="G176" s="240"/>
      <c r="H176" s="240"/>
    </row>
    <row r="177" spans="1:8">
      <c r="A177" s="240"/>
      <c r="B177" s="240"/>
      <c r="C177" s="240"/>
      <c r="D177" s="240"/>
      <c r="E177" s="240"/>
      <c r="F177" s="240"/>
      <c r="G177" s="240"/>
      <c r="H177" s="240"/>
    </row>
    <row r="178" spans="1:8">
      <c r="A178" s="240"/>
      <c r="B178" s="240"/>
      <c r="C178" s="240"/>
      <c r="D178" s="240"/>
      <c r="E178" s="240"/>
      <c r="F178" s="240"/>
      <c r="G178" s="240"/>
      <c r="H178" s="240"/>
    </row>
    <row r="179" spans="1:8">
      <c r="A179" s="240"/>
      <c r="B179" s="240"/>
      <c r="C179" s="240"/>
      <c r="D179" s="240"/>
      <c r="E179" s="240"/>
      <c r="F179" s="240"/>
      <c r="G179" s="240"/>
      <c r="H179" s="240"/>
    </row>
    <row r="180" spans="1:8">
      <c r="A180" s="240"/>
      <c r="B180" s="240"/>
      <c r="C180" s="240"/>
      <c r="D180" s="240"/>
      <c r="E180" s="240"/>
      <c r="F180" s="240"/>
      <c r="G180" s="240"/>
      <c r="H180" s="240"/>
    </row>
    <row r="181" spans="1:8">
      <c r="A181" s="240"/>
      <c r="B181" s="240"/>
      <c r="C181" s="240"/>
      <c r="D181" s="240"/>
      <c r="E181" s="240"/>
      <c r="F181" s="240"/>
      <c r="G181" s="240"/>
      <c r="H181" s="240"/>
    </row>
    <row r="182" spans="1:8">
      <c r="A182" s="240"/>
      <c r="B182" s="240"/>
      <c r="C182" s="240"/>
      <c r="D182" s="240"/>
      <c r="E182" s="240"/>
      <c r="F182" s="240"/>
      <c r="G182" s="240"/>
      <c r="H182" s="240"/>
    </row>
    <row r="183" spans="1:8">
      <c r="A183" s="240"/>
      <c r="B183" s="240"/>
      <c r="C183" s="240"/>
      <c r="D183" s="240"/>
      <c r="E183" s="240"/>
      <c r="F183" s="240"/>
      <c r="G183" s="240"/>
      <c r="H183" s="240"/>
    </row>
    <row r="184" spans="1:8">
      <c r="A184" s="240"/>
      <c r="B184" s="240"/>
      <c r="C184" s="240"/>
      <c r="D184" s="240"/>
      <c r="E184" s="240"/>
      <c r="F184" s="240"/>
      <c r="G184" s="240"/>
      <c r="H184" s="240"/>
    </row>
    <row r="185" spans="1:8">
      <c r="A185" s="240"/>
      <c r="B185" s="240"/>
      <c r="C185" s="240"/>
      <c r="D185" s="240"/>
      <c r="E185" s="240"/>
      <c r="F185" s="240"/>
      <c r="G185" s="240"/>
      <c r="H185" s="240"/>
    </row>
    <row r="186" spans="1:8">
      <c r="A186" s="240"/>
      <c r="B186" s="240"/>
      <c r="C186" s="240"/>
      <c r="D186" s="240"/>
      <c r="E186" s="240"/>
      <c r="F186" s="240"/>
      <c r="G186" s="240"/>
      <c r="H186" s="240"/>
    </row>
    <row r="187" spans="1:8">
      <c r="A187" s="240"/>
      <c r="B187" s="240"/>
      <c r="C187" s="240"/>
      <c r="D187" s="240"/>
      <c r="E187" s="240"/>
      <c r="F187" s="240"/>
      <c r="G187" s="240"/>
      <c r="H187" s="240"/>
    </row>
    <row r="188" spans="1:8">
      <c r="A188" s="240"/>
      <c r="B188" s="240"/>
      <c r="C188" s="240"/>
      <c r="D188" s="240"/>
      <c r="E188" s="240"/>
      <c r="F188" s="240"/>
      <c r="G188" s="240"/>
      <c r="H188" s="240"/>
    </row>
    <row r="189" spans="1:8">
      <c r="A189" s="240"/>
      <c r="B189" s="240"/>
      <c r="C189" s="240"/>
      <c r="D189" s="240"/>
      <c r="E189" s="240"/>
      <c r="F189" s="240"/>
      <c r="G189" s="240"/>
      <c r="H189" s="240"/>
    </row>
    <row r="190" spans="1:8">
      <c r="A190" s="240"/>
      <c r="B190" s="240"/>
      <c r="C190" s="240"/>
      <c r="D190" s="240"/>
      <c r="E190" s="240"/>
      <c r="F190" s="240"/>
      <c r="G190" s="240"/>
      <c r="H190" s="240"/>
    </row>
    <row r="191" spans="1:8">
      <c r="A191" s="240"/>
      <c r="B191" s="240"/>
      <c r="C191" s="240"/>
      <c r="D191" s="240"/>
      <c r="E191" s="240"/>
      <c r="F191" s="240"/>
      <c r="G191" s="240"/>
      <c r="H191" s="240"/>
    </row>
    <row r="192" spans="1:8">
      <c r="A192" s="240"/>
      <c r="B192" s="240"/>
      <c r="C192" s="240"/>
      <c r="D192" s="240"/>
      <c r="E192" s="240"/>
      <c r="F192" s="240"/>
      <c r="G192" s="240"/>
      <c r="H192" s="240"/>
    </row>
    <row r="193" spans="1:8">
      <c r="A193" s="240"/>
      <c r="B193" s="240"/>
      <c r="C193" s="240"/>
      <c r="D193" s="240"/>
      <c r="E193" s="240"/>
      <c r="F193" s="240"/>
      <c r="G193" s="240"/>
      <c r="H193" s="240"/>
    </row>
    <row r="194" spans="1:8" ht="15.75">
      <c r="A194" s="242" t="s">
        <v>379</v>
      </c>
      <c r="B194" s="240"/>
      <c r="C194" s="240"/>
      <c r="D194" s="240"/>
      <c r="E194" s="240"/>
      <c r="F194" s="240"/>
      <c r="G194" s="240"/>
      <c r="H194" s="240"/>
    </row>
    <row r="195" spans="1:8">
      <c r="A195" s="240"/>
      <c r="B195" s="240"/>
      <c r="C195" s="240"/>
      <c r="D195" s="240"/>
      <c r="E195" s="240"/>
      <c r="F195" s="240"/>
      <c r="G195" s="240"/>
      <c r="H195" s="240"/>
    </row>
    <row r="196" spans="1:8">
      <c r="A196" s="241" t="s">
        <v>540</v>
      </c>
      <c r="B196" s="240"/>
      <c r="C196" s="240"/>
      <c r="D196" s="240"/>
      <c r="E196" s="240"/>
      <c r="F196" s="240"/>
      <c r="G196" s="240"/>
      <c r="H196" s="240"/>
    </row>
    <row r="197" spans="1:8">
      <c r="A197" s="241" t="s">
        <v>541</v>
      </c>
      <c r="B197" s="240"/>
      <c r="C197" s="240"/>
      <c r="D197" s="240"/>
      <c r="E197" s="240"/>
      <c r="F197" s="240"/>
      <c r="G197" s="240"/>
      <c r="H197" s="240"/>
    </row>
    <row r="198" spans="1:8">
      <c r="A198" s="241" t="s">
        <v>542</v>
      </c>
      <c r="B198" s="240"/>
      <c r="C198" s="240"/>
      <c r="D198" s="240"/>
      <c r="E198" s="240"/>
      <c r="F198" s="240"/>
      <c r="G198" s="240"/>
      <c r="H198" s="240"/>
    </row>
    <row r="199" spans="1:8">
      <c r="A199" s="241" t="s">
        <v>543</v>
      </c>
      <c r="B199" s="240"/>
      <c r="C199" s="240"/>
      <c r="D199" s="240"/>
      <c r="E199" s="240"/>
      <c r="F199" s="240"/>
      <c r="G199" s="240"/>
      <c r="H199" s="240"/>
    </row>
    <row r="200" spans="1:8">
      <c r="A200" s="241" t="s">
        <v>544</v>
      </c>
      <c r="B200" s="240"/>
      <c r="C200" s="240"/>
      <c r="D200" s="240"/>
      <c r="E200" s="240"/>
      <c r="F200" s="240"/>
      <c r="G200" s="240"/>
      <c r="H200" s="240"/>
    </row>
    <row r="201" spans="1:8">
      <c r="A201" s="240"/>
      <c r="B201" s="240"/>
      <c r="C201" s="240"/>
      <c r="D201" s="240"/>
      <c r="E201" s="240"/>
      <c r="F201" s="240"/>
      <c r="G201" s="240"/>
      <c r="H201" s="240"/>
    </row>
    <row r="202" spans="1:8">
      <c r="A202" s="241" t="s">
        <v>537</v>
      </c>
      <c r="B202" s="240"/>
      <c r="C202" s="240"/>
      <c r="D202" s="240"/>
      <c r="E202" s="240"/>
      <c r="F202" s="240"/>
      <c r="G202" s="240"/>
      <c r="H202" s="240"/>
    </row>
    <row r="203" spans="1:8">
      <c r="A203" s="241" t="s">
        <v>538</v>
      </c>
      <c r="B203" s="240"/>
      <c r="C203" s="240"/>
      <c r="D203" s="240"/>
      <c r="E203" s="240"/>
      <c r="F203" s="240"/>
      <c r="G203" s="240"/>
      <c r="H203" s="240"/>
    </row>
    <row r="204" spans="1:8">
      <c r="A204" s="241" t="s">
        <v>539</v>
      </c>
      <c r="B204" s="240"/>
      <c r="C204" s="240"/>
      <c r="D204" s="240"/>
      <c r="E204" s="240"/>
      <c r="F204" s="240"/>
      <c r="G204" s="240"/>
      <c r="H204" s="240"/>
    </row>
    <row r="205" spans="1:8" ht="15.75">
      <c r="A205" s="242" t="s">
        <v>380</v>
      </c>
      <c r="B205" s="240"/>
      <c r="C205" s="240"/>
      <c r="D205" s="240"/>
      <c r="E205" s="240"/>
      <c r="F205" s="240"/>
      <c r="G205" s="240"/>
      <c r="H205" s="240"/>
    </row>
    <row r="206" spans="1:8">
      <c r="A206" s="240"/>
      <c r="B206" s="240"/>
      <c r="C206" s="240"/>
      <c r="D206" s="240"/>
      <c r="E206" s="240"/>
      <c r="F206" s="240"/>
      <c r="G206" s="240"/>
      <c r="H206" s="240"/>
    </row>
    <row r="207" spans="1:8">
      <c r="A207" s="241" t="s">
        <v>535</v>
      </c>
      <c r="B207" s="240"/>
      <c r="C207" s="240"/>
      <c r="D207" s="240"/>
      <c r="E207" s="240"/>
      <c r="F207" s="240"/>
      <c r="G207" s="240"/>
      <c r="H207" s="240"/>
    </row>
    <row r="208" spans="1:8">
      <c r="A208" s="241" t="s">
        <v>536</v>
      </c>
      <c r="B208" s="240"/>
      <c r="C208" s="240"/>
      <c r="D208" s="240"/>
      <c r="E208" s="240"/>
      <c r="F208" s="240"/>
      <c r="G208" s="240"/>
      <c r="H208" s="240"/>
    </row>
    <row r="209" spans="1:8">
      <c r="A209" s="240"/>
      <c r="B209" s="240"/>
      <c r="C209" s="240"/>
      <c r="D209" s="240"/>
      <c r="E209" s="240"/>
      <c r="F209" s="240"/>
      <c r="G209" s="240"/>
      <c r="H209" s="240"/>
    </row>
    <row r="210" spans="1:8">
      <c r="A210" s="241" t="s">
        <v>528</v>
      </c>
      <c r="B210" s="240"/>
      <c r="C210" s="240"/>
      <c r="D210" s="240"/>
      <c r="E210" s="240"/>
      <c r="F210" s="240"/>
      <c r="G210" s="240"/>
      <c r="H210" s="240"/>
    </row>
    <row r="211" spans="1:8">
      <c r="A211" s="241" t="s">
        <v>529</v>
      </c>
      <c r="B211" s="240"/>
      <c r="C211" s="240"/>
      <c r="D211" s="240"/>
      <c r="E211" s="240"/>
      <c r="F211" s="240"/>
      <c r="G211" s="240"/>
      <c r="H211" s="240"/>
    </row>
    <row r="212" spans="1:8">
      <c r="A212" s="241" t="s">
        <v>530</v>
      </c>
      <c r="B212" s="240"/>
      <c r="C212" s="240"/>
      <c r="D212" s="240"/>
      <c r="E212" s="240"/>
      <c r="F212" s="240"/>
      <c r="G212" s="240"/>
      <c r="H212" s="240"/>
    </row>
    <row r="213" spans="1:8">
      <c r="A213" s="241" t="s">
        <v>531</v>
      </c>
      <c r="B213" s="240"/>
      <c r="C213" s="240"/>
      <c r="D213" s="240"/>
      <c r="E213" s="240"/>
      <c r="F213" s="240"/>
      <c r="G213" s="240"/>
      <c r="H213" s="240"/>
    </row>
    <row r="214" spans="1:8">
      <c r="A214" s="241" t="s">
        <v>532</v>
      </c>
      <c r="B214" s="240"/>
      <c r="C214" s="240"/>
      <c r="D214" s="240"/>
      <c r="E214" s="240"/>
      <c r="F214" s="240"/>
      <c r="G214" s="240"/>
      <c r="H214" s="240"/>
    </row>
    <row r="215" spans="1:8">
      <c r="A215" s="241" t="s">
        <v>533</v>
      </c>
      <c r="B215" s="240"/>
      <c r="C215" s="240"/>
      <c r="D215" s="240"/>
      <c r="E215" s="240"/>
      <c r="F215" s="240"/>
      <c r="G215" s="240"/>
      <c r="H215" s="240"/>
    </row>
    <row r="216" spans="1:8">
      <c r="A216" s="241" t="s">
        <v>534</v>
      </c>
      <c r="B216" s="240"/>
      <c r="C216" s="240"/>
      <c r="D216" s="240"/>
      <c r="E216" s="240"/>
      <c r="F216" s="240"/>
      <c r="G216" s="240"/>
      <c r="H216" s="240"/>
    </row>
    <row r="217" spans="1:8">
      <c r="A217" s="240"/>
      <c r="B217" s="240"/>
      <c r="C217" s="240"/>
      <c r="D217" s="240"/>
      <c r="E217" s="240"/>
      <c r="F217" s="240"/>
      <c r="G217" s="240"/>
      <c r="H217" s="240"/>
    </row>
    <row r="218" spans="1:8">
      <c r="A218" s="241" t="s">
        <v>525</v>
      </c>
      <c r="B218" s="240"/>
      <c r="C218" s="240"/>
      <c r="D218" s="240"/>
      <c r="E218" s="240"/>
      <c r="F218" s="240"/>
      <c r="G218" s="240"/>
      <c r="H218" s="240"/>
    </row>
    <row r="219" spans="1:8">
      <c r="A219" s="241" t="s">
        <v>526</v>
      </c>
      <c r="B219" s="240"/>
      <c r="C219" s="240"/>
      <c r="D219" s="240"/>
      <c r="E219" s="240"/>
      <c r="F219" s="240"/>
      <c r="G219" s="240"/>
      <c r="H219" s="240"/>
    </row>
    <row r="220" spans="1:8">
      <c r="A220" s="241" t="s">
        <v>527</v>
      </c>
      <c r="B220" s="240"/>
      <c r="C220" s="240"/>
      <c r="D220" s="240"/>
      <c r="E220" s="240"/>
      <c r="F220" s="240"/>
      <c r="G220" s="240"/>
      <c r="H220" s="240"/>
    </row>
    <row r="221" spans="1:8">
      <c r="A221" s="240"/>
      <c r="B221" s="240"/>
      <c r="C221" s="240"/>
      <c r="D221" s="240"/>
      <c r="E221" s="240"/>
      <c r="F221" s="240"/>
      <c r="G221" s="240"/>
      <c r="H221" s="240"/>
    </row>
    <row r="222" spans="1:8">
      <c r="A222" s="241" t="s">
        <v>520</v>
      </c>
      <c r="B222" s="240"/>
      <c r="C222" s="240"/>
      <c r="D222" s="240"/>
      <c r="E222" s="240"/>
      <c r="F222" s="240"/>
      <c r="G222" s="240"/>
      <c r="H222" s="240"/>
    </row>
    <row r="223" spans="1:8">
      <c r="A223" s="241" t="s">
        <v>521</v>
      </c>
      <c r="B223" s="240"/>
      <c r="C223" s="240"/>
      <c r="D223" s="240"/>
      <c r="E223" s="240"/>
      <c r="F223" s="240"/>
      <c r="G223" s="240"/>
      <c r="H223" s="240"/>
    </row>
    <row r="224" spans="1:8">
      <c r="A224" s="241" t="s">
        <v>522</v>
      </c>
      <c r="B224" s="240"/>
      <c r="C224" s="240"/>
      <c r="D224" s="240"/>
      <c r="E224" s="240"/>
      <c r="F224" s="240"/>
      <c r="G224" s="240"/>
      <c r="H224" s="240"/>
    </row>
    <row r="225" spans="1:8">
      <c r="A225" s="241" t="s">
        <v>523</v>
      </c>
      <c r="B225" s="240"/>
      <c r="C225" s="240"/>
      <c r="D225" s="240"/>
      <c r="E225" s="240"/>
      <c r="F225" s="240"/>
      <c r="G225" s="240"/>
      <c r="H225" s="240"/>
    </row>
    <row r="226" spans="1:8">
      <c r="A226" s="241" t="s">
        <v>524</v>
      </c>
      <c r="B226" s="240"/>
      <c r="C226" s="240"/>
      <c r="D226" s="240"/>
      <c r="E226" s="240"/>
      <c r="F226" s="240"/>
      <c r="G226" s="240"/>
      <c r="H226" s="240"/>
    </row>
    <row r="227" spans="1:8">
      <c r="A227" s="240"/>
      <c r="B227" s="240"/>
      <c r="C227" s="240"/>
      <c r="D227" s="240"/>
      <c r="E227" s="240"/>
      <c r="F227" s="240"/>
      <c r="G227" s="240"/>
      <c r="H227" s="240"/>
    </row>
    <row r="228" spans="1:8">
      <c r="A228" s="241" t="s">
        <v>514</v>
      </c>
      <c r="B228" s="240"/>
      <c r="C228" s="240"/>
      <c r="D228" s="240"/>
      <c r="E228" s="240"/>
      <c r="F228" s="240"/>
      <c r="G228" s="240"/>
      <c r="H228" s="240"/>
    </row>
    <row r="229" spans="1:8">
      <c r="A229" s="241" t="s">
        <v>515</v>
      </c>
      <c r="B229" s="240"/>
      <c r="C229" s="240"/>
      <c r="D229" s="240"/>
      <c r="E229" s="240"/>
      <c r="F229" s="240"/>
      <c r="G229" s="240"/>
      <c r="H229" s="240"/>
    </row>
    <row r="230" spans="1:8">
      <c r="A230" s="241" t="s">
        <v>516</v>
      </c>
      <c r="B230" s="240"/>
      <c r="C230" s="240"/>
      <c r="D230" s="240"/>
      <c r="E230" s="240"/>
      <c r="F230" s="240"/>
      <c r="G230" s="240"/>
      <c r="H230" s="240"/>
    </row>
    <row r="231" spans="1:8">
      <c r="A231" s="241" t="s">
        <v>517</v>
      </c>
      <c r="B231" s="240"/>
      <c r="C231" s="240"/>
      <c r="D231" s="240"/>
      <c r="E231" s="240"/>
      <c r="F231" s="240"/>
      <c r="G231" s="240"/>
      <c r="H231" s="240"/>
    </row>
    <row r="232" spans="1:8">
      <c r="A232" s="241" t="s">
        <v>518</v>
      </c>
      <c r="B232" s="240"/>
      <c r="C232" s="240"/>
      <c r="D232" s="240"/>
      <c r="E232" s="240"/>
      <c r="F232" s="240"/>
      <c r="G232" s="240"/>
      <c r="H232" s="240"/>
    </row>
    <row r="233" spans="1:8">
      <c r="A233" s="241" t="s">
        <v>519</v>
      </c>
      <c r="B233" s="240"/>
      <c r="C233" s="240"/>
      <c r="D233" s="240"/>
      <c r="E233" s="240"/>
      <c r="F233" s="240"/>
      <c r="G233" s="240"/>
      <c r="H233" s="240"/>
    </row>
    <row r="234" spans="1:8">
      <c r="A234" s="240"/>
      <c r="B234" s="240"/>
      <c r="C234" s="240"/>
      <c r="D234" s="240"/>
      <c r="E234" s="240"/>
      <c r="F234" s="240"/>
      <c r="G234" s="240"/>
      <c r="H234" s="240"/>
    </row>
    <row r="235" spans="1:8">
      <c r="A235" s="241" t="s">
        <v>504</v>
      </c>
      <c r="B235" s="240"/>
      <c r="C235" s="240"/>
      <c r="D235" s="240"/>
      <c r="E235" s="240"/>
      <c r="F235" s="240"/>
      <c r="G235" s="240"/>
      <c r="H235" s="240"/>
    </row>
    <row r="236" spans="1:8">
      <c r="A236" s="241" t="s">
        <v>505</v>
      </c>
      <c r="B236" s="240"/>
      <c r="C236" s="240"/>
      <c r="D236" s="240"/>
      <c r="E236" s="240"/>
      <c r="F236" s="240"/>
      <c r="G236" s="240"/>
      <c r="H236" s="240"/>
    </row>
    <row r="237" spans="1:8">
      <c r="A237" s="241" t="s">
        <v>506</v>
      </c>
      <c r="B237" s="240"/>
      <c r="C237" s="240"/>
      <c r="D237" s="240"/>
      <c r="E237" s="240"/>
      <c r="F237" s="240"/>
      <c r="G237" s="240"/>
      <c r="H237" s="240"/>
    </row>
    <row r="238" spans="1:8">
      <c r="A238" s="241" t="s">
        <v>507</v>
      </c>
      <c r="B238" s="240"/>
      <c r="C238" s="240"/>
      <c r="D238" s="240"/>
      <c r="E238" s="240"/>
      <c r="F238" s="240"/>
      <c r="G238" s="240"/>
      <c r="H238" s="240"/>
    </row>
    <row r="239" spans="1:8">
      <c r="A239" s="241" t="s">
        <v>508</v>
      </c>
      <c r="B239" s="240"/>
      <c r="C239" s="240"/>
      <c r="D239" s="240"/>
      <c r="E239" s="240"/>
      <c r="F239" s="240"/>
      <c r="G239" s="240"/>
      <c r="H239" s="240"/>
    </row>
    <row r="240" spans="1:8">
      <c r="A240" s="241" t="s">
        <v>509</v>
      </c>
      <c r="B240" s="240"/>
      <c r="C240" s="240"/>
      <c r="D240" s="240"/>
      <c r="E240" s="240"/>
      <c r="F240" s="240"/>
      <c r="G240" s="240"/>
      <c r="H240" s="240"/>
    </row>
    <row r="241" spans="1:8">
      <c r="A241" s="241" t="s">
        <v>510</v>
      </c>
      <c r="B241" s="240"/>
      <c r="C241" s="240"/>
      <c r="D241" s="240"/>
      <c r="E241" s="240"/>
      <c r="F241" s="240"/>
      <c r="G241" s="240"/>
      <c r="H241" s="240"/>
    </row>
    <row r="242" spans="1:8">
      <c r="A242" s="241" t="s">
        <v>511</v>
      </c>
      <c r="B242" s="240"/>
      <c r="C242" s="240"/>
      <c r="D242" s="240"/>
      <c r="E242" s="240"/>
      <c r="F242" s="240"/>
      <c r="G242" s="240"/>
      <c r="H242" s="240"/>
    </row>
    <row r="243" spans="1:8">
      <c r="A243" s="241" t="s">
        <v>512</v>
      </c>
      <c r="B243" s="240"/>
      <c r="C243" s="240"/>
      <c r="D243" s="240"/>
      <c r="E243" s="240"/>
      <c r="F243" s="240"/>
      <c r="G243" s="240"/>
      <c r="H243" s="240"/>
    </row>
    <row r="244" spans="1:8">
      <c r="A244" s="241" t="s">
        <v>513</v>
      </c>
      <c r="B244" s="240"/>
      <c r="C244" s="240"/>
      <c r="D244" s="240"/>
      <c r="E244" s="240"/>
      <c r="F244" s="240"/>
      <c r="G244" s="240"/>
      <c r="H244" s="240"/>
    </row>
    <row r="245" spans="1:8">
      <c r="A245" s="240"/>
      <c r="B245" s="240"/>
      <c r="C245" s="240"/>
      <c r="D245" s="240"/>
      <c r="E245" s="240"/>
      <c r="F245" s="240"/>
      <c r="G245" s="240"/>
      <c r="H245" s="240"/>
    </row>
    <row r="246" spans="1:8">
      <c r="A246" s="241" t="s">
        <v>502</v>
      </c>
      <c r="B246" s="240"/>
      <c r="C246" s="240"/>
      <c r="D246" s="240"/>
      <c r="E246" s="240"/>
      <c r="F246" s="240"/>
      <c r="G246" s="240"/>
      <c r="H246" s="240"/>
    </row>
    <row r="247" spans="1:8">
      <c r="A247" s="241" t="s">
        <v>503</v>
      </c>
      <c r="B247" s="240"/>
      <c r="C247" s="240"/>
      <c r="D247" s="240"/>
      <c r="E247" s="240"/>
      <c r="F247" s="240"/>
      <c r="G247" s="240"/>
      <c r="H247" s="240"/>
    </row>
    <row r="248" spans="1:8">
      <c r="A248" s="240"/>
      <c r="B248" s="240"/>
      <c r="C248" s="240"/>
      <c r="D248" s="240"/>
      <c r="E248" s="240"/>
      <c r="F248" s="240"/>
      <c r="G248" s="240"/>
      <c r="H248" s="240"/>
    </row>
    <row r="249" spans="1:8">
      <c r="A249" s="241" t="s">
        <v>486</v>
      </c>
      <c r="B249" s="240"/>
      <c r="C249" s="240"/>
      <c r="D249" s="240"/>
      <c r="E249" s="240"/>
      <c r="F249" s="240"/>
      <c r="G249" s="240"/>
      <c r="H249" s="240"/>
    </row>
    <row r="250" spans="1:8">
      <c r="A250" s="241" t="s">
        <v>487</v>
      </c>
      <c r="B250" s="240"/>
      <c r="C250" s="240"/>
      <c r="D250" s="240"/>
      <c r="E250" s="240"/>
      <c r="F250" s="240"/>
      <c r="G250" s="240"/>
      <c r="H250" s="240"/>
    </row>
    <row r="251" spans="1:8">
      <c r="A251" s="241" t="s">
        <v>488</v>
      </c>
      <c r="B251" s="240"/>
      <c r="C251" s="240"/>
      <c r="D251" s="240"/>
      <c r="E251" s="240"/>
      <c r="F251" s="240"/>
      <c r="G251" s="240"/>
      <c r="H251" s="240"/>
    </row>
    <row r="252" spans="1:8">
      <c r="A252" s="241" t="s">
        <v>489</v>
      </c>
      <c r="B252" s="240"/>
      <c r="C252" s="240"/>
      <c r="D252" s="240"/>
      <c r="E252" s="240"/>
      <c r="F252" s="240"/>
      <c r="G252" s="240"/>
      <c r="H252" s="240"/>
    </row>
    <row r="253" spans="1:8">
      <c r="A253" s="241" t="s">
        <v>490</v>
      </c>
      <c r="B253" s="240"/>
      <c r="C253" s="240"/>
      <c r="D253" s="240"/>
      <c r="E253" s="240"/>
      <c r="F253" s="240"/>
      <c r="G253" s="240"/>
      <c r="H253" s="240"/>
    </row>
    <row r="254" spans="1:8">
      <c r="A254" s="241" t="s">
        <v>491</v>
      </c>
      <c r="B254" s="240"/>
      <c r="C254" s="240"/>
      <c r="D254" s="240"/>
      <c r="E254" s="240"/>
      <c r="F254" s="240"/>
      <c r="G254" s="240"/>
      <c r="H254" s="240"/>
    </row>
    <row r="255" spans="1:8">
      <c r="A255" s="241" t="s">
        <v>492</v>
      </c>
      <c r="B255" s="240"/>
      <c r="C255" s="240"/>
      <c r="D255" s="240"/>
      <c r="E255" s="240"/>
      <c r="F255" s="240"/>
      <c r="G255" s="240"/>
      <c r="H255" s="240"/>
    </row>
    <row r="256" spans="1:8">
      <c r="A256" s="241" t="s">
        <v>493</v>
      </c>
      <c r="B256" s="240"/>
      <c r="C256" s="240"/>
      <c r="D256" s="240"/>
      <c r="E256" s="240"/>
      <c r="F256" s="240"/>
      <c r="G256" s="240"/>
      <c r="H256" s="240"/>
    </row>
    <row r="257" spans="1:8">
      <c r="A257" s="241" t="s">
        <v>494</v>
      </c>
      <c r="B257" s="240"/>
      <c r="C257" s="240"/>
      <c r="D257" s="240"/>
      <c r="E257" s="240"/>
      <c r="F257" s="240"/>
      <c r="G257" s="240"/>
      <c r="H257" s="240"/>
    </row>
    <row r="258" spans="1:8">
      <c r="A258" s="241" t="s">
        <v>495</v>
      </c>
      <c r="B258" s="240"/>
      <c r="C258" s="240"/>
      <c r="D258" s="240"/>
      <c r="E258" s="240"/>
      <c r="F258" s="240"/>
      <c r="G258" s="240"/>
      <c r="H258" s="240"/>
    </row>
    <row r="259" spans="1:8">
      <c r="A259" s="241" t="s">
        <v>496</v>
      </c>
      <c r="B259" s="240"/>
      <c r="C259" s="240"/>
      <c r="D259" s="240"/>
      <c r="E259" s="240"/>
      <c r="F259" s="240"/>
      <c r="G259" s="240"/>
      <c r="H259" s="240"/>
    </row>
    <row r="260" spans="1:8">
      <c r="A260" s="241" t="s">
        <v>497</v>
      </c>
      <c r="B260" s="240"/>
      <c r="C260" s="240"/>
      <c r="D260" s="240"/>
      <c r="E260" s="240"/>
      <c r="F260" s="240"/>
      <c r="G260" s="240"/>
      <c r="H260" s="240"/>
    </row>
    <row r="261" spans="1:8">
      <c r="A261" s="241" t="s">
        <v>498</v>
      </c>
      <c r="B261" s="240"/>
      <c r="C261" s="240"/>
      <c r="D261" s="240"/>
      <c r="E261" s="240"/>
      <c r="F261" s="240"/>
      <c r="G261" s="240"/>
      <c r="H261" s="240"/>
    </row>
    <row r="262" spans="1:8">
      <c r="A262" s="241" t="s">
        <v>499</v>
      </c>
      <c r="B262" s="240"/>
      <c r="C262" s="240"/>
      <c r="D262" s="240"/>
      <c r="E262" s="240"/>
      <c r="F262" s="240"/>
      <c r="G262" s="240"/>
      <c r="H262" s="240"/>
    </row>
    <row r="263" spans="1:8">
      <c r="A263" s="241" t="s">
        <v>500</v>
      </c>
      <c r="B263" s="240"/>
      <c r="C263" s="240"/>
      <c r="D263" s="240"/>
      <c r="E263" s="240"/>
      <c r="F263" s="240"/>
      <c r="G263" s="240"/>
      <c r="H263" s="240"/>
    </row>
    <row r="264" spans="1:8">
      <c r="A264" s="241" t="s">
        <v>501</v>
      </c>
      <c r="B264" s="240"/>
      <c r="C264" s="240"/>
      <c r="D264" s="240"/>
      <c r="E264" s="240"/>
      <c r="F264" s="240"/>
      <c r="G264" s="240"/>
      <c r="H264" s="240"/>
    </row>
    <row r="265" spans="1:8">
      <c r="A265" s="240"/>
      <c r="B265" s="240"/>
      <c r="C265" s="240"/>
      <c r="D265" s="240"/>
      <c r="E265" s="240"/>
      <c r="F265" s="240"/>
      <c r="G265" s="240"/>
      <c r="H265" s="240"/>
    </row>
    <row r="266" spans="1:8">
      <c r="A266" s="241" t="s">
        <v>479</v>
      </c>
      <c r="B266" s="240"/>
      <c r="C266" s="240"/>
      <c r="D266" s="240"/>
      <c r="E266" s="240"/>
      <c r="F266" s="240"/>
      <c r="G266" s="240"/>
      <c r="H266" s="240"/>
    </row>
    <row r="267" spans="1:8">
      <c r="A267" s="241" t="s">
        <v>480</v>
      </c>
      <c r="B267" s="240"/>
      <c r="C267" s="240"/>
      <c r="D267" s="240"/>
      <c r="E267" s="240"/>
      <c r="F267" s="240"/>
      <c r="G267" s="240"/>
      <c r="H267" s="240"/>
    </row>
    <row r="268" spans="1:8">
      <c r="A268" s="241" t="s">
        <v>481</v>
      </c>
      <c r="B268" s="240"/>
      <c r="C268" s="240"/>
      <c r="D268" s="240"/>
      <c r="E268" s="240"/>
      <c r="F268" s="240"/>
      <c r="G268" s="240"/>
      <c r="H268" s="240"/>
    </row>
    <row r="269" spans="1:8">
      <c r="A269" s="241" t="s">
        <v>482</v>
      </c>
      <c r="B269" s="240"/>
      <c r="C269" s="240"/>
      <c r="D269" s="240"/>
      <c r="E269" s="240"/>
      <c r="F269" s="240"/>
      <c r="G269" s="240"/>
      <c r="H269" s="240"/>
    </row>
    <row r="270" spans="1:8">
      <c r="A270" s="241" t="s">
        <v>483</v>
      </c>
      <c r="B270" s="240"/>
      <c r="C270" s="240"/>
      <c r="D270" s="240"/>
      <c r="E270" s="240"/>
      <c r="F270" s="240"/>
      <c r="G270" s="240"/>
      <c r="H270" s="240"/>
    </row>
    <row r="271" spans="1:8">
      <c r="A271" s="241" t="s">
        <v>484</v>
      </c>
      <c r="B271" s="240"/>
      <c r="C271" s="240"/>
      <c r="D271" s="240"/>
      <c r="E271" s="240"/>
      <c r="F271" s="240"/>
      <c r="G271" s="240"/>
      <c r="H271" s="240"/>
    </row>
    <row r="272" spans="1:8">
      <c r="A272" s="241" t="s">
        <v>485</v>
      </c>
      <c r="B272" s="240"/>
      <c r="C272" s="240"/>
      <c r="D272" s="240"/>
      <c r="E272" s="240"/>
      <c r="F272" s="240"/>
      <c r="G272" s="240"/>
      <c r="H272" s="240"/>
    </row>
    <row r="273" spans="1:8">
      <c r="A273" s="240"/>
      <c r="B273" s="240"/>
      <c r="C273" s="240"/>
      <c r="D273" s="240"/>
      <c r="E273" s="240"/>
      <c r="F273" s="240"/>
      <c r="G273" s="240"/>
      <c r="H273" s="240"/>
    </row>
    <row r="274" spans="1:8">
      <c r="A274" s="241" t="s">
        <v>470</v>
      </c>
      <c r="B274" s="240"/>
      <c r="C274" s="240"/>
      <c r="D274" s="240"/>
      <c r="E274" s="240"/>
      <c r="F274" s="240"/>
      <c r="G274" s="240"/>
      <c r="H274" s="240"/>
    </row>
    <row r="275" spans="1:8">
      <c r="A275" s="241" t="s">
        <v>471</v>
      </c>
      <c r="B275" s="240"/>
      <c r="C275" s="240"/>
      <c r="D275" s="240"/>
      <c r="E275" s="240"/>
      <c r="F275" s="240"/>
      <c r="G275" s="240"/>
      <c r="H275" s="240"/>
    </row>
    <row r="276" spans="1:8">
      <c r="A276" s="241" t="s">
        <v>472</v>
      </c>
      <c r="B276" s="240"/>
      <c r="C276" s="240"/>
      <c r="D276" s="240"/>
      <c r="E276" s="240"/>
      <c r="F276" s="240"/>
      <c r="G276" s="240"/>
      <c r="H276" s="240"/>
    </row>
    <row r="277" spans="1:8">
      <c r="A277" s="241" t="s">
        <v>473</v>
      </c>
      <c r="B277" s="240"/>
      <c r="C277" s="240"/>
      <c r="D277" s="240"/>
      <c r="E277" s="240"/>
      <c r="F277" s="240"/>
      <c r="G277" s="240"/>
      <c r="H277" s="240"/>
    </row>
    <row r="278" spans="1:8">
      <c r="A278" s="241" t="s">
        <v>474</v>
      </c>
      <c r="B278" s="240"/>
      <c r="C278" s="240"/>
      <c r="D278" s="240"/>
      <c r="E278" s="240"/>
      <c r="F278" s="240"/>
      <c r="G278" s="240"/>
      <c r="H278" s="240"/>
    </row>
    <row r="279" spans="1:8">
      <c r="A279" s="241" t="s">
        <v>475</v>
      </c>
      <c r="B279" s="240"/>
      <c r="C279" s="240"/>
      <c r="D279" s="240"/>
      <c r="E279" s="240"/>
      <c r="F279" s="240"/>
      <c r="G279" s="240"/>
      <c r="H279" s="240"/>
    </row>
    <row r="280" spans="1:8">
      <c r="A280" s="241" t="s">
        <v>476</v>
      </c>
      <c r="B280" s="240"/>
      <c r="C280" s="240"/>
      <c r="D280" s="240"/>
      <c r="E280" s="240"/>
      <c r="F280" s="240"/>
      <c r="G280" s="240"/>
      <c r="H280" s="240"/>
    </row>
    <row r="281" spans="1:8">
      <c r="A281" s="241" t="s">
        <v>477</v>
      </c>
      <c r="B281" s="240"/>
      <c r="C281" s="240"/>
      <c r="D281" s="240"/>
      <c r="E281" s="240"/>
      <c r="F281" s="240"/>
      <c r="G281" s="240"/>
      <c r="H281" s="240"/>
    </row>
    <row r="282" spans="1:8">
      <c r="A282" s="241" t="s">
        <v>478</v>
      </c>
      <c r="B282" s="240"/>
      <c r="C282" s="240"/>
      <c r="D282" s="240"/>
      <c r="E282" s="240"/>
      <c r="F282" s="240"/>
      <c r="G282" s="240"/>
      <c r="H282" s="240"/>
    </row>
    <row r="283" spans="1:8">
      <c r="A283" s="240"/>
      <c r="B283" s="240"/>
      <c r="C283" s="240"/>
      <c r="D283" s="240"/>
      <c r="E283" s="240"/>
      <c r="F283" s="240"/>
      <c r="G283" s="240"/>
      <c r="H283" s="240"/>
    </row>
    <row r="284" spans="1:8">
      <c r="A284" s="241" t="s">
        <v>463</v>
      </c>
      <c r="B284" s="240"/>
      <c r="C284" s="240"/>
      <c r="D284" s="240"/>
      <c r="E284" s="240"/>
      <c r="F284" s="240"/>
      <c r="G284" s="240"/>
      <c r="H284" s="240"/>
    </row>
    <row r="285" spans="1:8">
      <c r="A285" s="241" t="s">
        <v>464</v>
      </c>
      <c r="B285" s="240"/>
      <c r="C285" s="240"/>
      <c r="D285" s="240"/>
      <c r="E285" s="240"/>
      <c r="F285" s="240"/>
      <c r="G285" s="240"/>
      <c r="H285" s="240"/>
    </row>
    <row r="286" spans="1:8">
      <c r="A286" s="241" t="s">
        <v>465</v>
      </c>
      <c r="B286" s="240"/>
      <c r="C286" s="240"/>
      <c r="D286" s="240"/>
      <c r="E286" s="240"/>
      <c r="F286" s="240"/>
      <c r="G286" s="240"/>
      <c r="H286" s="240"/>
    </row>
    <row r="287" spans="1:8">
      <c r="A287" s="241" t="s">
        <v>466</v>
      </c>
      <c r="B287" s="240"/>
      <c r="C287" s="240"/>
      <c r="D287" s="240"/>
      <c r="E287" s="240"/>
      <c r="F287" s="240"/>
      <c r="G287" s="240"/>
      <c r="H287" s="240"/>
    </row>
    <row r="288" spans="1:8">
      <c r="A288" s="241" t="s">
        <v>467</v>
      </c>
      <c r="B288" s="240"/>
      <c r="C288" s="240"/>
      <c r="D288" s="240"/>
      <c r="E288" s="240"/>
      <c r="F288" s="240"/>
      <c r="G288" s="240"/>
      <c r="H288" s="240"/>
    </row>
    <row r="289" spans="1:8">
      <c r="A289" s="241" t="s">
        <v>468</v>
      </c>
      <c r="B289" s="240"/>
      <c r="C289" s="240"/>
      <c r="D289" s="240"/>
      <c r="E289" s="240"/>
      <c r="F289" s="240"/>
      <c r="G289" s="240"/>
      <c r="H289" s="240"/>
    </row>
    <row r="290" spans="1:8">
      <c r="A290" s="241" t="s">
        <v>469</v>
      </c>
      <c r="B290" s="240"/>
      <c r="C290" s="240"/>
      <c r="D290" s="240"/>
      <c r="E290" s="240"/>
      <c r="F290" s="240"/>
      <c r="G290" s="240"/>
      <c r="H290" s="240"/>
    </row>
    <row r="291" spans="1:8">
      <c r="A291" s="240"/>
      <c r="B291" s="240"/>
      <c r="C291" s="240"/>
      <c r="D291" s="240"/>
      <c r="E291" s="240"/>
      <c r="F291" s="240"/>
      <c r="G291" s="240"/>
      <c r="H291" s="240"/>
    </row>
    <row r="292" spans="1:8">
      <c r="A292" s="241" t="s">
        <v>460</v>
      </c>
      <c r="B292" s="240"/>
      <c r="C292" s="240"/>
      <c r="D292" s="240"/>
      <c r="E292" s="240"/>
      <c r="F292" s="240"/>
      <c r="G292" s="240"/>
      <c r="H292" s="240"/>
    </row>
    <row r="293" spans="1:8">
      <c r="A293" s="241" t="s">
        <v>461</v>
      </c>
      <c r="B293" s="240"/>
      <c r="C293" s="240"/>
      <c r="D293" s="240"/>
      <c r="E293" s="240"/>
      <c r="F293" s="240"/>
      <c r="G293" s="240"/>
      <c r="H293" s="240"/>
    </row>
    <row r="294" spans="1:8">
      <c r="A294" s="241" t="s">
        <v>462</v>
      </c>
      <c r="B294" s="240"/>
      <c r="C294" s="240"/>
      <c r="D294" s="240"/>
      <c r="E294" s="240"/>
      <c r="F294" s="240"/>
      <c r="G294" s="240"/>
      <c r="H294" s="240"/>
    </row>
    <row r="295" spans="1:8">
      <c r="A295" s="240"/>
      <c r="B295" s="240"/>
      <c r="C295" s="240"/>
      <c r="D295" s="240"/>
      <c r="E295" s="240"/>
      <c r="F295" s="240"/>
      <c r="G295" s="240"/>
      <c r="H295" s="240"/>
    </row>
    <row r="296" spans="1:8">
      <c r="A296" s="241" t="s">
        <v>458</v>
      </c>
      <c r="B296" s="240"/>
      <c r="C296" s="240"/>
      <c r="D296" s="240"/>
      <c r="E296" s="240"/>
      <c r="F296" s="240"/>
      <c r="G296" s="240"/>
      <c r="H296" s="240"/>
    </row>
    <row r="297" spans="1:8">
      <c r="A297" s="241" t="s">
        <v>459</v>
      </c>
      <c r="B297" s="240"/>
      <c r="C297" s="240"/>
      <c r="D297" s="240"/>
      <c r="E297" s="240"/>
      <c r="F297" s="240"/>
      <c r="G297" s="240"/>
      <c r="H297" s="240"/>
    </row>
    <row r="298" spans="1:8">
      <c r="A298" s="240"/>
      <c r="B298" s="240"/>
      <c r="C298" s="240"/>
      <c r="D298" s="240"/>
      <c r="E298" s="240"/>
      <c r="F298" s="240"/>
      <c r="G298" s="240"/>
      <c r="H298" s="240"/>
    </row>
    <row r="299" spans="1:8">
      <c r="A299" s="241" t="s">
        <v>445</v>
      </c>
      <c r="B299" s="240"/>
      <c r="C299" s="240"/>
      <c r="D299" s="240"/>
      <c r="E299" s="240"/>
      <c r="F299" s="240"/>
      <c r="G299" s="240"/>
      <c r="H299" s="240"/>
    </row>
    <row r="300" spans="1:8">
      <c r="A300" s="241" t="s">
        <v>446</v>
      </c>
      <c r="B300" s="240"/>
      <c r="C300" s="240"/>
      <c r="D300" s="240"/>
      <c r="E300" s="240"/>
      <c r="F300" s="240"/>
      <c r="G300" s="240"/>
      <c r="H300" s="240"/>
    </row>
    <row r="301" spans="1:8">
      <c r="A301" s="241" t="s">
        <v>447</v>
      </c>
      <c r="B301" s="240"/>
      <c r="C301" s="240"/>
      <c r="D301" s="240"/>
      <c r="E301" s="240"/>
      <c r="F301" s="240"/>
      <c r="G301" s="240"/>
      <c r="H301" s="240"/>
    </row>
    <row r="302" spans="1:8">
      <c r="A302" s="241" t="s">
        <v>448</v>
      </c>
      <c r="B302" s="240"/>
      <c r="C302" s="240"/>
      <c r="D302" s="240"/>
      <c r="E302" s="240"/>
      <c r="F302" s="240"/>
      <c r="G302" s="240"/>
      <c r="H302" s="240"/>
    </row>
    <row r="303" spans="1:8">
      <c r="A303" s="241" t="s">
        <v>449</v>
      </c>
      <c r="B303" s="240"/>
      <c r="C303" s="240"/>
      <c r="D303" s="240"/>
      <c r="E303" s="240"/>
      <c r="F303" s="240"/>
      <c r="G303" s="240"/>
      <c r="H303" s="240"/>
    </row>
    <row r="304" spans="1:8">
      <c r="A304" s="241" t="s">
        <v>450</v>
      </c>
      <c r="B304" s="240"/>
      <c r="C304" s="240"/>
      <c r="D304" s="240"/>
      <c r="E304" s="240"/>
      <c r="F304" s="240"/>
      <c r="G304" s="240"/>
      <c r="H304" s="240"/>
    </row>
    <row r="305" spans="1:8">
      <c r="A305" s="241" t="s">
        <v>451</v>
      </c>
      <c r="B305" s="240"/>
      <c r="C305" s="240"/>
      <c r="D305" s="240"/>
      <c r="E305" s="240"/>
      <c r="F305" s="240"/>
      <c r="G305" s="240"/>
      <c r="H305" s="240"/>
    </row>
    <row r="306" spans="1:8">
      <c r="A306" s="241" t="s">
        <v>452</v>
      </c>
      <c r="B306" s="240"/>
      <c r="C306" s="240"/>
      <c r="D306" s="240"/>
      <c r="E306" s="240"/>
      <c r="F306" s="240"/>
      <c r="G306" s="240"/>
      <c r="H306" s="240"/>
    </row>
    <row r="307" spans="1:8">
      <c r="A307" s="241" t="s">
        <v>453</v>
      </c>
      <c r="B307" s="240"/>
      <c r="C307" s="240"/>
      <c r="D307" s="240"/>
      <c r="E307" s="240"/>
      <c r="F307" s="240"/>
      <c r="G307" s="240"/>
      <c r="H307" s="240"/>
    </row>
    <row r="308" spans="1:8">
      <c r="A308" s="241" t="s">
        <v>454</v>
      </c>
      <c r="B308" s="240"/>
      <c r="C308" s="240"/>
      <c r="D308" s="240"/>
      <c r="E308" s="240"/>
      <c r="F308" s="240"/>
      <c r="G308" s="240"/>
      <c r="H308" s="240"/>
    </row>
    <row r="309" spans="1:8">
      <c r="A309" s="241" t="s">
        <v>455</v>
      </c>
      <c r="B309" s="240"/>
      <c r="C309" s="240"/>
      <c r="D309" s="240"/>
      <c r="E309" s="240"/>
      <c r="F309" s="240"/>
      <c r="G309" s="240"/>
      <c r="H309" s="240"/>
    </row>
    <row r="310" spans="1:8">
      <c r="A310" s="241" t="s">
        <v>456</v>
      </c>
      <c r="B310" s="240"/>
      <c r="C310" s="240"/>
      <c r="D310" s="240"/>
      <c r="E310" s="240"/>
      <c r="F310" s="240"/>
      <c r="G310" s="240"/>
      <c r="H310" s="240"/>
    </row>
    <row r="311" spans="1:8">
      <c r="A311" s="241" t="s">
        <v>457</v>
      </c>
      <c r="B311" s="240"/>
      <c r="C311" s="240"/>
      <c r="D311" s="240"/>
      <c r="E311" s="240"/>
      <c r="F311" s="240"/>
      <c r="G311" s="240"/>
      <c r="H311" s="240"/>
    </row>
    <row r="312" spans="1:8">
      <c r="A312" s="240"/>
      <c r="B312" s="240"/>
      <c r="C312" s="240"/>
      <c r="D312" s="240"/>
      <c r="E312" s="240"/>
      <c r="F312" s="240"/>
      <c r="G312" s="240"/>
      <c r="H312" s="240"/>
    </row>
    <row r="313" spans="1:8">
      <c r="A313" s="241" t="s">
        <v>437</v>
      </c>
      <c r="B313" s="240"/>
      <c r="C313" s="240"/>
      <c r="D313" s="240"/>
      <c r="E313" s="240"/>
      <c r="F313" s="240"/>
      <c r="G313" s="240"/>
      <c r="H313" s="240"/>
    </row>
    <row r="314" spans="1:8">
      <c r="A314" s="241" t="s">
        <v>438</v>
      </c>
      <c r="B314" s="240"/>
      <c r="C314" s="240"/>
      <c r="D314" s="240"/>
      <c r="E314" s="240"/>
      <c r="F314" s="240"/>
      <c r="G314" s="240"/>
      <c r="H314" s="240"/>
    </row>
    <row r="315" spans="1:8">
      <c r="A315" s="241" t="s">
        <v>439</v>
      </c>
      <c r="B315" s="240"/>
      <c r="C315" s="240"/>
      <c r="D315" s="240"/>
      <c r="E315" s="240"/>
      <c r="F315" s="240"/>
      <c r="G315" s="240"/>
      <c r="H315" s="240"/>
    </row>
    <row r="316" spans="1:8">
      <c r="A316" s="241" t="s">
        <v>440</v>
      </c>
      <c r="B316" s="240"/>
      <c r="C316" s="240"/>
      <c r="D316" s="240"/>
      <c r="E316" s="240"/>
      <c r="F316" s="240"/>
      <c r="G316" s="240"/>
      <c r="H316" s="240"/>
    </row>
    <row r="317" spans="1:8">
      <c r="A317" s="241" t="s">
        <v>441</v>
      </c>
      <c r="B317" s="240"/>
      <c r="C317" s="240"/>
      <c r="D317" s="240"/>
      <c r="E317" s="240"/>
      <c r="F317" s="240"/>
      <c r="G317" s="240"/>
      <c r="H317" s="240"/>
    </row>
    <row r="318" spans="1:8">
      <c r="A318" s="241" t="s">
        <v>442</v>
      </c>
      <c r="B318" s="240"/>
      <c r="C318" s="240"/>
      <c r="D318" s="240"/>
      <c r="E318" s="240"/>
      <c r="F318" s="240"/>
      <c r="G318" s="240"/>
      <c r="H318" s="240"/>
    </row>
    <row r="319" spans="1:8">
      <c r="A319" s="241" t="s">
        <v>443</v>
      </c>
      <c r="B319" s="240"/>
      <c r="C319" s="240"/>
      <c r="D319" s="240"/>
      <c r="E319" s="240"/>
      <c r="F319" s="240"/>
      <c r="G319" s="240"/>
      <c r="H319" s="240"/>
    </row>
    <row r="320" spans="1:8">
      <c r="A320" s="241" t="s">
        <v>444</v>
      </c>
      <c r="B320" s="240"/>
      <c r="C320" s="240"/>
      <c r="D320" s="240"/>
      <c r="E320" s="240"/>
      <c r="F320" s="240"/>
      <c r="G320" s="240"/>
      <c r="H320" s="240"/>
    </row>
    <row r="321" spans="1:8">
      <c r="A321" s="240"/>
      <c r="B321" s="240"/>
      <c r="C321" s="240"/>
      <c r="D321" s="240"/>
      <c r="E321" s="240"/>
      <c r="F321" s="240"/>
      <c r="G321" s="240"/>
      <c r="H321" s="240"/>
    </row>
    <row r="322" spans="1:8">
      <c r="A322" s="241" t="s">
        <v>402</v>
      </c>
      <c r="B322" s="240"/>
      <c r="C322" s="240"/>
      <c r="D322" s="240"/>
      <c r="E322" s="240"/>
      <c r="F322" s="240"/>
      <c r="G322" s="240"/>
      <c r="H322" s="240"/>
    </row>
    <row r="323" spans="1:8">
      <c r="A323" s="241" t="s">
        <v>403</v>
      </c>
      <c r="B323" s="240"/>
      <c r="C323" s="240"/>
      <c r="D323" s="240"/>
      <c r="E323" s="240"/>
      <c r="F323" s="240"/>
      <c r="G323" s="240"/>
      <c r="H323" s="240"/>
    </row>
    <row r="324" spans="1:8">
      <c r="A324" s="241" t="s">
        <v>404</v>
      </c>
      <c r="B324" s="240"/>
      <c r="C324" s="240"/>
      <c r="D324" s="240"/>
      <c r="E324" s="240"/>
      <c r="F324" s="240"/>
      <c r="G324" s="240"/>
      <c r="H324" s="240"/>
    </row>
    <row r="325" spans="1:8">
      <c r="A325" s="241" t="s">
        <v>405</v>
      </c>
      <c r="B325" s="240"/>
      <c r="C325" s="240"/>
      <c r="D325" s="240"/>
      <c r="E325" s="240"/>
      <c r="F325" s="240"/>
      <c r="G325" s="240"/>
      <c r="H325" s="240"/>
    </row>
    <row r="326" spans="1:8">
      <c r="A326" s="241" t="s">
        <v>406</v>
      </c>
      <c r="B326" s="240"/>
      <c r="C326" s="240"/>
      <c r="D326" s="240"/>
      <c r="E326" s="240"/>
      <c r="F326" s="240"/>
      <c r="G326" s="240"/>
      <c r="H326" s="240"/>
    </row>
    <row r="327" spans="1:8">
      <c r="A327" s="241" t="s">
        <v>407</v>
      </c>
      <c r="B327" s="240"/>
      <c r="C327" s="240"/>
      <c r="D327" s="240"/>
      <c r="E327" s="240"/>
      <c r="F327" s="240"/>
      <c r="G327" s="240"/>
      <c r="H327" s="240"/>
    </row>
    <row r="328" spans="1:8">
      <c r="A328" s="241" t="s">
        <v>408</v>
      </c>
      <c r="B328" s="240"/>
      <c r="C328" s="240"/>
      <c r="D328" s="240"/>
      <c r="E328" s="240"/>
      <c r="F328" s="240"/>
      <c r="G328" s="240"/>
      <c r="H328" s="240"/>
    </row>
    <row r="329" spans="1:8">
      <c r="A329" s="241" t="s">
        <v>409</v>
      </c>
      <c r="B329" s="240"/>
      <c r="C329" s="240"/>
      <c r="D329" s="240"/>
      <c r="E329" s="240"/>
      <c r="F329" s="240"/>
      <c r="G329" s="240"/>
      <c r="H329" s="240"/>
    </row>
    <row r="330" spans="1:8">
      <c r="A330" s="241" t="s">
        <v>410</v>
      </c>
      <c r="B330" s="240"/>
      <c r="C330" s="240"/>
      <c r="D330" s="240"/>
      <c r="E330" s="240"/>
      <c r="F330" s="240"/>
      <c r="G330" s="240"/>
      <c r="H330" s="240"/>
    </row>
    <row r="331" spans="1:8">
      <c r="A331" s="241" t="s">
        <v>411</v>
      </c>
      <c r="B331" s="240"/>
      <c r="C331" s="240"/>
      <c r="D331" s="240"/>
      <c r="E331" s="240"/>
      <c r="F331" s="240"/>
      <c r="G331" s="240"/>
      <c r="H331" s="240"/>
    </row>
    <row r="332" spans="1:8">
      <c r="A332" s="241" t="s">
        <v>412</v>
      </c>
      <c r="B332" s="240"/>
      <c r="C332" s="240"/>
      <c r="D332" s="240"/>
      <c r="E332" s="240"/>
      <c r="F332" s="240"/>
      <c r="G332" s="240"/>
      <c r="H332" s="240"/>
    </row>
    <row r="333" spans="1:8">
      <c r="A333" s="241" t="s">
        <v>413</v>
      </c>
      <c r="B333" s="240"/>
      <c r="C333" s="240"/>
      <c r="D333" s="240"/>
      <c r="E333" s="240"/>
      <c r="F333" s="240"/>
      <c r="G333" s="240"/>
      <c r="H333" s="240"/>
    </row>
    <row r="334" spans="1:8">
      <c r="A334" s="241" t="s">
        <v>414</v>
      </c>
      <c r="B334" s="240"/>
      <c r="C334" s="240"/>
      <c r="D334" s="240"/>
      <c r="E334" s="240"/>
      <c r="F334" s="240"/>
      <c r="G334" s="240"/>
      <c r="H334" s="240"/>
    </row>
    <row r="335" spans="1:8">
      <c r="A335" s="241" t="s">
        <v>415</v>
      </c>
      <c r="B335" s="240"/>
      <c r="C335" s="240"/>
      <c r="D335" s="240"/>
      <c r="E335" s="240"/>
      <c r="F335" s="240"/>
      <c r="G335" s="240"/>
      <c r="H335" s="240"/>
    </row>
    <row r="336" spans="1:8">
      <c r="A336" s="241" t="s">
        <v>416</v>
      </c>
      <c r="B336" s="240"/>
      <c r="C336" s="240"/>
      <c r="D336" s="240"/>
      <c r="E336" s="240"/>
      <c r="F336" s="240"/>
      <c r="G336" s="240"/>
      <c r="H336" s="240"/>
    </row>
    <row r="337" spans="1:8">
      <c r="A337" s="241" t="s">
        <v>417</v>
      </c>
      <c r="B337" s="240"/>
      <c r="C337" s="240"/>
      <c r="D337" s="240"/>
      <c r="E337" s="240"/>
      <c r="F337" s="240"/>
      <c r="G337" s="240"/>
      <c r="H337" s="240"/>
    </row>
    <row r="338" spans="1:8">
      <c r="A338" s="241" t="s">
        <v>418</v>
      </c>
      <c r="B338" s="240"/>
      <c r="C338" s="240"/>
      <c r="D338" s="240"/>
      <c r="E338" s="240"/>
      <c r="F338" s="240"/>
      <c r="G338" s="240"/>
      <c r="H338" s="240"/>
    </row>
    <row r="339" spans="1:8">
      <c r="A339" s="241" t="s">
        <v>419</v>
      </c>
      <c r="B339" s="240"/>
      <c r="C339" s="240"/>
      <c r="D339" s="240"/>
      <c r="E339" s="240"/>
      <c r="F339" s="240"/>
      <c r="G339" s="240"/>
      <c r="H339" s="240"/>
    </row>
    <row r="340" spans="1:8">
      <c r="A340" s="241" t="s">
        <v>420</v>
      </c>
      <c r="B340" s="240"/>
      <c r="C340" s="240"/>
      <c r="D340" s="240"/>
      <c r="E340" s="240"/>
      <c r="F340" s="240"/>
      <c r="G340" s="240"/>
      <c r="H340" s="240"/>
    </row>
    <row r="341" spans="1:8">
      <c r="A341" s="241" t="s">
        <v>421</v>
      </c>
      <c r="B341" s="240"/>
      <c r="C341" s="240"/>
      <c r="D341" s="240"/>
      <c r="E341" s="240"/>
      <c r="F341" s="240"/>
      <c r="G341" s="240"/>
      <c r="H341" s="240"/>
    </row>
    <row r="342" spans="1:8">
      <c r="A342" s="241" t="s">
        <v>422</v>
      </c>
      <c r="B342" s="240"/>
      <c r="C342" s="240"/>
      <c r="D342" s="240"/>
      <c r="E342" s="240"/>
      <c r="F342" s="240"/>
      <c r="G342" s="240"/>
      <c r="H342" s="240"/>
    </row>
    <row r="343" spans="1:8">
      <c r="A343" s="241" t="s">
        <v>423</v>
      </c>
      <c r="B343" s="240"/>
      <c r="C343" s="240"/>
      <c r="D343" s="240"/>
      <c r="E343" s="240"/>
      <c r="F343" s="240"/>
      <c r="G343" s="240"/>
      <c r="H343" s="240"/>
    </row>
    <row r="344" spans="1:8">
      <c r="A344" s="241" t="s">
        <v>424</v>
      </c>
      <c r="B344" s="240"/>
      <c r="C344" s="240"/>
      <c r="D344" s="240"/>
      <c r="E344" s="240"/>
      <c r="F344" s="240"/>
      <c r="G344" s="240"/>
      <c r="H344" s="240"/>
    </row>
    <row r="345" spans="1:8">
      <c r="A345" s="241" t="s">
        <v>425</v>
      </c>
      <c r="B345" s="240"/>
      <c r="C345" s="240"/>
      <c r="D345" s="240"/>
      <c r="E345" s="240"/>
      <c r="F345" s="240"/>
      <c r="G345" s="240"/>
      <c r="H345" s="240"/>
    </row>
    <row r="346" spans="1:8">
      <c r="A346" s="241" t="s">
        <v>426</v>
      </c>
      <c r="B346" s="240"/>
      <c r="C346" s="240"/>
      <c r="D346" s="240"/>
      <c r="E346" s="240"/>
      <c r="F346" s="240"/>
      <c r="G346" s="240"/>
      <c r="H346" s="240"/>
    </row>
    <row r="347" spans="1:8">
      <c r="A347" s="241" t="s">
        <v>427</v>
      </c>
      <c r="B347" s="240"/>
      <c r="C347" s="240"/>
      <c r="D347" s="240"/>
      <c r="E347" s="240"/>
      <c r="F347" s="240"/>
      <c r="G347" s="240"/>
      <c r="H347" s="240"/>
    </row>
    <row r="348" spans="1:8">
      <c r="A348" s="241" t="s">
        <v>428</v>
      </c>
      <c r="B348" s="240"/>
      <c r="C348" s="240"/>
      <c r="D348" s="240"/>
      <c r="E348" s="240"/>
      <c r="F348" s="240"/>
      <c r="G348" s="240"/>
      <c r="H348" s="240"/>
    </row>
    <row r="349" spans="1:8">
      <c r="A349" s="241" t="s">
        <v>429</v>
      </c>
      <c r="B349" s="240"/>
      <c r="C349" s="240"/>
      <c r="D349" s="240"/>
      <c r="E349" s="240"/>
      <c r="F349" s="240"/>
      <c r="G349" s="240"/>
      <c r="H349" s="240"/>
    </row>
    <row r="350" spans="1:8">
      <c r="A350" s="241" t="s">
        <v>430</v>
      </c>
      <c r="B350" s="240"/>
      <c r="C350" s="240"/>
      <c r="D350" s="240"/>
      <c r="E350" s="240"/>
      <c r="F350" s="240"/>
      <c r="G350" s="240"/>
      <c r="H350" s="240"/>
    </row>
    <row r="351" spans="1:8">
      <c r="A351" s="241" t="s">
        <v>431</v>
      </c>
      <c r="B351" s="240"/>
      <c r="C351" s="240"/>
      <c r="D351" s="240"/>
      <c r="E351" s="240"/>
      <c r="F351" s="240"/>
      <c r="G351" s="240"/>
      <c r="H351" s="240"/>
    </row>
    <row r="352" spans="1:8">
      <c r="A352" s="241" t="s">
        <v>432</v>
      </c>
      <c r="B352" s="240"/>
      <c r="C352" s="240"/>
      <c r="D352" s="240"/>
      <c r="E352" s="240"/>
      <c r="F352" s="240"/>
      <c r="G352" s="240"/>
      <c r="H352" s="240"/>
    </row>
    <row r="353" spans="1:8">
      <c r="A353" s="241" t="s">
        <v>433</v>
      </c>
      <c r="B353" s="240"/>
      <c r="C353" s="240"/>
      <c r="D353" s="240"/>
      <c r="E353" s="240"/>
      <c r="F353" s="240"/>
      <c r="G353" s="240"/>
      <c r="H353" s="240"/>
    </row>
    <row r="354" spans="1:8">
      <c r="A354" s="241" t="s">
        <v>434</v>
      </c>
      <c r="B354" s="240"/>
      <c r="C354" s="240"/>
      <c r="D354" s="240"/>
      <c r="E354" s="240"/>
      <c r="F354" s="240"/>
      <c r="G354" s="240"/>
      <c r="H354" s="240"/>
    </row>
    <row r="355" spans="1:8">
      <c r="A355" s="241" t="s">
        <v>435</v>
      </c>
      <c r="B355" s="240"/>
      <c r="C355" s="240"/>
      <c r="D355" s="240"/>
      <c r="E355" s="240"/>
      <c r="F355" s="240"/>
      <c r="G355" s="240"/>
      <c r="H355" s="240"/>
    </row>
    <row r="356" spans="1:8">
      <c r="A356" s="241" t="s">
        <v>436</v>
      </c>
      <c r="B356" s="240"/>
      <c r="C356" s="240"/>
      <c r="D356" s="240"/>
      <c r="E356" s="240"/>
      <c r="F356" s="240"/>
      <c r="G356" s="240"/>
      <c r="H356" s="240"/>
    </row>
    <row r="357" spans="1:8">
      <c r="A357" s="240"/>
      <c r="B357" s="240"/>
      <c r="C357" s="240"/>
      <c r="D357" s="240"/>
      <c r="E357" s="240"/>
      <c r="F357" s="240"/>
      <c r="G357" s="240"/>
      <c r="H357" s="240"/>
    </row>
    <row r="358" spans="1:8">
      <c r="A358" s="241" t="s">
        <v>394</v>
      </c>
      <c r="B358" s="240"/>
      <c r="C358" s="240"/>
      <c r="D358" s="240"/>
      <c r="E358" s="240"/>
      <c r="F358" s="240"/>
      <c r="G358" s="240"/>
      <c r="H358" s="240"/>
    </row>
    <row r="359" spans="1:8">
      <c r="A359" s="241" t="s">
        <v>398</v>
      </c>
      <c r="B359" s="240"/>
      <c r="C359" s="240"/>
      <c r="D359" s="240"/>
      <c r="E359" s="240"/>
      <c r="F359" s="240"/>
      <c r="G359" s="240"/>
      <c r="H359" s="240"/>
    </row>
    <row r="360" spans="1:8">
      <c r="A360" s="241" t="s">
        <v>399</v>
      </c>
      <c r="B360" s="240"/>
      <c r="C360" s="240"/>
      <c r="D360" s="240"/>
      <c r="E360" s="240"/>
      <c r="F360" s="240"/>
      <c r="G360" s="240"/>
      <c r="H360" s="240"/>
    </row>
    <row r="361" spans="1:8">
      <c r="A361" s="241" t="s">
        <v>400</v>
      </c>
      <c r="B361" s="240"/>
      <c r="C361" s="240"/>
      <c r="D361" s="240"/>
      <c r="E361" s="240"/>
      <c r="F361" s="240"/>
      <c r="G361" s="240"/>
      <c r="H361" s="240"/>
    </row>
    <row r="362" spans="1:8">
      <c r="A362" s="241" t="s">
        <v>401</v>
      </c>
      <c r="B362" s="240"/>
      <c r="C362" s="240"/>
      <c r="D362" s="240"/>
      <c r="E362" s="240"/>
      <c r="F362" s="240"/>
      <c r="G362" s="240"/>
      <c r="H362" s="240"/>
    </row>
    <row r="363" spans="1:8">
      <c r="A363" s="240"/>
      <c r="B363" s="240"/>
      <c r="C363" s="240"/>
      <c r="D363" s="240"/>
      <c r="E363" s="240"/>
      <c r="F363" s="240"/>
      <c r="G363" s="240"/>
      <c r="H363" s="240"/>
    </row>
    <row r="364" spans="1:8">
      <c r="A364" s="241" t="s">
        <v>394</v>
      </c>
      <c r="B364" s="240"/>
      <c r="C364" s="240"/>
      <c r="D364" s="240"/>
      <c r="E364" s="240"/>
      <c r="F364" s="240"/>
      <c r="G364" s="240"/>
      <c r="H364" s="240"/>
    </row>
    <row r="365" spans="1:8">
      <c r="A365" s="241" t="s">
        <v>395</v>
      </c>
      <c r="B365" s="240"/>
      <c r="C365" s="240"/>
      <c r="D365" s="240"/>
      <c r="E365" s="240"/>
      <c r="F365" s="240"/>
      <c r="G365" s="240"/>
      <c r="H365" s="240"/>
    </row>
    <row r="366" spans="1:8">
      <c r="A366" s="241" t="s">
        <v>396</v>
      </c>
      <c r="B366" s="240"/>
      <c r="C366" s="240"/>
      <c r="D366" s="240"/>
      <c r="E366" s="240"/>
      <c r="F366" s="240"/>
      <c r="G366" s="240"/>
      <c r="H366" s="240"/>
    </row>
    <row r="367" spans="1:8">
      <c r="A367" s="241" t="s">
        <v>397</v>
      </c>
      <c r="B367" s="240"/>
      <c r="C367" s="240"/>
      <c r="D367" s="240"/>
      <c r="E367" s="240"/>
      <c r="F367" s="240"/>
      <c r="G367" s="240"/>
      <c r="H367" s="240"/>
    </row>
    <row r="368" spans="1:8">
      <c r="A368" s="240"/>
      <c r="B368" s="240"/>
      <c r="C368" s="240"/>
      <c r="D368" s="240"/>
      <c r="E368" s="240"/>
      <c r="F368" s="240"/>
      <c r="G368" s="240"/>
      <c r="H368" s="240"/>
    </row>
    <row r="369" spans="1:8">
      <c r="A369" s="241" t="s">
        <v>388</v>
      </c>
      <c r="B369" s="240"/>
      <c r="C369" s="240"/>
      <c r="D369" s="240"/>
      <c r="E369" s="240"/>
      <c r="F369" s="240"/>
      <c r="G369" s="240"/>
      <c r="H369" s="240"/>
    </row>
    <row r="370" spans="1:8">
      <c r="A370" s="241" t="s">
        <v>389</v>
      </c>
      <c r="B370" s="240"/>
      <c r="C370" s="240"/>
      <c r="D370" s="240"/>
      <c r="E370" s="240"/>
      <c r="F370" s="240"/>
      <c r="G370" s="240"/>
      <c r="H370" s="240"/>
    </row>
    <row r="371" spans="1:8">
      <c r="A371" s="241" t="s">
        <v>390</v>
      </c>
      <c r="B371" s="240"/>
      <c r="C371" s="240"/>
      <c r="D371" s="240"/>
      <c r="E371" s="240"/>
      <c r="F371" s="240"/>
      <c r="G371" s="240"/>
      <c r="H371" s="240"/>
    </row>
    <row r="372" spans="1:8">
      <c r="A372" s="241" t="s">
        <v>391</v>
      </c>
      <c r="B372" s="240"/>
      <c r="C372" s="240"/>
      <c r="D372" s="240"/>
      <c r="E372" s="240"/>
      <c r="F372" s="240"/>
      <c r="G372" s="240"/>
      <c r="H372" s="240"/>
    </row>
    <row r="373" spans="1:8">
      <c r="A373" s="241" t="s">
        <v>392</v>
      </c>
      <c r="B373" s="240"/>
      <c r="C373" s="240"/>
      <c r="D373" s="240"/>
      <c r="E373" s="240"/>
      <c r="F373" s="240"/>
      <c r="G373" s="240"/>
      <c r="H373" s="240"/>
    </row>
    <row r="374" spans="1:8">
      <c r="A374" s="241" t="s">
        <v>393</v>
      </c>
      <c r="B374" s="240"/>
      <c r="C374" s="240"/>
      <c r="D374" s="240"/>
      <c r="E374" s="240"/>
      <c r="F374" s="240"/>
      <c r="G374" s="240"/>
      <c r="H374" s="240"/>
    </row>
    <row r="375" spans="1:8">
      <c r="A375" s="240"/>
      <c r="B375" s="240"/>
      <c r="C375" s="240"/>
      <c r="D375" s="240"/>
      <c r="E375" s="240"/>
      <c r="F375" s="240"/>
      <c r="G375" s="240"/>
      <c r="H375" s="240"/>
    </row>
    <row r="376" spans="1:8">
      <c r="A376" s="241" t="s">
        <v>383</v>
      </c>
      <c r="B376" s="240"/>
      <c r="C376" s="240"/>
      <c r="D376" s="240"/>
      <c r="E376" s="240"/>
      <c r="F376" s="240"/>
      <c r="G376" s="240"/>
      <c r="H376" s="240"/>
    </row>
    <row r="377" spans="1:8">
      <c r="A377" s="241" t="s">
        <v>384</v>
      </c>
      <c r="B377" s="240"/>
      <c r="C377" s="240"/>
      <c r="D377" s="240"/>
      <c r="E377" s="240"/>
      <c r="F377" s="240"/>
      <c r="G377" s="240"/>
      <c r="H377" s="240"/>
    </row>
    <row r="378" spans="1:8">
      <c r="A378" s="241" t="s">
        <v>385</v>
      </c>
      <c r="B378" s="240"/>
      <c r="C378" s="240"/>
      <c r="D378" s="240"/>
      <c r="E378" s="240"/>
      <c r="F378" s="240"/>
      <c r="G378" s="240"/>
      <c r="H378" s="240"/>
    </row>
    <row r="379" spans="1:8">
      <c r="A379" s="241" t="s">
        <v>386</v>
      </c>
      <c r="B379" s="240"/>
      <c r="C379" s="240"/>
      <c r="D379" s="240"/>
      <c r="E379" s="240"/>
      <c r="F379" s="240"/>
      <c r="G379" s="240"/>
      <c r="H379" s="240"/>
    </row>
    <row r="380" spans="1:8">
      <c r="A380" s="241" t="s">
        <v>387</v>
      </c>
      <c r="B380" s="240"/>
      <c r="C380" s="240"/>
      <c r="D380" s="240"/>
      <c r="E380" s="240"/>
      <c r="F380" s="240"/>
      <c r="G380" s="240"/>
      <c r="H380" s="240"/>
    </row>
    <row r="381" spans="1:8">
      <c r="A381" s="240"/>
      <c r="B381" s="240"/>
      <c r="C381" s="240"/>
      <c r="D381" s="240"/>
      <c r="E381" s="240"/>
      <c r="F381" s="240"/>
      <c r="G381" s="240"/>
      <c r="H381" s="240"/>
    </row>
    <row r="382" spans="1:8">
      <c r="A382" s="241" t="s">
        <v>381</v>
      </c>
      <c r="B382" s="240"/>
      <c r="C382" s="240"/>
      <c r="D382" s="240"/>
      <c r="E382" s="240"/>
      <c r="F382" s="240"/>
      <c r="G382" s="240"/>
      <c r="H382" s="240"/>
    </row>
    <row r="383" spans="1:8">
      <c r="A383" s="241" t="s">
        <v>382</v>
      </c>
      <c r="B383" s="240"/>
      <c r="C383" s="240"/>
      <c r="D383" s="240"/>
      <c r="E383" s="240"/>
      <c r="F383" s="240"/>
      <c r="G383" s="240"/>
      <c r="H383" s="240"/>
    </row>
    <row r="385" spans="1:1">
      <c r="A385" s="236" t="s">
        <v>634</v>
      </c>
    </row>
  </sheetData>
  <mergeCells count="12">
    <mergeCell ref="A123:H123"/>
    <mergeCell ref="A124:H124"/>
    <mergeCell ref="B116:C116"/>
    <mergeCell ref="D116:F116"/>
    <mergeCell ref="G116:H116"/>
    <mergeCell ref="A102:H102"/>
    <mergeCell ref="A103:H103"/>
    <mergeCell ref="A104:H104"/>
    <mergeCell ref="A105:H105"/>
    <mergeCell ref="A107:H107"/>
    <mergeCell ref="A108:H108"/>
    <mergeCell ref="A115:H115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K561"/>
  <sheetViews>
    <sheetView showGridLines="0" zoomScale="130" zoomScaleNormal="130" workbookViewId="0">
      <pane xSplit="2" ySplit="7" topLeftCell="E8" activePane="bottomRight" state="frozen"/>
      <selection pane="topRight" activeCell="C1" sqref="C1"/>
      <selection pane="bottomLeft" activeCell="A8" sqref="A8"/>
      <selection pane="bottomRight" activeCell="E8" sqref="E8"/>
    </sheetView>
  </sheetViews>
  <sheetFormatPr defaultRowHeight="11.25" outlineLevelRow="3" outlineLevelCol="1"/>
  <cols>
    <col min="1" max="1" width="2.83203125" style="38" customWidth="1"/>
    <col min="2" max="2" width="34.6640625" bestFit="1" customWidth="1"/>
    <col min="3" max="4" width="9.33203125" hidden="1" customWidth="1" outlineLevel="1"/>
    <col min="5" max="5" width="9.33203125" collapsed="1"/>
    <col min="9" max="9" width="10" bestFit="1" customWidth="1"/>
    <col min="12" max="12" width="9.33203125" customWidth="1"/>
    <col min="14" max="29" width="9.33203125" hidden="1" customWidth="1" outlineLevel="1"/>
    <col min="30" max="30" width="9.33203125" hidden="1" customWidth="1" outlineLevel="1" collapsed="1"/>
    <col min="31" max="33" width="9.33203125" hidden="1" customWidth="1" outlineLevel="1"/>
    <col min="34" max="34" width="0" hidden="1" customWidth="1" outlineLevel="1" collapsed="1"/>
    <col min="35" max="37" width="0" hidden="1" customWidth="1" outlineLevel="1"/>
    <col min="38" max="38" width="9.33203125" collapsed="1"/>
    <col min="50" max="53" width="9.33203125" customWidth="1"/>
    <col min="56" max="56" width="9.33203125" style="186" hidden="1" customWidth="1" outlineLevel="1"/>
    <col min="57" max="57" width="28.33203125" hidden="1" customWidth="1" outlineLevel="1"/>
    <col min="58" max="62" width="9.33203125" hidden="1" customWidth="1" outlineLevel="1"/>
    <col min="63" max="63" width="9.33203125" collapsed="1"/>
  </cols>
  <sheetData>
    <row r="1" spans="1:56" ht="15.75">
      <c r="A1" s="1"/>
      <c r="B1" s="2" t="s">
        <v>0</v>
      </c>
      <c r="C1" s="3">
        <f t="shared" ref="C1:L1" si="0">C36</f>
        <v>0</v>
      </c>
      <c r="D1" s="3">
        <f t="shared" si="0"/>
        <v>0</v>
      </c>
      <c r="E1" s="3">
        <f t="shared" si="0"/>
        <v>0</v>
      </c>
      <c r="F1" s="3">
        <f t="shared" si="0"/>
        <v>0</v>
      </c>
      <c r="G1" s="3">
        <f t="shared" si="0"/>
        <v>-3.2282574812967577</v>
      </c>
      <c r="H1" s="3">
        <f t="shared" si="0"/>
        <v>-2.451130552385782</v>
      </c>
      <c r="I1" s="3">
        <f t="shared" si="0"/>
        <v>0.12509651551075673</v>
      </c>
      <c r="J1" s="3">
        <f t="shared" si="0"/>
        <v>3.1337329197610031</v>
      </c>
      <c r="K1" s="3">
        <f t="shared" si="0"/>
        <v>5.1877019161169553</v>
      </c>
      <c r="L1" s="3">
        <f t="shared" si="0"/>
        <v>4.2936686645752111</v>
      </c>
      <c r="M1" s="4"/>
      <c r="N1" s="3">
        <f t="shared" ref="N1:BA1" si="1">N36</f>
        <v>0</v>
      </c>
      <c r="O1" s="3">
        <f t="shared" si="1"/>
        <v>0</v>
      </c>
      <c r="P1" s="3">
        <f t="shared" si="1"/>
        <v>0</v>
      </c>
      <c r="Q1" s="3">
        <f t="shared" si="1"/>
        <v>0</v>
      </c>
      <c r="R1" s="3">
        <f t="shared" si="1"/>
        <v>0</v>
      </c>
      <c r="S1" s="3">
        <f t="shared" si="1"/>
        <v>0</v>
      </c>
      <c r="T1" s="3">
        <f t="shared" si="1"/>
        <v>0</v>
      </c>
      <c r="U1" s="3">
        <f t="shared" si="1"/>
        <v>0</v>
      </c>
      <c r="V1" s="3">
        <f t="shared" si="1"/>
        <v>0</v>
      </c>
      <c r="W1" s="3">
        <f t="shared" si="1"/>
        <v>0</v>
      </c>
      <c r="X1" s="3">
        <f t="shared" si="1"/>
        <v>0</v>
      </c>
      <c r="Y1" s="3">
        <f t="shared" si="1"/>
        <v>0</v>
      </c>
      <c r="Z1" s="3">
        <f t="shared" si="1"/>
        <v>0</v>
      </c>
      <c r="AA1" s="3">
        <f t="shared" si="1"/>
        <v>0</v>
      </c>
      <c r="AB1" s="3">
        <f t="shared" si="1"/>
        <v>0</v>
      </c>
      <c r="AC1" s="3">
        <f t="shared" si="1"/>
        <v>0</v>
      </c>
      <c r="AD1" s="3">
        <f t="shared" si="1"/>
        <v>0</v>
      </c>
      <c r="AE1" s="3">
        <f t="shared" si="1"/>
        <v>-0.4591466910852286</v>
      </c>
      <c r="AF1" s="3">
        <f t="shared" si="1"/>
        <v>-0.65747870004016395</v>
      </c>
      <c r="AG1" s="3">
        <f t="shared" si="1"/>
        <v>-0.44480020841875084</v>
      </c>
      <c r="AH1" s="3">
        <f t="shared" si="1"/>
        <v>-0.58746649877055901</v>
      </c>
      <c r="AI1" s="3">
        <f t="shared" si="1"/>
        <v>-0.88566024352760375</v>
      </c>
      <c r="AJ1" s="3">
        <f t="shared" si="1"/>
        <v>-0.41260853438537914</v>
      </c>
      <c r="AK1" s="3">
        <f t="shared" si="1"/>
        <v>-0.5656256585324726</v>
      </c>
      <c r="AL1" s="3">
        <f t="shared" si="1"/>
        <v>-0.39666288676494421</v>
      </c>
      <c r="AM1" s="3">
        <f t="shared" si="1"/>
        <v>-0.10358324987693716</v>
      </c>
      <c r="AN1" s="3">
        <f t="shared" si="1"/>
        <v>0.17980352130645572</v>
      </c>
      <c r="AO1" s="3">
        <f t="shared" si="1"/>
        <v>0.37867575236057494</v>
      </c>
      <c r="AP1" s="3">
        <f t="shared" si="1"/>
        <v>0.45527138837017478</v>
      </c>
      <c r="AQ1" s="3">
        <f t="shared" si="1"/>
        <v>0.66043405630745389</v>
      </c>
      <c r="AR1" s="3">
        <f t="shared" si="1"/>
        <v>0.92582982094506205</v>
      </c>
      <c r="AS1" s="3">
        <f t="shared" si="1"/>
        <v>1.0868116564792736</v>
      </c>
      <c r="AT1" s="3">
        <f t="shared" si="1"/>
        <v>1.2132002417948387</v>
      </c>
      <c r="AU1" s="3">
        <f t="shared" si="1"/>
        <v>1.2849990574303942</v>
      </c>
      <c r="AV1" s="3">
        <f t="shared" si="1"/>
        <v>1.3414323666806591</v>
      </c>
      <c r="AW1" s="3">
        <f t="shared" si="1"/>
        <v>1.3469298782022685</v>
      </c>
      <c r="AX1" s="3">
        <f t="shared" si="1"/>
        <v>1.0891382113347148</v>
      </c>
      <c r="AY1" s="3">
        <f t="shared" si="1"/>
        <v>1.0788464335670911</v>
      </c>
      <c r="AZ1" s="3">
        <f t="shared" si="1"/>
        <v>1.0683344467114231</v>
      </c>
      <c r="BA1" s="3">
        <f t="shared" si="1"/>
        <v>1.0576116510036035</v>
      </c>
    </row>
    <row r="2" spans="1:56">
      <c r="A2" s="5"/>
      <c r="B2" s="6" t="s">
        <v>319</v>
      </c>
      <c r="C2" s="7">
        <f>MIN(C239,0)</f>
        <v>0</v>
      </c>
      <c r="D2" s="7">
        <f t="shared" ref="D2:BA2" si="2">MIN(D239,0)</f>
        <v>0</v>
      </c>
      <c r="E2" s="7">
        <f t="shared" si="2"/>
        <v>0</v>
      </c>
      <c r="F2" s="7">
        <f t="shared" si="2"/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/>
      <c r="N2" s="7">
        <f t="shared" si="2"/>
        <v>0</v>
      </c>
      <c r="O2" s="7">
        <f t="shared" si="2"/>
        <v>0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>
        <f t="shared" si="2"/>
        <v>0</v>
      </c>
      <c r="AD2" s="7">
        <f t="shared" si="2"/>
        <v>0</v>
      </c>
      <c r="AE2" s="7">
        <f t="shared" si="2"/>
        <v>0</v>
      </c>
      <c r="AF2" s="7">
        <f t="shared" si="2"/>
        <v>0</v>
      </c>
      <c r="AG2" s="7">
        <f t="shared" si="2"/>
        <v>0</v>
      </c>
      <c r="AH2" s="7">
        <f t="shared" si="2"/>
        <v>0</v>
      </c>
      <c r="AI2" s="7">
        <f t="shared" si="2"/>
        <v>0</v>
      </c>
      <c r="AJ2" s="7">
        <f t="shared" si="2"/>
        <v>0</v>
      </c>
      <c r="AK2" s="7">
        <f t="shared" si="2"/>
        <v>0</v>
      </c>
      <c r="AL2" s="7">
        <f t="shared" si="2"/>
        <v>0</v>
      </c>
      <c r="AM2" s="7">
        <f t="shared" si="2"/>
        <v>0</v>
      </c>
      <c r="AN2" s="7">
        <f t="shared" si="2"/>
        <v>0</v>
      </c>
      <c r="AO2" s="7">
        <f t="shared" si="2"/>
        <v>0</v>
      </c>
      <c r="AP2" s="7">
        <f t="shared" si="2"/>
        <v>0</v>
      </c>
      <c r="AQ2" s="7">
        <f t="shared" si="2"/>
        <v>0</v>
      </c>
      <c r="AR2" s="7">
        <f t="shared" si="2"/>
        <v>0</v>
      </c>
      <c r="AS2" s="7">
        <f t="shared" si="2"/>
        <v>0</v>
      </c>
      <c r="AT2" s="7">
        <f t="shared" si="2"/>
        <v>0</v>
      </c>
      <c r="AU2" s="7">
        <f t="shared" si="2"/>
        <v>0</v>
      </c>
      <c r="AV2" s="7">
        <f t="shared" si="2"/>
        <v>0</v>
      </c>
      <c r="AW2" s="7">
        <f t="shared" si="2"/>
        <v>0</v>
      </c>
      <c r="AX2" s="7">
        <f t="shared" si="2"/>
        <v>0</v>
      </c>
      <c r="AY2" s="7">
        <f t="shared" si="2"/>
        <v>0</v>
      </c>
      <c r="AZ2" s="7">
        <f t="shared" si="2"/>
        <v>0</v>
      </c>
      <c r="BA2" s="7">
        <f t="shared" si="2"/>
        <v>0</v>
      </c>
    </row>
    <row r="3" spans="1:56" ht="12.75">
      <c r="A3" s="5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0"/>
      <c r="AA3" s="9"/>
      <c r="AB3" s="9"/>
      <c r="AC3" s="9"/>
      <c r="AD3" s="9"/>
      <c r="AE3" s="9"/>
      <c r="AF3" s="9"/>
      <c r="AG3" s="9"/>
      <c r="AH3" s="9"/>
      <c r="AI3" s="9"/>
      <c r="AJ3" s="9"/>
      <c r="AK3" s="11"/>
      <c r="AL3" s="9"/>
      <c r="AM3" s="9"/>
      <c r="AN3" s="9"/>
      <c r="AO3" s="9"/>
      <c r="AP3" s="9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6" ht="12.75" hidden="1">
      <c r="A4" s="12"/>
      <c r="B4" s="13" t="s">
        <v>1</v>
      </c>
      <c r="C4" s="14">
        <f t="shared" ref="C4:L4" si="3">DATE(C5,12,31)</f>
        <v>40908</v>
      </c>
      <c r="D4" s="14">
        <f t="shared" si="3"/>
        <v>41274</v>
      </c>
      <c r="E4" s="14">
        <f t="shared" si="3"/>
        <v>41639</v>
      </c>
      <c r="F4" s="14">
        <f t="shared" si="3"/>
        <v>42004</v>
      </c>
      <c r="G4" s="14">
        <f t="shared" si="3"/>
        <v>42369</v>
      </c>
      <c r="H4" s="14">
        <f t="shared" si="3"/>
        <v>42735</v>
      </c>
      <c r="I4" s="14">
        <f t="shared" si="3"/>
        <v>43100</v>
      </c>
      <c r="J4" s="14">
        <f t="shared" si="3"/>
        <v>43465</v>
      </c>
      <c r="K4" s="14">
        <f t="shared" si="3"/>
        <v>43830</v>
      </c>
      <c r="L4" s="14">
        <f t="shared" si="3"/>
        <v>44196</v>
      </c>
      <c r="M4" s="15"/>
      <c r="N4" s="14">
        <v>40633</v>
      </c>
      <c r="O4" s="14">
        <f t="shared" ref="O4:BA4" si="4">EOMONTH(N4,3)</f>
        <v>40724</v>
      </c>
      <c r="P4" s="14">
        <f t="shared" si="4"/>
        <v>40816</v>
      </c>
      <c r="Q4" s="14">
        <f t="shared" si="4"/>
        <v>40908</v>
      </c>
      <c r="R4" s="14">
        <f t="shared" si="4"/>
        <v>40999</v>
      </c>
      <c r="S4" s="14">
        <f t="shared" si="4"/>
        <v>41090</v>
      </c>
      <c r="T4" s="14">
        <f t="shared" si="4"/>
        <v>41182</v>
      </c>
      <c r="U4" s="14">
        <f t="shared" si="4"/>
        <v>41274</v>
      </c>
      <c r="V4" s="14">
        <f t="shared" si="4"/>
        <v>41364</v>
      </c>
      <c r="W4" s="14">
        <f t="shared" si="4"/>
        <v>41455</v>
      </c>
      <c r="X4" s="14">
        <f t="shared" si="4"/>
        <v>41547</v>
      </c>
      <c r="Y4" s="14">
        <f t="shared" si="4"/>
        <v>41639</v>
      </c>
      <c r="Z4" s="14">
        <f t="shared" si="4"/>
        <v>41729</v>
      </c>
      <c r="AA4" s="14">
        <f t="shared" si="4"/>
        <v>41820</v>
      </c>
      <c r="AB4" s="14">
        <f t="shared" si="4"/>
        <v>41912</v>
      </c>
      <c r="AC4" s="14">
        <f t="shared" si="4"/>
        <v>42004</v>
      </c>
      <c r="AD4" s="14">
        <f t="shared" si="4"/>
        <v>42094</v>
      </c>
      <c r="AE4" s="14">
        <f t="shared" si="4"/>
        <v>42185</v>
      </c>
      <c r="AF4" s="14">
        <f t="shared" si="4"/>
        <v>42277</v>
      </c>
      <c r="AG4" s="14">
        <f t="shared" si="4"/>
        <v>42369</v>
      </c>
      <c r="AH4" s="14">
        <f t="shared" si="4"/>
        <v>42460</v>
      </c>
      <c r="AI4" s="14">
        <f t="shared" si="4"/>
        <v>42551</v>
      </c>
      <c r="AJ4" s="14">
        <f t="shared" si="4"/>
        <v>42643</v>
      </c>
      <c r="AK4" s="14">
        <f t="shared" si="4"/>
        <v>42735</v>
      </c>
      <c r="AL4" s="14">
        <f t="shared" si="4"/>
        <v>42825</v>
      </c>
      <c r="AM4" s="14">
        <f t="shared" si="4"/>
        <v>42916</v>
      </c>
      <c r="AN4" s="14">
        <f t="shared" si="4"/>
        <v>43008</v>
      </c>
      <c r="AO4" s="14">
        <f t="shared" si="4"/>
        <v>43100</v>
      </c>
      <c r="AP4" s="14">
        <f t="shared" si="4"/>
        <v>43190</v>
      </c>
      <c r="AQ4" s="14">
        <f t="shared" si="4"/>
        <v>43281</v>
      </c>
      <c r="AR4" s="14">
        <f t="shared" si="4"/>
        <v>43373</v>
      </c>
      <c r="AS4" s="14">
        <f t="shared" si="4"/>
        <v>43465</v>
      </c>
      <c r="AT4" s="14">
        <f t="shared" si="4"/>
        <v>43555</v>
      </c>
      <c r="AU4" s="14">
        <f t="shared" si="4"/>
        <v>43646</v>
      </c>
      <c r="AV4" s="14">
        <f t="shared" si="4"/>
        <v>43738</v>
      </c>
      <c r="AW4" s="14">
        <f t="shared" si="4"/>
        <v>43830</v>
      </c>
      <c r="AX4" s="14">
        <f t="shared" si="4"/>
        <v>43921</v>
      </c>
      <c r="AY4" s="14">
        <f t="shared" si="4"/>
        <v>44012</v>
      </c>
      <c r="AZ4" s="14">
        <f t="shared" si="4"/>
        <v>44104</v>
      </c>
      <c r="BA4" s="14">
        <f t="shared" si="4"/>
        <v>44196</v>
      </c>
    </row>
    <row r="5" spans="1:56" ht="12.75" hidden="1">
      <c r="A5" s="12"/>
      <c r="B5" s="13" t="s">
        <v>2</v>
      </c>
      <c r="C5" s="16">
        <v>2011</v>
      </c>
      <c r="D5" s="16">
        <v>2012</v>
      </c>
      <c r="E5" s="16">
        <v>2013</v>
      </c>
      <c r="F5" s="16">
        <v>2014</v>
      </c>
      <c r="G5" s="16">
        <v>2015</v>
      </c>
      <c r="H5" s="16">
        <v>2016</v>
      </c>
      <c r="I5" s="16">
        <v>2017</v>
      </c>
      <c r="J5" s="16">
        <v>2018</v>
      </c>
      <c r="K5" s="16">
        <f>+J5+1</f>
        <v>2019</v>
      </c>
      <c r="L5" s="16">
        <f>+K5+1</f>
        <v>2020</v>
      </c>
      <c r="M5" s="17"/>
      <c r="N5" s="18">
        <v>2011</v>
      </c>
      <c r="O5" s="18">
        <v>2011</v>
      </c>
      <c r="P5" s="18">
        <v>2011</v>
      </c>
      <c r="Q5" s="18">
        <v>2011</v>
      </c>
      <c r="R5" s="18">
        <f t="shared" ref="R5:BA5" si="5">N5+1</f>
        <v>2012</v>
      </c>
      <c r="S5" s="18">
        <f t="shared" si="5"/>
        <v>2012</v>
      </c>
      <c r="T5" s="18">
        <f t="shared" si="5"/>
        <v>2012</v>
      </c>
      <c r="U5" s="18">
        <f t="shared" si="5"/>
        <v>2012</v>
      </c>
      <c r="V5" s="18">
        <f t="shared" si="5"/>
        <v>2013</v>
      </c>
      <c r="W5" s="18">
        <f t="shared" si="5"/>
        <v>2013</v>
      </c>
      <c r="X5" s="18">
        <f t="shared" si="5"/>
        <v>2013</v>
      </c>
      <c r="Y5" s="18">
        <f t="shared" si="5"/>
        <v>2013</v>
      </c>
      <c r="Z5" s="18">
        <f t="shared" si="5"/>
        <v>2014</v>
      </c>
      <c r="AA5" s="18">
        <f t="shared" si="5"/>
        <v>2014</v>
      </c>
      <c r="AB5" s="18">
        <f t="shared" si="5"/>
        <v>2014</v>
      </c>
      <c r="AC5" s="18">
        <f t="shared" si="5"/>
        <v>2014</v>
      </c>
      <c r="AD5" s="18">
        <f t="shared" si="5"/>
        <v>2015</v>
      </c>
      <c r="AE5" s="18">
        <f t="shared" si="5"/>
        <v>2015</v>
      </c>
      <c r="AF5" s="18">
        <f t="shared" si="5"/>
        <v>2015</v>
      </c>
      <c r="AG5" s="18">
        <f t="shared" si="5"/>
        <v>2015</v>
      </c>
      <c r="AH5" s="18">
        <f t="shared" si="5"/>
        <v>2016</v>
      </c>
      <c r="AI5" s="18">
        <f t="shared" si="5"/>
        <v>2016</v>
      </c>
      <c r="AJ5" s="18">
        <f t="shared" si="5"/>
        <v>2016</v>
      </c>
      <c r="AK5" s="18">
        <f t="shared" si="5"/>
        <v>2016</v>
      </c>
      <c r="AL5" s="18">
        <f t="shared" si="5"/>
        <v>2017</v>
      </c>
      <c r="AM5" s="18">
        <f t="shared" si="5"/>
        <v>2017</v>
      </c>
      <c r="AN5" s="18">
        <f t="shared" si="5"/>
        <v>2017</v>
      </c>
      <c r="AO5" s="18">
        <f t="shared" si="5"/>
        <v>2017</v>
      </c>
      <c r="AP5" s="18">
        <f t="shared" si="5"/>
        <v>2018</v>
      </c>
      <c r="AQ5" s="18">
        <f t="shared" si="5"/>
        <v>2018</v>
      </c>
      <c r="AR5" s="18">
        <f t="shared" si="5"/>
        <v>2018</v>
      </c>
      <c r="AS5" s="18">
        <f t="shared" si="5"/>
        <v>2018</v>
      </c>
      <c r="AT5" s="18">
        <f t="shared" si="5"/>
        <v>2019</v>
      </c>
      <c r="AU5" s="18">
        <f t="shared" si="5"/>
        <v>2019</v>
      </c>
      <c r="AV5" s="18">
        <f t="shared" si="5"/>
        <v>2019</v>
      </c>
      <c r="AW5" s="18">
        <f t="shared" si="5"/>
        <v>2019</v>
      </c>
      <c r="AX5" s="18">
        <f t="shared" si="5"/>
        <v>2020</v>
      </c>
      <c r="AY5" s="18">
        <f t="shared" si="5"/>
        <v>2020</v>
      </c>
      <c r="AZ5" s="18">
        <f t="shared" si="5"/>
        <v>2020</v>
      </c>
      <c r="BA5" s="18">
        <f t="shared" si="5"/>
        <v>2020</v>
      </c>
    </row>
    <row r="6" spans="1:56" ht="12.75" hidden="1">
      <c r="A6" s="12"/>
      <c r="B6" s="13" t="s">
        <v>3</v>
      </c>
      <c r="C6" s="19">
        <f>D6</f>
        <v>365</v>
      </c>
      <c r="D6" s="19">
        <f>E6</f>
        <v>365</v>
      </c>
      <c r="E6" s="19">
        <f>F6</f>
        <v>365</v>
      </c>
      <c r="F6" s="19">
        <f>G6</f>
        <v>365</v>
      </c>
      <c r="G6" s="19">
        <f t="shared" ref="G6:L6" si="6">G4-F4</f>
        <v>365</v>
      </c>
      <c r="H6" s="19">
        <f t="shared" si="6"/>
        <v>366</v>
      </c>
      <c r="I6" s="19">
        <f t="shared" si="6"/>
        <v>365</v>
      </c>
      <c r="J6" s="19">
        <f t="shared" si="6"/>
        <v>365</v>
      </c>
      <c r="K6" s="19">
        <f t="shared" si="6"/>
        <v>365</v>
      </c>
      <c r="L6" s="19">
        <f t="shared" si="6"/>
        <v>366</v>
      </c>
      <c r="M6" s="17"/>
      <c r="N6" s="19">
        <v>90</v>
      </c>
      <c r="O6" s="19">
        <f t="shared" ref="O6:BA6" si="7">O4-N4</f>
        <v>91</v>
      </c>
      <c r="P6" s="19">
        <f t="shared" si="7"/>
        <v>92</v>
      </c>
      <c r="Q6" s="19">
        <f t="shared" si="7"/>
        <v>92</v>
      </c>
      <c r="R6" s="19">
        <f t="shared" si="7"/>
        <v>91</v>
      </c>
      <c r="S6" s="19">
        <f t="shared" si="7"/>
        <v>91</v>
      </c>
      <c r="T6" s="19">
        <f t="shared" si="7"/>
        <v>92</v>
      </c>
      <c r="U6" s="19">
        <f t="shared" si="7"/>
        <v>92</v>
      </c>
      <c r="V6" s="19">
        <f t="shared" si="7"/>
        <v>90</v>
      </c>
      <c r="W6" s="19">
        <f t="shared" si="7"/>
        <v>91</v>
      </c>
      <c r="X6" s="19">
        <f t="shared" si="7"/>
        <v>92</v>
      </c>
      <c r="Y6" s="19">
        <f t="shared" si="7"/>
        <v>92</v>
      </c>
      <c r="Z6" s="19">
        <f t="shared" si="7"/>
        <v>90</v>
      </c>
      <c r="AA6" s="19">
        <f t="shared" si="7"/>
        <v>91</v>
      </c>
      <c r="AB6" s="19">
        <f t="shared" si="7"/>
        <v>92</v>
      </c>
      <c r="AC6" s="19">
        <f t="shared" si="7"/>
        <v>92</v>
      </c>
      <c r="AD6" s="19">
        <f t="shared" si="7"/>
        <v>90</v>
      </c>
      <c r="AE6" s="19">
        <f t="shared" si="7"/>
        <v>91</v>
      </c>
      <c r="AF6" s="19">
        <f t="shared" si="7"/>
        <v>92</v>
      </c>
      <c r="AG6" s="19">
        <f t="shared" si="7"/>
        <v>92</v>
      </c>
      <c r="AH6" s="19">
        <f t="shared" si="7"/>
        <v>91</v>
      </c>
      <c r="AI6" s="19">
        <f t="shared" si="7"/>
        <v>91</v>
      </c>
      <c r="AJ6" s="19">
        <f t="shared" si="7"/>
        <v>92</v>
      </c>
      <c r="AK6" s="19">
        <f t="shared" si="7"/>
        <v>92</v>
      </c>
      <c r="AL6" s="19">
        <f t="shared" si="7"/>
        <v>90</v>
      </c>
      <c r="AM6" s="19">
        <f t="shared" si="7"/>
        <v>91</v>
      </c>
      <c r="AN6" s="19">
        <f t="shared" si="7"/>
        <v>92</v>
      </c>
      <c r="AO6" s="19">
        <f t="shared" si="7"/>
        <v>92</v>
      </c>
      <c r="AP6" s="19">
        <f t="shared" si="7"/>
        <v>90</v>
      </c>
      <c r="AQ6" s="19">
        <f t="shared" si="7"/>
        <v>91</v>
      </c>
      <c r="AR6" s="19">
        <f t="shared" si="7"/>
        <v>92</v>
      </c>
      <c r="AS6" s="19">
        <f t="shared" si="7"/>
        <v>92</v>
      </c>
      <c r="AT6" s="19">
        <f t="shared" si="7"/>
        <v>90</v>
      </c>
      <c r="AU6" s="19">
        <f t="shared" si="7"/>
        <v>91</v>
      </c>
      <c r="AV6" s="19">
        <f t="shared" si="7"/>
        <v>92</v>
      </c>
      <c r="AW6" s="19">
        <f t="shared" si="7"/>
        <v>92</v>
      </c>
      <c r="AX6" s="19">
        <f t="shared" si="7"/>
        <v>91</v>
      </c>
      <c r="AY6" s="19">
        <f t="shared" si="7"/>
        <v>91</v>
      </c>
      <c r="AZ6" s="19">
        <f t="shared" si="7"/>
        <v>92</v>
      </c>
      <c r="BA6" s="19">
        <f t="shared" si="7"/>
        <v>92</v>
      </c>
    </row>
    <row r="7" spans="1:56" ht="12.75" customHeight="1">
      <c r="A7" s="5"/>
      <c r="B7" s="20"/>
      <c r="C7" s="21">
        <v>2011</v>
      </c>
      <c r="D7" s="21">
        <v>2012</v>
      </c>
      <c r="E7" s="21">
        <v>2013</v>
      </c>
      <c r="F7" s="21">
        <v>2014</v>
      </c>
      <c r="G7" s="21">
        <v>2015</v>
      </c>
      <c r="H7" s="21">
        <v>2016</v>
      </c>
      <c r="I7" s="21">
        <v>2017</v>
      </c>
      <c r="J7" s="21" t="s">
        <v>4</v>
      </c>
      <c r="K7" s="21" t="s">
        <v>5</v>
      </c>
      <c r="L7" s="21" t="s">
        <v>6</v>
      </c>
      <c r="M7" s="22"/>
      <c r="N7" s="21" t="s">
        <v>39</v>
      </c>
      <c r="O7" s="21" t="s">
        <v>40</v>
      </c>
      <c r="P7" s="21" t="s">
        <v>41</v>
      </c>
      <c r="Q7" s="21" t="s">
        <v>42</v>
      </c>
      <c r="R7" s="21" t="s">
        <v>35</v>
      </c>
      <c r="S7" s="21" t="s">
        <v>36</v>
      </c>
      <c r="T7" s="21" t="s">
        <v>37</v>
      </c>
      <c r="U7" s="21" t="s">
        <v>38</v>
      </c>
      <c r="V7" s="21" t="s">
        <v>31</v>
      </c>
      <c r="W7" s="21" t="s">
        <v>32</v>
      </c>
      <c r="X7" s="21" t="s">
        <v>33</v>
      </c>
      <c r="Y7" s="21" t="s">
        <v>34</v>
      </c>
      <c r="Z7" s="21" t="s">
        <v>7</v>
      </c>
      <c r="AA7" s="21" t="s">
        <v>8</v>
      </c>
      <c r="AB7" s="21" t="s">
        <v>9</v>
      </c>
      <c r="AC7" s="21" t="s">
        <v>10</v>
      </c>
      <c r="AD7" s="21" t="s">
        <v>11</v>
      </c>
      <c r="AE7" s="21" t="s">
        <v>12</v>
      </c>
      <c r="AF7" s="21" t="s">
        <v>13</v>
      </c>
      <c r="AG7" s="21" t="s">
        <v>14</v>
      </c>
      <c r="AH7" s="21" t="s">
        <v>15</v>
      </c>
      <c r="AI7" s="21" t="s">
        <v>16</v>
      </c>
      <c r="AJ7" s="21" t="s">
        <v>17</v>
      </c>
      <c r="AK7" s="21" t="s">
        <v>110</v>
      </c>
      <c r="AL7" s="21" t="s">
        <v>312</v>
      </c>
      <c r="AM7" s="21" t="s">
        <v>320</v>
      </c>
      <c r="AN7" s="21" t="s">
        <v>329</v>
      </c>
      <c r="AO7" s="21" t="s">
        <v>335</v>
      </c>
      <c r="AP7" s="21" t="s">
        <v>18</v>
      </c>
      <c r="AQ7" s="21" t="s">
        <v>19</v>
      </c>
      <c r="AR7" s="21" t="s">
        <v>20</v>
      </c>
      <c r="AS7" s="21" t="s">
        <v>21</v>
      </c>
      <c r="AT7" s="21" t="s">
        <v>22</v>
      </c>
      <c r="AU7" s="21" t="s">
        <v>23</v>
      </c>
      <c r="AV7" s="21" t="s">
        <v>24</v>
      </c>
      <c r="AW7" s="21" t="s">
        <v>25</v>
      </c>
      <c r="AX7" s="21" t="s">
        <v>26</v>
      </c>
      <c r="AY7" s="21" t="s">
        <v>27</v>
      </c>
      <c r="AZ7" s="21" t="s">
        <v>28</v>
      </c>
      <c r="BA7" s="21" t="s">
        <v>29</v>
      </c>
      <c r="BD7" s="186" t="s">
        <v>30</v>
      </c>
    </row>
    <row r="8" spans="1:56">
      <c r="A8" s="38" t="s">
        <v>71</v>
      </c>
      <c r="B8" s="23" t="s">
        <v>43</v>
      </c>
      <c r="E8" s="87"/>
    </row>
    <row r="9" spans="1:56" outlineLevel="1">
      <c r="B9" s="24" t="s">
        <v>44</v>
      </c>
      <c r="C9" s="33">
        <f t="shared" ref="C9:L9" si="8">C$7</f>
        <v>2011</v>
      </c>
      <c r="D9" s="33">
        <f t="shared" si="8"/>
        <v>2012</v>
      </c>
      <c r="E9" s="33">
        <f t="shared" si="8"/>
        <v>2013</v>
      </c>
      <c r="F9" s="33">
        <f t="shared" si="8"/>
        <v>2014</v>
      </c>
      <c r="G9" s="33">
        <f t="shared" si="8"/>
        <v>2015</v>
      </c>
      <c r="H9" s="33">
        <f t="shared" si="8"/>
        <v>2016</v>
      </c>
      <c r="I9" s="33">
        <f t="shared" si="8"/>
        <v>2017</v>
      </c>
      <c r="J9" s="33" t="str">
        <f t="shared" si="8"/>
        <v>2018E</v>
      </c>
      <c r="K9" s="33" t="str">
        <f t="shared" si="8"/>
        <v>2019E</v>
      </c>
      <c r="L9" s="33" t="str">
        <f t="shared" si="8"/>
        <v>2020E</v>
      </c>
      <c r="N9" s="33" t="str">
        <f t="shared" ref="N9:BA9" si="9">N$7</f>
        <v>1Q11</v>
      </c>
      <c r="O9" s="33" t="str">
        <f t="shared" si="9"/>
        <v>2Q11</v>
      </c>
      <c r="P9" s="33" t="str">
        <f t="shared" si="9"/>
        <v>3Q11</v>
      </c>
      <c r="Q9" s="33" t="str">
        <f t="shared" si="9"/>
        <v>4Q11</v>
      </c>
      <c r="R9" s="33" t="str">
        <f t="shared" si="9"/>
        <v>1Q12</v>
      </c>
      <c r="S9" s="33" t="str">
        <f t="shared" si="9"/>
        <v>2Q12</v>
      </c>
      <c r="T9" s="33" t="str">
        <f t="shared" si="9"/>
        <v>3Q12</v>
      </c>
      <c r="U9" s="33" t="str">
        <f t="shared" si="9"/>
        <v>4Q12</v>
      </c>
      <c r="V9" s="33" t="str">
        <f t="shared" si="9"/>
        <v>1Q13</v>
      </c>
      <c r="W9" s="33" t="str">
        <f t="shared" si="9"/>
        <v>2Q13</v>
      </c>
      <c r="X9" s="33" t="str">
        <f t="shared" si="9"/>
        <v>3Q13</v>
      </c>
      <c r="Y9" s="33" t="str">
        <f t="shared" si="9"/>
        <v>4Q13</v>
      </c>
      <c r="Z9" s="33" t="str">
        <f t="shared" si="9"/>
        <v>1Q14</v>
      </c>
      <c r="AA9" s="33" t="str">
        <f t="shared" si="9"/>
        <v>2Q14</v>
      </c>
      <c r="AB9" s="33" t="str">
        <f t="shared" si="9"/>
        <v>3Q14</v>
      </c>
      <c r="AC9" s="33" t="str">
        <f t="shared" si="9"/>
        <v>4Q14</v>
      </c>
      <c r="AD9" s="33" t="str">
        <f t="shared" si="9"/>
        <v>1Q15</v>
      </c>
      <c r="AE9" s="33" t="str">
        <f t="shared" si="9"/>
        <v>2Q15</v>
      </c>
      <c r="AF9" s="33" t="str">
        <f t="shared" si="9"/>
        <v>3Q15</v>
      </c>
      <c r="AG9" s="33" t="str">
        <f t="shared" si="9"/>
        <v>4Q15</v>
      </c>
      <c r="AH9" s="33" t="str">
        <f t="shared" si="9"/>
        <v>1Q16</v>
      </c>
      <c r="AI9" s="33" t="str">
        <f t="shared" si="9"/>
        <v>2Q16</v>
      </c>
      <c r="AJ9" s="33" t="str">
        <f t="shared" si="9"/>
        <v>3Q16</v>
      </c>
      <c r="AK9" s="33" t="str">
        <f t="shared" si="9"/>
        <v>4Q16</v>
      </c>
      <c r="AL9" s="33" t="str">
        <f t="shared" si="9"/>
        <v>1Q17</v>
      </c>
      <c r="AM9" s="33" t="str">
        <f t="shared" si="9"/>
        <v>2Q17</v>
      </c>
      <c r="AN9" s="33" t="str">
        <f t="shared" si="9"/>
        <v>3Q17</v>
      </c>
      <c r="AO9" s="33" t="str">
        <f t="shared" si="9"/>
        <v>4Q17</v>
      </c>
      <c r="AP9" s="33" t="str">
        <f t="shared" si="9"/>
        <v>1Q18E</v>
      </c>
      <c r="AQ9" s="33" t="str">
        <f t="shared" si="9"/>
        <v>2Q18E</v>
      </c>
      <c r="AR9" s="33" t="str">
        <f t="shared" si="9"/>
        <v>3Q18E</v>
      </c>
      <c r="AS9" s="33" t="str">
        <f t="shared" si="9"/>
        <v>4Q18E</v>
      </c>
      <c r="AT9" s="33" t="str">
        <f t="shared" si="9"/>
        <v>1Q19E</v>
      </c>
      <c r="AU9" s="33" t="str">
        <f t="shared" si="9"/>
        <v>2Q19E</v>
      </c>
      <c r="AV9" s="33" t="str">
        <f t="shared" si="9"/>
        <v>3Q19E</v>
      </c>
      <c r="AW9" s="33" t="str">
        <f t="shared" si="9"/>
        <v>4Q19E</v>
      </c>
      <c r="AX9" s="33" t="str">
        <f t="shared" si="9"/>
        <v>1Q20E</v>
      </c>
      <c r="AY9" s="33" t="str">
        <f t="shared" si="9"/>
        <v>2Q20E</v>
      </c>
      <c r="AZ9" s="33" t="str">
        <f t="shared" si="9"/>
        <v>3Q20E</v>
      </c>
      <c r="BA9" s="33" t="str">
        <f t="shared" si="9"/>
        <v>4Q20E</v>
      </c>
      <c r="BD9" s="186">
        <v>1</v>
      </c>
    </row>
    <row r="10" spans="1:56" outlineLevel="1">
      <c r="B10" s="25" t="s">
        <v>45</v>
      </c>
      <c r="C10" s="35"/>
      <c r="D10" s="35"/>
      <c r="E10" s="35"/>
      <c r="F10" s="35"/>
      <c r="G10" s="35"/>
      <c r="H10" s="35"/>
      <c r="I10" s="35"/>
      <c r="J10" s="188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188"/>
      <c r="AM10" s="188"/>
      <c r="AN10" s="188"/>
      <c r="AO10" s="188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D10" s="186">
        <f t="shared" ref="BD10:BD41" si="10">+BD9+1</f>
        <v>2</v>
      </c>
    </row>
    <row r="11" spans="1:56" outlineLevel="1">
      <c r="B11" s="26" t="s">
        <v>46</v>
      </c>
      <c r="C11" s="48">
        <f t="shared" ref="C11:D13" si="11">SUMIFS($N11:$BB11,$N$5:$BB$5,C$5)</f>
        <v>1927.3310000000001</v>
      </c>
      <c r="D11" s="48">
        <f t="shared" si="11"/>
        <v>2434.1679999999997</v>
      </c>
      <c r="E11" s="85">
        <v>1933</v>
      </c>
      <c r="F11" s="85">
        <v>2597</v>
      </c>
      <c r="G11" s="103">
        <v>1327</v>
      </c>
      <c r="H11" s="35">
        <f t="shared" ref="H11:L13" si="12">SUMIFS($N11:$BB11,$N$5:$BB$5,H$5)</f>
        <v>544</v>
      </c>
      <c r="I11" s="35">
        <f t="shared" si="12"/>
        <v>1256.511</v>
      </c>
      <c r="J11" s="35">
        <f t="shared" si="12"/>
        <v>2157.7000710679349</v>
      </c>
      <c r="K11" s="35">
        <f t="shared" si="12"/>
        <v>2755.9667270450745</v>
      </c>
      <c r="L11" s="35">
        <f t="shared" si="12"/>
        <v>2829.9545244367482</v>
      </c>
      <c r="M11" s="35"/>
      <c r="N11" s="35">
        <f t="shared" ref="N11:AD11" si="13">N388</f>
        <v>385.06299999999999</v>
      </c>
      <c r="O11" s="35">
        <f t="shared" si="13"/>
        <v>426.04699999999997</v>
      </c>
      <c r="P11" s="35">
        <f t="shared" si="13"/>
        <v>547.17600000000004</v>
      </c>
      <c r="Q11" s="35">
        <f t="shared" si="13"/>
        <v>569.04499999999996</v>
      </c>
      <c r="R11" s="35">
        <f t="shared" si="13"/>
        <v>601.58799999999997</v>
      </c>
      <c r="S11" s="35">
        <f t="shared" si="13"/>
        <v>634.95099999999991</v>
      </c>
      <c r="T11" s="35">
        <f t="shared" si="13"/>
        <v>653.9380000000001</v>
      </c>
      <c r="U11" s="35">
        <f t="shared" si="13"/>
        <v>543.69100000000003</v>
      </c>
      <c r="V11" s="35">
        <f t="shared" si="13"/>
        <v>501.78899999999999</v>
      </c>
      <c r="W11" s="35">
        <f t="shared" si="13"/>
        <v>488.47199999999998</v>
      </c>
      <c r="X11" s="35">
        <f t="shared" si="13"/>
        <v>494.25099999999998</v>
      </c>
      <c r="Y11" s="35">
        <f t="shared" si="13"/>
        <v>494.21900000000005</v>
      </c>
      <c r="Z11" s="35">
        <f t="shared" si="13"/>
        <v>504.43599999999992</v>
      </c>
      <c r="AA11" s="35">
        <f t="shared" si="13"/>
        <v>601.46</v>
      </c>
      <c r="AB11" s="35">
        <f t="shared" si="13"/>
        <v>747.30499999999995</v>
      </c>
      <c r="AC11" s="35">
        <f t="shared" si="13"/>
        <v>796.70399999999984</v>
      </c>
      <c r="AD11" s="35">
        <f t="shared" si="13"/>
        <v>552.87400000000002</v>
      </c>
      <c r="AE11" s="47">
        <v>332.49900000000002</v>
      </c>
      <c r="AF11" s="47">
        <v>256.90699999999998</v>
      </c>
      <c r="AG11" s="47">
        <v>256.60000000000002</v>
      </c>
      <c r="AH11" s="50">
        <v>152</v>
      </c>
      <c r="AI11" s="50">
        <v>124</v>
      </c>
      <c r="AJ11" s="50">
        <v>128</v>
      </c>
      <c r="AK11" s="50">
        <v>140</v>
      </c>
      <c r="AL11" s="198">
        <v>217.9</v>
      </c>
      <c r="AM11" s="201">
        <v>294.14699999999999</v>
      </c>
      <c r="AN11" s="201">
        <v>344.94099999999997</v>
      </c>
      <c r="AO11" s="201">
        <f>1256.511-AN11-AM11-AL11</f>
        <v>399.52300000000002</v>
      </c>
      <c r="AP11" s="35">
        <f t="shared" ref="AP11:BA11" si="14">+AO11*(1+AP43)</f>
        <v>458.96662022282817</v>
      </c>
      <c r="AQ11" s="35">
        <f t="shared" si="14"/>
        <v>505.93415875171883</v>
      </c>
      <c r="AR11" s="35">
        <f t="shared" si="14"/>
        <v>575.33257044115373</v>
      </c>
      <c r="AS11" s="35">
        <f t="shared" si="14"/>
        <v>617.46672165223447</v>
      </c>
      <c r="AT11" s="35">
        <f t="shared" si="14"/>
        <v>656.68230784807133</v>
      </c>
      <c r="AU11" s="35">
        <f t="shared" si="14"/>
        <v>684.30715697862934</v>
      </c>
      <c r="AV11" s="35">
        <f t="shared" si="14"/>
        <v>707.48863110918705</v>
      </c>
      <c r="AW11" s="35">
        <f t="shared" si="14"/>
        <v>707.48863110918705</v>
      </c>
      <c r="AX11" s="35">
        <f t="shared" si="14"/>
        <v>707.48863110918705</v>
      </c>
      <c r="AY11" s="35">
        <f t="shared" si="14"/>
        <v>707.48863110918705</v>
      </c>
      <c r="AZ11" s="35">
        <f t="shared" si="14"/>
        <v>707.48863110918705</v>
      </c>
      <c r="BA11" s="35">
        <f t="shared" si="14"/>
        <v>707.48863110918705</v>
      </c>
      <c r="BD11" s="186">
        <f t="shared" si="10"/>
        <v>3</v>
      </c>
    </row>
    <row r="12" spans="1:56" outlineLevel="1">
      <c r="B12" s="26" t="s">
        <v>47</v>
      </c>
      <c r="C12" s="48">
        <f t="shared" si="11"/>
        <v>929.22199999999998</v>
      </c>
      <c r="D12" s="48">
        <f t="shared" si="11"/>
        <v>1140.973</v>
      </c>
      <c r="E12" s="85">
        <v>1202</v>
      </c>
      <c r="F12" s="85">
        <v>1244</v>
      </c>
      <c r="G12" s="103">
        <v>759</v>
      </c>
      <c r="H12" s="35">
        <f t="shared" si="12"/>
        <v>420</v>
      </c>
      <c r="I12" s="35">
        <f t="shared" si="12"/>
        <v>382.22800000000007</v>
      </c>
      <c r="J12" s="35">
        <f t="shared" si="12"/>
        <v>400.46860625288514</v>
      </c>
      <c r="K12" s="35">
        <f t="shared" si="12"/>
        <v>453.62002890853734</v>
      </c>
      <c r="L12" s="35">
        <f t="shared" si="12"/>
        <v>494.12235555858155</v>
      </c>
      <c r="M12" s="35"/>
      <c r="N12" s="35">
        <f t="shared" ref="N12:AD12" si="15">N393</f>
        <v>195.09200000000001</v>
      </c>
      <c r="O12" s="35">
        <f t="shared" si="15"/>
        <v>207.95599999999999</v>
      </c>
      <c r="P12" s="35">
        <f t="shared" si="15"/>
        <v>254.13299999999998</v>
      </c>
      <c r="Q12" s="35">
        <f t="shared" si="15"/>
        <v>272.041</v>
      </c>
      <c r="R12" s="35">
        <f t="shared" si="15"/>
        <v>292.75900000000001</v>
      </c>
      <c r="S12" s="35">
        <f t="shared" si="15"/>
        <v>271.48</v>
      </c>
      <c r="T12" s="35">
        <f t="shared" si="15"/>
        <v>289.92700000000002</v>
      </c>
      <c r="U12" s="35">
        <f t="shared" si="15"/>
        <v>286.80700000000002</v>
      </c>
      <c r="V12" s="35">
        <f t="shared" si="15"/>
        <v>287.971</v>
      </c>
      <c r="W12" s="35">
        <f t="shared" si="15"/>
        <v>277.10199999999998</v>
      </c>
      <c r="X12" s="35">
        <f t="shared" si="15"/>
        <v>281.00600000000003</v>
      </c>
      <c r="Y12" s="35">
        <f t="shared" si="15"/>
        <v>329.43899999999996</v>
      </c>
      <c r="Z12" s="35">
        <f t="shared" si="15"/>
        <v>315.39999999999998</v>
      </c>
      <c r="AA12" s="35">
        <f t="shared" si="15"/>
        <v>301.47800000000001</v>
      </c>
      <c r="AB12" s="35">
        <f t="shared" si="15"/>
        <v>304.56299999999999</v>
      </c>
      <c r="AC12" s="35">
        <f t="shared" si="15"/>
        <v>288.49700000000001</v>
      </c>
      <c r="AD12" s="35">
        <f t="shared" si="15"/>
        <v>214.977</v>
      </c>
      <c r="AE12" s="47">
        <v>153.09200000000001</v>
      </c>
      <c r="AF12" s="47">
        <v>150.88399999999999</v>
      </c>
      <c r="AG12" s="47">
        <v>135.69999999999999</v>
      </c>
      <c r="AH12" s="50">
        <v>116</v>
      </c>
      <c r="AI12" s="50">
        <v>99</v>
      </c>
      <c r="AJ12" s="50">
        <v>103</v>
      </c>
      <c r="AK12" s="50">
        <v>102</v>
      </c>
      <c r="AL12" s="198">
        <f>314.194-AL11</f>
        <v>96.294000000000011</v>
      </c>
      <c r="AM12" s="201">
        <v>95.995999999999995</v>
      </c>
      <c r="AN12" s="201">
        <v>97.710999999999999</v>
      </c>
      <c r="AO12" s="201">
        <f>382.228-AN12-AM12-AL12</f>
        <v>92.227000000000004</v>
      </c>
      <c r="AP12" s="35">
        <f t="shared" ref="AP12:BA12" si="16">+AO12*(1+AP44)</f>
        <v>96.156801563085224</v>
      </c>
      <c r="AQ12" s="35">
        <f t="shared" si="16"/>
        <v>100.23938691995554</v>
      </c>
      <c r="AR12" s="35">
        <f t="shared" si="16"/>
        <v>101.43726822993331</v>
      </c>
      <c r="AS12" s="35">
        <f t="shared" si="16"/>
        <v>102.63514953991111</v>
      </c>
      <c r="AT12" s="35">
        <f t="shared" si="16"/>
        <v>105.01861070841423</v>
      </c>
      <c r="AU12" s="35">
        <f t="shared" si="16"/>
        <v>110.54264793624597</v>
      </c>
      <c r="AV12" s="35">
        <f t="shared" si="16"/>
        <v>116.16666404756346</v>
      </c>
      <c r="AW12" s="35">
        <f t="shared" si="16"/>
        <v>121.89210621631366</v>
      </c>
      <c r="AX12" s="35">
        <f t="shared" si="16"/>
        <v>123.53058888964539</v>
      </c>
      <c r="AY12" s="35">
        <f t="shared" si="16"/>
        <v>123.53058888964539</v>
      </c>
      <c r="AZ12" s="35">
        <f t="shared" si="16"/>
        <v>123.53058888964539</v>
      </c>
      <c r="BA12" s="35">
        <f t="shared" si="16"/>
        <v>123.53058888964539</v>
      </c>
      <c r="BD12" s="186">
        <f t="shared" si="10"/>
        <v>4</v>
      </c>
    </row>
    <row r="13" spans="1:56" outlineLevel="1">
      <c r="B13" s="26" t="s">
        <v>48</v>
      </c>
      <c r="C13" s="48">
        <f t="shared" si="11"/>
        <v>0</v>
      </c>
      <c r="D13" s="48">
        <f t="shared" si="11"/>
        <v>0</v>
      </c>
      <c r="E13" s="103">
        <v>12</v>
      </c>
      <c r="F13" s="103">
        <v>20</v>
      </c>
      <c r="G13" s="103">
        <v>28</v>
      </c>
      <c r="H13" s="35">
        <f t="shared" si="12"/>
        <v>7.142000000000003</v>
      </c>
      <c r="I13" s="35">
        <f t="shared" si="12"/>
        <v>0</v>
      </c>
      <c r="J13" s="35">
        <f t="shared" si="12"/>
        <v>0</v>
      </c>
      <c r="K13" s="35">
        <f t="shared" si="12"/>
        <v>0</v>
      </c>
      <c r="L13" s="35">
        <f t="shared" si="12"/>
        <v>0</v>
      </c>
      <c r="M13" s="35"/>
      <c r="N13" s="41">
        <v>0</v>
      </c>
      <c r="O13" s="41">
        <v>0</v>
      </c>
      <c r="P13" s="41">
        <v>0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7">
        <v>25.574000000000002</v>
      </c>
      <c r="AF13" s="47">
        <v>19.706</v>
      </c>
      <c r="AG13" s="47">
        <v>16.711000000000013</v>
      </c>
      <c r="AH13" s="50">
        <v>1.615</v>
      </c>
      <c r="AI13" s="50">
        <v>2.1680000000000001</v>
      </c>
      <c r="AJ13" s="50">
        <v>1.5369999999999999</v>
      </c>
      <c r="AK13" s="50">
        <v>1.8220000000000027</v>
      </c>
      <c r="AL13" s="199">
        <v>0</v>
      </c>
      <c r="AM13" s="202">
        <v>0</v>
      </c>
      <c r="AN13" s="202">
        <v>0</v>
      </c>
      <c r="AO13" s="202">
        <v>0</v>
      </c>
      <c r="AP13" s="41">
        <f t="shared" ref="AP13:BA13" si="17">AO13</f>
        <v>0</v>
      </c>
      <c r="AQ13" s="41">
        <f t="shared" si="17"/>
        <v>0</v>
      </c>
      <c r="AR13" s="41">
        <f t="shared" si="17"/>
        <v>0</v>
      </c>
      <c r="AS13" s="41">
        <f t="shared" si="17"/>
        <v>0</v>
      </c>
      <c r="AT13" s="41">
        <f t="shared" si="17"/>
        <v>0</v>
      </c>
      <c r="AU13" s="41">
        <f t="shared" si="17"/>
        <v>0</v>
      </c>
      <c r="AV13" s="41">
        <f t="shared" si="17"/>
        <v>0</v>
      </c>
      <c r="AW13" s="41">
        <f t="shared" si="17"/>
        <v>0</v>
      </c>
      <c r="AX13" s="41">
        <f t="shared" si="17"/>
        <v>0</v>
      </c>
      <c r="AY13" s="41">
        <f t="shared" si="17"/>
        <v>0</v>
      </c>
      <c r="AZ13" s="41">
        <f t="shared" si="17"/>
        <v>0</v>
      </c>
      <c r="BA13" s="41">
        <f t="shared" si="17"/>
        <v>0</v>
      </c>
      <c r="BD13" s="186">
        <f t="shared" si="10"/>
        <v>5</v>
      </c>
    </row>
    <row r="14" spans="1:56" outlineLevel="1">
      <c r="B14" s="27" t="s">
        <v>49</v>
      </c>
      <c r="C14" s="36">
        <f t="shared" ref="C14:L14" si="18">SUM(C11:C13)</f>
        <v>2856.5529999999999</v>
      </c>
      <c r="D14" s="36">
        <f t="shared" si="18"/>
        <v>3575.1409999999996</v>
      </c>
      <c r="E14" s="183">
        <f t="shared" si="18"/>
        <v>3147</v>
      </c>
      <c r="F14" s="183">
        <f t="shared" si="18"/>
        <v>3861</v>
      </c>
      <c r="G14" s="183">
        <f t="shared" si="18"/>
        <v>2114</v>
      </c>
      <c r="H14" s="36">
        <f t="shared" si="18"/>
        <v>971.14200000000005</v>
      </c>
      <c r="I14" s="36">
        <f t="shared" si="18"/>
        <v>1638.739</v>
      </c>
      <c r="J14" s="36">
        <f t="shared" si="18"/>
        <v>2558.1686773208203</v>
      </c>
      <c r="K14" s="36">
        <f t="shared" si="18"/>
        <v>3209.5867559536118</v>
      </c>
      <c r="L14" s="36">
        <f t="shared" si="18"/>
        <v>3324.0768799953298</v>
      </c>
      <c r="M14" s="35"/>
      <c r="N14" s="36">
        <f t="shared" ref="N14:BA14" si="19">SUM(N11:N13)</f>
        <v>580.15499999999997</v>
      </c>
      <c r="O14" s="36">
        <f t="shared" si="19"/>
        <v>634.00299999999993</v>
      </c>
      <c r="P14" s="36">
        <f t="shared" si="19"/>
        <v>801.30899999999997</v>
      </c>
      <c r="Q14" s="36">
        <f t="shared" si="19"/>
        <v>841.08600000000001</v>
      </c>
      <c r="R14" s="36">
        <f t="shared" si="19"/>
        <v>894.34699999999998</v>
      </c>
      <c r="S14" s="36">
        <f t="shared" si="19"/>
        <v>906.43099999999993</v>
      </c>
      <c r="T14" s="36">
        <f t="shared" si="19"/>
        <v>943.86500000000012</v>
      </c>
      <c r="U14" s="36">
        <f t="shared" si="19"/>
        <v>830.49800000000005</v>
      </c>
      <c r="V14" s="36">
        <f t="shared" si="19"/>
        <v>789.76</v>
      </c>
      <c r="W14" s="36">
        <f t="shared" si="19"/>
        <v>765.57399999999996</v>
      </c>
      <c r="X14" s="36">
        <f t="shared" si="19"/>
        <v>775.25700000000006</v>
      </c>
      <c r="Y14" s="36">
        <f t="shared" si="19"/>
        <v>823.65800000000002</v>
      </c>
      <c r="Z14" s="36">
        <f t="shared" si="19"/>
        <v>819.8359999999999</v>
      </c>
      <c r="AA14" s="36">
        <f t="shared" si="19"/>
        <v>902.9380000000001</v>
      </c>
      <c r="AB14" s="36">
        <f t="shared" si="19"/>
        <v>1051.8679999999999</v>
      </c>
      <c r="AC14" s="36">
        <f t="shared" si="19"/>
        <v>1085.2009999999998</v>
      </c>
      <c r="AD14" s="36">
        <f t="shared" si="19"/>
        <v>767.851</v>
      </c>
      <c r="AE14" s="36">
        <f t="shared" si="19"/>
        <v>511.16500000000002</v>
      </c>
      <c r="AF14" s="36">
        <f t="shared" si="19"/>
        <v>427.49699999999996</v>
      </c>
      <c r="AG14" s="36">
        <f t="shared" si="19"/>
        <v>409.01100000000002</v>
      </c>
      <c r="AH14" s="36">
        <f t="shared" si="19"/>
        <v>269.61500000000001</v>
      </c>
      <c r="AI14" s="36">
        <f t="shared" si="19"/>
        <v>225.16800000000001</v>
      </c>
      <c r="AJ14" s="36">
        <f t="shared" si="19"/>
        <v>232.53700000000001</v>
      </c>
      <c r="AK14" s="36">
        <f t="shared" si="19"/>
        <v>243.822</v>
      </c>
      <c r="AL14" s="36">
        <f t="shared" si="19"/>
        <v>314.19400000000002</v>
      </c>
      <c r="AM14" s="36">
        <f t="shared" si="19"/>
        <v>390.14299999999997</v>
      </c>
      <c r="AN14" s="36">
        <f t="shared" si="19"/>
        <v>442.65199999999999</v>
      </c>
      <c r="AO14" s="36">
        <f t="shared" ref="AO14" si="20">SUM(AO11:AO13)</f>
        <v>491.75</v>
      </c>
      <c r="AP14" s="36">
        <f t="shared" si="19"/>
        <v>555.12342178591337</v>
      </c>
      <c r="AQ14" s="36">
        <f t="shared" si="19"/>
        <v>606.17354567167433</v>
      </c>
      <c r="AR14" s="36">
        <f t="shared" si="19"/>
        <v>676.76983867108709</v>
      </c>
      <c r="AS14" s="36">
        <f t="shared" si="19"/>
        <v>720.10187119214561</v>
      </c>
      <c r="AT14" s="36">
        <f t="shared" si="19"/>
        <v>761.70091855648559</v>
      </c>
      <c r="AU14" s="36">
        <f t="shared" si="19"/>
        <v>794.84980491487534</v>
      </c>
      <c r="AV14" s="36">
        <f t="shared" si="19"/>
        <v>823.65529515675053</v>
      </c>
      <c r="AW14" s="36">
        <f t="shared" si="19"/>
        <v>829.38073732550072</v>
      </c>
      <c r="AX14" s="36">
        <f t="shared" si="19"/>
        <v>831.01921999883245</v>
      </c>
      <c r="AY14" s="36">
        <f t="shared" si="19"/>
        <v>831.01921999883245</v>
      </c>
      <c r="AZ14" s="36">
        <f t="shared" si="19"/>
        <v>831.01921999883245</v>
      </c>
      <c r="BA14" s="36">
        <f t="shared" si="19"/>
        <v>831.01921999883245</v>
      </c>
      <c r="BD14" s="186">
        <f t="shared" si="10"/>
        <v>6</v>
      </c>
    </row>
    <row r="15" spans="1:56" outlineLevel="1">
      <c r="B15" s="27"/>
      <c r="C15" s="35"/>
      <c r="D15" s="35"/>
      <c r="E15" s="103"/>
      <c r="F15" s="103"/>
      <c r="G15" s="103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197"/>
      <c r="AM15" s="197"/>
      <c r="AN15" s="197"/>
      <c r="AO15" s="197"/>
      <c r="AP15" s="35"/>
      <c r="AQ15" s="82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D15" s="186">
        <f t="shared" si="10"/>
        <v>7</v>
      </c>
    </row>
    <row r="16" spans="1:56" outlineLevel="1">
      <c r="B16" s="25" t="s">
        <v>50</v>
      </c>
      <c r="C16" s="35"/>
      <c r="D16" s="35"/>
      <c r="E16" s="103"/>
      <c r="F16" s="103"/>
      <c r="G16" s="103"/>
      <c r="H16" s="35"/>
      <c r="I16" s="62"/>
      <c r="J16" s="62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188"/>
      <c r="AM16" s="188"/>
      <c r="AN16" s="188"/>
      <c r="AO16" s="188"/>
      <c r="AP16" s="188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D16" s="186">
        <f t="shared" si="10"/>
        <v>8</v>
      </c>
    </row>
    <row r="17" spans="2:56" outlineLevel="1">
      <c r="B17" s="26" t="s">
        <v>46</v>
      </c>
      <c r="C17" s="48">
        <f>SUMIFS($N17:$BB17,$N$5:$BB$5,C$5)</f>
        <v>600.23400000000004</v>
      </c>
      <c r="D17" s="48">
        <f>SUMIFS($N17:$BB17,$N$5:$BB$5,D$5)</f>
        <v>609.61200000000008</v>
      </c>
      <c r="E17" s="103">
        <v>381</v>
      </c>
      <c r="F17" s="103">
        <v>384</v>
      </c>
      <c r="G17" s="103">
        <v>35.5</v>
      </c>
      <c r="H17" s="35">
        <f t="shared" ref="H17:L19" si="21">SUMIFS($N17:$BB17,$N$5:$BB$5,H$5)</f>
        <v>-40</v>
      </c>
      <c r="I17" s="35">
        <f t="shared" si="21"/>
        <v>221.74600000000001</v>
      </c>
      <c r="J17" s="35">
        <f t="shared" si="21"/>
        <v>509.78401028085307</v>
      </c>
      <c r="K17" s="35">
        <f t="shared" si="21"/>
        <v>688.99168176126864</v>
      </c>
      <c r="L17" s="35">
        <f t="shared" si="21"/>
        <v>707.48863110918705</v>
      </c>
      <c r="M17" s="35"/>
      <c r="N17" s="35">
        <f t="shared" ref="N17:AD17" si="22">N405</f>
        <v>121.708</v>
      </c>
      <c r="O17" s="35">
        <f t="shared" si="22"/>
        <v>129.46600000000001</v>
      </c>
      <c r="P17" s="35">
        <f t="shared" si="22"/>
        <v>166.71899999999999</v>
      </c>
      <c r="Q17" s="35">
        <f t="shared" si="22"/>
        <v>182.34100000000001</v>
      </c>
      <c r="R17" s="35">
        <f t="shared" si="22"/>
        <v>170.21800000000002</v>
      </c>
      <c r="S17" s="35">
        <f t="shared" si="22"/>
        <v>157.84300000000002</v>
      </c>
      <c r="T17" s="35">
        <f t="shared" si="22"/>
        <v>157.97999999999999</v>
      </c>
      <c r="U17" s="35">
        <f t="shared" si="22"/>
        <v>123.571</v>
      </c>
      <c r="V17" s="35">
        <f t="shared" si="22"/>
        <v>96.746999999999986</v>
      </c>
      <c r="W17" s="35">
        <f t="shared" si="22"/>
        <v>80.918999999999997</v>
      </c>
      <c r="X17" s="35">
        <f t="shared" si="22"/>
        <v>75.983000000000004</v>
      </c>
      <c r="Y17" s="35">
        <f t="shared" si="22"/>
        <v>69.888999999999996</v>
      </c>
      <c r="Z17" s="35">
        <f t="shared" si="22"/>
        <v>28.327999999999999</v>
      </c>
      <c r="AA17" s="35">
        <f t="shared" si="22"/>
        <v>72.014999999999986</v>
      </c>
      <c r="AB17" s="35">
        <f t="shared" si="22"/>
        <v>106.72600000000001</v>
      </c>
      <c r="AC17" s="35">
        <f t="shared" si="22"/>
        <v>105.999</v>
      </c>
      <c r="AD17" s="35">
        <f t="shared" si="22"/>
        <v>-4.1336000000000013</v>
      </c>
      <c r="AE17" s="47">
        <v>24.474</v>
      </c>
      <c r="AF17" s="47">
        <v>-8.5990000000000002</v>
      </c>
      <c r="AG17" s="47">
        <v>10.045</v>
      </c>
      <c r="AH17" s="50">
        <v>-18</v>
      </c>
      <c r="AI17" s="50">
        <v>-17</v>
      </c>
      <c r="AJ17" s="50">
        <v>-6</v>
      </c>
      <c r="AK17" s="50">
        <v>1</v>
      </c>
      <c r="AL17" s="198">
        <v>22.6</v>
      </c>
      <c r="AM17" s="201">
        <v>47.780999999999999</v>
      </c>
      <c r="AN17" s="201">
        <v>69.019000000000005</v>
      </c>
      <c r="AO17" s="201">
        <v>82.346000000000004</v>
      </c>
      <c r="AP17" s="35">
        <f t="shared" ref="AP17:BA17" si="23">+AP11*AP46</f>
        <v>100.9726564490222</v>
      </c>
      <c r="AQ17" s="35">
        <f t="shared" si="23"/>
        <v>116.36485651289533</v>
      </c>
      <c r="AR17" s="35">
        <f t="shared" si="23"/>
        <v>138.0798169058769</v>
      </c>
      <c r="AS17" s="35">
        <f t="shared" si="23"/>
        <v>154.36668041305862</v>
      </c>
      <c r="AT17" s="35">
        <f t="shared" si="23"/>
        <v>164.17057696201783</v>
      </c>
      <c r="AU17" s="35">
        <f t="shared" si="23"/>
        <v>171.07678924465733</v>
      </c>
      <c r="AV17" s="35">
        <f t="shared" si="23"/>
        <v>176.87215777729676</v>
      </c>
      <c r="AW17" s="35">
        <f t="shared" si="23"/>
        <v>176.87215777729676</v>
      </c>
      <c r="AX17" s="35">
        <f t="shared" si="23"/>
        <v>176.87215777729676</v>
      </c>
      <c r="AY17" s="35">
        <f t="shared" si="23"/>
        <v>176.87215777729676</v>
      </c>
      <c r="AZ17" s="35">
        <f t="shared" si="23"/>
        <v>176.87215777729676</v>
      </c>
      <c r="BA17" s="35">
        <f t="shared" si="23"/>
        <v>176.87215777729676</v>
      </c>
      <c r="BD17" s="186">
        <f t="shared" si="10"/>
        <v>9</v>
      </c>
    </row>
    <row r="18" spans="2:56" outlineLevel="1">
      <c r="B18" s="26" t="s">
        <v>47</v>
      </c>
      <c r="C18" s="48">
        <f>SUMIFS($N18:$BB18,$N$5:$BB$5,C$5)</f>
        <v>192.84399999999999</v>
      </c>
      <c r="D18" s="48">
        <f>SUMIFS($N18:$BB18,$N$5:$BB$5,D$5)</f>
        <v>241.05600000000001</v>
      </c>
      <c r="E18" s="103">
        <v>249</v>
      </c>
      <c r="F18" s="103">
        <v>255</v>
      </c>
      <c r="G18" s="103">
        <v>99.5</v>
      </c>
      <c r="H18" s="35">
        <f t="shared" si="21"/>
        <v>18</v>
      </c>
      <c r="I18" s="35">
        <f t="shared" si="21"/>
        <v>9.2729999999999997</v>
      </c>
      <c r="J18" s="35">
        <f t="shared" si="21"/>
        <v>32.75344880091972</v>
      </c>
      <c r="K18" s="35">
        <f t="shared" si="21"/>
        <v>51.172864508798</v>
      </c>
      <c r="L18" s="35">
        <f t="shared" si="21"/>
        <v>59.294682667029797</v>
      </c>
      <c r="M18" s="35"/>
      <c r="N18" s="35">
        <f t="shared" ref="N18:AD18" si="24">N410</f>
        <v>39.573999999999998</v>
      </c>
      <c r="O18" s="35">
        <f t="shared" si="24"/>
        <v>37.264000000000003</v>
      </c>
      <c r="P18" s="35">
        <f t="shared" si="24"/>
        <v>55.585999999999999</v>
      </c>
      <c r="Q18" s="35">
        <f t="shared" si="24"/>
        <v>60.42</v>
      </c>
      <c r="R18" s="35">
        <f t="shared" si="24"/>
        <v>60.474000000000004</v>
      </c>
      <c r="S18" s="35">
        <f t="shared" si="24"/>
        <v>57.893000000000001</v>
      </c>
      <c r="T18" s="35">
        <f t="shared" si="24"/>
        <v>67.64</v>
      </c>
      <c r="U18" s="35">
        <f t="shared" si="24"/>
        <v>55.048999999999999</v>
      </c>
      <c r="V18" s="35">
        <f t="shared" si="24"/>
        <v>58.398000000000003</v>
      </c>
      <c r="W18" s="35">
        <f t="shared" si="24"/>
        <v>54.536000000000001</v>
      </c>
      <c r="X18" s="35">
        <f t="shared" si="24"/>
        <v>57.744000000000007</v>
      </c>
      <c r="Y18" s="35">
        <f t="shared" si="24"/>
        <v>63.054000000000002</v>
      </c>
      <c r="Z18" s="35">
        <f t="shared" si="24"/>
        <v>68.055999999999997</v>
      </c>
      <c r="AA18" s="35">
        <f t="shared" si="24"/>
        <v>66.887</v>
      </c>
      <c r="AB18" s="35">
        <f t="shared" si="24"/>
        <v>58.251999999999995</v>
      </c>
      <c r="AC18" s="35">
        <f t="shared" si="24"/>
        <v>50.003999999999998</v>
      </c>
      <c r="AD18" s="35">
        <f t="shared" si="24"/>
        <v>31.110599999999998</v>
      </c>
      <c r="AE18" s="47">
        <v>22.161999999999999</v>
      </c>
      <c r="AF18" s="47">
        <v>23.613</v>
      </c>
      <c r="AG18" s="47">
        <v>22.285</v>
      </c>
      <c r="AH18" s="50">
        <v>6</v>
      </c>
      <c r="AI18" s="50">
        <v>2</v>
      </c>
      <c r="AJ18" s="50">
        <v>6</v>
      </c>
      <c r="AK18" s="50">
        <v>4</v>
      </c>
      <c r="AL18" s="198">
        <f>4.584-AL17-AL19</f>
        <v>3.8629999999999995</v>
      </c>
      <c r="AM18" s="201">
        <v>1.927</v>
      </c>
      <c r="AN18" s="201">
        <v>0.78500000000000003</v>
      </c>
      <c r="AO18" s="201">
        <v>2.698</v>
      </c>
      <c r="AP18" s="35">
        <f t="shared" ref="AP18:BA18" si="25">+AP12*AP47</f>
        <v>4.327056070338835</v>
      </c>
      <c r="AQ18" s="35">
        <f t="shared" si="25"/>
        <v>8.0191509535964425</v>
      </c>
      <c r="AR18" s="35">
        <f t="shared" si="25"/>
        <v>10.143726822993331</v>
      </c>
      <c r="AS18" s="35">
        <f t="shared" si="25"/>
        <v>10.263514953991113</v>
      </c>
      <c r="AT18" s="35">
        <f t="shared" si="25"/>
        <v>11.026954124383495</v>
      </c>
      <c r="AU18" s="35">
        <f t="shared" si="25"/>
        <v>12.159691272987057</v>
      </c>
      <c r="AV18" s="35">
        <f t="shared" si="25"/>
        <v>13.3591663654698</v>
      </c>
      <c r="AW18" s="35">
        <f t="shared" si="25"/>
        <v>14.627052745957643</v>
      </c>
      <c r="AX18" s="35">
        <f t="shared" si="25"/>
        <v>14.823670666757449</v>
      </c>
      <c r="AY18" s="35">
        <f t="shared" si="25"/>
        <v>14.823670666757449</v>
      </c>
      <c r="AZ18" s="35">
        <f t="shared" si="25"/>
        <v>14.823670666757449</v>
      </c>
      <c r="BA18" s="35">
        <f t="shared" si="25"/>
        <v>14.823670666757449</v>
      </c>
      <c r="BD18" s="186">
        <f t="shared" si="10"/>
        <v>10</v>
      </c>
    </row>
    <row r="19" spans="2:56" outlineLevel="1">
      <c r="B19" s="26" t="s">
        <v>51</v>
      </c>
      <c r="C19" s="48"/>
      <c r="D19" s="48"/>
      <c r="E19" s="85">
        <v>-66</v>
      </c>
      <c r="F19" s="85">
        <v>-84</v>
      </c>
      <c r="G19" s="103">
        <v>-82</v>
      </c>
      <c r="H19" s="35">
        <f t="shared" si="21"/>
        <v>-72.841999999999999</v>
      </c>
      <c r="I19" s="35">
        <f t="shared" si="21"/>
        <v>-100.155</v>
      </c>
      <c r="J19" s="35">
        <f t="shared" si="21"/>
        <v>-125</v>
      </c>
      <c r="K19" s="35">
        <f t="shared" si="21"/>
        <v>-130.32524495999999</v>
      </c>
      <c r="L19" s="35">
        <f t="shared" si="21"/>
        <v>-141.06823640458191</v>
      </c>
      <c r="M19" s="35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7">
        <v>-26.290000000000049</v>
      </c>
      <c r="AF19" s="47">
        <v>-26.423999999999953</v>
      </c>
      <c r="AG19" s="47">
        <v>-24.594000000000008</v>
      </c>
      <c r="AH19" s="50">
        <v>-19.806000000000001</v>
      </c>
      <c r="AI19" s="50">
        <v>-18.224000000000004</v>
      </c>
      <c r="AJ19" s="50">
        <v>-17.908000000000001</v>
      </c>
      <c r="AK19" s="50">
        <v>-16.904</v>
      </c>
      <c r="AL19" s="199">
        <v>-21.879000000000001</v>
      </c>
      <c r="AM19" s="202">
        <f>-24.598</f>
        <v>-24.597999999999999</v>
      </c>
      <c r="AN19" s="202">
        <v>-25.905000000000001</v>
      </c>
      <c r="AO19" s="202">
        <v>-27.773</v>
      </c>
      <c r="AP19" s="50">
        <v>-32</v>
      </c>
      <c r="AQ19" s="50">
        <v>-31</v>
      </c>
      <c r="AR19" s="50">
        <v>-31</v>
      </c>
      <c r="AS19" s="50">
        <v>-31</v>
      </c>
      <c r="AT19" s="50">
        <f t="shared" ref="AT19:BA19" si="26">+AS19*1.02</f>
        <v>-31.62</v>
      </c>
      <c r="AU19" s="50">
        <f t="shared" si="26"/>
        <v>-32.252400000000002</v>
      </c>
      <c r="AV19" s="50">
        <f t="shared" si="26"/>
        <v>-32.897448000000004</v>
      </c>
      <c r="AW19" s="50">
        <f t="shared" si="26"/>
        <v>-33.555396960000003</v>
      </c>
      <c r="AX19" s="50">
        <f t="shared" si="26"/>
        <v>-34.226504899200002</v>
      </c>
      <c r="AY19" s="50">
        <f t="shared" si="26"/>
        <v>-34.911034997184004</v>
      </c>
      <c r="AZ19" s="50">
        <f t="shared" si="26"/>
        <v>-35.609255697127686</v>
      </c>
      <c r="BA19" s="50">
        <f t="shared" si="26"/>
        <v>-36.321440811070239</v>
      </c>
      <c r="BD19" s="186">
        <f t="shared" si="10"/>
        <v>11</v>
      </c>
    </row>
    <row r="20" spans="2:56" outlineLevel="1">
      <c r="B20" s="27" t="s">
        <v>52</v>
      </c>
      <c r="C20" s="51"/>
      <c r="D20" s="51"/>
      <c r="E20" s="184">
        <f t="shared" ref="E20:L20" si="27">SUM(E17:E19)</f>
        <v>564</v>
      </c>
      <c r="F20" s="184">
        <f t="shared" si="27"/>
        <v>555</v>
      </c>
      <c r="G20" s="183">
        <f t="shared" si="27"/>
        <v>53</v>
      </c>
      <c r="H20" s="36">
        <f t="shared" si="27"/>
        <v>-94.841999999999999</v>
      </c>
      <c r="I20" s="36">
        <f t="shared" si="27"/>
        <v>130.864</v>
      </c>
      <c r="J20" s="36">
        <f t="shared" si="27"/>
        <v>417.53745908177279</v>
      </c>
      <c r="K20" s="36">
        <f t="shared" si="27"/>
        <v>609.83930131006673</v>
      </c>
      <c r="L20" s="36">
        <f t="shared" si="27"/>
        <v>625.71507737163483</v>
      </c>
      <c r="M20" s="35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36">
        <f t="shared" ref="AE20:BA20" si="28">SUM(AE17:AE19)</f>
        <v>20.345999999999947</v>
      </c>
      <c r="AF20" s="36">
        <f t="shared" si="28"/>
        <v>-11.409999999999954</v>
      </c>
      <c r="AG20" s="36">
        <f t="shared" si="28"/>
        <v>7.73599999999999</v>
      </c>
      <c r="AH20" s="36">
        <f t="shared" si="28"/>
        <v>-31.806000000000001</v>
      </c>
      <c r="AI20" s="36">
        <f t="shared" si="28"/>
        <v>-33.224000000000004</v>
      </c>
      <c r="AJ20" s="36">
        <f t="shared" si="28"/>
        <v>-17.908000000000001</v>
      </c>
      <c r="AK20" s="36">
        <f t="shared" si="28"/>
        <v>-11.904</v>
      </c>
      <c r="AL20" s="36">
        <f t="shared" si="28"/>
        <v>4.5839999999999996</v>
      </c>
      <c r="AM20" s="36">
        <f t="shared" si="28"/>
        <v>25.11</v>
      </c>
      <c r="AN20" s="36">
        <f t="shared" si="28"/>
        <v>43.899000000000001</v>
      </c>
      <c r="AO20" s="36">
        <f t="shared" si="28"/>
        <v>57.271000000000001</v>
      </c>
      <c r="AP20" s="36">
        <f t="shared" si="28"/>
        <v>73.299712519361037</v>
      </c>
      <c r="AQ20" s="36">
        <f t="shared" si="28"/>
        <v>93.384007466491767</v>
      </c>
      <c r="AR20" s="36">
        <f t="shared" si="28"/>
        <v>117.22354372887023</v>
      </c>
      <c r="AS20" s="36">
        <f t="shared" si="28"/>
        <v>133.63019536704974</v>
      </c>
      <c r="AT20" s="36">
        <f t="shared" si="28"/>
        <v>143.57753108640134</v>
      </c>
      <c r="AU20" s="36">
        <f t="shared" si="28"/>
        <v>150.9840805176444</v>
      </c>
      <c r="AV20" s="36">
        <f t="shared" si="28"/>
        <v>157.33387614276657</v>
      </c>
      <c r="AW20" s="36">
        <f t="shared" si="28"/>
        <v>157.94381356325442</v>
      </c>
      <c r="AX20" s="36">
        <f t="shared" si="28"/>
        <v>157.46932354485421</v>
      </c>
      <c r="AY20" s="36">
        <f t="shared" si="28"/>
        <v>156.7847934468702</v>
      </c>
      <c r="AZ20" s="36">
        <f t="shared" si="28"/>
        <v>156.08657274692652</v>
      </c>
      <c r="BA20" s="36">
        <f t="shared" si="28"/>
        <v>155.37438763298397</v>
      </c>
      <c r="BD20" s="186">
        <f t="shared" si="10"/>
        <v>12</v>
      </c>
    </row>
    <row r="21" spans="2:56" outlineLevel="1">
      <c r="B21" s="26" t="s">
        <v>53</v>
      </c>
      <c r="C21" s="48"/>
      <c r="D21" s="48"/>
      <c r="E21" s="85">
        <v>-261</v>
      </c>
      <c r="F21" s="85">
        <v>-246</v>
      </c>
      <c r="G21" s="103">
        <v>-310</v>
      </c>
      <c r="H21" s="35">
        <f>SUMIFS($N21:$BB21,$N$5:$BB$5,H$5)</f>
        <v>-217.44</v>
      </c>
      <c r="I21" s="35">
        <f>SUMIFS($N21:$BB21,$N$5:$BB$5,I$5)</f>
        <v>-140.64999999999998</v>
      </c>
      <c r="J21" s="35">
        <f>SUMIFS($N21:$BB21,$N$5:$BB$5,J$5)</f>
        <v>-190.02646938611764</v>
      </c>
      <c r="K21" s="35">
        <f>SUMIFS($N21:$BB21,$N$5:$BB$5,K$5)</f>
        <v>-227.12006669275621</v>
      </c>
      <c r="L21" s="35">
        <f>SUMIFS($N21:$BB21,$N$5:$BB$5,L$5)</f>
        <v>-228.98561215958026</v>
      </c>
      <c r="M21" s="35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52">
        <v>-81.515999999999991</v>
      </c>
      <c r="AF21" s="52">
        <v>-74.730999999999995</v>
      </c>
      <c r="AG21" s="52">
        <v>-82.667999999999992</v>
      </c>
      <c r="AH21" s="52">
        <v>-58.952999999999996</v>
      </c>
      <c r="AI21" s="52">
        <v>-54.283000000000001</v>
      </c>
      <c r="AJ21" s="52">
        <v>-51.320999999999998</v>
      </c>
      <c r="AK21" s="52">
        <f>-217.44-AJ21-AI21-AH21</f>
        <v>-52.883000000000003</v>
      </c>
      <c r="AL21" s="52">
        <v>-31.606000000000002</v>
      </c>
      <c r="AM21" s="52">
        <v>-32.832999999999998</v>
      </c>
      <c r="AN21" s="52">
        <v>-36.271000000000001</v>
      </c>
      <c r="AO21" s="52">
        <v>-39.94</v>
      </c>
      <c r="AP21" s="85">
        <f t="shared" ref="AP21:BA21" si="29">-AP52/4*AO247</f>
        <v>-40.424167500000003</v>
      </c>
      <c r="AQ21" s="85">
        <f t="shared" si="29"/>
        <v>-45.592401618750003</v>
      </c>
      <c r="AR21" s="85">
        <f t="shared" si="29"/>
        <v>-50.014531025671879</v>
      </c>
      <c r="AS21" s="85">
        <f t="shared" si="29"/>
        <v>-53.995369241695748</v>
      </c>
      <c r="AT21" s="85">
        <f t="shared" si="29"/>
        <v>-54.721515510298246</v>
      </c>
      <c r="AU21" s="85">
        <f t="shared" si="29"/>
        <v>-56.418216905041454</v>
      </c>
      <c r="AV21" s="85">
        <f t="shared" si="29"/>
        <v>-58.13610949397718</v>
      </c>
      <c r="AW21" s="85">
        <f t="shared" si="29"/>
        <v>-57.844224783439344</v>
      </c>
      <c r="AX21" s="85">
        <f t="shared" si="29"/>
        <v>-57.588098443757438</v>
      </c>
      <c r="AY21" s="85">
        <f t="shared" si="29"/>
        <v>-57.35135686860724</v>
      </c>
      <c r="AZ21" s="85">
        <f t="shared" si="29"/>
        <v>-57.128227934028168</v>
      </c>
      <c r="BA21" s="85">
        <f t="shared" si="29"/>
        <v>-56.917928913187403</v>
      </c>
      <c r="BD21" s="186">
        <f t="shared" si="10"/>
        <v>13</v>
      </c>
    </row>
    <row r="22" spans="2:56" outlineLevel="1">
      <c r="B22" s="27" t="s">
        <v>54</v>
      </c>
      <c r="C22" s="51"/>
      <c r="D22" s="51"/>
      <c r="E22" s="183">
        <f t="shared" ref="E22:L22" si="30">+E20+E21</f>
        <v>303</v>
      </c>
      <c r="F22" s="183">
        <f t="shared" si="30"/>
        <v>309</v>
      </c>
      <c r="G22" s="183">
        <f t="shared" si="30"/>
        <v>-257</v>
      </c>
      <c r="H22" s="36">
        <f t="shared" si="30"/>
        <v>-312.28199999999998</v>
      </c>
      <c r="I22" s="36">
        <f t="shared" si="30"/>
        <v>-9.7859999999999729</v>
      </c>
      <c r="J22" s="36">
        <f t="shared" si="30"/>
        <v>227.51098969565516</v>
      </c>
      <c r="K22" s="36">
        <f t="shared" si="30"/>
        <v>382.71923461731052</v>
      </c>
      <c r="L22" s="36">
        <f t="shared" si="30"/>
        <v>396.72946521205461</v>
      </c>
      <c r="M22" s="35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36">
        <f t="shared" ref="AE22:BA22" si="31">+AE20+AE21</f>
        <v>-61.170000000000044</v>
      </c>
      <c r="AF22" s="36">
        <f t="shared" si="31"/>
        <v>-86.140999999999948</v>
      </c>
      <c r="AG22" s="36">
        <f t="shared" si="31"/>
        <v>-74.932000000000002</v>
      </c>
      <c r="AH22" s="36">
        <f t="shared" si="31"/>
        <v>-90.759</v>
      </c>
      <c r="AI22" s="36">
        <f t="shared" si="31"/>
        <v>-87.507000000000005</v>
      </c>
      <c r="AJ22" s="36">
        <f t="shared" si="31"/>
        <v>-69.228999999999999</v>
      </c>
      <c r="AK22" s="36">
        <f t="shared" si="31"/>
        <v>-64.787000000000006</v>
      </c>
      <c r="AL22" s="36">
        <f t="shared" si="31"/>
        <v>-27.022000000000002</v>
      </c>
      <c r="AM22" s="36">
        <f t="shared" si="31"/>
        <v>-7.722999999999999</v>
      </c>
      <c r="AN22" s="36">
        <f t="shared" si="31"/>
        <v>7.6280000000000001</v>
      </c>
      <c r="AO22" s="84">
        <f t="shared" si="31"/>
        <v>17.331000000000003</v>
      </c>
      <c r="AP22" s="36">
        <f t="shared" si="31"/>
        <v>32.875545019361034</v>
      </c>
      <c r="AQ22" s="36">
        <f t="shared" si="31"/>
        <v>47.791605847741764</v>
      </c>
      <c r="AR22" s="36">
        <f t="shared" si="31"/>
        <v>67.20901270319834</v>
      </c>
      <c r="AS22" s="36">
        <f t="shared" si="31"/>
        <v>79.634826125353982</v>
      </c>
      <c r="AT22" s="36">
        <f t="shared" si="31"/>
        <v>88.85601557610309</v>
      </c>
      <c r="AU22" s="36">
        <f t="shared" si="31"/>
        <v>94.565863612602953</v>
      </c>
      <c r="AV22" s="36">
        <f t="shared" si="31"/>
        <v>99.197766648789383</v>
      </c>
      <c r="AW22" s="36">
        <f t="shared" si="31"/>
        <v>100.09958877981508</v>
      </c>
      <c r="AX22" s="36">
        <f t="shared" si="31"/>
        <v>99.88122510109676</v>
      </c>
      <c r="AY22" s="36">
        <f t="shared" si="31"/>
        <v>99.433436578262956</v>
      </c>
      <c r="AZ22" s="36">
        <f t="shared" si="31"/>
        <v>98.95834481289836</v>
      </c>
      <c r="BA22" s="36">
        <f t="shared" si="31"/>
        <v>98.456458719796558</v>
      </c>
      <c r="BD22" s="186">
        <f t="shared" si="10"/>
        <v>14</v>
      </c>
    </row>
    <row r="23" spans="2:56" outlineLevel="1">
      <c r="B23" s="26" t="s">
        <v>55</v>
      </c>
      <c r="C23" s="48"/>
      <c r="D23" s="48"/>
      <c r="E23" s="85">
        <v>-94</v>
      </c>
      <c r="F23" s="85">
        <v>-98</v>
      </c>
      <c r="G23" s="103">
        <v>-99</v>
      </c>
      <c r="H23" s="35">
        <f t="shared" ref="H23:L24" si="32">SUMIFS($N23:$BB23,$N$5:$BB$5,H$5)</f>
        <v>-65.564999999999998</v>
      </c>
      <c r="I23" s="35">
        <f t="shared" si="32"/>
        <v>-1.5270000000000001</v>
      </c>
      <c r="J23" s="35">
        <f t="shared" si="32"/>
        <v>-1.5990641195424335</v>
      </c>
      <c r="K23" s="35">
        <f t="shared" si="32"/>
        <v>-1.2</v>
      </c>
      <c r="L23" s="35">
        <f t="shared" si="32"/>
        <v>-1.2</v>
      </c>
      <c r="M23" s="35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53">
        <v>-23.864000000000001</v>
      </c>
      <c r="AF23" s="53">
        <v>-28.396000000000001</v>
      </c>
      <c r="AG23" s="53">
        <v>-24.637</v>
      </c>
      <c r="AH23" s="53">
        <v>-25.468</v>
      </c>
      <c r="AI23" s="53">
        <f>-121.934+91.9</f>
        <v>-30.033999999999992</v>
      </c>
      <c r="AJ23" s="53">
        <v>-8.1579999999999995</v>
      </c>
      <c r="AK23" s="41">
        <f>-157.465+91.9-AJ23-AI23-AH23</f>
        <v>-1.9050000000000047</v>
      </c>
      <c r="AL23" s="41">
        <v>-0.69099999999999995</v>
      </c>
      <c r="AM23" s="50">
        <v>-0.41399999999999998</v>
      </c>
      <c r="AN23" s="50">
        <v>-0.17100000000000001</v>
      </c>
      <c r="AO23" s="50">
        <v>-0.251</v>
      </c>
      <c r="AP23" s="85">
        <f t="shared" ref="AP23:BA23" si="33">MIN(-AP53/4*AO269,-0.3)</f>
        <v>-0.3</v>
      </c>
      <c r="AQ23" s="85">
        <f t="shared" si="33"/>
        <v>-0.3</v>
      </c>
      <c r="AR23" s="85">
        <f t="shared" si="33"/>
        <v>-0.3</v>
      </c>
      <c r="AS23" s="85">
        <f t="shared" si="33"/>
        <v>-0.69906411954243364</v>
      </c>
      <c r="AT23" s="85">
        <f t="shared" si="33"/>
        <v>-0.3</v>
      </c>
      <c r="AU23" s="85">
        <f t="shared" si="33"/>
        <v>-0.3</v>
      </c>
      <c r="AV23" s="85">
        <f t="shared" si="33"/>
        <v>-0.3</v>
      </c>
      <c r="AW23" s="85">
        <f t="shared" si="33"/>
        <v>-0.3</v>
      </c>
      <c r="AX23" s="85">
        <f t="shared" si="33"/>
        <v>-0.3</v>
      </c>
      <c r="AY23" s="85">
        <f t="shared" si="33"/>
        <v>-0.3</v>
      </c>
      <c r="AZ23" s="85">
        <f t="shared" si="33"/>
        <v>-0.3</v>
      </c>
      <c r="BA23" s="85">
        <f t="shared" si="33"/>
        <v>-0.3</v>
      </c>
      <c r="BD23" s="186">
        <f t="shared" si="10"/>
        <v>15</v>
      </c>
    </row>
    <row r="24" spans="2:56" outlineLevel="1">
      <c r="B24" s="26" t="s">
        <v>56</v>
      </c>
      <c r="C24" s="48"/>
      <c r="D24" s="48"/>
      <c r="E24" s="85">
        <v>-0.1</v>
      </c>
      <c r="F24" s="85">
        <v>-33</v>
      </c>
      <c r="G24" s="103">
        <v>-10</v>
      </c>
      <c r="H24" s="35">
        <f t="shared" si="32"/>
        <v>9.5040000000000013</v>
      </c>
      <c r="I24" s="35">
        <f t="shared" si="32"/>
        <v>0.21800000000000019</v>
      </c>
      <c r="J24" s="35">
        <f t="shared" si="32"/>
        <v>0</v>
      </c>
      <c r="K24" s="35">
        <f t="shared" si="32"/>
        <v>0</v>
      </c>
      <c r="L24" s="35">
        <f t="shared" si="32"/>
        <v>0</v>
      </c>
      <c r="M24" s="35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53">
        <v>1.7370000000000001</v>
      </c>
      <c r="AF24" s="53">
        <v>-2.6440000000000001</v>
      </c>
      <c r="AG24" s="53">
        <f>9.846</f>
        <v>9.8460000000000001</v>
      </c>
      <c r="AH24" s="53">
        <v>3.3239999999999998</v>
      </c>
      <c r="AI24" s="53">
        <v>2.0030000000000001</v>
      </c>
      <c r="AJ24" s="53">
        <v>7.0750000000000002</v>
      </c>
      <c r="AK24" s="41">
        <f>9.504-AJ24-AI24-AH24</f>
        <v>-2.8980000000000006</v>
      </c>
      <c r="AL24" s="41">
        <f>1.562+0.216</f>
        <v>1.778</v>
      </c>
      <c r="AM24" s="50">
        <v>-1.456</v>
      </c>
      <c r="AN24" s="50">
        <v>1.1160000000000001</v>
      </c>
      <c r="AO24" s="50">
        <f>-1.22</f>
        <v>-1.22</v>
      </c>
      <c r="AP24" s="50">
        <v>0</v>
      </c>
      <c r="AQ24" s="50">
        <v>0</v>
      </c>
      <c r="AR24" s="50">
        <v>0</v>
      </c>
      <c r="AS24" s="50">
        <v>0</v>
      </c>
      <c r="AT24" s="50">
        <v>0</v>
      </c>
      <c r="AU24" s="50">
        <v>0</v>
      </c>
      <c r="AV24" s="50">
        <v>0</v>
      </c>
      <c r="AW24" s="50">
        <v>0</v>
      </c>
      <c r="AX24" s="50">
        <v>0</v>
      </c>
      <c r="AY24" s="50">
        <v>0</v>
      </c>
      <c r="AZ24" s="50">
        <v>0</v>
      </c>
      <c r="BA24" s="50">
        <v>0</v>
      </c>
      <c r="BD24" s="186">
        <f t="shared" si="10"/>
        <v>16</v>
      </c>
    </row>
    <row r="25" spans="2:56" outlineLevel="1">
      <c r="B25" s="27" t="s">
        <v>57</v>
      </c>
      <c r="C25" s="51"/>
      <c r="D25" s="51"/>
      <c r="E25" s="183">
        <f t="shared" ref="E25:L25" si="34">SUM(E22:E24)</f>
        <v>208.9</v>
      </c>
      <c r="F25" s="183">
        <f t="shared" si="34"/>
        <v>178</v>
      </c>
      <c r="G25" s="183">
        <f t="shared" si="34"/>
        <v>-366</v>
      </c>
      <c r="H25" s="36">
        <f t="shared" si="34"/>
        <v>-368.34299999999996</v>
      </c>
      <c r="I25" s="36">
        <f t="shared" si="34"/>
        <v>-11.094999999999974</v>
      </c>
      <c r="J25" s="36">
        <f t="shared" si="34"/>
        <v>225.91192557611271</v>
      </c>
      <c r="K25" s="36">
        <f t="shared" si="34"/>
        <v>381.51923461731053</v>
      </c>
      <c r="L25" s="36">
        <f t="shared" si="34"/>
        <v>395.52946521205462</v>
      </c>
      <c r="M25" s="35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36">
        <f t="shared" ref="AE25:BA25" si="35">SUM(AE22:AE24)</f>
        <v>-83.297000000000054</v>
      </c>
      <c r="AF25" s="36">
        <f t="shared" si="35"/>
        <v>-117.18099999999995</v>
      </c>
      <c r="AG25" s="36">
        <f t="shared" si="35"/>
        <v>-89.722999999999999</v>
      </c>
      <c r="AH25" s="36">
        <f t="shared" si="35"/>
        <v>-112.90300000000001</v>
      </c>
      <c r="AI25" s="36">
        <f t="shared" si="35"/>
        <v>-115.538</v>
      </c>
      <c r="AJ25" s="36">
        <f t="shared" si="35"/>
        <v>-70.311999999999998</v>
      </c>
      <c r="AK25" s="36">
        <f t="shared" si="35"/>
        <v>-69.59</v>
      </c>
      <c r="AL25" s="36">
        <f t="shared" si="35"/>
        <v>-25.935000000000002</v>
      </c>
      <c r="AM25" s="36">
        <f t="shared" si="35"/>
        <v>-9.5929999999999982</v>
      </c>
      <c r="AN25" s="36">
        <f t="shared" si="35"/>
        <v>8.5730000000000004</v>
      </c>
      <c r="AO25" s="84">
        <f t="shared" si="35"/>
        <v>15.860000000000001</v>
      </c>
      <c r="AP25" s="36">
        <f t="shared" si="35"/>
        <v>32.575545019361037</v>
      </c>
      <c r="AQ25" s="36">
        <f t="shared" si="35"/>
        <v>47.491605847741766</v>
      </c>
      <c r="AR25" s="36">
        <f t="shared" si="35"/>
        <v>66.909012703198343</v>
      </c>
      <c r="AS25" s="36">
        <f t="shared" si="35"/>
        <v>78.935762005811554</v>
      </c>
      <c r="AT25" s="36">
        <f t="shared" si="35"/>
        <v>88.556015576103093</v>
      </c>
      <c r="AU25" s="36">
        <f t="shared" si="35"/>
        <v>94.265863612602956</v>
      </c>
      <c r="AV25" s="36">
        <f t="shared" si="35"/>
        <v>98.897766648789386</v>
      </c>
      <c r="AW25" s="36">
        <f t="shared" si="35"/>
        <v>99.799588779815082</v>
      </c>
      <c r="AX25" s="36">
        <f t="shared" si="35"/>
        <v>99.581225101096763</v>
      </c>
      <c r="AY25" s="36">
        <f t="shared" si="35"/>
        <v>99.133436578262959</v>
      </c>
      <c r="AZ25" s="36">
        <f t="shared" si="35"/>
        <v>98.658344812898363</v>
      </c>
      <c r="BA25" s="36">
        <f t="shared" si="35"/>
        <v>98.156458719796561</v>
      </c>
      <c r="BD25" s="186">
        <f t="shared" si="10"/>
        <v>17</v>
      </c>
    </row>
    <row r="26" spans="2:56" outlineLevel="1">
      <c r="B26" s="26" t="s">
        <v>58</v>
      </c>
      <c r="C26" s="48"/>
      <c r="D26" s="48"/>
      <c r="E26" s="85">
        <v>-56</v>
      </c>
      <c r="F26" s="85">
        <v>-56</v>
      </c>
      <c r="G26" s="103">
        <f>330-295.4</f>
        <v>34.600000000000023</v>
      </c>
      <c r="H26" s="35">
        <f>SUMIFS($N26:$BB26,$N$5:$BB$5,H$5)</f>
        <v>78.361999999999981</v>
      </c>
      <c r="I26" s="35">
        <f>SUMIFS($N26:$BB26,$N$5:$BB$5,I$5)</f>
        <v>18.653049999999997</v>
      </c>
      <c r="J26" s="35">
        <f>SUMIFS($N26:$BB26,$N$5:$BB$5,J$5)</f>
        <v>-6.7773577672833811</v>
      </c>
      <c r="K26" s="35">
        <f>SUMIFS($N26:$BB26,$N$5:$BB$5,K$5)</f>
        <v>-11.445577038519316</v>
      </c>
      <c r="L26" s="35">
        <f>SUMIFS($N26:$BB26,$N$5:$BB$5,L$5)</f>
        <v>-83.061187694531469</v>
      </c>
      <c r="M26" s="35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35">
        <f t="shared" ref="AE26:AO26" si="36">AE167</f>
        <v>29.645250000000004</v>
      </c>
      <c r="AF26" s="35">
        <f t="shared" si="36"/>
        <v>40.243500000000012</v>
      </c>
      <c r="AG26" s="35">
        <f t="shared" si="36"/>
        <v>37.649349999999998</v>
      </c>
      <c r="AH26" s="35">
        <f t="shared" si="36"/>
        <v>43.856299999999891</v>
      </c>
      <c r="AI26" s="35">
        <f t="shared" si="36"/>
        <v>10.652800000000004</v>
      </c>
      <c r="AJ26" s="35">
        <f t="shared" si="36"/>
        <v>21.365900000000007</v>
      </c>
      <c r="AK26" s="35">
        <f t="shared" si="36"/>
        <v>2.48700000000008</v>
      </c>
      <c r="AL26" s="188">
        <f t="shared" si="36"/>
        <v>3.8975999999999984</v>
      </c>
      <c r="AM26" s="188">
        <f t="shared" si="36"/>
        <v>3.4905999999999997</v>
      </c>
      <c r="AN26" s="188">
        <f t="shared" si="36"/>
        <v>2.7013999999999996</v>
      </c>
      <c r="AO26" s="188">
        <f t="shared" si="36"/>
        <v>8.5634499999999996</v>
      </c>
      <c r="AP26" s="85">
        <f t="shared" ref="AP26:BA26" si="37">-AP54*AP25</f>
        <v>-0.97726635058083111</v>
      </c>
      <c r="AQ26" s="85">
        <f t="shared" si="37"/>
        <v>-1.4247481754322529</v>
      </c>
      <c r="AR26" s="85">
        <f t="shared" si="37"/>
        <v>-2.00727038109595</v>
      </c>
      <c r="AS26" s="85">
        <f t="shared" si="37"/>
        <v>-2.3680728601743466</v>
      </c>
      <c r="AT26" s="85">
        <f t="shared" si="37"/>
        <v>-2.6566804672830928</v>
      </c>
      <c r="AU26" s="85">
        <f t="shared" si="37"/>
        <v>-2.8279759083780887</v>
      </c>
      <c r="AV26" s="85">
        <f t="shared" si="37"/>
        <v>-2.9669329994636815</v>
      </c>
      <c r="AW26" s="85">
        <f t="shared" si="37"/>
        <v>-2.9939876633944524</v>
      </c>
      <c r="AX26" s="85">
        <f t="shared" si="37"/>
        <v>-20.912057271230321</v>
      </c>
      <c r="AY26" s="85">
        <f t="shared" si="37"/>
        <v>-20.818021681435219</v>
      </c>
      <c r="AZ26" s="85">
        <f t="shared" si="37"/>
        <v>-20.718252410708654</v>
      </c>
      <c r="BA26" s="85">
        <f t="shared" si="37"/>
        <v>-20.612856331157278</v>
      </c>
      <c r="BD26" s="186">
        <f t="shared" si="10"/>
        <v>18</v>
      </c>
    </row>
    <row r="27" spans="2:56" outlineLevel="1">
      <c r="B27" s="27" t="s">
        <v>59</v>
      </c>
      <c r="C27" s="51"/>
      <c r="D27" s="51"/>
      <c r="E27" s="183">
        <f t="shared" ref="E27:L27" si="38">+E25+E26</f>
        <v>152.9</v>
      </c>
      <c r="F27" s="183">
        <f t="shared" si="38"/>
        <v>122</v>
      </c>
      <c r="G27" s="183">
        <f t="shared" si="38"/>
        <v>-331.4</v>
      </c>
      <c r="H27" s="36">
        <f t="shared" si="38"/>
        <v>-289.98099999999999</v>
      </c>
      <c r="I27" s="36">
        <f t="shared" si="38"/>
        <v>7.5580500000000228</v>
      </c>
      <c r="J27" s="36">
        <f t="shared" si="38"/>
        <v>219.13456780882933</v>
      </c>
      <c r="K27" s="36">
        <f t="shared" si="38"/>
        <v>370.0736575787912</v>
      </c>
      <c r="L27" s="36">
        <f t="shared" si="38"/>
        <v>312.46827751752312</v>
      </c>
      <c r="M27" s="35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36">
        <f t="shared" ref="AE27:BA27" si="39">+AE25+AE26</f>
        <v>-53.65175000000005</v>
      </c>
      <c r="AF27" s="36">
        <f t="shared" si="39"/>
        <v>-76.937499999999943</v>
      </c>
      <c r="AG27" s="36">
        <f t="shared" si="39"/>
        <v>-52.073650000000001</v>
      </c>
      <c r="AH27" s="36">
        <f t="shared" si="39"/>
        <v>-69.046700000000115</v>
      </c>
      <c r="AI27" s="36">
        <f t="shared" si="39"/>
        <v>-104.8852</v>
      </c>
      <c r="AJ27" s="36">
        <f t="shared" si="39"/>
        <v>-48.946099999999987</v>
      </c>
      <c r="AK27" s="36">
        <f t="shared" si="39"/>
        <v>-67.102999999999923</v>
      </c>
      <c r="AL27" s="36">
        <f t="shared" si="39"/>
        <v>-22.037400000000005</v>
      </c>
      <c r="AM27" s="36">
        <f t="shared" si="39"/>
        <v>-6.1023999999999985</v>
      </c>
      <c r="AN27" s="36">
        <f t="shared" si="39"/>
        <v>11.2744</v>
      </c>
      <c r="AO27" s="36">
        <f t="shared" si="39"/>
        <v>24.423450000000003</v>
      </c>
      <c r="AP27" s="36">
        <f t="shared" si="39"/>
        <v>31.598278668780207</v>
      </c>
      <c r="AQ27" s="36">
        <f t="shared" si="39"/>
        <v>46.06685767230951</v>
      </c>
      <c r="AR27" s="36">
        <f t="shared" si="39"/>
        <v>64.901742322102393</v>
      </c>
      <c r="AS27" s="36">
        <f t="shared" si="39"/>
        <v>76.567689145637203</v>
      </c>
      <c r="AT27" s="36">
        <f t="shared" si="39"/>
        <v>85.899335108819997</v>
      </c>
      <c r="AU27" s="36">
        <f t="shared" si="39"/>
        <v>91.437887704224863</v>
      </c>
      <c r="AV27" s="36">
        <f t="shared" si="39"/>
        <v>95.930833649325706</v>
      </c>
      <c r="AW27" s="36">
        <f t="shared" si="39"/>
        <v>96.805601116420632</v>
      </c>
      <c r="AX27" s="36">
        <f t="shared" si="39"/>
        <v>78.669167829866439</v>
      </c>
      <c r="AY27" s="36">
        <f t="shared" si="39"/>
        <v>78.315414896827747</v>
      </c>
      <c r="AZ27" s="36">
        <f t="shared" si="39"/>
        <v>77.940092402189705</v>
      </c>
      <c r="BA27" s="36">
        <f t="shared" si="39"/>
        <v>77.543602388639286</v>
      </c>
      <c r="BD27" s="186">
        <f t="shared" si="10"/>
        <v>19</v>
      </c>
    </row>
    <row r="28" spans="2:56" hidden="1" outlineLevel="2">
      <c r="B28" s="28" t="s">
        <v>60</v>
      </c>
      <c r="C28" s="48"/>
      <c r="D28" s="48"/>
      <c r="E28" s="85"/>
      <c r="F28" s="85"/>
      <c r="G28" s="103"/>
      <c r="H28" s="35"/>
      <c r="I28" s="35"/>
      <c r="J28" s="35"/>
      <c r="K28" s="35"/>
      <c r="L28" s="35"/>
      <c r="M28" s="35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35"/>
      <c r="AF28" s="35"/>
      <c r="AG28" s="35"/>
      <c r="AH28" s="35"/>
      <c r="AI28" s="35"/>
      <c r="AJ28" s="35"/>
      <c r="AK28" s="35"/>
      <c r="AL28" s="188"/>
      <c r="AM28" s="82"/>
      <c r="AN28" s="82"/>
      <c r="AO28" s="82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D28" s="186">
        <f t="shared" si="10"/>
        <v>20</v>
      </c>
    </row>
    <row r="29" spans="2:56" hidden="1" outlineLevel="2">
      <c r="B29" s="29" t="s">
        <v>61</v>
      </c>
      <c r="C29" s="48"/>
      <c r="D29" s="48"/>
      <c r="E29" s="85">
        <v>-9</v>
      </c>
      <c r="F29" s="85">
        <v>-2</v>
      </c>
      <c r="G29" s="103">
        <v>1</v>
      </c>
      <c r="H29" s="35">
        <f t="shared" ref="H29:L33" si="40">SUMIFS($N29:$BB29,$N$5:$BB$5,H$5)</f>
        <v>-1.9987500000000002</v>
      </c>
      <c r="I29" s="35">
        <f t="shared" si="40"/>
        <v>18.635400000000001</v>
      </c>
      <c r="J29" s="35">
        <f t="shared" si="40"/>
        <v>0</v>
      </c>
      <c r="K29" s="35">
        <f t="shared" si="40"/>
        <v>0</v>
      </c>
      <c r="L29" s="35">
        <f t="shared" si="40"/>
        <v>0</v>
      </c>
      <c r="M29" s="35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52">
        <f>-0.225*0.65</f>
        <v>-0.14625000000000002</v>
      </c>
      <c r="AF29" s="52">
        <v>-0.14099999999999999</v>
      </c>
      <c r="AG29" s="52">
        <f>-0.179*0.65</f>
        <v>-0.11635</v>
      </c>
      <c r="AH29" s="52">
        <f>-3.202*0.65</f>
        <v>-2.0813000000000001</v>
      </c>
      <c r="AI29" s="52">
        <f>-1.712*0.65</f>
        <v>-1.1128</v>
      </c>
      <c r="AJ29" s="52">
        <f>0.694*0.65</f>
        <v>0.4511</v>
      </c>
      <c r="AK29" s="52">
        <f>-3.075*0.65-AJ29-AI29-AH29</f>
        <v>0.74425000000000008</v>
      </c>
      <c r="AL29" s="52">
        <f>6.056*0.65</f>
        <v>3.9364000000000003</v>
      </c>
      <c r="AM29" s="52">
        <f>3.136*0.65</f>
        <v>2.0384000000000002</v>
      </c>
      <c r="AN29" s="52">
        <f>1.324*0.65</f>
        <v>0.86060000000000003</v>
      </c>
      <c r="AO29" s="52">
        <v>11.8</v>
      </c>
      <c r="AP29" s="41">
        <v>0</v>
      </c>
      <c r="AQ29" s="41">
        <v>0</v>
      </c>
      <c r="AR29" s="41">
        <v>0</v>
      </c>
      <c r="AS29" s="41">
        <v>0</v>
      </c>
      <c r="AT29" s="41">
        <v>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41">
        <v>0</v>
      </c>
      <c r="BA29" s="41">
        <v>0</v>
      </c>
      <c r="BD29" s="186">
        <f t="shared" si="10"/>
        <v>21</v>
      </c>
    </row>
    <row r="30" spans="2:56" hidden="1" outlineLevel="2">
      <c r="B30" s="29" t="s">
        <v>62</v>
      </c>
      <c r="C30" s="48"/>
      <c r="D30" s="48"/>
      <c r="E30" s="85">
        <v>-20</v>
      </c>
      <c r="F30" s="85">
        <v>-364</v>
      </c>
      <c r="G30" s="103">
        <f>-31-792+295.4</f>
        <v>-527.6</v>
      </c>
      <c r="H30" s="35">
        <f t="shared" si="40"/>
        <v>-451.72724999999997</v>
      </c>
      <c r="I30" s="35">
        <f t="shared" si="40"/>
        <v>0</v>
      </c>
      <c r="J30" s="35">
        <f t="shared" si="40"/>
        <v>0</v>
      </c>
      <c r="K30" s="35">
        <f t="shared" si="40"/>
        <v>0</v>
      </c>
      <c r="L30" s="35">
        <f t="shared" si="40"/>
        <v>0</v>
      </c>
      <c r="M30" s="35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52">
        <f>-2.927-1.848</f>
        <v>-4.7750000000000004</v>
      </c>
      <c r="AF30" s="52">
        <v>-367.78500000000003</v>
      </c>
      <c r="AG30" s="52">
        <f>-2.102-17.767-252.542</f>
        <v>-272.411</v>
      </c>
      <c r="AH30" s="52">
        <f>-336.984-1.203-1.039</f>
        <v>-339.22599999999994</v>
      </c>
      <c r="AI30" s="52">
        <f>-48.712+0.433-11.78</f>
        <v>-60.059000000000005</v>
      </c>
      <c r="AJ30" s="52">
        <f>-0.078-0.352</f>
        <v>-0.43</v>
      </c>
      <c r="AK30" s="41">
        <f>-51.268-AK29</f>
        <v>-52.012250000000002</v>
      </c>
      <c r="AL30" s="41">
        <v>0</v>
      </c>
      <c r="AM30" s="50">
        <v>0</v>
      </c>
      <c r="AN30" s="50">
        <v>0</v>
      </c>
      <c r="AO30" s="50">
        <v>0</v>
      </c>
      <c r="AP30" s="41">
        <v>0</v>
      </c>
      <c r="AQ30" s="41">
        <v>0</v>
      </c>
      <c r="AR30" s="41">
        <v>0</v>
      </c>
      <c r="AS30" s="41">
        <v>0</v>
      </c>
      <c r="AT30" s="41">
        <v>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41">
        <v>0</v>
      </c>
      <c r="BA30" s="41">
        <v>0</v>
      </c>
      <c r="BD30" s="186">
        <f t="shared" si="10"/>
        <v>22</v>
      </c>
    </row>
    <row r="31" spans="2:56" hidden="1" outlineLevel="2">
      <c r="B31" s="29" t="s">
        <v>63</v>
      </c>
      <c r="C31" s="48"/>
      <c r="D31" s="48"/>
      <c r="E31" s="85">
        <v>-27</v>
      </c>
      <c r="F31" s="85">
        <v>0</v>
      </c>
      <c r="G31" s="103">
        <v>-21</v>
      </c>
      <c r="H31" s="35">
        <f t="shared" si="40"/>
        <v>-69.13</v>
      </c>
      <c r="I31" s="35">
        <f t="shared" si="40"/>
        <v>-14.542100000000001</v>
      </c>
      <c r="J31" s="35">
        <f t="shared" si="40"/>
        <v>0</v>
      </c>
      <c r="K31" s="35">
        <f t="shared" si="40"/>
        <v>0</v>
      </c>
      <c r="L31" s="35">
        <f t="shared" si="40"/>
        <v>0</v>
      </c>
      <c r="M31" s="35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52">
        <v>-1.1639999999999999</v>
      </c>
      <c r="AF31" s="52">
        <v>-2.2745000000000002</v>
      </c>
      <c r="AG31" s="52">
        <v>-1.6359999999999999</v>
      </c>
      <c r="AH31" s="52">
        <v>-8.6449999999999996</v>
      </c>
      <c r="AI31" s="52">
        <f>-12.761</f>
        <v>-12.760999999999999</v>
      </c>
      <c r="AJ31" s="52">
        <f>-6.847-40.877</f>
        <v>-47.724000000000004</v>
      </c>
      <c r="AK31" s="52">
        <v>0</v>
      </c>
      <c r="AL31" s="52">
        <v>0</v>
      </c>
      <c r="AM31" s="52">
        <f>-7.853-0.804</f>
        <v>-8.657</v>
      </c>
      <c r="AN31" s="52">
        <f>-1.661*0.65</f>
        <v>-1.07965</v>
      </c>
      <c r="AO31" s="52">
        <f>-(5.441+1.952)*0.65</f>
        <v>-4.8054500000000004</v>
      </c>
      <c r="AP31" s="41">
        <v>0</v>
      </c>
      <c r="AQ31" s="41">
        <v>0</v>
      </c>
      <c r="AR31" s="41">
        <v>0</v>
      </c>
      <c r="AS31" s="41">
        <v>0</v>
      </c>
      <c r="AT31" s="41">
        <v>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41">
        <v>0</v>
      </c>
      <c r="BA31" s="41">
        <v>0</v>
      </c>
      <c r="BD31" s="186">
        <f t="shared" si="10"/>
        <v>23</v>
      </c>
    </row>
    <row r="32" spans="2:56" hidden="1" outlineLevel="2">
      <c r="B32" s="29" t="s">
        <v>64</v>
      </c>
      <c r="C32" s="48"/>
      <c r="D32" s="48"/>
      <c r="E32" s="85">
        <v>0</v>
      </c>
      <c r="F32" s="85">
        <v>0</v>
      </c>
      <c r="G32" s="103">
        <v>0</v>
      </c>
      <c r="H32" s="35">
        <f t="shared" si="40"/>
        <v>0</v>
      </c>
      <c r="I32" s="35">
        <f t="shared" si="40"/>
        <v>0</v>
      </c>
      <c r="J32" s="35">
        <f t="shared" si="40"/>
        <v>0</v>
      </c>
      <c r="K32" s="35">
        <f t="shared" si="40"/>
        <v>0</v>
      </c>
      <c r="L32" s="35">
        <f t="shared" si="40"/>
        <v>0</v>
      </c>
      <c r="M32" s="35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41">
        <v>0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41">
        <v>0</v>
      </c>
      <c r="BA32" s="41">
        <v>0</v>
      </c>
      <c r="BD32" s="186">
        <f t="shared" si="10"/>
        <v>24</v>
      </c>
    </row>
    <row r="33" spans="1:56" hidden="1" outlineLevel="2">
      <c r="B33" s="29" t="s">
        <v>65</v>
      </c>
      <c r="C33" s="48"/>
      <c r="D33" s="48"/>
      <c r="E33" s="85">
        <v>0</v>
      </c>
      <c r="F33" s="85">
        <v>0</v>
      </c>
      <c r="G33" s="103">
        <v>0</v>
      </c>
      <c r="H33" s="35">
        <f t="shared" si="40"/>
        <v>-131.452</v>
      </c>
      <c r="I33" s="35">
        <f t="shared" si="40"/>
        <v>10.805649999999998</v>
      </c>
      <c r="J33" s="35">
        <f t="shared" si="40"/>
        <v>0</v>
      </c>
      <c r="K33" s="35">
        <f t="shared" si="40"/>
        <v>0</v>
      </c>
      <c r="L33" s="35">
        <f t="shared" si="40"/>
        <v>0</v>
      </c>
      <c r="M33" s="35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53">
        <v>-5.3840000000000003</v>
      </c>
      <c r="AF33" s="53">
        <f>-5.245-2.633</f>
        <v>-7.8780000000000001</v>
      </c>
      <c r="AG33" s="53">
        <f>-3.79+8.285</f>
        <v>4.4950000000000001</v>
      </c>
      <c r="AH33" s="53">
        <f>-3.025-6.388</f>
        <v>-9.4130000000000003</v>
      </c>
      <c r="AI33" s="53">
        <f>-91.9-3.379-0.548-15.451-1.02</f>
        <v>-112.29800000000002</v>
      </c>
      <c r="AJ33" s="53">
        <f>-1.481-8.26</f>
        <v>-9.7409999999999997</v>
      </c>
      <c r="AK33" s="52">
        <v>0</v>
      </c>
      <c r="AL33" s="52">
        <v>-14.2</v>
      </c>
      <c r="AM33" s="52">
        <v>0</v>
      </c>
      <c r="AN33" s="52">
        <f>-0.879*0.65</f>
        <v>-0.57135000000000002</v>
      </c>
      <c r="AO33" s="52">
        <f>29-3.423</f>
        <v>25.576999999999998</v>
      </c>
      <c r="AP33" s="41">
        <v>0</v>
      </c>
      <c r="AQ33" s="41">
        <v>0</v>
      </c>
      <c r="AR33" s="41">
        <v>0</v>
      </c>
      <c r="AS33" s="41">
        <v>0</v>
      </c>
      <c r="AT33" s="41">
        <v>0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41">
        <v>0</v>
      </c>
      <c r="BA33" s="41">
        <v>0</v>
      </c>
      <c r="BD33" s="186">
        <f t="shared" si="10"/>
        <v>25</v>
      </c>
    </row>
    <row r="34" spans="1:56" outlineLevel="1" collapsed="1">
      <c r="B34" s="27" t="s">
        <v>66</v>
      </c>
      <c r="C34" s="51"/>
      <c r="D34" s="51"/>
      <c r="E34" s="183">
        <f t="shared" ref="E34:L34" si="41">SUM(E27:E33)</f>
        <v>96.9</v>
      </c>
      <c r="F34" s="183">
        <f t="shared" si="41"/>
        <v>-244</v>
      </c>
      <c r="G34" s="183">
        <f t="shared" si="41"/>
        <v>-879</v>
      </c>
      <c r="H34" s="36">
        <f t="shared" si="41"/>
        <v>-944.28899999999987</v>
      </c>
      <c r="I34" s="36">
        <f t="shared" si="41"/>
        <v>22.457000000000022</v>
      </c>
      <c r="J34" s="36">
        <f t="shared" si="41"/>
        <v>219.13456780882933</v>
      </c>
      <c r="K34" s="36">
        <f t="shared" si="41"/>
        <v>370.0736575787912</v>
      </c>
      <c r="L34" s="36">
        <f t="shared" si="41"/>
        <v>312.46827751752312</v>
      </c>
      <c r="M34" s="35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36">
        <f t="shared" ref="AE34:BA34" si="42">SUM(AE27:AE33)</f>
        <v>-65.121000000000052</v>
      </c>
      <c r="AF34" s="36">
        <f t="shared" si="42"/>
        <v>-455.01599999999996</v>
      </c>
      <c r="AG34" s="36">
        <f t="shared" si="42"/>
        <v>-321.74200000000002</v>
      </c>
      <c r="AH34" s="36">
        <f t="shared" si="42"/>
        <v>-428.41200000000003</v>
      </c>
      <c r="AI34" s="36">
        <f t="shared" si="42"/>
        <v>-291.11599999999999</v>
      </c>
      <c r="AJ34" s="36">
        <f t="shared" si="42"/>
        <v>-106.39</v>
      </c>
      <c r="AK34" s="36">
        <f t="shared" si="42"/>
        <v>-118.37099999999992</v>
      </c>
      <c r="AL34" s="36">
        <f t="shared" si="42"/>
        <v>-32.301000000000002</v>
      </c>
      <c r="AM34" s="84">
        <f t="shared" si="42"/>
        <v>-12.720999999999998</v>
      </c>
      <c r="AN34" s="84">
        <f t="shared" si="42"/>
        <v>10.484</v>
      </c>
      <c r="AO34" s="84">
        <f t="shared" si="42"/>
        <v>56.994999999999997</v>
      </c>
      <c r="AP34" s="36">
        <f t="shared" si="42"/>
        <v>31.598278668780207</v>
      </c>
      <c r="AQ34" s="36">
        <f t="shared" si="42"/>
        <v>46.06685767230951</v>
      </c>
      <c r="AR34" s="36">
        <f t="shared" si="42"/>
        <v>64.901742322102393</v>
      </c>
      <c r="AS34" s="36">
        <f t="shared" si="42"/>
        <v>76.567689145637203</v>
      </c>
      <c r="AT34" s="36">
        <f t="shared" si="42"/>
        <v>85.899335108819997</v>
      </c>
      <c r="AU34" s="36">
        <f t="shared" si="42"/>
        <v>91.437887704224863</v>
      </c>
      <c r="AV34" s="36">
        <f t="shared" si="42"/>
        <v>95.930833649325706</v>
      </c>
      <c r="AW34" s="36">
        <f t="shared" si="42"/>
        <v>96.805601116420632</v>
      </c>
      <c r="AX34" s="36">
        <f t="shared" si="42"/>
        <v>78.669167829866439</v>
      </c>
      <c r="AY34" s="36">
        <f t="shared" si="42"/>
        <v>78.315414896827747</v>
      </c>
      <c r="AZ34" s="36">
        <f t="shared" si="42"/>
        <v>77.940092402189705</v>
      </c>
      <c r="BA34" s="36">
        <f t="shared" si="42"/>
        <v>77.543602388639286</v>
      </c>
      <c r="BD34" s="186">
        <f t="shared" si="10"/>
        <v>26</v>
      </c>
    </row>
    <row r="35" spans="1:56" outlineLevel="1">
      <c r="B35" s="30"/>
      <c r="C35" s="35"/>
      <c r="D35" s="35"/>
      <c r="E35" s="35"/>
      <c r="F35" s="188"/>
      <c r="G35" s="188"/>
      <c r="H35" s="35"/>
      <c r="I35" s="188"/>
      <c r="J35" s="188"/>
      <c r="K35" s="188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188"/>
      <c r="AM35" s="188"/>
      <c r="AN35" s="188"/>
      <c r="AO35" s="188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D35" s="186">
        <f t="shared" si="10"/>
        <v>27</v>
      </c>
    </row>
    <row r="36" spans="1:56" outlineLevel="1">
      <c r="B36" s="31" t="s">
        <v>67</v>
      </c>
      <c r="C36" s="182">
        <f t="shared" ref="C36:L36" si="43">IFERROR(+C27/C38,0)</f>
        <v>0</v>
      </c>
      <c r="D36" s="182">
        <f t="shared" si="43"/>
        <v>0</v>
      </c>
      <c r="E36" s="182">
        <f t="shared" si="43"/>
        <v>0</v>
      </c>
      <c r="F36" s="182">
        <f t="shared" si="43"/>
        <v>0</v>
      </c>
      <c r="G36" s="182">
        <f t="shared" si="43"/>
        <v>-3.2282574812967577</v>
      </c>
      <c r="H36" s="182">
        <f t="shared" si="43"/>
        <v>-2.451130552385782</v>
      </c>
      <c r="I36" s="182">
        <f t="shared" si="43"/>
        <v>0.12509651551075673</v>
      </c>
      <c r="J36" s="182">
        <f t="shared" si="43"/>
        <v>3.1337329197610031</v>
      </c>
      <c r="K36" s="182">
        <f t="shared" si="43"/>
        <v>5.1877019161169553</v>
      </c>
      <c r="L36" s="182">
        <f t="shared" si="43"/>
        <v>4.2936686645752111</v>
      </c>
      <c r="M36" s="35"/>
      <c r="N36" s="182">
        <f t="shared" ref="N36:BA36" si="44">IFERROR(+N27/N38,0)</f>
        <v>0</v>
      </c>
      <c r="O36" s="182">
        <f t="shared" si="44"/>
        <v>0</v>
      </c>
      <c r="P36" s="182">
        <f t="shared" si="44"/>
        <v>0</v>
      </c>
      <c r="Q36" s="182">
        <f t="shared" si="44"/>
        <v>0</v>
      </c>
      <c r="R36" s="182">
        <f t="shared" si="44"/>
        <v>0</v>
      </c>
      <c r="S36" s="182">
        <f t="shared" si="44"/>
        <v>0</v>
      </c>
      <c r="T36" s="182">
        <f t="shared" si="44"/>
        <v>0</v>
      </c>
      <c r="U36" s="182">
        <f t="shared" si="44"/>
        <v>0</v>
      </c>
      <c r="V36" s="182">
        <f t="shared" si="44"/>
        <v>0</v>
      </c>
      <c r="W36" s="182">
        <f t="shared" si="44"/>
        <v>0</v>
      </c>
      <c r="X36" s="182">
        <f t="shared" si="44"/>
        <v>0</v>
      </c>
      <c r="Y36" s="182">
        <f t="shared" si="44"/>
        <v>0</v>
      </c>
      <c r="Z36" s="182">
        <f t="shared" si="44"/>
        <v>0</v>
      </c>
      <c r="AA36" s="182">
        <f t="shared" si="44"/>
        <v>0</v>
      </c>
      <c r="AB36" s="182">
        <f t="shared" si="44"/>
        <v>0</v>
      </c>
      <c r="AC36" s="182">
        <f t="shared" si="44"/>
        <v>0</v>
      </c>
      <c r="AD36" s="182">
        <f t="shared" si="44"/>
        <v>0</v>
      </c>
      <c r="AE36" s="182">
        <f t="shared" si="44"/>
        <v>-0.4591466910852286</v>
      </c>
      <c r="AF36" s="182">
        <f t="shared" si="44"/>
        <v>-0.65747870004016395</v>
      </c>
      <c r="AG36" s="182">
        <f t="shared" si="44"/>
        <v>-0.44480020841875084</v>
      </c>
      <c r="AH36" s="182">
        <f t="shared" si="44"/>
        <v>-0.58746649877055901</v>
      </c>
      <c r="AI36" s="182">
        <f t="shared" si="44"/>
        <v>-0.88566024352760375</v>
      </c>
      <c r="AJ36" s="182">
        <f t="shared" si="44"/>
        <v>-0.41260853438537914</v>
      </c>
      <c r="AK36" s="182">
        <f t="shared" si="44"/>
        <v>-0.5656256585324726</v>
      </c>
      <c r="AL36" s="182">
        <f t="shared" si="44"/>
        <v>-0.39666288676494421</v>
      </c>
      <c r="AM36" s="182">
        <f t="shared" si="44"/>
        <v>-0.10358324987693716</v>
      </c>
      <c r="AN36" s="182">
        <f t="shared" si="44"/>
        <v>0.17980352130645572</v>
      </c>
      <c r="AO36" s="182">
        <f t="shared" si="44"/>
        <v>0.37867575236057494</v>
      </c>
      <c r="AP36" s="182">
        <f t="shared" si="44"/>
        <v>0.45527138837017478</v>
      </c>
      <c r="AQ36" s="182">
        <f t="shared" si="44"/>
        <v>0.66043405630745389</v>
      </c>
      <c r="AR36" s="182">
        <f t="shared" si="44"/>
        <v>0.92582982094506205</v>
      </c>
      <c r="AS36" s="182">
        <f t="shared" si="44"/>
        <v>1.0868116564792736</v>
      </c>
      <c r="AT36" s="182">
        <f t="shared" si="44"/>
        <v>1.2132002417948387</v>
      </c>
      <c r="AU36" s="182">
        <f t="shared" si="44"/>
        <v>1.2849990574303942</v>
      </c>
      <c r="AV36" s="182">
        <f t="shared" si="44"/>
        <v>1.3414323666806591</v>
      </c>
      <c r="AW36" s="182">
        <f t="shared" si="44"/>
        <v>1.3469298782022685</v>
      </c>
      <c r="AX36" s="182">
        <f t="shared" si="44"/>
        <v>1.0891382113347148</v>
      </c>
      <c r="AY36" s="182">
        <f t="shared" si="44"/>
        <v>1.0788464335670911</v>
      </c>
      <c r="AZ36" s="182">
        <f t="shared" si="44"/>
        <v>1.0683344467114231</v>
      </c>
      <c r="BA36" s="182">
        <f t="shared" si="44"/>
        <v>1.0576116510036035</v>
      </c>
      <c r="BD36" s="186">
        <f t="shared" si="10"/>
        <v>28</v>
      </c>
    </row>
    <row r="37" spans="1:56" outlineLevel="1">
      <c r="B37" s="32" t="s">
        <v>68</v>
      </c>
      <c r="C37" s="42">
        <f t="shared" ref="C37:L37" si="45">IFERROR(+C34/C38,0)</f>
        <v>0</v>
      </c>
      <c r="D37" s="42">
        <f t="shared" si="45"/>
        <v>0</v>
      </c>
      <c r="E37" s="42">
        <f t="shared" si="45"/>
        <v>0</v>
      </c>
      <c r="F37" s="42">
        <f t="shared" si="45"/>
        <v>0</v>
      </c>
      <c r="G37" s="42">
        <f t="shared" si="45"/>
        <v>-8.5625779301745624</v>
      </c>
      <c r="H37" s="42">
        <f t="shared" si="45"/>
        <v>-7.9818181818181797</v>
      </c>
      <c r="I37" s="42">
        <f t="shared" si="45"/>
        <v>0.37169540408240992</v>
      </c>
      <c r="J37" s="42">
        <f t="shared" si="45"/>
        <v>3.1337329197610031</v>
      </c>
      <c r="K37" s="42">
        <f t="shared" si="45"/>
        <v>5.1877019161169553</v>
      </c>
      <c r="L37" s="42">
        <f t="shared" si="45"/>
        <v>4.2936686645752111</v>
      </c>
      <c r="M37" s="35"/>
      <c r="N37" s="42">
        <f t="shared" ref="N37:BA37" si="46">IFERROR(+N34/N38,0)</f>
        <v>0</v>
      </c>
      <c r="O37" s="42">
        <f t="shared" si="46"/>
        <v>0</v>
      </c>
      <c r="P37" s="42">
        <f t="shared" si="46"/>
        <v>0</v>
      </c>
      <c r="Q37" s="42">
        <f t="shared" si="46"/>
        <v>0</v>
      </c>
      <c r="R37" s="42">
        <f t="shared" si="46"/>
        <v>0</v>
      </c>
      <c r="S37" s="42">
        <f t="shared" si="46"/>
        <v>0</v>
      </c>
      <c r="T37" s="42">
        <f t="shared" si="46"/>
        <v>0</v>
      </c>
      <c r="U37" s="42">
        <f t="shared" si="46"/>
        <v>0</v>
      </c>
      <c r="V37" s="42">
        <f t="shared" si="46"/>
        <v>0</v>
      </c>
      <c r="W37" s="42">
        <f t="shared" si="46"/>
        <v>0</v>
      </c>
      <c r="X37" s="42">
        <f t="shared" si="46"/>
        <v>0</v>
      </c>
      <c r="Y37" s="42">
        <f t="shared" si="46"/>
        <v>0</v>
      </c>
      <c r="Z37" s="42">
        <f t="shared" si="46"/>
        <v>0</v>
      </c>
      <c r="AA37" s="42">
        <f t="shared" si="46"/>
        <v>0</v>
      </c>
      <c r="AB37" s="42">
        <f t="shared" si="46"/>
        <v>0</v>
      </c>
      <c r="AC37" s="42">
        <f t="shared" si="46"/>
        <v>0</v>
      </c>
      <c r="AD37" s="42">
        <f t="shared" si="46"/>
        <v>0</v>
      </c>
      <c r="AE37" s="42">
        <f t="shared" si="46"/>
        <v>-0.55729946684238951</v>
      </c>
      <c r="AF37" s="42">
        <f t="shared" si="46"/>
        <v>-3.8883941923961061</v>
      </c>
      <c r="AG37" s="42">
        <f t="shared" si="46"/>
        <v>-2.7482403990706574</v>
      </c>
      <c r="AH37" s="42">
        <f t="shared" si="46"/>
        <v>-3.6450358622684695</v>
      </c>
      <c r="AI37" s="42">
        <f t="shared" si="46"/>
        <v>-2.4582101903298259</v>
      </c>
      <c r="AJ37" s="42">
        <f t="shared" si="46"/>
        <v>-0.89685229207762207</v>
      </c>
      <c r="AK37" s="42">
        <f t="shared" si="46"/>
        <v>-0.99777468706536743</v>
      </c>
      <c r="AL37" s="42">
        <f t="shared" si="46"/>
        <v>-0.58140288352502834</v>
      </c>
      <c r="AM37" s="42">
        <f t="shared" si="46"/>
        <v>-0.21592857264101301</v>
      </c>
      <c r="AN37" s="42">
        <f t="shared" si="46"/>
        <v>0.16719826486348557</v>
      </c>
      <c r="AO37" s="42">
        <f t="shared" si="46"/>
        <v>0.88368451245794377</v>
      </c>
      <c r="AP37" s="42">
        <f t="shared" si="46"/>
        <v>0.45527138837017478</v>
      </c>
      <c r="AQ37" s="42">
        <f t="shared" si="46"/>
        <v>0.66043405630745389</v>
      </c>
      <c r="AR37" s="42">
        <f t="shared" si="46"/>
        <v>0.92582982094506205</v>
      </c>
      <c r="AS37" s="42">
        <f t="shared" si="46"/>
        <v>1.0868116564792736</v>
      </c>
      <c r="AT37" s="42">
        <f t="shared" si="46"/>
        <v>1.2132002417948387</v>
      </c>
      <c r="AU37" s="42">
        <f t="shared" si="46"/>
        <v>1.2849990574303942</v>
      </c>
      <c r="AV37" s="42">
        <f t="shared" si="46"/>
        <v>1.3414323666806591</v>
      </c>
      <c r="AW37" s="42">
        <f t="shared" si="46"/>
        <v>1.3469298782022685</v>
      </c>
      <c r="AX37" s="42">
        <f t="shared" si="46"/>
        <v>1.0891382113347148</v>
      </c>
      <c r="AY37" s="42">
        <f t="shared" si="46"/>
        <v>1.0788464335670911</v>
      </c>
      <c r="AZ37" s="42">
        <f t="shared" si="46"/>
        <v>1.0683344467114231</v>
      </c>
      <c r="BA37" s="42">
        <f t="shared" si="46"/>
        <v>1.0576116510036035</v>
      </c>
      <c r="BD37" s="186">
        <f t="shared" si="10"/>
        <v>29</v>
      </c>
    </row>
    <row r="38" spans="1:56" outlineLevel="1">
      <c r="B38" s="32" t="s">
        <v>69</v>
      </c>
      <c r="C38" s="35">
        <f t="shared" ref="C38:L38" si="47">C312</f>
        <v>0</v>
      </c>
      <c r="D38" s="35">
        <f t="shared" si="47"/>
        <v>0</v>
      </c>
      <c r="E38" s="35">
        <f t="shared" si="47"/>
        <v>0</v>
      </c>
      <c r="F38" s="35">
        <f t="shared" si="47"/>
        <v>0</v>
      </c>
      <c r="G38" s="35">
        <f t="shared" si="47"/>
        <v>102.65600000000001</v>
      </c>
      <c r="H38" s="35">
        <f t="shared" si="47"/>
        <v>118.30500000000002</v>
      </c>
      <c r="I38" s="35">
        <f t="shared" si="47"/>
        <v>60.417749999999998</v>
      </c>
      <c r="J38" s="35">
        <f t="shared" si="47"/>
        <v>69.927646490544518</v>
      </c>
      <c r="K38" s="35">
        <f t="shared" si="47"/>
        <v>71.33672357485699</v>
      </c>
      <c r="L38" s="35">
        <f t="shared" si="47"/>
        <v>72.774194267837572</v>
      </c>
      <c r="M38" s="35"/>
      <c r="N38" s="35">
        <f t="shared" ref="N38:BA38" si="48">N312</f>
        <v>0</v>
      </c>
      <c r="O38" s="35">
        <f t="shared" si="48"/>
        <v>0</v>
      </c>
      <c r="P38" s="35">
        <f t="shared" si="48"/>
        <v>0</v>
      </c>
      <c r="Q38" s="35">
        <f t="shared" si="48"/>
        <v>0</v>
      </c>
      <c r="R38" s="35">
        <f t="shared" si="48"/>
        <v>0</v>
      </c>
      <c r="S38" s="35">
        <f t="shared" si="48"/>
        <v>0</v>
      </c>
      <c r="T38" s="35">
        <f t="shared" si="48"/>
        <v>0</v>
      </c>
      <c r="U38" s="35">
        <f t="shared" si="48"/>
        <v>0</v>
      </c>
      <c r="V38" s="35">
        <f t="shared" si="48"/>
        <v>0</v>
      </c>
      <c r="W38" s="35">
        <f t="shared" si="48"/>
        <v>0</v>
      </c>
      <c r="X38" s="35">
        <f t="shared" si="48"/>
        <v>0</v>
      </c>
      <c r="Y38" s="35">
        <f t="shared" si="48"/>
        <v>0</v>
      </c>
      <c r="Z38" s="35">
        <f t="shared" si="48"/>
        <v>0</v>
      </c>
      <c r="AA38" s="35">
        <f t="shared" si="48"/>
        <v>0</v>
      </c>
      <c r="AB38" s="35">
        <f t="shared" si="48"/>
        <v>0</v>
      </c>
      <c r="AC38" s="35">
        <f t="shared" si="48"/>
        <v>0</v>
      </c>
      <c r="AD38" s="35">
        <f t="shared" si="48"/>
        <v>59.682000000000002</v>
      </c>
      <c r="AE38" s="35">
        <f t="shared" si="48"/>
        <v>116.851</v>
      </c>
      <c r="AF38" s="35">
        <f t="shared" si="48"/>
        <v>117.01900000000001</v>
      </c>
      <c r="AG38" s="35">
        <f t="shared" si="48"/>
        <v>117.072</v>
      </c>
      <c r="AH38" s="35">
        <f t="shared" si="48"/>
        <v>117.533</v>
      </c>
      <c r="AI38" s="35">
        <f t="shared" si="48"/>
        <v>118.426</v>
      </c>
      <c r="AJ38" s="35">
        <f t="shared" si="48"/>
        <v>118.626</v>
      </c>
      <c r="AK38" s="35">
        <f t="shared" si="48"/>
        <v>118.63500000000006</v>
      </c>
      <c r="AL38" s="188">
        <f t="shared" ref="AL38" si="49">AL312</f>
        <v>55.557000000000002</v>
      </c>
      <c r="AM38" s="188">
        <f t="shared" si="48"/>
        <v>58.912999999999997</v>
      </c>
      <c r="AN38" s="188">
        <f t="shared" si="48"/>
        <v>62.704000000000001</v>
      </c>
      <c r="AO38" s="188">
        <f t="shared" ref="AO38" si="50">AO312</f>
        <v>64.497</v>
      </c>
      <c r="AP38" s="35">
        <f t="shared" si="48"/>
        <v>69.405368920499981</v>
      </c>
      <c r="AQ38" s="35">
        <f t="shared" si="48"/>
        <v>69.752395765102492</v>
      </c>
      <c r="AR38" s="35">
        <f t="shared" si="48"/>
        <v>70.101157743927985</v>
      </c>
      <c r="AS38" s="35">
        <f t="shared" si="48"/>
        <v>70.451663532647629</v>
      </c>
      <c r="AT38" s="35">
        <f t="shared" si="48"/>
        <v>70.803921850310857</v>
      </c>
      <c r="AU38" s="35">
        <f t="shared" si="48"/>
        <v>71.157941459562409</v>
      </c>
      <c r="AV38" s="35">
        <f t="shared" si="48"/>
        <v>71.513731166860211</v>
      </c>
      <c r="AW38" s="35">
        <f t="shared" si="48"/>
        <v>71.87129982269451</v>
      </c>
      <c r="AX38" s="35">
        <f t="shared" si="48"/>
        <v>72.23065632180797</v>
      </c>
      <c r="AY38" s="35">
        <f t="shared" si="48"/>
        <v>72.591809603417005</v>
      </c>
      <c r="AZ38" s="35">
        <f t="shared" si="48"/>
        <v>72.95476865143408</v>
      </c>
      <c r="BA38" s="35">
        <f t="shared" si="48"/>
        <v>73.319542494691248</v>
      </c>
      <c r="BD38" s="186">
        <f t="shared" si="10"/>
        <v>30</v>
      </c>
    </row>
    <row r="39" spans="1:56" outlineLevel="1">
      <c r="B39" s="32" t="s">
        <v>70</v>
      </c>
      <c r="C39" s="35">
        <f t="shared" ref="C39:L39" si="51">SUMIFS($N39:$BB39,$N$5:$BB$5,C$5)</f>
        <v>0</v>
      </c>
      <c r="D39" s="35">
        <f t="shared" si="51"/>
        <v>0</v>
      </c>
      <c r="E39" s="35">
        <f t="shared" si="51"/>
        <v>0</v>
      </c>
      <c r="F39" s="35">
        <f t="shared" si="51"/>
        <v>0</v>
      </c>
      <c r="G39" s="35">
        <f t="shared" si="51"/>
        <v>0</v>
      </c>
      <c r="H39" s="35">
        <f t="shared" si="51"/>
        <v>0</v>
      </c>
      <c r="I39" s="35">
        <f t="shared" si="51"/>
        <v>0</v>
      </c>
      <c r="J39" s="35">
        <f t="shared" si="51"/>
        <v>0</v>
      </c>
      <c r="K39" s="35">
        <f t="shared" si="51"/>
        <v>0</v>
      </c>
      <c r="L39" s="35">
        <f t="shared" si="51"/>
        <v>0</v>
      </c>
      <c r="M39" s="35"/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1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41">
        <v>0</v>
      </c>
      <c r="AP39" s="41">
        <v>0</v>
      </c>
      <c r="AQ39" s="41">
        <v>0</v>
      </c>
      <c r="AR39" s="41">
        <v>0</v>
      </c>
      <c r="AS39" s="41">
        <v>0</v>
      </c>
      <c r="AT39" s="41">
        <v>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41">
        <v>0</v>
      </c>
      <c r="BA39" s="41">
        <v>0</v>
      </c>
      <c r="BD39" s="186">
        <f t="shared" si="10"/>
        <v>31</v>
      </c>
    </row>
    <row r="40" spans="1:56" outlineLevel="1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188"/>
      <c r="AM40" s="188"/>
      <c r="AN40" s="188"/>
      <c r="AO40" s="188"/>
      <c r="AP40" s="62"/>
      <c r="AQ40" s="62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D40" s="186">
        <f t="shared" si="10"/>
        <v>32</v>
      </c>
    </row>
    <row r="41" spans="1:56">
      <c r="A41" s="38" t="s">
        <v>71</v>
      </c>
      <c r="B41" s="59" t="s">
        <v>92</v>
      </c>
      <c r="C41" s="33">
        <f t="shared" ref="C41:L41" si="52">C$7</f>
        <v>2011</v>
      </c>
      <c r="D41" s="33">
        <f t="shared" si="52"/>
        <v>2012</v>
      </c>
      <c r="E41" s="33">
        <f t="shared" si="52"/>
        <v>2013</v>
      </c>
      <c r="F41" s="33">
        <f t="shared" si="52"/>
        <v>2014</v>
      </c>
      <c r="G41" s="33">
        <f t="shared" si="52"/>
        <v>2015</v>
      </c>
      <c r="H41" s="33">
        <f t="shared" si="52"/>
        <v>2016</v>
      </c>
      <c r="I41" s="33">
        <f t="shared" si="52"/>
        <v>2017</v>
      </c>
      <c r="J41" s="33" t="str">
        <f t="shared" si="52"/>
        <v>2018E</v>
      </c>
      <c r="K41" s="33" t="str">
        <f t="shared" si="52"/>
        <v>2019E</v>
      </c>
      <c r="L41" s="33" t="str">
        <f t="shared" si="52"/>
        <v>2020E</v>
      </c>
      <c r="N41" s="33" t="str">
        <f t="shared" ref="N41:BA41" si="53">N$7</f>
        <v>1Q11</v>
      </c>
      <c r="O41" s="33" t="str">
        <f t="shared" si="53"/>
        <v>2Q11</v>
      </c>
      <c r="P41" s="33" t="str">
        <f t="shared" si="53"/>
        <v>3Q11</v>
      </c>
      <c r="Q41" s="33" t="str">
        <f t="shared" si="53"/>
        <v>4Q11</v>
      </c>
      <c r="R41" s="33" t="str">
        <f t="shared" si="53"/>
        <v>1Q12</v>
      </c>
      <c r="S41" s="33" t="str">
        <f t="shared" si="53"/>
        <v>2Q12</v>
      </c>
      <c r="T41" s="33" t="str">
        <f t="shared" si="53"/>
        <v>3Q12</v>
      </c>
      <c r="U41" s="33" t="str">
        <f t="shared" si="53"/>
        <v>4Q12</v>
      </c>
      <c r="V41" s="33" t="str">
        <f t="shared" si="53"/>
        <v>1Q13</v>
      </c>
      <c r="W41" s="33" t="str">
        <f t="shared" si="53"/>
        <v>2Q13</v>
      </c>
      <c r="X41" s="33" t="str">
        <f t="shared" si="53"/>
        <v>3Q13</v>
      </c>
      <c r="Y41" s="33" t="str">
        <f t="shared" si="53"/>
        <v>4Q13</v>
      </c>
      <c r="Z41" s="33" t="str">
        <f t="shared" si="53"/>
        <v>1Q14</v>
      </c>
      <c r="AA41" s="33" t="str">
        <f t="shared" si="53"/>
        <v>2Q14</v>
      </c>
      <c r="AB41" s="33" t="str">
        <f t="shared" si="53"/>
        <v>3Q14</v>
      </c>
      <c r="AC41" s="33" t="str">
        <f t="shared" si="53"/>
        <v>4Q14</v>
      </c>
      <c r="AD41" s="33" t="str">
        <f t="shared" si="53"/>
        <v>1Q15</v>
      </c>
      <c r="AE41" s="33" t="str">
        <f t="shared" si="53"/>
        <v>2Q15</v>
      </c>
      <c r="AF41" s="33" t="str">
        <f t="shared" si="53"/>
        <v>3Q15</v>
      </c>
      <c r="AG41" s="33" t="str">
        <f t="shared" si="53"/>
        <v>4Q15</v>
      </c>
      <c r="AH41" s="33" t="str">
        <f t="shared" si="53"/>
        <v>1Q16</v>
      </c>
      <c r="AI41" s="33" t="str">
        <f t="shared" si="53"/>
        <v>2Q16</v>
      </c>
      <c r="AJ41" s="33" t="str">
        <f t="shared" si="53"/>
        <v>3Q16</v>
      </c>
      <c r="AK41" s="33" t="str">
        <f t="shared" si="53"/>
        <v>4Q16</v>
      </c>
      <c r="AL41" s="33" t="str">
        <f t="shared" si="53"/>
        <v>1Q17</v>
      </c>
      <c r="AM41" s="33" t="str">
        <f t="shared" si="53"/>
        <v>2Q17</v>
      </c>
      <c r="AN41" s="33" t="str">
        <f t="shared" si="53"/>
        <v>3Q17</v>
      </c>
      <c r="AO41" s="33" t="str">
        <f t="shared" si="53"/>
        <v>4Q17</v>
      </c>
      <c r="AP41" s="33" t="str">
        <f t="shared" si="53"/>
        <v>1Q18E</v>
      </c>
      <c r="AQ41" s="33" t="str">
        <f t="shared" si="53"/>
        <v>2Q18E</v>
      </c>
      <c r="AR41" s="33" t="str">
        <f t="shared" si="53"/>
        <v>3Q18E</v>
      </c>
      <c r="AS41" s="33" t="str">
        <f t="shared" si="53"/>
        <v>4Q18E</v>
      </c>
      <c r="AT41" s="33" t="str">
        <f t="shared" si="53"/>
        <v>1Q19E</v>
      </c>
      <c r="AU41" s="33" t="str">
        <f t="shared" si="53"/>
        <v>2Q19E</v>
      </c>
      <c r="AV41" s="33" t="str">
        <f t="shared" si="53"/>
        <v>3Q19E</v>
      </c>
      <c r="AW41" s="33" t="str">
        <f t="shared" si="53"/>
        <v>4Q19E</v>
      </c>
      <c r="AX41" s="33" t="str">
        <f t="shared" si="53"/>
        <v>1Q20E</v>
      </c>
      <c r="AY41" s="33" t="str">
        <f t="shared" si="53"/>
        <v>2Q20E</v>
      </c>
      <c r="AZ41" s="33" t="str">
        <f t="shared" si="53"/>
        <v>3Q20E</v>
      </c>
      <c r="BA41" s="33" t="str">
        <f t="shared" si="53"/>
        <v>4Q20E</v>
      </c>
      <c r="BD41" s="186">
        <f t="shared" si="10"/>
        <v>33</v>
      </c>
    </row>
    <row r="42" spans="1:56" outlineLevel="1">
      <c r="B42" s="60" t="s">
        <v>100</v>
      </c>
      <c r="C42" s="61"/>
      <c r="D42" s="67">
        <f t="shared" ref="D42:L42" si="54">IFERROR(+D14/C14-1,"NM")</f>
        <v>0.25155773409420368</v>
      </c>
      <c r="E42" s="67">
        <f t="shared" si="54"/>
        <v>-0.11975499707563975</v>
      </c>
      <c r="F42" s="67">
        <f t="shared" si="54"/>
        <v>0.22688274547187803</v>
      </c>
      <c r="G42" s="67">
        <f t="shared" si="54"/>
        <v>-0.4524734524734525</v>
      </c>
      <c r="H42" s="67">
        <f t="shared" si="54"/>
        <v>-0.54061400189214759</v>
      </c>
      <c r="I42" s="67">
        <f t="shared" si="54"/>
        <v>0.68743499920711892</v>
      </c>
      <c r="J42" s="67">
        <f t="shared" si="54"/>
        <v>0.56105925185207672</v>
      </c>
      <c r="K42" s="67">
        <f t="shared" si="54"/>
        <v>0.25464234802336194</v>
      </c>
      <c r="L42" s="67">
        <f t="shared" si="54"/>
        <v>3.5671297505619703E-2</v>
      </c>
      <c r="N42" s="61"/>
      <c r="O42" s="67">
        <f t="shared" ref="O42:BA42" si="55">IFERROR(+O14/N14-1,"NM")</f>
        <v>9.2816574880850711E-2</v>
      </c>
      <c r="P42" s="67">
        <f t="shared" si="55"/>
        <v>0.26388834122236027</v>
      </c>
      <c r="Q42" s="67">
        <f t="shared" si="55"/>
        <v>4.9640026506628576E-2</v>
      </c>
      <c r="R42" s="67">
        <f t="shared" si="55"/>
        <v>6.3324083387430008E-2</v>
      </c>
      <c r="S42" s="67">
        <f t="shared" si="55"/>
        <v>1.3511534113716417E-2</v>
      </c>
      <c r="T42" s="67">
        <f t="shared" si="55"/>
        <v>4.1298234504336451E-2</v>
      </c>
      <c r="U42" s="67">
        <f t="shared" si="55"/>
        <v>-0.12010933767011178</v>
      </c>
      <c r="V42" s="67">
        <f t="shared" si="55"/>
        <v>-4.9052496213115582E-2</v>
      </c>
      <c r="W42" s="67">
        <f t="shared" si="55"/>
        <v>-3.0624493517017903E-2</v>
      </c>
      <c r="X42" s="67">
        <f t="shared" si="55"/>
        <v>1.2648026186887318E-2</v>
      </c>
      <c r="Y42" s="67">
        <f t="shared" si="55"/>
        <v>6.2432199902741958E-2</v>
      </c>
      <c r="Z42" s="67">
        <f t="shared" si="55"/>
        <v>-4.6402754541328139E-3</v>
      </c>
      <c r="AA42" s="67">
        <f t="shared" si="55"/>
        <v>0.10136417527407948</v>
      </c>
      <c r="AB42" s="67">
        <f t="shared" si="55"/>
        <v>0.16493934245762154</v>
      </c>
      <c r="AC42" s="67">
        <f t="shared" si="55"/>
        <v>3.1689337445382826E-2</v>
      </c>
      <c r="AD42" s="67">
        <f t="shared" si="55"/>
        <v>-0.2924343047969914</v>
      </c>
      <c r="AE42" s="67">
        <f t="shared" si="55"/>
        <v>-0.33429141851739463</v>
      </c>
      <c r="AF42" s="67">
        <f t="shared" si="55"/>
        <v>-0.16368100319857593</v>
      </c>
      <c r="AG42" s="67">
        <f t="shared" si="55"/>
        <v>-4.3242408718657477E-2</v>
      </c>
      <c r="AH42" s="67">
        <f t="shared" si="55"/>
        <v>-0.34081234979010344</v>
      </c>
      <c r="AI42" s="67">
        <f t="shared" si="55"/>
        <v>-0.16485358752294943</v>
      </c>
      <c r="AJ42" s="67">
        <f t="shared" si="55"/>
        <v>3.2726675193633259E-2</v>
      </c>
      <c r="AK42" s="67">
        <f t="shared" si="55"/>
        <v>4.8529911368943468E-2</v>
      </c>
      <c r="AL42" s="67">
        <f t="shared" si="55"/>
        <v>0.2886203870036339</v>
      </c>
      <c r="AM42" s="67">
        <f t="shared" si="55"/>
        <v>0.24172644926383047</v>
      </c>
      <c r="AN42" s="67">
        <f t="shared" si="55"/>
        <v>0.13458911219732261</v>
      </c>
      <c r="AO42" s="67">
        <f t="shared" si="55"/>
        <v>0.11091783161490287</v>
      </c>
      <c r="AP42" s="67">
        <f t="shared" si="55"/>
        <v>0.1288732522336824</v>
      </c>
      <c r="AQ42" s="67">
        <f t="shared" si="55"/>
        <v>9.1961754597788881E-2</v>
      </c>
      <c r="AR42" s="67">
        <f t="shared" si="55"/>
        <v>0.1164621806799373</v>
      </c>
      <c r="AS42" s="67">
        <f t="shared" si="55"/>
        <v>6.4027724116881179E-2</v>
      </c>
      <c r="AT42" s="67">
        <f t="shared" si="55"/>
        <v>5.7768281167596136E-2</v>
      </c>
      <c r="AU42" s="67">
        <f t="shared" si="55"/>
        <v>4.3519556758853328E-2</v>
      </c>
      <c r="AV42" s="67">
        <f t="shared" si="55"/>
        <v>3.6240167719434835E-2</v>
      </c>
      <c r="AW42" s="67">
        <f t="shared" si="55"/>
        <v>6.9512600749572773E-3</v>
      </c>
      <c r="AX42" s="67">
        <f t="shared" si="55"/>
        <v>1.9755494667206275E-3</v>
      </c>
      <c r="AY42" s="67">
        <f t="shared" si="55"/>
        <v>0</v>
      </c>
      <c r="AZ42" s="67">
        <f t="shared" si="55"/>
        <v>0</v>
      </c>
      <c r="BA42" s="67">
        <f t="shared" si="55"/>
        <v>0</v>
      </c>
      <c r="BD42" s="186">
        <f t="shared" ref="BD42:BD105" si="56">+BD41+1</f>
        <v>34</v>
      </c>
    </row>
    <row r="43" spans="1:56" outlineLevel="1">
      <c r="B43" s="26" t="s">
        <v>46</v>
      </c>
      <c r="C43" s="61"/>
      <c r="D43" s="68">
        <f t="shared" ref="D43:L43" si="57">IFERROR(+D11/C11-1,"NM")</f>
        <v>0.26297351103676503</v>
      </c>
      <c r="E43" s="68">
        <f t="shared" si="57"/>
        <v>-0.20588882936592701</v>
      </c>
      <c r="F43" s="68">
        <f t="shared" si="57"/>
        <v>0.34350750129332641</v>
      </c>
      <c r="G43" s="68">
        <f t="shared" si="57"/>
        <v>-0.4890257989988448</v>
      </c>
      <c r="H43" s="68">
        <f t="shared" si="57"/>
        <v>-0.59005275056518469</v>
      </c>
      <c r="I43" s="68">
        <f t="shared" si="57"/>
        <v>1.3097628676470587</v>
      </c>
      <c r="J43" s="68">
        <f t="shared" si="57"/>
        <v>0.71721542514783798</v>
      </c>
      <c r="K43" s="68">
        <f t="shared" si="57"/>
        <v>0.27727053634522658</v>
      </c>
      <c r="L43" s="68">
        <f t="shared" si="57"/>
        <v>2.6846404445166394E-2</v>
      </c>
      <c r="N43" s="61"/>
      <c r="O43" s="68">
        <f t="shared" ref="O43:AO43" si="58">IFERROR(+O11/N11-1,"NM")</f>
        <v>0.10643453149224924</v>
      </c>
      <c r="P43" s="68">
        <f t="shared" si="58"/>
        <v>0.28430900816107174</v>
      </c>
      <c r="Q43" s="68">
        <f t="shared" si="58"/>
        <v>3.9967030717721341E-2</v>
      </c>
      <c r="R43" s="68">
        <f t="shared" si="58"/>
        <v>5.7188798776898198E-2</v>
      </c>
      <c r="S43" s="68">
        <f t="shared" si="58"/>
        <v>5.5458220576208195E-2</v>
      </c>
      <c r="T43" s="68">
        <f t="shared" si="58"/>
        <v>2.9903094884487391E-2</v>
      </c>
      <c r="U43" s="68">
        <f t="shared" si="58"/>
        <v>-0.16858937697457566</v>
      </c>
      <c r="V43" s="68">
        <f t="shared" si="58"/>
        <v>-7.7069511910257904E-2</v>
      </c>
      <c r="W43" s="68">
        <f t="shared" si="58"/>
        <v>-2.6539043303061671E-2</v>
      </c>
      <c r="X43" s="68">
        <f t="shared" si="58"/>
        <v>1.1830770238621557E-2</v>
      </c>
      <c r="Y43" s="68">
        <f t="shared" si="58"/>
        <v>-6.4744431472973929E-5</v>
      </c>
      <c r="Z43" s="68">
        <f t="shared" si="58"/>
        <v>2.0673021474285402E-2</v>
      </c>
      <c r="AA43" s="68">
        <f t="shared" si="58"/>
        <v>0.1923415458056128</v>
      </c>
      <c r="AB43" s="68">
        <f t="shared" si="58"/>
        <v>0.24248495328035102</v>
      </c>
      <c r="AC43" s="68">
        <f t="shared" si="58"/>
        <v>6.6102862954215302E-2</v>
      </c>
      <c r="AD43" s="68">
        <f t="shared" si="58"/>
        <v>-0.30604841948829165</v>
      </c>
      <c r="AE43" s="68">
        <f t="shared" si="58"/>
        <v>-0.39859895744780904</v>
      </c>
      <c r="AF43" s="68">
        <f t="shared" si="58"/>
        <v>-0.22734504464675087</v>
      </c>
      <c r="AG43" s="68">
        <f t="shared" si="58"/>
        <v>-1.1949849556452952E-3</v>
      </c>
      <c r="AH43" s="68">
        <f t="shared" si="58"/>
        <v>-0.40763834762275919</v>
      </c>
      <c r="AI43" s="68">
        <f t="shared" si="58"/>
        <v>-0.18421052631578949</v>
      </c>
      <c r="AJ43" s="68">
        <f t="shared" si="58"/>
        <v>3.2258064516129004E-2</v>
      </c>
      <c r="AK43" s="68">
        <f t="shared" si="58"/>
        <v>9.375E-2</v>
      </c>
      <c r="AL43" s="68">
        <f t="shared" si="58"/>
        <v>0.55642857142857149</v>
      </c>
      <c r="AM43" s="68">
        <f t="shared" si="58"/>
        <v>0.34991739329967864</v>
      </c>
      <c r="AN43" s="68">
        <f t="shared" si="58"/>
        <v>0.17268236629984313</v>
      </c>
      <c r="AO43" s="68">
        <f t="shared" si="58"/>
        <v>0.15823575625976627</v>
      </c>
      <c r="AP43" s="215">
        <f t="shared" ref="AP43:BA43" si="59">AP77</f>
        <v>0.14878647843260118</v>
      </c>
      <c r="AQ43" s="69">
        <f t="shared" si="59"/>
        <v>0.10233323396391647</v>
      </c>
      <c r="AR43" s="69">
        <f t="shared" si="59"/>
        <v>0.13716885979918847</v>
      </c>
      <c r="AS43" s="69">
        <f t="shared" si="59"/>
        <v>7.3234427139720504E-2</v>
      </c>
      <c r="AT43" s="69">
        <f t="shared" si="59"/>
        <v>6.3510444888273065E-2</v>
      </c>
      <c r="AU43" s="69">
        <f t="shared" si="59"/>
        <v>4.206729616499616E-2</v>
      </c>
      <c r="AV43" s="69">
        <f t="shared" si="59"/>
        <v>3.3875831772546716E-2</v>
      </c>
      <c r="AW43" s="69">
        <f t="shared" si="59"/>
        <v>0</v>
      </c>
      <c r="AX43" s="69">
        <f t="shared" si="59"/>
        <v>0</v>
      </c>
      <c r="AY43" s="69">
        <f t="shared" si="59"/>
        <v>0</v>
      </c>
      <c r="AZ43" s="69">
        <f t="shared" si="59"/>
        <v>0</v>
      </c>
      <c r="BA43" s="69">
        <f t="shared" si="59"/>
        <v>0</v>
      </c>
      <c r="BD43" s="186">
        <f t="shared" si="56"/>
        <v>35</v>
      </c>
    </row>
    <row r="44" spans="1:56" outlineLevel="1">
      <c r="B44" s="26" t="s">
        <v>47</v>
      </c>
      <c r="C44" s="61"/>
      <c r="D44" s="68">
        <f t="shared" ref="D44:L44" si="60">IFERROR(+D12/C12-1,"NM")</f>
        <v>0.22787988231014755</v>
      </c>
      <c r="E44" s="68">
        <f t="shared" si="60"/>
        <v>5.3486804683371192E-2</v>
      </c>
      <c r="F44" s="68">
        <f t="shared" si="60"/>
        <v>3.4941763727121433E-2</v>
      </c>
      <c r="G44" s="68">
        <f t="shared" si="60"/>
        <v>-0.38987138263665599</v>
      </c>
      <c r="H44" s="68">
        <f t="shared" si="60"/>
        <v>-0.44664031620553357</v>
      </c>
      <c r="I44" s="68">
        <f t="shared" si="60"/>
        <v>-8.9933333333333199E-2</v>
      </c>
      <c r="J44" s="68">
        <f t="shared" si="60"/>
        <v>4.7721794983321741E-2</v>
      </c>
      <c r="K44" s="68">
        <f t="shared" si="60"/>
        <v>0.13272306948846957</v>
      </c>
      <c r="L44" s="68">
        <f t="shared" si="60"/>
        <v>8.9286901082162418E-2</v>
      </c>
      <c r="N44" s="61"/>
      <c r="O44" s="68">
        <f t="shared" ref="O44:AO44" si="61">IFERROR(+O12/N12-1,"NM")</f>
        <v>6.5938121501650349E-2</v>
      </c>
      <c r="P44" s="68">
        <f t="shared" si="61"/>
        <v>0.22205178018426963</v>
      </c>
      <c r="Q44" s="68">
        <f t="shared" si="61"/>
        <v>7.0467038912695346E-2</v>
      </c>
      <c r="R44" s="68">
        <f t="shared" si="61"/>
        <v>7.6157638003095274E-2</v>
      </c>
      <c r="S44" s="68">
        <f t="shared" si="61"/>
        <v>-7.2684358123917603E-2</v>
      </c>
      <c r="T44" s="68">
        <f t="shared" si="61"/>
        <v>6.7949756888168622E-2</v>
      </c>
      <c r="U44" s="68">
        <f t="shared" si="61"/>
        <v>-1.0761329576065681E-2</v>
      </c>
      <c r="V44" s="68">
        <f t="shared" si="61"/>
        <v>4.058478349552086E-3</v>
      </c>
      <c r="W44" s="68">
        <f t="shared" si="61"/>
        <v>-3.7743383882404946E-2</v>
      </c>
      <c r="X44" s="68">
        <f t="shared" si="61"/>
        <v>1.4088674928365963E-2</v>
      </c>
      <c r="Y44" s="68">
        <f t="shared" si="61"/>
        <v>0.17235575041102291</v>
      </c>
      <c r="Z44" s="68">
        <f t="shared" si="61"/>
        <v>-4.2614869520609222E-2</v>
      </c>
      <c r="AA44" s="68">
        <f t="shared" si="61"/>
        <v>-4.4140773620798934E-2</v>
      </c>
      <c r="AB44" s="68">
        <f t="shared" si="61"/>
        <v>1.0232919151646147E-2</v>
      </c>
      <c r="AC44" s="68">
        <f t="shared" si="61"/>
        <v>-5.2750990763815619E-2</v>
      </c>
      <c r="AD44" s="68">
        <f t="shared" si="61"/>
        <v>-0.25483800524788824</v>
      </c>
      <c r="AE44" s="68">
        <f t="shared" si="61"/>
        <v>-0.28786800448420058</v>
      </c>
      <c r="AF44" s="68">
        <f t="shared" si="61"/>
        <v>-1.4422700075771622E-2</v>
      </c>
      <c r="AG44" s="68">
        <f t="shared" si="61"/>
        <v>-0.10063359932133298</v>
      </c>
      <c r="AH44" s="68">
        <f t="shared" si="61"/>
        <v>-0.14517317612380243</v>
      </c>
      <c r="AI44" s="68">
        <f t="shared" si="61"/>
        <v>-0.14655172413793105</v>
      </c>
      <c r="AJ44" s="68">
        <f t="shared" si="61"/>
        <v>4.0404040404040442E-2</v>
      </c>
      <c r="AK44" s="68">
        <f t="shared" si="61"/>
        <v>-9.7087378640776656E-3</v>
      </c>
      <c r="AL44" s="68">
        <f t="shared" si="61"/>
        <v>-5.5941176470588161E-2</v>
      </c>
      <c r="AM44" s="68">
        <f t="shared" si="61"/>
        <v>-3.0946891810498256E-3</v>
      </c>
      <c r="AN44" s="68">
        <f t="shared" si="61"/>
        <v>1.7865327721988455E-2</v>
      </c>
      <c r="AO44" s="68">
        <f t="shared" si="61"/>
        <v>-5.6124694251414864E-2</v>
      </c>
      <c r="AP44" s="69">
        <f t="shared" ref="AP44:BA44" si="62">AP83</f>
        <v>4.2610098594611401E-2</v>
      </c>
      <c r="AQ44" s="69">
        <f t="shared" si="62"/>
        <v>4.2457582724315879E-2</v>
      </c>
      <c r="AR44" s="69">
        <f t="shared" si="62"/>
        <v>1.1950205870017161E-2</v>
      </c>
      <c r="AS44" s="69">
        <f t="shared" si="62"/>
        <v>1.1809084874629061E-2</v>
      </c>
      <c r="AT44" s="69">
        <f t="shared" si="62"/>
        <v>2.3222659870303808E-2</v>
      </c>
      <c r="AU44" s="69">
        <f t="shared" si="62"/>
        <v>5.2600555183207609E-2</v>
      </c>
      <c r="AV44" s="69">
        <f t="shared" si="62"/>
        <v>5.0876437432194166E-2</v>
      </c>
      <c r="AW44" s="69">
        <f t="shared" si="62"/>
        <v>4.928644732714349E-2</v>
      </c>
      <c r="AX44" s="69">
        <f t="shared" si="62"/>
        <v>1.3442073684607703E-2</v>
      </c>
      <c r="AY44" s="69">
        <f t="shared" si="62"/>
        <v>0</v>
      </c>
      <c r="AZ44" s="69">
        <f t="shared" si="62"/>
        <v>0</v>
      </c>
      <c r="BA44" s="69">
        <f t="shared" si="62"/>
        <v>0</v>
      </c>
      <c r="BD44" s="186">
        <f t="shared" si="56"/>
        <v>36</v>
      </c>
    </row>
    <row r="45" spans="1:56" outlineLevel="1">
      <c r="B45" s="60" t="s">
        <v>101</v>
      </c>
      <c r="C45" s="71">
        <f t="shared" ref="C45:L45" si="63">IFERROR(+C20/C14,"NM")</f>
        <v>0</v>
      </c>
      <c r="D45" s="71">
        <f t="shared" si="63"/>
        <v>0</v>
      </c>
      <c r="E45" s="71">
        <f t="shared" si="63"/>
        <v>0.17921830314585319</v>
      </c>
      <c r="F45" s="71">
        <f t="shared" si="63"/>
        <v>0.14374514374514374</v>
      </c>
      <c r="G45" s="71">
        <f t="shared" si="63"/>
        <v>2.5070955534531692E-2</v>
      </c>
      <c r="H45" s="71">
        <f t="shared" si="63"/>
        <v>-9.7660280370944721E-2</v>
      </c>
      <c r="I45" s="71">
        <f t="shared" si="63"/>
        <v>7.9856523827162226E-2</v>
      </c>
      <c r="J45" s="71">
        <f t="shared" si="63"/>
        <v>0.16321732917121842</v>
      </c>
      <c r="K45" s="71">
        <f t="shared" si="63"/>
        <v>0.19000555139344572</v>
      </c>
      <c r="L45" s="71">
        <f t="shared" si="63"/>
        <v>0.18823724599670327</v>
      </c>
      <c r="N45" s="71">
        <f t="shared" ref="N45:BA45" si="64">IFERROR(+N20/N14,"NM")</f>
        <v>0</v>
      </c>
      <c r="O45" s="71">
        <f t="shared" si="64"/>
        <v>0</v>
      </c>
      <c r="P45" s="71">
        <f t="shared" si="64"/>
        <v>0</v>
      </c>
      <c r="Q45" s="71">
        <f t="shared" si="64"/>
        <v>0</v>
      </c>
      <c r="R45" s="71">
        <f t="shared" si="64"/>
        <v>0</v>
      </c>
      <c r="S45" s="71">
        <f t="shared" si="64"/>
        <v>0</v>
      </c>
      <c r="T45" s="71">
        <f t="shared" si="64"/>
        <v>0</v>
      </c>
      <c r="U45" s="71">
        <f t="shared" si="64"/>
        <v>0</v>
      </c>
      <c r="V45" s="71">
        <f t="shared" si="64"/>
        <v>0</v>
      </c>
      <c r="W45" s="71">
        <f t="shared" si="64"/>
        <v>0</v>
      </c>
      <c r="X45" s="71">
        <f t="shared" si="64"/>
        <v>0</v>
      </c>
      <c r="Y45" s="71">
        <f t="shared" si="64"/>
        <v>0</v>
      </c>
      <c r="Z45" s="71">
        <f t="shared" si="64"/>
        <v>0</v>
      </c>
      <c r="AA45" s="71">
        <f t="shared" si="64"/>
        <v>0</v>
      </c>
      <c r="AB45" s="71">
        <f t="shared" si="64"/>
        <v>0</v>
      </c>
      <c r="AC45" s="71">
        <f t="shared" si="64"/>
        <v>0</v>
      </c>
      <c r="AD45" s="71">
        <f t="shared" si="64"/>
        <v>0</v>
      </c>
      <c r="AE45" s="71">
        <f t="shared" si="64"/>
        <v>3.9803194663171275E-2</v>
      </c>
      <c r="AF45" s="71">
        <f t="shared" si="64"/>
        <v>-2.669024577950244E-2</v>
      </c>
      <c r="AG45" s="71">
        <f t="shared" si="64"/>
        <v>1.8913916740625532E-2</v>
      </c>
      <c r="AH45" s="71">
        <f t="shared" si="64"/>
        <v>-0.11796821393468464</v>
      </c>
      <c r="AI45" s="71">
        <f t="shared" si="64"/>
        <v>-0.14755205002487032</v>
      </c>
      <c r="AJ45" s="71">
        <f t="shared" si="64"/>
        <v>-7.7011400336290572E-2</v>
      </c>
      <c r="AK45" s="71">
        <f t="shared" si="64"/>
        <v>-4.8822501661047811E-2</v>
      </c>
      <c r="AL45" s="71">
        <f t="shared" si="64"/>
        <v>1.4589712088709522E-2</v>
      </c>
      <c r="AM45" s="71">
        <f t="shared" si="64"/>
        <v>6.4361016345288777E-2</v>
      </c>
      <c r="AN45" s="71">
        <f t="shared" si="64"/>
        <v>9.9172713553762323E-2</v>
      </c>
      <c r="AO45" s="71">
        <f t="shared" si="64"/>
        <v>0.11646365022877478</v>
      </c>
      <c r="AP45" s="71">
        <f t="shared" si="64"/>
        <v>0.13204219033588085</v>
      </c>
      <c r="AQ45" s="71">
        <f t="shared" si="64"/>
        <v>0.15405490413313408</v>
      </c>
      <c r="AR45" s="71">
        <f t="shared" si="64"/>
        <v>0.17321035458532211</v>
      </c>
      <c r="AS45" s="71">
        <f t="shared" si="64"/>
        <v>0.18557123750535712</v>
      </c>
      <c r="AT45" s="71">
        <f t="shared" si="64"/>
        <v>0.18849594058321203</v>
      </c>
      <c r="AU45" s="71">
        <f t="shared" si="64"/>
        <v>0.18995296920757762</v>
      </c>
      <c r="AV45" s="71">
        <f t="shared" si="64"/>
        <v>0.1910190793016443</v>
      </c>
      <c r="AW45" s="71">
        <f t="shared" si="64"/>
        <v>0.19043583538312564</v>
      </c>
      <c r="AX45" s="71">
        <f t="shared" si="64"/>
        <v>0.18948938815768357</v>
      </c>
      <c r="AY45" s="71">
        <f t="shared" si="64"/>
        <v>0.18866566461253503</v>
      </c>
      <c r="AZ45" s="71">
        <f t="shared" si="64"/>
        <v>0.18782546659648355</v>
      </c>
      <c r="BA45" s="71">
        <f t="shared" si="64"/>
        <v>0.18696846462011102</v>
      </c>
      <c r="BD45" s="186">
        <f t="shared" si="56"/>
        <v>37</v>
      </c>
    </row>
    <row r="46" spans="1:56" outlineLevel="1">
      <c r="B46" s="26" t="s">
        <v>46</v>
      </c>
      <c r="C46" s="63">
        <f t="shared" ref="C46:L46" si="65">IFERROR(+C17/C11,"NM")</f>
        <v>0.31143275337759835</v>
      </c>
      <c r="D46" s="63">
        <f t="shared" si="65"/>
        <v>0.250439575247066</v>
      </c>
      <c r="E46" s="63">
        <f t="shared" si="65"/>
        <v>0.19710294878427315</v>
      </c>
      <c r="F46" s="63">
        <f t="shared" si="65"/>
        <v>0.14786291875240662</v>
      </c>
      <c r="G46" s="63">
        <f t="shared" si="65"/>
        <v>2.6752072343632253E-2</v>
      </c>
      <c r="H46" s="63">
        <f t="shared" si="65"/>
        <v>-7.3529411764705885E-2</v>
      </c>
      <c r="I46" s="63">
        <f t="shared" si="65"/>
        <v>0.1764775636663746</v>
      </c>
      <c r="J46" s="63">
        <f t="shared" si="65"/>
        <v>0.23626268410351392</v>
      </c>
      <c r="K46" s="63">
        <f t="shared" si="65"/>
        <v>0.25</v>
      </c>
      <c r="L46" s="63">
        <f t="shared" si="65"/>
        <v>0.25</v>
      </c>
      <c r="N46" s="63">
        <f t="shared" ref="N46:AO46" si="66">IFERROR(+N17/N11,"NM")</f>
        <v>0.31607295429579058</v>
      </c>
      <c r="O46" s="63">
        <f t="shared" si="66"/>
        <v>0.3038772717564025</v>
      </c>
      <c r="P46" s="63">
        <f t="shared" si="66"/>
        <v>0.30468989867976665</v>
      </c>
      <c r="Q46" s="63">
        <f t="shared" si="66"/>
        <v>0.32043335764306868</v>
      </c>
      <c r="R46" s="63">
        <f t="shared" si="66"/>
        <v>0.28294779816086763</v>
      </c>
      <c r="S46" s="63">
        <f t="shared" si="66"/>
        <v>0.24859083614326152</v>
      </c>
      <c r="T46" s="63">
        <f t="shared" si="66"/>
        <v>0.24158253534738761</v>
      </c>
      <c r="U46" s="63">
        <f t="shared" si="66"/>
        <v>0.2272816728619749</v>
      </c>
      <c r="V46" s="63">
        <f t="shared" si="66"/>
        <v>0.19280414676288238</v>
      </c>
      <c r="W46" s="63">
        <f t="shared" si="66"/>
        <v>0.16565739694393947</v>
      </c>
      <c r="X46" s="63">
        <f t="shared" si="66"/>
        <v>0.15373362926933887</v>
      </c>
      <c r="Y46" s="63">
        <f t="shared" si="66"/>
        <v>0.14141301730609301</v>
      </c>
      <c r="Z46" s="63">
        <f t="shared" si="66"/>
        <v>5.6157768279821434E-2</v>
      </c>
      <c r="AA46" s="63">
        <f t="shared" si="66"/>
        <v>0.11973364812290091</v>
      </c>
      <c r="AB46" s="63">
        <f t="shared" si="66"/>
        <v>0.14281451348512322</v>
      </c>
      <c r="AC46" s="63">
        <f t="shared" si="66"/>
        <v>0.1330469032413544</v>
      </c>
      <c r="AD46" s="63">
        <f t="shared" si="66"/>
        <v>-7.4765678979297288E-3</v>
      </c>
      <c r="AE46" s="63">
        <f t="shared" si="66"/>
        <v>7.3606236409733558E-2</v>
      </c>
      <c r="AF46" s="63">
        <f t="shared" si="66"/>
        <v>-3.3471256135488722E-2</v>
      </c>
      <c r="AG46" s="63">
        <f t="shared" si="66"/>
        <v>3.9146531566640684E-2</v>
      </c>
      <c r="AH46" s="63">
        <f t="shared" si="66"/>
        <v>-0.11842105263157894</v>
      </c>
      <c r="AI46" s="63">
        <f t="shared" si="66"/>
        <v>-0.13709677419354838</v>
      </c>
      <c r="AJ46" s="63">
        <f t="shared" si="66"/>
        <v>-4.6875E-2</v>
      </c>
      <c r="AK46" s="63">
        <f t="shared" si="66"/>
        <v>7.1428571428571426E-3</v>
      </c>
      <c r="AL46" s="63">
        <f t="shared" si="66"/>
        <v>0.10371730151445617</v>
      </c>
      <c r="AM46" s="63">
        <f t="shared" si="66"/>
        <v>0.16243918856898082</v>
      </c>
      <c r="AN46" s="63">
        <f t="shared" si="66"/>
        <v>0.20008929063231107</v>
      </c>
      <c r="AO46" s="63">
        <f t="shared" si="66"/>
        <v>0.20611078711363301</v>
      </c>
      <c r="AP46" s="69">
        <v>0.22</v>
      </c>
      <c r="AQ46" s="69">
        <v>0.23</v>
      </c>
      <c r="AR46" s="69">
        <v>0.24</v>
      </c>
      <c r="AS46" s="69">
        <v>0.25</v>
      </c>
      <c r="AT46" s="69">
        <f>AS46</f>
        <v>0.25</v>
      </c>
      <c r="AU46" s="69">
        <f>AT46</f>
        <v>0.25</v>
      </c>
      <c r="AV46" s="69">
        <f t="shared" ref="AV46:BA46" si="67">AU46</f>
        <v>0.25</v>
      </c>
      <c r="AW46" s="69">
        <f t="shared" si="67"/>
        <v>0.25</v>
      </c>
      <c r="AX46" s="69">
        <f t="shared" si="67"/>
        <v>0.25</v>
      </c>
      <c r="AY46" s="69">
        <f t="shared" si="67"/>
        <v>0.25</v>
      </c>
      <c r="AZ46" s="69">
        <f t="shared" si="67"/>
        <v>0.25</v>
      </c>
      <c r="BA46" s="69">
        <f t="shared" si="67"/>
        <v>0.25</v>
      </c>
      <c r="BD46" s="186">
        <f t="shared" si="56"/>
        <v>38</v>
      </c>
    </row>
    <row r="47" spans="1:56" outlineLevel="1">
      <c r="B47" s="26" t="s">
        <v>47</v>
      </c>
      <c r="C47" s="63">
        <f t="shared" ref="C47:L47" si="68">IFERROR(+C18/C12,"NM")</f>
        <v>0.20753275320644582</v>
      </c>
      <c r="D47" s="63">
        <f t="shared" si="68"/>
        <v>0.21127230881011208</v>
      </c>
      <c r="E47" s="63">
        <f t="shared" si="68"/>
        <v>0.20715474209650583</v>
      </c>
      <c r="F47" s="63">
        <f t="shared" si="68"/>
        <v>0.204983922829582</v>
      </c>
      <c r="G47" s="63">
        <f t="shared" si="68"/>
        <v>0.1310935441370224</v>
      </c>
      <c r="H47" s="63">
        <f t="shared" si="68"/>
        <v>4.2857142857142858E-2</v>
      </c>
      <c r="I47" s="63">
        <f t="shared" si="68"/>
        <v>2.42603890871417E-2</v>
      </c>
      <c r="J47" s="63">
        <f t="shared" si="68"/>
        <v>8.1787806308684277E-2</v>
      </c>
      <c r="K47" s="63">
        <f t="shared" si="68"/>
        <v>0.11280997585562057</v>
      </c>
      <c r="L47" s="63">
        <f t="shared" si="68"/>
        <v>0.12000000000000002</v>
      </c>
      <c r="N47" s="63">
        <f t="shared" ref="N47:AO47" si="69">IFERROR(+N18/N12,"NM")</f>
        <v>0.20284788715067761</v>
      </c>
      <c r="O47" s="63">
        <f t="shared" si="69"/>
        <v>0.17919175210140609</v>
      </c>
      <c r="P47" s="63">
        <f t="shared" si="69"/>
        <v>0.21872798888770842</v>
      </c>
      <c r="Q47" s="63">
        <f t="shared" si="69"/>
        <v>0.22209887480196</v>
      </c>
      <c r="R47" s="63">
        <f t="shared" si="69"/>
        <v>0.20656581010319069</v>
      </c>
      <c r="S47" s="63">
        <f t="shared" si="69"/>
        <v>0.21324959481361425</v>
      </c>
      <c r="T47" s="63">
        <f t="shared" si="69"/>
        <v>0.23330010657855252</v>
      </c>
      <c r="U47" s="63">
        <f t="shared" si="69"/>
        <v>0.1919374352787763</v>
      </c>
      <c r="V47" s="63">
        <f t="shared" si="69"/>
        <v>0.20279125328592115</v>
      </c>
      <c r="W47" s="63">
        <f t="shared" si="69"/>
        <v>0.19680839546448603</v>
      </c>
      <c r="X47" s="63">
        <f t="shared" si="69"/>
        <v>0.20549027422902003</v>
      </c>
      <c r="Y47" s="63">
        <f t="shared" si="69"/>
        <v>0.19139810404961163</v>
      </c>
      <c r="Z47" s="63">
        <f t="shared" si="69"/>
        <v>0.21577679137603045</v>
      </c>
      <c r="AA47" s="63">
        <f t="shared" si="69"/>
        <v>0.22186361857249948</v>
      </c>
      <c r="AB47" s="63">
        <f t="shared" si="69"/>
        <v>0.19126420477865005</v>
      </c>
      <c r="AC47" s="63">
        <f t="shared" si="69"/>
        <v>0.17332589247028563</v>
      </c>
      <c r="AD47" s="63">
        <f t="shared" si="69"/>
        <v>0.14471594635705215</v>
      </c>
      <c r="AE47" s="63">
        <f t="shared" si="69"/>
        <v>0.14476262639458623</v>
      </c>
      <c r="AF47" s="63">
        <f t="shared" si="69"/>
        <v>0.15649770684764455</v>
      </c>
      <c r="AG47" s="63">
        <f t="shared" si="69"/>
        <v>0.16422254974207812</v>
      </c>
      <c r="AH47" s="63">
        <f t="shared" si="69"/>
        <v>5.1724137931034482E-2</v>
      </c>
      <c r="AI47" s="63">
        <f t="shared" si="69"/>
        <v>2.0202020202020204E-2</v>
      </c>
      <c r="AJ47" s="63">
        <f t="shared" si="69"/>
        <v>5.8252427184466021E-2</v>
      </c>
      <c r="AK47" s="63">
        <f t="shared" si="69"/>
        <v>3.9215686274509803E-2</v>
      </c>
      <c r="AL47" s="63">
        <f t="shared" si="69"/>
        <v>4.0116725860385893E-2</v>
      </c>
      <c r="AM47" s="63">
        <f t="shared" si="69"/>
        <v>2.0073753073044712E-2</v>
      </c>
      <c r="AN47" s="63">
        <f t="shared" si="69"/>
        <v>8.0338958766157341E-3</v>
      </c>
      <c r="AO47" s="63">
        <f t="shared" si="69"/>
        <v>2.9253906122935797E-2</v>
      </c>
      <c r="AP47" s="69">
        <v>4.4999999999999998E-2</v>
      </c>
      <c r="AQ47" s="69">
        <v>0.08</v>
      </c>
      <c r="AR47" s="69">
        <v>0.1</v>
      </c>
      <c r="AS47" s="69">
        <v>0.1</v>
      </c>
      <c r="AT47" s="69">
        <f t="shared" ref="AT47:AW47" si="70">+AS47+0.5%</f>
        <v>0.10500000000000001</v>
      </c>
      <c r="AU47" s="69">
        <f t="shared" si="70"/>
        <v>0.11000000000000001</v>
      </c>
      <c r="AV47" s="69">
        <f t="shared" si="70"/>
        <v>0.11500000000000002</v>
      </c>
      <c r="AW47" s="69">
        <f t="shared" si="70"/>
        <v>0.12000000000000002</v>
      </c>
      <c r="AX47" s="69">
        <f>AW47</f>
        <v>0.12000000000000002</v>
      </c>
      <c r="AY47" s="69">
        <f>AX47</f>
        <v>0.12000000000000002</v>
      </c>
      <c r="AZ47" s="69">
        <f>AY47</f>
        <v>0.12000000000000002</v>
      </c>
      <c r="BA47" s="69">
        <f>AZ47</f>
        <v>0.12000000000000002</v>
      </c>
      <c r="BD47" s="186">
        <f t="shared" si="56"/>
        <v>39</v>
      </c>
    </row>
    <row r="48" spans="1:56" outlineLevel="1">
      <c r="B48" s="60" t="s">
        <v>111</v>
      </c>
      <c r="C48" s="86"/>
      <c r="D48" s="86">
        <f t="shared" ref="D48:L48" si="71">IFERROR(IF(ABS((D20-C20)/(D14-C14))&gt;2,"NM",(D20-C20)/(D14-C14)),"NM")</f>
        <v>0</v>
      </c>
      <c r="E48" s="86">
        <f t="shared" si="71"/>
        <v>-1.3173230314312352</v>
      </c>
      <c r="F48" s="86">
        <f t="shared" si="71"/>
        <v>-1.2605042016806723E-2</v>
      </c>
      <c r="G48" s="86">
        <f t="shared" si="71"/>
        <v>0.28734974241556954</v>
      </c>
      <c r="H48" s="86">
        <f t="shared" si="71"/>
        <v>0.12936165297876026</v>
      </c>
      <c r="I48" s="86">
        <f t="shared" si="71"/>
        <v>0.33808719931335823</v>
      </c>
      <c r="J48" s="86">
        <f t="shared" si="71"/>
        <v>0.31179487257484145</v>
      </c>
      <c r="K48" s="86">
        <f t="shared" si="71"/>
        <v>0.29520495137608194</v>
      </c>
      <c r="L48" s="86">
        <f t="shared" si="71"/>
        <v>0.13866502630203525</v>
      </c>
      <c r="M48" s="87"/>
      <c r="N48" s="86"/>
      <c r="O48" s="86">
        <f t="shared" ref="O48:BA48" si="72">IFERROR(IF(ABS((O20-N20)/(O14-N14))&gt;2,"NM",(O20-N20)/(O14-N14)),"NM")</f>
        <v>0</v>
      </c>
      <c r="P48" s="86">
        <f t="shared" si="72"/>
        <v>0</v>
      </c>
      <c r="Q48" s="86">
        <f t="shared" si="72"/>
        <v>0</v>
      </c>
      <c r="R48" s="86">
        <f t="shared" si="72"/>
        <v>0</v>
      </c>
      <c r="S48" s="86">
        <f t="shared" si="72"/>
        <v>0</v>
      </c>
      <c r="T48" s="86">
        <f t="shared" si="72"/>
        <v>0</v>
      </c>
      <c r="U48" s="86">
        <f t="shared" si="72"/>
        <v>0</v>
      </c>
      <c r="V48" s="86">
        <f t="shared" si="72"/>
        <v>0</v>
      </c>
      <c r="W48" s="86">
        <f t="shared" si="72"/>
        <v>0</v>
      </c>
      <c r="X48" s="86">
        <f t="shared" si="72"/>
        <v>0</v>
      </c>
      <c r="Y48" s="86">
        <f t="shared" si="72"/>
        <v>0</v>
      </c>
      <c r="Z48" s="86">
        <f t="shared" si="72"/>
        <v>0</v>
      </c>
      <c r="AA48" s="86">
        <f t="shared" si="72"/>
        <v>0</v>
      </c>
      <c r="AB48" s="86">
        <f t="shared" si="72"/>
        <v>0</v>
      </c>
      <c r="AC48" s="86">
        <f t="shared" si="72"/>
        <v>0</v>
      </c>
      <c r="AD48" s="86">
        <f t="shared" si="72"/>
        <v>0</v>
      </c>
      <c r="AE48" s="86">
        <f t="shared" si="72"/>
        <v>-7.9264159323063771E-2</v>
      </c>
      <c r="AF48" s="86">
        <f t="shared" si="72"/>
        <v>0.37954773629105365</v>
      </c>
      <c r="AG48" s="86">
        <f t="shared" si="72"/>
        <v>-1.0357026939305427</v>
      </c>
      <c r="AH48" s="86">
        <f t="shared" si="72"/>
        <v>0.28366667623174252</v>
      </c>
      <c r="AI48" s="86">
        <f t="shared" si="72"/>
        <v>3.1903165567979903E-2</v>
      </c>
      <c r="AJ48" s="86" t="str">
        <f t="shared" si="72"/>
        <v>NM</v>
      </c>
      <c r="AK48" s="86">
        <f t="shared" si="72"/>
        <v>0.53203367301727988</v>
      </c>
      <c r="AL48" s="86">
        <f t="shared" si="72"/>
        <v>0.23429773205252083</v>
      </c>
      <c r="AM48" s="86">
        <f t="shared" si="72"/>
        <v>0.27026030625814706</v>
      </c>
      <c r="AN48" s="86">
        <f t="shared" si="72"/>
        <v>0.35782437296463454</v>
      </c>
      <c r="AO48" s="86">
        <f t="shared" si="72"/>
        <v>0.27235325267831678</v>
      </c>
      <c r="AP48" s="86">
        <f t="shared" si="72"/>
        <v>0.25292483927266646</v>
      </c>
      <c r="AQ48" s="86">
        <f t="shared" si="72"/>
        <v>0.39342304030593533</v>
      </c>
      <c r="AR48" s="86">
        <f t="shared" si="72"/>
        <v>0.33768821632853674</v>
      </c>
      <c r="AS48" s="86">
        <f t="shared" si="72"/>
        <v>0.37862640369353084</v>
      </c>
      <c r="AT48" s="86">
        <f t="shared" si="72"/>
        <v>0.23912412301726818</v>
      </c>
      <c r="AU48" s="86">
        <f t="shared" si="72"/>
        <v>0.22343282821531407</v>
      </c>
      <c r="AV48" s="86">
        <f t="shared" si="72"/>
        <v>0.22043699210823806</v>
      </c>
      <c r="AW48" s="86">
        <f t="shared" si="72"/>
        <v>0.1065310595253111</v>
      </c>
      <c r="AX48" s="86">
        <f t="shared" si="72"/>
        <v>-0.28959111141247301</v>
      </c>
      <c r="AY48" s="86" t="str">
        <f t="shared" si="72"/>
        <v>NM</v>
      </c>
      <c r="AZ48" s="86" t="str">
        <f t="shared" si="72"/>
        <v>NM</v>
      </c>
      <c r="BA48" s="86" t="str">
        <f t="shared" si="72"/>
        <v>NM</v>
      </c>
      <c r="BD48" s="186">
        <f t="shared" si="56"/>
        <v>40</v>
      </c>
    </row>
    <row r="49" spans="1:62" outlineLevel="1">
      <c r="B49" s="26" t="s">
        <v>46</v>
      </c>
      <c r="C49" s="88"/>
      <c r="D49" s="88">
        <f t="shared" ref="D49:L49" si="73">IFERROR(IF(ABS((D17-C17)/(D11-C11))&gt;2,"NM",(D17-C17)/(D11-C11)),"NM")</f>
        <v>1.850299011319231E-2</v>
      </c>
      <c r="E49" s="88">
        <f t="shared" si="73"/>
        <v>0.45615841394502488</v>
      </c>
      <c r="F49" s="88">
        <f t="shared" si="73"/>
        <v>4.5180722891566263E-3</v>
      </c>
      <c r="G49" s="88">
        <f t="shared" si="73"/>
        <v>0.27440944881889762</v>
      </c>
      <c r="H49" s="88">
        <f t="shared" si="73"/>
        <v>9.6424010217113665E-2</v>
      </c>
      <c r="I49" s="88">
        <f t="shared" si="73"/>
        <v>0.3673571355389601</v>
      </c>
      <c r="J49" s="88">
        <f t="shared" si="73"/>
        <v>0.31961995493300843</v>
      </c>
      <c r="K49" s="88">
        <f t="shared" si="73"/>
        <v>0.29954480947583223</v>
      </c>
      <c r="L49" s="88">
        <f t="shared" si="73"/>
        <v>0.25</v>
      </c>
      <c r="M49" s="87"/>
      <c r="N49" s="88"/>
      <c r="O49" s="88">
        <f t="shared" ref="O49:BA49" si="74">IFERROR(IF(ABS((O17-N17)/(O11-N11))&gt;2,"NM",(O17-N17)/(O11-N11)),"NM")</f>
        <v>0.18929338278352562</v>
      </c>
      <c r="P49" s="88">
        <f t="shared" si="74"/>
        <v>0.30754815114464712</v>
      </c>
      <c r="Q49" s="88">
        <f t="shared" si="74"/>
        <v>0.71434450592162768</v>
      </c>
      <c r="R49" s="88">
        <f t="shared" si="74"/>
        <v>-0.37252250868082193</v>
      </c>
      <c r="S49" s="88">
        <f t="shared" si="74"/>
        <v>-0.37091988130563863</v>
      </c>
      <c r="T49" s="88">
        <f t="shared" si="74"/>
        <v>7.2154632116695969E-3</v>
      </c>
      <c r="U49" s="88">
        <f t="shared" si="74"/>
        <v>0.31210826598456165</v>
      </c>
      <c r="V49" s="88">
        <f t="shared" si="74"/>
        <v>0.64016037420648142</v>
      </c>
      <c r="W49" s="88">
        <f t="shared" si="74"/>
        <v>1.1885559810768176</v>
      </c>
      <c r="X49" s="88">
        <f t="shared" si="74"/>
        <v>-0.85412701159370064</v>
      </c>
      <c r="Y49" s="88" t="str">
        <f t="shared" si="74"/>
        <v>NM</v>
      </c>
      <c r="Z49" s="88" t="str">
        <f t="shared" si="74"/>
        <v>NM</v>
      </c>
      <c r="AA49" s="88">
        <f t="shared" si="74"/>
        <v>0.45027003627968265</v>
      </c>
      <c r="AB49" s="88">
        <f t="shared" si="74"/>
        <v>0.23799924577462406</v>
      </c>
      <c r="AC49" s="88">
        <f t="shared" si="74"/>
        <v>-1.4716897103180625E-2</v>
      </c>
      <c r="AD49" s="88">
        <f t="shared" si="74"/>
        <v>0.45167780830906812</v>
      </c>
      <c r="AE49" s="88">
        <f t="shared" si="74"/>
        <v>-0.12981327283040273</v>
      </c>
      <c r="AF49" s="88">
        <f t="shared" si="74"/>
        <v>0.43751984336966854</v>
      </c>
      <c r="AG49" s="88" t="str">
        <f t="shared" si="74"/>
        <v>NM</v>
      </c>
      <c r="AH49" s="88">
        <f t="shared" si="74"/>
        <v>0.26811663479923514</v>
      </c>
      <c r="AI49" s="88">
        <f t="shared" si="74"/>
        <v>-3.5714285714285712E-2</v>
      </c>
      <c r="AJ49" s="88" t="str">
        <f t="shared" si="74"/>
        <v>NM</v>
      </c>
      <c r="AK49" s="88">
        <f t="shared" si="74"/>
        <v>0.58333333333333337</v>
      </c>
      <c r="AL49" s="88">
        <f t="shared" si="74"/>
        <v>0.2772785622593068</v>
      </c>
      <c r="AM49" s="88">
        <f t="shared" si="74"/>
        <v>0.33025561661442421</v>
      </c>
      <c r="AN49" s="88">
        <f t="shared" si="74"/>
        <v>0.41812025042327861</v>
      </c>
      <c r="AO49" s="88">
        <f t="shared" si="74"/>
        <v>0.24416474295555285</v>
      </c>
      <c r="AP49" s="88">
        <f t="shared" si="74"/>
        <v>0.31334996723279979</v>
      </c>
      <c r="AQ49" s="88">
        <f t="shared" si="74"/>
        <v>0.32771996459650721</v>
      </c>
      <c r="AR49" s="88">
        <f t="shared" si="74"/>
        <v>0.3129028440904133</v>
      </c>
      <c r="AS49" s="88">
        <f t="shared" si="74"/>
        <v>0.38654780122634791</v>
      </c>
      <c r="AT49" s="88">
        <f t="shared" si="74"/>
        <v>0.25</v>
      </c>
      <c r="AU49" s="88">
        <f t="shared" si="74"/>
        <v>0.25</v>
      </c>
      <c r="AV49" s="88">
        <f t="shared" si="74"/>
        <v>0.25</v>
      </c>
      <c r="AW49" s="88" t="str">
        <f t="shared" si="74"/>
        <v>NM</v>
      </c>
      <c r="AX49" s="88" t="str">
        <f t="shared" si="74"/>
        <v>NM</v>
      </c>
      <c r="AY49" s="88" t="str">
        <f t="shared" si="74"/>
        <v>NM</v>
      </c>
      <c r="AZ49" s="88" t="str">
        <f t="shared" si="74"/>
        <v>NM</v>
      </c>
      <c r="BA49" s="88" t="str">
        <f t="shared" si="74"/>
        <v>NM</v>
      </c>
      <c r="BD49" s="186">
        <f t="shared" si="56"/>
        <v>41</v>
      </c>
    </row>
    <row r="50" spans="1:62" outlineLevel="1">
      <c r="B50" s="26" t="s">
        <v>47</v>
      </c>
      <c r="C50" s="88"/>
      <c r="D50" s="88">
        <f t="shared" ref="D50:L50" si="75">IFERROR(IF(ABS((D18-C18)/(D12-C12))&gt;2,"NM",(D18-C18)/(D12-C12)),"NM")</f>
        <v>0.22768251389603839</v>
      </c>
      <c r="E50" s="88">
        <f t="shared" si="75"/>
        <v>0.13017189113015523</v>
      </c>
      <c r="F50" s="88">
        <f t="shared" si="75"/>
        <v>0.14285714285714285</v>
      </c>
      <c r="G50" s="88">
        <f t="shared" si="75"/>
        <v>0.32061855670103095</v>
      </c>
      <c r="H50" s="88">
        <f t="shared" si="75"/>
        <v>0.24041297935103245</v>
      </c>
      <c r="I50" s="88">
        <f t="shared" si="75"/>
        <v>0.23104415969501257</v>
      </c>
      <c r="J50" s="88">
        <f t="shared" si="75"/>
        <v>1.287262521617442</v>
      </c>
      <c r="K50" s="88">
        <f t="shared" si="75"/>
        <v>0.3465460525339209</v>
      </c>
      <c r="L50" s="88">
        <f t="shared" si="75"/>
        <v>0.20052720003982613</v>
      </c>
      <c r="M50" s="87"/>
      <c r="N50" s="88"/>
      <c r="O50" s="88">
        <f t="shared" ref="O50:BA50" si="76">IFERROR(IF(ABS((O18-N18)/(O12-N12))&gt;2,"NM",(O18-N18)/(O12-N12)),"NM")</f>
        <v>-0.17957089552238803</v>
      </c>
      <c r="P50" s="88">
        <f t="shared" si="76"/>
        <v>0.39677761656235783</v>
      </c>
      <c r="Q50" s="88">
        <f t="shared" si="76"/>
        <v>0.26993522448067897</v>
      </c>
      <c r="R50" s="88">
        <f t="shared" si="76"/>
        <v>2.6064291920070469E-3</v>
      </c>
      <c r="S50" s="88">
        <f t="shared" si="76"/>
        <v>0.12129329385779423</v>
      </c>
      <c r="T50" s="88">
        <f t="shared" si="76"/>
        <v>0.52837859814603994</v>
      </c>
      <c r="U50" s="88" t="str">
        <f t="shared" si="76"/>
        <v>NM</v>
      </c>
      <c r="V50" s="88" t="str">
        <f t="shared" si="76"/>
        <v>NM</v>
      </c>
      <c r="W50" s="88">
        <f t="shared" si="76"/>
        <v>0.35532247676879125</v>
      </c>
      <c r="X50" s="88">
        <f t="shared" si="76"/>
        <v>0.82172131147540006</v>
      </c>
      <c r="Y50" s="88">
        <f t="shared" si="76"/>
        <v>0.10963599198893322</v>
      </c>
      <c r="Z50" s="88">
        <f t="shared" si="76"/>
        <v>-0.35629318327516202</v>
      </c>
      <c r="AA50" s="88">
        <f t="shared" si="76"/>
        <v>8.3967820715414421E-2</v>
      </c>
      <c r="AB50" s="88" t="str">
        <f t="shared" si="76"/>
        <v>NM</v>
      </c>
      <c r="AC50" s="88">
        <f t="shared" si="76"/>
        <v>0.51338229802066548</v>
      </c>
      <c r="AD50" s="88">
        <f t="shared" si="76"/>
        <v>0.25698313384113164</v>
      </c>
      <c r="AE50" s="88">
        <f t="shared" si="76"/>
        <v>0.14460046861113357</v>
      </c>
      <c r="AF50" s="88">
        <f t="shared" si="76"/>
        <v>-0.65715579710144156</v>
      </c>
      <c r="AG50" s="88">
        <f t="shared" si="76"/>
        <v>8.7460484720758666E-2</v>
      </c>
      <c r="AH50" s="88">
        <f t="shared" si="76"/>
        <v>0.82664974619289389</v>
      </c>
      <c r="AI50" s="88">
        <f t="shared" si="76"/>
        <v>0.23529411764705882</v>
      </c>
      <c r="AJ50" s="88">
        <f t="shared" si="76"/>
        <v>1</v>
      </c>
      <c r="AK50" s="88">
        <f t="shared" si="76"/>
        <v>2</v>
      </c>
      <c r="AL50" s="88">
        <f t="shared" si="76"/>
        <v>2.4009814230634547E-2</v>
      </c>
      <c r="AM50" s="88" t="str">
        <f t="shared" si="76"/>
        <v>NM</v>
      </c>
      <c r="AN50" s="88">
        <f t="shared" si="76"/>
        <v>-0.66588921282798696</v>
      </c>
      <c r="AO50" s="88">
        <f t="shared" si="76"/>
        <v>-0.34883296863603241</v>
      </c>
      <c r="AP50" s="88">
        <f t="shared" si="76"/>
        <v>0.41453901531350879</v>
      </c>
      <c r="AQ50" s="88">
        <f t="shared" si="76"/>
        <v>0.90435215936010427</v>
      </c>
      <c r="AR50" s="88">
        <f t="shared" si="76"/>
        <v>1.7736113350297695</v>
      </c>
      <c r="AS50" s="88">
        <f t="shared" si="76"/>
        <v>0.10000000000000089</v>
      </c>
      <c r="AT50" s="88">
        <f t="shared" si="76"/>
        <v>0.32030694709066504</v>
      </c>
      <c r="AU50" s="88">
        <f t="shared" si="76"/>
        <v>0.20505603092182212</v>
      </c>
      <c r="AV50" s="88">
        <f t="shared" si="76"/>
        <v>0.21327732153344642</v>
      </c>
      <c r="AW50" s="88">
        <f t="shared" si="76"/>
        <v>0.2214477664988112</v>
      </c>
      <c r="AX50" s="88">
        <f t="shared" si="76"/>
        <v>0.11999999999999957</v>
      </c>
      <c r="AY50" s="88" t="str">
        <f t="shared" si="76"/>
        <v>NM</v>
      </c>
      <c r="AZ50" s="88" t="str">
        <f t="shared" si="76"/>
        <v>NM</v>
      </c>
      <c r="BA50" s="88" t="str">
        <f t="shared" si="76"/>
        <v>NM</v>
      </c>
      <c r="BD50" s="186">
        <f t="shared" si="56"/>
        <v>42</v>
      </c>
    </row>
    <row r="51" spans="1:62" outlineLevel="1">
      <c r="B51" s="27" t="s">
        <v>102</v>
      </c>
      <c r="C51" s="61"/>
      <c r="D51" s="70"/>
      <c r="E51" s="70">
        <f t="shared" ref="E51:L51" si="77">+E22/E14</f>
        <v>9.6282173498570073E-2</v>
      </c>
      <c r="F51" s="70">
        <f t="shared" si="77"/>
        <v>8.0031080031080032E-2</v>
      </c>
      <c r="G51" s="70">
        <f t="shared" si="77"/>
        <v>-0.12157048249763482</v>
      </c>
      <c r="H51" s="70">
        <f t="shared" si="77"/>
        <v>-0.32156162538537097</v>
      </c>
      <c r="I51" s="70">
        <f t="shared" si="77"/>
        <v>-5.9716647983601859E-3</v>
      </c>
      <c r="J51" s="70">
        <f t="shared" si="77"/>
        <v>8.8935101001208522E-2</v>
      </c>
      <c r="K51" s="70">
        <f t="shared" si="77"/>
        <v>0.11924252675438257</v>
      </c>
      <c r="L51" s="70">
        <f t="shared" si="77"/>
        <v>0.11935026761854317</v>
      </c>
      <c r="N51" s="61"/>
      <c r="O51" s="70">
        <f t="shared" ref="O51:BA51" si="78">+O22/O14</f>
        <v>0</v>
      </c>
      <c r="P51" s="70">
        <f t="shared" si="78"/>
        <v>0</v>
      </c>
      <c r="Q51" s="70">
        <f t="shared" si="78"/>
        <v>0</v>
      </c>
      <c r="R51" s="70">
        <f t="shared" si="78"/>
        <v>0</v>
      </c>
      <c r="S51" s="70">
        <f t="shared" si="78"/>
        <v>0</v>
      </c>
      <c r="T51" s="70">
        <f t="shared" si="78"/>
        <v>0</v>
      </c>
      <c r="U51" s="70">
        <f t="shared" si="78"/>
        <v>0</v>
      </c>
      <c r="V51" s="70">
        <f t="shared" si="78"/>
        <v>0</v>
      </c>
      <c r="W51" s="70">
        <f t="shared" si="78"/>
        <v>0</v>
      </c>
      <c r="X51" s="70">
        <f t="shared" si="78"/>
        <v>0</v>
      </c>
      <c r="Y51" s="70">
        <f t="shared" si="78"/>
        <v>0</v>
      </c>
      <c r="Z51" s="70">
        <f t="shared" si="78"/>
        <v>0</v>
      </c>
      <c r="AA51" s="70">
        <f t="shared" si="78"/>
        <v>0</v>
      </c>
      <c r="AB51" s="70">
        <f t="shared" si="78"/>
        <v>0</v>
      </c>
      <c r="AC51" s="70">
        <f t="shared" si="78"/>
        <v>0</v>
      </c>
      <c r="AD51" s="70">
        <f t="shared" si="78"/>
        <v>0</v>
      </c>
      <c r="AE51" s="70">
        <f t="shared" si="78"/>
        <v>-0.11966781763227147</v>
      </c>
      <c r="AF51" s="70">
        <f t="shared" si="78"/>
        <v>-0.20150082924558524</v>
      </c>
      <c r="AG51" s="70">
        <f t="shared" si="78"/>
        <v>-0.18320289674360835</v>
      </c>
      <c r="AH51" s="70">
        <f t="shared" si="78"/>
        <v>-0.33662444596925245</v>
      </c>
      <c r="AI51" s="70">
        <f t="shared" si="78"/>
        <v>-0.38862982306544447</v>
      </c>
      <c r="AJ51" s="70">
        <f t="shared" si="78"/>
        <v>-0.29771176199916571</v>
      </c>
      <c r="AK51" s="70">
        <f t="shared" si="78"/>
        <v>-0.2657143325868872</v>
      </c>
      <c r="AL51" s="70">
        <f t="shared" si="78"/>
        <v>-8.6004188495006267E-2</v>
      </c>
      <c r="AM51" s="70">
        <f t="shared" si="78"/>
        <v>-1.9795305823762054E-2</v>
      </c>
      <c r="AN51" s="70">
        <f t="shared" si="78"/>
        <v>1.7232498667124514E-2</v>
      </c>
      <c r="AO51" s="70">
        <f t="shared" si="78"/>
        <v>3.5243518047788518E-2</v>
      </c>
      <c r="AP51" s="70">
        <f t="shared" si="78"/>
        <v>5.9222046357899273E-2</v>
      </c>
      <c r="AQ51" s="70">
        <f t="shared" si="78"/>
        <v>7.8841457514920055E-2</v>
      </c>
      <c r="AR51" s="70">
        <f t="shared" si="78"/>
        <v>9.930852242938415E-2</v>
      </c>
      <c r="AS51" s="70">
        <f t="shared" si="78"/>
        <v>0.11058827828556625</v>
      </c>
      <c r="AT51" s="70">
        <f t="shared" si="78"/>
        <v>0.11665473076295599</v>
      </c>
      <c r="AU51" s="70">
        <f t="shared" si="78"/>
        <v>0.11897324881740458</v>
      </c>
      <c r="AV51" s="70">
        <f t="shared" si="78"/>
        <v>0.12043602127260163</v>
      </c>
      <c r="AW51" s="70">
        <f t="shared" si="78"/>
        <v>0.12069196241837693</v>
      </c>
      <c r="AX51" s="70">
        <f t="shared" si="78"/>
        <v>0.12019123348463238</v>
      </c>
      <c r="AY51" s="70">
        <f t="shared" si="78"/>
        <v>0.11965239092593148</v>
      </c>
      <c r="AZ51" s="70">
        <f t="shared" si="78"/>
        <v>0.11908069323960689</v>
      </c>
      <c r="BA51" s="70">
        <f t="shared" si="78"/>
        <v>0.11847675282400194</v>
      </c>
      <c r="BD51" s="186">
        <f t="shared" si="56"/>
        <v>43</v>
      </c>
    </row>
    <row r="52" spans="1:62" s="39" customFormat="1" outlineLevel="1">
      <c r="A52" s="38"/>
      <c r="B52" s="26" t="s">
        <v>114</v>
      </c>
      <c r="C52" s="68"/>
      <c r="D52" s="68"/>
      <c r="E52" s="68" t="str">
        <f t="shared" ref="E52:L52" si="79">IFERROR(-E21/D$247,"NM")</f>
        <v>NM</v>
      </c>
      <c r="F52" s="68" t="str">
        <f t="shared" si="79"/>
        <v>NM</v>
      </c>
      <c r="G52" s="68" t="str">
        <f t="shared" si="79"/>
        <v>NM</v>
      </c>
      <c r="H52" s="68">
        <f t="shared" si="79"/>
        <v>0.17963700833002186</v>
      </c>
      <c r="I52" s="68">
        <f t="shared" si="79"/>
        <v>0.2338803011759697</v>
      </c>
      <c r="J52" s="68">
        <f t="shared" si="79"/>
        <v>0.27029677209065006</v>
      </c>
      <c r="K52" s="68">
        <f t="shared" si="79"/>
        <v>0.23865208616847947</v>
      </c>
      <c r="L52" s="68">
        <f t="shared" si="79"/>
        <v>0.22863530929111855</v>
      </c>
      <c r="N52" s="68" t="str">
        <f t="shared" ref="N52:AO52" si="80">IFERROR(-N21*4/M$247,"NM")</f>
        <v>NM</v>
      </c>
      <c r="O52" s="68" t="str">
        <f t="shared" si="80"/>
        <v>NM</v>
      </c>
      <c r="P52" s="68" t="str">
        <f t="shared" si="80"/>
        <v>NM</v>
      </c>
      <c r="Q52" s="68" t="str">
        <f t="shared" si="80"/>
        <v>NM</v>
      </c>
      <c r="R52" s="68" t="str">
        <f t="shared" si="80"/>
        <v>NM</v>
      </c>
      <c r="S52" s="68" t="str">
        <f t="shared" si="80"/>
        <v>NM</v>
      </c>
      <c r="T52" s="68" t="str">
        <f t="shared" si="80"/>
        <v>NM</v>
      </c>
      <c r="U52" s="68" t="str">
        <f t="shared" si="80"/>
        <v>NM</v>
      </c>
      <c r="V52" s="68" t="str">
        <f t="shared" si="80"/>
        <v>NM</v>
      </c>
      <c r="W52" s="68" t="str">
        <f t="shared" si="80"/>
        <v>NM</v>
      </c>
      <c r="X52" s="68" t="str">
        <f t="shared" si="80"/>
        <v>NM</v>
      </c>
      <c r="Y52" s="68" t="str">
        <f t="shared" si="80"/>
        <v>NM</v>
      </c>
      <c r="Z52" s="68" t="str">
        <f t="shared" si="80"/>
        <v>NM</v>
      </c>
      <c r="AA52" s="68" t="str">
        <f t="shared" si="80"/>
        <v>NM</v>
      </c>
      <c r="AB52" s="68" t="str">
        <f t="shared" si="80"/>
        <v>NM</v>
      </c>
      <c r="AC52" s="68" t="str">
        <f t="shared" si="80"/>
        <v>NM</v>
      </c>
      <c r="AD52" s="68" t="str">
        <f t="shared" si="80"/>
        <v>NM</v>
      </c>
      <c r="AE52" s="68">
        <f t="shared" si="80"/>
        <v>0.17915486271519088</v>
      </c>
      <c r="AF52" s="68">
        <f t="shared" si="80"/>
        <v>0.17049211744018852</v>
      </c>
      <c r="AG52" s="68">
        <f t="shared" si="80"/>
        <v>0.19870013748545826</v>
      </c>
      <c r="AH52" s="68">
        <f t="shared" si="80"/>
        <v>0.19481494761000329</v>
      </c>
      <c r="AI52" s="68">
        <f t="shared" si="80"/>
        <v>0.18861951902595983</v>
      </c>
      <c r="AJ52" s="68">
        <f t="shared" si="80"/>
        <v>0.19327013513017327</v>
      </c>
      <c r="AK52" s="68">
        <f t="shared" si="80"/>
        <v>0.20795864657588656</v>
      </c>
      <c r="AL52" s="68">
        <f t="shared" si="80"/>
        <v>0.21022455169477999</v>
      </c>
      <c r="AM52" s="68">
        <f t="shared" si="80"/>
        <v>0.22967367353362944</v>
      </c>
      <c r="AN52" s="68">
        <f t="shared" si="80"/>
        <v>0.24662196044434248</v>
      </c>
      <c r="AO52" s="68">
        <f t="shared" si="80"/>
        <v>0.25236911985163674</v>
      </c>
      <c r="AP52" s="219">
        <v>0.23</v>
      </c>
      <c r="AQ52" s="89">
        <f t="shared" ref="AQ52:BA52" si="81">AP52</f>
        <v>0.23</v>
      </c>
      <c r="AR52" s="89">
        <f t="shared" si="81"/>
        <v>0.23</v>
      </c>
      <c r="AS52" s="89">
        <f t="shared" si="81"/>
        <v>0.23</v>
      </c>
      <c r="AT52" s="89">
        <f t="shared" si="81"/>
        <v>0.23</v>
      </c>
      <c r="AU52" s="89">
        <f t="shared" si="81"/>
        <v>0.23</v>
      </c>
      <c r="AV52" s="89">
        <f t="shared" si="81"/>
        <v>0.23</v>
      </c>
      <c r="AW52" s="89">
        <f t="shared" si="81"/>
        <v>0.23</v>
      </c>
      <c r="AX52" s="89">
        <f t="shared" si="81"/>
        <v>0.23</v>
      </c>
      <c r="AY52" s="89">
        <f t="shared" si="81"/>
        <v>0.23</v>
      </c>
      <c r="AZ52" s="89">
        <f t="shared" si="81"/>
        <v>0.23</v>
      </c>
      <c r="BA52" s="89">
        <f t="shared" si="81"/>
        <v>0.23</v>
      </c>
      <c r="BD52" s="186">
        <f t="shared" si="56"/>
        <v>44</v>
      </c>
      <c r="BE52"/>
      <c r="BF52"/>
      <c r="BG52"/>
      <c r="BH52"/>
      <c r="BI52"/>
      <c r="BJ52"/>
    </row>
    <row r="53" spans="1:62" s="39" customFormat="1" outlineLevel="1">
      <c r="A53" s="174"/>
      <c r="B53" s="26" t="s">
        <v>115</v>
      </c>
      <c r="C53" s="68"/>
      <c r="D53" s="68"/>
      <c r="E53" s="68" t="str">
        <f t="shared" ref="E53:L53" si="82">IFERROR(-E23/D269,"NM")</f>
        <v>NM</v>
      </c>
      <c r="F53" s="68" t="str">
        <f t="shared" si="82"/>
        <v>NM</v>
      </c>
      <c r="G53" s="68" t="str">
        <f t="shared" si="82"/>
        <v>NM</v>
      </c>
      <c r="H53" s="68">
        <f t="shared" si="82"/>
        <v>5.6741179219565382E-2</v>
      </c>
      <c r="I53" s="68" t="str">
        <f t="shared" si="82"/>
        <v>NM</v>
      </c>
      <c r="J53" s="68" t="str">
        <f t="shared" si="82"/>
        <v>NM</v>
      </c>
      <c r="K53" s="68" t="str">
        <f t="shared" si="82"/>
        <v>NM</v>
      </c>
      <c r="L53" s="68" t="str">
        <f t="shared" si="82"/>
        <v>NM</v>
      </c>
      <c r="M53" s="173"/>
      <c r="N53" s="68" t="str">
        <f t="shared" ref="N53:AE53" si="83">IFERROR(-N23*4/M269,"NM")</f>
        <v>NM</v>
      </c>
      <c r="O53" s="68" t="str">
        <f t="shared" si="83"/>
        <v>NM</v>
      </c>
      <c r="P53" s="68" t="str">
        <f t="shared" si="83"/>
        <v>NM</v>
      </c>
      <c r="Q53" s="68" t="str">
        <f t="shared" si="83"/>
        <v>NM</v>
      </c>
      <c r="R53" s="68" t="str">
        <f t="shared" si="83"/>
        <v>NM</v>
      </c>
      <c r="S53" s="68" t="str">
        <f t="shared" si="83"/>
        <v>NM</v>
      </c>
      <c r="T53" s="68" t="str">
        <f t="shared" si="83"/>
        <v>NM</v>
      </c>
      <c r="U53" s="68" t="str">
        <f t="shared" si="83"/>
        <v>NM</v>
      </c>
      <c r="V53" s="68" t="str">
        <f t="shared" si="83"/>
        <v>NM</v>
      </c>
      <c r="W53" s="68" t="str">
        <f t="shared" si="83"/>
        <v>NM</v>
      </c>
      <c r="X53" s="68" t="str">
        <f t="shared" si="83"/>
        <v>NM</v>
      </c>
      <c r="Y53" s="68" t="str">
        <f t="shared" si="83"/>
        <v>NM</v>
      </c>
      <c r="Z53" s="68" t="str">
        <f t="shared" si="83"/>
        <v>NM</v>
      </c>
      <c r="AA53" s="68" t="str">
        <f t="shared" si="83"/>
        <v>NM</v>
      </c>
      <c r="AB53" s="68" t="str">
        <f t="shared" si="83"/>
        <v>NM</v>
      </c>
      <c r="AC53" s="68" t="str">
        <f t="shared" si="83"/>
        <v>NM</v>
      </c>
      <c r="AD53" s="68" t="str">
        <f t="shared" si="83"/>
        <v>NM</v>
      </c>
      <c r="AE53" s="68">
        <f t="shared" si="83"/>
        <v>8.4534333217026608E-2</v>
      </c>
      <c r="AF53" s="68">
        <f t="shared" ref="AF53:AK53" si="84">-AF23*4/AE269</f>
        <v>0.10039518494850043</v>
      </c>
      <c r="AG53" s="68">
        <f t="shared" si="84"/>
        <v>8.7216022231465656E-2</v>
      </c>
      <c r="AH53" s="68">
        <f t="shared" si="84"/>
        <v>8.8161937153291625E-2</v>
      </c>
      <c r="AI53" s="68">
        <f t="shared" si="84"/>
        <v>9.3304659097351805E-2</v>
      </c>
      <c r="AJ53" s="68">
        <f t="shared" si="84"/>
        <v>2.3868596908024856E-2</v>
      </c>
      <c r="AK53" s="68">
        <f t="shared" si="84"/>
        <v>0.30480000000000074</v>
      </c>
      <c r="AL53" s="68" t="str">
        <f>IFERROR(-AL23*4/AK269,"NM")</f>
        <v>NM</v>
      </c>
      <c r="AM53" s="68" t="str">
        <f>IFERROR(-AM23*4/AL269,"NM")</f>
        <v>NM</v>
      </c>
      <c r="AN53" s="68" t="str">
        <f>IFERROR(-AN23*4/AM269,"NM")</f>
        <v>NM</v>
      </c>
      <c r="AO53" s="68" t="str">
        <f>IFERROR(-AO23*4/AN269,"NM")</f>
        <v>NM</v>
      </c>
      <c r="AP53" s="89">
        <v>0.06</v>
      </c>
      <c r="AQ53" s="89">
        <v>0.06</v>
      </c>
      <c r="AR53" s="89">
        <v>0.06</v>
      </c>
      <c r="AS53" s="89">
        <v>0.06</v>
      </c>
      <c r="AT53" s="89">
        <v>0.06</v>
      </c>
      <c r="AU53" s="89">
        <v>0.06</v>
      </c>
      <c r="AV53" s="89">
        <v>0.06</v>
      </c>
      <c r="AW53" s="89">
        <v>0.06</v>
      </c>
      <c r="AX53" s="89">
        <v>0.06</v>
      </c>
      <c r="AY53" s="89">
        <v>0.06</v>
      </c>
      <c r="AZ53" s="89">
        <v>0.06</v>
      </c>
      <c r="BA53" s="89">
        <v>0.06</v>
      </c>
      <c r="BD53" s="186">
        <f t="shared" si="56"/>
        <v>45</v>
      </c>
      <c r="BE53"/>
      <c r="BF53"/>
      <c r="BG53"/>
      <c r="BH53"/>
      <c r="BI53"/>
      <c r="BJ53"/>
    </row>
    <row r="54" spans="1:62" s="39" customFormat="1" outlineLevel="1">
      <c r="A54" s="38"/>
      <c r="B54" s="26" t="s">
        <v>116</v>
      </c>
      <c r="C54" s="68"/>
      <c r="D54" s="68"/>
      <c r="E54" s="68">
        <f t="shared" ref="E54:L54" si="85">-E26/E25</f>
        <v>0.26807084729535663</v>
      </c>
      <c r="F54" s="68">
        <f t="shared" si="85"/>
        <v>0.3146067415730337</v>
      </c>
      <c r="G54" s="68">
        <f t="shared" si="85"/>
        <v>9.4535519125683129E-2</v>
      </c>
      <c r="H54" s="68">
        <f t="shared" si="85"/>
        <v>0.21274192803989755</v>
      </c>
      <c r="I54" s="68">
        <f t="shared" si="85"/>
        <v>1.6812122577737756</v>
      </c>
      <c r="J54" s="68">
        <f t="shared" si="85"/>
        <v>0.03</v>
      </c>
      <c r="K54" s="68">
        <f t="shared" si="85"/>
        <v>0.03</v>
      </c>
      <c r="L54" s="68">
        <f t="shared" si="85"/>
        <v>0.21</v>
      </c>
      <c r="N54" s="68" t="str">
        <f t="shared" ref="N54:AE54" si="86">IFERROR(-N26/N25,"NM")</f>
        <v>NM</v>
      </c>
      <c r="O54" s="68" t="str">
        <f t="shared" si="86"/>
        <v>NM</v>
      </c>
      <c r="P54" s="68" t="str">
        <f t="shared" si="86"/>
        <v>NM</v>
      </c>
      <c r="Q54" s="68" t="str">
        <f t="shared" si="86"/>
        <v>NM</v>
      </c>
      <c r="R54" s="68" t="str">
        <f t="shared" si="86"/>
        <v>NM</v>
      </c>
      <c r="S54" s="68" t="str">
        <f t="shared" si="86"/>
        <v>NM</v>
      </c>
      <c r="T54" s="68" t="str">
        <f t="shared" si="86"/>
        <v>NM</v>
      </c>
      <c r="U54" s="68" t="str">
        <f t="shared" si="86"/>
        <v>NM</v>
      </c>
      <c r="V54" s="68" t="str">
        <f t="shared" si="86"/>
        <v>NM</v>
      </c>
      <c r="W54" s="68" t="str">
        <f t="shared" si="86"/>
        <v>NM</v>
      </c>
      <c r="X54" s="68" t="str">
        <f t="shared" si="86"/>
        <v>NM</v>
      </c>
      <c r="Y54" s="68" t="str">
        <f t="shared" si="86"/>
        <v>NM</v>
      </c>
      <c r="Z54" s="68" t="str">
        <f t="shared" si="86"/>
        <v>NM</v>
      </c>
      <c r="AA54" s="68" t="str">
        <f t="shared" si="86"/>
        <v>NM</v>
      </c>
      <c r="AB54" s="68" t="str">
        <f t="shared" si="86"/>
        <v>NM</v>
      </c>
      <c r="AC54" s="68" t="str">
        <f t="shared" si="86"/>
        <v>NM</v>
      </c>
      <c r="AD54" s="68" t="str">
        <f t="shared" si="86"/>
        <v>NM</v>
      </c>
      <c r="AE54" s="68">
        <f t="shared" si="86"/>
        <v>0.35589817160281867</v>
      </c>
      <c r="AF54" s="68">
        <f t="shared" ref="AF54:AO54" si="87">-AF26/AF25</f>
        <v>0.34343024893114094</v>
      </c>
      <c r="AG54" s="68">
        <f t="shared" si="87"/>
        <v>0.41961760083813515</v>
      </c>
      <c r="AH54" s="68">
        <f t="shared" si="87"/>
        <v>0.38844229117029566</v>
      </c>
      <c r="AI54" s="68">
        <f t="shared" si="87"/>
        <v>9.220169987363469E-2</v>
      </c>
      <c r="AJ54" s="68">
        <f t="shared" si="87"/>
        <v>0.30387273865058606</v>
      </c>
      <c r="AK54" s="68">
        <f t="shared" si="87"/>
        <v>3.5737893375486135E-2</v>
      </c>
      <c r="AL54" s="68">
        <f t="shared" si="87"/>
        <v>0.15028340080971653</v>
      </c>
      <c r="AM54" s="68">
        <f t="shared" si="87"/>
        <v>0.36386948816845621</v>
      </c>
      <c r="AN54" s="68">
        <f t="shared" si="87"/>
        <v>-0.31510556397993694</v>
      </c>
      <c r="AO54" s="68">
        <f t="shared" si="87"/>
        <v>-0.53994010088272382</v>
      </c>
      <c r="AP54" s="89">
        <v>0.03</v>
      </c>
      <c r="AQ54" s="89">
        <v>0.03</v>
      </c>
      <c r="AR54" s="89">
        <v>0.03</v>
      </c>
      <c r="AS54" s="89">
        <v>0.03</v>
      </c>
      <c r="AT54" s="89">
        <v>0.03</v>
      </c>
      <c r="AU54" s="89">
        <v>0.03</v>
      </c>
      <c r="AV54" s="89">
        <v>0.03</v>
      </c>
      <c r="AW54" s="89">
        <v>0.03</v>
      </c>
      <c r="AX54" s="89">
        <v>0.21</v>
      </c>
      <c r="AY54" s="89">
        <v>0.21</v>
      </c>
      <c r="AZ54" s="89">
        <v>0.21</v>
      </c>
      <c r="BA54" s="89">
        <v>0.21</v>
      </c>
      <c r="BD54" s="186">
        <f t="shared" si="56"/>
        <v>46</v>
      </c>
      <c r="BE54"/>
      <c r="BF54"/>
      <c r="BG54"/>
      <c r="BH54"/>
      <c r="BI54"/>
      <c r="BJ54"/>
    </row>
    <row r="55" spans="1:62" s="39" customFormat="1" outlineLevel="1">
      <c r="A55" s="38"/>
      <c r="B55" s="72" t="s">
        <v>117</v>
      </c>
      <c r="C55" s="75"/>
      <c r="D55" s="62"/>
      <c r="E55" s="62">
        <f t="shared" ref="E55:L55" si="88">+E27/E14</f>
        <v>4.8585954877661264E-2</v>
      </c>
      <c r="F55" s="62">
        <f t="shared" si="88"/>
        <v>3.1598031598031595E-2</v>
      </c>
      <c r="G55" s="62">
        <f t="shared" si="88"/>
        <v>-0.15676442762535478</v>
      </c>
      <c r="H55" s="62">
        <f t="shared" si="88"/>
        <v>-0.29859793933327977</v>
      </c>
      <c r="I55" s="62">
        <f t="shared" si="88"/>
        <v>4.6121133383656716E-3</v>
      </c>
      <c r="J55" s="62">
        <f t="shared" si="88"/>
        <v>8.5660718838262762E-2</v>
      </c>
      <c r="K55" s="62">
        <f t="shared" si="88"/>
        <v>0.11530258744130358</v>
      </c>
      <c r="L55" s="62">
        <f t="shared" si="88"/>
        <v>9.4001519458828564E-2</v>
      </c>
      <c r="N55" s="75"/>
      <c r="O55" s="62">
        <f t="shared" ref="O55:BA55" si="89">+O27/O14</f>
        <v>0</v>
      </c>
      <c r="P55" s="62">
        <f t="shared" si="89"/>
        <v>0</v>
      </c>
      <c r="Q55" s="62">
        <f t="shared" si="89"/>
        <v>0</v>
      </c>
      <c r="R55" s="62">
        <f t="shared" si="89"/>
        <v>0</v>
      </c>
      <c r="S55" s="62">
        <f t="shared" si="89"/>
        <v>0</v>
      </c>
      <c r="T55" s="62">
        <f t="shared" si="89"/>
        <v>0</v>
      </c>
      <c r="U55" s="62">
        <f t="shared" si="89"/>
        <v>0</v>
      </c>
      <c r="V55" s="62">
        <f t="shared" si="89"/>
        <v>0</v>
      </c>
      <c r="W55" s="62">
        <f t="shared" si="89"/>
        <v>0</v>
      </c>
      <c r="X55" s="62">
        <f t="shared" si="89"/>
        <v>0</v>
      </c>
      <c r="Y55" s="62">
        <f t="shared" si="89"/>
        <v>0</v>
      </c>
      <c r="Z55" s="62">
        <f t="shared" si="89"/>
        <v>0</v>
      </c>
      <c r="AA55" s="62">
        <f t="shared" si="89"/>
        <v>0</v>
      </c>
      <c r="AB55" s="62">
        <f t="shared" si="89"/>
        <v>0</v>
      </c>
      <c r="AC55" s="62">
        <f t="shared" si="89"/>
        <v>0</v>
      </c>
      <c r="AD55" s="62">
        <f t="shared" si="89"/>
        <v>0</v>
      </c>
      <c r="AE55" s="62">
        <f t="shared" si="89"/>
        <v>-0.10495974880909305</v>
      </c>
      <c r="AF55" s="62">
        <f t="shared" si="89"/>
        <v>-0.1799720231954843</v>
      </c>
      <c r="AG55" s="62">
        <f t="shared" si="89"/>
        <v>-0.12731601350574923</v>
      </c>
      <c r="AH55" s="62">
        <f t="shared" si="89"/>
        <v>-0.256093689149343</v>
      </c>
      <c r="AI55" s="62">
        <f t="shared" si="89"/>
        <v>-0.46580864065941874</v>
      </c>
      <c r="AJ55" s="62">
        <f t="shared" si="89"/>
        <v>-0.21048736330132403</v>
      </c>
      <c r="AK55" s="62">
        <f t="shared" si="89"/>
        <v>-0.27521306526892536</v>
      </c>
      <c r="AL55" s="62">
        <f t="shared" si="89"/>
        <v>-7.0139467972017297E-2</v>
      </c>
      <c r="AM55" s="62">
        <f t="shared" si="89"/>
        <v>-1.5641444290939475E-2</v>
      </c>
      <c r="AN55" s="62">
        <f t="shared" si="89"/>
        <v>2.5470120997984874E-2</v>
      </c>
      <c r="AO55" s="62">
        <f t="shared" si="89"/>
        <v>4.966639552618201E-2</v>
      </c>
      <c r="AP55" s="62">
        <f t="shared" si="89"/>
        <v>5.6921177216994225E-2</v>
      </c>
      <c r="AQ55" s="62">
        <f t="shared" si="89"/>
        <v>7.5996153248926168E-2</v>
      </c>
      <c r="AR55" s="62">
        <f t="shared" si="89"/>
        <v>9.5899283055439044E-2</v>
      </c>
      <c r="AS55" s="62">
        <f t="shared" si="89"/>
        <v>0.10632896845397387</v>
      </c>
      <c r="AT55" s="62">
        <f t="shared" si="89"/>
        <v>0.11277304912748368</v>
      </c>
      <c r="AU55" s="62">
        <f t="shared" si="89"/>
        <v>0.11503794445042033</v>
      </c>
      <c r="AV55" s="62">
        <f t="shared" si="89"/>
        <v>0.11646963749692039</v>
      </c>
      <c r="AW55" s="62">
        <f t="shared" si="89"/>
        <v>0.11672033935655306</v>
      </c>
      <c r="AX55" s="62">
        <f t="shared" si="89"/>
        <v>9.4665882493039047E-2</v>
      </c>
      <c r="AY55" s="62">
        <f t="shared" si="89"/>
        <v>9.4240196871665349E-2</v>
      </c>
      <c r="AZ55" s="62">
        <f t="shared" si="89"/>
        <v>9.3788555699468909E-2</v>
      </c>
      <c r="BA55" s="62">
        <f t="shared" si="89"/>
        <v>9.3311442771140993E-2</v>
      </c>
      <c r="BD55" s="186">
        <f t="shared" si="56"/>
        <v>47</v>
      </c>
      <c r="BE55"/>
      <c r="BF55"/>
      <c r="BG55"/>
      <c r="BH55"/>
      <c r="BI55"/>
      <c r="BJ55"/>
    </row>
    <row r="56" spans="1:62" outlineLevel="1">
      <c r="B56" s="60"/>
      <c r="C56" s="61"/>
      <c r="D56" s="61"/>
      <c r="E56" s="61"/>
      <c r="F56" s="61"/>
      <c r="G56" s="61"/>
      <c r="H56" s="61"/>
      <c r="I56" s="61"/>
      <c r="J56" s="61"/>
      <c r="K56" s="61"/>
      <c r="L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81"/>
      <c r="AO56" s="8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D56" s="186">
        <f t="shared" si="56"/>
        <v>48</v>
      </c>
    </row>
    <row r="57" spans="1:62" outlineLevel="1">
      <c r="A57" s="38" t="s">
        <v>71</v>
      </c>
      <c r="B57" s="60" t="s">
        <v>99</v>
      </c>
      <c r="C57" s="61"/>
      <c r="D57" s="61"/>
      <c r="E57" s="61"/>
      <c r="F57" s="61"/>
      <c r="G57" s="61"/>
      <c r="H57" s="61"/>
      <c r="I57" s="61"/>
      <c r="J57" s="81"/>
      <c r="K57" s="81"/>
      <c r="L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D57" s="186">
        <f t="shared" si="56"/>
        <v>49</v>
      </c>
    </row>
    <row r="58" spans="1:62" s="39" customFormat="1" hidden="1" outlineLevel="2">
      <c r="A58" s="38"/>
      <c r="B58" s="46" t="s">
        <v>46</v>
      </c>
      <c r="C58" s="75"/>
      <c r="D58" s="75"/>
      <c r="E58" s="75"/>
      <c r="F58" s="75"/>
      <c r="G58" s="75"/>
      <c r="H58" s="75"/>
      <c r="I58" s="75"/>
      <c r="J58" s="78"/>
      <c r="K58" s="78"/>
      <c r="L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68"/>
      <c r="AO58" s="78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D58" s="186">
        <f t="shared" si="56"/>
        <v>50</v>
      </c>
      <c r="BE58"/>
      <c r="BF58"/>
      <c r="BG58"/>
      <c r="BH58"/>
      <c r="BI58"/>
      <c r="BJ58"/>
    </row>
    <row r="59" spans="1:62" s="39" customFormat="1" hidden="1" outlineLevel="2">
      <c r="A59" s="38"/>
      <c r="B59" s="76" t="s">
        <v>103</v>
      </c>
      <c r="C59" s="48">
        <f t="shared" ref="C59:E60" si="90">SUMIFS($N59:$BB59,$N$5:$BB$5,C$5)</f>
        <v>1857.2048609999999</v>
      </c>
      <c r="D59" s="48">
        <f t="shared" si="90"/>
        <v>2247.2669999999998</v>
      </c>
      <c r="E59" s="48">
        <f t="shared" si="90"/>
        <v>1675.2089999999998</v>
      </c>
      <c r="F59" s="79">
        <v>2038</v>
      </c>
      <c r="G59" s="79">
        <v>960</v>
      </c>
      <c r="H59" s="79">
        <v>353.92899999999997</v>
      </c>
      <c r="I59" s="35">
        <f t="shared" ref="I59:L62" si="91">SUMIFS($N59:$BB59,$N$5:$BB$5,I$5)</f>
        <v>777.14700000000016</v>
      </c>
      <c r="J59" s="35">
        <f t="shared" si="91"/>
        <v>1308.4279591778447</v>
      </c>
      <c r="K59" s="35">
        <f t="shared" si="91"/>
        <v>1750.9845223233774</v>
      </c>
      <c r="L59" s="35">
        <f t="shared" si="91"/>
        <v>1807.4678940112283</v>
      </c>
      <c r="M59" s="80"/>
      <c r="N59" s="78">
        <f t="shared" ref="N59:AG59" si="92">N384+N385</f>
        <v>362.75786099999999</v>
      </c>
      <c r="O59" s="78">
        <f t="shared" si="92"/>
        <v>416.53</v>
      </c>
      <c r="P59" s="78">
        <f t="shared" si="92"/>
        <v>535.52300000000002</v>
      </c>
      <c r="Q59" s="78">
        <f t="shared" si="92"/>
        <v>542.39400000000001</v>
      </c>
      <c r="R59" s="78">
        <f t="shared" si="92"/>
        <v>584.43600000000004</v>
      </c>
      <c r="S59" s="78">
        <f t="shared" si="92"/>
        <v>604.06299999999999</v>
      </c>
      <c r="T59" s="78">
        <f t="shared" si="92"/>
        <v>577.24099999999999</v>
      </c>
      <c r="U59" s="78">
        <f t="shared" si="92"/>
        <v>481.52699999999999</v>
      </c>
      <c r="V59" s="78">
        <f t="shared" si="92"/>
        <v>435.93799999999999</v>
      </c>
      <c r="W59" s="78">
        <f t="shared" si="92"/>
        <v>414.51599999999996</v>
      </c>
      <c r="X59" s="78">
        <f t="shared" si="92"/>
        <v>411.32</v>
      </c>
      <c r="Y59" s="78">
        <f t="shared" si="92"/>
        <v>413.435</v>
      </c>
      <c r="Z59" s="78">
        <f t="shared" si="92"/>
        <v>414.79899999999998</v>
      </c>
      <c r="AA59" s="78">
        <f t="shared" si="92"/>
        <v>498.23900000000003</v>
      </c>
      <c r="AB59" s="78">
        <f t="shared" si="92"/>
        <v>625.12699999999995</v>
      </c>
      <c r="AC59" s="78">
        <f t="shared" si="92"/>
        <v>665.19599999999991</v>
      </c>
      <c r="AD59" s="78">
        <f t="shared" si="92"/>
        <v>538.73900000000003</v>
      </c>
      <c r="AE59" s="90">
        <f t="shared" si="92"/>
        <v>0</v>
      </c>
      <c r="AF59" s="90">
        <f t="shared" si="92"/>
        <v>0</v>
      </c>
      <c r="AG59" s="90">
        <f t="shared" si="92"/>
        <v>0</v>
      </c>
      <c r="AH59" s="194">
        <v>105.005</v>
      </c>
      <c r="AI59" s="79">
        <v>81.760000000000005</v>
      </c>
      <c r="AJ59" s="79">
        <v>78.459000000000003</v>
      </c>
      <c r="AK59" s="79">
        <v>89</v>
      </c>
      <c r="AL59" s="194">
        <v>130.66300000000001</v>
      </c>
      <c r="AM59" s="79">
        <v>183.714</v>
      </c>
      <c r="AN59" s="79">
        <v>215.959</v>
      </c>
      <c r="AO59" s="79">
        <f>777.147-AN59-AM59-AL59</f>
        <v>246.81100000000009</v>
      </c>
      <c r="AP59" s="78">
        <f t="shared" ref="AP59:BA59" si="93">+AP89/4*AP88</f>
        <v>267.05786847457637</v>
      </c>
      <c r="AQ59" s="78">
        <f t="shared" si="93"/>
        <v>298.59529438983066</v>
      </c>
      <c r="AR59" s="78">
        <f t="shared" si="93"/>
        <v>356.80508977979002</v>
      </c>
      <c r="AS59" s="78">
        <f t="shared" si="93"/>
        <v>385.9697065336477</v>
      </c>
      <c r="AT59" s="78">
        <f t="shared" si="93"/>
        <v>414.21139237757313</v>
      </c>
      <c r="AU59" s="78">
        <f t="shared" si="93"/>
        <v>433.03918294019013</v>
      </c>
      <c r="AV59" s="78">
        <f t="shared" si="93"/>
        <v>451.86697350280707</v>
      </c>
      <c r="AW59" s="78">
        <f t="shared" si="93"/>
        <v>451.86697350280707</v>
      </c>
      <c r="AX59" s="78">
        <f t="shared" si="93"/>
        <v>451.86697350280707</v>
      </c>
      <c r="AY59" s="78">
        <f t="shared" si="93"/>
        <v>451.86697350280707</v>
      </c>
      <c r="AZ59" s="78">
        <f t="shared" si="93"/>
        <v>451.86697350280707</v>
      </c>
      <c r="BA59" s="78">
        <f t="shared" si="93"/>
        <v>451.86697350280707</v>
      </c>
      <c r="BD59" s="186">
        <f t="shared" si="56"/>
        <v>51</v>
      </c>
      <c r="BE59"/>
      <c r="BF59"/>
      <c r="BG59"/>
      <c r="BH59"/>
      <c r="BI59"/>
      <c r="BJ59"/>
    </row>
    <row r="60" spans="1:62" s="39" customFormat="1" hidden="1" outlineLevel="2">
      <c r="A60" s="38"/>
      <c r="B60" s="76" t="s">
        <v>104</v>
      </c>
      <c r="C60" s="48">
        <f t="shared" si="90"/>
        <v>0</v>
      </c>
      <c r="D60" s="48">
        <f t="shared" si="90"/>
        <v>130.12</v>
      </c>
      <c r="E60" s="48">
        <f t="shared" si="90"/>
        <v>278.82000000000005</v>
      </c>
      <c r="F60" s="79">
        <v>455</v>
      </c>
      <c r="G60" s="79">
        <v>306</v>
      </c>
      <c r="H60" s="79">
        <v>159.31700000000001</v>
      </c>
      <c r="I60" s="35">
        <f t="shared" si="91"/>
        <v>315.99900000000002</v>
      </c>
      <c r="J60" s="35">
        <f t="shared" si="91"/>
        <v>427.38879656209025</v>
      </c>
      <c r="K60" s="35">
        <f t="shared" si="91"/>
        <v>498.21574751174603</v>
      </c>
      <c r="L60" s="35">
        <f t="shared" si="91"/>
        <v>507.39961007976399</v>
      </c>
      <c r="M60" s="80"/>
      <c r="N60" s="78">
        <f t="shared" ref="N60:AG60" si="94">N386</f>
        <v>0</v>
      </c>
      <c r="O60" s="78">
        <f t="shared" si="94"/>
        <v>0</v>
      </c>
      <c r="P60" s="78">
        <f t="shared" si="94"/>
        <v>0</v>
      </c>
      <c r="Q60" s="78">
        <f t="shared" si="94"/>
        <v>0</v>
      </c>
      <c r="R60" s="78">
        <f t="shared" si="94"/>
        <v>0</v>
      </c>
      <c r="S60" s="78">
        <f t="shared" si="94"/>
        <v>15.125</v>
      </c>
      <c r="T60" s="78">
        <f t="shared" si="94"/>
        <v>61.594999999999999</v>
      </c>
      <c r="U60" s="78">
        <f t="shared" si="94"/>
        <v>53.4</v>
      </c>
      <c r="V60" s="78">
        <f t="shared" si="94"/>
        <v>62.128999999999998</v>
      </c>
      <c r="W60" s="78">
        <f t="shared" si="94"/>
        <v>67.661000000000001</v>
      </c>
      <c r="X60" s="78">
        <f t="shared" si="94"/>
        <v>74.909000000000006</v>
      </c>
      <c r="Y60" s="78">
        <f t="shared" si="94"/>
        <v>74.121000000000009</v>
      </c>
      <c r="Z60" s="78">
        <f t="shared" si="94"/>
        <v>83.128</v>
      </c>
      <c r="AA60" s="78">
        <f t="shared" si="94"/>
        <v>93.637</v>
      </c>
      <c r="AB60" s="78">
        <f t="shared" si="94"/>
        <v>113.22199999999999</v>
      </c>
      <c r="AC60" s="78">
        <f t="shared" si="94"/>
        <v>118.5</v>
      </c>
      <c r="AD60" s="78">
        <f t="shared" si="94"/>
        <v>0</v>
      </c>
      <c r="AE60" s="90">
        <f t="shared" si="94"/>
        <v>0</v>
      </c>
      <c r="AF60" s="90">
        <f t="shared" si="94"/>
        <v>0</v>
      </c>
      <c r="AG60" s="90">
        <f t="shared" si="94"/>
        <v>0</v>
      </c>
      <c r="AH60" s="194">
        <v>38.831000000000003</v>
      </c>
      <c r="AI60" s="79">
        <v>38.848999999999997</v>
      </c>
      <c r="AJ60" s="79">
        <v>41.912999999999997</v>
      </c>
      <c r="AK60" s="79">
        <v>44</v>
      </c>
      <c r="AL60" s="194">
        <v>56.265000000000001</v>
      </c>
      <c r="AM60" s="79">
        <v>76.644000000000005</v>
      </c>
      <c r="AN60" s="79">
        <v>89.64</v>
      </c>
      <c r="AO60" s="79">
        <f>315.999-AN60-AM60-AL60</f>
        <v>93.450000000000031</v>
      </c>
      <c r="AP60" s="78">
        <f t="shared" ref="AP60:BA60" si="95">AP115*AP116/4</f>
        <v>97.79575174825176</v>
      </c>
      <c r="AQ60" s="78">
        <f t="shared" si="95"/>
        <v>103.67354436188812</v>
      </c>
      <c r="AR60" s="78">
        <f t="shared" si="95"/>
        <v>109.78410426136364</v>
      </c>
      <c r="AS60" s="78">
        <f t="shared" si="95"/>
        <v>116.13539619058675</v>
      </c>
      <c r="AT60" s="78">
        <f t="shared" si="95"/>
        <v>120.72732747459571</v>
      </c>
      <c r="AU60" s="78">
        <f t="shared" si="95"/>
        <v>123.78861499726835</v>
      </c>
      <c r="AV60" s="78">
        <f t="shared" si="95"/>
        <v>126.849902519941</v>
      </c>
      <c r="AW60" s="78">
        <f t="shared" si="95"/>
        <v>126.849902519941</v>
      </c>
      <c r="AX60" s="78">
        <f t="shared" si="95"/>
        <v>126.849902519941</v>
      </c>
      <c r="AY60" s="78">
        <f t="shared" si="95"/>
        <v>126.849902519941</v>
      </c>
      <c r="AZ60" s="78">
        <f t="shared" si="95"/>
        <v>126.849902519941</v>
      </c>
      <c r="BA60" s="78">
        <f t="shared" si="95"/>
        <v>126.849902519941</v>
      </c>
      <c r="BD60" s="186">
        <f t="shared" si="56"/>
        <v>52</v>
      </c>
      <c r="BE60"/>
      <c r="BF60"/>
      <c r="BG60"/>
      <c r="BH60"/>
      <c r="BI60"/>
      <c r="BJ60"/>
    </row>
    <row r="61" spans="1:62" s="39" customFormat="1" hidden="1" outlineLevel="2">
      <c r="A61" s="38"/>
      <c r="B61" s="76" t="s">
        <v>108</v>
      </c>
      <c r="C61" s="48"/>
      <c r="D61" s="48"/>
      <c r="E61" s="48"/>
      <c r="F61" s="79">
        <v>0</v>
      </c>
      <c r="G61" s="79">
        <v>0</v>
      </c>
      <c r="H61" s="79">
        <v>0</v>
      </c>
      <c r="I61" s="188">
        <f t="shared" si="91"/>
        <v>78.182999999999993</v>
      </c>
      <c r="J61" s="188">
        <f t="shared" si="91"/>
        <v>100.27206532800001</v>
      </c>
      <c r="K61" s="188">
        <f t="shared" si="91"/>
        <v>120.19283220995123</v>
      </c>
      <c r="L61" s="188">
        <f t="shared" si="91"/>
        <v>124.07002034575611</v>
      </c>
      <c r="M61" s="80"/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78">
        <v>0</v>
      </c>
      <c r="AC61" s="78">
        <v>0</v>
      </c>
      <c r="AD61" s="78">
        <v>0</v>
      </c>
      <c r="AE61" s="90">
        <v>0</v>
      </c>
      <c r="AF61" s="90">
        <v>0</v>
      </c>
      <c r="AG61" s="90">
        <v>0</v>
      </c>
      <c r="AH61" s="194">
        <v>0</v>
      </c>
      <c r="AI61" s="79">
        <v>0</v>
      </c>
      <c r="AJ61" s="79">
        <v>0</v>
      </c>
      <c r="AK61" s="79">
        <v>0</v>
      </c>
      <c r="AL61" s="194">
        <v>17.757999999999999</v>
      </c>
      <c r="AM61" s="79">
        <v>18.577000000000002</v>
      </c>
      <c r="AN61" s="79">
        <v>19.948</v>
      </c>
      <c r="AO61" s="79">
        <v>21.9</v>
      </c>
      <c r="AP61" s="78">
        <f t="shared" ref="AP61:BA61" si="96">AP125*AP128/4</f>
        <v>22.337999999999997</v>
      </c>
      <c r="AQ61" s="78">
        <f t="shared" si="96"/>
        <v>25.465319999999998</v>
      </c>
      <c r="AR61" s="78">
        <f t="shared" si="96"/>
        <v>25.974626400000002</v>
      </c>
      <c r="AS61" s="78">
        <f t="shared" si="96"/>
        <v>26.494118928000002</v>
      </c>
      <c r="AT61" s="78">
        <f t="shared" si="96"/>
        <v>28.432712995902442</v>
      </c>
      <c r="AU61" s="78">
        <f t="shared" si="96"/>
        <v>29.725109041170732</v>
      </c>
      <c r="AV61" s="78">
        <f t="shared" si="96"/>
        <v>31.017505086439026</v>
      </c>
      <c r="AW61" s="78">
        <f t="shared" si="96"/>
        <v>31.017505086439026</v>
      </c>
      <c r="AX61" s="78">
        <f t="shared" si="96"/>
        <v>31.017505086439026</v>
      </c>
      <c r="AY61" s="78">
        <f t="shared" si="96"/>
        <v>31.017505086439026</v>
      </c>
      <c r="AZ61" s="78">
        <f t="shared" si="96"/>
        <v>31.017505086439026</v>
      </c>
      <c r="BA61" s="78">
        <f t="shared" si="96"/>
        <v>31.017505086439026</v>
      </c>
      <c r="BD61" s="186">
        <f t="shared" si="56"/>
        <v>53</v>
      </c>
      <c r="BE61"/>
      <c r="BF61"/>
      <c r="BG61"/>
      <c r="BH61"/>
      <c r="BI61"/>
      <c r="BJ61"/>
    </row>
    <row r="62" spans="1:62" s="39" customFormat="1" hidden="1" outlineLevel="2">
      <c r="A62" s="38"/>
      <c r="B62" s="76" t="s">
        <v>105</v>
      </c>
      <c r="C62" s="48">
        <f>SUMIFS($N62:$BB62,$N$5:$BB$5,C$5)</f>
        <v>70.126138999999981</v>
      </c>
      <c r="D62" s="48">
        <f>SUMIFS($N62:$BB62,$N$5:$BB$5,D$5)</f>
        <v>56.781000000000013</v>
      </c>
      <c r="E62" s="48">
        <f>SUMIFS($N62:$BB62,$N$5:$BB$5,E$5)</f>
        <v>24.701999999999963</v>
      </c>
      <c r="F62" s="79">
        <v>123</v>
      </c>
      <c r="G62" s="79">
        <v>90</v>
      </c>
      <c r="H62" s="79">
        <v>30.712</v>
      </c>
      <c r="I62" s="35">
        <f t="shared" si="91"/>
        <v>85.181999999999903</v>
      </c>
      <c r="J62" s="35">
        <f t="shared" si="91"/>
        <v>321.61124999999998</v>
      </c>
      <c r="K62" s="35">
        <f t="shared" si="91"/>
        <v>386.57362499999988</v>
      </c>
      <c r="L62" s="35">
        <f t="shared" si="91"/>
        <v>391.01699999999994</v>
      </c>
      <c r="M62" s="80"/>
      <c r="N62" s="78">
        <f t="shared" ref="N62:AG62" si="97">N387</f>
        <v>22.305138999999997</v>
      </c>
      <c r="O62" s="78">
        <f t="shared" si="97"/>
        <v>9.5169999999999888</v>
      </c>
      <c r="P62" s="78">
        <f t="shared" si="97"/>
        <v>11.653000000000013</v>
      </c>
      <c r="Q62" s="78">
        <f t="shared" si="97"/>
        <v>26.650999999999982</v>
      </c>
      <c r="R62" s="78">
        <f t="shared" si="97"/>
        <v>17.151999999999987</v>
      </c>
      <c r="S62" s="78">
        <f t="shared" si="97"/>
        <v>15.76299999999997</v>
      </c>
      <c r="T62" s="78">
        <f t="shared" si="97"/>
        <v>15.102000000000032</v>
      </c>
      <c r="U62" s="78">
        <f t="shared" si="97"/>
        <v>8.7640000000000242</v>
      </c>
      <c r="V62" s="78">
        <f t="shared" si="97"/>
        <v>3.7219999999999729</v>
      </c>
      <c r="W62" s="78">
        <f t="shared" si="97"/>
        <v>6.2950000000000159</v>
      </c>
      <c r="X62" s="78">
        <f t="shared" si="97"/>
        <v>8.0219999999999629</v>
      </c>
      <c r="Y62" s="78">
        <f t="shared" si="97"/>
        <v>6.6630000000000109</v>
      </c>
      <c r="Z62" s="78">
        <f t="shared" si="97"/>
        <v>6.5089999999999719</v>
      </c>
      <c r="AA62" s="78">
        <f t="shared" si="97"/>
        <v>9.5840000000000032</v>
      </c>
      <c r="AB62" s="78">
        <f t="shared" si="97"/>
        <v>8.9559999999999889</v>
      </c>
      <c r="AC62" s="78">
        <f t="shared" si="97"/>
        <v>13.007999999999896</v>
      </c>
      <c r="AD62" s="78">
        <f t="shared" si="97"/>
        <v>14.134999999999991</v>
      </c>
      <c r="AE62" s="90">
        <f t="shared" si="97"/>
        <v>0</v>
      </c>
      <c r="AF62" s="90">
        <f t="shared" si="97"/>
        <v>0</v>
      </c>
      <c r="AG62" s="90">
        <f t="shared" si="97"/>
        <v>0</v>
      </c>
      <c r="AH62" s="194">
        <v>7.8879999999999999</v>
      </c>
      <c r="AI62" s="79">
        <v>7.8179999999999996</v>
      </c>
      <c r="AJ62" s="79">
        <v>7.3680000000000003</v>
      </c>
      <c r="AK62" s="137">
        <f>+AK11-AK59-AK60</f>
        <v>7</v>
      </c>
      <c r="AL62" s="203">
        <f>+AL63-SUM(AL59:AL61)</f>
        <v>13.213999999999999</v>
      </c>
      <c r="AM62" s="78">
        <f>+AM63-SUM(AM59:AM61)</f>
        <v>15.211999999999989</v>
      </c>
      <c r="AN62" s="79">
        <v>19.393999999999998</v>
      </c>
      <c r="AO62" s="78">
        <f>+AO63-SUM(AO59:AO61)</f>
        <v>37.36199999999991</v>
      </c>
      <c r="AP62" s="78">
        <f t="shared" ref="AP62:BA62" si="98">AP133*AP136/4</f>
        <v>71.774999999999991</v>
      </c>
      <c r="AQ62" s="78">
        <f t="shared" si="98"/>
        <v>78.2</v>
      </c>
      <c r="AR62" s="78">
        <f t="shared" si="98"/>
        <v>82.768749999999983</v>
      </c>
      <c r="AS62" s="78">
        <f t="shared" si="98"/>
        <v>88.867499999999993</v>
      </c>
      <c r="AT62" s="78">
        <f t="shared" si="98"/>
        <v>93.310874999999982</v>
      </c>
      <c r="AU62" s="78">
        <f t="shared" si="98"/>
        <v>97.754249999999985</v>
      </c>
      <c r="AV62" s="78">
        <f t="shared" si="98"/>
        <v>97.754249999999985</v>
      </c>
      <c r="AW62" s="78">
        <f t="shared" si="98"/>
        <v>97.754249999999985</v>
      </c>
      <c r="AX62" s="78">
        <f t="shared" si="98"/>
        <v>97.754249999999985</v>
      </c>
      <c r="AY62" s="78">
        <f t="shared" si="98"/>
        <v>97.754249999999985</v>
      </c>
      <c r="AZ62" s="78">
        <f t="shared" si="98"/>
        <v>97.754249999999985</v>
      </c>
      <c r="BA62" s="78">
        <f t="shared" si="98"/>
        <v>97.754249999999985</v>
      </c>
      <c r="BD62" s="186">
        <f t="shared" si="56"/>
        <v>54</v>
      </c>
      <c r="BE62"/>
      <c r="BF62"/>
      <c r="BG62"/>
      <c r="BH62"/>
      <c r="BI62"/>
      <c r="BJ62"/>
    </row>
    <row r="63" spans="1:62" s="34" customFormat="1" hidden="1" outlineLevel="2">
      <c r="A63" s="77"/>
      <c r="B63" s="74" t="s">
        <v>76</v>
      </c>
      <c r="C63" s="96">
        <f>SUM(C59:C62)</f>
        <v>1927.3309999999999</v>
      </c>
      <c r="D63" s="96">
        <f>SUM(D59:D62)</f>
        <v>2434.1679999999997</v>
      </c>
      <c r="E63" s="83">
        <v>1933</v>
      </c>
      <c r="F63" s="81">
        <f t="shared" ref="F63:L63" si="99">SUM(F59:F62)</f>
        <v>2616</v>
      </c>
      <c r="G63" s="81">
        <f t="shared" si="99"/>
        <v>1356</v>
      </c>
      <c r="H63" s="81">
        <f t="shared" si="99"/>
        <v>543.95799999999997</v>
      </c>
      <c r="I63" s="81">
        <f t="shared" si="99"/>
        <v>1256.511</v>
      </c>
      <c r="J63" s="81">
        <f t="shared" si="99"/>
        <v>2157.7000710679349</v>
      </c>
      <c r="K63" s="81">
        <f t="shared" si="99"/>
        <v>2755.9667270450745</v>
      </c>
      <c r="L63" s="81">
        <f t="shared" si="99"/>
        <v>2829.9545244367478</v>
      </c>
      <c r="M63" s="37"/>
      <c r="N63" s="81">
        <f t="shared" ref="N63:AD63" si="100">SUM(N59:N62)</f>
        <v>385.06299999999999</v>
      </c>
      <c r="O63" s="81">
        <f t="shared" si="100"/>
        <v>426.04699999999997</v>
      </c>
      <c r="P63" s="81">
        <f t="shared" si="100"/>
        <v>547.17600000000004</v>
      </c>
      <c r="Q63" s="81">
        <f t="shared" si="100"/>
        <v>569.04499999999996</v>
      </c>
      <c r="R63" s="81">
        <f t="shared" si="100"/>
        <v>601.58799999999997</v>
      </c>
      <c r="S63" s="81">
        <f t="shared" si="100"/>
        <v>634.95099999999991</v>
      </c>
      <c r="T63" s="81">
        <f t="shared" si="100"/>
        <v>653.9380000000001</v>
      </c>
      <c r="U63" s="81">
        <f t="shared" si="100"/>
        <v>543.69100000000003</v>
      </c>
      <c r="V63" s="81">
        <f t="shared" si="100"/>
        <v>501.78899999999999</v>
      </c>
      <c r="W63" s="81">
        <f t="shared" si="100"/>
        <v>488.47199999999998</v>
      </c>
      <c r="X63" s="81">
        <f t="shared" si="100"/>
        <v>494.25099999999998</v>
      </c>
      <c r="Y63" s="81">
        <f t="shared" si="100"/>
        <v>494.21900000000005</v>
      </c>
      <c r="Z63" s="81">
        <f t="shared" si="100"/>
        <v>504.43599999999992</v>
      </c>
      <c r="AA63" s="81">
        <f t="shared" si="100"/>
        <v>601.46</v>
      </c>
      <c r="AB63" s="81">
        <f t="shared" si="100"/>
        <v>747.30499999999995</v>
      </c>
      <c r="AC63" s="81">
        <f t="shared" si="100"/>
        <v>796.70399999999984</v>
      </c>
      <c r="AD63" s="81">
        <f t="shared" si="100"/>
        <v>552.87400000000002</v>
      </c>
      <c r="AE63" s="81">
        <f t="shared" ref="AE63:AJ63" si="101">AE11</f>
        <v>332.49900000000002</v>
      </c>
      <c r="AF63" s="81">
        <f t="shared" si="101"/>
        <v>256.90699999999998</v>
      </c>
      <c r="AG63" s="81">
        <f t="shared" si="101"/>
        <v>256.60000000000002</v>
      </c>
      <c r="AH63" s="136">
        <f t="shared" si="101"/>
        <v>152</v>
      </c>
      <c r="AI63" s="81">
        <f t="shared" si="101"/>
        <v>124</v>
      </c>
      <c r="AJ63" s="81">
        <f t="shared" si="101"/>
        <v>128</v>
      </c>
      <c r="AK63" s="81">
        <f>SUM(AK59:AK62)</f>
        <v>140</v>
      </c>
      <c r="AL63" s="81">
        <f>AL11</f>
        <v>217.9</v>
      </c>
      <c r="AM63" s="81">
        <f>AM11</f>
        <v>294.14699999999999</v>
      </c>
      <c r="AN63" s="81">
        <f>AN11</f>
        <v>344.94099999999997</v>
      </c>
      <c r="AO63" s="81">
        <f>AO11</f>
        <v>399.52300000000002</v>
      </c>
      <c r="AP63" s="81">
        <f t="shared" ref="AP63:BA63" si="102">SUM(AP59:AP62)</f>
        <v>458.96662022282811</v>
      </c>
      <c r="AQ63" s="81">
        <f t="shared" si="102"/>
        <v>505.93415875171877</v>
      </c>
      <c r="AR63" s="81">
        <f t="shared" si="102"/>
        <v>575.33257044115362</v>
      </c>
      <c r="AS63" s="81">
        <f t="shared" si="102"/>
        <v>617.46672165223436</v>
      </c>
      <c r="AT63" s="81">
        <f t="shared" si="102"/>
        <v>656.68230784807122</v>
      </c>
      <c r="AU63" s="81">
        <f t="shared" si="102"/>
        <v>684.30715697862922</v>
      </c>
      <c r="AV63" s="81">
        <f t="shared" si="102"/>
        <v>707.48863110918694</v>
      </c>
      <c r="AW63" s="81">
        <f t="shared" si="102"/>
        <v>707.48863110918694</v>
      </c>
      <c r="AX63" s="81">
        <f t="shared" si="102"/>
        <v>707.48863110918694</v>
      </c>
      <c r="AY63" s="81">
        <f t="shared" si="102"/>
        <v>707.48863110918694</v>
      </c>
      <c r="AZ63" s="81">
        <f t="shared" si="102"/>
        <v>707.48863110918694</v>
      </c>
      <c r="BA63" s="81">
        <f t="shared" si="102"/>
        <v>707.48863110918694</v>
      </c>
      <c r="BD63" s="186">
        <f t="shared" si="56"/>
        <v>55</v>
      </c>
      <c r="BE63"/>
      <c r="BF63"/>
      <c r="BG63"/>
      <c r="BH63"/>
      <c r="BI63"/>
      <c r="BJ63"/>
    </row>
    <row r="64" spans="1:62" s="39" customFormat="1" hidden="1" outlineLevel="2">
      <c r="A64" s="38"/>
      <c r="B64" s="46" t="s">
        <v>47</v>
      </c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80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D64" s="186">
        <f t="shared" si="56"/>
        <v>56</v>
      </c>
      <c r="BE64"/>
      <c r="BF64"/>
      <c r="BG64"/>
      <c r="BH64"/>
      <c r="BI64"/>
      <c r="BJ64"/>
    </row>
    <row r="65" spans="1:62" s="39" customFormat="1" hidden="1" outlineLevel="2">
      <c r="A65" s="38"/>
      <c r="B65" s="76" t="s">
        <v>106</v>
      </c>
      <c r="C65" s="48">
        <f t="shared" ref="C65:E68" si="103">SUMIFS($N65:$BB65,$N$5:$BB$5,C$5)</f>
        <v>528.87214100000006</v>
      </c>
      <c r="D65" s="48">
        <f t="shared" si="103"/>
        <v>618.13799399999994</v>
      </c>
      <c r="E65" s="48">
        <f t="shared" si="103"/>
        <v>628.08461</v>
      </c>
      <c r="F65" s="79">
        <v>592</v>
      </c>
      <c r="G65" s="79">
        <v>345</v>
      </c>
      <c r="H65" s="79">
        <v>197.00299999999999</v>
      </c>
      <c r="I65" s="35">
        <f t="shared" ref="I65:L68" si="104">SUMIFS($N65:$BB65,$N$5:$BB$5,I$5)</f>
        <v>218.81900000000002</v>
      </c>
      <c r="J65" s="35">
        <f t="shared" si="104"/>
        <v>221.78393508447195</v>
      </c>
      <c r="K65" s="35">
        <f t="shared" si="104"/>
        <v>256.78633047743011</v>
      </c>
      <c r="L65" s="35">
        <f t="shared" si="104"/>
        <v>281.4620790449888</v>
      </c>
      <c r="M65" s="80"/>
      <c r="N65" s="78">
        <f t="shared" ref="N65:AG65" si="105">N148</f>
        <v>130.211331</v>
      </c>
      <c r="O65" s="78">
        <f t="shared" si="105"/>
        <v>111.059212</v>
      </c>
      <c r="P65" s="78">
        <f t="shared" si="105"/>
        <v>141.37132600000001</v>
      </c>
      <c r="Q65" s="78">
        <f t="shared" si="105"/>
        <v>146.23027200000001</v>
      </c>
      <c r="R65" s="78">
        <f t="shared" si="105"/>
        <v>160.26544999999999</v>
      </c>
      <c r="S65" s="78">
        <f t="shared" si="105"/>
        <v>145.133546</v>
      </c>
      <c r="T65" s="78">
        <f t="shared" si="105"/>
        <v>156.87380199999998</v>
      </c>
      <c r="U65" s="78">
        <f t="shared" si="105"/>
        <v>155.865196</v>
      </c>
      <c r="V65" s="78">
        <f t="shared" si="105"/>
        <v>163.11639</v>
      </c>
      <c r="W65" s="78">
        <f t="shared" si="105"/>
        <v>151.691926</v>
      </c>
      <c r="X65" s="78">
        <f t="shared" si="105"/>
        <v>162.78052199999999</v>
      </c>
      <c r="Y65" s="78">
        <f t="shared" si="105"/>
        <v>150.49577199999999</v>
      </c>
      <c r="Z65" s="78">
        <f t="shared" si="105"/>
        <v>156.67403200000001</v>
      </c>
      <c r="AA65" s="78">
        <f t="shared" si="105"/>
        <v>141.57936000000001</v>
      </c>
      <c r="AB65" s="78">
        <f t="shared" si="105"/>
        <v>147.41797700000001</v>
      </c>
      <c r="AC65" s="78">
        <f t="shared" si="105"/>
        <v>134.15734600000002</v>
      </c>
      <c r="AD65" s="78">
        <f t="shared" si="105"/>
        <v>98.68755588673622</v>
      </c>
      <c r="AE65" s="78">
        <f t="shared" si="105"/>
        <v>76.347300000000004</v>
      </c>
      <c r="AF65" s="78">
        <f t="shared" si="105"/>
        <v>78.134293</v>
      </c>
      <c r="AG65" s="78">
        <f t="shared" si="105"/>
        <v>70.852519999999998</v>
      </c>
      <c r="AH65" s="194">
        <v>52.540999999999997</v>
      </c>
      <c r="AI65" s="79">
        <v>44.82</v>
      </c>
      <c r="AJ65" s="79">
        <v>49.087000000000003</v>
      </c>
      <c r="AK65" s="79">
        <v>51</v>
      </c>
      <c r="AL65" s="194">
        <v>55.545000000000002</v>
      </c>
      <c r="AM65" s="79">
        <v>54.021999999999998</v>
      </c>
      <c r="AN65" s="79">
        <v>58.198</v>
      </c>
      <c r="AO65" s="79">
        <f>218.819-AN65-AM65-AL65</f>
        <v>51.053999999999988</v>
      </c>
      <c r="AP65" s="78">
        <f t="shared" ref="AP65:BA65" si="106">AP142*AP146/1000</f>
        <v>53.238857515527933</v>
      </c>
      <c r="AQ65" s="78">
        <f t="shared" si="106"/>
        <v>55.508857881987552</v>
      </c>
      <c r="AR65" s="78">
        <f t="shared" si="106"/>
        <v>56.181692522981336</v>
      </c>
      <c r="AS65" s="78">
        <f t="shared" si="106"/>
        <v>56.854527163975128</v>
      </c>
      <c r="AT65" s="78">
        <f t="shared" si="106"/>
        <v>58.102635423018612</v>
      </c>
      <c r="AU65" s="78">
        <f t="shared" si="106"/>
        <v>62.115454863637623</v>
      </c>
      <c r="AV65" s="78">
        <f t="shared" si="106"/>
        <v>66.202720429526707</v>
      </c>
      <c r="AW65" s="78">
        <f t="shared" si="106"/>
        <v>70.365519761247199</v>
      </c>
      <c r="AX65" s="78">
        <f t="shared" si="106"/>
        <v>70.365519761247199</v>
      </c>
      <c r="AY65" s="78">
        <f t="shared" si="106"/>
        <v>70.365519761247199</v>
      </c>
      <c r="AZ65" s="78">
        <f t="shared" si="106"/>
        <v>70.365519761247199</v>
      </c>
      <c r="BA65" s="78">
        <f t="shared" si="106"/>
        <v>70.365519761247199</v>
      </c>
      <c r="BD65" s="186">
        <f t="shared" si="56"/>
        <v>57</v>
      </c>
      <c r="BE65"/>
      <c r="BF65"/>
      <c r="BG65"/>
      <c r="BH65"/>
      <c r="BI65"/>
      <c r="BJ65"/>
    </row>
    <row r="66" spans="1:62" s="39" customFormat="1" hidden="1" outlineLevel="2">
      <c r="A66" s="38"/>
      <c r="B66" s="76" t="s">
        <v>107</v>
      </c>
      <c r="C66" s="48">
        <f t="shared" si="103"/>
        <v>320.64985899999999</v>
      </c>
      <c r="D66" s="48">
        <f t="shared" si="103"/>
        <v>382.73500600000006</v>
      </c>
      <c r="E66" s="48">
        <f t="shared" si="103"/>
        <v>406.93339000000003</v>
      </c>
      <c r="F66" s="79">
        <v>357</v>
      </c>
      <c r="G66" s="79">
        <v>232</v>
      </c>
      <c r="H66" s="79">
        <v>132.48599999999999</v>
      </c>
      <c r="I66" s="35">
        <f t="shared" si="104"/>
        <v>122.949</v>
      </c>
      <c r="J66" s="35">
        <f t="shared" si="104"/>
        <v>132.51834003240447</v>
      </c>
      <c r="K66" s="35">
        <f t="shared" si="104"/>
        <v>144.54003011970627</v>
      </c>
      <c r="L66" s="35">
        <f t="shared" si="104"/>
        <v>155.69746861244826</v>
      </c>
      <c r="M66" s="80"/>
      <c r="N66" s="78">
        <f t="shared" ref="N66:AC66" si="107">N392-N65</f>
        <v>64.880669000000012</v>
      </c>
      <c r="O66" s="78">
        <f t="shared" si="107"/>
        <v>74.796787999999992</v>
      </c>
      <c r="P66" s="78">
        <f t="shared" si="107"/>
        <v>87.161673999999977</v>
      </c>
      <c r="Q66" s="78">
        <f t="shared" si="107"/>
        <v>93.810727999999983</v>
      </c>
      <c r="R66" s="78">
        <f t="shared" si="107"/>
        <v>96.993550000000027</v>
      </c>
      <c r="S66" s="78">
        <f t="shared" si="107"/>
        <v>95.246454</v>
      </c>
      <c r="T66" s="78">
        <f t="shared" si="107"/>
        <v>97.953198000000015</v>
      </c>
      <c r="U66" s="78">
        <f t="shared" si="107"/>
        <v>92.541804000000013</v>
      </c>
      <c r="V66" s="78">
        <f t="shared" si="107"/>
        <v>88.454610000000002</v>
      </c>
      <c r="W66" s="78">
        <f t="shared" si="107"/>
        <v>92.910074000000009</v>
      </c>
      <c r="X66" s="78">
        <f t="shared" si="107"/>
        <v>84.025478000000021</v>
      </c>
      <c r="Y66" s="78">
        <f t="shared" si="107"/>
        <v>141.543228</v>
      </c>
      <c r="Z66" s="78">
        <f t="shared" si="107"/>
        <v>118.72596799999997</v>
      </c>
      <c r="AA66" s="78">
        <f t="shared" si="107"/>
        <v>116.79863999999998</v>
      </c>
      <c r="AB66" s="78">
        <f t="shared" si="107"/>
        <v>112.44502299999999</v>
      </c>
      <c r="AC66" s="78">
        <f t="shared" si="107"/>
        <v>105.73965399999997</v>
      </c>
      <c r="AD66" s="78">
        <f>AD159</f>
        <v>67.13333333333334</v>
      </c>
      <c r="AE66" s="78">
        <f>AE159</f>
        <v>58.71</v>
      </c>
      <c r="AF66" s="78">
        <f>AF159</f>
        <v>54.632000000000005</v>
      </c>
      <c r="AG66" s="78">
        <f>AG159</f>
        <v>47.708100000000002</v>
      </c>
      <c r="AH66" s="194">
        <v>35.280999999999999</v>
      </c>
      <c r="AI66" s="79">
        <v>34.819000000000003</v>
      </c>
      <c r="AJ66" s="79">
        <v>33.220999999999997</v>
      </c>
      <c r="AK66" s="79">
        <v>29</v>
      </c>
      <c r="AL66" s="194">
        <v>29.934000000000001</v>
      </c>
      <c r="AM66" s="79">
        <v>32.140999999999998</v>
      </c>
      <c r="AN66" s="79">
        <v>30.332999999999998</v>
      </c>
      <c r="AO66" s="79">
        <f>122.949-AN66-AM66-AL66</f>
        <v>30.541</v>
      </c>
      <c r="AP66" s="78">
        <f t="shared" ref="AP66:BA66" si="108">AP153*AP157/1000</f>
        <v>31.832913479299368</v>
      </c>
      <c r="AQ66" s="78">
        <f t="shared" si="108"/>
        <v>33.174854867356693</v>
      </c>
      <c r="AR66" s="78">
        <f t="shared" si="108"/>
        <v>33.561808851035032</v>
      </c>
      <c r="AS66" s="78">
        <f t="shared" si="108"/>
        <v>33.948762834713378</v>
      </c>
      <c r="AT66" s="78">
        <f t="shared" si="108"/>
        <v>34.809348494414017</v>
      </c>
      <c r="AU66" s="78">
        <f t="shared" si="108"/>
        <v>35.6837509910252</v>
      </c>
      <c r="AV66" s="78">
        <f t="shared" si="108"/>
        <v>36.572160602719151</v>
      </c>
      <c r="AW66" s="78">
        <f t="shared" si="108"/>
        <v>37.474770031547898</v>
      </c>
      <c r="AX66" s="78">
        <f t="shared" si="108"/>
        <v>38.924367153112065</v>
      </c>
      <c r="AY66" s="78">
        <f t="shared" si="108"/>
        <v>38.924367153112065</v>
      </c>
      <c r="AZ66" s="78">
        <f t="shared" si="108"/>
        <v>38.924367153112065</v>
      </c>
      <c r="BA66" s="78">
        <f t="shared" si="108"/>
        <v>38.924367153112065</v>
      </c>
      <c r="BD66" s="186">
        <f t="shared" si="56"/>
        <v>58</v>
      </c>
      <c r="BE66"/>
      <c r="BF66"/>
      <c r="BG66"/>
      <c r="BH66"/>
      <c r="BI66"/>
      <c r="BJ66"/>
    </row>
    <row r="67" spans="1:62" s="39" customFormat="1" hidden="1" outlineLevel="2">
      <c r="A67" s="38"/>
      <c r="B67" s="76" t="s">
        <v>108</v>
      </c>
      <c r="C67" s="48">
        <f t="shared" si="103"/>
        <v>79.7</v>
      </c>
      <c r="D67" s="48">
        <f t="shared" si="103"/>
        <v>140.1</v>
      </c>
      <c r="E67" s="48">
        <f t="shared" si="103"/>
        <v>140.5</v>
      </c>
      <c r="F67" s="79">
        <v>210</v>
      </c>
      <c r="G67" s="79">
        <v>127</v>
      </c>
      <c r="H67" s="79">
        <v>55.829000000000001</v>
      </c>
      <c r="I67" s="35">
        <f t="shared" si="104"/>
        <v>0</v>
      </c>
      <c r="J67" s="35">
        <f t="shared" si="104"/>
        <v>0</v>
      </c>
      <c r="K67" s="35">
        <f t="shared" si="104"/>
        <v>0</v>
      </c>
      <c r="L67" s="35">
        <f t="shared" si="104"/>
        <v>0</v>
      </c>
      <c r="M67" s="80"/>
      <c r="N67" s="78">
        <f t="shared" ref="N67:AD67" si="109">N391</f>
        <v>0</v>
      </c>
      <c r="O67" s="78">
        <f t="shared" si="109"/>
        <v>22.1</v>
      </c>
      <c r="P67" s="78">
        <f t="shared" si="109"/>
        <v>25.6</v>
      </c>
      <c r="Q67" s="78">
        <f t="shared" si="109"/>
        <v>32</v>
      </c>
      <c r="R67" s="78">
        <f t="shared" si="109"/>
        <v>35.5</v>
      </c>
      <c r="S67" s="78">
        <f t="shared" si="109"/>
        <v>31.1</v>
      </c>
      <c r="T67" s="78">
        <f t="shared" si="109"/>
        <v>35.1</v>
      </c>
      <c r="U67" s="78">
        <f t="shared" si="109"/>
        <v>38.4</v>
      </c>
      <c r="V67" s="78">
        <f t="shared" si="109"/>
        <v>36.4</v>
      </c>
      <c r="W67" s="78">
        <f t="shared" si="109"/>
        <v>32.5</v>
      </c>
      <c r="X67" s="78">
        <f t="shared" si="109"/>
        <v>34.200000000000003</v>
      </c>
      <c r="Y67" s="78">
        <f t="shared" si="109"/>
        <v>37.4</v>
      </c>
      <c r="Z67" s="78">
        <f t="shared" si="109"/>
        <v>40</v>
      </c>
      <c r="AA67" s="78">
        <f t="shared" si="109"/>
        <v>43.1</v>
      </c>
      <c r="AB67" s="78">
        <f t="shared" si="109"/>
        <v>44.7</v>
      </c>
      <c r="AC67" s="78">
        <f t="shared" si="109"/>
        <v>48.6</v>
      </c>
      <c r="AD67" s="78">
        <f t="shared" si="109"/>
        <v>40.338000000000001</v>
      </c>
      <c r="AE67" s="90">
        <f>+AE69-SUM(AE65:AE66)</f>
        <v>18.034700000000015</v>
      </c>
      <c r="AF67" s="90">
        <f>+AF69-SUM(AF65:AF66)</f>
        <v>18.117706999999967</v>
      </c>
      <c r="AG67" s="90">
        <f>+AG69-SUM(AG65:AG66)</f>
        <v>17.139379999999989</v>
      </c>
      <c r="AH67" s="194">
        <v>19.102</v>
      </c>
      <c r="AI67" s="79">
        <v>11.151999999999999</v>
      </c>
      <c r="AJ67" s="79">
        <v>12.464</v>
      </c>
      <c r="AK67" s="79">
        <v>13</v>
      </c>
      <c r="AL67" s="194">
        <v>0</v>
      </c>
      <c r="AM67" s="79">
        <v>0</v>
      </c>
      <c r="AN67" s="79">
        <v>0</v>
      </c>
      <c r="AO67" s="79">
        <v>0</v>
      </c>
      <c r="AP67" s="79">
        <v>0</v>
      </c>
      <c r="AQ67" s="79">
        <v>0</v>
      </c>
      <c r="AR67" s="79">
        <v>0</v>
      </c>
      <c r="AS67" s="79">
        <v>0</v>
      </c>
      <c r="AT67" s="79">
        <v>0</v>
      </c>
      <c r="AU67" s="79">
        <v>0</v>
      </c>
      <c r="AV67" s="79">
        <v>0</v>
      </c>
      <c r="AW67" s="79">
        <v>0</v>
      </c>
      <c r="AX67" s="79">
        <v>0</v>
      </c>
      <c r="AY67" s="79">
        <v>0</v>
      </c>
      <c r="AZ67" s="79">
        <v>0</v>
      </c>
      <c r="BA67" s="79">
        <v>0</v>
      </c>
      <c r="BD67" s="186">
        <f t="shared" si="56"/>
        <v>59</v>
      </c>
      <c r="BE67"/>
      <c r="BF67"/>
      <c r="BG67"/>
      <c r="BH67"/>
      <c r="BI67"/>
      <c r="BJ67"/>
    </row>
    <row r="68" spans="1:62" s="39" customFormat="1" hidden="1" outlineLevel="2">
      <c r="A68" s="38"/>
      <c r="B68" s="76" t="s">
        <v>109</v>
      </c>
      <c r="C68" s="48">
        <f t="shared" si="103"/>
        <v>0</v>
      </c>
      <c r="D68" s="48">
        <f t="shared" si="103"/>
        <v>0</v>
      </c>
      <c r="E68" s="48">
        <f t="shared" si="103"/>
        <v>0</v>
      </c>
      <c r="F68" s="79">
        <v>85</v>
      </c>
      <c r="G68" s="79">
        <v>54</v>
      </c>
      <c r="H68" s="79">
        <v>34.279000000000003</v>
      </c>
      <c r="I68" s="35">
        <f t="shared" si="104"/>
        <v>40.460000000000022</v>
      </c>
      <c r="J68" s="35">
        <f t="shared" si="104"/>
        <v>46.166331136008793</v>
      </c>
      <c r="K68" s="35">
        <f t="shared" si="104"/>
        <v>52.293668311400978</v>
      </c>
      <c r="L68" s="35">
        <f t="shared" si="104"/>
        <v>56.962807901144437</v>
      </c>
      <c r="M68" s="80"/>
      <c r="N68" s="79">
        <v>0</v>
      </c>
      <c r="O68" s="79">
        <v>0</v>
      </c>
      <c r="P68" s="79">
        <v>0</v>
      </c>
      <c r="Q68" s="79">
        <v>0</v>
      </c>
      <c r="R68" s="79">
        <v>0</v>
      </c>
      <c r="S68" s="79">
        <v>0</v>
      </c>
      <c r="T68" s="79">
        <v>0</v>
      </c>
      <c r="U68" s="79">
        <v>0</v>
      </c>
      <c r="V68" s="79">
        <v>0</v>
      </c>
      <c r="W68" s="79">
        <v>0</v>
      </c>
      <c r="X68" s="79">
        <v>0</v>
      </c>
      <c r="Y68" s="79">
        <v>0</v>
      </c>
      <c r="Z68" s="79">
        <v>0</v>
      </c>
      <c r="AA68" s="79">
        <v>0</v>
      </c>
      <c r="AB68" s="79">
        <v>0</v>
      </c>
      <c r="AC68" s="79">
        <v>0</v>
      </c>
      <c r="AD68" s="79">
        <v>0</v>
      </c>
      <c r="AE68" s="137">
        <v>0</v>
      </c>
      <c r="AF68" s="137">
        <v>0</v>
      </c>
      <c r="AG68" s="137">
        <v>0</v>
      </c>
      <c r="AH68" s="194">
        <v>9.1300000000000008</v>
      </c>
      <c r="AI68" s="79">
        <v>8.093</v>
      </c>
      <c r="AJ68" s="79">
        <v>7.9989999999999997</v>
      </c>
      <c r="AK68" s="137">
        <f>+AK12-AK65-AK66-AK67</f>
        <v>9</v>
      </c>
      <c r="AL68" s="203">
        <f>+AL69-SUM(AL65:AL67)</f>
        <v>10.815000000000012</v>
      </c>
      <c r="AM68" s="78">
        <f>+AM69-SUM(AM65:AM67)</f>
        <v>9.8329999999999984</v>
      </c>
      <c r="AN68" s="78">
        <f>+AN69-SUM(AN65:AN67)</f>
        <v>9.1799999999999926</v>
      </c>
      <c r="AO68" s="78">
        <f>+AO69-SUM(AO65:AO67)</f>
        <v>10.632000000000019</v>
      </c>
      <c r="AP68" s="90">
        <f t="shared" ref="AP68:BA68" si="110">AO68/SUM(AO65:AO67)*SUM(AP65:AP67)</f>
        <v>11.085030568257929</v>
      </c>
      <c r="AQ68" s="90">
        <f t="shared" si="110"/>
        <v>11.55567417061131</v>
      </c>
      <c r="AR68" s="90">
        <f t="shared" si="110"/>
        <v>11.693766855916955</v>
      </c>
      <c r="AS68" s="90">
        <f t="shared" si="110"/>
        <v>11.831859541222601</v>
      </c>
      <c r="AT68" s="90">
        <f t="shared" si="110"/>
        <v>12.106626790981624</v>
      </c>
      <c r="AU68" s="90">
        <f t="shared" si="110"/>
        <v>12.743442081583151</v>
      </c>
      <c r="AV68" s="90">
        <f t="shared" si="110"/>
        <v>13.391783015317607</v>
      </c>
      <c r="AW68" s="90">
        <f t="shared" si="110"/>
        <v>14.051816423518593</v>
      </c>
      <c r="AX68" s="90">
        <f t="shared" si="110"/>
        <v>14.240701975286109</v>
      </c>
      <c r="AY68" s="90">
        <f t="shared" si="110"/>
        <v>14.240701975286109</v>
      </c>
      <c r="AZ68" s="90">
        <f t="shared" si="110"/>
        <v>14.240701975286109</v>
      </c>
      <c r="BA68" s="90">
        <f t="shared" si="110"/>
        <v>14.240701975286109</v>
      </c>
      <c r="BD68" s="186">
        <f t="shared" si="56"/>
        <v>60</v>
      </c>
      <c r="BE68"/>
      <c r="BF68"/>
      <c r="BG68"/>
      <c r="BH68"/>
      <c r="BI68"/>
      <c r="BJ68"/>
    </row>
    <row r="69" spans="1:62" s="34" customFormat="1" hidden="1" outlineLevel="2">
      <c r="A69" s="77"/>
      <c r="B69" s="74" t="s">
        <v>86</v>
      </c>
      <c r="C69" s="96">
        <f>SUM(C65:C68)</f>
        <v>929.22200000000009</v>
      </c>
      <c r="D69" s="96">
        <f>SUM(D65:D68)</f>
        <v>1140.973</v>
      </c>
      <c r="E69" s="83">
        <v>1202</v>
      </c>
      <c r="F69" s="81">
        <f t="shared" ref="F69:L69" si="111">SUM(F65:F68)</f>
        <v>1244</v>
      </c>
      <c r="G69" s="81">
        <f t="shared" si="111"/>
        <v>758</v>
      </c>
      <c r="H69" s="81">
        <f t="shared" si="111"/>
        <v>419.59699999999998</v>
      </c>
      <c r="I69" s="81">
        <f t="shared" si="111"/>
        <v>382.22800000000007</v>
      </c>
      <c r="J69" s="81">
        <f t="shared" si="111"/>
        <v>400.46860625288525</v>
      </c>
      <c r="K69" s="81">
        <f t="shared" si="111"/>
        <v>453.62002890853739</v>
      </c>
      <c r="L69" s="81">
        <f t="shared" si="111"/>
        <v>494.12235555858155</v>
      </c>
      <c r="N69" s="81">
        <f t="shared" ref="N69:AD69" si="112">SUM(N65:N68)</f>
        <v>195.09200000000001</v>
      </c>
      <c r="O69" s="81">
        <f t="shared" si="112"/>
        <v>207.95599999999999</v>
      </c>
      <c r="P69" s="81">
        <f t="shared" si="112"/>
        <v>254.13299999999998</v>
      </c>
      <c r="Q69" s="81">
        <f t="shared" si="112"/>
        <v>272.041</v>
      </c>
      <c r="R69" s="81">
        <f t="shared" si="112"/>
        <v>292.75900000000001</v>
      </c>
      <c r="S69" s="81">
        <f t="shared" si="112"/>
        <v>271.48</v>
      </c>
      <c r="T69" s="81">
        <f t="shared" si="112"/>
        <v>289.92700000000002</v>
      </c>
      <c r="U69" s="81">
        <f t="shared" si="112"/>
        <v>286.80700000000002</v>
      </c>
      <c r="V69" s="81">
        <f t="shared" si="112"/>
        <v>287.971</v>
      </c>
      <c r="W69" s="81">
        <f t="shared" si="112"/>
        <v>277.10199999999998</v>
      </c>
      <c r="X69" s="81">
        <f t="shared" si="112"/>
        <v>281.00600000000003</v>
      </c>
      <c r="Y69" s="81">
        <f t="shared" si="112"/>
        <v>329.43899999999996</v>
      </c>
      <c r="Z69" s="81">
        <f t="shared" si="112"/>
        <v>315.39999999999998</v>
      </c>
      <c r="AA69" s="81">
        <f t="shared" si="112"/>
        <v>301.47800000000001</v>
      </c>
      <c r="AB69" s="81">
        <f t="shared" si="112"/>
        <v>304.56299999999999</v>
      </c>
      <c r="AC69" s="81">
        <f t="shared" si="112"/>
        <v>288.49700000000001</v>
      </c>
      <c r="AD69" s="81">
        <f t="shared" si="112"/>
        <v>206.15888922006954</v>
      </c>
      <c r="AE69" s="81">
        <f t="shared" ref="AE69:AJ69" si="113">AE12</f>
        <v>153.09200000000001</v>
      </c>
      <c r="AF69" s="81">
        <f t="shared" si="113"/>
        <v>150.88399999999999</v>
      </c>
      <c r="AG69" s="81">
        <f t="shared" si="113"/>
        <v>135.69999999999999</v>
      </c>
      <c r="AH69" s="136">
        <f t="shared" si="113"/>
        <v>116</v>
      </c>
      <c r="AI69" s="81">
        <f t="shared" si="113"/>
        <v>99</v>
      </c>
      <c r="AJ69" s="81">
        <f t="shared" si="113"/>
        <v>103</v>
      </c>
      <c r="AK69" s="81">
        <f>SUM(AK65:AK68)</f>
        <v>102</v>
      </c>
      <c r="AL69" s="81">
        <f>AL12</f>
        <v>96.294000000000011</v>
      </c>
      <c r="AM69" s="81">
        <f>AM12</f>
        <v>95.995999999999995</v>
      </c>
      <c r="AN69" s="81">
        <f>AN12</f>
        <v>97.710999999999999</v>
      </c>
      <c r="AO69" s="81">
        <f>AO12</f>
        <v>92.227000000000004</v>
      </c>
      <c r="AP69" s="81">
        <f t="shared" ref="AP69:BA69" si="114">SUM(AP65:AP68)</f>
        <v>96.156801563085239</v>
      </c>
      <c r="AQ69" s="81">
        <f t="shared" si="114"/>
        <v>100.23938691995555</v>
      </c>
      <c r="AR69" s="81">
        <f t="shared" si="114"/>
        <v>101.43726822993332</v>
      </c>
      <c r="AS69" s="81">
        <f t="shared" si="114"/>
        <v>102.63514953991111</v>
      </c>
      <c r="AT69" s="81">
        <f t="shared" si="114"/>
        <v>105.01861070841424</v>
      </c>
      <c r="AU69" s="81">
        <f t="shared" si="114"/>
        <v>110.54264793624598</v>
      </c>
      <c r="AV69" s="81">
        <f t="shared" si="114"/>
        <v>116.16666404756347</v>
      </c>
      <c r="AW69" s="81">
        <f t="shared" si="114"/>
        <v>121.89210621631368</v>
      </c>
      <c r="AX69" s="81">
        <f t="shared" si="114"/>
        <v>123.53058888964539</v>
      </c>
      <c r="AY69" s="81">
        <f t="shared" si="114"/>
        <v>123.53058888964539</v>
      </c>
      <c r="AZ69" s="81">
        <f t="shared" si="114"/>
        <v>123.53058888964539</v>
      </c>
      <c r="BA69" s="81">
        <f t="shared" si="114"/>
        <v>123.53058888964539</v>
      </c>
      <c r="BD69" s="186">
        <f t="shared" si="56"/>
        <v>61</v>
      </c>
      <c r="BE69"/>
      <c r="BF69"/>
      <c r="BG69"/>
      <c r="BH69"/>
      <c r="BI69"/>
      <c r="BJ69"/>
    </row>
    <row r="70" spans="1:62" hidden="1" outlineLevel="2">
      <c r="B70" s="44"/>
      <c r="C70" s="61"/>
      <c r="D70" s="61"/>
      <c r="E70" s="61"/>
      <c r="F70" s="61"/>
      <c r="G70" s="61"/>
      <c r="H70" s="61"/>
      <c r="I70" s="61"/>
      <c r="J70" s="61"/>
      <c r="K70" s="61"/>
      <c r="L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D70" s="186">
        <f t="shared" si="56"/>
        <v>62</v>
      </c>
    </row>
    <row r="71" spans="1:62" hidden="1" outlineLevel="2">
      <c r="B71" s="73" t="s">
        <v>113</v>
      </c>
      <c r="C71" s="61"/>
      <c r="D71" s="61"/>
      <c r="E71" s="61"/>
      <c r="F71" s="61"/>
      <c r="G71" s="61"/>
      <c r="H71" s="61"/>
      <c r="I71" s="61"/>
      <c r="J71" s="61"/>
      <c r="K71" s="61"/>
      <c r="L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D71" s="186">
        <f t="shared" si="56"/>
        <v>63</v>
      </c>
    </row>
    <row r="72" spans="1:62" s="39" customFormat="1" hidden="1" outlineLevel="2">
      <c r="A72" s="38"/>
      <c r="B72" s="46" t="s">
        <v>46</v>
      </c>
      <c r="C72" s="75"/>
      <c r="D72" s="75"/>
      <c r="E72" s="75"/>
      <c r="F72" s="75"/>
      <c r="G72" s="75"/>
      <c r="H72" s="75"/>
      <c r="I72" s="75"/>
      <c r="J72" s="75"/>
      <c r="K72" s="75"/>
      <c r="L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D72" s="186">
        <f t="shared" si="56"/>
        <v>64</v>
      </c>
      <c r="BE72"/>
      <c r="BF72"/>
      <c r="BG72"/>
      <c r="BH72"/>
      <c r="BI72"/>
      <c r="BJ72"/>
    </row>
    <row r="73" spans="1:62" s="39" customFormat="1" hidden="1" outlineLevel="2">
      <c r="A73" s="38"/>
      <c r="B73" s="76" t="s">
        <v>103</v>
      </c>
      <c r="C73" s="78"/>
      <c r="D73" s="68">
        <f t="shared" ref="D73:L73" si="115">IFERROR(+D59/C59-1,"NM")</f>
        <v>0.21002644737316345</v>
      </c>
      <c r="E73" s="68">
        <f t="shared" si="115"/>
        <v>-0.25455720214820943</v>
      </c>
      <c r="F73" s="68">
        <f t="shared" si="115"/>
        <v>0.21656461969819896</v>
      </c>
      <c r="G73" s="68">
        <f t="shared" si="115"/>
        <v>-0.52894995093228658</v>
      </c>
      <c r="H73" s="68">
        <f t="shared" si="115"/>
        <v>-0.63132395833333343</v>
      </c>
      <c r="I73" s="68">
        <f t="shared" si="115"/>
        <v>1.1957709032037505</v>
      </c>
      <c r="J73" s="68">
        <f t="shared" si="115"/>
        <v>0.6836299428265753</v>
      </c>
      <c r="K73" s="68">
        <f t="shared" si="115"/>
        <v>0.33823533045228915</v>
      </c>
      <c r="L73" s="68">
        <f t="shared" si="115"/>
        <v>3.2258064516129004E-2</v>
      </c>
      <c r="M73" s="80"/>
      <c r="N73" s="68" t="str">
        <f t="shared" ref="N73:BA73" si="116">IFERROR(+N59/M59-1,"NM")</f>
        <v>NM</v>
      </c>
      <c r="O73" s="68">
        <f t="shared" si="116"/>
        <v>0.14823149208060848</v>
      </c>
      <c r="P73" s="68">
        <f t="shared" si="116"/>
        <v>0.28567690202386387</v>
      </c>
      <c r="Q73" s="68">
        <f t="shared" si="116"/>
        <v>1.2830447991962979E-2</v>
      </c>
      <c r="R73" s="68">
        <f t="shared" si="116"/>
        <v>7.7511919379639194E-2</v>
      </c>
      <c r="S73" s="68">
        <f t="shared" si="116"/>
        <v>3.358280461846963E-2</v>
      </c>
      <c r="T73" s="68">
        <f t="shared" si="116"/>
        <v>-4.4402653365625766E-2</v>
      </c>
      <c r="U73" s="68">
        <f t="shared" si="116"/>
        <v>-0.16581289270859134</v>
      </c>
      <c r="V73" s="68">
        <f t="shared" si="116"/>
        <v>-9.4675895640327523E-2</v>
      </c>
      <c r="W73" s="68">
        <f t="shared" si="116"/>
        <v>-4.914001532327994E-2</v>
      </c>
      <c r="X73" s="68">
        <f t="shared" si="116"/>
        <v>-7.7101969525904535E-3</v>
      </c>
      <c r="Y73" s="68">
        <f t="shared" si="116"/>
        <v>5.1419819118934118E-3</v>
      </c>
      <c r="Z73" s="68">
        <f t="shared" si="116"/>
        <v>3.2991885060529302E-3</v>
      </c>
      <c r="AA73" s="68">
        <f t="shared" si="116"/>
        <v>0.20115766913613586</v>
      </c>
      <c r="AB73" s="68">
        <f t="shared" si="116"/>
        <v>0.25467295815863444</v>
      </c>
      <c r="AC73" s="68">
        <f t="shared" si="116"/>
        <v>6.409737541331606E-2</v>
      </c>
      <c r="AD73" s="68">
        <f t="shared" si="116"/>
        <v>-0.19010487134618959</v>
      </c>
      <c r="AE73" s="68">
        <f t="shared" si="116"/>
        <v>-1</v>
      </c>
      <c r="AF73" s="68" t="str">
        <f t="shared" si="116"/>
        <v>NM</v>
      </c>
      <c r="AG73" s="68" t="str">
        <f t="shared" si="116"/>
        <v>NM</v>
      </c>
      <c r="AH73" s="68" t="str">
        <f t="shared" si="116"/>
        <v>NM</v>
      </c>
      <c r="AI73" s="68">
        <f t="shared" si="116"/>
        <v>-0.22137041093281262</v>
      </c>
      <c r="AJ73" s="68">
        <f t="shared" si="116"/>
        <v>-4.0374266144814097E-2</v>
      </c>
      <c r="AK73" s="68">
        <f t="shared" si="116"/>
        <v>0.13435042506277162</v>
      </c>
      <c r="AL73" s="68">
        <f t="shared" si="116"/>
        <v>0.468123595505618</v>
      </c>
      <c r="AM73" s="68">
        <f t="shared" si="116"/>
        <v>0.40601394426884418</v>
      </c>
      <c r="AN73" s="68">
        <f t="shared" si="116"/>
        <v>0.17551738027586361</v>
      </c>
      <c r="AO73" s="68">
        <f t="shared" si="116"/>
        <v>0.14286045036326378</v>
      </c>
      <c r="AP73" s="68">
        <f t="shared" si="116"/>
        <v>8.2033898305084785E-2</v>
      </c>
      <c r="AQ73" s="68">
        <f t="shared" si="116"/>
        <v>0.11809210526315805</v>
      </c>
      <c r="AR73" s="68">
        <f t="shared" si="116"/>
        <v>0.19494545454545453</v>
      </c>
      <c r="AS73" s="68">
        <f t="shared" si="116"/>
        <v>8.173823072943609E-2</v>
      </c>
      <c r="AT73" s="68">
        <f t="shared" si="116"/>
        <v>7.3170731707317138E-2</v>
      </c>
      <c r="AU73" s="68">
        <f t="shared" si="116"/>
        <v>4.5454545454545636E-2</v>
      </c>
      <c r="AV73" s="68">
        <f t="shared" si="116"/>
        <v>4.3478260869565188E-2</v>
      </c>
      <c r="AW73" s="68">
        <f t="shared" si="116"/>
        <v>0</v>
      </c>
      <c r="AX73" s="68">
        <f t="shared" si="116"/>
        <v>0</v>
      </c>
      <c r="AY73" s="68">
        <f t="shared" si="116"/>
        <v>0</v>
      </c>
      <c r="AZ73" s="68">
        <f t="shared" si="116"/>
        <v>0</v>
      </c>
      <c r="BA73" s="68">
        <f t="shared" si="116"/>
        <v>0</v>
      </c>
      <c r="BD73" s="186">
        <f t="shared" si="56"/>
        <v>65</v>
      </c>
      <c r="BE73"/>
      <c r="BF73"/>
      <c r="BG73"/>
      <c r="BH73"/>
      <c r="BI73"/>
      <c r="BJ73"/>
    </row>
    <row r="74" spans="1:62" s="39" customFormat="1" hidden="1" outlineLevel="2">
      <c r="A74" s="38"/>
      <c r="B74" s="76" t="s">
        <v>104</v>
      </c>
      <c r="C74" s="78"/>
      <c r="D74" s="68" t="str">
        <f t="shared" ref="D74:L74" si="117">IFERROR(+D60/C60-1,"NM")</f>
        <v>NM</v>
      </c>
      <c r="E74" s="68">
        <f t="shared" si="117"/>
        <v>1.142791269597295</v>
      </c>
      <c r="F74" s="68">
        <f t="shared" si="117"/>
        <v>0.63187719675776455</v>
      </c>
      <c r="G74" s="68">
        <f t="shared" si="117"/>
        <v>-0.32747252747252742</v>
      </c>
      <c r="H74" s="68">
        <f t="shared" si="117"/>
        <v>-0.47935620915032673</v>
      </c>
      <c r="I74" s="68">
        <f t="shared" si="117"/>
        <v>0.98346064763961172</v>
      </c>
      <c r="J74" s="68">
        <f t="shared" si="117"/>
        <v>0.35250047171696819</v>
      </c>
      <c r="K74" s="68">
        <f t="shared" si="117"/>
        <v>0.16572018620840523</v>
      </c>
      <c r="L74" s="68">
        <f t="shared" si="117"/>
        <v>1.8433505191044697E-2</v>
      </c>
      <c r="M74" s="80"/>
      <c r="N74" s="68" t="str">
        <f t="shared" ref="N74:BA74" si="118">IFERROR(+N60/M60-1,"NM")</f>
        <v>NM</v>
      </c>
      <c r="O74" s="68" t="str">
        <f t="shared" si="118"/>
        <v>NM</v>
      </c>
      <c r="P74" s="68" t="str">
        <f t="shared" si="118"/>
        <v>NM</v>
      </c>
      <c r="Q74" s="68" t="str">
        <f t="shared" si="118"/>
        <v>NM</v>
      </c>
      <c r="R74" s="68" t="str">
        <f t="shared" si="118"/>
        <v>NM</v>
      </c>
      <c r="S74" s="68" t="str">
        <f t="shared" si="118"/>
        <v>NM</v>
      </c>
      <c r="T74" s="68">
        <f t="shared" si="118"/>
        <v>3.0723966942148762</v>
      </c>
      <c r="U74" s="68">
        <f t="shared" si="118"/>
        <v>-0.1330465135157074</v>
      </c>
      <c r="V74" s="68">
        <f t="shared" si="118"/>
        <v>0.16346441947565538</v>
      </c>
      <c r="W74" s="68">
        <f t="shared" si="118"/>
        <v>8.9040544673180122E-2</v>
      </c>
      <c r="X74" s="68">
        <f t="shared" si="118"/>
        <v>0.10712227132321428</v>
      </c>
      <c r="Y74" s="68">
        <f t="shared" si="118"/>
        <v>-1.051943024202695E-2</v>
      </c>
      <c r="Z74" s="68">
        <f t="shared" si="118"/>
        <v>0.12151751865193394</v>
      </c>
      <c r="AA74" s="68">
        <f t="shared" si="118"/>
        <v>0.1264194976421904</v>
      </c>
      <c r="AB74" s="68">
        <f t="shared" si="118"/>
        <v>0.20915877270736982</v>
      </c>
      <c r="AC74" s="68">
        <f t="shared" si="118"/>
        <v>4.6616381975234544E-2</v>
      </c>
      <c r="AD74" s="68">
        <f t="shared" si="118"/>
        <v>-1</v>
      </c>
      <c r="AE74" s="68" t="str">
        <f t="shared" si="118"/>
        <v>NM</v>
      </c>
      <c r="AF74" s="68" t="str">
        <f t="shared" si="118"/>
        <v>NM</v>
      </c>
      <c r="AG74" s="68" t="str">
        <f t="shared" si="118"/>
        <v>NM</v>
      </c>
      <c r="AH74" s="68" t="str">
        <f t="shared" si="118"/>
        <v>NM</v>
      </c>
      <c r="AI74" s="68">
        <f t="shared" si="118"/>
        <v>4.6354716592400536E-4</v>
      </c>
      <c r="AJ74" s="68">
        <f t="shared" si="118"/>
        <v>7.8869468969600343E-2</v>
      </c>
      <c r="AK74" s="68">
        <f t="shared" si="118"/>
        <v>4.9793620117863258E-2</v>
      </c>
      <c r="AL74" s="68">
        <f t="shared" si="118"/>
        <v>0.27875000000000005</v>
      </c>
      <c r="AM74" s="68">
        <f t="shared" si="118"/>
        <v>0.36219674753399111</v>
      </c>
      <c r="AN74" s="68">
        <f t="shared" si="118"/>
        <v>0.16956317519962405</v>
      </c>
      <c r="AO74" s="68">
        <f t="shared" si="118"/>
        <v>4.2503346720214497E-2</v>
      </c>
      <c r="AP74" s="68">
        <f t="shared" si="118"/>
        <v>4.6503496503496278E-2</v>
      </c>
      <c r="AQ74" s="68">
        <f t="shared" si="118"/>
        <v>6.0102739726027421E-2</v>
      </c>
      <c r="AR74" s="68">
        <f t="shared" si="118"/>
        <v>5.8940397350993212E-2</v>
      </c>
      <c r="AS74" s="68">
        <f t="shared" si="118"/>
        <v>5.7852564102564008E-2</v>
      </c>
      <c r="AT74" s="68">
        <f t="shared" si="118"/>
        <v>3.9539463717618517E-2</v>
      </c>
      <c r="AU74" s="68">
        <f t="shared" si="118"/>
        <v>2.5357038764208806E-2</v>
      </c>
      <c r="AV74" s="68">
        <f t="shared" si="118"/>
        <v>2.4729960204661783E-2</v>
      </c>
      <c r="AW74" s="68">
        <f t="shared" si="118"/>
        <v>0</v>
      </c>
      <c r="AX74" s="68">
        <f t="shared" si="118"/>
        <v>0</v>
      </c>
      <c r="AY74" s="68">
        <f t="shared" si="118"/>
        <v>0</v>
      </c>
      <c r="AZ74" s="68">
        <f t="shared" si="118"/>
        <v>0</v>
      </c>
      <c r="BA74" s="68">
        <f t="shared" si="118"/>
        <v>0</v>
      </c>
      <c r="BD74" s="186">
        <f t="shared" si="56"/>
        <v>66</v>
      </c>
      <c r="BE74"/>
      <c r="BF74"/>
      <c r="BG74"/>
      <c r="BH74"/>
      <c r="BI74"/>
      <c r="BJ74"/>
    </row>
    <row r="75" spans="1:62" s="39" customFormat="1" hidden="1" outlineLevel="2">
      <c r="A75" s="38"/>
      <c r="B75" s="76" t="s">
        <v>108</v>
      </c>
      <c r="C75" s="78"/>
      <c r="D75" s="68" t="str">
        <f t="shared" ref="D75:L75" si="119">IFERROR(+D61/C61-1,"NM")</f>
        <v>NM</v>
      </c>
      <c r="E75" s="68" t="str">
        <f t="shared" si="119"/>
        <v>NM</v>
      </c>
      <c r="F75" s="68" t="str">
        <f t="shared" si="119"/>
        <v>NM</v>
      </c>
      <c r="G75" s="68" t="str">
        <f t="shared" si="119"/>
        <v>NM</v>
      </c>
      <c r="H75" s="68" t="str">
        <f t="shared" si="119"/>
        <v>NM</v>
      </c>
      <c r="I75" s="68" t="str">
        <f t="shared" si="119"/>
        <v>NM</v>
      </c>
      <c r="J75" s="68">
        <f t="shared" si="119"/>
        <v>0.28253028571428596</v>
      </c>
      <c r="K75" s="68">
        <f t="shared" si="119"/>
        <v>0.19866716434720266</v>
      </c>
      <c r="L75" s="68">
        <f t="shared" si="119"/>
        <v>3.2258064516129004E-2</v>
      </c>
      <c r="M75" s="80"/>
      <c r="N75" s="68" t="str">
        <f t="shared" ref="N75:BA75" si="120">IFERROR(+N61/M61-1,"NM")</f>
        <v>NM</v>
      </c>
      <c r="O75" s="68" t="str">
        <f t="shared" si="120"/>
        <v>NM</v>
      </c>
      <c r="P75" s="68" t="str">
        <f t="shared" si="120"/>
        <v>NM</v>
      </c>
      <c r="Q75" s="68" t="str">
        <f t="shared" si="120"/>
        <v>NM</v>
      </c>
      <c r="R75" s="68" t="str">
        <f t="shared" si="120"/>
        <v>NM</v>
      </c>
      <c r="S75" s="68" t="str">
        <f t="shared" si="120"/>
        <v>NM</v>
      </c>
      <c r="T75" s="68" t="str">
        <f t="shared" si="120"/>
        <v>NM</v>
      </c>
      <c r="U75" s="68" t="str">
        <f t="shared" si="120"/>
        <v>NM</v>
      </c>
      <c r="V75" s="68" t="str">
        <f t="shared" si="120"/>
        <v>NM</v>
      </c>
      <c r="W75" s="68" t="str">
        <f t="shared" si="120"/>
        <v>NM</v>
      </c>
      <c r="X75" s="68" t="str">
        <f t="shared" si="120"/>
        <v>NM</v>
      </c>
      <c r="Y75" s="68" t="str">
        <f t="shared" si="120"/>
        <v>NM</v>
      </c>
      <c r="Z75" s="68" t="str">
        <f t="shared" si="120"/>
        <v>NM</v>
      </c>
      <c r="AA75" s="68" t="str">
        <f t="shared" si="120"/>
        <v>NM</v>
      </c>
      <c r="AB75" s="68" t="str">
        <f t="shared" si="120"/>
        <v>NM</v>
      </c>
      <c r="AC75" s="68" t="str">
        <f t="shared" si="120"/>
        <v>NM</v>
      </c>
      <c r="AD75" s="68" t="str">
        <f t="shared" si="120"/>
        <v>NM</v>
      </c>
      <c r="AE75" s="68" t="str">
        <f t="shared" si="120"/>
        <v>NM</v>
      </c>
      <c r="AF75" s="68" t="str">
        <f t="shared" si="120"/>
        <v>NM</v>
      </c>
      <c r="AG75" s="68" t="str">
        <f t="shared" si="120"/>
        <v>NM</v>
      </c>
      <c r="AH75" s="68" t="str">
        <f t="shared" si="120"/>
        <v>NM</v>
      </c>
      <c r="AI75" s="68" t="str">
        <f t="shared" si="120"/>
        <v>NM</v>
      </c>
      <c r="AJ75" s="68" t="str">
        <f t="shared" si="120"/>
        <v>NM</v>
      </c>
      <c r="AK75" s="68" t="str">
        <f t="shared" si="120"/>
        <v>NM</v>
      </c>
      <c r="AL75" s="68" t="str">
        <f t="shared" si="120"/>
        <v>NM</v>
      </c>
      <c r="AM75" s="68">
        <f t="shared" si="120"/>
        <v>4.6120058565153776E-2</v>
      </c>
      <c r="AN75" s="68">
        <f t="shared" si="120"/>
        <v>7.3800936642084203E-2</v>
      </c>
      <c r="AO75" s="68">
        <f t="shared" si="120"/>
        <v>9.7854421495889188E-2</v>
      </c>
      <c r="AP75" s="68">
        <f t="shared" si="120"/>
        <v>2.0000000000000018E-2</v>
      </c>
      <c r="AQ75" s="68">
        <f t="shared" si="120"/>
        <v>0.14000000000000012</v>
      </c>
      <c r="AR75" s="68">
        <f t="shared" si="120"/>
        <v>2.000000000000024E-2</v>
      </c>
      <c r="AS75" s="68">
        <f t="shared" si="120"/>
        <v>2.0000000000000018E-2</v>
      </c>
      <c r="AT75" s="68">
        <f t="shared" si="120"/>
        <v>7.3170731707317138E-2</v>
      </c>
      <c r="AU75" s="68">
        <f t="shared" si="120"/>
        <v>4.5454545454545414E-2</v>
      </c>
      <c r="AV75" s="68">
        <f t="shared" si="120"/>
        <v>4.3478260869565188E-2</v>
      </c>
      <c r="AW75" s="68">
        <f t="shared" si="120"/>
        <v>0</v>
      </c>
      <c r="AX75" s="68">
        <f t="shared" si="120"/>
        <v>0</v>
      </c>
      <c r="AY75" s="68">
        <f t="shared" si="120"/>
        <v>0</v>
      </c>
      <c r="AZ75" s="68">
        <f t="shared" si="120"/>
        <v>0</v>
      </c>
      <c r="BA75" s="68">
        <f t="shared" si="120"/>
        <v>0</v>
      </c>
      <c r="BD75" s="186">
        <f t="shared" si="56"/>
        <v>67</v>
      </c>
      <c r="BE75"/>
      <c r="BF75"/>
      <c r="BG75"/>
      <c r="BH75"/>
      <c r="BI75"/>
      <c r="BJ75"/>
    </row>
    <row r="76" spans="1:62" s="39" customFormat="1" hidden="1" outlineLevel="2">
      <c r="A76" s="38"/>
      <c r="B76" s="76" t="s">
        <v>105</v>
      </c>
      <c r="C76" s="78"/>
      <c r="D76" s="68">
        <f t="shared" ref="D76:L76" si="121">IFERROR(+D62/C62-1,"NM")</f>
        <v>-0.1903019215131746</v>
      </c>
      <c r="E76" s="68">
        <f t="shared" si="121"/>
        <v>-0.56496010989591672</v>
      </c>
      <c r="F76" s="68">
        <f t="shared" si="121"/>
        <v>3.9793538984697667</v>
      </c>
      <c r="G76" s="68">
        <f t="shared" si="121"/>
        <v>-0.26829268292682928</v>
      </c>
      <c r="H76" s="68">
        <f t="shared" si="121"/>
        <v>-0.65875555555555554</v>
      </c>
      <c r="I76" s="68">
        <f t="shared" si="121"/>
        <v>1.7735738473560794</v>
      </c>
      <c r="J76" s="68">
        <f t="shared" si="121"/>
        <v>2.7755775868141197</v>
      </c>
      <c r="K76" s="68">
        <f t="shared" si="121"/>
        <v>0.201990368807061</v>
      </c>
      <c r="L76" s="68">
        <f t="shared" si="121"/>
        <v>1.1494252873563315E-2</v>
      </c>
      <c r="M76" s="80"/>
      <c r="N76" s="68" t="str">
        <f t="shared" ref="N76:BA76" si="122">IFERROR(+N62/M62-1,"NM")</f>
        <v>NM</v>
      </c>
      <c r="O76" s="68">
        <f t="shared" si="122"/>
        <v>-0.57332702566883853</v>
      </c>
      <c r="P76" s="68">
        <f t="shared" si="122"/>
        <v>0.22444047493958452</v>
      </c>
      <c r="Q76" s="68">
        <f t="shared" si="122"/>
        <v>1.2870505449240497</v>
      </c>
      <c r="R76" s="68">
        <f t="shared" si="122"/>
        <v>-0.35642189786499578</v>
      </c>
      <c r="S76" s="68">
        <f t="shared" si="122"/>
        <v>-8.0981809701493601E-2</v>
      </c>
      <c r="T76" s="68">
        <f t="shared" si="122"/>
        <v>-4.193364207320549E-2</v>
      </c>
      <c r="U76" s="68">
        <f t="shared" si="122"/>
        <v>-0.41967951264733117</v>
      </c>
      <c r="V76" s="68">
        <f t="shared" si="122"/>
        <v>-0.57530807850297094</v>
      </c>
      <c r="W76" s="68">
        <f t="shared" si="122"/>
        <v>0.69129500268674415</v>
      </c>
      <c r="X76" s="68">
        <f t="shared" si="122"/>
        <v>0.27434471803017368</v>
      </c>
      <c r="Y76" s="68">
        <f t="shared" si="122"/>
        <v>-0.16940912490650195</v>
      </c>
      <c r="Z76" s="68">
        <f t="shared" si="122"/>
        <v>-2.3112711991601143E-2</v>
      </c>
      <c r="AA76" s="68">
        <f t="shared" si="122"/>
        <v>0.47242279920111296</v>
      </c>
      <c r="AB76" s="68">
        <f t="shared" si="122"/>
        <v>-6.5525876460769461E-2</v>
      </c>
      <c r="AC76" s="68">
        <f t="shared" si="122"/>
        <v>0.45243412237605085</v>
      </c>
      <c r="AD76" s="68">
        <f t="shared" si="122"/>
        <v>8.6638991389921927E-2</v>
      </c>
      <c r="AE76" s="68">
        <f t="shared" si="122"/>
        <v>-1</v>
      </c>
      <c r="AF76" s="68" t="str">
        <f t="shared" si="122"/>
        <v>NM</v>
      </c>
      <c r="AG76" s="68" t="str">
        <f t="shared" si="122"/>
        <v>NM</v>
      </c>
      <c r="AH76" s="68" t="str">
        <f t="shared" si="122"/>
        <v>NM</v>
      </c>
      <c r="AI76" s="68">
        <f t="shared" si="122"/>
        <v>-8.8742393509128048E-3</v>
      </c>
      <c r="AJ76" s="68">
        <f t="shared" si="122"/>
        <v>-5.7559478127398256E-2</v>
      </c>
      <c r="AK76" s="68">
        <f t="shared" si="122"/>
        <v>-4.9945711183496222E-2</v>
      </c>
      <c r="AL76" s="68">
        <f t="shared" si="122"/>
        <v>0.88771428571428546</v>
      </c>
      <c r="AM76" s="68">
        <f t="shared" si="122"/>
        <v>0.15120326925987526</v>
      </c>
      <c r="AN76" s="68">
        <f t="shared" si="122"/>
        <v>0.27491454115172309</v>
      </c>
      <c r="AO76" s="68">
        <f t="shared" si="122"/>
        <v>0.92647210477466801</v>
      </c>
      <c r="AP76" s="68">
        <f t="shared" si="122"/>
        <v>0.92106953589208729</v>
      </c>
      <c r="AQ76" s="68">
        <f t="shared" si="122"/>
        <v>8.9515848136537901E-2</v>
      </c>
      <c r="AR76" s="68">
        <f t="shared" si="122"/>
        <v>5.8423913043478048E-2</v>
      </c>
      <c r="AS76" s="68">
        <f t="shared" si="122"/>
        <v>7.3684210526316019E-2</v>
      </c>
      <c r="AT76" s="68">
        <f t="shared" si="122"/>
        <v>4.9999999999999822E-2</v>
      </c>
      <c r="AU76" s="68">
        <f t="shared" si="122"/>
        <v>4.7619047619047672E-2</v>
      </c>
      <c r="AV76" s="68">
        <f t="shared" si="122"/>
        <v>0</v>
      </c>
      <c r="AW76" s="68">
        <f t="shared" si="122"/>
        <v>0</v>
      </c>
      <c r="AX76" s="68">
        <f t="shared" si="122"/>
        <v>0</v>
      </c>
      <c r="AY76" s="68">
        <f t="shared" si="122"/>
        <v>0</v>
      </c>
      <c r="AZ76" s="68">
        <f t="shared" si="122"/>
        <v>0</v>
      </c>
      <c r="BA76" s="68">
        <f t="shared" si="122"/>
        <v>0</v>
      </c>
      <c r="BD76" s="186">
        <f t="shared" si="56"/>
        <v>68</v>
      </c>
      <c r="BE76"/>
      <c r="BF76"/>
      <c r="BG76"/>
      <c r="BH76"/>
      <c r="BI76"/>
      <c r="BJ76"/>
    </row>
    <row r="77" spans="1:62" s="34" customFormat="1" hidden="1" outlineLevel="2">
      <c r="A77" s="77"/>
      <c r="B77" s="74" t="s">
        <v>76</v>
      </c>
      <c r="C77" s="81"/>
      <c r="D77" s="67">
        <f t="shared" ref="D77:L77" si="123">IFERROR(+D63/C63-1,"NM")</f>
        <v>0.26297351103676525</v>
      </c>
      <c r="E77" s="67">
        <f t="shared" si="123"/>
        <v>-0.20588882936592701</v>
      </c>
      <c r="F77" s="67">
        <f t="shared" si="123"/>
        <v>0.35333678220382825</v>
      </c>
      <c r="G77" s="67">
        <f t="shared" si="123"/>
        <v>-0.48165137614678899</v>
      </c>
      <c r="H77" s="67">
        <f t="shared" si="123"/>
        <v>-0.59885103244837756</v>
      </c>
      <c r="I77" s="67">
        <f t="shared" si="123"/>
        <v>1.3099412086962596</v>
      </c>
      <c r="J77" s="67">
        <f t="shared" si="123"/>
        <v>0.71721542514783798</v>
      </c>
      <c r="K77" s="67">
        <f t="shared" si="123"/>
        <v>0.27727053634522658</v>
      </c>
      <c r="L77" s="67">
        <f t="shared" si="123"/>
        <v>2.6846404445166172E-2</v>
      </c>
      <c r="M77" s="37"/>
      <c r="N77" s="67" t="str">
        <f t="shared" ref="N77:BA77" si="124">IFERROR(+N63/M63-1,"NM")</f>
        <v>NM</v>
      </c>
      <c r="O77" s="67">
        <f t="shared" si="124"/>
        <v>0.10643453149224924</v>
      </c>
      <c r="P77" s="67">
        <f t="shared" si="124"/>
        <v>0.28430900816107174</v>
      </c>
      <c r="Q77" s="67">
        <f t="shared" si="124"/>
        <v>3.9967030717721341E-2</v>
      </c>
      <c r="R77" s="67">
        <f t="shared" si="124"/>
        <v>5.7188798776898198E-2</v>
      </c>
      <c r="S77" s="67">
        <f t="shared" si="124"/>
        <v>5.5458220576208195E-2</v>
      </c>
      <c r="T77" s="67">
        <f t="shared" si="124"/>
        <v>2.9903094884487391E-2</v>
      </c>
      <c r="U77" s="67">
        <f t="shared" si="124"/>
        <v>-0.16858937697457566</v>
      </c>
      <c r="V77" s="67">
        <f t="shared" si="124"/>
        <v>-7.7069511910257904E-2</v>
      </c>
      <c r="W77" s="67">
        <f t="shared" si="124"/>
        <v>-2.6539043303061671E-2</v>
      </c>
      <c r="X77" s="67">
        <f t="shared" si="124"/>
        <v>1.1830770238621557E-2</v>
      </c>
      <c r="Y77" s="67">
        <f t="shared" si="124"/>
        <v>-6.4744431472973929E-5</v>
      </c>
      <c r="Z77" s="67">
        <f t="shared" si="124"/>
        <v>2.0673021474285402E-2</v>
      </c>
      <c r="AA77" s="67">
        <f t="shared" si="124"/>
        <v>0.1923415458056128</v>
      </c>
      <c r="AB77" s="67">
        <f t="shared" si="124"/>
        <v>0.24248495328035102</v>
      </c>
      <c r="AC77" s="67">
        <f t="shared" si="124"/>
        <v>6.6102862954215302E-2</v>
      </c>
      <c r="AD77" s="67">
        <f t="shared" si="124"/>
        <v>-0.30604841948829165</v>
      </c>
      <c r="AE77" s="67">
        <f t="shared" si="124"/>
        <v>-0.39859895744780904</v>
      </c>
      <c r="AF77" s="67">
        <f t="shared" si="124"/>
        <v>-0.22734504464675087</v>
      </c>
      <c r="AG77" s="67">
        <f t="shared" si="124"/>
        <v>-1.1949849556452952E-3</v>
      </c>
      <c r="AH77" s="67">
        <f t="shared" si="124"/>
        <v>-0.40763834762275919</v>
      </c>
      <c r="AI77" s="67">
        <f t="shared" si="124"/>
        <v>-0.18421052631578949</v>
      </c>
      <c r="AJ77" s="67">
        <f t="shared" si="124"/>
        <v>3.2258064516129004E-2</v>
      </c>
      <c r="AK77" s="67">
        <f t="shared" si="124"/>
        <v>9.375E-2</v>
      </c>
      <c r="AL77" s="67">
        <f t="shared" si="124"/>
        <v>0.55642857142857149</v>
      </c>
      <c r="AM77" s="67">
        <f t="shared" si="124"/>
        <v>0.34991739329967864</v>
      </c>
      <c r="AN77" s="67">
        <f t="shared" si="124"/>
        <v>0.17268236629984313</v>
      </c>
      <c r="AO77" s="67">
        <f t="shared" si="124"/>
        <v>0.15823575625976627</v>
      </c>
      <c r="AP77" s="67">
        <f t="shared" si="124"/>
        <v>0.14878647843260118</v>
      </c>
      <c r="AQ77" s="67">
        <f t="shared" si="124"/>
        <v>0.10233323396391647</v>
      </c>
      <c r="AR77" s="67">
        <f t="shared" si="124"/>
        <v>0.13716885979918847</v>
      </c>
      <c r="AS77" s="67">
        <f t="shared" si="124"/>
        <v>7.3234427139720504E-2</v>
      </c>
      <c r="AT77" s="67">
        <f t="shared" si="124"/>
        <v>6.3510444888273065E-2</v>
      </c>
      <c r="AU77" s="67">
        <f t="shared" si="124"/>
        <v>4.206729616499616E-2</v>
      </c>
      <c r="AV77" s="67">
        <f t="shared" si="124"/>
        <v>3.3875831772546716E-2</v>
      </c>
      <c r="AW77" s="67">
        <f t="shared" si="124"/>
        <v>0</v>
      </c>
      <c r="AX77" s="67">
        <f t="shared" si="124"/>
        <v>0</v>
      </c>
      <c r="AY77" s="67">
        <f t="shared" si="124"/>
        <v>0</v>
      </c>
      <c r="AZ77" s="67">
        <f t="shared" si="124"/>
        <v>0</v>
      </c>
      <c r="BA77" s="67">
        <f t="shared" si="124"/>
        <v>0</v>
      </c>
      <c r="BD77" s="186">
        <f t="shared" si="56"/>
        <v>69</v>
      </c>
      <c r="BE77"/>
      <c r="BF77"/>
      <c r="BG77"/>
      <c r="BH77"/>
      <c r="BI77"/>
      <c r="BJ77"/>
    </row>
    <row r="78" spans="1:62" s="39" customFormat="1" hidden="1" outlineLevel="2">
      <c r="A78" s="38"/>
      <c r="B78" s="46" t="s">
        <v>47</v>
      </c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80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D78" s="186">
        <f t="shared" si="56"/>
        <v>70</v>
      </c>
      <c r="BE78"/>
      <c r="BF78"/>
      <c r="BG78"/>
      <c r="BH78"/>
      <c r="BI78"/>
      <c r="BJ78"/>
    </row>
    <row r="79" spans="1:62" s="39" customFormat="1" hidden="1" outlineLevel="2">
      <c r="A79" s="38"/>
      <c r="B79" s="76" t="s">
        <v>106</v>
      </c>
      <c r="C79" s="78"/>
      <c r="D79" s="68">
        <f t="shared" ref="D79:L79" si="125">IFERROR(+D65/C65-1,"NM")</f>
        <v>0.16878531894535898</v>
      </c>
      <c r="E79" s="68">
        <f t="shared" si="125"/>
        <v>1.6091254859833315E-2</v>
      </c>
      <c r="F79" s="68">
        <f t="shared" si="125"/>
        <v>-5.7451829618942574E-2</v>
      </c>
      <c r="G79" s="68">
        <f t="shared" si="125"/>
        <v>-0.41722972972972971</v>
      </c>
      <c r="H79" s="68">
        <f t="shared" si="125"/>
        <v>-0.42897681159420298</v>
      </c>
      <c r="I79" s="68">
        <f t="shared" si="125"/>
        <v>0.1107394303640048</v>
      </c>
      <c r="J79" s="68">
        <f t="shared" si="125"/>
        <v>1.3549714990343409E-2</v>
      </c>
      <c r="K79" s="68">
        <f t="shared" si="125"/>
        <v>0.15782205045476627</v>
      </c>
      <c r="L79" s="68">
        <f t="shared" si="125"/>
        <v>9.6094478711854725E-2</v>
      </c>
      <c r="M79" s="80"/>
      <c r="N79" s="68" t="str">
        <f t="shared" ref="N79:BA79" si="126">IFERROR(+N65/M65-1,"NM")</f>
        <v>NM</v>
      </c>
      <c r="O79" s="68">
        <f t="shared" si="126"/>
        <v>-0.1470848877199481</v>
      </c>
      <c r="P79" s="68">
        <f t="shared" si="126"/>
        <v>0.27293651246147865</v>
      </c>
      <c r="Q79" s="68">
        <f t="shared" si="126"/>
        <v>3.4370095672725087E-2</v>
      </c>
      <c r="R79" s="68">
        <f t="shared" si="126"/>
        <v>9.5979976020286406E-2</v>
      </c>
      <c r="S79" s="68">
        <f t="shared" si="126"/>
        <v>-9.4417755043273432E-2</v>
      </c>
      <c r="T79" s="68">
        <f t="shared" si="126"/>
        <v>8.0892779950405114E-2</v>
      </c>
      <c r="U79" s="68">
        <f t="shared" si="126"/>
        <v>-6.4294100553512479E-3</v>
      </c>
      <c r="V79" s="68">
        <f t="shared" si="126"/>
        <v>4.6522213977776117E-2</v>
      </c>
      <c r="W79" s="68">
        <f t="shared" si="126"/>
        <v>-7.0038725109107691E-2</v>
      </c>
      <c r="X79" s="68">
        <f t="shared" si="126"/>
        <v>7.3099447626500558E-2</v>
      </c>
      <c r="Y79" s="68">
        <f t="shared" si="126"/>
        <v>-7.5468181629249287E-2</v>
      </c>
      <c r="Z79" s="68">
        <f t="shared" si="126"/>
        <v>4.105271475666461E-2</v>
      </c>
      <c r="AA79" s="68">
        <f t="shared" si="126"/>
        <v>-9.6344440794119635E-2</v>
      </c>
      <c r="AB79" s="68">
        <f t="shared" si="126"/>
        <v>4.1239182038963929E-2</v>
      </c>
      <c r="AC79" s="68">
        <f t="shared" si="126"/>
        <v>-8.995260462704624E-2</v>
      </c>
      <c r="AD79" s="68">
        <f t="shared" si="126"/>
        <v>-0.26438947378449029</v>
      </c>
      <c r="AE79" s="68">
        <f t="shared" si="126"/>
        <v>-0.22637358566642529</v>
      </c>
      <c r="AF79" s="68">
        <f t="shared" si="126"/>
        <v>2.3406106044352448E-2</v>
      </c>
      <c r="AG79" s="68">
        <f t="shared" si="126"/>
        <v>-9.3195608745061498E-2</v>
      </c>
      <c r="AH79" s="68">
        <f t="shared" si="126"/>
        <v>-0.25844557116669953</v>
      </c>
      <c r="AI79" s="68">
        <f t="shared" si="126"/>
        <v>-0.14695190422717486</v>
      </c>
      <c r="AJ79" s="68">
        <f t="shared" si="126"/>
        <v>9.5203034359661043E-2</v>
      </c>
      <c r="AK79" s="68">
        <f t="shared" si="126"/>
        <v>3.8971621814329671E-2</v>
      </c>
      <c r="AL79" s="68">
        <f t="shared" si="126"/>
        <v>8.9117647058823524E-2</v>
      </c>
      <c r="AM79" s="68">
        <f t="shared" si="126"/>
        <v>-2.7419209649833576E-2</v>
      </c>
      <c r="AN79" s="68">
        <f t="shared" si="126"/>
        <v>7.7301839991114729E-2</v>
      </c>
      <c r="AO79" s="68">
        <f t="shared" si="126"/>
        <v>-0.12275335922196662</v>
      </c>
      <c r="AP79" s="68">
        <f t="shared" si="126"/>
        <v>4.2795031055900434E-2</v>
      </c>
      <c r="AQ79" s="68">
        <f t="shared" si="126"/>
        <v>4.2638036809815816E-2</v>
      </c>
      <c r="AR79" s="68">
        <f t="shared" si="126"/>
        <v>1.2121212121211977E-2</v>
      </c>
      <c r="AS79" s="68">
        <f t="shared" si="126"/>
        <v>1.1976047904191711E-2</v>
      </c>
      <c r="AT79" s="68">
        <f t="shared" si="126"/>
        <v>2.1952662721893557E-2</v>
      </c>
      <c r="AU79" s="68">
        <f t="shared" si="126"/>
        <v>6.9064327485380161E-2</v>
      </c>
      <c r="AV79" s="68">
        <f t="shared" si="126"/>
        <v>6.5801104972375679E-2</v>
      </c>
      <c r="AW79" s="68">
        <f t="shared" si="126"/>
        <v>6.2879581151832342E-2</v>
      </c>
      <c r="AX79" s="68">
        <f t="shared" si="126"/>
        <v>0</v>
      </c>
      <c r="AY79" s="68">
        <f t="shared" si="126"/>
        <v>0</v>
      </c>
      <c r="AZ79" s="68">
        <f t="shared" si="126"/>
        <v>0</v>
      </c>
      <c r="BA79" s="68">
        <f t="shared" si="126"/>
        <v>0</v>
      </c>
      <c r="BD79" s="186">
        <f t="shared" si="56"/>
        <v>71</v>
      </c>
      <c r="BE79"/>
      <c r="BF79"/>
      <c r="BG79"/>
      <c r="BH79"/>
      <c r="BI79"/>
      <c r="BJ79"/>
    </row>
    <row r="80" spans="1:62" s="39" customFormat="1" hidden="1" outlineLevel="2">
      <c r="A80" s="38"/>
      <c r="B80" s="76" t="s">
        <v>107</v>
      </c>
      <c r="C80" s="78"/>
      <c r="D80" s="68">
        <f t="shared" ref="D80:L80" si="127">IFERROR(+D66/C66-1,"NM")</f>
        <v>0.19362287322883276</v>
      </c>
      <c r="E80" s="68">
        <f t="shared" si="127"/>
        <v>6.3224903969196777E-2</v>
      </c>
      <c r="F80" s="68">
        <f t="shared" si="127"/>
        <v>-0.12270654418404947</v>
      </c>
      <c r="G80" s="68">
        <f t="shared" si="127"/>
        <v>-0.35014005602240894</v>
      </c>
      <c r="H80" s="68">
        <f t="shared" si="127"/>
        <v>-0.42893965517241384</v>
      </c>
      <c r="I80" s="68">
        <f t="shared" si="127"/>
        <v>-7.1984964449073763E-2</v>
      </c>
      <c r="J80" s="68">
        <f t="shared" si="127"/>
        <v>7.7831784173962193E-2</v>
      </c>
      <c r="K80" s="68">
        <f t="shared" si="127"/>
        <v>9.0717179858743835E-2</v>
      </c>
      <c r="L80" s="68">
        <f t="shared" si="127"/>
        <v>7.7192722898296928E-2</v>
      </c>
      <c r="M80" s="80"/>
      <c r="N80" s="68" t="str">
        <f t="shared" ref="N80:BA80" si="128">IFERROR(+N66/M66-1,"NM")</f>
        <v>NM</v>
      </c>
      <c r="O80" s="68">
        <f t="shared" si="128"/>
        <v>0.152836263140258</v>
      </c>
      <c r="P80" s="68">
        <f t="shared" si="128"/>
        <v>0.16531306130418311</v>
      </c>
      <c r="Q80" s="68">
        <f t="shared" si="128"/>
        <v>7.6284147548611791E-2</v>
      </c>
      <c r="R80" s="68">
        <f t="shared" si="128"/>
        <v>3.3928123870865301E-2</v>
      </c>
      <c r="S80" s="68">
        <f t="shared" si="128"/>
        <v>-1.8012496707255576E-2</v>
      </c>
      <c r="T80" s="68">
        <f t="shared" si="128"/>
        <v>2.8418317809500993E-2</v>
      </c>
      <c r="U80" s="68">
        <f t="shared" si="128"/>
        <v>-5.524468940769045E-2</v>
      </c>
      <c r="V80" s="68">
        <f t="shared" si="128"/>
        <v>-4.4165920949628457E-2</v>
      </c>
      <c r="W80" s="68">
        <f t="shared" si="128"/>
        <v>5.0370059853296567E-2</v>
      </c>
      <c r="X80" s="68">
        <f t="shared" si="128"/>
        <v>-9.5625755286773195E-2</v>
      </c>
      <c r="Y80" s="68">
        <f t="shared" si="128"/>
        <v>0.68452749533897284</v>
      </c>
      <c r="Z80" s="68">
        <f t="shared" si="128"/>
        <v>-0.16120347347172292</v>
      </c>
      <c r="AA80" s="68">
        <f t="shared" si="128"/>
        <v>-1.6233415759558056E-2</v>
      </c>
      <c r="AB80" s="68">
        <f t="shared" si="128"/>
        <v>-3.7274552169442976E-2</v>
      </c>
      <c r="AC80" s="68">
        <f t="shared" si="128"/>
        <v>-5.9632421436740857E-2</v>
      </c>
      <c r="AD80" s="68">
        <f t="shared" si="128"/>
        <v>-0.36510731032528854</v>
      </c>
      <c r="AE80" s="68">
        <f t="shared" si="128"/>
        <v>-0.12547169811320757</v>
      </c>
      <c r="AF80" s="68">
        <f t="shared" si="128"/>
        <v>-6.9460057911769679E-2</v>
      </c>
      <c r="AG80" s="68">
        <f t="shared" si="128"/>
        <v>-0.12673707717088889</v>
      </c>
      <c r="AH80" s="68">
        <f t="shared" si="128"/>
        <v>-0.26048197266292317</v>
      </c>
      <c r="AI80" s="68">
        <f t="shared" si="128"/>
        <v>-1.3094866925540516E-2</v>
      </c>
      <c r="AJ80" s="68">
        <f t="shared" si="128"/>
        <v>-4.589448289726894E-2</v>
      </c>
      <c r="AK80" s="68">
        <f t="shared" si="128"/>
        <v>-0.1270581860871135</v>
      </c>
      <c r="AL80" s="68">
        <f t="shared" si="128"/>
        <v>3.2206896551724151E-2</v>
      </c>
      <c r="AM80" s="68">
        <f t="shared" si="128"/>
        <v>7.3728870181064998E-2</v>
      </c>
      <c r="AN80" s="68">
        <f t="shared" si="128"/>
        <v>-5.6252139012476277E-2</v>
      </c>
      <c r="AO80" s="68">
        <f t="shared" si="128"/>
        <v>6.857218211189231E-3</v>
      </c>
      <c r="AP80" s="68">
        <f t="shared" si="128"/>
        <v>4.2300955414012797E-2</v>
      </c>
      <c r="AQ80" s="68">
        <f t="shared" si="128"/>
        <v>4.2155782848151135E-2</v>
      </c>
      <c r="AR80" s="68">
        <f t="shared" si="128"/>
        <v>1.1664074650077572E-2</v>
      </c>
      <c r="AS80" s="68">
        <f t="shared" si="128"/>
        <v>1.1529592621060791E-2</v>
      </c>
      <c r="AT80" s="68">
        <f t="shared" si="128"/>
        <v>2.5349544072948316E-2</v>
      </c>
      <c r="AU80" s="68">
        <f t="shared" si="128"/>
        <v>2.5119760479042075E-2</v>
      </c>
      <c r="AV80" s="68">
        <f t="shared" si="128"/>
        <v>2.4896755162241657E-2</v>
      </c>
      <c r="AW80" s="68">
        <f t="shared" si="128"/>
        <v>2.4680232558139892E-2</v>
      </c>
      <c r="AX80" s="68">
        <f t="shared" si="128"/>
        <v>3.868194842406858E-2</v>
      </c>
      <c r="AY80" s="68">
        <f t="shared" si="128"/>
        <v>0</v>
      </c>
      <c r="AZ80" s="68">
        <f t="shared" si="128"/>
        <v>0</v>
      </c>
      <c r="BA80" s="68">
        <f t="shared" si="128"/>
        <v>0</v>
      </c>
      <c r="BD80" s="186">
        <f t="shared" si="56"/>
        <v>72</v>
      </c>
      <c r="BE80"/>
      <c r="BF80"/>
      <c r="BG80"/>
      <c r="BH80"/>
      <c r="BI80"/>
      <c r="BJ80"/>
    </row>
    <row r="81" spans="1:62" s="39" customFormat="1" hidden="1" outlineLevel="2">
      <c r="A81" s="38"/>
      <c r="B81" s="76" t="s">
        <v>108</v>
      </c>
      <c r="C81" s="78"/>
      <c r="D81" s="68">
        <f t="shared" ref="D81:L81" si="129">IFERROR(+D67/C67-1,"NM")</f>
        <v>0.75784190715181921</v>
      </c>
      <c r="E81" s="68">
        <f t="shared" si="129"/>
        <v>2.855103497501732E-3</v>
      </c>
      <c r="F81" s="68">
        <f t="shared" si="129"/>
        <v>0.49466192170818513</v>
      </c>
      <c r="G81" s="68">
        <f t="shared" si="129"/>
        <v>-0.39523809523809528</v>
      </c>
      <c r="H81" s="68">
        <f t="shared" si="129"/>
        <v>-0.56040157480314967</v>
      </c>
      <c r="I81" s="68">
        <f t="shared" si="129"/>
        <v>-1</v>
      </c>
      <c r="J81" s="68" t="str">
        <f t="shared" si="129"/>
        <v>NM</v>
      </c>
      <c r="K81" s="68" t="str">
        <f t="shared" si="129"/>
        <v>NM</v>
      </c>
      <c r="L81" s="68" t="str">
        <f t="shared" si="129"/>
        <v>NM</v>
      </c>
      <c r="M81" s="80"/>
      <c r="N81" s="68" t="str">
        <f t="shared" ref="N81:BA81" si="130">IFERROR(+N67/M67-1,"NM")</f>
        <v>NM</v>
      </c>
      <c r="O81" s="68" t="str">
        <f t="shared" si="130"/>
        <v>NM</v>
      </c>
      <c r="P81" s="68">
        <f t="shared" si="130"/>
        <v>0.15837104072398178</v>
      </c>
      <c r="Q81" s="68">
        <f t="shared" si="130"/>
        <v>0.25</v>
      </c>
      <c r="R81" s="68">
        <f t="shared" si="130"/>
        <v>0.109375</v>
      </c>
      <c r="S81" s="68">
        <f t="shared" si="130"/>
        <v>-0.12394366197183093</v>
      </c>
      <c r="T81" s="68">
        <f t="shared" si="130"/>
        <v>0.12861736334405149</v>
      </c>
      <c r="U81" s="68">
        <f t="shared" si="130"/>
        <v>9.4017094017093905E-2</v>
      </c>
      <c r="V81" s="68">
        <f t="shared" si="130"/>
        <v>-5.208333333333337E-2</v>
      </c>
      <c r="W81" s="68">
        <f t="shared" si="130"/>
        <v>-0.1071428571428571</v>
      </c>
      <c r="X81" s="68">
        <f t="shared" si="130"/>
        <v>5.2307692307692388E-2</v>
      </c>
      <c r="Y81" s="68">
        <f t="shared" si="130"/>
        <v>9.3567251461988077E-2</v>
      </c>
      <c r="Z81" s="68">
        <f t="shared" si="130"/>
        <v>6.9518716577540163E-2</v>
      </c>
      <c r="AA81" s="68">
        <f t="shared" si="130"/>
        <v>7.7500000000000124E-2</v>
      </c>
      <c r="AB81" s="68">
        <f t="shared" si="130"/>
        <v>3.7122969837587005E-2</v>
      </c>
      <c r="AC81" s="68">
        <f t="shared" si="130"/>
        <v>8.7248322147650992E-2</v>
      </c>
      <c r="AD81" s="68">
        <f t="shared" si="130"/>
        <v>-0.17000000000000004</v>
      </c>
      <c r="AE81" s="68">
        <f t="shared" si="130"/>
        <v>-0.55291040706033978</v>
      </c>
      <c r="AF81" s="68">
        <f t="shared" si="130"/>
        <v>4.6026271576433686E-3</v>
      </c>
      <c r="AG81" s="68">
        <f t="shared" si="130"/>
        <v>-5.3998389531301094E-2</v>
      </c>
      <c r="AH81" s="68">
        <f t="shared" si="130"/>
        <v>0.11450939298854523</v>
      </c>
      <c r="AI81" s="68">
        <f t="shared" si="130"/>
        <v>-0.4161867867239033</v>
      </c>
      <c r="AJ81" s="68">
        <f t="shared" si="130"/>
        <v>0.11764705882352944</v>
      </c>
      <c r="AK81" s="68">
        <f t="shared" si="130"/>
        <v>4.3003851091142353E-2</v>
      </c>
      <c r="AL81" s="68">
        <f t="shared" si="130"/>
        <v>-1</v>
      </c>
      <c r="AM81" s="68" t="str">
        <f t="shared" si="130"/>
        <v>NM</v>
      </c>
      <c r="AN81" s="68" t="str">
        <f t="shared" si="130"/>
        <v>NM</v>
      </c>
      <c r="AO81" s="68" t="str">
        <f t="shared" si="130"/>
        <v>NM</v>
      </c>
      <c r="AP81" s="68" t="str">
        <f t="shared" si="130"/>
        <v>NM</v>
      </c>
      <c r="AQ81" s="68" t="str">
        <f t="shared" si="130"/>
        <v>NM</v>
      </c>
      <c r="AR81" s="68" t="str">
        <f t="shared" si="130"/>
        <v>NM</v>
      </c>
      <c r="AS81" s="68" t="str">
        <f t="shared" si="130"/>
        <v>NM</v>
      </c>
      <c r="AT81" s="68" t="str">
        <f t="shared" si="130"/>
        <v>NM</v>
      </c>
      <c r="AU81" s="68" t="str">
        <f t="shared" si="130"/>
        <v>NM</v>
      </c>
      <c r="AV81" s="68" t="str">
        <f t="shared" si="130"/>
        <v>NM</v>
      </c>
      <c r="AW81" s="68" t="str">
        <f t="shared" si="130"/>
        <v>NM</v>
      </c>
      <c r="AX81" s="68" t="str">
        <f t="shared" si="130"/>
        <v>NM</v>
      </c>
      <c r="AY81" s="68" t="str">
        <f t="shared" si="130"/>
        <v>NM</v>
      </c>
      <c r="AZ81" s="68" t="str">
        <f t="shared" si="130"/>
        <v>NM</v>
      </c>
      <c r="BA81" s="68" t="str">
        <f t="shared" si="130"/>
        <v>NM</v>
      </c>
      <c r="BD81" s="186">
        <f t="shared" si="56"/>
        <v>73</v>
      </c>
      <c r="BE81"/>
      <c r="BF81"/>
      <c r="BG81"/>
      <c r="BH81"/>
      <c r="BI81"/>
      <c r="BJ81"/>
    </row>
    <row r="82" spans="1:62" s="39" customFormat="1" hidden="1" outlineLevel="2">
      <c r="A82" s="38"/>
      <c r="B82" s="76" t="s">
        <v>109</v>
      </c>
      <c r="C82" s="78"/>
      <c r="D82" s="68" t="str">
        <f t="shared" ref="D82:L82" si="131">IFERROR(+D68/C68-1,"NM")</f>
        <v>NM</v>
      </c>
      <c r="E82" s="68" t="str">
        <f t="shared" si="131"/>
        <v>NM</v>
      </c>
      <c r="F82" s="68" t="str">
        <f t="shared" si="131"/>
        <v>NM</v>
      </c>
      <c r="G82" s="68">
        <f t="shared" si="131"/>
        <v>-0.36470588235294121</v>
      </c>
      <c r="H82" s="68">
        <f t="shared" si="131"/>
        <v>-0.36520370370370359</v>
      </c>
      <c r="I82" s="68">
        <f t="shared" si="131"/>
        <v>0.18031447825199165</v>
      </c>
      <c r="J82" s="68">
        <f t="shared" si="131"/>
        <v>0.14103636025726063</v>
      </c>
      <c r="K82" s="68">
        <f t="shared" si="131"/>
        <v>0.13272306948846935</v>
      </c>
      <c r="L82" s="68">
        <f t="shared" si="131"/>
        <v>8.9286901082162196E-2</v>
      </c>
      <c r="M82" s="80"/>
      <c r="N82" s="68" t="str">
        <f t="shared" ref="N82:BA82" si="132">IFERROR(+N68/M68-1,"NM")</f>
        <v>NM</v>
      </c>
      <c r="O82" s="68" t="str">
        <f t="shared" si="132"/>
        <v>NM</v>
      </c>
      <c r="P82" s="68" t="str">
        <f t="shared" si="132"/>
        <v>NM</v>
      </c>
      <c r="Q82" s="68" t="str">
        <f t="shared" si="132"/>
        <v>NM</v>
      </c>
      <c r="R82" s="68" t="str">
        <f t="shared" si="132"/>
        <v>NM</v>
      </c>
      <c r="S82" s="68" t="str">
        <f t="shared" si="132"/>
        <v>NM</v>
      </c>
      <c r="T82" s="68" t="str">
        <f t="shared" si="132"/>
        <v>NM</v>
      </c>
      <c r="U82" s="68" t="str">
        <f t="shared" si="132"/>
        <v>NM</v>
      </c>
      <c r="V82" s="68" t="str">
        <f t="shared" si="132"/>
        <v>NM</v>
      </c>
      <c r="W82" s="68" t="str">
        <f t="shared" si="132"/>
        <v>NM</v>
      </c>
      <c r="X82" s="68" t="str">
        <f t="shared" si="132"/>
        <v>NM</v>
      </c>
      <c r="Y82" s="68" t="str">
        <f t="shared" si="132"/>
        <v>NM</v>
      </c>
      <c r="Z82" s="68" t="str">
        <f t="shared" si="132"/>
        <v>NM</v>
      </c>
      <c r="AA82" s="68" t="str">
        <f t="shared" si="132"/>
        <v>NM</v>
      </c>
      <c r="AB82" s="68" t="str">
        <f t="shared" si="132"/>
        <v>NM</v>
      </c>
      <c r="AC82" s="68" t="str">
        <f t="shared" si="132"/>
        <v>NM</v>
      </c>
      <c r="AD82" s="68" t="str">
        <f t="shared" si="132"/>
        <v>NM</v>
      </c>
      <c r="AE82" s="68" t="str">
        <f t="shared" si="132"/>
        <v>NM</v>
      </c>
      <c r="AF82" s="68" t="str">
        <f t="shared" si="132"/>
        <v>NM</v>
      </c>
      <c r="AG82" s="68" t="str">
        <f t="shared" si="132"/>
        <v>NM</v>
      </c>
      <c r="AH82" s="68" t="str">
        <f t="shared" si="132"/>
        <v>NM</v>
      </c>
      <c r="AI82" s="68">
        <f t="shared" si="132"/>
        <v>-0.11358159912376786</v>
      </c>
      <c r="AJ82" s="68">
        <f t="shared" si="132"/>
        <v>-1.1614975905103186E-2</v>
      </c>
      <c r="AK82" s="68">
        <f t="shared" si="132"/>
        <v>0.12514064258032254</v>
      </c>
      <c r="AL82" s="68">
        <f t="shared" si="132"/>
        <v>0.20166666666666799</v>
      </c>
      <c r="AM82" s="68">
        <f t="shared" si="132"/>
        <v>-9.0799815071660905E-2</v>
      </c>
      <c r="AN82" s="68">
        <f t="shared" si="132"/>
        <v>-6.6409030814604475E-2</v>
      </c>
      <c r="AO82" s="68">
        <f t="shared" si="132"/>
        <v>0.15816993464052587</v>
      </c>
      <c r="AP82" s="68">
        <f t="shared" si="132"/>
        <v>4.2610098594611401E-2</v>
      </c>
      <c r="AQ82" s="68">
        <f t="shared" si="132"/>
        <v>4.2457582724315879E-2</v>
      </c>
      <c r="AR82" s="68">
        <f t="shared" si="132"/>
        <v>1.1950205870017161E-2</v>
      </c>
      <c r="AS82" s="68">
        <f t="shared" si="132"/>
        <v>1.1809084874628839E-2</v>
      </c>
      <c r="AT82" s="68">
        <f t="shared" si="132"/>
        <v>2.322265987030403E-2</v>
      </c>
      <c r="AU82" s="68">
        <f t="shared" si="132"/>
        <v>5.2600555183207387E-2</v>
      </c>
      <c r="AV82" s="68">
        <f t="shared" si="132"/>
        <v>5.0876437432194166E-2</v>
      </c>
      <c r="AW82" s="68">
        <f t="shared" si="132"/>
        <v>4.928644732714349E-2</v>
      </c>
      <c r="AX82" s="68">
        <f t="shared" si="132"/>
        <v>1.3442073684607703E-2</v>
      </c>
      <c r="AY82" s="68">
        <f t="shared" si="132"/>
        <v>0</v>
      </c>
      <c r="AZ82" s="68">
        <f t="shared" si="132"/>
        <v>0</v>
      </c>
      <c r="BA82" s="68">
        <f t="shared" si="132"/>
        <v>0</v>
      </c>
      <c r="BD82" s="186">
        <f t="shared" si="56"/>
        <v>74</v>
      </c>
      <c r="BE82"/>
      <c r="BF82"/>
      <c r="BG82"/>
      <c r="BH82"/>
      <c r="BI82"/>
      <c r="BJ82"/>
    </row>
    <row r="83" spans="1:62" s="34" customFormat="1" hidden="1" outlineLevel="2">
      <c r="A83" s="77"/>
      <c r="B83" s="74" t="s">
        <v>86</v>
      </c>
      <c r="C83" s="61"/>
      <c r="D83" s="67">
        <f t="shared" ref="D83:L83" si="133">IFERROR(+D69/C69-1,"NM")</f>
        <v>0.22787988231014755</v>
      </c>
      <c r="E83" s="67">
        <f t="shared" si="133"/>
        <v>5.3486804683371192E-2</v>
      </c>
      <c r="F83" s="67">
        <f t="shared" si="133"/>
        <v>3.4941763727121433E-2</v>
      </c>
      <c r="G83" s="67">
        <f t="shared" si="133"/>
        <v>-0.39067524115755625</v>
      </c>
      <c r="H83" s="67">
        <f t="shared" si="133"/>
        <v>-0.44644195250659635</v>
      </c>
      <c r="I83" s="67">
        <f t="shared" si="133"/>
        <v>-8.9059264008083727E-2</v>
      </c>
      <c r="J83" s="67">
        <f t="shared" si="133"/>
        <v>4.7721794983321963E-2</v>
      </c>
      <c r="K83" s="67">
        <f t="shared" si="133"/>
        <v>0.13272306948846935</v>
      </c>
      <c r="L83" s="67">
        <f t="shared" si="133"/>
        <v>8.9286901082162196E-2</v>
      </c>
      <c r="N83" s="67" t="str">
        <f t="shared" ref="N83:BA83" si="134">IFERROR(+N69/M69-1,"NM")</f>
        <v>NM</v>
      </c>
      <c r="O83" s="67">
        <f t="shared" si="134"/>
        <v>6.5938121501650349E-2</v>
      </c>
      <c r="P83" s="67">
        <f t="shared" si="134"/>
        <v>0.22205178018426963</v>
      </c>
      <c r="Q83" s="67">
        <f t="shared" si="134"/>
        <v>7.0467038912695346E-2</v>
      </c>
      <c r="R83" s="67">
        <f t="shared" si="134"/>
        <v>7.6157638003095274E-2</v>
      </c>
      <c r="S83" s="67">
        <f t="shared" si="134"/>
        <v>-7.2684358123917603E-2</v>
      </c>
      <c r="T83" s="67">
        <f t="shared" si="134"/>
        <v>6.7949756888168622E-2</v>
      </c>
      <c r="U83" s="67">
        <f t="shared" si="134"/>
        <v>-1.0761329576065681E-2</v>
      </c>
      <c r="V83" s="67">
        <f t="shared" si="134"/>
        <v>4.058478349552086E-3</v>
      </c>
      <c r="W83" s="67">
        <f t="shared" si="134"/>
        <v>-3.7743383882404946E-2</v>
      </c>
      <c r="X83" s="67">
        <f t="shared" si="134"/>
        <v>1.4088674928365963E-2</v>
      </c>
      <c r="Y83" s="67">
        <f t="shared" si="134"/>
        <v>0.17235575041102291</v>
      </c>
      <c r="Z83" s="67">
        <f t="shared" si="134"/>
        <v>-4.2614869520609222E-2</v>
      </c>
      <c r="AA83" s="67">
        <f t="shared" si="134"/>
        <v>-4.4140773620798934E-2</v>
      </c>
      <c r="AB83" s="67">
        <f t="shared" si="134"/>
        <v>1.0232919151646147E-2</v>
      </c>
      <c r="AC83" s="67">
        <f t="shared" si="134"/>
        <v>-5.2750990763815619E-2</v>
      </c>
      <c r="AD83" s="67">
        <f t="shared" si="134"/>
        <v>-0.28540369840910118</v>
      </c>
      <c r="AE83" s="67">
        <f t="shared" si="134"/>
        <v>-0.25740771800250595</v>
      </c>
      <c r="AF83" s="67">
        <f t="shared" si="134"/>
        <v>-1.4422700075771622E-2</v>
      </c>
      <c r="AG83" s="67">
        <f t="shared" si="134"/>
        <v>-0.10063359932133298</v>
      </c>
      <c r="AH83" s="67">
        <f t="shared" si="134"/>
        <v>-0.14517317612380243</v>
      </c>
      <c r="AI83" s="67">
        <f t="shared" si="134"/>
        <v>-0.14655172413793105</v>
      </c>
      <c r="AJ83" s="67">
        <f t="shared" si="134"/>
        <v>4.0404040404040442E-2</v>
      </c>
      <c r="AK83" s="67">
        <f t="shared" si="134"/>
        <v>-9.7087378640776656E-3</v>
      </c>
      <c r="AL83" s="67">
        <f t="shared" si="134"/>
        <v>-5.5941176470588161E-2</v>
      </c>
      <c r="AM83" s="67">
        <f t="shared" si="134"/>
        <v>-3.0946891810498256E-3</v>
      </c>
      <c r="AN83" s="67">
        <f t="shared" si="134"/>
        <v>1.7865327721988455E-2</v>
      </c>
      <c r="AO83" s="67">
        <f t="shared" si="134"/>
        <v>-5.6124694251414864E-2</v>
      </c>
      <c r="AP83" s="67">
        <f t="shared" si="134"/>
        <v>4.2610098594611401E-2</v>
      </c>
      <c r="AQ83" s="67">
        <f t="shared" si="134"/>
        <v>4.2457582724315879E-2</v>
      </c>
      <c r="AR83" s="67">
        <f t="shared" si="134"/>
        <v>1.1950205870017161E-2</v>
      </c>
      <c r="AS83" s="67">
        <f t="shared" si="134"/>
        <v>1.1809084874629061E-2</v>
      </c>
      <c r="AT83" s="67">
        <f t="shared" si="134"/>
        <v>2.3222659870303808E-2</v>
      </c>
      <c r="AU83" s="67">
        <f t="shared" si="134"/>
        <v>5.2600555183207609E-2</v>
      </c>
      <c r="AV83" s="67">
        <f t="shared" si="134"/>
        <v>5.0876437432194166E-2</v>
      </c>
      <c r="AW83" s="67">
        <f t="shared" si="134"/>
        <v>4.928644732714349E-2</v>
      </c>
      <c r="AX83" s="67">
        <f t="shared" si="134"/>
        <v>1.3442073684607703E-2</v>
      </c>
      <c r="AY83" s="67">
        <f t="shared" si="134"/>
        <v>0</v>
      </c>
      <c r="AZ83" s="67">
        <f t="shared" si="134"/>
        <v>0</v>
      </c>
      <c r="BA83" s="67">
        <f t="shared" si="134"/>
        <v>0</v>
      </c>
      <c r="BD83" s="186">
        <f t="shared" si="56"/>
        <v>75</v>
      </c>
      <c r="BE83"/>
      <c r="BF83"/>
      <c r="BG83"/>
      <c r="BH83"/>
      <c r="BI83"/>
      <c r="BJ83"/>
    </row>
    <row r="84" spans="1:62" hidden="1" outlineLevel="2">
      <c r="B84" s="44"/>
      <c r="C84" s="61"/>
      <c r="D84" s="61"/>
      <c r="E84" s="61"/>
      <c r="F84" s="61"/>
      <c r="G84" s="61"/>
      <c r="H84" s="61"/>
      <c r="I84" s="61"/>
      <c r="J84" s="61"/>
      <c r="K84" s="61"/>
      <c r="L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D84" s="186">
        <f t="shared" si="56"/>
        <v>76</v>
      </c>
    </row>
    <row r="85" spans="1:62" outlineLevel="1" collapsed="1">
      <c r="A85" s="38" t="s">
        <v>71</v>
      </c>
      <c r="B85" s="74" t="s">
        <v>301</v>
      </c>
      <c r="C85" s="61"/>
      <c r="D85" s="61"/>
      <c r="E85" s="61"/>
      <c r="F85" s="61"/>
      <c r="G85" s="61"/>
      <c r="H85" s="61"/>
      <c r="I85" s="61"/>
      <c r="J85" s="61"/>
      <c r="K85" s="61"/>
      <c r="L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D85" s="186">
        <f t="shared" si="56"/>
        <v>77</v>
      </c>
    </row>
    <row r="86" spans="1:62" hidden="1" outlineLevel="2">
      <c r="B86" s="104" t="s">
        <v>103</v>
      </c>
      <c r="C86" s="61"/>
      <c r="D86" s="61"/>
      <c r="E86" s="61"/>
      <c r="F86" s="61"/>
      <c r="G86" s="61"/>
      <c r="H86" s="61"/>
      <c r="I86" s="61"/>
      <c r="J86" s="61"/>
      <c r="K86" s="61"/>
      <c r="L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S86" s="61"/>
      <c r="AT86" s="61"/>
      <c r="AU86" s="61"/>
      <c r="AV86" s="61"/>
      <c r="AW86" s="61"/>
      <c r="AX86" s="61"/>
      <c r="AY86" s="61"/>
      <c r="AZ86" s="61"/>
      <c r="BA86" s="61"/>
      <c r="BD86" s="186">
        <f t="shared" si="56"/>
        <v>78</v>
      </c>
    </row>
    <row r="87" spans="1:62" hidden="1" outlineLevel="3">
      <c r="B87" s="44" t="s">
        <v>292</v>
      </c>
      <c r="C87" s="94">
        <f t="shared" ref="C87:L87" si="135">ROUNDDOWN(C94/40,0)</f>
        <v>16</v>
      </c>
      <c r="D87" s="94">
        <f t="shared" si="135"/>
        <v>24</v>
      </c>
      <c r="E87" s="94">
        <f t="shared" si="135"/>
        <v>27</v>
      </c>
      <c r="F87" s="94">
        <f t="shared" si="135"/>
        <v>29</v>
      </c>
      <c r="G87" s="94">
        <f t="shared" si="135"/>
        <v>30</v>
      </c>
      <c r="H87" s="94">
        <f t="shared" si="135"/>
        <v>20</v>
      </c>
      <c r="I87" s="94">
        <f t="shared" si="135"/>
        <v>21</v>
      </c>
      <c r="J87" s="94">
        <f t="shared" si="135"/>
        <v>22</v>
      </c>
      <c r="K87" s="94">
        <f t="shared" si="135"/>
        <v>24</v>
      </c>
      <c r="L87" s="94">
        <f t="shared" si="135"/>
        <v>24</v>
      </c>
      <c r="N87" s="94">
        <f t="shared" ref="N87:BA87" si="136">ROUNDDOWN(N94/40,0)</f>
        <v>12</v>
      </c>
      <c r="O87" s="94">
        <f t="shared" si="136"/>
        <v>13</v>
      </c>
      <c r="P87" s="94">
        <f t="shared" si="136"/>
        <v>18</v>
      </c>
      <c r="Q87" s="94">
        <f t="shared" si="136"/>
        <v>21</v>
      </c>
      <c r="R87" s="94">
        <f t="shared" si="136"/>
        <v>22</v>
      </c>
      <c r="S87" s="94">
        <f t="shared" si="136"/>
        <v>25</v>
      </c>
      <c r="T87" s="94">
        <f t="shared" si="136"/>
        <v>25</v>
      </c>
      <c r="U87" s="94">
        <f t="shared" si="136"/>
        <v>26</v>
      </c>
      <c r="V87" s="94">
        <f t="shared" si="136"/>
        <v>26</v>
      </c>
      <c r="W87" s="94">
        <f t="shared" si="136"/>
        <v>27</v>
      </c>
      <c r="X87" s="94">
        <f t="shared" si="136"/>
        <v>28</v>
      </c>
      <c r="Y87" s="94">
        <f t="shared" si="136"/>
        <v>28</v>
      </c>
      <c r="Z87" s="94">
        <f t="shared" si="136"/>
        <v>28</v>
      </c>
      <c r="AA87" s="94">
        <f t="shared" si="136"/>
        <v>28</v>
      </c>
      <c r="AB87" s="94">
        <f t="shared" si="136"/>
        <v>29</v>
      </c>
      <c r="AC87" s="94">
        <f t="shared" si="136"/>
        <v>31</v>
      </c>
      <c r="AD87" s="94">
        <f t="shared" si="136"/>
        <v>30</v>
      </c>
      <c r="AE87" s="94">
        <f t="shared" si="136"/>
        <v>30</v>
      </c>
      <c r="AF87" s="94">
        <f t="shared" si="136"/>
        <v>30</v>
      </c>
      <c r="AG87" s="94">
        <f t="shared" si="136"/>
        <v>30</v>
      </c>
      <c r="AH87" s="94">
        <f t="shared" si="136"/>
        <v>20</v>
      </c>
      <c r="AI87" s="94">
        <f t="shared" si="136"/>
        <v>20</v>
      </c>
      <c r="AJ87" s="94">
        <f t="shared" si="136"/>
        <v>20</v>
      </c>
      <c r="AK87" s="94">
        <f t="shared" si="136"/>
        <v>20</v>
      </c>
      <c r="AL87" s="94">
        <f t="shared" si="136"/>
        <v>20</v>
      </c>
      <c r="AM87" s="94">
        <f t="shared" si="136"/>
        <v>20</v>
      </c>
      <c r="AN87" s="94">
        <f t="shared" si="136"/>
        <v>21</v>
      </c>
      <c r="AO87" s="94">
        <f t="shared" si="136"/>
        <v>22</v>
      </c>
      <c r="AP87" s="94">
        <f t="shared" si="136"/>
        <v>22</v>
      </c>
      <c r="AQ87" s="94">
        <f t="shared" si="136"/>
        <v>22</v>
      </c>
      <c r="AR87" s="94">
        <f t="shared" si="136"/>
        <v>22</v>
      </c>
      <c r="AS87" s="94">
        <f t="shared" si="136"/>
        <v>22</v>
      </c>
      <c r="AT87" s="94">
        <f t="shared" si="136"/>
        <v>23</v>
      </c>
      <c r="AU87" s="94">
        <f t="shared" si="136"/>
        <v>24</v>
      </c>
      <c r="AV87" s="94">
        <f t="shared" si="136"/>
        <v>24</v>
      </c>
      <c r="AW87" s="94">
        <f t="shared" si="136"/>
        <v>24</v>
      </c>
      <c r="AX87" s="94">
        <f t="shared" si="136"/>
        <v>24</v>
      </c>
      <c r="AY87" s="94">
        <f t="shared" si="136"/>
        <v>24</v>
      </c>
      <c r="AZ87" s="94">
        <f t="shared" si="136"/>
        <v>24</v>
      </c>
      <c r="BA87" s="94">
        <f t="shared" si="136"/>
        <v>24</v>
      </c>
      <c r="BD87" s="186">
        <f t="shared" si="56"/>
        <v>79</v>
      </c>
    </row>
    <row r="88" spans="1:62" hidden="1" outlineLevel="3">
      <c r="B88" s="44" t="s">
        <v>120</v>
      </c>
      <c r="C88" s="94">
        <f t="shared" ref="C88:L88" si="137">ROUNDDOWN(C96/40,0)</f>
        <v>14</v>
      </c>
      <c r="D88" s="94">
        <f t="shared" si="137"/>
        <v>22</v>
      </c>
      <c r="E88" s="94">
        <f t="shared" si="137"/>
        <v>24</v>
      </c>
      <c r="F88" s="94">
        <f t="shared" si="137"/>
        <v>26</v>
      </c>
      <c r="G88" s="94">
        <f t="shared" si="137"/>
        <v>21</v>
      </c>
      <c r="H88" s="94">
        <f t="shared" si="137"/>
        <v>12</v>
      </c>
      <c r="I88" s="94">
        <f t="shared" si="137"/>
        <v>12</v>
      </c>
      <c r="J88" s="94">
        <f t="shared" si="137"/>
        <v>17</v>
      </c>
      <c r="K88" s="94">
        <f t="shared" si="137"/>
        <v>23</v>
      </c>
      <c r="L88" s="94">
        <f t="shared" si="137"/>
        <v>24</v>
      </c>
      <c r="M88" s="188"/>
      <c r="N88" s="188">
        <f t="shared" ref="N88:AO88" si="138">N96/40</f>
        <v>10.98</v>
      </c>
      <c r="O88" s="188">
        <f t="shared" si="138"/>
        <v>12.15</v>
      </c>
      <c r="P88" s="188">
        <f t="shared" si="138"/>
        <v>16.785</v>
      </c>
      <c r="Q88" s="188">
        <f t="shared" si="138"/>
        <v>18.922499999999999</v>
      </c>
      <c r="R88" s="188">
        <f t="shared" si="138"/>
        <v>20.137499999999999</v>
      </c>
      <c r="S88" s="188">
        <f t="shared" si="138"/>
        <v>22.837499999999999</v>
      </c>
      <c r="T88" s="188">
        <f t="shared" si="138"/>
        <v>23.305500000000002</v>
      </c>
      <c r="U88" s="188">
        <f t="shared" si="138"/>
        <v>23.557500000000001</v>
      </c>
      <c r="V88" s="188">
        <f t="shared" si="138"/>
        <v>23.9175</v>
      </c>
      <c r="W88" s="188">
        <f t="shared" si="138"/>
        <v>24.637499999999999</v>
      </c>
      <c r="X88" s="188">
        <f t="shared" si="138"/>
        <v>25.357500000000002</v>
      </c>
      <c r="Y88" s="188">
        <f t="shared" si="138"/>
        <v>25.357500000000002</v>
      </c>
      <c r="Z88" s="188">
        <f t="shared" si="138"/>
        <v>25.357500000000002</v>
      </c>
      <c r="AA88" s="188">
        <f t="shared" si="138"/>
        <v>25.807499999999997</v>
      </c>
      <c r="AB88" s="188">
        <f t="shared" si="138"/>
        <v>26.797500000000003</v>
      </c>
      <c r="AC88" s="188">
        <f t="shared" si="138"/>
        <v>28.057499999999997</v>
      </c>
      <c r="AD88" s="188">
        <f t="shared" si="138"/>
        <v>25</v>
      </c>
      <c r="AE88" s="188">
        <f t="shared" si="138"/>
        <v>22.5</v>
      </c>
      <c r="AF88" s="188">
        <f t="shared" si="138"/>
        <v>20</v>
      </c>
      <c r="AG88" s="188">
        <f t="shared" si="138"/>
        <v>17.5</v>
      </c>
      <c r="AH88" s="188">
        <f t="shared" si="138"/>
        <v>15.5</v>
      </c>
      <c r="AI88" s="188">
        <f t="shared" si="138"/>
        <v>11.75</v>
      </c>
      <c r="AJ88" s="188">
        <f t="shared" si="138"/>
        <v>10.75</v>
      </c>
      <c r="AK88" s="188">
        <f t="shared" si="138"/>
        <v>10.75</v>
      </c>
      <c r="AL88" s="188">
        <f t="shared" si="138"/>
        <v>11.125</v>
      </c>
      <c r="AM88" s="188">
        <f t="shared" si="138"/>
        <v>12.25</v>
      </c>
      <c r="AN88" s="188">
        <f t="shared" si="138"/>
        <v>13.375</v>
      </c>
      <c r="AO88" s="188">
        <f t="shared" si="138"/>
        <v>14.75</v>
      </c>
      <c r="AP88" s="196">
        <v>15.2</v>
      </c>
      <c r="AQ88" s="196">
        <v>16.5</v>
      </c>
      <c r="AR88" s="196">
        <v>19.329999999999998</v>
      </c>
      <c r="AS88" s="196">
        <v>20.5</v>
      </c>
      <c r="AT88" s="196">
        <v>22</v>
      </c>
      <c r="AU88" s="196">
        <f>+AT88+AU87-AT87</f>
        <v>23</v>
      </c>
      <c r="AV88" s="196">
        <v>24</v>
      </c>
      <c r="AW88" s="196">
        <f>+AV88+AW87-AV87</f>
        <v>24</v>
      </c>
      <c r="AX88" s="196">
        <f>+AW88+AX87-AW87</f>
        <v>24</v>
      </c>
      <c r="AY88" s="196">
        <f>+AX88+AY87-AX87</f>
        <v>24</v>
      </c>
      <c r="AZ88" s="196">
        <f>+AY88+AZ87-AY87</f>
        <v>24</v>
      </c>
      <c r="BA88" s="196">
        <f>+AZ88+BA87-AZ87</f>
        <v>24</v>
      </c>
      <c r="BB88" s="188"/>
      <c r="BD88" s="186">
        <f t="shared" si="56"/>
        <v>80</v>
      </c>
    </row>
    <row r="89" spans="1:62" hidden="1" outlineLevel="3">
      <c r="B89" s="44" t="s">
        <v>121</v>
      </c>
      <c r="C89" s="94">
        <f t="shared" ref="C89:L89" si="139">C59/C88</f>
        <v>132.65749007142855</v>
      </c>
      <c r="D89" s="94">
        <f t="shared" si="139"/>
        <v>102.1485</v>
      </c>
      <c r="E89" s="94">
        <f t="shared" si="139"/>
        <v>69.800374999999988</v>
      </c>
      <c r="F89" s="94">
        <f t="shared" si="139"/>
        <v>78.384615384615387</v>
      </c>
      <c r="G89" s="94">
        <f t="shared" si="139"/>
        <v>45.714285714285715</v>
      </c>
      <c r="H89" s="94">
        <f t="shared" si="139"/>
        <v>29.494083333333332</v>
      </c>
      <c r="I89" s="94">
        <f t="shared" si="139"/>
        <v>64.762250000000009</v>
      </c>
      <c r="J89" s="94">
        <f t="shared" si="139"/>
        <v>76.966350539873218</v>
      </c>
      <c r="K89" s="94">
        <f t="shared" si="139"/>
        <v>76.129761840146841</v>
      </c>
      <c r="L89" s="94">
        <f t="shared" si="139"/>
        <v>75.311162250467845</v>
      </c>
      <c r="N89" s="94">
        <f t="shared" ref="N89:AO89" si="140">N59*4/N88</f>
        <v>132.15222622950819</v>
      </c>
      <c r="O89" s="94">
        <f t="shared" si="140"/>
        <v>137.12921810699586</v>
      </c>
      <c r="P89" s="94">
        <f t="shared" si="140"/>
        <v>127.61942210306822</v>
      </c>
      <c r="Q89" s="94">
        <f t="shared" si="140"/>
        <v>114.65588585017836</v>
      </c>
      <c r="R89" s="94">
        <f t="shared" si="140"/>
        <v>116.08908752327748</v>
      </c>
      <c r="S89" s="94">
        <f t="shared" si="140"/>
        <v>105.80194854953476</v>
      </c>
      <c r="T89" s="94">
        <f t="shared" si="140"/>
        <v>99.073780867177263</v>
      </c>
      <c r="U89" s="94">
        <f t="shared" si="140"/>
        <v>81.761986628462267</v>
      </c>
      <c r="V89" s="94">
        <f t="shared" si="140"/>
        <v>72.906950977317862</v>
      </c>
      <c r="W89" s="94">
        <f t="shared" si="140"/>
        <v>67.298386605783861</v>
      </c>
      <c r="X89" s="94">
        <f t="shared" si="140"/>
        <v>64.883367839889573</v>
      </c>
      <c r="Y89" s="94">
        <f t="shared" si="140"/>
        <v>65.216996943705013</v>
      </c>
      <c r="Z89" s="94">
        <f t="shared" si="140"/>
        <v>65.432160110420966</v>
      </c>
      <c r="AA89" s="94">
        <f t="shared" si="140"/>
        <v>77.223907778746508</v>
      </c>
      <c r="AB89" s="94">
        <f t="shared" si="140"/>
        <v>93.31124172030971</v>
      </c>
      <c r="AC89" s="94">
        <f t="shared" si="140"/>
        <v>94.83325314087142</v>
      </c>
      <c r="AD89" s="94">
        <f t="shared" si="140"/>
        <v>86.198239999999998</v>
      </c>
      <c r="AE89" s="94">
        <f t="shared" si="140"/>
        <v>0</v>
      </c>
      <c r="AF89" s="94">
        <f t="shared" si="140"/>
        <v>0</v>
      </c>
      <c r="AG89" s="94">
        <f t="shared" si="140"/>
        <v>0</v>
      </c>
      <c r="AH89" s="94">
        <f t="shared" si="140"/>
        <v>27.098064516129032</v>
      </c>
      <c r="AI89" s="94">
        <f t="shared" si="140"/>
        <v>27.833191489361703</v>
      </c>
      <c r="AJ89" s="94">
        <f t="shared" si="140"/>
        <v>29.194046511627906</v>
      </c>
      <c r="AK89" s="94">
        <f t="shared" si="140"/>
        <v>33.116279069767444</v>
      </c>
      <c r="AL89" s="94">
        <f t="shared" si="140"/>
        <v>46.979955056179776</v>
      </c>
      <c r="AM89" s="94">
        <f t="shared" si="140"/>
        <v>59.988244897959184</v>
      </c>
      <c r="AN89" s="94">
        <f t="shared" si="140"/>
        <v>64.585869158878509</v>
      </c>
      <c r="AO89" s="94">
        <f t="shared" si="140"/>
        <v>66.931796610169513</v>
      </c>
      <c r="AP89" s="94">
        <f t="shared" ref="AP89:BA89" si="141">+AO89*(1+AP90)</f>
        <v>70.278386440677991</v>
      </c>
      <c r="AQ89" s="94">
        <f t="shared" si="141"/>
        <v>72.386738033898339</v>
      </c>
      <c r="AR89" s="94">
        <f t="shared" si="141"/>
        <v>73.834472794576314</v>
      </c>
      <c r="AS89" s="94">
        <f t="shared" si="141"/>
        <v>75.311162250467845</v>
      </c>
      <c r="AT89" s="94">
        <f t="shared" si="141"/>
        <v>75.311162250467845</v>
      </c>
      <c r="AU89" s="94">
        <f t="shared" si="141"/>
        <v>75.311162250467845</v>
      </c>
      <c r="AV89" s="94">
        <f t="shared" si="141"/>
        <v>75.311162250467845</v>
      </c>
      <c r="AW89" s="94">
        <f t="shared" si="141"/>
        <v>75.311162250467845</v>
      </c>
      <c r="AX89" s="94">
        <f t="shared" si="141"/>
        <v>75.311162250467845</v>
      </c>
      <c r="AY89" s="94">
        <f t="shared" si="141"/>
        <v>75.311162250467845</v>
      </c>
      <c r="AZ89" s="94">
        <f t="shared" si="141"/>
        <v>75.311162250467845</v>
      </c>
      <c r="BA89" s="94">
        <f t="shared" si="141"/>
        <v>75.311162250467845</v>
      </c>
      <c r="BD89" s="186">
        <f t="shared" si="56"/>
        <v>81</v>
      </c>
    </row>
    <row r="90" spans="1:62" hidden="1" outlineLevel="3">
      <c r="B90" s="65" t="s">
        <v>132</v>
      </c>
      <c r="C90" s="94"/>
      <c r="D90" s="62">
        <f t="shared" ref="D90:L90" si="142">IFERROR(+D89/C89-1,"NM")</f>
        <v>-0.22998316985344125</v>
      </c>
      <c r="E90" s="62">
        <f t="shared" si="142"/>
        <v>-0.31667743530252535</v>
      </c>
      <c r="F90" s="62">
        <f t="shared" si="142"/>
        <v>0.12298272587526071</v>
      </c>
      <c r="G90" s="62">
        <f t="shared" si="142"/>
        <v>-0.4167951773447357</v>
      </c>
      <c r="H90" s="62">
        <f t="shared" si="142"/>
        <v>-0.35481692708333334</v>
      </c>
      <c r="I90" s="62">
        <f t="shared" si="142"/>
        <v>1.1957709032037505</v>
      </c>
      <c r="J90" s="62">
        <f t="shared" si="142"/>
        <v>0.18844466552464145</v>
      </c>
      <c r="K90" s="62">
        <f t="shared" si="142"/>
        <v>-1.0869538361351516E-2</v>
      </c>
      <c r="L90" s="62">
        <f t="shared" si="142"/>
        <v>-1.0752688172043001E-2</v>
      </c>
      <c r="N90" s="93"/>
      <c r="O90" s="63">
        <f t="shared" ref="O90:AO90" si="143">IFERROR(+O89/N89-1,"NM")</f>
        <v>3.7661052102475834E-2</v>
      </c>
      <c r="P90" s="63">
        <f t="shared" si="143"/>
        <v>-6.9349159392913418E-2</v>
      </c>
      <c r="Q90" s="63">
        <f t="shared" si="143"/>
        <v>-0.1015796501759757</v>
      </c>
      <c r="R90" s="63">
        <f t="shared" si="143"/>
        <v>1.2500027037180672E-2</v>
      </c>
      <c r="S90" s="63">
        <f t="shared" si="143"/>
        <v>-8.8614177208344524E-2</v>
      </c>
      <c r="T90" s="63">
        <f t="shared" si="143"/>
        <v>-6.3592096124840958E-2</v>
      </c>
      <c r="U90" s="63">
        <f t="shared" si="143"/>
        <v>-0.17473638420970283</v>
      </c>
      <c r="V90" s="63">
        <f t="shared" si="143"/>
        <v>-0.10830259899851635</v>
      </c>
      <c r="W90" s="63">
        <f t="shared" si="143"/>
        <v>-7.6927704373193295E-2</v>
      </c>
      <c r="X90" s="63">
        <f t="shared" si="143"/>
        <v>-3.5885240162454868E-2</v>
      </c>
      <c r="Y90" s="63">
        <f t="shared" si="143"/>
        <v>5.1419819118934118E-3</v>
      </c>
      <c r="Z90" s="63">
        <f t="shared" si="143"/>
        <v>3.2991885060529302E-3</v>
      </c>
      <c r="AA90" s="63">
        <f t="shared" si="143"/>
        <v>0.18021333314422461</v>
      </c>
      <c r="AB90" s="63">
        <f t="shared" si="143"/>
        <v>0.20832064064479705</v>
      </c>
      <c r="AC90" s="63">
        <f t="shared" si="143"/>
        <v>1.631112599619855E-2</v>
      </c>
      <c r="AD90" s="63">
        <f t="shared" si="143"/>
        <v>-9.1054697111828675E-2</v>
      </c>
      <c r="AE90" s="63">
        <f t="shared" si="143"/>
        <v>-1</v>
      </c>
      <c r="AF90" s="63" t="str">
        <f t="shared" si="143"/>
        <v>NM</v>
      </c>
      <c r="AG90" s="63" t="str">
        <f t="shared" si="143"/>
        <v>NM</v>
      </c>
      <c r="AH90" s="63" t="str">
        <f t="shared" si="143"/>
        <v>NM</v>
      </c>
      <c r="AI90" s="63">
        <f t="shared" si="143"/>
        <v>2.7128394088629992E-2</v>
      </c>
      <c r="AJ90" s="63">
        <f t="shared" si="143"/>
        <v>4.8893243981249723E-2</v>
      </c>
      <c r="AK90" s="63">
        <f t="shared" si="143"/>
        <v>0.13435042506277184</v>
      </c>
      <c r="AL90" s="63">
        <f t="shared" si="143"/>
        <v>0.41863628329756342</v>
      </c>
      <c r="AM90" s="63">
        <f t="shared" si="143"/>
        <v>0.27689021469313402</v>
      </c>
      <c r="AN90" s="63">
        <f t="shared" si="143"/>
        <v>7.6642086607800364E-2</v>
      </c>
      <c r="AO90" s="63">
        <f t="shared" si="143"/>
        <v>3.6322611770078117E-2</v>
      </c>
      <c r="AP90" s="109">
        <v>0.05</v>
      </c>
      <c r="AQ90" s="109">
        <v>0.03</v>
      </c>
      <c r="AR90" s="109">
        <v>0.02</v>
      </c>
      <c r="AS90" s="109">
        <v>0.02</v>
      </c>
      <c r="AT90" s="109">
        <v>0</v>
      </c>
      <c r="AU90" s="109">
        <v>0</v>
      </c>
      <c r="AV90" s="109">
        <v>0</v>
      </c>
      <c r="AW90" s="109">
        <v>0</v>
      </c>
      <c r="AX90" s="109">
        <v>0</v>
      </c>
      <c r="AY90" s="109">
        <v>0</v>
      </c>
      <c r="AZ90" s="109">
        <v>0</v>
      </c>
      <c r="BA90" s="109">
        <v>0</v>
      </c>
      <c r="BD90" s="186">
        <f t="shared" si="56"/>
        <v>82</v>
      </c>
    </row>
    <row r="91" spans="1:62" hidden="1" outlineLevel="3">
      <c r="B91" s="40" t="s">
        <v>318</v>
      </c>
      <c r="C91" s="93">
        <f t="shared" ref="C91:L91" si="144">C59*C46/C88</f>
        <v>41.313887389106412</v>
      </c>
      <c r="D91" s="93">
        <f t="shared" si="144"/>
        <v>25.58202695212492</v>
      </c>
      <c r="E91" s="93">
        <f t="shared" si="144"/>
        <v>13.757859738748058</v>
      </c>
      <c r="F91" s="93">
        <f t="shared" si="144"/>
        <v>11.590178016054027</v>
      </c>
      <c r="G91" s="93">
        <f t="shared" si="144"/>
        <v>1.2229518785660458</v>
      </c>
      <c r="H91" s="93">
        <f t="shared" si="144"/>
        <v>-2.1686825980392155</v>
      </c>
      <c r="I91" s="93">
        <f t="shared" si="144"/>
        <v>11.42908409755267</v>
      </c>
      <c r="J91" s="93">
        <f t="shared" si="144"/>
        <v>18.184276564202385</v>
      </c>
      <c r="K91" s="93">
        <f t="shared" si="144"/>
        <v>19.03244046003671</v>
      </c>
      <c r="L91" s="93">
        <f t="shared" si="144"/>
        <v>18.827790562616961</v>
      </c>
      <c r="N91" s="93">
        <f t="shared" ref="N91:BA91" si="145">N59*N46*4/N88</f>
        <v>41.769744561126316</v>
      </c>
      <c r="O91" s="93">
        <f t="shared" si="145"/>
        <v>41.670452676442572</v>
      </c>
      <c r="P91" s="93">
        <f t="shared" si="145"/>
        <v>38.884348790154228</v>
      </c>
      <c r="Q91" s="93">
        <f t="shared" si="145"/>
        <v>36.739570476513059</v>
      </c>
      <c r="R91" s="93">
        <f t="shared" si="145"/>
        <v>32.847151705215609</v>
      </c>
      <c r="S91" s="93">
        <f t="shared" si="145"/>
        <v>26.301394855515184</v>
      </c>
      <c r="T91" s="93">
        <f t="shared" si="145"/>
        <v>23.934495168344185</v>
      </c>
      <c r="U91" s="93">
        <f t="shared" si="145"/>
        <v>18.583001097435325</v>
      </c>
      <c r="V91" s="93">
        <f t="shared" si="145"/>
        <v>14.056762476265064</v>
      </c>
      <c r="W91" s="93">
        <f t="shared" si="145"/>
        <v>11.148475543641037</v>
      </c>
      <c r="X91" s="93">
        <f t="shared" si="145"/>
        <v>9.9747556172437282</v>
      </c>
      <c r="Y91" s="93">
        <f t="shared" si="145"/>
        <v>9.2225323174515719</v>
      </c>
      <c r="Z91" s="93">
        <f t="shared" si="145"/>
        <v>3.6745240855291961</v>
      </c>
      <c r="AA91" s="93">
        <f t="shared" si="145"/>
        <v>9.2463002006557833</v>
      </c>
      <c r="AB91" s="93">
        <f t="shared" si="145"/>
        <v>13.326199588978763</v>
      </c>
      <c r="AC91" s="93">
        <f t="shared" si="145"/>
        <v>12.617270654696387</v>
      </c>
      <c r="AD91" s="93">
        <f t="shared" si="145"/>
        <v>-0.64446699404204222</v>
      </c>
      <c r="AE91" s="93">
        <f t="shared" si="145"/>
        <v>0</v>
      </c>
      <c r="AF91" s="93">
        <f t="shared" si="145"/>
        <v>0</v>
      </c>
      <c r="AG91" s="93">
        <f t="shared" si="145"/>
        <v>0</v>
      </c>
      <c r="AH91" s="93">
        <f t="shared" si="145"/>
        <v>-3.208981324278438</v>
      </c>
      <c r="AI91" s="93">
        <f t="shared" si="145"/>
        <v>-3.815840768702814</v>
      </c>
      <c r="AJ91" s="93">
        <f t="shared" si="145"/>
        <v>-1.3684709302325582</v>
      </c>
      <c r="AK91" s="93">
        <f t="shared" si="145"/>
        <v>0.23654485049833884</v>
      </c>
      <c r="AL91" s="93">
        <f t="shared" si="145"/>
        <v>4.8726341636973975</v>
      </c>
      <c r="AM91" s="93">
        <f t="shared" si="145"/>
        <v>9.7444418249017932</v>
      </c>
      <c r="AN91" s="93">
        <f t="shared" si="145"/>
        <v>12.922940744871257</v>
      </c>
      <c r="AO91" s="93">
        <f t="shared" si="145"/>
        <v>13.795365282251632</v>
      </c>
      <c r="AP91" s="93">
        <f t="shared" si="145"/>
        <v>15.461245016949158</v>
      </c>
      <c r="AQ91" s="93">
        <f t="shared" si="145"/>
        <v>16.648949747796621</v>
      </c>
      <c r="AR91" s="93">
        <f t="shared" si="145"/>
        <v>17.720273470698316</v>
      </c>
      <c r="AS91" s="93">
        <f t="shared" si="145"/>
        <v>18.827790562616961</v>
      </c>
      <c r="AT91" s="93">
        <f t="shared" si="145"/>
        <v>18.827790562616961</v>
      </c>
      <c r="AU91" s="93">
        <f t="shared" si="145"/>
        <v>18.827790562616961</v>
      </c>
      <c r="AV91" s="93">
        <f t="shared" si="145"/>
        <v>18.827790562616961</v>
      </c>
      <c r="AW91" s="93">
        <f t="shared" si="145"/>
        <v>18.827790562616961</v>
      </c>
      <c r="AX91" s="93">
        <f t="shared" si="145"/>
        <v>18.827790562616961</v>
      </c>
      <c r="AY91" s="93">
        <f t="shared" si="145"/>
        <v>18.827790562616961</v>
      </c>
      <c r="AZ91" s="93">
        <f t="shared" si="145"/>
        <v>18.827790562616961</v>
      </c>
      <c r="BA91" s="93">
        <f t="shared" si="145"/>
        <v>18.827790562616961</v>
      </c>
      <c r="BD91" s="186">
        <f t="shared" si="56"/>
        <v>83</v>
      </c>
    </row>
    <row r="92" spans="1:62" hidden="1" outlineLevel="3">
      <c r="B92" s="65" t="s">
        <v>339</v>
      </c>
      <c r="C92" s="94"/>
      <c r="D92" s="62"/>
      <c r="E92" s="62"/>
      <c r="F92" s="62"/>
      <c r="G92" s="62"/>
      <c r="H92" s="62"/>
      <c r="I92" s="62"/>
      <c r="J92" s="62"/>
      <c r="K92" s="62"/>
      <c r="L92" s="62"/>
      <c r="N92" s="9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232">
        <v>14.4</v>
      </c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D92" s="186">
        <f t="shared" si="56"/>
        <v>84</v>
      </c>
    </row>
    <row r="93" spans="1:62" s="87" customFormat="1" hidden="1" outlineLevel="3">
      <c r="A93" s="174"/>
      <c r="B93" s="229"/>
      <c r="C93" s="195"/>
      <c r="D93" s="230"/>
      <c r="E93" s="230"/>
      <c r="F93" s="230"/>
      <c r="G93" s="230"/>
      <c r="H93" s="230"/>
      <c r="I93" s="230"/>
      <c r="J93" s="230"/>
      <c r="K93" s="230"/>
      <c r="L93" s="230"/>
      <c r="N93" s="93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231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D93" s="186">
        <f t="shared" si="56"/>
        <v>85</v>
      </c>
      <c r="BE93"/>
      <c r="BF93"/>
      <c r="BG93"/>
      <c r="BH93"/>
      <c r="BI93"/>
      <c r="BJ93"/>
    </row>
    <row r="94" spans="1:62" hidden="1" outlineLevel="3">
      <c r="B94" s="40" t="s">
        <v>313</v>
      </c>
      <c r="C94" s="94">
        <f t="shared" ref="C94:L94" si="146">AVERAGEIFS($N94:$BB94,$N$5:$BB$5,C$5)</f>
        <v>653.75</v>
      </c>
      <c r="D94" s="94">
        <f t="shared" si="146"/>
        <v>998.2</v>
      </c>
      <c r="E94" s="94">
        <f t="shared" si="146"/>
        <v>1103</v>
      </c>
      <c r="F94" s="94">
        <f t="shared" si="146"/>
        <v>1178</v>
      </c>
      <c r="G94" s="94">
        <f t="shared" si="146"/>
        <v>1200</v>
      </c>
      <c r="H94" s="94">
        <f t="shared" si="146"/>
        <v>820</v>
      </c>
      <c r="I94" s="94">
        <f t="shared" si="146"/>
        <v>850</v>
      </c>
      <c r="J94" s="94">
        <f t="shared" si="146"/>
        <v>900</v>
      </c>
      <c r="K94" s="94">
        <f t="shared" si="146"/>
        <v>970</v>
      </c>
      <c r="L94" s="94">
        <f t="shared" si="146"/>
        <v>980</v>
      </c>
      <c r="N94" s="91">
        <v>488</v>
      </c>
      <c r="O94" s="91">
        <v>540</v>
      </c>
      <c r="P94" s="91">
        <v>746</v>
      </c>
      <c r="Q94" s="91">
        <v>841</v>
      </c>
      <c r="R94" s="91">
        <v>895</v>
      </c>
      <c r="S94" s="91">
        <v>1015</v>
      </c>
      <c r="T94" s="91">
        <v>1035.8</v>
      </c>
      <c r="U94" s="91">
        <v>1047</v>
      </c>
      <c r="V94" s="91">
        <v>1063</v>
      </c>
      <c r="W94" s="91">
        <v>1095</v>
      </c>
      <c r="X94" s="91">
        <v>1127</v>
      </c>
      <c r="Y94" s="91">
        <v>1127</v>
      </c>
      <c r="Z94" s="91">
        <v>1127</v>
      </c>
      <c r="AA94" s="91">
        <v>1147</v>
      </c>
      <c r="AB94" s="91">
        <v>1191</v>
      </c>
      <c r="AC94" s="91">
        <v>1247</v>
      </c>
      <c r="AD94" s="91">
        <v>1200</v>
      </c>
      <c r="AE94" s="91">
        <v>1200</v>
      </c>
      <c r="AF94" s="91">
        <v>1200</v>
      </c>
      <c r="AG94" s="91">
        <v>1200</v>
      </c>
      <c r="AH94" s="92">
        <v>820</v>
      </c>
      <c r="AI94" s="92">
        <v>820</v>
      </c>
      <c r="AJ94" s="92">
        <v>820</v>
      </c>
      <c r="AK94" s="92">
        <v>820</v>
      </c>
      <c r="AL94" s="92">
        <v>820</v>
      </c>
      <c r="AM94" s="92">
        <v>820</v>
      </c>
      <c r="AN94" s="92">
        <v>860</v>
      </c>
      <c r="AO94" s="92">
        <v>900</v>
      </c>
      <c r="AP94" s="32">
        <f t="shared" ref="AP94:BA94" si="147">+AO94+AP95</f>
        <v>900</v>
      </c>
      <c r="AQ94" s="32">
        <f t="shared" si="147"/>
        <v>900</v>
      </c>
      <c r="AR94" s="32">
        <f t="shared" si="147"/>
        <v>900</v>
      </c>
      <c r="AS94" s="32">
        <f t="shared" si="147"/>
        <v>900</v>
      </c>
      <c r="AT94" s="32">
        <f t="shared" si="147"/>
        <v>940</v>
      </c>
      <c r="AU94" s="32">
        <f t="shared" si="147"/>
        <v>980</v>
      </c>
      <c r="AV94" s="32">
        <f t="shared" si="147"/>
        <v>980</v>
      </c>
      <c r="AW94" s="32">
        <f t="shared" si="147"/>
        <v>980</v>
      </c>
      <c r="AX94" s="32">
        <f t="shared" si="147"/>
        <v>980</v>
      </c>
      <c r="AY94" s="32">
        <f t="shared" si="147"/>
        <v>980</v>
      </c>
      <c r="AZ94" s="32">
        <f t="shared" si="147"/>
        <v>980</v>
      </c>
      <c r="BA94" s="32">
        <f t="shared" si="147"/>
        <v>980</v>
      </c>
      <c r="BD94" s="186">
        <f t="shared" si="56"/>
        <v>86</v>
      </c>
    </row>
    <row r="95" spans="1:62" hidden="1" outlineLevel="3">
      <c r="B95" s="44" t="s">
        <v>119</v>
      </c>
      <c r="C95" s="61"/>
      <c r="D95" s="93">
        <f t="shared" ref="D95:L95" si="148">+D94-C94</f>
        <v>344.45000000000005</v>
      </c>
      <c r="E95" s="93">
        <f t="shared" si="148"/>
        <v>104.79999999999995</v>
      </c>
      <c r="F95" s="93">
        <f t="shared" si="148"/>
        <v>75</v>
      </c>
      <c r="G95" s="93">
        <f t="shared" si="148"/>
        <v>22</v>
      </c>
      <c r="H95" s="93">
        <f t="shared" si="148"/>
        <v>-380</v>
      </c>
      <c r="I95" s="93">
        <f t="shared" si="148"/>
        <v>30</v>
      </c>
      <c r="J95" s="93">
        <f t="shared" si="148"/>
        <v>50</v>
      </c>
      <c r="K95" s="93">
        <f t="shared" si="148"/>
        <v>70</v>
      </c>
      <c r="L95" s="93">
        <f t="shared" si="148"/>
        <v>10</v>
      </c>
      <c r="N95" s="91"/>
      <c r="O95" s="93">
        <f t="shared" ref="O95:AM95" si="149">+O94-N94</f>
        <v>52</v>
      </c>
      <c r="P95" s="93">
        <f t="shared" si="149"/>
        <v>206</v>
      </c>
      <c r="Q95" s="93">
        <f t="shared" si="149"/>
        <v>95</v>
      </c>
      <c r="R95" s="93">
        <f t="shared" si="149"/>
        <v>54</v>
      </c>
      <c r="S95" s="93">
        <f t="shared" si="149"/>
        <v>120</v>
      </c>
      <c r="T95" s="93">
        <f t="shared" si="149"/>
        <v>20.799999999999955</v>
      </c>
      <c r="U95" s="93">
        <f t="shared" si="149"/>
        <v>11.200000000000045</v>
      </c>
      <c r="V95" s="93">
        <f t="shared" si="149"/>
        <v>16</v>
      </c>
      <c r="W95" s="93">
        <f t="shared" si="149"/>
        <v>32</v>
      </c>
      <c r="X95" s="93">
        <f t="shared" si="149"/>
        <v>32</v>
      </c>
      <c r="Y95" s="93">
        <f t="shared" si="149"/>
        <v>0</v>
      </c>
      <c r="Z95" s="93">
        <f t="shared" si="149"/>
        <v>0</v>
      </c>
      <c r="AA95" s="93">
        <f t="shared" si="149"/>
        <v>20</v>
      </c>
      <c r="AB95" s="93">
        <f t="shared" si="149"/>
        <v>44</v>
      </c>
      <c r="AC95" s="93">
        <f t="shared" si="149"/>
        <v>56</v>
      </c>
      <c r="AD95" s="93">
        <f t="shared" si="149"/>
        <v>-47</v>
      </c>
      <c r="AE95" s="93">
        <f t="shared" si="149"/>
        <v>0</v>
      </c>
      <c r="AF95" s="93">
        <f t="shared" si="149"/>
        <v>0</v>
      </c>
      <c r="AG95" s="93">
        <f t="shared" si="149"/>
        <v>0</v>
      </c>
      <c r="AH95" s="93">
        <f t="shared" si="149"/>
        <v>-380</v>
      </c>
      <c r="AI95" s="93">
        <f t="shared" si="149"/>
        <v>0</v>
      </c>
      <c r="AJ95" s="93">
        <f t="shared" si="149"/>
        <v>0</v>
      </c>
      <c r="AK95" s="93">
        <f t="shared" si="149"/>
        <v>0</v>
      </c>
      <c r="AL95" s="93">
        <f t="shared" si="149"/>
        <v>0</v>
      </c>
      <c r="AM95" s="93">
        <f t="shared" si="149"/>
        <v>0</v>
      </c>
      <c r="AN95" s="91">
        <v>40</v>
      </c>
      <c r="AO95" s="91">
        <v>40</v>
      </c>
      <c r="AP95" s="91">
        <v>0</v>
      </c>
      <c r="AQ95" s="91">
        <v>0</v>
      </c>
      <c r="AR95" s="91">
        <v>0</v>
      </c>
      <c r="AS95" s="91">
        <v>0</v>
      </c>
      <c r="AT95" s="91">
        <v>40</v>
      </c>
      <c r="AU95" s="91">
        <v>40</v>
      </c>
      <c r="AV95" s="91">
        <v>0</v>
      </c>
      <c r="AW95" s="91">
        <v>0</v>
      </c>
      <c r="AX95" s="91">
        <v>0</v>
      </c>
      <c r="AY95" s="91">
        <v>0</v>
      </c>
      <c r="AZ95" s="91">
        <v>0</v>
      </c>
      <c r="BA95" s="91">
        <v>0</v>
      </c>
      <c r="BD95" s="186">
        <f t="shared" si="56"/>
        <v>87</v>
      </c>
    </row>
    <row r="96" spans="1:62" hidden="1" outlineLevel="3">
      <c r="B96" s="40" t="s">
        <v>118</v>
      </c>
      <c r="C96" s="94">
        <f>AVERAGEIFS($N96:$BB96,$N$5:$BB$5,C$5)</f>
        <v>588.375</v>
      </c>
      <c r="D96" s="94">
        <f>AVERAGEIFS($N96:$BB96,$N$5:$BB$5,D$5)</f>
        <v>898.38000000000011</v>
      </c>
      <c r="E96" s="94">
        <f>AVERAGEIFS($N96:$BB96,$N$5:$BB$5,E$5)</f>
        <v>992.7</v>
      </c>
      <c r="F96" s="97">
        <v>1040</v>
      </c>
      <c r="G96" s="97">
        <v>840</v>
      </c>
      <c r="H96" s="97">
        <v>480</v>
      </c>
      <c r="I96" s="94">
        <f>AVERAGEIFS($N96:$BB96,$N$5:$BB$5,I$5)</f>
        <v>515</v>
      </c>
      <c r="J96" s="94">
        <f>AVERAGEIFS($N96:$BB96,$N$5:$BB$5,J$5)</f>
        <v>715.3</v>
      </c>
      <c r="K96" s="94">
        <f>AVERAGEIFS($N96:$BB96,$N$5:$BB$5,K$5)</f>
        <v>930</v>
      </c>
      <c r="L96" s="94">
        <f>AVERAGEIFS($N96:$BB96,$N$5:$BB$5,L$5)</f>
        <v>960</v>
      </c>
      <c r="N96" s="95">
        <f t="shared" ref="N96:AC96" si="150">+N94*0.9</f>
        <v>439.2</v>
      </c>
      <c r="O96" s="95">
        <f t="shared" si="150"/>
        <v>486</v>
      </c>
      <c r="P96" s="95">
        <f t="shared" si="150"/>
        <v>671.4</v>
      </c>
      <c r="Q96" s="95">
        <f t="shared" si="150"/>
        <v>756.9</v>
      </c>
      <c r="R96" s="95">
        <f t="shared" si="150"/>
        <v>805.5</v>
      </c>
      <c r="S96" s="95">
        <f t="shared" si="150"/>
        <v>913.5</v>
      </c>
      <c r="T96" s="95">
        <f t="shared" si="150"/>
        <v>932.22</v>
      </c>
      <c r="U96" s="95">
        <f t="shared" si="150"/>
        <v>942.30000000000007</v>
      </c>
      <c r="V96" s="95">
        <f t="shared" si="150"/>
        <v>956.7</v>
      </c>
      <c r="W96" s="95">
        <f t="shared" si="150"/>
        <v>985.5</v>
      </c>
      <c r="X96" s="95">
        <f t="shared" si="150"/>
        <v>1014.3000000000001</v>
      </c>
      <c r="Y96" s="95">
        <f t="shared" si="150"/>
        <v>1014.3000000000001</v>
      </c>
      <c r="Z96" s="95">
        <f t="shared" si="150"/>
        <v>1014.3000000000001</v>
      </c>
      <c r="AA96" s="95">
        <f t="shared" si="150"/>
        <v>1032.3</v>
      </c>
      <c r="AB96" s="95">
        <f t="shared" si="150"/>
        <v>1071.9000000000001</v>
      </c>
      <c r="AC96" s="95">
        <f t="shared" si="150"/>
        <v>1122.3</v>
      </c>
      <c r="AD96" s="95">
        <v>1000</v>
      </c>
      <c r="AE96" s="95">
        <v>900</v>
      </c>
      <c r="AF96" s="95">
        <v>800</v>
      </c>
      <c r="AG96" s="95">
        <v>700</v>
      </c>
      <c r="AH96" s="91">
        <v>620</v>
      </c>
      <c r="AI96" s="91">
        <v>470</v>
      </c>
      <c r="AJ96" s="91">
        <v>430</v>
      </c>
      <c r="AK96" s="91">
        <v>430</v>
      </c>
      <c r="AL96" s="91">
        <v>445</v>
      </c>
      <c r="AM96" s="91">
        <v>490</v>
      </c>
      <c r="AN96" s="91">
        <v>535</v>
      </c>
      <c r="AO96" s="91">
        <f>515*4-AL96-AM96-AN96</f>
        <v>590</v>
      </c>
      <c r="AP96" s="93">
        <f t="shared" ref="AP96:BA96" si="151">+AP88*40</f>
        <v>608</v>
      </c>
      <c r="AQ96" s="93">
        <f t="shared" si="151"/>
        <v>660</v>
      </c>
      <c r="AR96" s="93">
        <f t="shared" si="151"/>
        <v>773.19999999999993</v>
      </c>
      <c r="AS96" s="93">
        <f t="shared" si="151"/>
        <v>820</v>
      </c>
      <c r="AT96" s="93">
        <f t="shared" si="151"/>
        <v>880</v>
      </c>
      <c r="AU96" s="93">
        <f t="shared" si="151"/>
        <v>920</v>
      </c>
      <c r="AV96" s="93">
        <f t="shared" si="151"/>
        <v>960</v>
      </c>
      <c r="AW96" s="93">
        <f t="shared" si="151"/>
        <v>960</v>
      </c>
      <c r="AX96" s="93">
        <f t="shared" si="151"/>
        <v>960</v>
      </c>
      <c r="AY96" s="93">
        <f t="shared" si="151"/>
        <v>960</v>
      </c>
      <c r="AZ96" s="93">
        <f t="shared" si="151"/>
        <v>960</v>
      </c>
      <c r="BA96" s="93">
        <f t="shared" si="151"/>
        <v>960</v>
      </c>
      <c r="BD96" s="186">
        <f t="shared" si="56"/>
        <v>88</v>
      </c>
    </row>
    <row r="97" spans="1:62" hidden="1" outlineLevel="3">
      <c r="B97" s="40" t="s">
        <v>314</v>
      </c>
      <c r="C97" s="62">
        <f t="shared" ref="C97:L97" si="152">C96/C94</f>
        <v>0.9</v>
      </c>
      <c r="D97" s="62">
        <f t="shared" si="152"/>
        <v>0.9</v>
      </c>
      <c r="E97" s="62">
        <f t="shared" si="152"/>
        <v>0.9</v>
      </c>
      <c r="F97" s="62">
        <f t="shared" si="152"/>
        <v>0.88285229202037352</v>
      </c>
      <c r="G97" s="62">
        <f t="shared" si="152"/>
        <v>0.7</v>
      </c>
      <c r="H97" s="62">
        <f t="shared" si="152"/>
        <v>0.58536585365853655</v>
      </c>
      <c r="I97" s="62">
        <f t="shared" si="152"/>
        <v>0.60588235294117643</v>
      </c>
      <c r="J97" s="62">
        <f t="shared" si="152"/>
        <v>0.79477777777777769</v>
      </c>
      <c r="K97" s="62">
        <f t="shared" si="152"/>
        <v>0.95876288659793818</v>
      </c>
      <c r="L97" s="62">
        <f t="shared" si="152"/>
        <v>0.97959183673469385</v>
      </c>
      <c r="N97" s="62">
        <f t="shared" ref="N97:BA97" si="153">N96/N94</f>
        <v>0.9</v>
      </c>
      <c r="O97" s="62">
        <f t="shared" si="153"/>
        <v>0.9</v>
      </c>
      <c r="P97" s="62">
        <f t="shared" si="153"/>
        <v>0.9</v>
      </c>
      <c r="Q97" s="62">
        <f t="shared" si="153"/>
        <v>0.9</v>
      </c>
      <c r="R97" s="62">
        <f t="shared" si="153"/>
        <v>0.9</v>
      </c>
      <c r="S97" s="62">
        <f t="shared" si="153"/>
        <v>0.9</v>
      </c>
      <c r="T97" s="62">
        <f t="shared" si="153"/>
        <v>0.9</v>
      </c>
      <c r="U97" s="62">
        <f t="shared" si="153"/>
        <v>0.9</v>
      </c>
      <c r="V97" s="62">
        <f t="shared" si="153"/>
        <v>0.9</v>
      </c>
      <c r="W97" s="62">
        <f t="shared" si="153"/>
        <v>0.9</v>
      </c>
      <c r="X97" s="62">
        <f t="shared" si="153"/>
        <v>0.9</v>
      </c>
      <c r="Y97" s="62">
        <f t="shared" si="153"/>
        <v>0.9</v>
      </c>
      <c r="Z97" s="62">
        <f t="shared" si="153"/>
        <v>0.9</v>
      </c>
      <c r="AA97" s="62">
        <f t="shared" si="153"/>
        <v>0.89999999999999991</v>
      </c>
      <c r="AB97" s="62">
        <f t="shared" si="153"/>
        <v>0.9</v>
      </c>
      <c r="AC97" s="62">
        <f t="shared" si="153"/>
        <v>0.89999999999999991</v>
      </c>
      <c r="AD97" s="62">
        <f t="shared" si="153"/>
        <v>0.83333333333333337</v>
      </c>
      <c r="AE97" s="62">
        <f t="shared" si="153"/>
        <v>0.75</v>
      </c>
      <c r="AF97" s="62">
        <f t="shared" si="153"/>
        <v>0.66666666666666663</v>
      </c>
      <c r="AG97" s="62">
        <f t="shared" si="153"/>
        <v>0.58333333333333337</v>
      </c>
      <c r="AH97" s="62">
        <f t="shared" si="153"/>
        <v>0.75609756097560976</v>
      </c>
      <c r="AI97" s="62">
        <f t="shared" si="153"/>
        <v>0.57317073170731703</v>
      </c>
      <c r="AJ97" s="62">
        <f t="shared" si="153"/>
        <v>0.52439024390243905</v>
      </c>
      <c r="AK97" s="62">
        <f t="shared" si="153"/>
        <v>0.52439024390243905</v>
      </c>
      <c r="AL97" s="62">
        <f t="shared" si="153"/>
        <v>0.54268292682926833</v>
      </c>
      <c r="AM97" s="62">
        <f t="shared" si="153"/>
        <v>0.59756097560975607</v>
      </c>
      <c r="AN97" s="62">
        <f t="shared" si="153"/>
        <v>0.62209302325581395</v>
      </c>
      <c r="AO97" s="62">
        <f t="shared" si="153"/>
        <v>0.65555555555555556</v>
      </c>
      <c r="AP97" s="62">
        <f t="shared" si="153"/>
        <v>0.67555555555555558</v>
      </c>
      <c r="AQ97" s="62">
        <f t="shared" si="153"/>
        <v>0.73333333333333328</v>
      </c>
      <c r="AR97" s="62">
        <f t="shared" si="153"/>
        <v>0.85911111111111105</v>
      </c>
      <c r="AS97" s="62">
        <f t="shared" si="153"/>
        <v>0.91111111111111109</v>
      </c>
      <c r="AT97" s="62">
        <f t="shared" si="153"/>
        <v>0.93617021276595747</v>
      </c>
      <c r="AU97" s="62">
        <f t="shared" si="153"/>
        <v>0.93877551020408168</v>
      </c>
      <c r="AV97" s="62">
        <f t="shared" si="153"/>
        <v>0.97959183673469385</v>
      </c>
      <c r="AW97" s="62">
        <f t="shared" si="153"/>
        <v>0.97959183673469385</v>
      </c>
      <c r="AX97" s="62">
        <f t="shared" si="153"/>
        <v>0.97959183673469385</v>
      </c>
      <c r="AY97" s="62">
        <f t="shared" si="153"/>
        <v>0.97959183673469385</v>
      </c>
      <c r="AZ97" s="62">
        <f t="shared" si="153"/>
        <v>0.97959183673469385</v>
      </c>
      <c r="BA97" s="62">
        <f t="shared" si="153"/>
        <v>0.97959183673469385</v>
      </c>
      <c r="BD97" s="186">
        <f t="shared" si="56"/>
        <v>89</v>
      </c>
    </row>
    <row r="98" spans="1:62" hidden="1" outlineLevel="3">
      <c r="B98" s="44"/>
      <c r="C98" s="62"/>
      <c r="D98" s="62"/>
      <c r="E98" s="62"/>
      <c r="F98" s="62"/>
      <c r="G98" s="62"/>
      <c r="H98" s="62"/>
      <c r="I98" s="62"/>
      <c r="J98" s="62"/>
      <c r="K98" s="62"/>
      <c r="L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D98" s="186">
        <f t="shared" si="56"/>
        <v>90</v>
      </c>
    </row>
    <row r="99" spans="1:62" hidden="1" outlineLevel="3">
      <c r="B99" s="73" t="s">
        <v>317</v>
      </c>
      <c r="C99" s="62"/>
      <c r="D99" s="62"/>
      <c r="E99" s="62"/>
      <c r="F99" s="62"/>
      <c r="G99" s="62"/>
      <c r="H99" s="62"/>
      <c r="J99" s="62"/>
      <c r="K99" s="62"/>
      <c r="L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D99" s="186">
        <f t="shared" si="56"/>
        <v>91</v>
      </c>
    </row>
    <row r="100" spans="1:62" hidden="1" outlineLevel="3">
      <c r="B100" s="40" t="s">
        <v>315</v>
      </c>
      <c r="C100" s="94">
        <f t="shared" ref="C100:L100" si="154">C59*1000/C96</f>
        <v>3156.49859528362</v>
      </c>
      <c r="D100" s="94">
        <f t="shared" si="154"/>
        <v>2501.4659720830828</v>
      </c>
      <c r="E100" s="94">
        <f t="shared" si="154"/>
        <v>1687.5279540646718</v>
      </c>
      <c r="F100" s="94">
        <f t="shared" si="154"/>
        <v>1959.6153846153845</v>
      </c>
      <c r="G100" s="94">
        <f t="shared" si="154"/>
        <v>1142.8571428571429</v>
      </c>
      <c r="H100" s="94">
        <f t="shared" si="154"/>
        <v>737.35208333333333</v>
      </c>
      <c r="I100" s="94">
        <f t="shared" si="154"/>
        <v>1509.0233009708741</v>
      </c>
      <c r="J100" s="94">
        <f t="shared" si="154"/>
        <v>1829.2016764683976</v>
      </c>
      <c r="K100" s="94">
        <f t="shared" si="154"/>
        <v>1882.7790562616963</v>
      </c>
      <c r="L100" s="94">
        <f t="shared" si="154"/>
        <v>1882.7790562616963</v>
      </c>
      <c r="N100" s="94">
        <f t="shared" ref="N100:BA100" si="155">N59*4*1000/N96</f>
        <v>3303.8056557377049</v>
      </c>
      <c r="O100" s="94">
        <f t="shared" si="155"/>
        <v>3428.2304526748972</v>
      </c>
      <c r="P100" s="94">
        <f t="shared" si="155"/>
        <v>3190.4855525767057</v>
      </c>
      <c r="Q100" s="94">
        <f t="shared" si="155"/>
        <v>2866.3971462544591</v>
      </c>
      <c r="R100" s="94">
        <f t="shared" si="155"/>
        <v>2902.2271880819367</v>
      </c>
      <c r="S100" s="94">
        <f t="shared" si="155"/>
        <v>2645.0487137383689</v>
      </c>
      <c r="T100" s="94">
        <f t="shared" si="155"/>
        <v>2476.8445216794316</v>
      </c>
      <c r="U100" s="94">
        <f t="shared" si="155"/>
        <v>2044.0496657115566</v>
      </c>
      <c r="V100" s="94">
        <f t="shared" si="155"/>
        <v>1822.6737744329464</v>
      </c>
      <c r="W100" s="94">
        <f t="shared" si="155"/>
        <v>1682.4596651445963</v>
      </c>
      <c r="X100" s="94">
        <f t="shared" si="155"/>
        <v>1622.0841959972395</v>
      </c>
      <c r="Y100" s="94">
        <f t="shared" si="155"/>
        <v>1630.4249235926254</v>
      </c>
      <c r="Z100" s="94">
        <f t="shared" si="155"/>
        <v>1635.8040027605243</v>
      </c>
      <c r="AA100" s="94">
        <f t="shared" si="155"/>
        <v>1930.5976944686624</v>
      </c>
      <c r="AB100" s="94">
        <f t="shared" si="155"/>
        <v>2332.7810430077429</v>
      </c>
      <c r="AC100" s="94">
        <f t="shared" si="155"/>
        <v>2370.8313285217855</v>
      </c>
      <c r="AD100" s="94">
        <f t="shared" si="155"/>
        <v>2154.9560000000001</v>
      </c>
      <c r="AE100" s="94">
        <f t="shared" si="155"/>
        <v>0</v>
      </c>
      <c r="AF100" s="94">
        <f t="shared" si="155"/>
        <v>0</v>
      </c>
      <c r="AG100" s="94">
        <f t="shared" si="155"/>
        <v>0</v>
      </c>
      <c r="AH100" s="94">
        <f t="shared" si="155"/>
        <v>677.45161290322585</v>
      </c>
      <c r="AI100" s="94">
        <f t="shared" si="155"/>
        <v>695.82978723404256</v>
      </c>
      <c r="AJ100" s="94">
        <f t="shared" si="155"/>
        <v>729.85116279069769</v>
      </c>
      <c r="AK100" s="94">
        <f t="shared" si="155"/>
        <v>827.90697674418607</v>
      </c>
      <c r="AL100" s="94">
        <f t="shared" si="155"/>
        <v>1174.4988764044945</v>
      </c>
      <c r="AM100" s="94">
        <f t="shared" si="155"/>
        <v>1499.7061224489796</v>
      </c>
      <c r="AN100" s="94">
        <f t="shared" si="155"/>
        <v>1614.6467289719626</v>
      </c>
      <c r="AO100" s="94">
        <f t="shared" si="155"/>
        <v>1673.2949152542378</v>
      </c>
      <c r="AP100" s="94">
        <f t="shared" si="155"/>
        <v>1756.9596610169499</v>
      </c>
      <c r="AQ100" s="94">
        <f t="shared" si="155"/>
        <v>1809.6684508474586</v>
      </c>
      <c r="AR100" s="94">
        <f t="shared" si="155"/>
        <v>1845.8618198644081</v>
      </c>
      <c r="AS100" s="94">
        <f t="shared" si="155"/>
        <v>1882.7790562616963</v>
      </c>
      <c r="AT100" s="94">
        <f t="shared" si="155"/>
        <v>1882.779056261696</v>
      </c>
      <c r="AU100" s="94">
        <f t="shared" si="155"/>
        <v>1882.7790562616963</v>
      </c>
      <c r="AV100" s="94">
        <f t="shared" si="155"/>
        <v>1882.7790562616963</v>
      </c>
      <c r="AW100" s="94">
        <f t="shared" si="155"/>
        <v>1882.7790562616963</v>
      </c>
      <c r="AX100" s="94">
        <f t="shared" si="155"/>
        <v>1882.7790562616963</v>
      </c>
      <c r="AY100" s="94">
        <f t="shared" si="155"/>
        <v>1882.7790562616963</v>
      </c>
      <c r="AZ100" s="94">
        <f t="shared" si="155"/>
        <v>1882.7790562616963</v>
      </c>
      <c r="BA100" s="94">
        <f t="shared" si="155"/>
        <v>1882.7790562616963</v>
      </c>
      <c r="BD100" s="186">
        <f t="shared" si="56"/>
        <v>92</v>
      </c>
    </row>
    <row r="101" spans="1:62" hidden="1" outlineLevel="3">
      <c r="B101" s="40" t="s">
        <v>316</v>
      </c>
      <c r="C101" s="189">
        <f t="shared" ref="C101:L101" si="156">C59*C46*1000/C96</f>
        <v>983.03704856169918</v>
      </c>
      <c r="D101" s="189">
        <f t="shared" si="156"/>
        <v>626.46607554347622</v>
      </c>
      <c r="E101" s="189">
        <f t="shared" si="156"/>
        <v>332.61673590203822</v>
      </c>
      <c r="F101" s="189">
        <f t="shared" si="156"/>
        <v>289.75445040135071</v>
      </c>
      <c r="G101" s="189">
        <f t="shared" si="156"/>
        <v>30.573796964151146</v>
      </c>
      <c r="H101" s="189">
        <f t="shared" si="156"/>
        <v>-54.217064950980394</v>
      </c>
      <c r="I101" s="189">
        <f t="shared" si="156"/>
        <v>266.3087556711302</v>
      </c>
      <c r="J101" s="189">
        <f t="shared" si="156"/>
        <v>432.17209784907112</v>
      </c>
      <c r="K101" s="189">
        <f t="shared" si="156"/>
        <v>470.69476406542407</v>
      </c>
      <c r="L101" s="189">
        <f t="shared" si="156"/>
        <v>470.69476406542407</v>
      </c>
      <c r="N101" s="189">
        <f t="shared" ref="N101:BA101" si="157">N59*N46*4*1000/N96</f>
        <v>1044.2436140281582</v>
      </c>
      <c r="O101" s="189">
        <f t="shared" si="157"/>
        <v>1041.7613169110646</v>
      </c>
      <c r="P101" s="189">
        <f t="shared" si="157"/>
        <v>972.10871975385578</v>
      </c>
      <c r="Q101" s="189">
        <f t="shared" si="157"/>
        <v>918.48926191282646</v>
      </c>
      <c r="R101" s="189">
        <f t="shared" si="157"/>
        <v>821.17879263039015</v>
      </c>
      <c r="S101" s="189">
        <f t="shared" si="157"/>
        <v>657.53487138787943</v>
      </c>
      <c r="T101" s="189">
        <f t="shared" si="157"/>
        <v>598.36237920860469</v>
      </c>
      <c r="U101" s="189">
        <f t="shared" si="157"/>
        <v>464.57502743588316</v>
      </c>
      <c r="V101" s="189">
        <f t="shared" si="157"/>
        <v>351.41906190662661</v>
      </c>
      <c r="W101" s="189">
        <f t="shared" si="157"/>
        <v>278.71188859102591</v>
      </c>
      <c r="X101" s="189">
        <f t="shared" si="157"/>
        <v>249.36889043109318</v>
      </c>
      <c r="Y101" s="189">
        <f t="shared" si="157"/>
        <v>230.56330793628931</v>
      </c>
      <c r="Z101" s="189">
        <f t="shared" si="157"/>
        <v>91.863102138229905</v>
      </c>
      <c r="AA101" s="189">
        <f t="shared" si="157"/>
        <v>231.15750501639459</v>
      </c>
      <c r="AB101" s="189">
        <f t="shared" si="157"/>
        <v>333.15498972446909</v>
      </c>
      <c r="AC101" s="189">
        <f t="shared" si="157"/>
        <v>315.43176636740969</v>
      </c>
      <c r="AD101" s="189">
        <f t="shared" si="157"/>
        <v>-16.111674851051056</v>
      </c>
      <c r="AE101" s="189">
        <f t="shared" si="157"/>
        <v>0</v>
      </c>
      <c r="AF101" s="189">
        <f t="shared" si="157"/>
        <v>0</v>
      </c>
      <c r="AG101" s="189">
        <f t="shared" si="157"/>
        <v>0</v>
      </c>
      <c r="AH101" s="189">
        <f t="shared" si="157"/>
        <v>-80.224533106960948</v>
      </c>
      <c r="AI101" s="189">
        <f t="shared" si="157"/>
        <v>-95.396019217570341</v>
      </c>
      <c r="AJ101" s="189">
        <f t="shared" si="157"/>
        <v>-34.211773255813952</v>
      </c>
      <c r="AK101" s="189">
        <f t="shared" si="157"/>
        <v>5.913621262458471</v>
      </c>
      <c r="AL101" s="189">
        <f t="shared" si="157"/>
        <v>121.81585409243495</v>
      </c>
      <c r="AM101" s="189">
        <f t="shared" si="157"/>
        <v>243.61104562254482</v>
      </c>
      <c r="AN101" s="189">
        <f t="shared" si="157"/>
        <v>323.07351862178143</v>
      </c>
      <c r="AO101" s="189">
        <f t="shared" si="157"/>
        <v>344.88413205629087</v>
      </c>
      <c r="AP101" s="189">
        <f t="shared" si="157"/>
        <v>386.53112542372901</v>
      </c>
      <c r="AQ101" s="189">
        <f t="shared" si="157"/>
        <v>416.22374369491547</v>
      </c>
      <c r="AR101" s="189">
        <f t="shared" si="157"/>
        <v>443.00683676745791</v>
      </c>
      <c r="AS101" s="189">
        <f t="shared" si="157"/>
        <v>470.69476406542407</v>
      </c>
      <c r="AT101" s="189">
        <f t="shared" si="157"/>
        <v>470.69476406542401</v>
      </c>
      <c r="AU101" s="189">
        <f t="shared" si="157"/>
        <v>470.69476406542407</v>
      </c>
      <c r="AV101" s="189">
        <f t="shared" si="157"/>
        <v>470.69476406542407</v>
      </c>
      <c r="AW101" s="189">
        <f t="shared" si="157"/>
        <v>470.69476406542407</v>
      </c>
      <c r="AX101" s="189">
        <f t="shared" si="157"/>
        <v>470.69476406542407</v>
      </c>
      <c r="AY101" s="189">
        <f t="shared" si="157"/>
        <v>470.69476406542407</v>
      </c>
      <c r="AZ101" s="189">
        <f t="shared" si="157"/>
        <v>470.69476406542407</v>
      </c>
      <c r="BA101" s="189">
        <f t="shared" si="157"/>
        <v>470.69476406542407</v>
      </c>
      <c r="BD101" s="186">
        <f t="shared" si="56"/>
        <v>93</v>
      </c>
    </row>
    <row r="102" spans="1:62" hidden="1" outlineLevel="3">
      <c r="B102" s="40" t="s">
        <v>333</v>
      </c>
      <c r="C102" s="189">
        <f t="shared" ref="C102:L102" si="158">+C101+C106</f>
        <v>983.03704856169918</v>
      </c>
      <c r="D102" s="189">
        <f t="shared" si="158"/>
        <v>626.46607554347622</v>
      </c>
      <c r="E102" s="189">
        <f t="shared" si="158"/>
        <v>297.22530121240732</v>
      </c>
      <c r="F102" s="189">
        <f t="shared" si="158"/>
        <v>247.12101546022348</v>
      </c>
      <c r="G102" s="189">
        <f t="shared" si="158"/>
        <v>-13.756517943268779</v>
      </c>
      <c r="H102" s="189">
        <f t="shared" si="158"/>
        <v>-109.52329252034374</v>
      </c>
      <c r="I102" s="189">
        <f t="shared" si="158"/>
        <v>174.08160497249065</v>
      </c>
      <c r="J102" s="189">
        <f t="shared" si="158"/>
        <v>342.79167052008984</v>
      </c>
      <c r="K102" s="189">
        <f t="shared" si="158"/>
        <v>394.24453530693728</v>
      </c>
      <c r="L102" s="189">
        <f t="shared" si="158"/>
        <v>390.79278508150423</v>
      </c>
      <c r="N102" s="189">
        <f t="shared" ref="N102:BA102" si="159">+N101+N106</f>
        <v>1044.2436140281582</v>
      </c>
      <c r="O102" s="189">
        <f t="shared" si="159"/>
        <v>1041.7613169110646</v>
      </c>
      <c r="P102" s="189">
        <f t="shared" si="159"/>
        <v>972.10871975385578</v>
      </c>
      <c r="Q102" s="189">
        <f t="shared" si="159"/>
        <v>918.48926191282646</v>
      </c>
      <c r="R102" s="189">
        <f t="shared" si="159"/>
        <v>821.17879263039015</v>
      </c>
      <c r="S102" s="189">
        <f t="shared" si="159"/>
        <v>657.53487138787943</v>
      </c>
      <c r="T102" s="189">
        <f t="shared" si="159"/>
        <v>598.36237920860469</v>
      </c>
      <c r="U102" s="189">
        <f t="shared" si="159"/>
        <v>464.57502743588316</v>
      </c>
      <c r="V102" s="189">
        <f t="shared" si="159"/>
        <v>351.41906190662661</v>
      </c>
      <c r="W102" s="189">
        <f t="shared" si="159"/>
        <v>278.71188859102591</v>
      </c>
      <c r="X102" s="189">
        <f t="shared" si="159"/>
        <v>249.36889043109318</v>
      </c>
      <c r="Y102" s="189">
        <f t="shared" si="159"/>
        <v>230.56330793628931</v>
      </c>
      <c r="Z102" s="189">
        <f t="shared" si="159"/>
        <v>91.863102138229905</v>
      </c>
      <c r="AA102" s="189">
        <f t="shared" si="159"/>
        <v>231.15750501639459</v>
      </c>
      <c r="AB102" s="189">
        <f t="shared" si="159"/>
        <v>333.15498972446909</v>
      </c>
      <c r="AC102" s="189">
        <f t="shared" si="159"/>
        <v>315.43176636740969</v>
      </c>
      <c r="AD102" s="189">
        <f t="shared" si="159"/>
        <v>-16.111674851051056</v>
      </c>
      <c r="AE102" s="189">
        <f t="shared" si="159"/>
        <v>0</v>
      </c>
      <c r="AF102" s="189">
        <f t="shared" si="159"/>
        <v>0</v>
      </c>
      <c r="AG102" s="189">
        <f t="shared" si="159"/>
        <v>0</v>
      </c>
      <c r="AH102" s="189">
        <f t="shared" si="159"/>
        <v>-129.99033488045757</v>
      </c>
      <c r="AI102" s="189">
        <f t="shared" si="159"/>
        <v>-151.71308932768011</v>
      </c>
      <c r="AJ102" s="189">
        <f t="shared" si="159"/>
        <v>-90.418633339395555</v>
      </c>
      <c r="AK102" s="189">
        <f t="shared" si="159"/>
        <v>-51.484560750992813</v>
      </c>
      <c r="AL102" s="189">
        <f t="shared" si="159"/>
        <v>40.029247992847004</v>
      </c>
      <c r="AM102" s="189">
        <f t="shared" si="159"/>
        <v>149.05655867801423</v>
      </c>
      <c r="AN102" s="189">
        <f t="shared" si="159"/>
        <v>228.58072628374003</v>
      </c>
      <c r="AO102" s="189">
        <f t="shared" si="159"/>
        <v>250.37997408708711</v>
      </c>
      <c r="AP102" s="189">
        <f t="shared" si="159"/>
        <v>285.25146950204999</v>
      </c>
      <c r="AQ102" s="189">
        <f t="shared" si="159"/>
        <v>323.67644865565478</v>
      </c>
      <c r="AR102" s="189">
        <f t="shared" si="159"/>
        <v>358.45561544211358</v>
      </c>
      <c r="AS102" s="189">
        <f t="shared" si="159"/>
        <v>389.64213376537214</v>
      </c>
      <c r="AT102" s="189">
        <f t="shared" si="159"/>
        <v>392.53616886270601</v>
      </c>
      <c r="AU102" s="189">
        <f t="shared" si="159"/>
        <v>394.29776068353613</v>
      </c>
      <c r="AV102" s="189">
        <f t="shared" si="159"/>
        <v>395.49507013633854</v>
      </c>
      <c r="AW102" s="189">
        <f t="shared" si="159"/>
        <v>394.52058280271092</v>
      </c>
      <c r="AX102" s="189">
        <f t="shared" si="159"/>
        <v>393.15029211766017</v>
      </c>
      <c r="AY102" s="189">
        <f t="shared" si="159"/>
        <v>391.59940267870491</v>
      </c>
      <c r="AZ102" s="189">
        <f t="shared" si="159"/>
        <v>390.0174954509705</v>
      </c>
      <c r="BA102" s="189">
        <f t="shared" si="159"/>
        <v>388.40395007868142</v>
      </c>
      <c r="BD102" s="186">
        <f t="shared" si="56"/>
        <v>94</v>
      </c>
    </row>
    <row r="103" spans="1:62" hidden="1" outlineLevel="3">
      <c r="B103" s="40"/>
      <c r="C103" s="189"/>
      <c r="D103" s="189"/>
      <c r="E103" s="189"/>
      <c r="F103" s="189"/>
      <c r="G103" s="189"/>
      <c r="H103" s="189"/>
      <c r="I103" s="189"/>
      <c r="J103" s="189"/>
      <c r="K103" s="189"/>
      <c r="L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  <c r="AO103" s="189"/>
      <c r="AP103" s="189"/>
      <c r="AQ103" s="189"/>
      <c r="AR103" s="189"/>
      <c r="AS103" s="189"/>
      <c r="AT103" s="189"/>
      <c r="AU103" s="189"/>
      <c r="AV103" s="189"/>
      <c r="AW103" s="189"/>
      <c r="AX103" s="189"/>
      <c r="AY103" s="189"/>
      <c r="AZ103" s="189"/>
      <c r="BA103" s="189"/>
      <c r="BD103" s="186">
        <f t="shared" si="56"/>
        <v>95</v>
      </c>
    </row>
    <row r="104" spans="1:62" hidden="1" outlineLevel="3">
      <c r="B104" s="40" t="s">
        <v>331</v>
      </c>
      <c r="C104" s="222">
        <f t="shared" ref="C104:L104" si="160">C59/C14</f>
        <v>0.6501559260409312</v>
      </c>
      <c r="D104" s="222">
        <f t="shared" si="160"/>
        <v>0.62858136224557304</v>
      </c>
      <c r="E104" s="222">
        <f t="shared" si="160"/>
        <v>0.53231935176358436</v>
      </c>
      <c r="F104" s="222">
        <f t="shared" si="160"/>
        <v>0.52784252784252783</v>
      </c>
      <c r="G104" s="222">
        <f t="shared" si="160"/>
        <v>0.45411542100283825</v>
      </c>
      <c r="H104" s="222">
        <f t="shared" si="160"/>
        <v>0.36444618809607654</v>
      </c>
      <c r="I104" s="222">
        <f t="shared" si="160"/>
        <v>0.47423476221655808</v>
      </c>
      <c r="J104" s="222">
        <f t="shared" si="160"/>
        <v>0.51147055734736235</v>
      </c>
      <c r="K104" s="222">
        <f t="shared" si="160"/>
        <v>0.54554827629301339</v>
      </c>
      <c r="L104" s="222">
        <f t="shared" si="160"/>
        <v>0.54375032806514623</v>
      </c>
      <c r="N104" s="222">
        <f t="shared" ref="N104:BA104" si="161">N59/N14</f>
        <v>0.62527748791271298</v>
      </c>
      <c r="O104" s="222">
        <f t="shared" si="161"/>
        <v>0.65698427294508077</v>
      </c>
      <c r="P104" s="222">
        <f t="shared" si="161"/>
        <v>0.66831022739043244</v>
      </c>
      <c r="Q104" s="222">
        <f t="shared" si="161"/>
        <v>0.64487341365805639</v>
      </c>
      <c r="R104" s="222">
        <f t="shared" si="161"/>
        <v>0.65347790063588296</v>
      </c>
      <c r="S104" s="222">
        <f t="shared" si="161"/>
        <v>0.66641917586666832</v>
      </c>
      <c r="T104" s="222">
        <f t="shared" si="161"/>
        <v>0.61157157008682372</v>
      </c>
      <c r="U104" s="222">
        <f t="shared" si="161"/>
        <v>0.57980512897081027</v>
      </c>
      <c r="V104" s="222">
        <f t="shared" si="161"/>
        <v>0.5519879457050243</v>
      </c>
      <c r="W104" s="222">
        <f t="shared" si="161"/>
        <v>0.54144471990950582</v>
      </c>
      <c r="X104" s="222">
        <f t="shared" si="161"/>
        <v>0.53055954348042</v>
      </c>
      <c r="Y104" s="222">
        <f t="shared" si="161"/>
        <v>0.50194983840380347</v>
      </c>
      <c r="Z104" s="222">
        <f t="shared" si="161"/>
        <v>0.50595362975034031</v>
      </c>
      <c r="AA104" s="222">
        <f t="shared" si="161"/>
        <v>0.55179757635629467</v>
      </c>
      <c r="AB104" s="222">
        <f t="shared" si="161"/>
        <v>0.59430175649416084</v>
      </c>
      <c r="AC104" s="222">
        <f t="shared" si="161"/>
        <v>0.6129703160981238</v>
      </c>
      <c r="AD104" s="222">
        <f t="shared" si="161"/>
        <v>0.70161919434890363</v>
      </c>
      <c r="AE104" s="222">
        <f t="shared" si="161"/>
        <v>0</v>
      </c>
      <c r="AF104" s="222">
        <f t="shared" si="161"/>
        <v>0</v>
      </c>
      <c r="AG104" s="222">
        <f t="shared" si="161"/>
        <v>0</v>
      </c>
      <c r="AH104" s="222">
        <f t="shared" si="161"/>
        <v>0.38946275244329875</v>
      </c>
      <c r="AI104" s="222">
        <f t="shared" si="161"/>
        <v>0.36310665813970017</v>
      </c>
      <c r="AJ104" s="222">
        <f t="shared" si="161"/>
        <v>0.33740437005723822</v>
      </c>
      <c r="AK104" s="222">
        <f t="shared" si="161"/>
        <v>0.36502038372255169</v>
      </c>
      <c r="AL104" s="222">
        <f t="shared" si="161"/>
        <v>0.41586726672056118</v>
      </c>
      <c r="AM104" s="222">
        <f t="shared" si="161"/>
        <v>0.47088887920582967</v>
      </c>
      <c r="AN104" s="222">
        <f t="shared" si="161"/>
        <v>0.48787535129175968</v>
      </c>
      <c r="AO104" s="222">
        <f t="shared" si="161"/>
        <v>0.50190340620233875</v>
      </c>
      <c r="AP104" s="222">
        <f t="shared" si="161"/>
        <v>0.48107836562797529</v>
      </c>
      <c r="AQ104" s="222">
        <f t="shared" si="161"/>
        <v>0.49259044133800051</v>
      </c>
      <c r="AR104" s="222">
        <f t="shared" si="161"/>
        <v>0.52721777684480819</v>
      </c>
      <c r="AS104" s="222">
        <f t="shared" si="161"/>
        <v>0.53599320037131104</v>
      </c>
      <c r="AT104" s="222">
        <f t="shared" si="161"/>
        <v>0.54379794258690572</v>
      </c>
      <c r="AU104" s="222">
        <f t="shared" si="161"/>
        <v>0.54480630209950998</v>
      </c>
      <c r="AV104" s="222">
        <f t="shared" si="161"/>
        <v>0.54861175076499924</v>
      </c>
      <c r="AW104" s="222">
        <f t="shared" si="161"/>
        <v>0.54482453373578443</v>
      </c>
      <c r="AX104" s="222">
        <f t="shared" si="161"/>
        <v>0.54375032806514623</v>
      </c>
      <c r="AY104" s="222">
        <f t="shared" si="161"/>
        <v>0.54375032806514623</v>
      </c>
      <c r="AZ104" s="222">
        <f t="shared" si="161"/>
        <v>0.54375032806514623</v>
      </c>
      <c r="BA104" s="222">
        <f t="shared" si="161"/>
        <v>0.54375032806514623</v>
      </c>
      <c r="BD104" s="186">
        <f t="shared" si="56"/>
        <v>96</v>
      </c>
    </row>
    <row r="105" spans="1:62" hidden="1" outlineLevel="3">
      <c r="B105" s="40" t="s">
        <v>332</v>
      </c>
      <c r="C105" s="188">
        <f t="shared" ref="C105:L105" si="162">C104*C19</f>
        <v>0</v>
      </c>
      <c r="D105" s="188">
        <f t="shared" si="162"/>
        <v>0</v>
      </c>
      <c r="E105" s="188">
        <f t="shared" si="162"/>
        <v>-35.133077216396565</v>
      </c>
      <c r="F105" s="188">
        <f t="shared" si="162"/>
        <v>-44.338772338772337</v>
      </c>
      <c r="G105" s="188">
        <f t="shared" si="162"/>
        <v>-37.237464522232735</v>
      </c>
      <c r="H105" s="188">
        <f t="shared" si="162"/>
        <v>-26.546989233294408</v>
      </c>
      <c r="I105" s="188">
        <f t="shared" si="162"/>
        <v>-47.496982609799375</v>
      </c>
      <c r="J105" s="188">
        <f t="shared" si="162"/>
        <v>-63.933819668420291</v>
      </c>
      <c r="K105" s="188">
        <f t="shared" si="162"/>
        <v>-71.098712745392731</v>
      </c>
      <c r="L105" s="188">
        <f t="shared" si="162"/>
        <v>-76.705899824563019</v>
      </c>
      <c r="N105" s="188">
        <f t="shared" ref="N105:BA105" si="163">N104*N19</f>
        <v>0</v>
      </c>
      <c r="O105" s="188">
        <f t="shared" si="163"/>
        <v>0</v>
      </c>
      <c r="P105" s="188">
        <f t="shared" si="163"/>
        <v>0</v>
      </c>
      <c r="Q105" s="188">
        <f t="shared" si="163"/>
        <v>0</v>
      </c>
      <c r="R105" s="188">
        <f t="shared" si="163"/>
        <v>0</v>
      </c>
      <c r="S105" s="188">
        <f t="shared" si="163"/>
        <v>0</v>
      </c>
      <c r="T105" s="188">
        <f t="shared" si="163"/>
        <v>0</v>
      </c>
      <c r="U105" s="188">
        <f t="shared" si="163"/>
        <v>0</v>
      </c>
      <c r="V105" s="188">
        <f t="shared" si="163"/>
        <v>0</v>
      </c>
      <c r="W105" s="188">
        <f t="shared" si="163"/>
        <v>0</v>
      </c>
      <c r="X105" s="188">
        <f t="shared" si="163"/>
        <v>0</v>
      </c>
      <c r="Y105" s="188">
        <f t="shared" si="163"/>
        <v>0</v>
      </c>
      <c r="Z105" s="188">
        <f t="shared" si="163"/>
        <v>0</v>
      </c>
      <c r="AA105" s="188">
        <f t="shared" si="163"/>
        <v>0</v>
      </c>
      <c r="AB105" s="188">
        <f t="shared" si="163"/>
        <v>0</v>
      </c>
      <c r="AC105" s="188">
        <f t="shared" si="163"/>
        <v>0</v>
      </c>
      <c r="AD105" s="188">
        <f t="shared" si="163"/>
        <v>0</v>
      </c>
      <c r="AE105" s="188">
        <f t="shared" si="163"/>
        <v>0</v>
      </c>
      <c r="AF105" s="188">
        <f t="shared" si="163"/>
        <v>0</v>
      </c>
      <c r="AG105" s="188">
        <f t="shared" si="163"/>
        <v>0</v>
      </c>
      <c r="AH105" s="188">
        <f t="shared" si="163"/>
        <v>-7.7136992748919759</v>
      </c>
      <c r="AI105" s="188">
        <f t="shared" si="163"/>
        <v>-6.6172557379378976</v>
      </c>
      <c r="AJ105" s="188">
        <f t="shared" si="163"/>
        <v>-6.0422374589850225</v>
      </c>
      <c r="AK105" s="188">
        <f t="shared" si="163"/>
        <v>-6.1703045664460134</v>
      </c>
      <c r="AL105" s="188">
        <f t="shared" si="163"/>
        <v>-9.0987599285791578</v>
      </c>
      <c r="AM105" s="188">
        <f t="shared" si="163"/>
        <v>-11.582924650704998</v>
      </c>
      <c r="AN105" s="188">
        <f t="shared" si="163"/>
        <v>-12.638410975213036</v>
      </c>
      <c r="AO105" s="188">
        <f t="shared" si="163"/>
        <v>-13.939363300457554</v>
      </c>
      <c r="AP105" s="188">
        <f t="shared" si="163"/>
        <v>-15.394507700095209</v>
      </c>
      <c r="AQ105" s="188">
        <f t="shared" si="163"/>
        <v>-15.270303681478016</v>
      </c>
      <c r="AR105" s="188">
        <f t="shared" si="163"/>
        <v>-16.343751082189055</v>
      </c>
      <c r="AS105" s="188">
        <f t="shared" si="163"/>
        <v>-16.615789211510641</v>
      </c>
      <c r="AT105" s="188">
        <f t="shared" si="163"/>
        <v>-17.194890944597958</v>
      </c>
      <c r="AU105" s="188">
        <f t="shared" si="163"/>
        <v>-17.571310777834235</v>
      </c>
      <c r="AV105" s="188">
        <f t="shared" si="163"/>
        <v>-18.047926542980527</v>
      </c>
      <c r="AW105" s="188">
        <f t="shared" si="163"/>
        <v>-18.281803503051162</v>
      </c>
      <c r="AX105" s="188">
        <f t="shared" si="163"/>
        <v>-18.610673267463337</v>
      </c>
      <c r="AY105" s="188">
        <f t="shared" si="163"/>
        <v>-18.982886732812602</v>
      </c>
      <c r="AZ105" s="188">
        <f t="shared" si="163"/>
        <v>-19.362544467468858</v>
      </c>
      <c r="BA105" s="188">
        <f t="shared" si="163"/>
        <v>-19.749795356818233</v>
      </c>
      <c r="BD105" s="186">
        <f t="shared" si="56"/>
        <v>97</v>
      </c>
    </row>
    <row r="106" spans="1:62" hidden="1" outlineLevel="3">
      <c r="B106" s="40" t="s">
        <v>334</v>
      </c>
      <c r="C106" s="80">
        <f t="shared" ref="C106:L106" si="164">C105*1000/C96</f>
        <v>0</v>
      </c>
      <c r="D106" s="80">
        <f t="shared" si="164"/>
        <v>0</v>
      </c>
      <c r="E106" s="80">
        <f t="shared" si="164"/>
        <v>-35.39143468963087</v>
      </c>
      <c r="F106" s="80">
        <f t="shared" si="164"/>
        <v>-42.633434941127248</v>
      </c>
      <c r="G106" s="80">
        <f t="shared" si="164"/>
        <v>-44.330314907419925</v>
      </c>
      <c r="H106" s="80">
        <f t="shared" si="164"/>
        <v>-55.306227569363351</v>
      </c>
      <c r="I106" s="80">
        <f t="shared" si="164"/>
        <v>-92.227150698639562</v>
      </c>
      <c r="J106" s="80">
        <f t="shared" si="164"/>
        <v>-89.380427328981256</v>
      </c>
      <c r="K106" s="80">
        <f t="shared" si="164"/>
        <v>-76.450228758486801</v>
      </c>
      <c r="L106" s="80">
        <f t="shared" si="164"/>
        <v>-79.901978983919818</v>
      </c>
      <c r="N106" s="80">
        <f t="shared" ref="N106:BA106" si="165">N105*4*1000/N96</f>
        <v>0</v>
      </c>
      <c r="O106" s="80">
        <f t="shared" si="165"/>
        <v>0</v>
      </c>
      <c r="P106" s="80">
        <f t="shared" si="165"/>
        <v>0</v>
      </c>
      <c r="Q106" s="80">
        <f t="shared" si="165"/>
        <v>0</v>
      </c>
      <c r="R106" s="80">
        <f t="shared" si="165"/>
        <v>0</v>
      </c>
      <c r="S106" s="80">
        <f t="shared" si="165"/>
        <v>0</v>
      </c>
      <c r="T106" s="80">
        <f t="shared" si="165"/>
        <v>0</v>
      </c>
      <c r="U106" s="80">
        <f t="shared" si="165"/>
        <v>0</v>
      </c>
      <c r="V106" s="80">
        <f t="shared" si="165"/>
        <v>0</v>
      </c>
      <c r="W106" s="80">
        <f t="shared" si="165"/>
        <v>0</v>
      </c>
      <c r="X106" s="80">
        <f t="shared" si="165"/>
        <v>0</v>
      </c>
      <c r="Y106" s="80">
        <f t="shared" si="165"/>
        <v>0</v>
      </c>
      <c r="Z106" s="80">
        <f t="shared" si="165"/>
        <v>0</v>
      </c>
      <c r="AA106" s="80">
        <f t="shared" si="165"/>
        <v>0</v>
      </c>
      <c r="AB106" s="80">
        <f t="shared" si="165"/>
        <v>0</v>
      </c>
      <c r="AC106" s="80">
        <f t="shared" si="165"/>
        <v>0</v>
      </c>
      <c r="AD106" s="80">
        <f t="shared" si="165"/>
        <v>0</v>
      </c>
      <c r="AE106" s="80">
        <f t="shared" si="165"/>
        <v>0</v>
      </c>
      <c r="AF106" s="80">
        <f t="shared" si="165"/>
        <v>0</v>
      </c>
      <c r="AG106" s="80">
        <f t="shared" si="165"/>
        <v>0</v>
      </c>
      <c r="AH106" s="80">
        <f t="shared" si="165"/>
        <v>-49.765801773496619</v>
      </c>
      <c r="AI106" s="80">
        <f t="shared" si="165"/>
        <v>-56.317070110109768</v>
      </c>
      <c r="AJ106" s="80">
        <f t="shared" si="165"/>
        <v>-56.206860083581603</v>
      </c>
      <c r="AK106" s="80">
        <f t="shared" si="165"/>
        <v>-57.398182013451283</v>
      </c>
      <c r="AL106" s="80">
        <f t="shared" si="165"/>
        <v>-81.786606099587942</v>
      </c>
      <c r="AM106" s="80">
        <f t="shared" si="165"/>
        <v>-94.554486944530595</v>
      </c>
      <c r="AN106" s="80">
        <f t="shared" si="165"/>
        <v>-94.492792338041383</v>
      </c>
      <c r="AO106" s="80">
        <f t="shared" si="165"/>
        <v>-94.50415796920376</v>
      </c>
      <c r="AP106" s="80">
        <f t="shared" si="165"/>
        <v>-101.27965592167901</v>
      </c>
      <c r="AQ106" s="80">
        <f t="shared" si="165"/>
        <v>-92.547295039260703</v>
      </c>
      <c r="AR106" s="80">
        <f t="shared" si="165"/>
        <v>-84.551221325344315</v>
      </c>
      <c r="AS106" s="80">
        <f t="shared" si="165"/>
        <v>-81.052630300051902</v>
      </c>
      <c r="AT106" s="80">
        <f t="shared" si="165"/>
        <v>-78.15859520271799</v>
      </c>
      <c r="AU106" s="80">
        <f t="shared" si="165"/>
        <v>-76.39700338188797</v>
      </c>
      <c r="AV106" s="80">
        <f t="shared" si="165"/>
        <v>-75.199693929085527</v>
      </c>
      <c r="AW106" s="80">
        <f t="shared" si="165"/>
        <v>-76.174181262713162</v>
      </c>
      <c r="AX106" s="80">
        <f t="shared" si="165"/>
        <v>-77.54447194776391</v>
      </c>
      <c r="AY106" s="80">
        <f t="shared" si="165"/>
        <v>-79.095361386719176</v>
      </c>
      <c r="AZ106" s="80">
        <f t="shared" si="165"/>
        <v>-80.677268614453581</v>
      </c>
      <c r="BA106" s="80">
        <f t="shared" si="165"/>
        <v>-82.290813986742634</v>
      </c>
      <c r="BD106" s="186">
        <f t="shared" ref="BD106:BD169" si="166">+BD105+1</f>
        <v>98</v>
      </c>
    </row>
    <row r="107" spans="1:62" hidden="1" outlineLevel="3">
      <c r="B107" s="40"/>
      <c r="C107" s="189"/>
      <c r="D107" s="189"/>
      <c r="E107" s="189"/>
      <c r="F107" s="189"/>
      <c r="G107" s="189"/>
      <c r="H107" s="189"/>
      <c r="I107" s="189"/>
      <c r="J107" s="189"/>
      <c r="K107" s="189"/>
      <c r="L107" s="189"/>
      <c r="N107" s="189"/>
      <c r="O107" s="189"/>
      <c r="P107" s="189"/>
      <c r="Q107" s="189"/>
      <c r="R107" s="189"/>
      <c r="S107" s="189"/>
      <c r="T107" s="189"/>
      <c r="U107" s="189"/>
      <c r="V107" s="189"/>
      <c r="W107" s="189"/>
      <c r="X107" s="189"/>
      <c r="Y107" s="189"/>
      <c r="Z107" s="189"/>
      <c r="AA107" s="189"/>
      <c r="AB107" s="189"/>
      <c r="AC107" s="189"/>
      <c r="AD107" s="189"/>
      <c r="AE107" s="189"/>
      <c r="AF107" s="189"/>
      <c r="AG107" s="189"/>
      <c r="AH107" s="189"/>
      <c r="AI107" s="189"/>
      <c r="AJ107" s="189"/>
      <c r="AK107" s="189"/>
      <c r="AL107" s="189"/>
      <c r="AM107" s="189"/>
      <c r="AN107" s="189"/>
      <c r="AO107" s="189"/>
      <c r="AP107" s="189"/>
      <c r="AQ107" s="189"/>
      <c r="AR107" s="189"/>
      <c r="AS107" s="189"/>
      <c r="AT107" s="189"/>
      <c r="AU107" s="189"/>
      <c r="AV107" s="189"/>
      <c r="AW107" s="189"/>
      <c r="AX107" s="189"/>
      <c r="AY107" s="189"/>
      <c r="AZ107" s="189"/>
      <c r="BA107" s="189"/>
      <c r="BD107" s="186">
        <f t="shared" si="166"/>
        <v>99</v>
      </c>
    </row>
    <row r="108" spans="1:62" s="87" customFormat="1" hidden="1" outlineLevel="3">
      <c r="A108" s="174"/>
      <c r="B108" s="207" t="s">
        <v>324</v>
      </c>
      <c r="C108" s="208"/>
      <c r="D108" s="208"/>
      <c r="E108" s="208"/>
      <c r="F108" s="101">
        <v>29800</v>
      </c>
      <c r="G108" s="101">
        <v>18649</v>
      </c>
      <c r="H108" s="101">
        <v>11301</v>
      </c>
      <c r="I108" s="94">
        <f t="shared" ref="I108:L109" si="167">SUMIFS($N108:$BB108,$N$5:$BB$5,I$5)</f>
        <v>15189</v>
      </c>
      <c r="J108" s="94">
        <f t="shared" si="167"/>
        <v>21459</v>
      </c>
      <c r="K108" s="94">
        <f t="shared" si="167"/>
        <v>27900</v>
      </c>
      <c r="L108" s="94">
        <f t="shared" si="167"/>
        <v>28800</v>
      </c>
      <c r="N108" s="208"/>
      <c r="O108" s="208"/>
      <c r="P108" s="208"/>
      <c r="Q108" s="208"/>
      <c r="R108" s="208"/>
      <c r="S108" s="208"/>
      <c r="T108" s="208"/>
      <c r="U108" s="208"/>
      <c r="V108" s="208"/>
      <c r="W108" s="208"/>
      <c r="X108" s="208"/>
      <c r="Y108" s="208"/>
      <c r="Z108" s="208"/>
      <c r="AA108" s="208"/>
      <c r="AB108" s="208"/>
      <c r="AC108" s="208"/>
      <c r="AD108" s="208"/>
      <c r="AE108" s="208"/>
      <c r="AF108" s="208"/>
      <c r="AG108" s="208"/>
      <c r="AH108" s="101">
        <v>3048</v>
      </c>
      <c r="AI108" s="101">
        <v>2721</v>
      </c>
      <c r="AJ108" s="101">
        <v>2779</v>
      </c>
      <c r="AK108" s="204"/>
      <c r="AL108" s="101">
        <v>3349</v>
      </c>
      <c r="AM108" s="101">
        <v>3688</v>
      </c>
      <c r="AN108" s="101">
        <v>4095</v>
      </c>
      <c r="AO108" s="101">
        <f>15189-AN108-AM108-AL108</f>
        <v>4057</v>
      </c>
      <c r="AP108" s="210">
        <f t="shared" ref="AP108:BA108" si="168">+AP109*AP88</f>
        <v>4560</v>
      </c>
      <c r="AQ108" s="210">
        <f t="shared" si="168"/>
        <v>4950</v>
      </c>
      <c r="AR108" s="210">
        <f t="shared" si="168"/>
        <v>5798.9999999999991</v>
      </c>
      <c r="AS108" s="210">
        <f t="shared" si="168"/>
        <v>6150</v>
      </c>
      <c r="AT108" s="210">
        <f t="shared" si="168"/>
        <v>6600</v>
      </c>
      <c r="AU108" s="210">
        <f t="shared" si="168"/>
        <v>6900</v>
      </c>
      <c r="AV108" s="210">
        <f t="shared" si="168"/>
        <v>7200</v>
      </c>
      <c r="AW108" s="210">
        <f t="shared" si="168"/>
        <v>7200</v>
      </c>
      <c r="AX108" s="210">
        <f t="shared" si="168"/>
        <v>7200</v>
      </c>
      <c r="AY108" s="210">
        <f t="shared" si="168"/>
        <v>7200</v>
      </c>
      <c r="AZ108" s="210">
        <f t="shared" si="168"/>
        <v>7200</v>
      </c>
      <c r="BA108" s="210">
        <f t="shared" si="168"/>
        <v>7200</v>
      </c>
      <c r="BD108" s="186">
        <f t="shared" si="166"/>
        <v>100</v>
      </c>
      <c r="BE108"/>
      <c r="BF108"/>
      <c r="BG108"/>
      <c r="BH108"/>
      <c r="BI108"/>
      <c r="BJ108"/>
    </row>
    <row r="109" spans="1:62" s="87" customFormat="1" hidden="1" outlineLevel="3">
      <c r="A109" s="174"/>
      <c r="B109" s="207" t="s">
        <v>326</v>
      </c>
      <c r="C109" s="208"/>
      <c r="D109" s="208"/>
      <c r="E109" s="208"/>
      <c r="F109" s="210">
        <f>F108/F88</f>
        <v>1146.1538461538462</v>
      </c>
      <c r="G109" s="210">
        <f>G108/G88</f>
        <v>888.04761904761904</v>
      </c>
      <c r="H109" s="210">
        <f>H108/H88</f>
        <v>941.75</v>
      </c>
      <c r="I109" s="94">
        <f t="shared" si="167"/>
        <v>1183.3140041116569</v>
      </c>
      <c r="J109" s="94">
        <f t="shared" si="167"/>
        <v>1200</v>
      </c>
      <c r="K109" s="94">
        <f t="shared" si="167"/>
        <v>1200</v>
      </c>
      <c r="L109" s="94">
        <f t="shared" si="167"/>
        <v>1200</v>
      </c>
      <c r="N109" s="208"/>
      <c r="O109" s="208"/>
      <c r="P109" s="208"/>
      <c r="Q109" s="208"/>
      <c r="R109" s="208"/>
      <c r="S109" s="208"/>
      <c r="T109" s="208"/>
      <c r="U109" s="208"/>
      <c r="V109" s="208"/>
      <c r="W109" s="208"/>
      <c r="X109" s="208"/>
      <c r="Y109" s="208"/>
      <c r="Z109" s="208"/>
      <c r="AA109" s="208"/>
      <c r="AB109" s="208"/>
      <c r="AC109" s="208"/>
      <c r="AD109" s="208"/>
      <c r="AE109" s="208"/>
      <c r="AF109" s="208"/>
      <c r="AG109" s="208"/>
      <c r="AH109" s="210">
        <f>AH108/AH88</f>
        <v>196.64516129032259</v>
      </c>
      <c r="AI109" s="210">
        <f>AI108/AI88</f>
        <v>231.57446808510639</v>
      </c>
      <c r="AJ109" s="210">
        <f>AJ108/AJ88</f>
        <v>258.51162790697674</v>
      </c>
      <c r="AK109" s="204"/>
      <c r="AL109" s="210">
        <f>AL108/AL88</f>
        <v>301.03370786516854</v>
      </c>
      <c r="AM109" s="210">
        <f>AM108/AM88</f>
        <v>301.0612244897959</v>
      </c>
      <c r="AN109" s="210">
        <f>AN108/AN88</f>
        <v>306.1682242990654</v>
      </c>
      <c r="AO109" s="210">
        <f>AO108/AO88</f>
        <v>275.05084745762713</v>
      </c>
      <c r="AP109" s="101">
        <v>300</v>
      </c>
      <c r="AQ109" s="101">
        <v>300</v>
      </c>
      <c r="AR109" s="101">
        <v>300</v>
      </c>
      <c r="AS109" s="101">
        <v>300</v>
      </c>
      <c r="AT109" s="101">
        <v>300</v>
      </c>
      <c r="AU109" s="101">
        <v>300</v>
      </c>
      <c r="AV109" s="101">
        <v>300</v>
      </c>
      <c r="AW109" s="101">
        <v>300</v>
      </c>
      <c r="AX109" s="101">
        <v>300</v>
      </c>
      <c r="AY109" s="101">
        <v>300</v>
      </c>
      <c r="AZ109" s="101">
        <v>300</v>
      </c>
      <c r="BA109" s="101">
        <v>300</v>
      </c>
      <c r="BD109" s="186">
        <f t="shared" si="166"/>
        <v>101</v>
      </c>
      <c r="BE109"/>
      <c r="BF109"/>
      <c r="BG109"/>
      <c r="BH109"/>
      <c r="BI109"/>
      <c r="BJ109"/>
    </row>
    <row r="110" spans="1:62" s="87" customFormat="1" hidden="1" outlineLevel="3">
      <c r="A110" s="174"/>
      <c r="B110" s="207" t="s">
        <v>325</v>
      </c>
      <c r="C110" s="208"/>
      <c r="D110" s="208"/>
      <c r="E110" s="208"/>
      <c r="F110" s="209">
        <f t="shared" ref="F110:L110" si="169">F59*1000/F108</f>
        <v>68.389261744966447</v>
      </c>
      <c r="G110" s="209">
        <f t="shared" si="169"/>
        <v>51.47729100756073</v>
      </c>
      <c r="H110" s="209">
        <f t="shared" si="169"/>
        <v>31.318378904521722</v>
      </c>
      <c r="I110" s="209">
        <f t="shared" si="169"/>
        <v>51.165119494370934</v>
      </c>
      <c r="J110" s="209">
        <f t="shared" si="169"/>
        <v>60.973389215613246</v>
      </c>
      <c r="K110" s="209">
        <f t="shared" si="169"/>
        <v>62.759301875389873</v>
      </c>
      <c r="L110" s="209">
        <f t="shared" si="169"/>
        <v>62.759301875389873</v>
      </c>
      <c r="N110" s="208"/>
      <c r="O110" s="208"/>
      <c r="P110" s="208"/>
      <c r="Q110" s="208"/>
      <c r="R110" s="208"/>
      <c r="S110" s="208"/>
      <c r="T110" s="208"/>
      <c r="U110" s="208"/>
      <c r="V110" s="208"/>
      <c r="W110" s="208"/>
      <c r="X110" s="208"/>
      <c r="Y110" s="208"/>
      <c r="Z110" s="208"/>
      <c r="AA110" s="208"/>
      <c r="AB110" s="208"/>
      <c r="AC110" s="208"/>
      <c r="AD110" s="208"/>
      <c r="AE110" s="208"/>
      <c r="AF110" s="208"/>
      <c r="AG110" s="208"/>
      <c r="AH110" s="209">
        <f>AH59*1000/AH108</f>
        <v>34.450459317585299</v>
      </c>
      <c r="AI110" s="209">
        <f>AI59*1000/AI108</f>
        <v>30.047776552737965</v>
      </c>
      <c r="AJ110" s="209">
        <f>AJ59*1000/AJ108</f>
        <v>28.232817560273478</v>
      </c>
      <c r="AK110" s="211"/>
      <c r="AL110" s="209">
        <f t="shared" ref="AL110:BA110" si="170">AL59*1000/AL108</f>
        <v>39.01552702299194</v>
      </c>
      <c r="AM110" s="209">
        <f t="shared" si="170"/>
        <v>49.813991323210409</v>
      </c>
      <c r="AN110" s="209">
        <f t="shared" si="170"/>
        <v>52.737240537240538</v>
      </c>
      <c r="AO110" s="209">
        <f t="shared" si="170"/>
        <v>60.835839290115871</v>
      </c>
      <c r="AP110" s="209">
        <f t="shared" si="170"/>
        <v>58.565322033898333</v>
      </c>
      <c r="AQ110" s="209">
        <f t="shared" si="170"/>
        <v>60.32228169491529</v>
      </c>
      <c r="AR110" s="209">
        <f t="shared" si="170"/>
        <v>61.528727328813602</v>
      </c>
      <c r="AS110" s="209">
        <f t="shared" si="170"/>
        <v>62.759301875389873</v>
      </c>
      <c r="AT110" s="209">
        <f t="shared" si="170"/>
        <v>62.759301875389866</v>
      </c>
      <c r="AU110" s="209">
        <f t="shared" si="170"/>
        <v>62.759301875389873</v>
      </c>
      <c r="AV110" s="209">
        <f t="shared" si="170"/>
        <v>62.759301875389873</v>
      </c>
      <c r="AW110" s="209">
        <f t="shared" si="170"/>
        <v>62.759301875389873</v>
      </c>
      <c r="AX110" s="209">
        <f t="shared" si="170"/>
        <v>62.759301875389873</v>
      </c>
      <c r="AY110" s="209">
        <f t="shared" si="170"/>
        <v>62.759301875389873</v>
      </c>
      <c r="AZ110" s="209">
        <f t="shared" si="170"/>
        <v>62.759301875389873</v>
      </c>
      <c r="BA110" s="209">
        <f t="shared" si="170"/>
        <v>62.759301875389873</v>
      </c>
      <c r="BD110" s="186">
        <f t="shared" si="166"/>
        <v>102</v>
      </c>
      <c r="BE110"/>
      <c r="BF110"/>
      <c r="BG110"/>
      <c r="BH110"/>
      <c r="BI110"/>
      <c r="BJ110"/>
    </row>
    <row r="111" spans="1:62" hidden="1" outlineLevel="3">
      <c r="B111" s="44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D111" s="186">
        <f t="shared" si="166"/>
        <v>103</v>
      </c>
    </row>
    <row r="112" spans="1:62" hidden="1" outlineLevel="2">
      <c r="B112" s="104" t="s">
        <v>104</v>
      </c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D112" s="186">
        <f t="shared" si="166"/>
        <v>104</v>
      </c>
    </row>
    <row r="113" spans="2:56" hidden="1" outlineLevel="3">
      <c r="B113" s="65" t="s">
        <v>122</v>
      </c>
      <c r="C113" s="94"/>
      <c r="D113" s="94"/>
      <c r="E113" s="94"/>
      <c r="F113" s="97">
        <v>130</v>
      </c>
      <c r="G113" s="97">
        <v>115</v>
      </c>
      <c r="H113" s="97">
        <v>68</v>
      </c>
      <c r="I113" s="94">
        <f t="shared" ref="I113:L114" si="171">AVERAGEIFS($N113:$BB113,$N$5:$BB$5,I$5)</f>
        <v>72</v>
      </c>
      <c r="J113" s="94">
        <f t="shared" si="171"/>
        <v>82.5</v>
      </c>
      <c r="K113" s="94">
        <f t="shared" si="171"/>
        <v>98.670731707317088</v>
      </c>
      <c r="L113" s="94">
        <f t="shared" si="171"/>
        <v>101.85365853658537</v>
      </c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223">
        <v>92</v>
      </c>
      <c r="AJ113" s="101">
        <v>58</v>
      </c>
      <c r="AK113" s="97">
        <v>60</v>
      </c>
      <c r="AL113" s="101">
        <v>66</v>
      </c>
      <c r="AM113" s="101">
        <v>72</v>
      </c>
      <c r="AN113" s="101">
        <v>74</v>
      </c>
      <c r="AO113" s="101">
        <f>72*4-AN113-AM113-AL113</f>
        <v>76</v>
      </c>
      <c r="AP113" s="110">
        <f>+AO113+2</f>
        <v>78</v>
      </c>
      <c r="AQ113" s="110">
        <f>+AP113+3</f>
        <v>81</v>
      </c>
      <c r="AR113" s="110">
        <f>+AQ113+3</f>
        <v>84</v>
      </c>
      <c r="AS113" s="110">
        <f>+AR113+3</f>
        <v>87</v>
      </c>
      <c r="AT113" s="110">
        <f t="shared" ref="AT113:BA113" si="172">MIN(AS113/AS$88*AT$88,AT119)</f>
        <v>93.365853658536594</v>
      </c>
      <c r="AU113" s="110">
        <f t="shared" si="172"/>
        <v>97.609756097560975</v>
      </c>
      <c r="AV113" s="110">
        <f t="shared" si="172"/>
        <v>101.85365853658537</v>
      </c>
      <c r="AW113" s="110">
        <f t="shared" si="172"/>
        <v>101.85365853658537</v>
      </c>
      <c r="AX113" s="110">
        <f t="shared" si="172"/>
        <v>101.85365853658537</v>
      </c>
      <c r="AY113" s="110">
        <f t="shared" si="172"/>
        <v>101.85365853658537</v>
      </c>
      <c r="AZ113" s="110">
        <f t="shared" si="172"/>
        <v>101.85365853658537</v>
      </c>
      <c r="BA113" s="110">
        <f t="shared" si="172"/>
        <v>101.85365853658537</v>
      </c>
      <c r="BD113" s="186">
        <f t="shared" si="166"/>
        <v>105</v>
      </c>
    </row>
    <row r="114" spans="2:56" hidden="1" outlineLevel="3">
      <c r="B114" s="65" t="s">
        <v>123</v>
      </c>
      <c r="C114" s="94"/>
      <c r="D114" s="94"/>
      <c r="E114" s="94"/>
      <c r="F114" s="97">
        <v>44</v>
      </c>
      <c r="G114" s="97">
        <v>56</v>
      </c>
      <c r="H114" s="97">
        <v>44</v>
      </c>
      <c r="I114" s="94">
        <f t="shared" si="171"/>
        <v>61</v>
      </c>
      <c r="J114" s="94">
        <f t="shared" si="171"/>
        <v>71</v>
      </c>
      <c r="K114" s="94">
        <f t="shared" si="171"/>
        <v>74</v>
      </c>
      <c r="L114" s="94">
        <f t="shared" si="171"/>
        <v>74</v>
      </c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223">
        <v>43</v>
      </c>
      <c r="AJ114" s="101">
        <v>43</v>
      </c>
      <c r="AK114" s="97">
        <v>42</v>
      </c>
      <c r="AL114" s="101">
        <v>49</v>
      </c>
      <c r="AM114" s="101">
        <v>62</v>
      </c>
      <c r="AN114" s="101">
        <v>66</v>
      </c>
      <c r="AO114" s="101">
        <f>61*4-AN114-AM114-AL114</f>
        <v>67</v>
      </c>
      <c r="AP114" s="110">
        <f t="shared" ref="AP114:AW114" si="173">MIN(AO114/AO$88*AP$88,AP120)</f>
        <v>68</v>
      </c>
      <c r="AQ114" s="110">
        <f t="shared" si="173"/>
        <v>70</v>
      </c>
      <c r="AR114" s="110">
        <f t="shared" si="173"/>
        <v>72</v>
      </c>
      <c r="AS114" s="110">
        <f t="shared" si="173"/>
        <v>74</v>
      </c>
      <c r="AT114" s="110">
        <f t="shared" si="173"/>
        <v>74</v>
      </c>
      <c r="AU114" s="110">
        <f t="shared" si="173"/>
        <v>74</v>
      </c>
      <c r="AV114" s="110">
        <f t="shared" si="173"/>
        <v>74</v>
      </c>
      <c r="AW114" s="110">
        <f t="shared" si="173"/>
        <v>74</v>
      </c>
      <c r="AX114" s="110">
        <f>MIN(AW114+2,AX120)</f>
        <v>74</v>
      </c>
      <c r="AY114" s="110">
        <f>MIN(AX114+2,AY120)</f>
        <v>74</v>
      </c>
      <c r="AZ114" s="110">
        <f>MIN(AY114+2,AZ120)</f>
        <v>74</v>
      </c>
      <c r="BA114" s="110">
        <f>MIN(AZ114+2,BA120)</f>
        <v>74</v>
      </c>
      <c r="BD114" s="186">
        <f t="shared" si="166"/>
        <v>106</v>
      </c>
    </row>
    <row r="115" spans="2:56" hidden="1" outlineLevel="3">
      <c r="B115" s="44" t="s">
        <v>124</v>
      </c>
      <c r="C115" s="94"/>
      <c r="D115" s="94"/>
      <c r="E115" s="94"/>
      <c r="F115" s="94">
        <f t="shared" ref="F115:L115" si="174">SUM(F113:F114)</f>
        <v>174</v>
      </c>
      <c r="G115" s="94">
        <f t="shared" si="174"/>
        <v>171</v>
      </c>
      <c r="H115" s="94">
        <f t="shared" si="174"/>
        <v>112</v>
      </c>
      <c r="I115" s="94">
        <f t="shared" si="174"/>
        <v>133</v>
      </c>
      <c r="J115" s="94">
        <f t="shared" si="174"/>
        <v>153.5</v>
      </c>
      <c r="K115" s="94">
        <f t="shared" si="174"/>
        <v>172.67073170731709</v>
      </c>
      <c r="L115" s="94">
        <f t="shared" si="174"/>
        <v>175.85365853658539</v>
      </c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02"/>
      <c r="AD115" s="102"/>
      <c r="AE115" s="102"/>
      <c r="AF115" s="102"/>
      <c r="AG115" s="102"/>
      <c r="AH115" s="102"/>
      <c r="AI115" s="94">
        <f t="shared" ref="AI115:BA115" si="175">SUM(AI113:AI114)</f>
        <v>135</v>
      </c>
      <c r="AJ115" s="94">
        <f t="shared" si="175"/>
        <v>101</v>
      </c>
      <c r="AK115" s="94">
        <f t="shared" si="175"/>
        <v>102</v>
      </c>
      <c r="AL115" s="94">
        <f t="shared" si="175"/>
        <v>115</v>
      </c>
      <c r="AM115" s="94">
        <f t="shared" si="175"/>
        <v>134</v>
      </c>
      <c r="AN115" s="94">
        <f t="shared" si="175"/>
        <v>140</v>
      </c>
      <c r="AO115" s="94">
        <f t="shared" ref="AO115" si="176">SUM(AO113:AO114)</f>
        <v>143</v>
      </c>
      <c r="AP115" s="94">
        <f t="shared" si="175"/>
        <v>146</v>
      </c>
      <c r="AQ115" s="94">
        <f t="shared" si="175"/>
        <v>151</v>
      </c>
      <c r="AR115" s="94">
        <f t="shared" si="175"/>
        <v>156</v>
      </c>
      <c r="AS115" s="94">
        <f t="shared" si="175"/>
        <v>161</v>
      </c>
      <c r="AT115" s="94">
        <f t="shared" si="175"/>
        <v>167.36585365853659</v>
      </c>
      <c r="AU115" s="94">
        <f t="shared" si="175"/>
        <v>171.60975609756099</v>
      </c>
      <c r="AV115" s="94">
        <f t="shared" si="175"/>
        <v>175.85365853658539</v>
      </c>
      <c r="AW115" s="94">
        <f t="shared" si="175"/>
        <v>175.85365853658539</v>
      </c>
      <c r="AX115" s="94">
        <f t="shared" si="175"/>
        <v>175.85365853658539</v>
      </c>
      <c r="AY115" s="94">
        <f t="shared" si="175"/>
        <v>175.85365853658539</v>
      </c>
      <c r="AZ115" s="94">
        <f t="shared" si="175"/>
        <v>175.85365853658539</v>
      </c>
      <c r="BA115" s="94">
        <f t="shared" si="175"/>
        <v>175.85365853658539</v>
      </c>
      <c r="BD115" s="186">
        <f t="shared" si="166"/>
        <v>107</v>
      </c>
    </row>
    <row r="116" spans="2:56" hidden="1" outlineLevel="3">
      <c r="B116" s="44" t="s">
        <v>125</v>
      </c>
      <c r="C116" s="61"/>
      <c r="D116" s="61"/>
      <c r="E116" s="61"/>
      <c r="F116" s="78">
        <f>F60/F115</f>
        <v>2.6149425287356323</v>
      </c>
      <c r="G116" s="78">
        <f>G60/G115</f>
        <v>1.7894736842105263</v>
      </c>
      <c r="H116" s="94">
        <f>SUM(H114:H115)</f>
        <v>156</v>
      </c>
      <c r="I116" s="78">
        <f>I60/I115</f>
        <v>2.3759323308270677</v>
      </c>
      <c r="J116" s="78">
        <f>J60/J115</f>
        <v>2.7842918342807184</v>
      </c>
      <c r="K116" s="78">
        <f>K60/K115</f>
        <v>2.8853514581512232</v>
      </c>
      <c r="L116" s="78">
        <f>L60/L115</f>
        <v>2.8853514581512236</v>
      </c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78">
        <f t="shared" ref="AI116:AN116" si="177">AI60*4/AI115</f>
        <v>1.1510814814814814</v>
      </c>
      <c r="AJ116" s="78">
        <f t="shared" si="177"/>
        <v>1.6599207920792078</v>
      </c>
      <c r="AK116" s="78">
        <f t="shared" si="177"/>
        <v>1.7254901960784315</v>
      </c>
      <c r="AL116" s="78">
        <f t="shared" si="177"/>
        <v>1.9570434782608697</v>
      </c>
      <c r="AM116" s="78">
        <f t="shared" si="177"/>
        <v>2.2878805970149254</v>
      </c>
      <c r="AN116" s="78">
        <f t="shared" si="177"/>
        <v>2.5611428571428569</v>
      </c>
      <c r="AO116" s="78">
        <f t="shared" ref="AO116" si="178">AO60*4/AO115</f>
        <v>2.6139860139860147</v>
      </c>
      <c r="AP116" s="78">
        <f t="shared" ref="AP116:BA116" si="179">+AO116*(1+AP117)</f>
        <v>2.6793356643356647</v>
      </c>
      <c r="AQ116" s="78">
        <f t="shared" si="179"/>
        <v>2.7463190559440562</v>
      </c>
      <c r="AR116" s="78">
        <f t="shared" si="179"/>
        <v>2.8149770323426573</v>
      </c>
      <c r="AS116" s="78">
        <f t="shared" si="179"/>
        <v>2.8853514581512236</v>
      </c>
      <c r="AT116" s="78">
        <f t="shared" si="179"/>
        <v>2.8853514581512236</v>
      </c>
      <c r="AU116" s="78">
        <f t="shared" si="179"/>
        <v>2.8853514581512236</v>
      </c>
      <c r="AV116" s="78">
        <f t="shared" si="179"/>
        <v>2.8853514581512236</v>
      </c>
      <c r="AW116" s="78">
        <f t="shared" si="179"/>
        <v>2.8853514581512236</v>
      </c>
      <c r="AX116" s="78">
        <f t="shared" si="179"/>
        <v>2.8853514581512236</v>
      </c>
      <c r="AY116" s="78">
        <f t="shared" si="179"/>
        <v>2.8853514581512236</v>
      </c>
      <c r="AZ116" s="78">
        <f t="shared" si="179"/>
        <v>2.8853514581512236</v>
      </c>
      <c r="BA116" s="78">
        <f t="shared" si="179"/>
        <v>2.8853514581512236</v>
      </c>
      <c r="BD116" s="186">
        <f t="shared" si="166"/>
        <v>108</v>
      </c>
    </row>
    <row r="117" spans="2:56" hidden="1" outlineLevel="3">
      <c r="B117" s="65" t="s">
        <v>132</v>
      </c>
      <c r="C117" s="94"/>
      <c r="D117" s="62"/>
      <c r="E117" s="62"/>
      <c r="F117" s="63" t="str">
        <f>IFERROR(+F116/E116-1,"NM")</f>
        <v>NM</v>
      </c>
      <c r="G117" s="63">
        <f>IFERROR(+G116/F116-1,"NM")</f>
        <v>-0.3156737998843262</v>
      </c>
      <c r="H117" s="94">
        <f>SUM(H115:H116)</f>
        <v>268</v>
      </c>
      <c r="I117" s="63">
        <f>IFERROR(+I116/H116-1,"NM")</f>
        <v>-0.98476966454598036</v>
      </c>
      <c r="J117" s="63">
        <f>IFERROR(+J116/I116-1,"NM")</f>
        <v>0.17187337288831772</v>
      </c>
      <c r="K117" s="63">
        <f>IFERROR(+K116/J116-1,"NM")</f>
        <v>3.6296347468408374E-2</v>
      </c>
      <c r="L117" s="63">
        <f>IFERROR(+L116/K116-1,"NM")</f>
        <v>2.2204460492503131E-16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63" t="str">
        <f t="shared" ref="AI117:AO117" si="180">IFERROR(+AI116/AH116-1,"NM")</f>
        <v>NM</v>
      </c>
      <c r="AJ117" s="63">
        <f t="shared" si="180"/>
        <v>0.4420532506029311</v>
      </c>
      <c r="AK117" s="63">
        <f t="shared" si="180"/>
        <v>3.9501525802982274E-2</v>
      </c>
      <c r="AL117" s="63">
        <f t="shared" si="180"/>
        <v>0.13419565217391294</v>
      </c>
      <c r="AM117" s="63">
        <f t="shared" si="180"/>
        <v>0.16904944751051465</v>
      </c>
      <c r="AN117" s="63">
        <f t="shared" si="180"/>
        <v>0.11943903911964027</v>
      </c>
      <c r="AO117" s="63">
        <f t="shared" si="180"/>
        <v>2.0632647138671523E-2</v>
      </c>
      <c r="AP117" s="111">
        <v>2.5000000000000001E-2</v>
      </c>
      <c r="AQ117" s="111">
        <v>2.5000000000000001E-2</v>
      </c>
      <c r="AR117" s="111">
        <v>2.5000000000000001E-2</v>
      </c>
      <c r="AS117" s="111">
        <v>2.5000000000000001E-2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  <c r="AZ117" s="111">
        <v>0</v>
      </c>
      <c r="BA117" s="111">
        <v>0</v>
      </c>
      <c r="BD117" s="186">
        <f t="shared" si="166"/>
        <v>109</v>
      </c>
    </row>
    <row r="118" spans="2:56" hidden="1" outlineLevel="3">
      <c r="B118" s="4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D118" s="186">
        <f t="shared" si="166"/>
        <v>110</v>
      </c>
    </row>
    <row r="119" spans="2:56" hidden="1" outlineLevel="3">
      <c r="B119" s="44" t="s">
        <v>138</v>
      </c>
      <c r="C119" s="94"/>
      <c r="D119" s="94"/>
      <c r="E119" s="94"/>
      <c r="F119" s="97">
        <f>G119</f>
        <v>127</v>
      </c>
      <c r="G119" s="97">
        <f>H119</f>
        <v>127</v>
      </c>
      <c r="H119" s="94">
        <f t="shared" ref="H119:L120" si="181">AVERAGEIFS($N119:$BB119,$N$5:$BB$5,H$5)</f>
        <v>127</v>
      </c>
      <c r="I119" s="94">
        <f t="shared" si="181"/>
        <v>126.25</v>
      </c>
      <c r="J119" s="94">
        <f t="shared" si="181"/>
        <v>124</v>
      </c>
      <c r="K119" s="94">
        <f t="shared" si="181"/>
        <v>124</v>
      </c>
      <c r="L119" s="94">
        <f t="shared" si="181"/>
        <v>124</v>
      </c>
      <c r="N119" s="102"/>
      <c r="O119" s="102"/>
      <c r="P119" s="102"/>
      <c r="Q119" s="102"/>
      <c r="R119" s="102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204">
        <v>127</v>
      </c>
      <c r="AJ119" s="204">
        <v>127</v>
      </c>
      <c r="AK119" s="97">
        <v>127</v>
      </c>
      <c r="AL119" s="101">
        <f>AK119</f>
        <v>127</v>
      </c>
      <c r="AM119" s="101">
        <f>AL119</f>
        <v>127</v>
      </c>
      <c r="AN119" s="101">
        <f>AM119</f>
        <v>127</v>
      </c>
      <c r="AO119" s="101">
        <v>124</v>
      </c>
      <c r="AP119" s="101">
        <f t="shared" ref="AP119:BA119" si="182">AO119</f>
        <v>124</v>
      </c>
      <c r="AQ119" s="101">
        <f t="shared" si="182"/>
        <v>124</v>
      </c>
      <c r="AR119" s="101">
        <f t="shared" si="182"/>
        <v>124</v>
      </c>
      <c r="AS119" s="101">
        <f t="shared" si="182"/>
        <v>124</v>
      </c>
      <c r="AT119" s="101">
        <f t="shared" si="182"/>
        <v>124</v>
      </c>
      <c r="AU119" s="101">
        <f t="shared" si="182"/>
        <v>124</v>
      </c>
      <c r="AV119" s="101">
        <f t="shared" si="182"/>
        <v>124</v>
      </c>
      <c r="AW119" s="101">
        <f t="shared" si="182"/>
        <v>124</v>
      </c>
      <c r="AX119" s="101">
        <f t="shared" si="182"/>
        <v>124</v>
      </c>
      <c r="AY119" s="101">
        <f t="shared" si="182"/>
        <v>124</v>
      </c>
      <c r="AZ119" s="101">
        <f t="shared" si="182"/>
        <v>124</v>
      </c>
      <c r="BA119" s="101">
        <f t="shared" si="182"/>
        <v>124</v>
      </c>
      <c r="BD119" s="186">
        <f t="shared" si="166"/>
        <v>111</v>
      </c>
    </row>
    <row r="120" spans="2:56" hidden="1" outlineLevel="3">
      <c r="B120" s="44" t="s">
        <v>139</v>
      </c>
      <c r="C120" s="94"/>
      <c r="D120" s="94"/>
      <c r="E120" s="94"/>
      <c r="F120" s="97">
        <f>G120</f>
        <v>57</v>
      </c>
      <c r="G120" s="97">
        <f>H120</f>
        <v>57</v>
      </c>
      <c r="H120" s="94">
        <f t="shared" si="181"/>
        <v>57</v>
      </c>
      <c r="I120" s="94">
        <f t="shared" si="181"/>
        <v>63</v>
      </c>
      <c r="J120" s="94">
        <f t="shared" si="181"/>
        <v>71</v>
      </c>
      <c r="K120" s="94">
        <f t="shared" si="181"/>
        <v>74</v>
      </c>
      <c r="L120" s="94">
        <f t="shared" si="181"/>
        <v>74</v>
      </c>
      <c r="N120" s="102"/>
      <c r="O120" s="102"/>
      <c r="P120" s="102"/>
      <c r="Q120" s="102"/>
      <c r="R120" s="102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204">
        <v>57</v>
      </c>
      <c r="AJ120" s="204">
        <v>57</v>
      </c>
      <c r="AK120" s="97">
        <v>57</v>
      </c>
      <c r="AL120" s="101">
        <f>AK120</f>
        <v>57</v>
      </c>
      <c r="AM120" s="101">
        <v>62</v>
      </c>
      <c r="AN120" s="101">
        <v>66</v>
      </c>
      <c r="AO120" s="101">
        <v>67</v>
      </c>
      <c r="AP120" s="101">
        <v>68</v>
      </c>
      <c r="AQ120" s="101">
        <f>+AP120+2</f>
        <v>70</v>
      </c>
      <c r="AR120" s="101">
        <f>+AQ120+2</f>
        <v>72</v>
      </c>
      <c r="AS120" s="101">
        <f>+AR120+2</f>
        <v>74</v>
      </c>
      <c r="AT120" s="101">
        <f t="shared" ref="AT120:BA120" si="183">AS120</f>
        <v>74</v>
      </c>
      <c r="AU120" s="101">
        <f t="shared" si="183"/>
        <v>74</v>
      </c>
      <c r="AV120" s="101">
        <f t="shared" si="183"/>
        <v>74</v>
      </c>
      <c r="AW120" s="101">
        <f t="shared" si="183"/>
        <v>74</v>
      </c>
      <c r="AX120" s="101">
        <f t="shared" si="183"/>
        <v>74</v>
      </c>
      <c r="AY120" s="101">
        <f t="shared" si="183"/>
        <v>74</v>
      </c>
      <c r="AZ120" s="101">
        <f t="shared" si="183"/>
        <v>74</v>
      </c>
      <c r="BA120" s="101">
        <f t="shared" si="183"/>
        <v>74</v>
      </c>
      <c r="BD120" s="186">
        <f t="shared" si="166"/>
        <v>112</v>
      </c>
    </row>
    <row r="121" spans="2:56" hidden="1" outlineLevel="3">
      <c r="B121" s="40" t="s">
        <v>140</v>
      </c>
      <c r="C121" s="94"/>
      <c r="D121" s="94"/>
      <c r="E121" s="94"/>
      <c r="F121" s="94">
        <f t="shared" ref="F121:L121" si="184">SUM(F119:F120)</f>
        <v>184</v>
      </c>
      <c r="G121" s="94">
        <f t="shared" si="184"/>
        <v>184</v>
      </c>
      <c r="H121" s="94">
        <f t="shared" si="184"/>
        <v>184</v>
      </c>
      <c r="I121" s="94">
        <f t="shared" si="184"/>
        <v>189.25</v>
      </c>
      <c r="J121" s="94">
        <f t="shared" si="184"/>
        <v>195</v>
      </c>
      <c r="K121" s="94">
        <f t="shared" si="184"/>
        <v>198</v>
      </c>
      <c r="L121" s="94">
        <f t="shared" si="184"/>
        <v>198</v>
      </c>
      <c r="N121" s="102"/>
      <c r="O121" s="102"/>
      <c r="P121" s="102"/>
      <c r="Q121" s="102"/>
      <c r="R121" s="102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94">
        <f t="shared" ref="AI121:BA121" si="185">SUM(AI119:AI120)</f>
        <v>184</v>
      </c>
      <c r="AJ121" s="94">
        <f t="shared" si="185"/>
        <v>184</v>
      </c>
      <c r="AK121" s="94">
        <f t="shared" si="185"/>
        <v>184</v>
      </c>
      <c r="AL121" s="195">
        <f t="shared" si="185"/>
        <v>184</v>
      </c>
      <c r="AM121" s="195">
        <f t="shared" si="185"/>
        <v>189</v>
      </c>
      <c r="AN121" s="195">
        <f t="shared" si="185"/>
        <v>193</v>
      </c>
      <c r="AO121" s="195">
        <f t="shared" si="185"/>
        <v>191</v>
      </c>
      <c r="AP121" s="94">
        <f t="shared" si="185"/>
        <v>192</v>
      </c>
      <c r="AQ121" s="94">
        <f t="shared" si="185"/>
        <v>194</v>
      </c>
      <c r="AR121" s="94">
        <f t="shared" si="185"/>
        <v>196</v>
      </c>
      <c r="AS121" s="94">
        <f t="shared" si="185"/>
        <v>198</v>
      </c>
      <c r="AT121" s="94">
        <f t="shared" si="185"/>
        <v>198</v>
      </c>
      <c r="AU121" s="94">
        <f t="shared" si="185"/>
        <v>198</v>
      </c>
      <c r="AV121" s="94">
        <f t="shared" si="185"/>
        <v>198</v>
      </c>
      <c r="AW121" s="94">
        <f t="shared" si="185"/>
        <v>198</v>
      </c>
      <c r="AX121" s="94">
        <f t="shared" si="185"/>
        <v>198</v>
      </c>
      <c r="AY121" s="94">
        <f t="shared" si="185"/>
        <v>198</v>
      </c>
      <c r="AZ121" s="94">
        <f t="shared" si="185"/>
        <v>198</v>
      </c>
      <c r="BA121" s="94">
        <f t="shared" si="185"/>
        <v>198</v>
      </c>
      <c r="BD121" s="186">
        <f t="shared" si="166"/>
        <v>113</v>
      </c>
    </row>
    <row r="122" spans="2:56" hidden="1" outlineLevel="3">
      <c r="B122" s="40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N122" s="94"/>
      <c r="O122" s="94"/>
      <c r="P122" s="94"/>
      <c r="Q122" s="94"/>
      <c r="R122" s="94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  <c r="AX122" s="94"/>
      <c r="AY122" s="94"/>
      <c r="AZ122" s="94"/>
      <c r="BA122" s="94"/>
      <c r="BD122" s="186">
        <f t="shared" si="166"/>
        <v>114</v>
      </c>
    </row>
    <row r="123" spans="2:56" hidden="1" outlineLevel="2">
      <c r="B123" s="104" t="s">
        <v>108</v>
      </c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  <c r="AI123" s="94"/>
      <c r="AJ123" s="94"/>
      <c r="AK123" s="94"/>
      <c r="AL123" s="94"/>
      <c r="AM123" s="62"/>
      <c r="AN123" s="62"/>
      <c r="AO123" s="62"/>
      <c r="AP123" s="94"/>
      <c r="AQ123" s="94"/>
      <c r="AR123" s="94"/>
      <c r="AS123" s="94"/>
      <c r="AT123" s="94"/>
      <c r="AU123" s="94"/>
      <c r="AV123" s="94"/>
      <c r="AW123" s="94"/>
      <c r="AX123" s="94"/>
      <c r="AY123" s="94"/>
      <c r="AZ123" s="94"/>
      <c r="BA123" s="94"/>
      <c r="BD123" s="186">
        <f t="shared" si="166"/>
        <v>115</v>
      </c>
    </row>
    <row r="124" spans="2:56" hidden="1" outlineLevel="3">
      <c r="B124" s="65" t="s">
        <v>141</v>
      </c>
      <c r="C124" s="99"/>
      <c r="D124" s="99"/>
      <c r="E124" s="99"/>
      <c r="F124" s="106">
        <v>44</v>
      </c>
      <c r="G124" s="106">
        <v>44</v>
      </c>
      <c r="H124" s="106">
        <v>44</v>
      </c>
      <c r="I124" s="99">
        <f t="shared" ref="I124:L125" si="186">IFERROR(AVERAGEIFS($N124:$BB124,$N$5:$BB$5,I$5),"NM")</f>
        <v>44</v>
      </c>
      <c r="J124" s="99">
        <f t="shared" si="186"/>
        <v>45.5</v>
      </c>
      <c r="K124" s="99">
        <f t="shared" si="186"/>
        <v>46</v>
      </c>
      <c r="L124" s="99">
        <f t="shared" si="186"/>
        <v>46</v>
      </c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05">
        <v>45</v>
      </c>
      <c r="AI124" s="105">
        <v>45</v>
      </c>
      <c r="AJ124" s="105">
        <v>45</v>
      </c>
      <c r="AK124" s="105">
        <v>44</v>
      </c>
      <c r="AL124" s="105">
        <f>AK124</f>
        <v>44</v>
      </c>
      <c r="AM124" s="105">
        <f>AL124</f>
        <v>44</v>
      </c>
      <c r="AN124" s="105">
        <f>AM124</f>
        <v>44</v>
      </c>
      <c r="AO124" s="105">
        <f>AN124</f>
        <v>44</v>
      </c>
      <c r="AP124" s="105">
        <f>AO124</f>
        <v>44</v>
      </c>
      <c r="AQ124" s="214">
        <v>46</v>
      </c>
      <c r="AR124" s="105">
        <f t="shared" ref="AR124:BA124" si="187">AQ124</f>
        <v>46</v>
      </c>
      <c r="AS124" s="105">
        <f t="shared" si="187"/>
        <v>46</v>
      </c>
      <c r="AT124" s="105">
        <f t="shared" si="187"/>
        <v>46</v>
      </c>
      <c r="AU124" s="105">
        <f t="shared" si="187"/>
        <v>46</v>
      </c>
      <c r="AV124" s="105">
        <f t="shared" si="187"/>
        <v>46</v>
      </c>
      <c r="AW124" s="105">
        <f t="shared" si="187"/>
        <v>46</v>
      </c>
      <c r="AX124" s="105">
        <f t="shared" si="187"/>
        <v>46</v>
      </c>
      <c r="AY124" s="105">
        <f t="shared" si="187"/>
        <v>46</v>
      </c>
      <c r="AZ124" s="105">
        <f t="shared" si="187"/>
        <v>46</v>
      </c>
      <c r="BA124" s="105">
        <f t="shared" si="187"/>
        <v>46</v>
      </c>
      <c r="BD124" s="186">
        <f t="shared" si="166"/>
        <v>116</v>
      </c>
    </row>
    <row r="125" spans="2:56" hidden="1" outlineLevel="3">
      <c r="B125" s="65" t="s">
        <v>142</v>
      </c>
      <c r="C125" s="94"/>
      <c r="D125" s="94"/>
      <c r="E125" s="94"/>
      <c r="F125" s="97">
        <v>44</v>
      </c>
      <c r="G125" s="97">
        <v>34</v>
      </c>
      <c r="H125" s="97">
        <v>27</v>
      </c>
      <c r="I125" s="99">
        <f t="shared" si="186"/>
        <v>19</v>
      </c>
      <c r="J125" s="99">
        <f t="shared" si="186"/>
        <v>18.5</v>
      </c>
      <c r="K125" s="99">
        <f t="shared" si="186"/>
        <v>21.548780487804876</v>
      </c>
      <c r="L125" s="99">
        <f t="shared" si="186"/>
        <v>22.243902439024389</v>
      </c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5">
        <v>26</v>
      </c>
      <c r="AI125" s="97">
        <v>21</v>
      </c>
      <c r="AJ125" s="97">
        <v>21</v>
      </c>
      <c r="AK125" s="97">
        <v>25</v>
      </c>
      <c r="AL125" s="105">
        <v>22</v>
      </c>
      <c r="AM125" s="105">
        <v>21</v>
      </c>
      <c r="AN125" s="105">
        <v>16</v>
      </c>
      <c r="AO125" s="105">
        <f>19*4-AN125-AM125-AL125</f>
        <v>17</v>
      </c>
      <c r="AP125" s="112">
        <v>17</v>
      </c>
      <c r="AQ125" s="112">
        <f>+AP125+2</f>
        <v>19</v>
      </c>
      <c r="AR125" s="112">
        <v>19</v>
      </c>
      <c r="AS125" s="112">
        <v>19</v>
      </c>
      <c r="AT125" s="112">
        <f t="shared" ref="AT125:BA125" si="188">MIN(AS125/AS88*AT88,AT124)</f>
        <v>20.390243902439025</v>
      </c>
      <c r="AU125" s="112">
        <f t="shared" si="188"/>
        <v>21.317073170731707</v>
      </c>
      <c r="AV125" s="112">
        <f t="shared" si="188"/>
        <v>22.243902439024389</v>
      </c>
      <c r="AW125" s="112">
        <f t="shared" si="188"/>
        <v>22.243902439024389</v>
      </c>
      <c r="AX125" s="112">
        <f t="shared" si="188"/>
        <v>22.243902439024389</v>
      </c>
      <c r="AY125" s="112">
        <f t="shared" si="188"/>
        <v>22.243902439024389</v>
      </c>
      <c r="AZ125" s="112">
        <f t="shared" si="188"/>
        <v>22.243902439024389</v>
      </c>
      <c r="BA125" s="112">
        <f t="shared" si="188"/>
        <v>22.243902439024389</v>
      </c>
      <c r="BD125" s="186">
        <f t="shared" si="166"/>
        <v>117</v>
      </c>
    </row>
    <row r="126" spans="2:56" hidden="1" outlineLevel="3">
      <c r="B126" s="65" t="s">
        <v>128</v>
      </c>
      <c r="C126" s="63"/>
      <c r="D126" s="63"/>
      <c r="E126" s="63"/>
      <c r="F126" s="63">
        <f t="shared" ref="F126:L126" si="189">IFERROR(+F125/F124,"NM")</f>
        <v>1</v>
      </c>
      <c r="G126" s="63">
        <f t="shared" si="189"/>
        <v>0.77272727272727271</v>
      </c>
      <c r="H126" s="63">
        <f t="shared" si="189"/>
        <v>0.61363636363636365</v>
      </c>
      <c r="I126" s="63">
        <f t="shared" si="189"/>
        <v>0.43181818181818182</v>
      </c>
      <c r="J126" s="63">
        <f t="shared" si="189"/>
        <v>0.40659340659340659</v>
      </c>
      <c r="K126" s="63">
        <f t="shared" si="189"/>
        <v>0.46845174973488862</v>
      </c>
      <c r="L126" s="63">
        <f t="shared" si="189"/>
        <v>0.4835630965005302</v>
      </c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62">
        <f t="shared" ref="AH126:BA126" si="190">+AH125/AH124</f>
        <v>0.57777777777777772</v>
      </c>
      <c r="AI126" s="62">
        <f t="shared" si="190"/>
        <v>0.46666666666666667</v>
      </c>
      <c r="AJ126" s="62">
        <f t="shared" si="190"/>
        <v>0.46666666666666667</v>
      </c>
      <c r="AK126" s="62">
        <f t="shared" si="190"/>
        <v>0.56818181818181823</v>
      </c>
      <c r="AL126" s="62">
        <f t="shared" si="190"/>
        <v>0.5</v>
      </c>
      <c r="AM126" s="62">
        <f t="shared" si="190"/>
        <v>0.47727272727272729</v>
      </c>
      <c r="AN126" s="62">
        <f t="shared" si="190"/>
        <v>0.36363636363636365</v>
      </c>
      <c r="AO126" s="62">
        <f t="shared" si="190"/>
        <v>0.38636363636363635</v>
      </c>
      <c r="AP126" s="62">
        <f t="shared" si="190"/>
        <v>0.38636363636363635</v>
      </c>
      <c r="AQ126" s="62">
        <f t="shared" si="190"/>
        <v>0.41304347826086957</v>
      </c>
      <c r="AR126" s="62">
        <f t="shared" si="190"/>
        <v>0.41304347826086957</v>
      </c>
      <c r="AS126" s="62">
        <f t="shared" si="190"/>
        <v>0.41304347826086957</v>
      </c>
      <c r="AT126" s="62">
        <f t="shared" si="190"/>
        <v>0.44326617179215272</v>
      </c>
      <c r="AU126" s="62">
        <f t="shared" si="190"/>
        <v>0.46341463414634143</v>
      </c>
      <c r="AV126" s="62">
        <f t="shared" si="190"/>
        <v>0.4835630965005302</v>
      </c>
      <c r="AW126" s="62">
        <f t="shared" si="190"/>
        <v>0.4835630965005302</v>
      </c>
      <c r="AX126" s="62">
        <f t="shared" si="190"/>
        <v>0.4835630965005302</v>
      </c>
      <c r="AY126" s="62">
        <f t="shared" si="190"/>
        <v>0.4835630965005302</v>
      </c>
      <c r="AZ126" s="62">
        <f t="shared" si="190"/>
        <v>0.4835630965005302</v>
      </c>
      <c r="BA126" s="62">
        <f t="shared" si="190"/>
        <v>0.4835630965005302</v>
      </c>
      <c r="BD126" s="186">
        <f t="shared" si="166"/>
        <v>118</v>
      </c>
    </row>
    <row r="127" spans="2:56" hidden="1" outlineLevel="3">
      <c r="B127" s="65"/>
      <c r="C127" s="94"/>
      <c r="D127" s="94"/>
      <c r="E127" s="94"/>
      <c r="F127" s="41"/>
      <c r="G127" s="97"/>
      <c r="H127" s="97"/>
      <c r="I127" s="94"/>
      <c r="J127" s="94"/>
      <c r="K127" s="94"/>
      <c r="L127" s="94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I127" s="62"/>
      <c r="AK127" s="62"/>
      <c r="AL127" s="62"/>
      <c r="AM127" s="62"/>
      <c r="AN127" s="62"/>
      <c r="AO127" s="62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D127" s="186">
        <f t="shared" si="166"/>
        <v>119</v>
      </c>
    </row>
    <row r="128" spans="2:56" hidden="1" outlineLevel="3">
      <c r="B128" s="65" t="s">
        <v>125</v>
      </c>
      <c r="C128" s="100"/>
      <c r="D128" s="100"/>
      <c r="E128" s="100"/>
      <c r="F128" s="100">
        <f>F67/F125</f>
        <v>4.7727272727272725</v>
      </c>
      <c r="G128" s="100">
        <f>G67/G125</f>
        <v>3.7352941176470589</v>
      </c>
      <c r="H128" s="100">
        <f>H67/H125</f>
        <v>2.0677407407407409</v>
      </c>
      <c r="I128" s="100">
        <f>I61/I125</f>
        <v>4.1148947368421052</v>
      </c>
      <c r="J128" s="100">
        <f>J61/J125</f>
        <v>5.4201116393513518</v>
      </c>
      <c r="K128" s="100">
        <f>K61/K125</f>
        <v>5.5777092480000015</v>
      </c>
      <c r="L128" s="100">
        <f>L67/L125</f>
        <v>0</v>
      </c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100">
        <f>AH67*4/AH125</f>
        <v>2.938769230769231</v>
      </c>
      <c r="AI128" s="100">
        <f>AI67*4/AI125</f>
        <v>2.124190476190476</v>
      </c>
      <c r="AJ128" s="100">
        <f>AJ67*4/AJ125</f>
        <v>2.3740952380952383</v>
      </c>
      <c r="AK128" s="100">
        <f>AK67*4/AK125</f>
        <v>2.08</v>
      </c>
      <c r="AL128" s="100">
        <f>AL61*4/AL125</f>
        <v>3.2287272727272724</v>
      </c>
      <c r="AM128" s="100">
        <f>AM61*4/AM125</f>
        <v>3.538476190476191</v>
      </c>
      <c r="AN128" s="100">
        <f>AN61*4/AN125</f>
        <v>4.9870000000000001</v>
      </c>
      <c r="AO128" s="100">
        <f>AO61*4/AO125</f>
        <v>5.1529411764705877</v>
      </c>
      <c r="AP128" s="100">
        <f t="shared" ref="AP128:BA128" si="191">+AO128*(1+AP129)</f>
        <v>5.2559999999999993</v>
      </c>
      <c r="AQ128" s="100">
        <f t="shared" si="191"/>
        <v>5.3611199999999997</v>
      </c>
      <c r="AR128" s="100">
        <f t="shared" si="191"/>
        <v>5.4683424</v>
      </c>
      <c r="AS128" s="100">
        <f t="shared" si="191"/>
        <v>5.5777092480000006</v>
      </c>
      <c r="AT128" s="100">
        <f t="shared" si="191"/>
        <v>5.5777092480000006</v>
      </c>
      <c r="AU128" s="100">
        <f t="shared" si="191"/>
        <v>5.5777092480000006</v>
      </c>
      <c r="AV128" s="100">
        <f t="shared" si="191"/>
        <v>5.5777092480000006</v>
      </c>
      <c r="AW128" s="100">
        <f t="shared" si="191"/>
        <v>5.5777092480000006</v>
      </c>
      <c r="AX128" s="100">
        <f t="shared" si="191"/>
        <v>5.5777092480000006</v>
      </c>
      <c r="AY128" s="100">
        <f t="shared" si="191"/>
        <v>5.5777092480000006</v>
      </c>
      <c r="AZ128" s="100">
        <f t="shared" si="191"/>
        <v>5.5777092480000006</v>
      </c>
      <c r="BA128" s="100">
        <f t="shared" si="191"/>
        <v>5.5777092480000006</v>
      </c>
      <c r="BD128" s="186">
        <f t="shared" si="166"/>
        <v>120</v>
      </c>
    </row>
    <row r="129" spans="2:56" hidden="1" outlineLevel="3">
      <c r="B129" s="98" t="s">
        <v>132</v>
      </c>
      <c r="C129" s="62"/>
      <c r="D129" s="63"/>
      <c r="E129" s="63"/>
      <c r="F129" s="63" t="str">
        <f t="shared" ref="F129:L129" si="192">IFERROR(+F128/E128-1,"NM")</f>
        <v>NM</v>
      </c>
      <c r="G129" s="63">
        <f t="shared" si="192"/>
        <v>-0.21736694677871138</v>
      </c>
      <c r="H129" s="63">
        <f t="shared" si="192"/>
        <v>-0.44643161271507725</v>
      </c>
      <c r="I129" s="63">
        <f t="shared" si="192"/>
        <v>0.99004384629380482</v>
      </c>
      <c r="J129" s="63">
        <f t="shared" si="192"/>
        <v>0.31719326640926648</v>
      </c>
      <c r="K129" s="63">
        <f t="shared" si="192"/>
        <v>2.907645065914366E-2</v>
      </c>
      <c r="L129" s="63">
        <f t="shared" si="192"/>
        <v>-1</v>
      </c>
      <c r="N129" s="48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63" t="str">
        <f t="shared" ref="AH129:AO129" si="193">IFERROR(+AH128/AG128-1,"NM")</f>
        <v>NM</v>
      </c>
      <c r="AI129" s="63">
        <f t="shared" si="193"/>
        <v>-0.27718364070578516</v>
      </c>
      <c r="AJ129" s="63">
        <f t="shared" si="193"/>
        <v>0.11764705882352966</v>
      </c>
      <c r="AK129" s="63">
        <f t="shared" si="193"/>
        <v>-0.12387676508344037</v>
      </c>
      <c r="AL129" s="63">
        <f t="shared" si="193"/>
        <v>0.55227272727272703</v>
      </c>
      <c r="AM129" s="63">
        <f t="shared" si="193"/>
        <v>9.5935299449208866E-2</v>
      </c>
      <c r="AN129" s="63">
        <f t="shared" si="193"/>
        <v>0.40936372934273546</v>
      </c>
      <c r="AO129" s="63">
        <f t="shared" si="193"/>
        <v>3.3274749643189772E-2</v>
      </c>
      <c r="AP129" s="111">
        <v>0.02</v>
      </c>
      <c r="AQ129" s="111">
        <v>0.02</v>
      </c>
      <c r="AR129" s="111">
        <v>0.02</v>
      </c>
      <c r="AS129" s="111">
        <v>0.02</v>
      </c>
      <c r="AT129" s="111">
        <v>0</v>
      </c>
      <c r="AU129" s="111">
        <v>0</v>
      </c>
      <c r="AV129" s="111">
        <v>0</v>
      </c>
      <c r="AW129" s="111">
        <v>0</v>
      </c>
      <c r="AX129" s="111">
        <f>AX117</f>
        <v>0</v>
      </c>
      <c r="AY129" s="111">
        <f>AY117</f>
        <v>0</v>
      </c>
      <c r="AZ129" s="111">
        <f>AZ117</f>
        <v>0</v>
      </c>
      <c r="BA129" s="111">
        <f>BA117</f>
        <v>0</v>
      </c>
      <c r="BD129" s="186">
        <f t="shared" si="166"/>
        <v>121</v>
      </c>
    </row>
    <row r="130" spans="2:56" hidden="1" outlineLevel="3">
      <c r="B130" s="44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D130" s="186">
        <f t="shared" si="166"/>
        <v>122</v>
      </c>
    </row>
    <row r="131" spans="2:56" hidden="1" outlineLevel="2">
      <c r="B131" s="104" t="s">
        <v>327</v>
      </c>
      <c r="C131" s="94"/>
      <c r="D131" s="94"/>
      <c r="E131" s="94"/>
      <c r="F131" s="94"/>
      <c r="G131" s="94"/>
      <c r="H131" s="42"/>
      <c r="I131" s="94"/>
      <c r="J131" s="94"/>
      <c r="K131" s="94"/>
      <c r="L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  <c r="AI131" s="94"/>
      <c r="AJ131" s="94"/>
      <c r="AK131" s="94"/>
      <c r="AL131" s="94"/>
      <c r="AM131" s="62"/>
      <c r="AN131" s="62"/>
      <c r="AO131" s="62"/>
      <c r="AP131" s="62"/>
      <c r="AQ131" s="94"/>
      <c r="AR131" s="94"/>
      <c r="AS131" s="94"/>
      <c r="AT131" s="94"/>
      <c r="AU131" s="94"/>
      <c r="AV131" s="94"/>
      <c r="AW131" s="94"/>
      <c r="AX131" s="94"/>
      <c r="AY131" s="94"/>
      <c r="AZ131" s="94"/>
      <c r="BA131" s="94"/>
      <c r="BD131" s="186">
        <f t="shared" si="166"/>
        <v>123</v>
      </c>
    </row>
    <row r="132" spans="2:56" hidden="1" outlineLevel="3">
      <c r="B132" s="65" t="s">
        <v>141</v>
      </c>
      <c r="C132" s="99"/>
      <c r="D132" s="99"/>
      <c r="E132" s="99"/>
      <c r="F132" s="106">
        <v>35</v>
      </c>
      <c r="G132" s="106">
        <v>35</v>
      </c>
      <c r="H132" s="106">
        <v>35</v>
      </c>
      <c r="I132" s="99">
        <f t="shared" ref="I132:L133" si="194">IFERROR(AVERAGEIFS($N132:$BB132,$N$5:$BB$5,I$5),"NM")</f>
        <v>41.833333333333329</v>
      </c>
      <c r="J132" s="99">
        <f t="shared" si="194"/>
        <v>117</v>
      </c>
      <c r="K132" s="99">
        <f t="shared" si="194"/>
        <v>117</v>
      </c>
      <c r="L132" s="99">
        <f t="shared" si="194"/>
        <v>117</v>
      </c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05">
        <v>35</v>
      </c>
      <c r="AM132" s="105">
        <v>35</v>
      </c>
      <c r="AN132" s="115">
        <v>35</v>
      </c>
      <c r="AO132" s="214">
        <f>2/3*AN132+1/3*AP132</f>
        <v>62.333333333333329</v>
      </c>
      <c r="AP132" s="214">
        <v>117</v>
      </c>
      <c r="AQ132" s="105">
        <f t="shared" ref="AQ132:BA132" si="195">AP132</f>
        <v>117</v>
      </c>
      <c r="AR132" s="105">
        <f t="shared" si="195"/>
        <v>117</v>
      </c>
      <c r="AS132" s="105">
        <f t="shared" si="195"/>
        <v>117</v>
      </c>
      <c r="AT132" s="105">
        <f t="shared" si="195"/>
        <v>117</v>
      </c>
      <c r="AU132" s="105">
        <f t="shared" si="195"/>
        <v>117</v>
      </c>
      <c r="AV132" s="105">
        <f t="shared" si="195"/>
        <v>117</v>
      </c>
      <c r="AW132" s="105">
        <f t="shared" si="195"/>
        <v>117</v>
      </c>
      <c r="AX132" s="105">
        <f t="shared" si="195"/>
        <v>117</v>
      </c>
      <c r="AY132" s="105">
        <f t="shared" si="195"/>
        <v>117</v>
      </c>
      <c r="AZ132" s="105">
        <f t="shared" si="195"/>
        <v>117</v>
      </c>
      <c r="BA132" s="105">
        <f t="shared" si="195"/>
        <v>117</v>
      </c>
      <c r="BD132" s="186">
        <f t="shared" si="166"/>
        <v>124</v>
      </c>
    </row>
    <row r="133" spans="2:56" hidden="1" outlineLevel="3">
      <c r="B133" s="65" t="s">
        <v>142</v>
      </c>
      <c r="C133" s="94"/>
      <c r="D133" s="94"/>
      <c r="E133" s="94"/>
      <c r="F133" s="106">
        <v>35</v>
      </c>
      <c r="G133" s="106">
        <v>30</v>
      </c>
      <c r="H133" s="106">
        <v>12</v>
      </c>
      <c r="I133" s="99">
        <f t="shared" si="194"/>
        <v>32.75</v>
      </c>
      <c r="J133" s="99">
        <f t="shared" si="194"/>
        <v>93.5</v>
      </c>
      <c r="K133" s="99">
        <f t="shared" si="194"/>
        <v>108.75</v>
      </c>
      <c r="L133" s="99">
        <f t="shared" si="194"/>
        <v>110</v>
      </c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15"/>
      <c r="AI133" s="204"/>
      <c r="AJ133" s="204"/>
      <c r="AK133" s="204"/>
      <c r="AL133" s="105">
        <v>28</v>
      </c>
      <c r="AM133" s="105">
        <v>29</v>
      </c>
      <c r="AN133" s="115">
        <v>29</v>
      </c>
      <c r="AO133" s="105">
        <v>45</v>
      </c>
      <c r="AP133" s="112">
        <v>87</v>
      </c>
      <c r="AQ133" s="112">
        <v>92</v>
      </c>
      <c r="AR133" s="112">
        <v>95</v>
      </c>
      <c r="AS133" s="112">
        <v>100</v>
      </c>
      <c r="AT133" s="112">
        <v>105</v>
      </c>
      <c r="AU133" s="112">
        <v>110</v>
      </c>
      <c r="AV133" s="112">
        <v>110</v>
      </c>
      <c r="AW133" s="112">
        <v>110</v>
      </c>
      <c r="AX133" s="112">
        <v>110</v>
      </c>
      <c r="AY133" s="112">
        <v>110</v>
      </c>
      <c r="AZ133" s="112">
        <v>110</v>
      </c>
      <c r="BA133" s="112">
        <v>110</v>
      </c>
      <c r="BD133" s="186">
        <f t="shared" si="166"/>
        <v>125</v>
      </c>
    </row>
    <row r="134" spans="2:56" hidden="1" outlineLevel="3">
      <c r="B134" s="65" t="s">
        <v>128</v>
      </c>
      <c r="C134" s="63"/>
      <c r="D134" s="63"/>
      <c r="E134" s="63"/>
      <c r="F134" s="63">
        <f t="shared" ref="F134:L134" si="196">IFERROR(+F133/F132,"NM")</f>
        <v>1</v>
      </c>
      <c r="G134" s="63">
        <f t="shared" si="196"/>
        <v>0.8571428571428571</v>
      </c>
      <c r="H134" s="63">
        <f t="shared" si="196"/>
        <v>0.34285714285714286</v>
      </c>
      <c r="I134" s="63">
        <f t="shared" si="196"/>
        <v>0.78286852589641442</v>
      </c>
      <c r="J134" s="63">
        <f t="shared" si="196"/>
        <v>0.79914529914529919</v>
      </c>
      <c r="K134" s="63">
        <f t="shared" si="196"/>
        <v>0.92948717948717952</v>
      </c>
      <c r="L134" s="63">
        <f t="shared" si="196"/>
        <v>0.94017094017094016</v>
      </c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  <c r="AF134" s="116"/>
      <c r="AG134" s="116"/>
      <c r="AH134" s="116"/>
      <c r="AI134" s="116"/>
      <c r="AJ134" s="116"/>
      <c r="AK134" s="116"/>
      <c r="AL134" s="62">
        <f t="shared" ref="AL134:BA134" si="197">+AL133/AL132</f>
        <v>0.8</v>
      </c>
      <c r="AM134" s="62">
        <f t="shared" si="197"/>
        <v>0.82857142857142863</v>
      </c>
      <c r="AN134" s="62">
        <f t="shared" si="197"/>
        <v>0.82857142857142863</v>
      </c>
      <c r="AO134" s="62">
        <f t="shared" si="197"/>
        <v>0.72192513368983968</v>
      </c>
      <c r="AP134" s="62">
        <f t="shared" si="197"/>
        <v>0.74358974358974361</v>
      </c>
      <c r="AQ134" s="62">
        <f t="shared" si="197"/>
        <v>0.78632478632478631</v>
      </c>
      <c r="AR134" s="62">
        <f t="shared" si="197"/>
        <v>0.81196581196581197</v>
      </c>
      <c r="AS134" s="62">
        <f t="shared" si="197"/>
        <v>0.85470085470085466</v>
      </c>
      <c r="AT134" s="62">
        <f t="shared" si="197"/>
        <v>0.89743589743589747</v>
      </c>
      <c r="AU134" s="62">
        <f t="shared" si="197"/>
        <v>0.94017094017094016</v>
      </c>
      <c r="AV134" s="62">
        <f t="shared" si="197"/>
        <v>0.94017094017094016</v>
      </c>
      <c r="AW134" s="62">
        <f t="shared" si="197"/>
        <v>0.94017094017094016</v>
      </c>
      <c r="AX134" s="62">
        <f t="shared" si="197"/>
        <v>0.94017094017094016</v>
      </c>
      <c r="AY134" s="62">
        <f t="shared" si="197"/>
        <v>0.94017094017094016</v>
      </c>
      <c r="AZ134" s="62">
        <f t="shared" si="197"/>
        <v>0.94017094017094016</v>
      </c>
      <c r="BA134" s="62">
        <f t="shared" si="197"/>
        <v>0.94017094017094016</v>
      </c>
      <c r="BD134" s="186">
        <f t="shared" si="166"/>
        <v>126</v>
      </c>
    </row>
    <row r="135" spans="2:56" hidden="1" outlineLevel="3">
      <c r="B135" s="65"/>
      <c r="C135" s="94"/>
      <c r="D135" s="94"/>
      <c r="E135" s="94"/>
      <c r="F135" s="41"/>
      <c r="G135" s="97"/>
      <c r="H135" s="97"/>
      <c r="I135" s="94"/>
      <c r="J135" s="94"/>
      <c r="K135" s="94"/>
      <c r="L135" s="94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I135" s="62"/>
      <c r="AK135" s="62"/>
      <c r="AL135" s="62"/>
      <c r="AM135" s="62"/>
      <c r="AN135" s="62"/>
      <c r="AO135" s="62"/>
      <c r="AP135" s="94"/>
      <c r="AQ135" s="94"/>
      <c r="AR135" s="94"/>
      <c r="AS135" s="94"/>
      <c r="AT135" s="94"/>
      <c r="AU135" s="94"/>
      <c r="AV135" s="94"/>
      <c r="AW135" s="94"/>
      <c r="AX135" s="94"/>
      <c r="AY135" s="94"/>
      <c r="AZ135" s="94"/>
      <c r="BA135" s="94"/>
      <c r="BD135" s="186">
        <f t="shared" si="166"/>
        <v>127</v>
      </c>
    </row>
    <row r="136" spans="2:56" hidden="1" outlineLevel="3">
      <c r="B136" s="65" t="s">
        <v>125</v>
      </c>
      <c r="C136" s="100"/>
      <c r="D136" s="100"/>
      <c r="E136" s="100"/>
      <c r="F136" s="212">
        <f t="shared" ref="F136:L136" si="198">F62/F133</f>
        <v>3.5142857142857142</v>
      </c>
      <c r="G136" s="212">
        <f t="shared" si="198"/>
        <v>3</v>
      </c>
      <c r="H136" s="212">
        <f t="shared" si="198"/>
        <v>2.5593333333333335</v>
      </c>
      <c r="I136" s="212">
        <f t="shared" si="198"/>
        <v>2.6009770992366383</v>
      </c>
      <c r="J136" s="212">
        <f t="shared" si="198"/>
        <v>3.4396925133689837</v>
      </c>
      <c r="K136" s="212">
        <f t="shared" si="198"/>
        <v>3.5546999999999991</v>
      </c>
      <c r="L136" s="212">
        <f t="shared" si="198"/>
        <v>3.5546999999999995</v>
      </c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213"/>
      <c r="AI136" s="213"/>
      <c r="AJ136" s="117"/>
      <c r="AK136" s="213"/>
      <c r="AL136" s="212">
        <f>AL62*4/AL133</f>
        <v>1.8877142857142855</v>
      </c>
      <c r="AM136" s="212">
        <f>AM62*4/AM133</f>
        <v>2.0982068965517224</v>
      </c>
      <c r="AN136" s="212">
        <f>AN62*4/AN133</f>
        <v>2.6750344827586203</v>
      </c>
      <c r="AO136" s="212">
        <f>AO62*4/AO133</f>
        <v>3.3210666666666588</v>
      </c>
      <c r="AP136" s="216">
        <v>3.3</v>
      </c>
      <c r="AQ136" s="216">
        <v>3.4</v>
      </c>
      <c r="AR136" s="212">
        <f t="shared" ref="AR136:BA136" si="199">+AQ136*(1+AR137)</f>
        <v>3.4849999999999994</v>
      </c>
      <c r="AS136" s="212">
        <f t="shared" si="199"/>
        <v>3.5546999999999995</v>
      </c>
      <c r="AT136" s="212">
        <f t="shared" si="199"/>
        <v>3.5546999999999995</v>
      </c>
      <c r="AU136" s="212">
        <f t="shared" si="199"/>
        <v>3.5546999999999995</v>
      </c>
      <c r="AV136" s="212">
        <f t="shared" si="199"/>
        <v>3.5546999999999995</v>
      </c>
      <c r="AW136" s="212">
        <f t="shared" si="199"/>
        <v>3.5546999999999995</v>
      </c>
      <c r="AX136" s="212">
        <f t="shared" si="199"/>
        <v>3.5546999999999995</v>
      </c>
      <c r="AY136" s="212">
        <f t="shared" si="199"/>
        <v>3.5546999999999995</v>
      </c>
      <c r="AZ136" s="212">
        <f t="shared" si="199"/>
        <v>3.5546999999999995</v>
      </c>
      <c r="BA136" s="212">
        <f t="shared" si="199"/>
        <v>3.5546999999999995</v>
      </c>
      <c r="BD136" s="186">
        <f t="shared" si="166"/>
        <v>128</v>
      </c>
    </row>
    <row r="137" spans="2:56" hidden="1" outlineLevel="3">
      <c r="B137" s="98" t="s">
        <v>132</v>
      </c>
      <c r="C137" s="62"/>
      <c r="D137" s="63"/>
      <c r="E137" s="63"/>
      <c r="F137" s="63" t="str">
        <f t="shared" ref="F137:L137" si="200">IFERROR(+F136/E136-1,"NM")</f>
        <v>NM</v>
      </c>
      <c r="G137" s="63">
        <f t="shared" si="200"/>
        <v>-0.14634146341463417</v>
      </c>
      <c r="H137" s="63">
        <f t="shared" si="200"/>
        <v>-0.14688888888888885</v>
      </c>
      <c r="I137" s="63">
        <f t="shared" si="200"/>
        <v>1.6271333382380071E-2</v>
      </c>
      <c r="J137" s="63">
        <f t="shared" si="200"/>
        <v>0.32246166810868893</v>
      </c>
      <c r="K137" s="63">
        <f t="shared" si="200"/>
        <v>3.3435397549059331E-2</v>
      </c>
      <c r="L137" s="63">
        <f t="shared" si="200"/>
        <v>2.2204460492503131E-16</v>
      </c>
      <c r="N137" s="48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33"/>
      <c r="AI137" s="133"/>
      <c r="AJ137" s="117"/>
      <c r="AK137" s="133"/>
      <c r="AL137" s="63" t="str">
        <f t="shared" ref="AL137:AQ137" si="201">IFERROR(+AL136/AK136-1,"NM")</f>
        <v>NM</v>
      </c>
      <c r="AM137" s="63">
        <f t="shared" si="201"/>
        <v>0.11150660480263808</v>
      </c>
      <c r="AN137" s="63">
        <f t="shared" si="201"/>
        <v>0.27491454115172309</v>
      </c>
      <c r="AO137" s="63">
        <f t="shared" si="201"/>
        <v>0.24150424529923065</v>
      </c>
      <c r="AP137" s="217">
        <f t="shared" si="201"/>
        <v>-6.3433435040928243E-3</v>
      </c>
      <c r="AQ137" s="217">
        <f t="shared" si="201"/>
        <v>3.0303030303030276E-2</v>
      </c>
      <c r="AR137" s="111">
        <v>2.5000000000000001E-2</v>
      </c>
      <c r="AS137" s="111">
        <v>0.02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  <c r="AZ137" s="111">
        <v>0</v>
      </c>
      <c r="BA137" s="111">
        <v>0</v>
      </c>
      <c r="BD137" s="186">
        <f t="shared" si="166"/>
        <v>129</v>
      </c>
    </row>
    <row r="138" spans="2:56" hidden="1" outlineLevel="3">
      <c r="B138" s="44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D138" s="186">
        <f t="shared" si="166"/>
        <v>130</v>
      </c>
    </row>
    <row r="139" spans="2:56" hidden="1" outlineLevel="2">
      <c r="B139" s="104" t="s">
        <v>106</v>
      </c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  <c r="AX139" s="94"/>
      <c r="AY139" s="94"/>
      <c r="AZ139" s="94"/>
      <c r="BA139" s="94"/>
      <c r="BD139" s="186">
        <f t="shared" si="166"/>
        <v>131</v>
      </c>
    </row>
    <row r="140" spans="2:56" hidden="1" outlineLevel="3">
      <c r="B140" s="65" t="s">
        <v>126</v>
      </c>
      <c r="C140" s="99">
        <f t="shared" ref="C140:L140" si="202">IFERROR(AVERAGEIFS($N140:$BB140,$N$5:$BB$5,C$5),"NM")</f>
        <v>728</v>
      </c>
      <c r="D140" s="99">
        <f t="shared" si="202"/>
        <v>695</v>
      </c>
      <c r="E140" s="99">
        <f t="shared" si="202"/>
        <v>550.25</v>
      </c>
      <c r="F140" s="99">
        <f t="shared" si="202"/>
        <v>549</v>
      </c>
      <c r="G140" s="99">
        <f t="shared" si="202"/>
        <v>519</v>
      </c>
      <c r="H140" s="99">
        <f t="shared" si="202"/>
        <v>498.25</v>
      </c>
      <c r="I140" s="99">
        <f t="shared" si="202"/>
        <v>440</v>
      </c>
      <c r="J140" s="99">
        <f t="shared" si="202"/>
        <v>384</v>
      </c>
      <c r="K140" s="99">
        <f t="shared" si="202"/>
        <v>384</v>
      </c>
      <c r="L140" s="99">
        <f t="shared" si="202"/>
        <v>384</v>
      </c>
      <c r="N140" s="97">
        <v>727</v>
      </c>
      <c r="O140" s="97">
        <v>723</v>
      </c>
      <c r="P140" s="97">
        <v>727</v>
      </c>
      <c r="Q140" s="97">
        <v>735</v>
      </c>
      <c r="R140" s="97">
        <v>743</v>
      </c>
      <c r="S140" s="97">
        <v>751</v>
      </c>
      <c r="T140" s="97">
        <v>676</v>
      </c>
      <c r="U140" s="97">
        <v>610</v>
      </c>
      <c r="V140" s="97">
        <v>548</v>
      </c>
      <c r="W140" s="97">
        <v>548</v>
      </c>
      <c r="X140" s="97">
        <v>554</v>
      </c>
      <c r="Y140" s="97">
        <v>551</v>
      </c>
      <c r="Z140" s="97">
        <v>551</v>
      </c>
      <c r="AA140" s="97">
        <v>552</v>
      </c>
      <c r="AB140" s="97">
        <v>550</v>
      </c>
      <c r="AC140" s="97">
        <v>543</v>
      </c>
      <c r="AD140" s="97">
        <v>519</v>
      </c>
      <c r="AE140" s="97">
        <v>519</v>
      </c>
      <c r="AF140" s="97">
        <v>519</v>
      </c>
      <c r="AG140" s="97">
        <v>519</v>
      </c>
      <c r="AH140" s="97">
        <v>500</v>
      </c>
      <c r="AI140" s="97">
        <v>499</v>
      </c>
      <c r="AJ140" s="97">
        <v>499</v>
      </c>
      <c r="AK140" s="204">
        <v>495</v>
      </c>
      <c r="AL140" s="97">
        <v>459</v>
      </c>
      <c r="AM140" s="97">
        <v>459</v>
      </c>
      <c r="AN140" s="97">
        <v>458</v>
      </c>
      <c r="AO140" s="97">
        <v>384</v>
      </c>
      <c r="AP140" s="97">
        <f t="shared" ref="AP140:BA140" si="203">AO140</f>
        <v>384</v>
      </c>
      <c r="AQ140" s="97">
        <f t="shared" si="203"/>
        <v>384</v>
      </c>
      <c r="AR140" s="97">
        <f t="shared" si="203"/>
        <v>384</v>
      </c>
      <c r="AS140" s="97">
        <f t="shared" si="203"/>
        <v>384</v>
      </c>
      <c r="AT140" s="97">
        <f t="shared" si="203"/>
        <v>384</v>
      </c>
      <c r="AU140" s="97">
        <f t="shared" si="203"/>
        <v>384</v>
      </c>
      <c r="AV140" s="97">
        <f t="shared" si="203"/>
        <v>384</v>
      </c>
      <c r="AW140" s="97">
        <f t="shared" si="203"/>
        <v>384</v>
      </c>
      <c r="AX140" s="97">
        <f t="shared" si="203"/>
        <v>384</v>
      </c>
      <c r="AY140" s="97">
        <f t="shared" si="203"/>
        <v>384</v>
      </c>
      <c r="AZ140" s="97">
        <f t="shared" si="203"/>
        <v>384</v>
      </c>
      <c r="BA140" s="97">
        <f t="shared" si="203"/>
        <v>384</v>
      </c>
      <c r="BD140" s="186">
        <f t="shared" si="166"/>
        <v>132</v>
      </c>
    </row>
    <row r="141" spans="2:56" hidden="1" outlineLevel="3">
      <c r="B141" s="65" t="s">
        <v>127</v>
      </c>
      <c r="C141" s="94">
        <f>C142*1000/(C6*5/7*10)</f>
        <v>374.68756164383558</v>
      </c>
      <c r="D141" s="94">
        <f>D142*1000/(D6*5/7*10)</f>
        <v>396.81676712328766</v>
      </c>
      <c r="E141" s="94">
        <f>E142*1000/(E6*5/7*10)</f>
        <v>390.72887671232871</v>
      </c>
      <c r="F141" s="97">
        <v>342</v>
      </c>
      <c r="G141" s="97">
        <v>275</v>
      </c>
      <c r="H141" s="97">
        <v>197</v>
      </c>
      <c r="I141" s="94">
        <f>I142*1000/(I6*5/7*10)</f>
        <v>173.73347945205478</v>
      </c>
      <c r="J141" s="94">
        <f>J142*1000/(J6*5/7*10)</f>
        <v>158.53108755211434</v>
      </c>
      <c r="K141" s="94">
        <f>K142*1000/(K6*5/7*10)</f>
        <v>177.63121858248954</v>
      </c>
      <c r="L141" s="94">
        <f>L142*1000/(L6*5/7*10)</f>
        <v>191.43184604419096</v>
      </c>
      <c r="N141" s="94">
        <f t="shared" ref="N141:AG141" si="204">N142*1000/(N6*5/7*10)</f>
        <v>374.47666666666657</v>
      </c>
      <c r="O141" s="94">
        <f t="shared" si="204"/>
        <v>346.46615384615387</v>
      </c>
      <c r="P141" s="94">
        <f t="shared" si="204"/>
        <v>388.64913043478265</v>
      </c>
      <c r="Q141" s="94">
        <f t="shared" si="204"/>
        <v>388.84695652173917</v>
      </c>
      <c r="R141" s="94">
        <f t="shared" si="204"/>
        <v>415.49230769230769</v>
      </c>
      <c r="S141" s="94">
        <f t="shared" si="204"/>
        <v>393.86769230769232</v>
      </c>
      <c r="T141" s="94">
        <f t="shared" si="204"/>
        <v>397.97130434782611</v>
      </c>
      <c r="U141" s="94">
        <f t="shared" si="204"/>
        <v>375.79347826086956</v>
      </c>
      <c r="V141" s="94">
        <f t="shared" si="204"/>
        <v>404.95</v>
      </c>
      <c r="W141" s="94">
        <f t="shared" si="204"/>
        <v>389.97384615384618</v>
      </c>
      <c r="X141" s="94">
        <f t="shared" si="204"/>
        <v>400.16717391304348</v>
      </c>
      <c r="Y141" s="94">
        <f t="shared" si="204"/>
        <v>368.12543478260869</v>
      </c>
      <c r="Z141" s="94">
        <f t="shared" si="204"/>
        <v>391.25644444444441</v>
      </c>
      <c r="AA141" s="94">
        <f t="shared" si="204"/>
        <v>368.34</v>
      </c>
      <c r="AB141" s="94">
        <f t="shared" si="204"/>
        <v>368.43282608695654</v>
      </c>
      <c r="AC141" s="94">
        <f t="shared" si="204"/>
        <v>329.18260869565216</v>
      </c>
      <c r="AD141" s="94">
        <f t="shared" si="204"/>
        <v>273.09736711376053</v>
      </c>
      <c r="AE141" s="94">
        <f t="shared" si="204"/>
        <v>227.53846153846155</v>
      </c>
      <c r="AF141" s="94">
        <f t="shared" si="204"/>
        <v>238.69543478260871</v>
      </c>
      <c r="AG141" s="94">
        <f t="shared" si="204"/>
        <v>225.49130434782609</v>
      </c>
      <c r="AH141" s="97">
        <v>212</v>
      </c>
      <c r="AI141" s="97">
        <v>191</v>
      </c>
      <c r="AJ141" s="97">
        <v>195</v>
      </c>
      <c r="AK141" s="102">
        <f>AK142*1000/(AK6*5/7*10)</f>
        <v>171.60499999999999</v>
      </c>
      <c r="AL141" s="97">
        <v>199</v>
      </c>
      <c r="AM141" s="97">
        <v>197</v>
      </c>
      <c r="AN141" s="97">
        <v>195</v>
      </c>
      <c r="AO141" s="97">
        <f>188*4-AN141-AM141-AL141</f>
        <v>161</v>
      </c>
      <c r="AP141" s="110">
        <f>+AO141+2</f>
        <v>163</v>
      </c>
      <c r="AQ141" s="110">
        <f>+AP141+2</f>
        <v>165</v>
      </c>
      <c r="AR141" s="110">
        <f>+AQ141+2</f>
        <v>167</v>
      </c>
      <c r="AS141" s="110">
        <f>+AR141+2</f>
        <v>169</v>
      </c>
      <c r="AT141" s="110">
        <f>+AS141+2</f>
        <v>171</v>
      </c>
      <c r="AU141" s="110">
        <f>+AT141+10</f>
        <v>181</v>
      </c>
      <c r="AV141" s="110">
        <f>+AU141+10</f>
        <v>191</v>
      </c>
      <c r="AW141" s="110">
        <f>+AV141+10</f>
        <v>201</v>
      </c>
      <c r="AX141" s="110">
        <f>AW141</f>
        <v>201</v>
      </c>
      <c r="AY141" s="110">
        <f>AX141</f>
        <v>201</v>
      </c>
      <c r="AZ141" s="110">
        <f>AY141</f>
        <v>201</v>
      </c>
      <c r="BA141" s="110">
        <f>AZ141</f>
        <v>201</v>
      </c>
      <c r="BD141" s="186">
        <f t="shared" si="166"/>
        <v>133</v>
      </c>
    </row>
    <row r="142" spans="2:56" hidden="1" outlineLevel="3">
      <c r="B142" s="65" t="s">
        <v>131</v>
      </c>
      <c r="C142" s="94">
        <f>SUMIFS($N142:$BB142,$N$5:$BB$5,C$5)</f>
        <v>976.86400000000003</v>
      </c>
      <c r="D142" s="94">
        <f>SUMIFS($N142:$BB142,$N$5:$BB$5,D$5)</f>
        <v>1034.558</v>
      </c>
      <c r="E142" s="94">
        <f>SUMIFS($N142:$BB142,$N$5:$BB$5,E$5)</f>
        <v>1018.6859999999999</v>
      </c>
      <c r="F142" s="97">
        <v>967</v>
      </c>
      <c r="G142" s="97">
        <v>645</v>
      </c>
      <c r="H142" s="97">
        <v>430</v>
      </c>
      <c r="I142" s="94">
        <f>SUMIFS($N142:$BB142,$N$5:$BB$5,I$5)</f>
        <v>452.94799999999998</v>
      </c>
      <c r="J142" s="94">
        <f>SUMIFS($N142:$BB142,$N$5:$BB$5,J$5)</f>
        <v>413.31319254658382</v>
      </c>
      <c r="K142" s="94">
        <f>SUMIFS($N142:$BB142,$N$5:$BB$5,K$5)</f>
        <v>463.1099627329192</v>
      </c>
      <c r="L142" s="94">
        <f>SUMIFS($N142:$BB142,$N$5:$BB$5,L$5)</f>
        <v>500.45754037267073</v>
      </c>
      <c r="N142" s="41">
        <v>240.73499999999999</v>
      </c>
      <c r="O142" s="41">
        <v>225.203</v>
      </c>
      <c r="P142" s="41">
        <v>255.39800000000002</v>
      </c>
      <c r="Q142" s="41">
        <v>255.52800000000002</v>
      </c>
      <c r="R142" s="41">
        <v>270.07</v>
      </c>
      <c r="S142" s="41">
        <v>256.01400000000001</v>
      </c>
      <c r="T142" s="41">
        <v>261.524</v>
      </c>
      <c r="U142" s="41">
        <v>246.95</v>
      </c>
      <c r="V142" s="41">
        <v>260.32499999999999</v>
      </c>
      <c r="W142" s="41">
        <v>253.483</v>
      </c>
      <c r="X142" s="41">
        <v>262.96699999999998</v>
      </c>
      <c r="Y142" s="41">
        <v>241.911</v>
      </c>
      <c r="Z142" s="41">
        <v>251.52199999999999</v>
      </c>
      <c r="AA142" s="41">
        <v>239.42099999999999</v>
      </c>
      <c r="AB142" s="41">
        <v>242.113</v>
      </c>
      <c r="AC142" s="41">
        <v>216.32</v>
      </c>
      <c r="AD142" s="41">
        <v>175.56259314456034</v>
      </c>
      <c r="AE142" s="41">
        <v>147.9</v>
      </c>
      <c r="AF142" s="41">
        <v>156.857</v>
      </c>
      <c r="AG142" s="41">
        <v>148.18</v>
      </c>
      <c r="AH142" s="41">
        <v>107.748</v>
      </c>
      <c r="AI142" s="41">
        <v>99.484999999999999</v>
      </c>
      <c r="AJ142" s="41">
        <v>110.074</v>
      </c>
      <c r="AK142" s="47">
        <f>430.076-AJ142-AI142-AH142</f>
        <v>112.76899999999999</v>
      </c>
      <c r="AL142" s="41">
        <v>117.89</v>
      </c>
      <c r="AM142" s="41">
        <v>116.19199999999999</v>
      </c>
      <c r="AN142" s="41">
        <v>118.65</v>
      </c>
      <c r="AO142" s="41">
        <f>452.948-AN142-AM142-AL142</f>
        <v>100.21599999999999</v>
      </c>
      <c r="AP142" s="188">
        <f t="shared" ref="AP142:BA142" si="205">+AP144*AP141/1000</f>
        <v>101.46091925465838</v>
      </c>
      <c r="AQ142" s="188">
        <f t="shared" si="205"/>
        <v>102.70583850931676</v>
      </c>
      <c r="AR142" s="188">
        <f t="shared" si="205"/>
        <v>103.95075776397513</v>
      </c>
      <c r="AS142" s="188">
        <f t="shared" si="205"/>
        <v>105.19567701863353</v>
      </c>
      <c r="AT142" s="188">
        <f t="shared" si="205"/>
        <v>106.44059627329192</v>
      </c>
      <c r="AU142" s="188">
        <f t="shared" si="205"/>
        <v>112.66519254658384</v>
      </c>
      <c r="AV142" s="188">
        <f t="shared" si="205"/>
        <v>118.88978881987576</v>
      </c>
      <c r="AW142" s="188">
        <f t="shared" si="205"/>
        <v>125.11438509316768</v>
      </c>
      <c r="AX142" s="188">
        <f t="shared" si="205"/>
        <v>125.11438509316768</v>
      </c>
      <c r="AY142" s="188">
        <f t="shared" si="205"/>
        <v>125.11438509316768</v>
      </c>
      <c r="AZ142" s="188">
        <f t="shared" si="205"/>
        <v>125.11438509316768</v>
      </c>
      <c r="BA142" s="188">
        <f t="shared" si="205"/>
        <v>125.11438509316768</v>
      </c>
      <c r="BD142" s="186">
        <f t="shared" si="166"/>
        <v>134</v>
      </c>
    </row>
    <row r="143" spans="2:56" hidden="1" outlineLevel="3">
      <c r="B143" s="65" t="s">
        <v>128</v>
      </c>
      <c r="C143" s="63">
        <f t="shared" ref="C143:L143" si="206">IFERROR(+C141/C140,"NM")</f>
        <v>0.51468071654373015</v>
      </c>
      <c r="D143" s="63">
        <f t="shared" si="206"/>
        <v>0.57095937715580958</v>
      </c>
      <c r="E143" s="63">
        <f t="shared" si="206"/>
        <v>0.71009336976343251</v>
      </c>
      <c r="F143" s="63">
        <f t="shared" si="206"/>
        <v>0.62295081967213117</v>
      </c>
      <c r="G143" s="63">
        <f t="shared" si="206"/>
        <v>0.52986512524084783</v>
      </c>
      <c r="H143" s="63">
        <f t="shared" si="206"/>
        <v>0.39538384345208227</v>
      </c>
      <c r="I143" s="63">
        <f t="shared" si="206"/>
        <v>0.39484881693648816</v>
      </c>
      <c r="J143" s="63">
        <f t="shared" si="206"/>
        <v>0.41284137383363112</v>
      </c>
      <c r="K143" s="63">
        <f t="shared" si="206"/>
        <v>0.46258129839189982</v>
      </c>
      <c r="L143" s="63">
        <f t="shared" si="206"/>
        <v>0.49852043240674732</v>
      </c>
      <c r="N143" s="62">
        <f t="shared" ref="N143:BA143" si="207">+N141/N140</f>
        <v>0.51509857863365416</v>
      </c>
      <c r="O143" s="62">
        <f t="shared" si="207"/>
        <v>0.47920629854239816</v>
      </c>
      <c r="P143" s="62">
        <f t="shared" si="207"/>
        <v>0.53459302673285092</v>
      </c>
      <c r="Q143" s="62">
        <f t="shared" si="207"/>
        <v>0.52904347826086962</v>
      </c>
      <c r="R143" s="62">
        <f t="shared" si="207"/>
        <v>0.55920902784967386</v>
      </c>
      <c r="S143" s="62">
        <f t="shared" si="207"/>
        <v>0.52445764621530266</v>
      </c>
      <c r="T143" s="62">
        <f t="shared" si="207"/>
        <v>0.58871494726009777</v>
      </c>
      <c r="U143" s="62">
        <f t="shared" si="207"/>
        <v>0.61605488239486816</v>
      </c>
      <c r="V143" s="62">
        <f t="shared" si="207"/>
        <v>0.73895985401459852</v>
      </c>
      <c r="W143" s="62">
        <f t="shared" si="207"/>
        <v>0.71163110612015723</v>
      </c>
      <c r="X143" s="62">
        <f t="shared" si="207"/>
        <v>0.72232341861560201</v>
      </c>
      <c r="Y143" s="62">
        <f t="shared" si="207"/>
        <v>0.66810423735500668</v>
      </c>
      <c r="Z143" s="62">
        <f t="shared" si="207"/>
        <v>0.71008429118773941</v>
      </c>
      <c r="AA143" s="62">
        <f t="shared" si="207"/>
        <v>0.66728260869565215</v>
      </c>
      <c r="AB143" s="62">
        <f t="shared" si="207"/>
        <v>0.66987786561264828</v>
      </c>
      <c r="AC143" s="62">
        <f t="shared" si="207"/>
        <v>0.60622948194411075</v>
      </c>
      <c r="AD143" s="62">
        <f t="shared" si="207"/>
        <v>0.52619916592246729</v>
      </c>
      <c r="AE143" s="62">
        <f t="shared" si="207"/>
        <v>0.43841707425522458</v>
      </c>
      <c r="AF143" s="62">
        <f t="shared" si="207"/>
        <v>0.45991413252911123</v>
      </c>
      <c r="AG143" s="62">
        <f t="shared" si="207"/>
        <v>0.43447264806902908</v>
      </c>
      <c r="AH143" s="62">
        <f t="shared" si="207"/>
        <v>0.42399999999999999</v>
      </c>
      <c r="AI143" s="62">
        <f t="shared" si="207"/>
        <v>0.38276553106212424</v>
      </c>
      <c r="AJ143" s="62">
        <f t="shared" si="207"/>
        <v>0.39078156312625251</v>
      </c>
      <c r="AK143" s="62">
        <f t="shared" si="207"/>
        <v>0.34667676767676764</v>
      </c>
      <c r="AL143" s="62">
        <f t="shared" si="207"/>
        <v>0.43355119825708061</v>
      </c>
      <c r="AM143" s="62">
        <f t="shared" si="207"/>
        <v>0.42919389978213507</v>
      </c>
      <c r="AN143" s="62">
        <f t="shared" si="207"/>
        <v>0.42576419213973798</v>
      </c>
      <c r="AO143" s="62">
        <f t="shared" ref="AO143" si="208">+AO141/AO140</f>
        <v>0.41927083333333331</v>
      </c>
      <c r="AP143" s="62">
        <f t="shared" si="207"/>
        <v>0.42447916666666669</v>
      </c>
      <c r="AQ143" s="62">
        <f t="shared" si="207"/>
        <v>0.4296875</v>
      </c>
      <c r="AR143" s="62">
        <f t="shared" si="207"/>
        <v>0.43489583333333331</v>
      </c>
      <c r="AS143" s="62">
        <f t="shared" si="207"/>
        <v>0.44010416666666669</v>
      </c>
      <c r="AT143" s="62">
        <f t="shared" si="207"/>
        <v>0.4453125</v>
      </c>
      <c r="AU143" s="62">
        <f t="shared" si="207"/>
        <v>0.47135416666666669</v>
      </c>
      <c r="AV143" s="62">
        <f t="shared" si="207"/>
        <v>0.49739583333333331</v>
      </c>
      <c r="AW143" s="62">
        <f t="shared" si="207"/>
        <v>0.5234375</v>
      </c>
      <c r="AX143" s="62">
        <f t="shared" si="207"/>
        <v>0.5234375</v>
      </c>
      <c r="AY143" s="62">
        <f t="shared" si="207"/>
        <v>0.5234375</v>
      </c>
      <c r="AZ143" s="62">
        <f t="shared" si="207"/>
        <v>0.5234375</v>
      </c>
      <c r="BA143" s="62">
        <f t="shared" si="207"/>
        <v>0.5234375</v>
      </c>
      <c r="BD143" s="186">
        <f t="shared" si="166"/>
        <v>135</v>
      </c>
    </row>
    <row r="144" spans="2:56" hidden="1" outlineLevel="3">
      <c r="B144" s="65" t="s">
        <v>321</v>
      </c>
      <c r="C144" s="205">
        <f t="shared" ref="C144:K144" si="209">+C142/C141*1000</f>
        <v>2607.1428571428578</v>
      </c>
      <c r="D144" s="205">
        <f t="shared" si="209"/>
        <v>2607.1428571428573</v>
      </c>
      <c r="E144" s="205">
        <f t="shared" si="209"/>
        <v>2607.1428571428573</v>
      </c>
      <c r="F144" s="205">
        <f t="shared" si="209"/>
        <v>2827.4853801169588</v>
      </c>
      <c r="G144" s="205">
        <f t="shared" si="209"/>
        <v>2345.454545454545</v>
      </c>
      <c r="H144" s="205">
        <f t="shared" si="209"/>
        <v>2182.7411167512691</v>
      </c>
      <c r="I144" s="205">
        <f t="shared" si="209"/>
        <v>2607.1428571428573</v>
      </c>
      <c r="J144" s="205">
        <f t="shared" si="209"/>
        <v>2607.1428571428573</v>
      </c>
      <c r="K144" s="205">
        <f t="shared" si="209"/>
        <v>2607.1428571428573</v>
      </c>
      <c r="L144" s="63"/>
      <c r="N144" s="205">
        <f t="shared" ref="N144:AN144" si="210">+N142/N141*1000</f>
        <v>642.857142857143</v>
      </c>
      <c r="O144" s="205">
        <f t="shared" si="210"/>
        <v>649.99999999999989</v>
      </c>
      <c r="P144" s="205">
        <f t="shared" si="210"/>
        <v>657.14285714285711</v>
      </c>
      <c r="Q144" s="205">
        <f t="shared" si="210"/>
        <v>657.14285714285711</v>
      </c>
      <c r="R144" s="205">
        <f t="shared" si="210"/>
        <v>650</v>
      </c>
      <c r="S144" s="205">
        <f t="shared" si="210"/>
        <v>650</v>
      </c>
      <c r="T144" s="205">
        <f t="shared" si="210"/>
        <v>657.14285714285711</v>
      </c>
      <c r="U144" s="205">
        <f t="shared" si="210"/>
        <v>657.14285714285711</v>
      </c>
      <c r="V144" s="205">
        <f t="shared" si="210"/>
        <v>642.85714285714278</v>
      </c>
      <c r="W144" s="205">
        <f t="shared" si="210"/>
        <v>649.99999999999989</v>
      </c>
      <c r="X144" s="205">
        <f t="shared" si="210"/>
        <v>657.14285714285711</v>
      </c>
      <c r="Y144" s="205">
        <f t="shared" si="210"/>
        <v>657.14285714285711</v>
      </c>
      <c r="Z144" s="205">
        <f t="shared" si="210"/>
        <v>642.85714285714289</v>
      </c>
      <c r="AA144" s="205">
        <f t="shared" si="210"/>
        <v>650</v>
      </c>
      <c r="AB144" s="205">
        <f t="shared" si="210"/>
        <v>657.14285714285711</v>
      </c>
      <c r="AC144" s="205">
        <f t="shared" si="210"/>
        <v>657.14285714285711</v>
      </c>
      <c r="AD144" s="205">
        <f t="shared" si="210"/>
        <v>642.85714285714289</v>
      </c>
      <c r="AE144" s="205">
        <f t="shared" si="210"/>
        <v>650</v>
      </c>
      <c r="AF144" s="205">
        <f t="shared" si="210"/>
        <v>657.14285714285711</v>
      </c>
      <c r="AG144" s="205">
        <f t="shared" si="210"/>
        <v>657.14285714285711</v>
      </c>
      <c r="AH144" s="205">
        <f t="shared" si="210"/>
        <v>508.24528301886795</v>
      </c>
      <c r="AI144" s="205">
        <f t="shared" si="210"/>
        <v>520.86387434554968</v>
      </c>
      <c r="AJ144" s="205">
        <f t="shared" si="210"/>
        <v>564.48205128205132</v>
      </c>
      <c r="AK144" s="205">
        <f t="shared" si="210"/>
        <v>657.14285714285711</v>
      </c>
      <c r="AL144" s="205">
        <f t="shared" si="210"/>
        <v>592.41206030150749</v>
      </c>
      <c r="AM144" s="205">
        <f t="shared" si="210"/>
        <v>589.80710659898477</v>
      </c>
      <c r="AN144" s="205">
        <f t="shared" si="210"/>
        <v>608.46153846153845</v>
      </c>
      <c r="AO144" s="205">
        <f t="shared" ref="AO144" si="211">+AO142/AO141*1000</f>
        <v>622.45962732919247</v>
      </c>
      <c r="AP144" s="97">
        <f t="shared" ref="AP144:BA144" si="212">AO144</f>
        <v>622.45962732919247</v>
      </c>
      <c r="AQ144" s="97">
        <f t="shared" si="212"/>
        <v>622.45962732919247</v>
      </c>
      <c r="AR144" s="97">
        <f t="shared" si="212"/>
        <v>622.45962732919247</v>
      </c>
      <c r="AS144" s="97">
        <f t="shared" si="212"/>
        <v>622.45962732919247</v>
      </c>
      <c r="AT144" s="97">
        <f t="shared" si="212"/>
        <v>622.45962732919247</v>
      </c>
      <c r="AU144" s="97">
        <f t="shared" si="212"/>
        <v>622.45962732919247</v>
      </c>
      <c r="AV144" s="97">
        <f t="shared" si="212"/>
        <v>622.45962732919247</v>
      </c>
      <c r="AW144" s="97">
        <f t="shared" si="212"/>
        <v>622.45962732919247</v>
      </c>
      <c r="AX144" s="97">
        <f t="shared" si="212"/>
        <v>622.45962732919247</v>
      </c>
      <c r="AY144" s="97">
        <f t="shared" si="212"/>
        <v>622.45962732919247</v>
      </c>
      <c r="AZ144" s="97">
        <f t="shared" si="212"/>
        <v>622.45962732919247</v>
      </c>
      <c r="BA144" s="97">
        <f t="shared" si="212"/>
        <v>622.45962732919247</v>
      </c>
      <c r="BD144" s="186">
        <f t="shared" si="166"/>
        <v>136</v>
      </c>
    </row>
    <row r="145" spans="2:56" hidden="1" outlineLevel="3">
      <c r="B145" s="65"/>
      <c r="C145" s="94"/>
      <c r="D145" s="94"/>
      <c r="E145" s="94"/>
      <c r="F145" s="41"/>
      <c r="G145" s="97"/>
      <c r="H145" s="97"/>
      <c r="I145" s="94"/>
      <c r="J145" s="94"/>
      <c r="K145" s="94"/>
      <c r="L145" s="94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80"/>
      <c r="AI145" s="80"/>
      <c r="AJ145" s="80"/>
      <c r="AK145" s="80"/>
      <c r="AL145" s="80"/>
      <c r="AM145" s="80"/>
      <c r="AN145" s="80"/>
      <c r="AO145" s="80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D145" s="186">
        <f t="shared" si="166"/>
        <v>137</v>
      </c>
    </row>
    <row r="146" spans="2:56" hidden="1" outlineLevel="3">
      <c r="B146" s="65" t="s">
        <v>129</v>
      </c>
      <c r="C146" s="100">
        <f t="shared" ref="C146:L146" si="213">IFERROR(+C148*1000/C142,"NM")</f>
        <v>541.39792335473521</v>
      </c>
      <c r="D146" s="100">
        <f t="shared" si="213"/>
        <v>597.48993676526584</v>
      </c>
      <c r="E146" s="100">
        <f t="shared" si="213"/>
        <v>616.5635043575744</v>
      </c>
      <c r="F146" s="100">
        <f t="shared" si="213"/>
        <v>599.61604446742513</v>
      </c>
      <c r="G146" s="100">
        <f t="shared" si="213"/>
        <v>502.35917656858334</v>
      </c>
      <c r="H146" s="100">
        <f t="shared" si="213"/>
        <v>458.14651162790699</v>
      </c>
      <c r="I146" s="100">
        <f t="shared" si="213"/>
        <v>483.0996052527002</v>
      </c>
      <c r="J146" s="100">
        <f t="shared" si="213"/>
        <v>536.60018379276642</v>
      </c>
      <c r="K146" s="100">
        <f t="shared" si="213"/>
        <v>554.48241485040501</v>
      </c>
      <c r="L146" s="100">
        <f t="shared" si="213"/>
        <v>562.40950797822973</v>
      </c>
      <c r="N146" s="35">
        <f t="shared" ref="N146:AO146" si="214">+N148*1000/N142</f>
        <v>540.89073462521037</v>
      </c>
      <c r="O146" s="35">
        <f t="shared" si="214"/>
        <v>493.15156547648121</v>
      </c>
      <c r="P146" s="35">
        <f t="shared" si="214"/>
        <v>553.53341059836021</v>
      </c>
      <c r="Q146" s="35">
        <f t="shared" si="214"/>
        <v>572.26711749788683</v>
      </c>
      <c r="R146" s="35">
        <f t="shared" si="214"/>
        <v>593.42189062095008</v>
      </c>
      <c r="S146" s="35">
        <f t="shared" si="214"/>
        <v>566.89691188763118</v>
      </c>
      <c r="T146" s="35">
        <f t="shared" si="214"/>
        <v>599.84476376929081</v>
      </c>
      <c r="U146" s="35">
        <f t="shared" si="214"/>
        <v>631.16094756023483</v>
      </c>
      <c r="V146" s="35">
        <f t="shared" si="214"/>
        <v>626.58749639873236</v>
      </c>
      <c r="W146" s="35">
        <f t="shared" si="214"/>
        <v>598.43037205650876</v>
      </c>
      <c r="X146" s="35">
        <f t="shared" si="214"/>
        <v>619.01501709339959</v>
      </c>
      <c r="Y146" s="35">
        <f t="shared" si="214"/>
        <v>622.11214868278</v>
      </c>
      <c r="Z146" s="35">
        <f t="shared" si="214"/>
        <v>622.9038891230191</v>
      </c>
      <c r="AA146" s="35">
        <f t="shared" si="214"/>
        <v>591.34060921974276</v>
      </c>
      <c r="AB146" s="35">
        <f t="shared" si="214"/>
        <v>608.88088206746443</v>
      </c>
      <c r="AC146" s="35">
        <f t="shared" si="214"/>
        <v>620.180038831361</v>
      </c>
      <c r="AD146" s="35">
        <f t="shared" si="214"/>
        <v>562.12177160926137</v>
      </c>
      <c r="AE146" s="35">
        <f t="shared" si="214"/>
        <v>516.20892494929001</v>
      </c>
      <c r="AF146" s="35">
        <f t="shared" si="214"/>
        <v>498.12436167974653</v>
      </c>
      <c r="AG146" s="35">
        <f t="shared" si="214"/>
        <v>478.15170738291266</v>
      </c>
      <c r="AH146" s="188">
        <f t="shared" si="214"/>
        <v>487.6285406689683</v>
      </c>
      <c r="AI146" s="188">
        <f t="shared" si="214"/>
        <v>450.52017892144545</v>
      </c>
      <c r="AJ146" s="188">
        <f t="shared" si="214"/>
        <v>445.94545487581081</v>
      </c>
      <c r="AK146" s="35">
        <f t="shared" si="214"/>
        <v>452.25194867383772</v>
      </c>
      <c r="AL146" s="188">
        <f t="shared" si="214"/>
        <v>471.15955551785561</v>
      </c>
      <c r="AM146" s="188">
        <f t="shared" si="214"/>
        <v>464.93734508399893</v>
      </c>
      <c r="AN146" s="188">
        <f t="shared" si="214"/>
        <v>490.50147492625365</v>
      </c>
      <c r="AO146" s="188">
        <f t="shared" si="214"/>
        <v>509.43961044144635</v>
      </c>
      <c r="AP146" s="35">
        <f t="shared" ref="AP146:BA146" si="215">+AO146*(1+AP147)</f>
        <v>524.72279875468973</v>
      </c>
      <c r="AQ146" s="35">
        <f t="shared" si="215"/>
        <v>540.46448271733038</v>
      </c>
      <c r="AR146" s="35">
        <f t="shared" si="215"/>
        <v>540.46448271733038</v>
      </c>
      <c r="AS146" s="35">
        <f t="shared" si="215"/>
        <v>540.46448271733038</v>
      </c>
      <c r="AT146" s="35">
        <f t="shared" si="215"/>
        <v>545.86912754450373</v>
      </c>
      <c r="AU146" s="35">
        <f t="shared" si="215"/>
        <v>551.32781881994879</v>
      </c>
      <c r="AV146" s="35">
        <f t="shared" si="215"/>
        <v>556.84109700814827</v>
      </c>
      <c r="AW146" s="35">
        <f t="shared" si="215"/>
        <v>562.40950797822973</v>
      </c>
      <c r="AX146" s="35">
        <f t="shared" si="215"/>
        <v>562.40950797822973</v>
      </c>
      <c r="AY146" s="35">
        <f t="shared" si="215"/>
        <v>562.40950797822973</v>
      </c>
      <c r="AZ146" s="35">
        <f t="shared" si="215"/>
        <v>562.40950797822973</v>
      </c>
      <c r="BA146" s="35">
        <f t="shared" si="215"/>
        <v>562.40950797822973</v>
      </c>
      <c r="BD146" s="186">
        <f t="shared" si="166"/>
        <v>138</v>
      </c>
    </row>
    <row r="147" spans="2:56" hidden="1" outlineLevel="3">
      <c r="B147" s="98" t="s">
        <v>132</v>
      </c>
      <c r="C147" s="62"/>
      <c r="D147" s="63">
        <f t="shared" ref="D147:L147" si="216">IFERROR(+D146/C146-1,"NM")</f>
        <v>0.10360588947766969</v>
      </c>
      <c r="E147" s="63">
        <f t="shared" si="216"/>
        <v>3.1922826509129809E-2</v>
      </c>
      <c r="F147" s="63">
        <f t="shared" si="216"/>
        <v>-2.7486965690269982E-2</v>
      </c>
      <c r="G147" s="63">
        <f t="shared" si="216"/>
        <v>-0.16219857489841638</v>
      </c>
      <c r="H147" s="63">
        <f t="shared" si="216"/>
        <v>-8.8010067304185702E-2</v>
      </c>
      <c r="I147" s="63">
        <f t="shared" si="216"/>
        <v>5.4465314023954381E-2</v>
      </c>
      <c r="J147" s="63">
        <f t="shared" si="216"/>
        <v>0.11074440541527886</v>
      </c>
      <c r="K147" s="63">
        <f t="shared" si="216"/>
        <v>3.3325055782210899E-2</v>
      </c>
      <c r="L147" s="63">
        <f t="shared" si="216"/>
        <v>1.4296383285596903E-2</v>
      </c>
      <c r="N147" s="35"/>
      <c r="O147" s="62">
        <f t="shared" ref="O147:AG147" si="217">+O146/N146-1</f>
        <v>-8.8260282701659198E-2</v>
      </c>
      <c r="P147" s="62">
        <f t="shared" si="217"/>
        <v>0.12244074509535063</v>
      </c>
      <c r="Q147" s="62">
        <f t="shared" si="217"/>
        <v>3.384385936031542E-2</v>
      </c>
      <c r="R147" s="62">
        <f t="shared" si="217"/>
        <v>3.6966606111421996E-2</v>
      </c>
      <c r="S147" s="62">
        <f t="shared" si="217"/>
        <v>-4.4698348936139665E-2</v>
      </c>
      <c r="T147" s="62">
        <f t="shared" si="217"/>
        <v>5.8119653134026006E-2</v>
      </c>
      <c r="U147" s="62">
        <f t="shared" si="217"/>
        <v>5.2207147052780956E-2</v>
      </c>
      <c r="V147" s="62">
        <f t="shared" si="217"/>
        <v>-7.2460933763111024E-3</v>
      </c>
      <c r="W147" s="62">
        <f t="shared" si="217"/>
        <v>-4.4937258569720417E-2</v>
      </c>
      <c r="X147" s="62">
        <f t="shared" si="217"/>
        <v>3.4397727786027232E-2</v>
      </c>
      <c r="Y147" s="62">
        <f t="shared" si="217"/>
        <v>5.0033222197469751E-3</v>
      </c>
      <c r="Z147" s="62">
        <f t="shared" si="217"/>
        <v>1.2726651326702143E-3</v>
      </c>
      <c r="AA147" s="62">
        <f t="shared" si="217"/>
        <v>-5.067118772964152E-2</v>
      </c>
      <c r="AB147" s="62">
        <f t="shared" si="217"/>
        <v>2.9661877730442932E-2</v>
      </c>
      <c r="AC147" s="62">
        <f t="shared" si="217"/>
        <v>1.8557253309596566E-2</v>
      </c>
      <c r="AD147" s="62">
        <f t="shared" si="217"/>
        <v>-9.3615182022791288E-2</v>
      </c>
      <c r="AE147" s="62">
        <f t="shared" si="217"/>
        <v>-8.167775912420272E-2</v>
      </c>
      <c r="AF147" s="62">
        <f t="shared" si="217"/>
        <v>-3.5033418438706776E-2</v>
      </c>
      <c r="AG147" s="62">
        <f t="shared" si="217"/>
        <v>-4.0095718726711582E-2</v>
      </c>
      <c r="AH147" s="63">
        <f t="shared" ref="AH147:AO147" si="218">IFERROR(+AH146/AG146-1,"NM")</f>
        <v>1.9819720686402142E-2</v>
      </c>
      <c r="AI147" s="63">
        <f t="shared" si="218"/>
        <v>-7.6099650969187693E-2</v>
      </c>
      <c r="AJ147" s="63">
        <f t="shared" si="218"/>
        <v>-1.0154315521641255E-2</v>
      </c>
      <c r="AK147" s="63">
        <f t="shared" si="218"/>
        <v>1.414185015022329E-2</v>
      </c>
      <c r="AL147" s="63">
        <f t="shared" si="218"/>
        <v>4.1807684631236297E-2</v>
      </c>
      <c r="AM147" s="63">
        <f t="shared" si="218"/>
        <v>-1.3206164156042144E-2</v>
      </c>
      <c r="AN147" s="63">
        <f t="shared" si="218"/>
        <v>5.4984031961631485E-2</v>
      </c>
      <c r="AO147" s="63">
        <f t="shared" si="218"/>
        <v>3.8609742239898548E-2</v>
      </c>
      <c r="AP147" s="111">
        <v>0.03</v>
      </c>
      <c r="AQ147" s="111">
        <v>0.03</v>
      </c>
      <c r="AR147" s="111">
        <v>0</v>
      </c>
      <c r="AS147" s="111">
        <v>0</v>
      </c>
      <c r="AT147" s="111">
        <v>0.01</v>
      </c>
      <c r="AU147" s="111">
        <v>0.01</v>
      </c>
      <c r="AV147" s="111">
        <v>0.01</v>
      </c>
      <c r="AW147" s="111">
        <v>0.01</v>
      </c>
      <c r="AX147" s="111">
        <v>0</v>
      </c>
      <c r="AY147" s="111">
        <v>0</v>
      </c>
      <c r="AZ147" s="111">
        <v>0</v>
      </c>
      <c r="BA147" s="111">
        <v>0</v>
      </c>
      <c r="BD147" s="186">
        <f t="shared" si="166"/>
        <v>139</v>
      </c>
    </row>
    <row r="148" spans="2:56" hidden="1" outlineLevel="3">
      <c r="B148" s="65" t="s">
        <v>130</v>
      </c>
      <c r="C148" s="94">
        <f>SUMIFS($N148:$BB148,$N$5:$BB$5,C$5)</f>
        <v>528.87214100000006</v>
      </c>
      <c r="D148" s="94">
        <f>SUMIFS($N148:$BB148,$N$5:$BB$5,D$5)</f>
        <v>618.13799399999994</v>
      </c>
      <c r="E148" s="94">
        <f>SUMIFS($N148:$BB148,$N$5:$BB$5,E$5)</f>
        <v>628.08461</v>
      </c>
      <c r="F148" s="94">
        <f>SUMIFS($N148:$BB148,$N$5:$BB$5,F$5)</f>
        <v>579.8287150000001</v>
      </c>
      <c r="G148" s="94">
        <f>SUMIFS($N148:$BB148,$N$5:$BB$5,G$5)</f>
        <v>324.02166888673628</v>
      </c>
      <c r="H148" s="94">
        <f>H65</f>
        <v>197.00299999999999</v>
      </c>
      <c r="I148" s="94">
        <f>SUMIFS($N148:$BB148,$N$5:$BB$5,I$5)</f>
        <v>218.81900000000002</v>
      </c>
      <c r="J148" s="94">
        <f>SUMIFS($N148:$BB148,$N$5:$BB$5,J$5)</f>
        <v>221.78393508447195</v>
      </c>
      <c r="K148" s="94">
        <f>SUMIFS($N148:$BB148,$N$5:$BB$5,K$5)</f>
        <v>256.78633047743011</v>
      </c>
      <c r="L148" s="94">
        <f>SUMIFS($N148:$BB148,$N$5:$BB$5,L$5)</f>
        <v>281.4620790449888</v>
      </c>
      <c r="N148" s="41">
        <v>130.211331</v>
      </c>
      <c r="O148" s="41">
        <v>111.059212</v>
      </c>
      <c r="P148" s="41">
        <v>141.37132600000001</v>
      </c>
      <c r="Q148" s="41">
        <v>146.23027200000001</v>
      </c>
      <c r="R148" s="41">
        <v>160.26544999999999</v>
      </c>
      <c r="S148" s="41">
        <v>145.133546</v>
      </c>
      <c r="T148" s="41">
        <v>156.87380199999998</v>
      </c>
      <c r="U148" s="41">
        <v>155.865196</v>
      </c>
      <c r="V148" s="41">
        <v>163.11639</v>
      </c>
      <c r="W148" s="41">
        <v>151.691926</v>
      </c>
      <c r="X148" s="41">
        <v>162.78052199999999</v>
      </c>
      <c r="Y148" s="41">
        <v>150.49577199999999</v>
      </c>
      <c r="Z148" s="41">
        <v>156.67403200000001</v>
      </c>
      <c r="AA148" s="41">
        <v>141.57936000000001</v>
      </c>
      <c r="AB148" s="41">
        <v>147.41797700000001</v>
      </c>
      <c r="AC148" s="41">
        <v>134.15734600000002</v>
      </c>
      <c r="AD148" s="41">
        <v>98.68755588673622</v>
      </c>
      <c r="AE148" s="41">
        <v>76.347300000000004</v>
      </c>
      <c r="AF148" s="41">
        <v>78.134293</v>
      </c>
      <c r="AG148" s="41">
        <v>70.852519999999998</v>
      </c>
      <c r="AH148" s="103">
        <f t="shared" ref="AH148:BA148" si="219">AH65</f>
        <v>52.540999999999997</v>
      </c>
      <c r="AI148" s="103">
        <f t="shared" si="219"/>
        <v>44.82</v>
      </c>
      <c r="AJ148" s="103">
        <f t="shared" si="219"/>
        <v>49.087000000000003</v>
      </c>
      <c r="AK148" s="103">
        <f t="shared" si="219"/>
        <v>51</v>
      </c>
      <c r="AL148" s="103">
        <f t="shared" si="219"/>
        <v>55.545000000000002</v>
      </c>
      <c r="AM148" s="103">
        <f t="shared" si="219"/>
        <v>54.021999999999998</v>
      </c>
      <c r="AN148" s="103">
        <f t="shared" si="219"/>
        <v>58.198</v>
      </c>
      <c r="AO148" s="103">
        <f t="shared" si="219"/>
        <v>51.053999999999988</v>
      </c>
      <c r="AP148" s="103">
        <f t="shared" si="219"/>
        <v>53.238857515527933</v>
      </c>
      <c r="AQ148" s="103">
        <f t="shared" si="219"/>
        <v>55.508857881987552</v>
      </c>
      <c r="AR148" s="103">
        <f t="shared" si="219"/>
        <v>56.181692522981336</v>
      </c>
      <c r="AS148" s="103">
        <f t="shared" si="219"/>
        <v>56.854527163975128</v>
      </c>
      <c r="AT148" s="103">
        <f t="shared" si="219"/>
        <v>58.102635423018612</v>
      </c>
      <c r="AU148" s="103">
        <f t="shared" si="219"/>
        <v>62.115454863637623</v>
      </c>
      <c r="AV148" s="103">
        <f t="shared" si="219"/>
        <v>66.202720429526707</v>
      </c>
      <c r="AW148" s="103">
        <f t="shared" si="219"/>
        <v>70.365519761247199</v>
      </c>
      <c r="AX148" s="103">
        <f t="shared" si="219"/>
        <v>70.365519761247199</v>
      </c>
      <c r="AY148" s="103">
        <f t="shared" si="219"/>
        <v>70.365519761247199</v>
      </c>
      <c r="AZ148" s="103">
        <f t="shared" si="219"/>
        <v>70.365519761247199</v>
      </c>
      <c r="BA148" s="103">
        <f t="shared" si="219"/>
        <v>70.365519761247199</v>
      </c>
      <c r="BD148" s="186">
        <f t="shared" si="166"/>
        <v>140</v>
      </c>
    </row>
    <row r="149" spans="2:56" hidden="1" outlineLevel="3">
      <c r="B149" s="65"/>
      <c r="C149" s="94"/>
      <c r="D149" s="94"/>
      <c r="E149" s="94"/>
      <c r="F149" s="97"/>
      <c r="G149" s="97"/>
      <c r="H149" s="97"/>
      <c r="I149" s="94"/>
      <c r="J149" s="94"/>
      <c r="K149" s="94"/>
      <c r="L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  <c r="AI149" s="94"/>
      <c r="AJ149" s="94"/>
      <c r="AK149" s="97"/>
      <c r="AL149" s="97"/>
      <c r="AM149" s="97"/>
      <c r="AN149" s="97"/>
      <c r="AO149" s="97"/>
      <c r="AP149" s="94"/>
      <c r="AQ149" s="94"/>
      <c r="AR149" s="94"/>
      <c r="AS149" s="94"/>
      <c r="AT149" s="94"/>
      <c r="AU149" s="94"/>
      <c r="AV149" s="94"/>
      <c r="AW149" s="94"/>
      <c r="AX149" s="94"/>
      <c r="AY149" s="94"/>
      <c r="AZ149" s="94"/>
      <c r="BA149" s="94"/>
      <c r="BD149" s="186">
        <f t="shared" si="166"/>
        <v>141</v>
      </c>
    </row>
    <row r="150" spans="2:56" hidden="1" outlineLevel="2">
      <c r="B150" s="104" t="s">
        <v>133</v>
      </c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  <c r="AX150" s="94"/>
      <c r="AY150" s="94"/>
      <c r="AZ150" s="94"/>
      <c r="BA150" s="94"/>
      <c r="BD150" s="186">
        <f t="shared" si="166"/>
        <v>142</v>
      </c>
    </row>
    <row r="151" spans="2:56" hidden="1" outlineLevel="3">
      <c r="B151" s="65" t="s">
        <v>134</v>
      </c>
      <c r="C151" s="99"/>
      <c r="D151" s="99"/>
      <c r="E151" s="99"/>
      <c r="F151" s="106">
        <f>G151</f>
        <v>1414.75</v>
      </c>
      <c r="G151" s="106">
        <f>H151</f>
        <v>1414.75</v>
      </c>
      <c r="H151" s="99">
        <f>IFERROR(AVERAGEIFS($N151:$BB151,$N$5:$BB$5,H$5),"NM")</f>
        <v>1414.75</v>
      </c>
      <c r="I151" s="99">
        <f>IFERROR(AVERAGEIFS($N151:$BB151,$N$5:$BB$5,I$5),"NM")</f>
        <v>1107</v>
      </c>
      <c r="J151" s="99">
        <f>IFERROR(AVERAGEIFS($N151:$BB151,$N$5:$BB$5,J$5),"NM")</f>
        <v>1087</v>
      </c>
      <c r="K151" s="99">
        <f>IFERROR(AVERAGEIFS($N151:$BB151,$N$5:$BB$5,K$5),"NM")</f>
        <v>1087</v>
      </c>
      <c r="L151" s="99">
        <f>IFERROR(AVERAGEIFS($N151:$BB151,$N$5:$BB$5,L$5),"NM")</f>
        <v>1087</v>
      </c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05">
        <v>1452</v>
      </c>
      <c r="AE151" s="105">
        <v>1452</v>
      </c>
      <c r="AF151" s="105">
        <v>1452</v>
      </c>
      <c r="AG151" s="105">
        <v>1452</v>
      </c>
      <c r="AH151" s="105">
        <v>1452</v>
      </c>
      <c r="AI151" s="105">
        <v>1444</v>
      </c>
      <c r="AJ151" s="105">
        <v>1433</v>
      </c>
      <c r="AK151" s="105">
        <v>1330</v>
      </c>
      <c r="AL151" s="105">
        <v>1120</v>
      </c>
      <c r="AM151" s="105">
        <v>1121</v>
      </c>
      <c r="AN151" s="105">
        <v>1100</v>
      </c>
      <c r="AO151" s="105">
        <f>1107*4-AN151-AM151-AL151</f>
        <v>1087</v>
      </c>
      <c r="AP151" s="105">
        <f t="shared" ref="AP151:BA151" si="220">AO151</f>
        <v>1087</v>
      </c>
      <c r="AQ151" s="105">
        <f t="shared" si="220"/>
        <v>1087</v>
      </c>
      <c r="AR151" s="105">
        <f t="shared" si="220"/>
        <v>1087</v>
      </c>
      <c r="AS151" s="105">
        <f t="shared" si="220"/>
        <v>1087</v>
      </c>
      <c r="AT151" s="105">
        <f t="shared" si="220"/>
        <v>1087</v>
      </c>
      <c r="AU151" s="105">
        <f t="shared" si="220"/>
        <v>1087</v>
      </c>
      <c r="AV151" s="105">
        <f t="shared" si="220"/>
        <v>1087</v>
      </c>
      <c r="AW151" s="105">
        <f t="shared" si="220"/>
        <v>1087</v>
      </c>
      <c r="AX151" s="105">
        <f t="shared" si="220"/>
        <v>1087</v>
      </c>
      <c r="AY151" s="105">
        <f t="shared" si="220"/>
        <v>1087</v>
      </c>
      <c r="AZ151" s="105">
        <f t="shared" si="220"/>
        <v>1087</v>
      </c>
      <c r="BA151" s="105">
        <f t="shared" si="220"/>
        <v>1087</v>
      </c>
      <c r="BD151" s="186">
        <f t="shared" si="166"/>
        <v>143</v>
      </c>
    </row>
    <row r="152" spans="2:56" hidden="1" outlineLevel="3">
      <c r="B152" s="65" t="s">
        <v>135</v>
      </c>
      <c r="C152" s="94"/>
      <c r="D152" s="94"/>
      <c r="E152" s="94"/>
      <c r="F152" s="97">
        <v>1216</v>
      </c>
      <c r="G152" s="97">
        <v>1076</v>
      </c>
      <c r="H152" s="97">
        <v>725</v>
      </c>
      <c r="I152" s="94">
        <f>I153*1000/(I6*5/7*8)</f>
        <v>614.18958904109581</v>
      </c>
      <c r="J152" s="94">
        <f>J153*1000/(J6*5/7*8)</f>
        <v>640.96276971904683</v>
      </c>
      <c r="K152" s="94">
        <f>K153*1000/(K6*5/7*8)</f>
        <v>676.8883984818076</v>
      </c>
      <c r="L152" s="94">
        <f>L153*1000/(L6*5/7*8)</f>
        <v>716.54942614249376</v>
      </c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94">
        <f>AD153*1000/(AD6*5/7*8)</f>
        <v>1231.4814814814815</v>
      </c>
      <c r="AE152" s="94">
        <f>AE153*1000/(AE6*5/7*8)</f>
        <v>1096.1538461538462</v>
      </c>
      <c r="AF152" s="94">
        <f>AF153*1000/(AF6*5/7*8)</f>
        <v>1039.1956521739132</v>
      </c>
      <c r="AG152" s="94">
        <f>AG153*1000/(AG6*5/7*8)</f>
        <v>916.65760869565224</v>
      </c>
      <c r="AH152" s="97">
        <v>823</v>
      </c>
      <c r="AI152" s="97">
        <v>744</v>
      </c>
      <c r="AJ152" s="97">
        <v>693</v>
      </c>
      <c r="AK152" s="94">
        <f>AK153*1000/(AK6*5/7*8)</f>
        <v>573.87635869565202</v>
      </c>
      <c r="AL152" s="97">
        <v>631</v>
      </c>
      <c r="AM152" s="105">
        <v>651</v>
      </c>
      <c r="AN152" s="105">
        <v>642</v>
      </c>
      <c r="AO152" s="105">
        <f>638*4-AN152-AM152-AL152</f>
        <v>628</v>
      </c>
      <c r="AP152" s="112">
        <f>+AO152+7.5</f>
        <v>635.5</v>
      </c>
      <c r="AQ152" s="112">
        <f>+AP152+7.5</f>
        <v>643</v>
      </c>
      <c r="AR152" s="112">
        <f>+AQ152+7.5</f>
        <v>650.5</v>
      </c>
      <c r="AS152" s="112">
        <f>+AR152+7.5</f>
        <v>658</v>
      </c>
      <c r="AT152" s="112">
        <f>+AS152+10</f>
        <v>668</v>
      </c>
      <c r="AU152" s="112">
        <f>+AT152+10</f>
        <v>678</v>
      </c>
      <c r="AV152" s="112">
        <f>+AU152+10</f>
        <v>688</v>
      </c>
      <c r="AW152" s="112">
        <f>+AV152+10</f>
        <v>698</v>
      </c>
      <c r="AX152" s="112">
        <v>725</v>
      </c>
      <c r="AY152" s="112">
        <f>AX152</f>
        <v>725</v>
      </c>
      <c r="AZ152" s="112">
        <f>AY152</f>
        <v>725</v>
      </c>
      <c r="BA152" s="112">
        <f>AZ152</f>
        <v>725</v>
      </c>
      <c r="BD152" s="186">
        <f t="shared" si="166"/>
        <v>144</v>
      </c>
    </row>
    <row r="153" spans="2:56" hidden="1" outlineLevel="3">
      <c r="B153" s="65" t="s">
        <v>137</v>
      </c>
      <c r="C153" s="94"/>
      <c r="D153" s="94"/>
      <c r="E153" s="94"/>
      <c r="F153" s="97">
        <v>3107</v>
      </c>
      <c r="G153" s="97">
        <v>2215</v>
      </c>
      <c r="H153" s="97">
        <v>1385</v>
      </c>
      <c r="I153" s="94">
        <f>SUMIFS($N153:$BB153,$N$5:$BB$5,I$5)</f>
        <v>1281.0239999999999</v>
      </c>
      <c r="J153" s="94">
        <f>SUMIFS($N153:$BB153,$N$5:$BB$5,J$5)</f>
        <v>1336.8652054140121</v>
      </c>
      <c r="K153" s="94">
        <f>SUMIFS($N153:$BB153,$N$5:$BB$5,K$5)</f>
        <v>1411.7958025477701</v>
      </c>
      <c r="L153" s="94">
        <f>SUMIFS($N153:$BB153,$N$5:$BB$5,L$5)</f>
        <v>1498.6119426751584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113">
        <f>+AE153/(1-0.1)</f>
        <v>633.33333333333337</v>
      </c>
      <c r="AE153" s="113">
        <v>570</v>
      </c>
      <c r="AF153" s="113">
        <v>546.32000000000005</v>
      </c>
      <c r="AG153" s="113">
        <v>481.9</v>
      </c>
      <c r="AH153" s="50">
        <v>379.62799999999999</v>
      </c>
      <c r="AI153" s="50">
        <v>361.78800000000001</v>
      </c>
      <c r="AJ153" s="50">
        <v>341.78699999999998</v>
      </c>
      <c r="AK153" s="50">
        <f>1384.898-AJ153-AI153-AH153</f>
        <v>301.69499999999988</v>
      </c>
      <c r="AL153" s="50">
        <v>307.74099999999999</v>
      </c>
      <c r="AM153" s="50">
        <v>328.78500000000003</v>
      </c>
      <c r="AN153" s="50">
        <v>319.971</v>
      </c>
      <c r="AO153" s="50">
        <f>1281.024-AN153-AM153-AL153</f>
        <v>324.52699999999982</v>
      </c>
      <c r="AP153" s="188">
        <f t="shared" ref="AP153:BA153" si="221">+AP155*AP152/1000</f>
        <v>328.40272054140115</v>
      </c>
      <c r="AQ153" s="188">
        <f t="shared" si="221"/>
        <v>332.27844108280237</v>
      </c>
      <c r="AR153" s="188">
        <f t="shared" si="221"/>
        <v>336.15416162420365</v>
      </c>
      <c r="AS153" s="188">
        <f t="shared" si="221"/>
        <v>340.02988216560493</v>
      </c>
      <c r="AT153" s="188">
        <f t="shared" si="221"/>
        <v>345.19750955413997</v>
      </c>
      <c r="AU153" s="188">
        <f t="shared" si="221"/>
        <v>350.36513694267501</v>
      </c>
      <c r="AV153" s="188">
        <f t="shared" si="221"/>
        <v>355.53276433120999</v>
      </c>
      <c r="AW153" s="188">
        <f t="shared" si="221"/>
        <v>360.70039171974508</v>
      </c>
      <c r="AX153" s="188">
        <f t="shared" si="221"/>
        <v>374.6529856687896</v>
      </c>
      <c r="AY153" s="188">
        <f t="shared" si="221"/>
        <v>374.6529856687896</v>
      </c>
      <c r="AZ153" s="188">
        <f t="shared" si="221"/>
        <v>374.6529856687896</v>
      </c>
      <c r="BA153" s="188">
        <f t="shared" si="221"/>
        <v>374.6529856687896</v>
      </c>
      <c r="BD153" s="186">
        <f t="shared" si="166"/>
        <v>145</v>
      </c>
    </row>
    <row r="154" spans="2:56" hidden="1" outlineLevel="3">
      <c r="B154" s="65" t="s">
        <v>128</v>
      </c>
      <c r="C154" s="63"/>
      <c r="D154" s="63"/>
      <c r="E154" s="63"/>
      <c r="F154" s="63">
        <f t="shared" ref="F154:L154" si="222">IFERROR(+F152/F151,"NM")</f>
        <v>0.85951581551510869</v>
      </c>
      <c r="G154" s="63">
        <f t="shared" si="222"/>
        <v>0.76055840254461915</v>
      </c>
      <c r="H154" s="63">
        <f t="shared" si="222"/>
        <v>0.51245803145432056</v>
      </c>
      <c r="I154" s="63">
        <f t="shared" si="222"/>
        <v>0.55482347700189327</v>
      </c>
      <c r="J154" s="63">
        <f t="shared" si="222"/>
        <v>0.58966216165505692</v>
      </c>
      <c r="K154" s="63">
        <f t="shared" si="222"/>
        <v>0.62271241810653877</v>
      </c>
      <c r="L154" s="63">
        <f t="shared" si="222"/>
        <v>0.65919910408693083</v>
      </c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62">
        <f t="shared" ref="AD154:BA154" si="223">+AD152/AD151</f>
        <v>0.84812774206713604</v>
      </c>
      <c r="AE154" s="62">
        <f t="shared" si="223"/>
        <v>0.7549268912905277</v>
      </c>
      <c r="AF154" s="62">
        <f t="shared" si="223"/>
        <v>0.71569948496825975</v>
      </c>
      <c r="AG154" s="62">
        <f t="shared" si="223"/>
        <v>0.63130689304108278</v>
      </c>
      <c r="AH154" s="62">
        <f t="shared" si="223"/>
        <v>0.5668044077134986</v>
      </c>
      <c r="AI154" s="62">
        <f t="shared" si="223"/>
        <v>0.51523545706371188</v>
      </c>
      <c r="AJ154" s="62">
        <f t="shared" si="223"/>
        <v>0.48360083740404747</v>
      </c>
      <c r="AK154" s="62">
        <f t="shared" si="223"/>
        <v>0.43148598398169324</v>
      </c>
      <c r="AL154" s="62">
        <f t="shared" si="223"/>
        <v>0.56339285714285714</v>
      </c>
      <c r="AM154" s="62">
        <f t="shared" si="223"/>
        <v>0.5807314897413024</v>
      </c>
      <c r="AN154" s="62">
        <f t="shared" si="223"/>
        <v>0.58363636363636362</v>
      </c>
      <c r="AO154" s="62">
        <f t="shared" ref="AO154" si="224">+AO152/AO151</f>
        <v>0.57773689052437904</v>
      </c>
      <c r="AP154" s="62">
        <f t="shared" si="223"/>
        <v>0.5846366145354186</v>
      </c>
      <c r="AQ154" s="62">
        <f t="shared" si="223"/>
        <v>0.59153633854645815</v>
      </c>
      <c r="AR154" s="62">
        <f t="shared" si="223"/>
        <v>0.59843606255749771</v>
      </c>
      <c r="AS154" s="62">
        <f t="shared" si="223"/>
        <v>0.60533578656853726</v>
      </c>
      <c r="AT154" s="62">
        <f t="shared" si="223"/>
        <v>0.61453541858325667</v>
      </c>
      <c r="AU154" s="62">
        <f t="shared" si="223"/>
        <v>0.62373505059797607</v>
      </c>
      <c r="AV154" s="62">
        <f t="shared" si="223"/>
        <v>0.63293468261269548</v>
      </c>
      <c r="AW154" s="62">
        <f t="shared" si="223"/>
        <v>0.64213431462741488</v>
      </c>
      <c r="AX154" s="62">
        <f t="shared" si="223"/>
        <v>0.66697332106715734</v>
      </c>
      <c r="AY154" s="62">
        <f t="shared" si="223"/>
        <v>0.66697332106715734</v>
      </c>
      <c r="AZ154" s="62">
        <f t="shared" si="223"/>
        <v>0.66697332106715734</v>
      </c>
      <c r="BA154" s="62">
        <f t="shared" si="223"/>
        <v>0.66697332106715734</v>
      </c>
      <c r="BD154" s="186">
        <f t="shared" si="166"/>
        <v>146</v>
      </c>
    </row>
    <row r="155" spans="2:56" hidden="1" outlineLevel="3">
      <c r="B155" s="65" t="s">
        <v>330</v>
      </c>
      <c r="C155" s="205" t="e">
        <f>+C153/C152*1000</f>
        <v>#DIV/0!</v>
      </c>
      <c r="D155" s="205" t="e">
        <f>+D153/D152*1000</f>
        <v>#DIV/0!</v>
      </c>
      <c r="E155" s="205"/>
      <c r="F155" s="205">
        <f t="shared" ref="F155:K155" si="225">+F153/F152*1000</f>
        <v>2555.0986842105262</v>
      </c>
      <c r="G155" s="205">
        <f t="shared" si="225"/>
        <v>2058.5501858736061</v>
      </c>
      <c r="H155" s="205">
        <f t="shared" si="225"/>
        <v>1910.344827586207</v>
      </c>
      <c r="I155" s="205">
        <f t="shared" si="225"/>
        <v>2085.7142857142858</v>
      </c>
      <c r="J155" s="205">
        <f t="shared" si="225"/>
        <v>2085.7142857142858</v>
      </c>
      <c r="K155" s="205">
        <f t="shared" si="225"/>
        <v>2085.7142857142858</v>
      </c>
      <c r="L155" s="63"/>
      <c r="N155" s="205" t="e">
        <f t="shared" ref="N155:AN155" si="226">+N153/N152*1000</f>
        <v>#DIV/0!</v>
      </c>
      <c r="O155" s="205" t="e">
        <f t="shared" si="226"/>
        <v>#DIV/0!</v>
      </c>
      <c r="P155" s="205" t="e">
        <f t="shared" si="226"/>
        <v>#DIV/0!</v>
      </c>
      <c r="Q155" s="205" t="e">
        <f t="shared" si="226"/>
        <v>#DIV/0!</v>
      </c>
      <c r="R155" s="205" t="e">
        <f t="shared" si="226"/>
        <v>#DIV/0!</v>
      </c>
      <c r="S155" s="205" t="e">
        <f t="shared" si="226"/>
        <v>#DIV/0!</v>
      </c>
      <c r="T155" s="205" t="e">
        <f t="shared" si="226"/>
        <v>#DIV/0!</v>
      </c>
      <c r="U155" s="205" t="e">
        <f t="shared" si="226"/>
        <v>#DIV/0!</v>
      </c>
      <c r="V155" s="205" t="e">
        <f t="shared" si="226"/>
        <v>#DIV/0!</v>
      </c>
      <c r="W155" s="205" t="e">
        <f t="shared" si="226"/>
        <v>#DIV/0!</v>
      </c>
      <c r="X155" s="205" t="e">
        <f t="shared" si="226"/>
        <v>#DIV/0!</v>
      </c>
      <c r="Y155" s="205" t="e">
        <f t="shared" si="226"/>
        <v>#DIV/0!</v>
      </c>
      <c r="Z155" s="205" t="e">
        <f t="shared" si="226"/>
        <v>#DIV/0!</v>
      </c>
      <c r="AA155" s="205" t="e">
        <f t="shared" si="226"/>
        <v>#DIV/0!</v>
      </c>
      <c r="AB155" s="205" t="e">
        <f t="shared" si="226"/>
        <v>#DIV/0!</v>
      </c>
      <c r="AC155" s="205" t="e">
        <f t="shared" si="226"/>
        <v>#DIV/0!</v>
      </c>
      <c r="AD155" s="205">
        <f t="shared" si="226"/>
        <v>514.28571428571433</v>
      </c>
      <c r="AE155" s="205">
        <f t="shared" si="226"/>
        <v>520</v>
      </c>
      <c r="AF155" s="205">
        <f t="shared" si="226"/>
        <v>525.71428571428567</v>
      </c>
      <c r="AG155" s="205">
        <f t="shared" si="226"/>
        <v>525.71428571428567</v>
      </c>
      <c r="AH155" s="205">
        <f t="shared" si="226"/>
        <v>461.27339003645199</v>
      </c>
      <c r="AI155" s="205">
        <f t="shared" si="226"/>
        <v>486.27419354838713</v>
      </c>
      <c r="AJ155" s="205">
        <f t="shared" si="226"/>
        <v>493.19913419913416</v>
      </c>
      <c r="AK155" s="205">
        <f t="shared" si="226"/>
        <v>525.71428571428567</v>
      </c>
      <c r="AL155" s="205">
        <f t="shared" si="226"/>
        <v>487.70364500792391</v>
      </c>
      <c r="AM155" s="205">
        <f t="shared" si="226"/>
        <v>505.04608294930875</v>
      </c>
      <c r="AN155" s="205">
        <f t="shared" si="226"/>
        <v>498.39719626168227</v>
      </c>
      <c r="AO155" s="205">
        <f t="shared" ref="AO155" si="227">+AO153/AO152*1000</f>
        <v>516.76273885350292</v>
      </c>
      <c r="AP155" s="97">
        <f t="shared" ref="AP155:BA155" si="228">AO155</f>
        <v>516.76273885350292</v>
      </c>
      <c r="AQ155" s="97">
        <f t="shared" si="228"/>
        <v>516.76273885350292</v>
      </c>
      <c r="AR155" s="97">
        <f t="shared" si="228"/>
        <v>516.76273885350292</v>
      </c>
      <c r="AS155" s="97">
        <f t="shared" si="228"/>
        <v>516.76273885350292</v>
      </c>
      <c r="AT155" s="97">
        <f t="shared" si="228"/>
        <v>516.76273885350292</v>
      </c>
      <c r="AU155" s="97">
        <f t="shared" si="228"/>
        <v>516.76273885350292</v>
      </c>
      <c r="AV155" s="97">
        <f t="shared" si="228"/>
        <v>516.76273885350292</v>
      </c>
      <c r="AW155" s="97">
        <f t="shared" si="228"/>
        <v>516.76273885350292</v>
      </c>
      <c r="AX155" s="97">
        <f t="shared" si="228"/>
        <v>516.76273885350292</v>
      </c>
      <c r="AY155" s="97">
        <f t="shared" si="228"/>
        <v>516.76273885350292</v>
      </c>
      <c r="AZ155" s="97">
        <f t="shared" si="228"/>
        <v>516.76273885350292</v>
      </c>
      <c r="BA155" s="97">
        <f t="shared" si="228"/>
        <v>516.76273885350292</v>
      </c>
      <c r="BD155" s="186">
        <f t="shared" si="166"/>
        <v>147</v>
      </c>
    </row>
    <row r="156" spans="2:56" hidden="1" outlineLevel="3">
      <c r="B156" s="65"/>
      <c r="C156" s="94"/>
      <c r="D156" s="94"/>
      <c r="E156" s="94"/>
      <c r="F156" s="97"/>
      <c r="G156" s="97"/>
      <c r="H156" s="97"/>
      <c r="I156" s="94"/>
      <c r="J156" s="94"/>
      <c r="K156" s="94"/>
      <c r="L156" s="94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80"/>
      <c r="AI156" s="80"/>
      <c r="AJ156" s="80"/>
      <c r="AK156" s="80"/>
      <c r="AL156" s="80"/>
      <c r="AM156" s="80"/>
      <c r="AN156" s="80"/>
      <c r="AO156" s="80"/>
      <c r="AP156" s="94"/>
      <c r="AQ156" s="94"/>
      <c r="AR156" s="94"/>
      <c r="AS156" s="94"/>
      <c r="AT156" s="94"/>
      <c r="AU156" s="94"/>
      <c r="AV156" s="94"/>
      <c r="AW156" s="94"/>
      <c r="AX156" s="94"/>
      <c r="AY156" s="94"/>
      <c r="AZ156" s="94"/>
      <c r="BA156" s="94"/>
      <c r="BD156" s="186">
        <f t="shared" si="166"/>
        <v>148</v>
      </c>
    </row>
    <row r="157" spans="2:56" hidden="1" outlineLevel="3">
      <c r="B157" s="65" t="s">
        <v>129</v>
      </c>
      <c r="C157" s="100"/>
      <c r="D157" s="100"/>
      <c r="E157" s="100"/>
      <c r="F157" s="100">
        <f t="shared" ref="F157:L157" si="229">IFERROR(+F159*1000/F153,"NM")</f>
        <v>114.90183456710653</v>
      </c>
      <c r="G157" s="100">
        <f t="shared" si="229"/>
        <v>104.74040632054177</v>
      </c>
      <c r="H157" s="100">
        <f t="shared" si="229"/>
        <v>95.657761732851981</v>
      </c>
      <c r="I157" s="100">
        <f t="shared" si="229"/>
        <v>95.977124550359719</v>
      </c>
      <c r="J157" s="100">
        <f t="shared" si="229"/>
        <v>99.126179285491261</v>
      </c>
      <c r="K157" s="100">
        <f t="shared" si="229"/>
        <v>102.38026622466569</v>
      </c>
      <c r="L157" s="100">
        <f t="shared" si="229"/>
        <v>103.8944533796482</v>
      </c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113">
        <v>106</v>
      </c>
      <c r="AE157" s="114">
        <v>103</v>
      </c>
      <c r="AF157" s="114">
        <v>100</v>
      </c>
      <c r="AG157" s="114">
        <v>99</v>
      </c>
      <c r="AH157" s="100">
        <f t="shared" ref="AH157:AN157" si="230">IFERROR(+AH159*1000/AH153,"NM")</f>
        <v>92.935716016732172</v>
      </c>
      <c r="AI157" s="100">
        <f t="shared" si="230"/>
        <v>96.241445266288537</v>
      </c>
      <c r="AJ157" s="100">
        <f t="shared" si="230"/>
        <v>97.197962473704393</v>
      </c>
      <c r="AK157" s="100">
        <f t="shared" si="230"/>
        <v>96.123568504615633</v>
      </c>
      <c r="AL157" s="100">
        <f t="shared" si="230"/>
        <v>97.270107005566373</v>
      </c>
      <c r="AM157" s="100">
        <f t="shared" si="230"/>
        <v>97.756892802287197</v>
      </c>
      <c r="AN157" s="100">
        <f t="shared" si="230"/>
        <v>94.799216178966219</v>
      </c>
      <c r="AO157" s="100">
        <f t="shared" ref="AO157" si="231">IFERROR(+AO159*1000/AO153,"NM")</f>
        <v>94.109272880222647</v>
      </c>
      <c r="AP157" s="100">
        <f t="shared" ref="AP157:BA157" si="232">AO157*(1+AP158)</f>
        <v>96.93255106662933</v>
      </c>
      <c r="AQ157" s="100">
        <f t="shared" si="232"/>
        <v>99.840527598628213</v>
      </c>
      <c r="AR157" s="100">
        <f t="shared" si="232"/>
        <v>99.840527598628213</v>
      </c>
      <c r="AS157" s="100">
        <f t="shared" si="232"/>
        <v>99.840527598628213</v>
      </c>
      <c r="AT157" s="100">
        <f t="shared" si="232"/>
        <v>100.8389328746145</v>
      </c>
      <c r="AU157" s="100">
        <f t="shared" si="232"/>
        <v>101.84732220336065</v>
      </c>
      <c r="AV157" s="100">
        <f t="shared" si="232"/>
        <v>102.86579542539425</v>
      </c>
      <c r="AW157" s="100">
        <f t="shared" si="232"/>
        <v>103.8944533796482</v>
      </c>
      <c r="AX157" s="100">
        <f t="shared" si="232"/>
        <v>103.8944533796482</v>
      </c>
      <c r="AY157" s="100">
        <f t="shared" si="232"/>
        <v>103.8944533796482</v>
      </c>
      <c r="AZ157" s="100">
        <f t="shared" si="232"/>
        <v>103.8944533796482</v>
      </c>
      <c r="BA157" s="100">
        <f t="shared" si="232"/>
        <v>103.8944533796482</v>
      </c>
      <c r="BD157" s="186">
        <f t="shared" si="166"/>
        <v>149</v>
      </c>
    </row>
    <row r="158" spans="2:56" hidden="1" outlineLevel="3">
      <c r="B158" s="98" t="s">
        <v>132</v>
      </c>
      <c r="C158" s="62"/>
      <c r="D158" s="63"/>
      <c r="E158" s="63"/>
      <c r="F158" s="63" t="str">
        <f t="shared" ref="F158:L158" si="233">IFERROR(+F157/E157-1,"NM")</f>
        <v>NM</v>
      </c>
      <c r="G158" s="63">
        <f t="shared" si="233"/>
        <v>-8.8435735468002097E-2</v>
      </c>
      <c r="H158" s="63">
        <f t="shared" si="233"/>
        <v>-8.671576621436583E-2</v>
      </c>
      <c r="I158" s="63">
        <f t="shared" si="233"/>
        <v>3.3385980575171281E-3</v>
      </c>
      <c r="J158" s="63">
        <f t="shared" si="233"/>
        <v>3.2810471764854965E-2</v>
      </c>
      <c r="K158" s="63">
        <f t="shared" si="233"/>
        <v>3.2827724851599571E-2</v>
      </c>
      <c r="L158" s="63">
        <f t="shared" si="233"/>
        <v>1.4789834123499324E-2</v>
      </c>
      <c r="N158" s="48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62"/>
      <c r="AE158" s="63">
        <f t="shared" ref="AE158:AO158" si="234">IFERROR(+AE157/AD157-1,"NM")</f>
        <v>-2.8301886792452824E-2</v>
      </c>
      <c r="AF158" s="63">
        <f t="shared" si="234"/>
        <v>-2.9126213592232997E-2</v>
      </c>
      <c r="AG158" s="63">
        <f t="shared" si="234"/>
        <v>-1.0000000000000009E-2</v>
      </c>
      <c r="AH158" s="63">
        <f t="shared" si="234"/>
        <v>-6.1255393770382138E-2</v>
      </c>
      <c r="AI158" s="63">
        <f t="shared" si="234"/>
        <v>3.5570062740585051E-2</v>
      </c>
      <c r="AJ158" s="63">
        <f t="shared" si="234"/>
        <v>9.9387244733211144E-3</v>
      </c>
      <c r="AK158" s="63">
        <f t="shared" si="234"/>
        <v>-1.1053667605217754E-2</v>
      </c>
      <c r="AL158" s="63">
        <f t="shared" si="234"/>
        <v>1.1927756311873594E-2</v>
      </c>
      <c r="AM158" s="63">
        <f t="shared" si="234"/>
        <v>5.0044747734570016E-3</v>
      </c>
      <c r="AN158" s="63">
        <f t="shared" si="234"/>
        <v>-3.0255427914457789E-2</v>
      </c>
      <c r="AO158" s="63">
        <f t="shared" si="234"/>
        <v>-7.2779430732957673E-3</v>
      </c>
      <c r="AP158" s="111">
        <v>0.03</v>
      </c>
      <c r="AQ158" s="111">
        <v>0.03</v>
      </c>
      <c r="AR158" s="111">
        <v>0</v>
      </c>
      <c r="AS158" s="111">
        <v>0</v>
      </c>
      <c r="AT158" s="111">
        <v>0.01</v>
      </c>
      <c r="AU158" s="111">
        <v>0.01</v>
      </c>
      <c r="AV158" s="111">
        <v>0.01</v>
      </c>
      <c r="AW158" s="111">
        <v>0.01</v>
      </c>
      <c r="AX158" s="111">
        <v>0</v>
      </c>
      <c r="AY158" s="111">
        <v>0</v>
      </c>
      <c r="AZ158" s="111">
        <v>0</v>
      </c>
      <c r="BA158" s="111">
        <v>0</v>
      </c>
      <c r="BD158" s="186">
        <f t="shared" si="166"/>
        <v>150</v>
      </c>
    </row>
    <row r="159" spans="2:56" hidden="1" outlineLevel="3">
      <c r="B159" s="65" t="s">
        <v>136</v>
      </c>
      <c r="C159" s="94"/>
      <c r="D159" s="94"/>
      <c r="E159" s="94"/>
      <c r="F159" s="107">
        <f t="shared" ref="F159:L159" si="235">F66</f>
        <v>357</v>
      </c>
      <c r="G159" s="107">
        <f t="shared" si="235"/>
        <v>232</v>
      </c>
      <c r="H159" s="107">
        <f t="shared" si="235"/>
        <v>132.48599999999999</v>
      </c>
      <c r="I159" s="107">
        <f t="shared" si="235"/>
        <v>122.949</v>
      </c>
      <c r="J159" s="107">
        <f t="shared" si="235"/>
        <v>132.51834003240447</v>
      </c>
      <c r="K159" s="107">
        <f t="shared" si="235"/>
        <v>144.54003011970627</v>
      </c>
      <c r="L159" s="107">
        <f t="shared" si="235"/>
        <v>155.69746861244826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103">
        <f>+AD153*AD157/1000</f>
        <v>67.13333333333334</v>
      </c>
      <c r="AE159" s="103">
        <f>+AE153*AE157/1000</f>
        <v>58.71</v>
      </c>
      <c r="AF159" s="103">
        <f>+AF153*AF157/1000</f>
        <v>54.632000000000005</v>
      </c>
      <c r="AG159" s="103">
        <f>+AG153*AG157/1000</f>
        <v>47.708100000000002</v>
      </c>
      <c r="AH159" s="107">
        <f t="shared" ref="AH159:BA159" si="236">AH66</f>
        <v>35.280999999999999</v>
      </c>
      <c r="AI159" s="107">
        <f t="shared" si="236"/>
        <v>34.819000000000003</v>
      </c>
      <c r="AJ159" s="107">
        <f t="shared" si="236"/>
        <v>33.220999999999997</v>
      </c>
      <c r="AK159" s="107">
        <f t="shared" si="236"/>
        <v>29</v>
      </c>
      <c r="AL159" s="107">
        <f t="shared" si="236"/>
        <v>29.934000000000001</v>
      </c>
      <c r="AM159" s="107">
        <f t="shared" si="236"/>
        <v>32.140999999999998</v>
      </c>
      <c r="AN159" s="107">
        <f t="shared" si="236"/>
        <v>30.332999999999998</v>
      </c>
      <c r="AO159" s="107">
        <f t="shared" ref="AO159" si="237">AO66</f>
        <v>30.541</v>
      </c>
      <c r="AP159" s="107">
        <f t="shared" si="236"/>
        <v>31.832913479299368</v>
      </c>
      <c r="AQ159" s="107">
        <f t="shared" si="236"/>
        <v>33.174854867356693</v>
      </c>
      <c r="AR159" s="107">
        <f t="shared" si="236"/>
        <v>33.561808851035032</v>
      </c>
      <c r="AS159" s="107">
        <f t="shared" si="236"/>
        <v>33.948762834713378</v>
      </c>
      <c r="AT159" s="107">
        <f t="shared" si="236"/>
        <v>34.809348494414017</v>
      </c>
      <c r="AU159" s="107">
        <f t="shared" si="236"/>
        <v>35.6837509910252</v>
      </c>
      <c r="AV159" s="107">
        <f t="shared" si="236"/>
        <v>36.572160602719151</v>
      </c>
      <c r="AW159" s="107">
        <f t="shared" si="236"/>
        <v>37.474770031547898</v>
      </c>
      <c r="AX159" s="107">
        <f t="shared" si="236"/>
        <v>38.924367153112065</v>
      </c>
      <c r="AY159" s="107">
        <f t="shared" si="236"/>
        <v>38.924367153112065</v>
      </c>
      <c r="AZ159" s="107">
        <f t="shared" si="236"/>
        <v>38.924367153112065</v>
      </c>
      <c r="BA159" s="107">
        <f t="shared" si="236"/>
        <v>38.924367153112065</v>
      </c>
      <c r="BD159" s="186">
        <f t="shared" si="166"/>
        <v>151</v>
      </c>
    </row>
    <row r="160" spans="2:56" hidden="1" outlineLevel="2">
      <c r="B160" s="65"/>
      <c r="C160" s="94"/>
      <c r="D160" s="94"/>
      <c r="E160" s="94"/>
      <c r="F160" s="97"/>
      <c r="G160" s="97"/>
      <c r="H160" s="97"/>
      <c r="I160" s="94"/>
      <c r="J160" s="94"/>
      <c r="K160" s="94"/>
      <c r="L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  <c r="AK160" s="97"/>
      <c r="AL160" s="97"/>
      <c r="AM160" s="97"/>
      <c r="AN160" s="97"/>
      <c r="AO160" s="97"/>
      <c r="AP160" s="94"/>
      <c r="AQ160" s="94"/>
      <c r="AR160" s="94"/>
      <c r="AS160" s="94"/>
      <c r="AT160" s="94"/>
      <c r="AU160" s="94"/>
      <c r="AV160" s="94"/>
      <c r="AW160" s="94"/>
      <c r="AX160" s="94"/>
      <c r="AY160" s="94"/>
      <c r="AZ160" s="94"/>
      <c r="BA160" s="94"/>
      <c r="BD160" s="186">
        <f t="shared" si="166"/>
        <v>152</v>
      </c>
    </row>
    <row r="161" spans="1:56" outlineLevel="1" collapsed="1">
      <c r="A161" s="38" t="s">
        <v>71</v>
      </c>
      <c r="B161" s="27" t="s">
        <v>112</v>
      </c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188"/>
      <c r="AM161" s="188"/>
      <c r="AN161" s="188"/>
      <c r="AO161" s="188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D161" s="186">
        <f t="shared" si="166"/>
        <v>153</v>
      </c>
    </row>
    <row r="162" spans="1:56" hidden="1" outlineLevel="2">
      <c r="B162" s="26" t="s">
        <v>87</v>
      </c>
      <c r="C162" s="35">
        <f t="shared" ref="C162:L164" si="238">SUMIFS($N162:$BB162,$N$5:$BB$5,C$5)</f>
        <v>0</v>
      </c>
      <c r="D162" s="35">
        <f t="shared" si="238"/>
        <v>0</v>
      </c>
      <c r="E162" s="35">
        <f t="shared" si="238"/>
        <v>0</v>
      </c>
      <c r="F162" s="35">
        <f t="shared" si="238"/>
        <v>0</v>
      </c>
      <c r="G162" s="35">
        <f t="shared" si="238"/>
        <v>870.423</v>
      </c>
      <c r="H162" s="35">
        <f t="shared" si="238"/>
        <v>704.95600000000002</v>
      </c>
      <c r="I162" s="35">
        <f t="shared" si="238"/>
        <v>6.2080000000000037</v>
      </c>
      <c r="J162" s="35">
        <f t="shared" si="238"/>
        <v>0</v>
      </c>
      <c r="K162" s="35">
        <f t="shared" si="238"/>
        <v>0</v>
      </c>
      <c r="L162" s="35">
        <f t="shared" si="238"/>
        <v>0</v>
      </c>
      <c r="M162" s="35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56"/>
      <c r="AA162" s="57"/>
      <c r="AB162" s="57"/>
      <c r="AC162" s="57"/>
      <c r="AD162" s="53">
        <f>25.276-0.731</f>
        <v>24.544999999999998</v>
      </c>
      <c r="AE162" s="53">
        <f>0.225+6.883+1.778+4.472+2.822</f>
        <v>16.18</v>
      </c>
      <c r="AF162" s="53">
        <f>0.141+6.488+3.163+0.179+3.035+394.191</f>
        <v>407.197</v>
      </c>
      <c r="AG162" s="53">
        <f>3.346+2.604+4.016-13.19+28.287-0.179+397.617</f>
        <v>422.50100000000003</v>
      </c>
      <c r="AH162" s="53">
        <f>3.202+381.694+10.545+7.792+3.689+1.468+1.267</f>
        <v>409.65700000000004</v>
      </c>
      <c r="AI162" s="53">
        <f>91.9+1.712+48.712+12.761+3.379-0.433+11.78+0.548+15.451+1.02</f>
        <v>186.83</v>
      </c>
      <c r="AJ162" s="53">
        <f>-0.694+6.847+1.481+0.078+0.352+8.26+40.877</f>
        <v>57.201000000000001</v>
      </c>
      <c r="AK162" s="41">
        <f>3.075+436.395+10.534+31.498+1.113+30.401+55.33+35.35+1.02+7.792+0.548+91.9-AJ162-AI162-AH162</f>
        <v>51.267999999999915</v>
      </c>
      <c r="AL162" s="41">
        <f>-6.056+15.658</f>
        <v>9.6020000000000003</v>
      </c>
      <c r="AM162" s="41">
        <f>7.853+0.804-3.136</f>
        <v>5.5209999999999999</v>
      </c>
      <c r="AN162" s="41">
        <f>0.879+1.661-1.324</f>
        <v>1.216</v>
      </c>
      <c r="AO162" s="41">
        <f>3.423+5.441+1.952-20.947</f>
        <v>-10.130999999999998</v>
      </c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D162" s="186">
        <f t="shared" si="166"/>
        <v>154</v>
      </c>
    </row>
    <row r="163" spans="1:56" hidden="1" outlineLevel="2">
      <c r="B163" s="26" t="s">
        <v>88</v>
      </c>
      <c r="C163" s="35">
        <f t="shared" si="238"/>
        <v>0</v>
      </c>
      <c r="D163" s="35">
        <f t="shared" si="238"/>
        <v>0</v>
      </c>
      <c r="E163" s="35">
        <f t="shared" si="238"/>
        <v>0</v>
      </c>
      <c r="F163" s="35">
        <f t="shared" si="238"/>
        <v>0</v>
      </c>
      <c r="G163" s="35">
        <f t="shared" si="238"/>
        <v>659.2161000000001</v>
      </c>
      <c r="H163" s="35">
        <f t="shared" si="238"/>
        <v>654.30799999999999</v>
      </c>
      <c r="I163" s="35">
        <f t="shared" si="238"/>
        <v>-14.898950000000006</v>
      </c>
      <c r="J163" s="35">
        <f t="shared" si="238"/>
        <v>0</v>
      </c>
      <c r="K163" s="35">
        <f t="shared" si="238"/>
        <v>0</v>
      </c>
      <c r="L163" s="35">
        <f t="shared" si="238"/>
        <v>0</v>
      </c>
      <c r="M163" s="35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58"/>
      <c r="AA163" s="56"/>
      <c r="AB163" s="56"/>
      <c r="AC163" s="56"/>
      <c r="AD163" s="54">
        <f t="shared" ref="AD163:AO163" si="239">-SUM(AD28:AD33)</f>
        <v>0</v>
      </c>
      <c r="AE163" s="54">
        <f t="shared" si="239"/>
        <v>11.469250000000001</v>
      </c>
      <c r="AF163" s="54">
        <f t="shared" si="239"/>
        <v>378.07850000000002</v>
      </c>
      <c r="AG163" s="54">
        <f t="shared" si="239"/>
        <v>269.66835000000003</v>
      </c>
      <c r="AH163" s="54">
        <f t="shared" si="239"/>
        <v>359.36529999999993</v>
      </c>
      <c r="AI163" s="54">
        <f t="shared" si="239"/>
        <v>186.23080000000002</v>
      </c>
      <c r="AJ163" s="54">
        <f t="shared" si="239"/>
        <v>57.443900000000006</v>
      </c>
      <c r="AK163" s="54">
        <f t="shared" si="239"/>
        <v>51.268000000000001</v>
      </c>
      <c r="AL163" s="54">
        <f t="shared" si="239"/>
        <v>10.263599999999999</v>
      </c>
      <c r="AM163" s="54">
        <f t="shared" si="239"/>
        <v>6.6185999999999998</v>
      </c>
      <c r="AN163" s="54">
        <f t="shared" si="239"/>
        <v>0.79039999999999999</v>
      </c>
      <c r="AO163" s="54">
        <f t="shared" si="239"/>
        <v>-32.571550000000002</v>
      </c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D163" s="186">
        <f t="shared" si="166"/>
        <v>155</v>
      </c>
    </row>
    <row r="164" spans="1:56" hidden="1" outlineLevel="2">
      <c r="B164" s="26" t="s">
        <v>89</v>
      </c>
      <c r="C164" s="35">
        <f t="shared" si="238"/>
        <v>0</v>
      </c>
      <c r="D164" s="35">
        <f t="shared" si="238"/>
        <v>0</v>
      </c>
      <c r="E164" s="35">
        <f t="shared" si="238"/>
        <v>0</v>
      </c>
      <c r="F164" s="35">
        <f t="shared" si="238"/>
        <v>0</v>
      </c>
      <c r="G164" s="35">
        <f t="shared" si="238"/>
        <v>211.20689999999999</v>
      </c>
      <c r="H164" s="35">
        <f t="shared" si="238"/>
        <v>50.64800000000001</v>
      </c>
      <c r="I164" s="35">
        <f t="shared" si="238"/>
        <v>21.106950000000005</v>
      </c>
      <c r="J164" s="35">
        <f t="shared" si="238"/>
        <v>0</v>
      </c>
      <c r="K164" s="35">
        <f t="shared" si="238"/>
        <v>0</v>
      </c>
      <c r="L164" s="35">
        <f t="shared" si="238"/>
        <v>0</v>
      </c>
      <c r="M164" s="35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56"/>
      <c r="AA164" s="56"/>
      <c r="AB164" s="56"/>
      <c r="AC164" s="56"/>
      <c r="AD164" s="54">
        <f t="shared" ref="AD164:AO164" si="240">+AD162-AD163</f>
        <v>24.544999999999998</v>
      </c>
      <c r="AE164" s="54">
        <f t="shared" si="240"/>
        <v>4.7107499999999991</v>
      </c>
      <c r="AF164" s="54">
        <f t="shared" si="240"/>
        <v>29.118499999999983</v>
      </c>
      <c r="AG164" s="54">
        <f t="shared" si="240"/>
        <v>152.83265</v>
      </c>
      <c r="AH164" s="54">
        <f t="shared" si="240"/>
        <v>50.291700000000105</v>
      </c>
      <c r="AI164" s="54">
        <f t="shared" si="240"/>
        <v>0.59919999999999618</v>
      </c>
      <c r="AJ164" s="54">
        <f t="shared" si="240"/>
        <v>-0.24290000000000589</v>
      </c>
      <c r="AK164" s="54">
        <f t="shared" si="240"/>
        <v>-8.5265128291212022E-14</v>
      </c>
      <c r="AL164" s="54">
        <f t="shared" si="240"/>
        <v>-0.66159999999999819</v>
      </c>
      <c r="AM164" s="54">
        <f t="shared" si="240"/>
        <v>-1.0975999999999999</v>
      </c>
      <c r="AN164" s="54">
        <f t="shared" si="240"/>
        <v>0.42559999999999998</v>
      </c>
      <c r="AO164" s="54">
        <f t="shared" si="240"/>
        <v>22.440550000000002</v>
      </c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D164" s="186">
        <f t="shared" si="166"/>
        <v>156</v>
      </c>
    </row>
    <row r="165" spans="1:56" hidden="1" outlineLevel="2">
      <c r="B165" s="26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35"/>
      <c r="AL165" s="188"/>
      <c r="AM165" s="188"/>
      <c r="AN165" s="188"/>
      <c r="AO165" s="188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D165" s="186">
        <f t="shared" si="166"/>
        <v>157</v>
      </c>
    </row>
    <row r="166" spans="1:56" hidden="1" outlineLevel="2">
      <c r="B166" s="26" t="s">
        <v>90</v>
      </c>
      <c r="C166" s="35">
        <f t="shared" ref="C166:L167" si="241">SUMIFS($N166:$BB166,$N$5:$BB$5,C$5)</f>
        <v>0</v>
      </c>
      <c r="D166" s="35">
        <f t="shared" si="241"/>
        <v>0</v>
      </c>
      <c r="E166" s="35">
        <f t="shared" si="241"/>
        <v>0</v>
      </c>
      <c r="F166" s="35">
        <f t="shared" si="241"/>
        <v>0</v>
      </c>
      <c r="G166" s="35">
        <f t="shared" si="241"/>
        <v>299.09299999999996</v>
      </c>
      <c r="H166" s="35">
        <f t="shared" si="241"/>
        <v>129.01</v>
      </c>
      <c r="I166" s="35">
        <f t="shared" si="241"/>
        <v>39.760000000000005</v>
      </c>
      <c r="J166" s="35">
        <f t="shared" si="241"/>
        <v>0</v>
      </c>
      <c r="K166" s="35">
        <f t="shared" si="241"/>
        <v>0</v>
      </c>
      <c r="L166" s="35">
        <f t="shared" si="241"/>
        <v>0</v>
      </c>
      <c r="M166" s="35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56"/>
      <c r="AA166" s="57"/>
      <c r="AB166" s="57"/>
      <c r="AC166" s="57"/>
      <c r="AD166" s="55">
        <f>4.893</f>
        <v>4.8929999999999998</v>
      </c>
      <c r="AE166" s="55">
        <f>34.356</f>
        <v>34.356000000000002</v>
      </c>
      <c r="AF166" s="55">
        <f>69.362</f>
        <v>69.361999999999995</v>
      </c>
      <c r="AG166" s="55">
        <f>190.482</f>
        <v>190.482</v>
      </c>
      <c r="AH166" s="55">
        <f>94.148</f>
        <v>94.147999999999996</v>
      </c>
      <c r="AI166" s="55">
        <f>11.252</f>
        <v>11.252000000000001</v>
      </c>
      <c r="AJ166" s="55">
        <v>21.123000000000001</v>
      </c>
      <c r="AK166" s="55">
        <f>129.01-AJ166-AI166-AH166</f>
        <v>2.4869999999999948</v>
      </c>
      <c r="AL166" s="55">
        <v>3.2360000000000002</v>
      </c>
      <c r="AM166" s="55">
        <v>2.3929999999999998</v>
      </c>
      <c r="AN166" s="55">
        <v>3.1269999999999998</v>
      </c>
      <c r="AO166" s="55">
        <v>31.004000000000001</v>
      </c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D166" s="186">
        <f t="shared" si="166"/>
        <v>158</v>
      </c>
    </row>
    <row r="167" spans="1:56" hidden="1" outlineLevel="2">
      <c r="B167" s="26" t="s">
        <v>91</v>
      </c>
      <c r="C167" s="35">
        <f t="shared" si="241"/>
        <v>0</v>
      </c>
      <c r="D167" s="35">
        <f t="shared" si="241"/>
        <v>0</v>
      </c>
      <c r="E167" s="35">
        <f t="shared" si="241"/>
        <v>0</v>
      </c>
      <c r="F167" s="35">
        <f t="shared" si="241"/>
        <v>0</v>
      </c>
      <c r="G167" s="35">
        <f t="shared" si="241"/>
        <v>87.886100000000013</v>
      </c>
      <c r="H167" s="35">
        <f t="shared" si="241"/>
        <v>78.361999999999981</v>
      </c>
      <c r="I167" s="35">
        <f t="shared" si="241"/>
        <v>18.653049999999997</v>
      </c>
      <c r="J167" s="35">
        <f t="shared" si="241"/>
        <v>0</v>
      </c>
      <c r="K167" s="35">
        <f t="shared" si="241"/>
        <v>0</v>
      </c>
      <c r="L167" s="35">
        <f t="shared" si="241"/>
        <v>0</v>
      </c>
      <c r="M167" s="35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56"/>
      <c r="AA167" s="57"/>
      <c r="AB167" s="57"/>
      <c r="AC167" s="57"/>
      <c r="AD167" s="54">
        <f t="shared" ref="AD167:AO167" si="242">+AD166-AD164</f>
        <v>-19.651999999999997</v>
      </c>
      <c r="AE167" s="54">
        <f t="shared" si="242"/>
        <v>29.645250000000004</v>
      </c>
      <c r="AF167" s="54">
        <f t="shared" si="242"/>
        <v>40.243500000000012</v>
      </c>
      <c r="AG167" s="54">
        <f t="shared" si="242"/>
        <v>37.649349999999998</v>
      </c>
      <c r="AH167" s="54">
        <f t="shared" si="242"/>
        <v>43.856299999999891</v>
      </c>
      <c r="AI167" s="54">
        <f t="shared" si="242"/>
        <v>10.652800000000004</v>
      </c>
      <c r="AJ167" s="54">
        <f t="shared" si="242"/>
        <v>21.365900000000007</v>
      </c>
      <c r="AK167" s="54">
        <f t="shared" si="242"/>
        <v>2.48700000000008</v>
      </c>
      <c r="AL167" s="54">
        <f t="shared" si="242"/>
        <v>3.8975999999999984</v>
      </c>
      <c r="AM167" s="54">
        <f t="shared" si="242"/>
        <v>3.4905999999999997</v>
      </c>
      <c r="AN167" s="54">
        <f t="shared" si="242"/>
        <v>2.7013999999999996</v>
      </c>
      <c r="AO167" s="54">
        <f t="shared" si="242"/>
        <v>8.5634499999999996</v>
      </c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D167" s="186">
        <f t="shared" si="166"/>
        <v>159</v>
      </c>
    </row>
    <row r="168" spans="1:56" hidden="1" outlineLevel="2"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188"/>
      <c r="AM168" s="188"/>
      <c r="AN168" s="188"/>
      <c r="AO168" s="188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D168" s="186">
        <f t="shared" si="166"/>
        <v>160</v>
      </c>
    </row>
    <row r="169" spans="1:56" outlineLevel="1" collapsed="1">
      <c r="A169" s="38" t="s">
        <v>71</v>
      </c>
      <c r="B169" s="27" t="s">
        <v>95</v>
      </c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188"/>
      <c r="AM169" s="188"/>
      <c r="AN169" s="188"/>
      <c r="AO169" s="188"/>
      <c r="AP169" s="188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D169" s="186">
        <f t="shared" si="166"/>
        <v>161</v>
      </c>
    </row>
    <row r="170" spans="1:56" hidden="1" outlineLevel="2">
      <c r="B170" s="40" t="s">
        <v>93</v>
      </c>
      <c r="C170" s="35">
        <f t="shared" ref="C170:F173" si="243">SUMIFS($N170:$BB170,$N$5:$BB$5,C$5)</f>
        <v>0</v>
      </c>
      <c r="D170" s="35">
        <f t="shared" si="243"/>
        <v>0</v>
      </c>
      <c r="E170" s="35">
        <f t="shared" si="243"/>
        <v>0</v>
      </c>
      <c r="F170" s="35">
        <f t="shared" si="243"/>
        <v>0</v>
      </c>
      <c r="G170" s="35">
        <f>G14</f>
        <v>2114</v>
      </c>
      <c r="H170" s="35">
        <f t="shared" ref="H170:L173" si="244">SUMIFS($N170:$BB170,$N$5:$BB$5,H$5)</f>
        <v>971.14200000000005</v>
      </c>
      <c r="I170" s="35">
        <f t="shared" si="244"/>
        <v>1638.739</v>
      </c>
      <c r="J170" s="35">
        <f t="shared" si="244"/>
        <v>2558.1686773208203</v>
      </c>
      <c r="K170" s="35">
        <f t="shared" si="244"/>
        <v>3209.5867559536123</v>
      </c>
      <c r="L170" s="35">
        <f t="shared" si="244"/>
        <v>3324.0768799953298</v>
      </c>
      <c r="M170" s="35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35">
        <f t="shared" ref="AE170:BA170" si="245">AE14</f>
        <v>511.16500000000002</v>
      </c>
      <c r="AF170" s="35">
        <f t="shared" si="245"/>
        <v>427.49699999999996</v>
      </c>
      <c r="AG170" s="35">
        <f t="shared" si="245"/>
        <v>409.01100000000002</v>
      </c>
      <c r="AH170" s="35">
        <f t="shared" si="245"/>
        <v>269.61500000000001</v>
      </c>
      <c r="AI170" s="35">
        <f t="shared" si="245"/>
        <v>225.16800000000001</v>
      </c>
      <c r="AJ170" s="35">
        <f t="shared" si="245"/>
        <v>232.53700000000001</v>
      </c>
      <c r="AK170" s="35">
        <f t="shared" si="245"/>
        <v>243.822</v>
      </c>
      <c r="AL170" s="188">
        <f t="shared" si="245"/>
        <v>314.19400000000002</v>
      </c>
      <c r="AM170" s="188">
        <f t="shared" si="245"/>
        <v>390.14299999999997</v>
      </c>
      <c r="AN170" s="188">
        <f t="shared" si="245"/>
        <v>442.65199999999999</v>
      </c>
      <c r="AO170" s="188">
        <f t="shared" si="245"/>
        <v>491.75</v>
      </c>
      <c r="AP170" s="35">
        <f t="shared" si="245"/>
        <v>555.12342178591337</v>
      </c>
      <c r="AQ170" s="35">
        <f t="shared" si="245"/>
        <v>606.17354567167433</v>
      </c>
      <c r="AR170" s="35">
        <f t="shared" si="245"/>
        <v>676.76983867108709</v>
      </c>
      <c r="AS170" s="35">
        <f t="shared" si="245"/>
        <v>720.10187119214561</v>
      </c>
      <c r="AT170" s="35">
        <f t="shared" si="245"/>
        <v>761.70091855648559</v>
      </c>
      <c r="AU170" s="35">
        <f t="shared" si="245"/>
        <v>794.84980491487534</v>
      </c>
      <c r="AV170" s="35">
        <f t="shared" si="245"/>
        <v>823.65529515675053</v>
      </c>
      <c r="AW170" s="35">
        <f t="shared" si="245"/>
        <v>829.38073732550072</v>
      </c>
      <c r="AX170" s="35">
        <f t="shared" si="245"/>
        <v>831.01921999883245</v>
      </c>
      <c r="AY170" s="35">
        <f t="shared" si="245"/>
        <v>831.01921999883245</v>
      </c>
      <c r="AZ170" s="35">
        <f t="shared" si="245"/>
        <v>831.01921999883245</v>
      </c>
      <c r="BA170" s="35">
        <f t="shared" si="245"/>
        <v>831.01921999883245</v>
      </c>
      <c r="BD170" s="186">
        <f t="shared" ref="BD170:BD233" si="246">+BD169+1</f>
        <v>162</v>
      </c>
    </row>
    <row r="171" spans="1:56" hidden="1" outlineLevel="2">
      <c r="B171" s="40" t="s">
        <v>94</v>
      </c>
      <c r="C171" s="35">
        <f t="shared" si="243"/>
        <v>0</v>
      </c>
      <c r="D171" s="35">
        <f t="shared" si="243"/>
        <v>0</v>
      </c>
      <c r="E171" s="35">
        <f t="shared" si="243"/>
        <v>0</v>
      </c>
      <c r="F171" s="35">
        <f t="shared" si="243"/>
        <v>0</v>
      </c>
      <c r="G171" s="35">
        <f>-G20</f>
        <v>-53</v>
      </c>
      <c r="H171" s="35">
        <f t="shared" si="244"/>
        <v>94.841999999999999</v>
      </c>
      <c r="I171" s="35">
        <f t="shared" si="244"/>
        <v>-130.864</v>
      </c>
      <c r="J171" s="35">
        <f t="shared" si="244"/>
        <v>-417.53745908177279</v>
      </c>
      <c r="K171" s="35">
        <f t="shared" si="244"/>
        <v>-609.83930131006673</v>
      </c>
      <c r="L171" s="35">
        <f t="shared" si="244"/>
        <v>-625.71507737163483</v>
      </c>
      <c r="M171" s="35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35">
        <f t="shared" ref="AE171:BA171" si="247">-AE20</f>
        <v>-20.345999999999947</v>
      </c>
      <c r="AF171" s="35">
        <f t="shared" si="247"/>
        <v>11.409999999999954</v>
      </c>
      <c r="AG171" s="35">
        <f t="shared" si="247"/>
        <v>-7.73599999999999</v>
      </c>
      <c r="AH171" s="35">
        <f t="shared" si="247"/>
        <v>31.806000000000001</v>
      </c>
      <c r="AI171" s="35">
        <f t="shared" si="247"/>
        <v>33.224000000000004</v>
      </c>
      <c r="AJ171" s="35">
        <f t="shared" si="247"/>
        <v>17.908000000000001</v>
      </c>
      <c r="AK171" s="35">
        <f t="shared" si="247"/>
        <v>11.904</v>
      </c>
      <c r="AL171" s="188">
        <f t="shared" si="247"/>
        <v>-4.5839999999999996</v>
      </c>
      <c r="AM171" s="188">
        <f t="shared" si="247"/>
        <v>-25.11</v>
      </c>
      <c r="AN171" s="188">
        <f t="shared" si="247"/>
        <v>-43.899000000000001</v>
      </c>
      <c r="AO171" s="188">
        <f t="shared" si="247"/>
        <v>-57.271000000000001</v>
      </c>
      <c r="AP171" s="35">
        <f t="shared" si="247"/>
        <v>-73.299712519361037</v>
      </c>
      <c r="AQ171" s="35">
        <f t="shared" si="247"/>
        <v>-93.384007466491767</v>
      </c>
      <c r="AR171" s="35">
        <f t="shared" si="247"/>
        <v>-117.22354372887023</v>
      </c>
      <c r="AS171" s="35">
        <f t="shared" si="247"/>
        <v>-133.63019536704974</v>
      </c>
      <c r="AT171" s="35">
        <f t="shared" si="247"/>
        <v>-143.57753108640134</v>
      </c>
      <c r="AU171" s="35">
        <f t="shared" si="247"/>
        <v>-150.9840805176444</v>
      </c>
      <c r="AV171" s="35">
        <f t="shared" si="247"/>
        <v>-157.33387614276657</v>
      </c>
      <c r="AW171" s="35">
        <f t="shared" si="247"/>
        <v>-157.94381356325442</v>
      </c>
      <c r="AX171" s="35">
        <f t="shared" si="247"/>
        <v>-157.46932354485421</v>
      </c>
      <c r="AY171" s="35">
        <f t="shared" si="247"/>
        <v>-156.7847934468702</v>
      </c>
      <c r="AZ171" s="35">
        <f t="shared" si="247"/>
        <v>-156.08657274692652</v>
      </c>
      <c r="BA171" s="35">
        <f t="shared" si="247"/>
        <v>-155.37438763298397</v>
      </c>
      <c r="BD171" s="186">
        <f t="shared" si="246"/>
        <v>163</v>
      </c>
    </row>
    <row r="172" spans="1:56" hidden="1" outlineLevel="2">
      <c r="B172" s="40" t="s">
        <v>168</v>
      </c>
      <c r="C172" s="35">
        <f t="shared" si="243"/>
        <v>0</v>
      </c>
      <c r="D172" s="35">
        <f t="shared" si="243"/>
        <v>0</v>
      </c>
      <c r="E172" s="35">
        <f t="shared" si="243"/>
        <v>0</v>
      </c>
      <c r="F172" s="35">
        <f t="shared" si="243"/>
        <v>0</v>
      </c>
      <c r="G172" s="35">
        <f>SUMIFS($N172:$BB172,$N$5:$BB$5,G$5)</f>
        <v>-155.80000000000001</v>
      </c>
      <c r="H172" s="35">
        <f t="shared" si="244"/>
        <v>-185.08500000000001</v>
      </c>
      <c r="I172" s="35">
        <f t="shared" si="244"/>
        <v>-219.602</v>
      </c>
      <c r="J172" s="35">
        <f t="shared" si="244"/>
        <v>-282</v>
      </c>
      <c r="K172" s="35">
        <f t="shared" si="244"/>
        <v>-294.28281120000003</v>
      </c>
      <c r="L172" s="35">
        <f t="shared" si="244"/>
        <v>-318.54117897808828</v>
      </c>
      <c r="M172" s="35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50">
        <v>-55.5</v>
      </c>
      <c r="AF172" s="50">
        <v>-53.3</v>
      </c>
      <c r="AG172" s="50">
        <v>-47</v>
      </c>
      <c r="AH172" s="50">
        <v>-46.2</v>
      </c>
      <c r="AI172" s="50">
        <f>-71.341-1.786+15.5+8.7+1.2</f>
        <v>-47.72699999999999</v>
      </c>
      <c r="AJ172" s="50">
        <f>-48.825-1.797+8.3</f>
        <v>-42.322000000000003</v>
      </c>
      <c r="AK172" s="50">
        <f>-229.267-7.718+18.2+15.5+8.7+1.2+8.3-AJ172-AI172-AH172</f>
        <v>-48.836000000000013</v>
      </c>
      <c r="AL172" s="50">
        <f>-62.092-1.217+15.658</f>
        <v>-47.650999999999996</v>
      </c>
      <c r="AM172" s="50">
        <f>-61.2-2.052+7.853+0.804</f>
        <v>-54.594999999999999</v>
      </c>
      <c r="AN172" s="50">
        <f>-59.639-1.674+0.879+1.661</f>
        <v>-58.773000000000003</v>
      </c>
      <c r="AO172" s="50">
        <f>-67.975-1.424+3.423+5.441+1.952</f>
        <v>-58.582999999999998</v>
      </c>
      <c r="AP172" s="50">
        <f>-70-2</f>
        <v>-72</v>
      </c>
      <c r="AQ172" s="50">
        <v>-70</v>
      </c>
      <c r="AR172" s="50">
        <v>-70</v>
      </c>
      <c r="AS172" s="50">
        <v>-70</v>
      </c>
      <c r="AT172" s="82">
        <f t="shared" ref="AT172:BA172" si="248">+AS172/AS19*AT19</f>
        <v>-71.400000000000006</v>
      </c>
      <c r="AU172" s="82">
        <f t="shared" si="248"/>
        <v>-72.828000000000017</v>
      </c>
      <c r="AV172" s="82">
        <f t="shared" si="248"/>
        <v>-74.284560000000013</v>
      </c>
      <c r="AW172" s="82">
        <f t="shared" si="248"/>
        <v>-75.770251200000018</v>
      </c>
      <c r="AX172" s="82">
        <f t="shared" si="248"/>
        <v>-77.285656224000007</v>
      </c>
      <c r="AY172" s="82">
        <f t="shared" si="248"/>
        <v>-78.83136934848001</v>
      </c>
      <c r="AZ172" s="82">
        <f t="shared" si="248"/>
        <v>-80.407996735449629</v>
      </c>
      <c r="BA172" s="82">
        <f t="shared" si="248"/>
        <v>-82.016156670158608</v>
      </c>
      <c r="BD172" s="186">
        <f t="shared" si="246"/>
        <v>164</v>
      </c>
    </row>
    <row r="173" spans="1:56" hidden="1" outlineLevel="2">
      <c r="B173" s="45" t="s">
        <v>95</v>
      </c>
      <c r="C173" s="36">
        <f t="shared" si="243"/>
        <v>0</v>
      </c>
      <c r="D173" s="36">
        <f t="shared" si="243"/>
        <v>0</v>
      </c>
      <c r="E173" s="36">
        <f t="shared" si="243"/>
        <v>0</v>
      </c>
      <c r="F173" s="36">
        <f t="shared" si="243"/>
        <v>0</v>
      </c>
      <c r="G173" s="36">
        <f>SUM(G170:G172)</f>
        <v>1905.2</v>
      </c>
      <c r="H173" s="36">
        <f t="shared" si="244"/>
        <v>880.899</v>
      </c>
      <c r="I173" s="36">
        <f t="shared" si="244"/>
        <v>1288.2729999999999</v>
      </c>
      <c r="J173" s="36">
        <f t="shared" si="244"/>
        <v>1858.6312182390477</v>
      </c>
      <c r="K173" s="36">
        <f t="shared" si="244"/>
        <v>2305.4646434435454</v>
      </c>
      <c r="L173" s="36">
        <f t="shared" si="244"/>
        <v>2379.8206236456072</v>
      </c>
      <c r="M173" s="35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36">
        <f t="shared" ref="AE173:BA173" si="249">SUM(AE170:AE172)</f>
        <v>435.31900000000007</v>
      </c>
      <c r="AF173" s="36">
        <f t="shared" si="249"/>
        <v>385.60699999999991</v>
      </c>
      <c r="AG173" s="36">
        <f t="shared" si="249"/>
        <v>354.27500000000003</v>
      </c>
      <c r="AH173" s="36">
        <f t="shared" si="249"/>
        <v>255.221</v>
      </c>
      <c r="AI173" s="36">
        <f t="shared" si="249"/>
        <v>210.66500000000002</v>
      </c>
      <c r="AJ173" s="36">
        <f t="shared" si="249"/>
        <v>208.12299999999999</v>
      </c>
      <c r="AK173" s="36">
        <f t="shared" si="249"/>
        <v>206.89</v>
      </c>
      <c r="AL173" s="36">
        <f t="shared" si="249"/>
        <v>261.959</v>
      </c>
      <c r="AM173" s="36">
        <f t="shared" si="249"/>
        <v>310.43799999999999</v>
      </c>
      <c r="AN173" s="36">
        <f t="shared" si="249"/>
        <v>339.97999999999996</v>
      </c>
      <c r="AO173" s="36">
        <f t="shared" si="249"/>
        <v>375.89599999999996</v>
      </c>
      <c r="AP173" s="36">
        <f t="shared" si="249"/>
        <v>409.82370926655233</v>
      </c>
      <c r="AQ173" s="36">
        <f t="shared" si="249"/>
        <v>442.78953820518257</v>
      </c>
      <c r="AR173" s="36">
        <f t="shared" si="249"/>
        <v>489.54629494221683</v>
      </c>
      <c r="AS173" s="36">
        <f t="shared" si="249"/>
        <v>516.47167582509587</v>
      </c>
      <c r="AT173" s="36">
        <f t="shared" si="249"/>
        <v>546.72338747008428</v>
      </c>
      <c r="AU173" s="36">
        <f t="shared" si="249"/>
        <v>571.03772439723093</v>
      </c>
      <c r="AV173" s="36">
        <f t="shared" si="249"/>
        <v>592.03685901398387</v>
      </c>
      <c r="AW173" s="36">
        <f t="shared" si="249"/>
        <v>595.66667256224628</v>
      </c>
      <c r="AX173" s="36">
        <f t="shared" si="249"/>
        <v>596.26424022997821</v>
      </c>
      <c r="AY173" s="36">
        <f t="shared" si="249"/>
        <v>595.40305720348226</v>
      </c>
      <c r="AZ173" s="36">
        <f t="shared" si="249"/>
        <v>594.52465051645629</v>
      </c>
      <c r="BA173" s="36">
        <f t="shared" si="249"/>
        <v>593.62867569568994</v>
      </c>
      <c r="BD173" s="186">
        <f t="shared" si="246"/>
        <v>165</v>
      </c>
    </row>
    <row r="174" spans="1:56" hidden="1" outlineLevel="2">
      <c r="B174" s="40" t="s">
        <v>96</v>
      </c>
      <c r="C174" s="35">
        <f t="shared" ref="C174:L174" si="250">C170-C173</f>
        <v>0</v>
      </c>
      <c r="D174" s="35">
        <f t="shared" si="250"/>
        <v>0</v>
      </c>
      <c r="E174" s="35">
        <f t="shared" si="250"/>
        <v>0</v>
      </c>
      <c r="F174" s="35">
        <f t="shared" si="250"/>
        <v>0</v>
      </c>
      <c r="G174" s="35">
        <f t="shared" si="250"/>
        <v>208.79999999999995</v>
      </c>
      <c r="H174" s="35">
        <f t="shared" si="250"/>
        <v>90.243000000000052</v>
      </c>
      <c r="I174" s="35">
        <f t="shared" si="250"/>
        <v>350.46600000000012</v>
      </c>
      <c r="J174" s="35">
        <f t="shared" si="250"/>
        <v>699.53745908177257</v>
      </c>
      <c r="K174" s="35">
        <f t="shared" si="250"/>
        <v>904.12211251006693</v>
      </c>
      <c r="L174" s="35">
        <f t="shared" si="250"/>
        <v>944.25625634972266</v>
      </c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>
        <f t="shared" ref="AE174:BA174" si="251">AE170-AE173</f>
        <v>75.845999999999947</v>
      </c>
      <c r="AF174" s="35">
        <f t="shared" si="251"/>
        <v>41.890000000000043</v>
      </c>
      <c r="AG174" s="35">
        <f t="shared" si="251"/>
        <v>54.73599999999999</v>
      </c>
      <c r="AH174" s="35">
        <f t="shared" si="251"/>
        <v>14.394000000000005</v>
      </c>
      <c r="AI174" s="35">
        <f t="shared" si="251"/>
        <v>14.502999999999986</v>
      </c>
      <c r="AJ174" s="35">
        <f t="shared" si="251"/>
        <v>24.414000000000016</v>
      </c>
      <c r="AK174" s="35">
        <f t="shared" si="251"/>
        <v>36.932000000000016</v>
      </c>
      <c r="AL174" s="188">
        <f t="shared" si="251"/>
        <v>52.235000000000014</v>
      </c>
      <c r="AM174" s="188">
        <f t="shared" si="251"/>
        <v>79.704999999999984</v>
      </c>
      <c r="AN174" s="188">
        <f t="shared" si="251"/>
        <v>102.67200000000003</v>
      </c>
      <c r="AO174" s="188">
        <f t="shared" si="251"/>
        <v>115.85400000000004</v>
      </c>
      <c r="AP174" s="188">
        <f t="shared" si="251"/>
        <v>145.29971251936104</v>
      </c>
      <c r="AQ174" s="188">
        <f t="shared" si="251"/>
        <v>163.38400746649177</v>
      </c>
      <c r="AR174" s="188">
        <f t="shared" si="251"/>
        <v>187.22354372887025</v>
      </c>
      <c r="AS174" s="188">
        <f t="shared" si="251"/>
        <v>203.63019536704974</v>
      </c>
      <c r="AT174" s="188">
        <f t="shared" si="251"/>
        <v>214.97753108640131</v>
      </c>
      <c r="AU174" s="188">
        <f t="shared" si="251"/>
        <v>223.8120805176444</v>
      </c>
      <c r="AV174" s="188">
        <f t="shared" si="251"/>
        <v>231.61843614276665</v>
      </c>
      <c r="AW174" s="188">
        <f t="shared" si="251"/>
        <v>233.71406476325444</v>
      </c>
      <c r="AX174" s="188">
        <f t="shared" si="251"/>
        <v>234.75497976885424</v>
      </c>
      <c r="AY174" s="188">
        <f t="shared" si="251"/>
        <v>235.61616279535019</v>
      </c>
      <c r="AZ174" s="188">
        <f t="shared" si="251"/>
        <v>236.49456948237616</v>
      </c>
      <c r="BA174" s="188">
        <f t="shared" si="251"/>
        <v>237.39054430314252</v>
      </c>
      <c r="BD174" s="186">
        <f t="shared" si="246"/>
        <v>166</v>
      </c>
    </row>
    <row r="175" spans="1:56" hidden="1" outlineLevel="2">
      <c r="B175" s="40" t="s">
        <v>97</v>
      </c>
      <c r="C175" s="63">
        <f t="shared" ref="C175:L175" si="252">IFERROR(+C174/C14,"NM")</f>
        <v>0</v>
      </c>
      <c r="D175" s="63">
        <f t="shared" si="252"/>
        <v>0</v>
      </c>
      <c r="E175" s="63">
        <f t="shared" si="252"/>
        <v>0</v>
      </c>
      <c r="F175" s="63">
        <f t="shared" si="252"/>
        <v>0</v>
      </c>
      <c r="G175" s="63">
        <f t="shared" si="252"/>
        <v>9.8770104068117287E-2</v>
      </c>
      <c r="H175" s="63">
        <f t="shared" si="252"/>
        <v>9.2924618644853227E-2</v>
      </c>
      <c r="I175" s="63">
        <f t="shared" si="252"/>
        <v>0.21386322043961858</v>
      </c>
      <c r="J175" s="63">
        <f t="shared" si="252"/>
        <v>0.27345243700442801</v>
      </c>
      <c r="K175" s="63">
        <f t="shared" si="252"/>
        <v>0.28169424329564197</v>
      </c>
      <c r="L175" s="63">
        <f t="shared" si="252"/>
        <v>0.28406570919955659</v>
      </c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63">
        <f t="shared" ref="AE175:BA175" si="253">IFERROR(+AE174/AE14,"NM")</f>
        <v>0.14837870354973431</v>
      </c>
      <c r="AF175" s="63">
        <f t="shared" si="253"/>
        <v>9.7988991735614636E-2</v>
      </c>
      <c r="AG175" s="63">
        <f t="shared" si="253"/>
        <v>0.13382525164359879</v>
      </c>
      <c r="AH175" s="63">
        <f t="shared" si="253"/>
        <v>5.3387237356971998E-2</v>
      </c>
      <c r="AI175" s="63">
        <f t="shared" si="253"/>
        <v>6.4409685212818812E-2</v>
      </c>
      <c r="AJ175" s="63">
        <f t="shared" si="253"/>
        <v>0.10498974356769036</v>
      </c>
      <c r="AK175" s="63">
        <f t="shared" si="253"/>
        <v>0.15147115518698073</v>
      </c>
      <c r="AL175" s="63">
        <f t="shared" si="253"/>
        <v>0.16625078772987392</v>
      </c>
      <c r="AM175" s="63">
        <f t="shared" si="253"/>
        <v>0.20429688601358986</v>
      </c>
      <c r="AN175" s="63">
        <f t="shared" si="253"/>
        <v>0.23194744404182072</v>
      </c>
      <c r="AO175" s="63">
        <f t="shared" si="253"/>
        <v>0.23559532282663964</v>
      </c>
      <c r="AP175" s="63">
        <f t="shared" si="253"/>
        <v>0.26174307697540589</v>
      </c>
      <c r="AQ175" s="63">
        <f t="shared" si="253"/>
        <v>0.26953338467691312</v>
      </c>
      <c r="AR175" s="63">
        <f t="shared" si="253"/>
        <v>0.27664285999580673</v>
      </c>
      <c r="AS175" s="63">
        <f t="shared" si="253"/>
        <v>0.28277970591846285</v>
      </c>
      <c r="AT175" s="63">
        <f t="shared" si="253"/>
        <v>0.28223351954702836</v>
      </c>
      <c r="AU175" s="63">
        <f t="shared" si="253"/>
        <v>0.28157782657015762</v>
      </c>
      <c r="AV175" s="63">
        <f t="shared" si="253"/>
        <v>0.28120797317121254</v>
      </c>
      <c r="AW175" s="63">
        <f t="shared" si="253"/>
        <v>0.28179345654555571</v>
      </c>
      <c r="AX175" s="63">
        <f t="shared" si="253"/>
        <v>0.28249043357767833</v>
      </c>
      <c r="AY175" s="63">
        <f t="shared" si="253"/>
        <v>0.28352673094092967</v>
      </c>
      <c r="AZ175" s="63">
        <f t="shared" si="253"/>
        <v>0.28458375425144611</v>
      </c>
      <c r="BA175" s="63">
        <f t="shared" si="253"/>
        <v>0.28566191802817276</v>
      </c>
      <c r="BD175" s="186">
        <f t="shared" si="246"/>
        <v>167</v>
      </c>
    </row>
    <row r="176" spans="1:56" hidden="1" outlineLevel="2">
      <c r="B176" s="44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D176" s="186">
        <f t="shared" si="246"/>
        <v>168</v>
      </c>
    </row>
    <row r="177" spans="1:56" outlineLevel="1" collapsed="1">
      <c r="A177" s="38" t="s">
        <v>71</v>
      </c>
      <c r="B177" s="27" t="s">
        <v>283</v>
      </c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188"/>
      <c r="AM177" s="188"/>
      <c r="AN177" s="188"/>
      <c r="AO177" s="188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D177" s="186">
        <f t="shared" si="246"/>
        <v>169</v>
      </c>
    </row>
    <row r="178" spans="1:56" hidden="1" outlineLevel="2">
      <c r="B178" s="40" t="s">
        <v>298</v>
      </c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82"/>
      <c r="AM178" s="82"/>
      <c r="AN178" s="82"/>
      <c r="AO178" s="82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D178" s="186">
        <f t="shared" si="246"/>
        <v>170</v>
      </c>
    </row>
    <row r="179" spans="1:56" hidden="1" outlineLevel="2">
      <c r="B179" s="44" t="s">
        <v>284</v>
      </c>
      <c r="C179" s="35">
        <f t="shared" ref="C179:L184" si="254">SUMIFS($N179:$BB179,$N$5:$BB$5,C$5)</f>
        <v>0</v>
      </c>
      <c r="D179" s="35">
        <f t="shared" si="254"/>
        <v>0</v>
      </c>
      <c r="E179" s="42">
        <f t="shared" si="254"/>
        <v>0</v>
      </c>
      <c r="F179" s="42">
        <f t="shared" si="254"/>
        <v>0</v>
      </c>
      <c r="G179" s="42">
        <f t="shared" si="254"/>
        <v>0</v>
      </c>
      <c r="H179" s="42">
        <f t="shared" si="254"/>
        <v>0</v>
      </c>
      <c r="I179" s="42">
        <f t="shared" si="254"/>
        <v>2.5</v>
      </c>
      <c r="J179" s="42">
        <f t="shared" si="254"/>
        <v>6</v>
      </c>
      <c r="K179" s="42">
        <f t="shared" si="254"/>
        <v>4.5</v>
      </c>
      <c r="L179" s="42">
        <f t="shared" si="254"/>
        <v>4.5</v>
      </c>
      <c r="M179" s="42"/>
      <c r="N179" s="225"/>
      <c r="O179" s="225"/>
      <c r="P179" s="225"/>
      <c r="Q179" s="225"/>
      <c r="R179" s="225"/>
      <c r="S179" s="225"/>
      <c r="T179" s="225"/>
      <c r="U179" s="225"/>
      <c r="V179" s="225"/>
      <c r="W179" s="225"/>
      <c r="X179" s="225"/>
      <c r="Y179" s="225"/>
      <c r="Z179" s="225"/>
      <c r="AA179" s="225"/>
      <c r="AB179" s="225"/>
      <c r="AC179" s="225"/>
      <c r="AD179" s="225"/>
      <c r="AE179" s="225"/>
      <c r="AF179" s="225"/>
      <c r="AG179" s="225"/>
      <c r="AH179" s="225"/>
      <c r="AI179" s="225"/>
      <c r="AJ179" s="225"/>
      <c r="AK179" s="225"/>
      <c r="AL179" s="226">
        <f>2.5/4</f>
        <v>0.625</v>
      </c>
      <c r="AM179" s="226">
        <f t="shared" ref="AM179:AO179" si="255">2.5/4</f>
        <v>0.625</v>
      </c>
      <c r="AN179" s="226">
        <f t="shared" si="255"/>
        <v>0.625</v>
      </c>
      <c r="AO179" s="226">
        <f t="shared" si="255"/>
        <v>0.625</v>
      </c>
      <c r="AP179" s="227">
        <f>6/4</f>
        <v>1.5</v>
      </c>
      <c r="AQ179" s="227">
        <f t="shared" ref="AQ179:AS179" si="256">6/4</f>
        <v>1.5</v>
      </c>
      <c r="AR179" s="227">
        <f t="shared" si="256"/>
        <v>1.5</v>
      </c>
      <c r="AS179" s="227">
        <f t="shared" si="256"/>
        <v>1.5</v>
      </c>
      <c r="AT179" s="227">
        <f>4.5/4</f>
        <v>1.125</v>
      </c>
      <c r="AU179" s="227">
        <f t="shared" ref="AU179:BA179" si="257">4.5/4</f>
        <v>1.125</v>
      </c>
      <c r="AV179" s="227">
        <f t="shared" si="257"/>
        <v>1.125</v>
      </c>
      <c r="AW179" s="227">
        <f t="shared" si="257"/>
        <v>1.125</v>
      </c>
      <c r="AX179" s="227">
        <f t="shared" si="257"/>
        <v>1.125</v>
      </c>
      <c r="AY179" s="227">
        <f t="shared" si="257"/>
        <v>1.125</v>
      </c>
      <c r="AZ179" s="227">
        <f t="shared" si="257"/>
        <v>1.125</v>
      </c>
      <c r="BA179" s="227">
        <f t="shared" si="257"/>
        <v>1.125</v>
      </c>
      <c r="BD179" s="186">
        <f t="shared" si="246"/>
        <v>171</v>
      </c>
    </row>
    <row r="180" spans="1:56" hidden="1" outlineLevel="2">
      <c r="B180" s="44" t="s">
        <v>285</v>
      </c>
      <c r="C180" s="35">
        <f t="shared" si="254"/>
        <v>0</v>
      </c>
      <c r="D180" s="35">
        <f t="shared" si="254"/>
        <v>0</v>
      </c>
      <c r="E180" s="42">
        <f t="shared" si="254"/>
        <v>0</v>
      </c>
      <c r="F180" s="42">
        <f t="shared" si="254"/>
        <v>0</v>
      </c>
      <c r="G180" s="42">
        <f t="shared" si="254"/>
        <v>0</v>
      </c>
      <c r="H180" s="42">
        <f t="shared" si="254"/>
        <v>0</v>
      </c>
      <c r="I180" s="42">
        <f t="shared" si="254"/>
        <v>0.2</v>
      </c>
      <c r="J180" s="42">
        <f t="shared" si="254"/>
        <v>0.24</v>
      </c>
      <c r="K180" s="42">
        <f t="shared" si="254"/>
        <v>0.24</v>
      </c>
      <c r="L180" s="42">
        <f t="shared" si="254"/>
        <v>0.24</v>
      </c>
      <c r="M180" s="42"/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225"/>
      <c r="AD180" s="225"/>
      <c r="AE180" s="225"/>
      <c r="AF180" s="225"/>
      <c r="AG180" s="225"/>
      <c r="AH180" s="225"/>
      <c r="AI180" s="225"/>
      <c r="AJ180" s="225"/>
      <c r="AK180" s="225"/>
      <c r="AL180" s="226">
        <f>0.2/4</f>
        <v>0.05</v>
      </c>
      <c r="AM180" s="226">
        <f t="shared" ref="AM180:AO180" si="258">0.2/4</f>
        <v>0.05</v>
      </c>
      <c r="AN180" s="226">
        <f t="shared" si="258"/>
        <v>0.05</v>
      </c>
      <c r="AO180" s="226">
        <f t="shared" si="258"/>
        <v>0.05</v>
      </c>
      <c r="AP180" s="227">
        <f t="shared" ref="AP180:AP185" si="259">+AO180*1.2</f>
        <v>0.06</v>
      </c>
      <c r="AQ180" s="227">
        <f t="shared" ref="AQ180:BA180" si="260">AP180</f>
        <v>0.06</v>
      </c>
      <c r="AR180" s="227">
        <f t="shared" si="260"/>
        <v>0.06</v>
      </c>
      <c r="AS180" s="227">
        <f t="shared" si="260"/>
        <v>0.06</v>
      </c>
      <c r="AT180" s="227">
        <f t="shared" si="260"/>
        <v>0.06</v>
      </c>
      <c r="AU180" s="227">
        <f t="shared" si="260"/>
        <v>0.06</v>
      </c>
      <c r="AV180" s="227">
        <f t="shared" si="260"/>
        <v>0.06</v>
      </c>
      <c r="AW180" s="227">
        <f t="shared" si="260"/>
        <v>0.06</v>
      </c>
      <c r="AX180" s="227">
        <f t="shared" si="260"/>
        <v>0.06</v>
      </c>
      <c r="AY180" s="227">
        <f t="shared" si="260"/>
        <v>0.06</v>
      </c>
      <c r="AZ180" s="227">
        <f t="shared" si="260"/>
        <v>0.06</v>
      </c>
      <c r="BA180" s="227">
        <f t="shared" si="260"/>
        <v>0.06</v>
      </c>
      <c r="BD180" s="186">
        <f t="shared" si="246"/>
        <v>172</v>
      </c>
    </row>
    <row r="181" spans="1:56" hidden="1" outlineLevel="2">
      <c r="B181" s="44" t="s">
        <v>286</v>
      </c>
      <c r="C181" s="35">
        <f t="shared" si="254"/>
        <v>0</v>
      </c>
      <c r="D181" s="35">
        <f t="shared" si="254"/>
        <v>0</v>
      </c>
      <c r="E181" s="42">
        <f t="shared" si="254"/>
        <v>0</v>
      </c>
      <c r="F181" s="42">
        <f t="shared" si="254"/>
        <v>0</v>
      </c>
      <c r="G181" s="42">
        <f t="shared" si="254"/>
        <v>0</v>
      </c>
      <c r="H181" s="42">
        <f t="shared" si="254"/>
        <v>0</v>
      </c>
      <c r="I181" s="42">
        <f t="shared" si="254"/>
        <v>0.1</v>
      </c>
      <c r="J181" s="42">
        <f t="shared" si="254"/>
        <v>0.12</v>
      </c>
      <c r="K181" s="42">
        <f t="shared" si="254"/>
        <v>0.12</v>
      </c>
      <c r="L181" s="42">
        <f t="shared" si="254"/>
        <v>0.12</v>
      </c>
      <c r="M181" s="42"/>
      <c r="N181" s="225"/>
      <c r="O181" s="225"/>
      <c r="P181" s="225"/>
      <c r="Q181" s="225"/>
      <c r="R181" s="225"/>
      <c r="S181" s="225"/>
      <c r="T181" s="225"/>
      <c r="U181" s="225"/>
      <c r="V181" s="225"/>
      <c r="W181" s="225"/>
      <c r="X181" s="225"/>
      <c r="Y181" s="225"/>
      <c r="Z181" s="225"/>
      <c r="AA181" s="225"/>
      <c r="AB181" s="225"/>
      <c r="AC181" s="225"/>
      <c r="AD181" s="225"/>
      <c r="AE181" s="225"/>
      <c r="AF181" s="225"/>
      <c r="AG181" s="225"/>
      <c r="AH181" s="225"/>
      <c r="AI181" s="225"/>
      <c r="AJ181" s="225"/>
      <c r="AK181" s="225"/>
      <c r="AL181" s="226">
        <f>0.1/4</f>
        <v>2.5000000000000001E-2</v>
      </c>
      <c r="AM181" s="226">
        <f t="shared" ref="AM181:AO182" si="261">0.1/4</f>
        <v>2.5000000000000001E-2</v>
      </c>
      <c r="AN181" s="226">
        <f t="shared" si="261"/>
        <v>2.5000000000000001E-2</v>
      </c>
      <c r="AO181" s="226">
        <f t="shared" si="261"/>
        <v>2.5000000000000001E-2</v>
      </c>
      <c r="AP181" s="227">
        <f t="shared" si="259"/>
        <v>0.03</v>
      </c>
      <c r="AQ181" s="227">
        <f t="shared" ref="AQ181:BA181" si="262">AP181</f>
        <v>0.03</v>
      </c>
      <c r="AR181" s="227">
        <f t="shared" si="262"/>
        <v>0.03</v>
      </c>
      <c r="AS181" s="227">
        <f t="shared" si="262"/>
        <v>0.03</v>
      </c>
      <c r="AT181" s="227">
        <f t="shared" si="262"/>
        <v>0.03</v>
      </c>
      <c r="AU181" s="227">
        <f t="shared" si="262"/>
        <v>0.03</v>
      </c>
      <c r="AV181" s="227">
        <f t="shared" si="262"/>
        <v>0.03</v>
      </c>
      <c r="AW181" s="227">
        <f t="shared" si="262"/>
        <v>0.03</v>
      </c>
      <c r="AX181" s="227">
        <f t="shared" si="262"/>
        <v>0.03</v>
      </c>
      <c r="AY181" s="227">
        <f t="shared" si="262"/>
        <v>0.03</v>
      </c>
      <c r="AZ181" s="227">
        <f t="shared" si="262"/>
        <v>0.03</v>
      </c>
      <c r="BA181" s="227">
        <f t="shared" si="262"/>
        <v>0.03</v>
      </c>
      <c r="BD181" s="186">
        <f t="shared" si="246"/>
        <v>173</v>
      </c>
    </row>
    <row r="182" spans="1:56" hidden="1" outlineLevel="2">
      <c r="B182" s="44" t="s">
        <v>287</v>
      </c>
      <c r="C182" s="35">
        <f t="shared" si="254"/>
        <v>0</v>
      </c>
      <c r="D182" s="35">
        <f t="shared" si="254"/>
        <v>0</v>
      </c>
      <c r="E182" s="42">
        <f t="shared" si="254"/>
        <v>0</v>
      </c>
      <c r="F182" s="42">
        <f t="shared" si="254"/>
        <v>0</v>
      </c>
      <c r="G182" s="42">
        <f t="shared" si="254"/>
        <v>0</v>
      </c>
      <c r="H182" s="42">
        <f t="shared" si="254"/>
        <v>0</v>
      </c>
      <c r="I182" s="42">
        <f t="shared" si="254"/>
        <v>0.1</v>
      </c>
      <c r="J182" s="42">
        <f t="shared" si="254"/>
        <v>0.12</v>
      </c>
      <c r="K182" s="42">
        <f t="shared" si="254"/>
        <v>0.12</v>
      </c>
      <c r="L182" s="42">
        <f t="shared" si="254"/>
        <v>0.12</v>
      </c>
      <c r="M182" s="42"/>
      <c r="N182" s="225"/>
      <c r="O182" s="225"/>
      <c r="P182" s="225"/>
      <c r="Q182" s="225"/>
      <c r="R182" s="225"/>
      <c r="S182" s="225"/>
      <c r="T182" s="225"/>
      <c r="U182" s="225"/>
      <c r="V182" s="225"/>
      <c r="W182" s="225"/>
      <c r="X182" s="225"/>
      <c r="Y182" s="225"/>
      <c r="Z182" s="225"/>
      <c r="AA182" s="225"/>
      <c r="AB182" s="225"/>
      <c r="AC182" s="225"/>
      <c r="AD182" s="225"/>
      <c r="AE182" s="225"/>
      <c r="AF182" s="225"/>
      <c r="AG182" s="225"/>
      <c r="AH182" s="225"/>
      <c r="AI182" s="225"/>
      <c r="AJ182" s="225"/>
      <c r="AK182" s="225"/>
      <c r="AL182" s="226">
        <f>0.1/4</f>
        <v>2.5000000000000001E-2</v>
      </c>
      <c r="AM182" s="226">
        <f t="shared" si="261"/>
        <v>2.5000000000000001E-2</v>
      </c>
      <c r="AN182" s="226">
        <f t="shared" si="261"/>
        <v>2.5000000000000001E-2</v>
      </c>
      <c r="AO182" s="226">
        <f t="shared" si="261"/>
        <v>2.5000000000000001E-2</v>
      </c>
      <c r="AP182" s="227">
        <f t="shared" si="259"/>
        <v>0.03</v>
      </c>
      <c r="AQ182" s="227">
        <f t="shared" ref="AQ182:BA182" si="263">AP182</f>
        <v>0.03</v>
      </c>
      <c r="AR182" s="227">
        <f t="shared" si="263"/>
        <v>0.03</v>
      </c>
      <c r="AS182" s="227">
        <f t="shared" si="263"/>
        <v>0.03</v>
      </c>
      <c r="AT182" s="227">
        <f t="shared" si="263"/>
        <v>0.03</v>
      </c>
      <c r="AU182" s="227">
        <f t="shared" si="263"/>
        <v>0.03</v>
      </c>
      <c r="AV182" s="227">
        <f t="shared" si="263"/>
        <v>0.03</v>
      </c>
      <c r="AW182" s="227">
        <f t="shared" si="263"/>
        <v>0.03</v>
      </c>
      <c r="AX182" s="227">
        <f t="shared" si="263"/>
        <v>0.03</v>
      </c>
      <c r="AY182" s="227">
        <f t="shared" si="263"/>
        <v>0.03</v>
      </c>
      <c r="AZ182" s="227">
        <f t="shared" si="263"/>
        <v>0.03</v>
      </c>
      <c r="BA182" s="227">
        <f t="shared" si="263"/>
        <v>0.03</v>
      </c>
      <c r="BD182" s="186">
        <f t="shared" si="246"/>
        <v>174</v>
      </c>
    </row>
    <row r="183" spans="1:56" hidden="1" outlineLevel="2">
      <c r="B183" s="44" t="s">
        <v>288</v>
      </c>
      <c r="C183" s="35">
        <f t="shared" si="254"/>
        <v>0</v>
      </c>
      <c r="D183" s="35">
        <f t="shared" si="254"/>
        <v>0</v>
      </c>
      <c r="E183" s="42">
        <f t="shared" si="254"/>
        <v>0</v>
      </c>
      <c r="F183" s="42">
        <f t="shared" si="254"/>
        <v>0</v>
      </c>
      <c r="G183" s="42">
        <f t="shared" si="254"/>
        <v>0</v>
      </c>
      <c r="H183" s="42">
        <f t="shared" si="254"/>
        <v>0</v>
      </c>
      <c r="I183" s="42">
        <f t="shared" si="254"/>
        <v>0.01</v>
      </c>
      <c r="J183" s="42">
        <f t="shared" si="254"/>
        <v>1.2E-2</v>
      </c>
      <c r="K183" s="42">
        <f t="shared" si="254"/>
        <v>1.2E-2</v>
      </c>
      <c r="L183" s="42">
        <f t="shared" si="254"/>
        <v>1.2E-2</v>
      </c>
      <c r="M183" s="42"/>
      <c r="N183" s="225"/>
      <c r="O183" s="225"/>
      <c r="P183" s="225"/>
      <c r="Q183" s="225"/>
      <c r="R183" s="225"/>
      <c r="S183" s="225"/>
      <c r="T183" s="225"/>
      <c r="U183" s="225"/>
      <c r="V183" s="225"/>
      <c r="W183" s="225"/>
      <c r="X183" s="225"/>
      <c r="Y183" s="225"/>
      <c r="Z183" s="225"/>
      <c r="AA183" s="225"/>
      <c r="AB183" s="225"/>
      <c r="AC183" s="225"/>
      <c r="AD183" s="225"/>
      <c r="AE183" s="225"/>
      <c r="AF183" s="225"/>
      <c r="AG183" s="225"/>
      <c r="AH183" s="225"/>
      <c r="AI183" s="225"/>
      <c r="AJ183" s="225"/>
      <c r="AK183" s="225"/>
      <c r="AL183" s="226">
        <f>0.01/4</f>
        <v>2.5000000000000001E-3</v>
      </c>
      <c r="AM183" s="226">
        <f t="shared" ref="AM183:AO183" si="264">0.01/4</f>
        <v>2.5000000000000001E-3</v>
      </c>
      <c r="AN183" s="226">
        <f t="shared" si="264"/>
        <v>2.5000000000000001E-3</v>
      </c>
      <c r="AO183" s="226">
        <f t="shared" si="264"/>
        <v>2.5000000000000001E-3</v>
      </c>
      <c r="AP183" s="227">
        <f t="shared" si="259"/>
        <v>3.0000000000000001E-3</v>
      </c>
      <c r="AQ183" s="227">
        <f t="shared" ref="AQ183:BA183" si="265">AP183</f>
        <v>3.0000000000000001E-3</v>
      </c>
      <c r="AR183" s="227">
        <f t="shared" si="265"/>
        <v>3.0000000000000001E-3</v>
      </c>
      <c r="AS183" s="227">
        <f t="shared" si="265"/>
        <v>3.0000000000000001E-3</v>
      </c>
      <c r="AT183" s="227">
        <f t="shared" si="265"/>
        <v>3.0000000000000001E-3</v>
      </c>
      <c r="AU183" s="227">
        <f t="shared" si="265"/>
        <v>3.0000000000000001E-3</v>
      </c>
      <c r="AV183" s="227">
        <f t="shared" si="265"/>
        <v>3.0000000000000001E-3</v>
      </c>
      <c r="AW183" s="227">
        <f t="shared" si="265"/>
        <v>3.0000000000000001E-3</v>
      </c>
      <c r="AX183" s="227">
        <f t="shared" si="265"/>
        <v>3.0000000000000001E-3</v>
      </c>
      <c r="AY183" s="227">
        <f t="shared" si="265"/>
        <v>3.0000000000000001E-3</v>
      </c>
      <c r="AZ183" s="227">
        <f t="shared" si="265"/>
        <v>3.0000000000000001E-3</v>
      </c>
      <c r="BA183" s="227">
        <f t="shared" si="265"/>
        <v>3.0000000000000001E-3</v>
      </c>
      <c r="BD183" s="186">
        <f t="shared" si="246"/>
        <v>175</v>
      </c>
    </row>
    <row r="184" spans="1:56" hidden="1" outlineLevel="2">
      <c r="B184" s="44" t="s">
        <v>289</v>
      </c>
      <c r="C184" s="35">
        <f t="shared" si="254"/>
        <v>0</v>
      </c>
      <c r="D184" s="35">
        <f t="shared" si="254"/>
        <v>0</v>
      </c>
      <c r="E184" s="42">
        <f t="shared" si="254"/>
        <v>0</v>
      </c>
      <c r="F184" s="42">
        <f t="shared" si="254"/>
        <v>0</v>
      </c>
      <c r="G184" s="42">
        <f t="shared" si="254"/>
        <v>0</v>
      </c>
      <c r="H184" s="42">
        <f t="shared" si="254"/>
        <v>0</v>
      </c>
      <c r="I184" s="42">
        <f t="shared" si="254"/>
        <v>0.2</v>
      </c>
      <c r="J184" s="42">
        <f t="shared" si="254"/>
        <v>0.24</v>
      </c>
      <c r="K184" s="42">
        <f t="shared" si="254"/>
        <v>0.24</v>
      </c>
      <c r="L184" s="42">
        <f t="shared" si="254"/>
        <v>0.24</v>
      </c>
      <c r="M184" s="42"/>
      <c r="N184" s="225"/>
      <c r="O184" s="225"/>
      <c r="P184" s="225"/>
      <c r="Q184" s="225"/>
      <c r="R184" s="225"/>
      <c r="S184" s="225"/>
      <c r="T184" s="225"/>
      <c r="U184" s="225"/>
      <c r="V184" s="225"/>
      <c r="W184" s="225"/>
      <c r="X184" s="225"/>
      <c r="Y184" s="225"/>
      <c r="Z184" s="225"/>
      <c r="AA184" s="225"/>
      <c r="AB184" s="225"/>
      <c r="AC184" s="225"/>
      <c r="AD184" s="225"/>
      <c r="AE184" s="225"/>
      <c r="AF184" s="225"/>
      <c r="AG184" s="225"/>
      <c r="AH184" s="225"/>
      <c r="AI184" s="225"/>
      <c r="AJ184" s="225"/>
      <c r="AK184" s="225"/>
      <c r="AL184" s="226">
        <f>0.2/4</f>
        <v>0.05</v>
      </c>
      <c r="AM184" s="226">
        <f t="shared" ref="AM184:AO185" si="266">0.2/4</f>
        <v>0.05</v>
      </c>
      <c r="AN184" s="226">
        <f t="shared" si="266"/>
        <v>0.05</v>
      </c>
      <c r="AO184" s="226">
        <f t="shared" si="266"/>
        <v>0.05</v>
      </c>
      <c r="AP184" s="227">
        <f t="shared" si="259"/>
        <v>0.06</v>
      </c>
      <c r="AQ184" s="227">
        <f t="shared" ref="AQ184:BA184" si="267">AP184</f>
        <v>0.06</v>
      </c>
      <c r="AR184" s="227">
        <f t="shared" si="267"/>
        <v>0.06</v>
      </c>
      <c r="AS184" s="227">
        <f t="shared" si="267"/>
        <v>0.06</v>
      </c>
      <c r="AT184" s="227">
        <f t="shared" si="267"/>
        <v>0.06</v>
      </c>
      <c r="AU184" s="227">
        <f t="shared" si="267"/>
        <v>0.06</v>
      </c>
      <c r="AV184" s="227">
        <f t="shared" si="267"/>
        <v>0.06</v>
      </c>
      <c r="AW184" s="227">
        <f t="shared" si="267"/>
        <v>0.06</v>
      </c>
      <c r="AX184" s="227">
        <f t="shared" si="267"/>
        <v>0.06</v>
      </c>
      <c r="AY184" s="227">
        <f t="shared" si="267"/>
        <v>0.06</v>
      </c>
      <c r="AZ184" s="227">
        <f t="shared" si="267"/>
        <v>0.06</v>
      </c>
      <c r="BA184" s="227">
        <f t="shared" si="267"/>
        <v>0.06</v>
      </c>
      <c r="BD184" s="186">
        <f t="shared" si="246"/>
        <v>176</v>
      </c>
    </row>
    <row r="185" spans="1:56" hidden="1" outlineLevel="2">
      <c r="B185" s="44" t="s">
        <v>328</v>
      </c>
      <c r="C185" s="188"/>
      <c r="D185" s="188"/>
      <c r="E185" s="42">
        <f t="shared" ref="E185:L189" si="268">SUMIFS($N185:$BB185,$N$5:$BB$5,E$5)</f>
        <v>0</v>
      </c>
      <c r="F185" s="42">
        <f t="shared" si="268"/>
        <v>0</v>
      </c>
      <c r="G185" s="42">
        <f t="shared" si="268"/>
        <v>0</v>
      </c>
      <c r="H185" s="42">
        <f t="shared" si="268"/>
        <v>0</v>
      </c>
      <c r="I185" s="42">
        <f t="shared" si="268"/>
        <v>0.2</v>
      </c>
      <c r="J185" s="42">
        <f t="shared" si="268"/>
        <v>0.24</v>
      </c>
      <c r="K185" s="42">
        <f t="shared" si="268"/>
        <v>0.24</v>
      </c>
      <c r="L185" s="42">
        <f t="shared" si="268"/>
        <v>0.24</v>
      </c>
      <c r="M185" s="42"/>
      <c r="N185" s="225"/>
      <c r="O185" s="225"/>
      <c r="P185" s="225"/>
      <c r="Q185" s="225"/>
      <c r="R185" s="225"/>
      <c r="S185" s="225"/>
      <c r="T185" s="225"/>
      <c r="U185" s="225"/>
      <c r="V185" s="225"/>
      <c r="W185" s="225"/>
      <c r="X185" s="225"/>
      <c r="Y185" s="225"/>
      <c r="Z185" s="225"/>
      <c r="AA185" s="225"/>
      <c r="AB185" s="225"/>
      <c r="AC185" s="225"/>
      <c r="AD185" s="225"/>
      <c r="AE185" s="225"/>
      <c r="AF185" s="225"/>
      <c r="AG185" s="225"/>
      <c r="AH185" s="225"/>
      <c r="AI185" s="225"/>
      <c r="AJ185" s="225"/>
      <c r="AK185" s="225"/>
      <c r="AL185" s="226">
        <f>0.2/4</f>
        <v>0.05</v>
      </c>
      <c r="AM185" s="226">
        <f t="shared" si="266"/>
        <v>0.05</v>
      </c>
      <c r="AN185" s="226">
        <f t="shared" si="266"/>
        <v>0.05</v>
      </c>
      <c r="AO185" s="226">
        <f t="shared" si="266"/>
        <v>0.05</v>
      </c>
      <c r="AP185" s="227">
        <f t="shared" si="259"/>
        <v>0.06</v>
      </c>
      <c r="AQ185" s="227">
        <f t="shared" ref="AQ185:BA185" si="269">AP185</f>
        <v>0.06</v>
      </c>
      <c r="AR185" s="227">
        <f t="shared" si="269"/>
        <v>0.06</v>
      </c>
      <c r="AS185" s="227">
        <f t="shared" si="269"/>
        <v>0.06</v>
      </c>
      <c r="AT185" s="227">
        <f t="shared" si="269"/>
        <v>0.06</v>
      </c>
      <c r="AU185" s="227">
        <f t="shared" si="269"/>
        <v>0.06</v>
      </c>
      <c r="AV185" s="227">
        <f t="shared" si="269"/>
        <v>0.06</v>
      </c>
      <c r="AW185" s="227">
        <f t="shared" si="269"/>
        <v>0.06</v>
      </c>
      <c r="AX185" s="227">
        <f t="shared" si="269"/>
        <v>0.06</v>
      </c>
      <c r="AY185" s="227">
        <f t="shared" si="269"/>
        <v>0.06</v>
      </c>
      <c r="AZ185" s="227">
        <f t="shared" si="269"/>
        <v>0.06</v>
      </c>
      <c r="BA185" s="227">
        <f t="shared" si="269"/>
        <v>0.06</v>
      </c>
      <c r="BD185" s="186">
        <f t="shared" si="246"/>
        <v>177</v>
      </c>
    </row>
    <row r="186" spans="1:56" hidden="1" outlineLevel="2">
      <c r="B186" s="40" t="s">
        <v>290</v>
      </c>
      <c r="C186" s="35">
        <f>SUMIFS($N186:$BB186,$N$5:$BB$5,C$5)</f>
        <v>0</v>
      </c>
      <c r="D186" s="35">
        <f>SUMIFS($N186:$BB186,$N$5:$BB$5,D$5)</f>
        <v>0</v>
      </c>
      <c r="E186" s="188">
        <f t="shared" si="268"/>
        <v>0</v>
      </c>
      <c r="F186" s="188">
        <f t="shared" si="268"/>
        <v>0</v>
      </c>
      <c r="G186" s="188">
        <f t="shared" si="268"/>
        <v>0</v>
      </c>
      <c r="H186" s="188">
        <f t="shared" si="268"/>
        <v>0</v>
      </c>
      <c r="I186" s="188">
        <f t="shared" si="268"/>
        <v>88.217500000000001</v>
      </c>
      <c r="J186" s="188">
        <f t="shared" si="268"/>
        <v>190.17600000000002</v>
      </c>
      <c r="K186" s="188">
        <f t="shared" si="268"/>
        <v>198.97368292682927</v>
      </c>
      <c r="L186" s="188">
        <f t="shared" si="268"/>
        <v>205.88341463414633</v>
      </c>
      <c r="M186" s="18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82">
        <f t="shared" ref="AL186:BA186" si="270">AL179*AL88+AL113*AL180+AL114*AL181+AL182*AL141+AL183*AL152+AL184*AL125+AL185*AL133</f>
        <v>20.530625000000001</v>
      </c>
      <c r="AM186" s="82">
        <f t="shared" si="270"/>
        <v>21.858750000000004</v>
      </c>
      <c r="AN186" s="82">
        <f t="shared" si="270"/>
        <v>22.439375000000002</v>
      </c>
      <c r="AO186" s="82">
        <f t="shared" ref="AO186" si="271">AO179*AO88+AO113*AO180+AO114*AO181+AO182*AO141+AO183*AO152+AO184*AO125+AO185*AO133</f>
        <v>23.388750000000002</v>
      </c>
      <c r="AP186" s="82">
        <f t="shared" si="270"/>
        <v>42.5565</v>
      </c>
      <c r="AQ186" s="82">
        <f t="shared" si="270"/>
        <v>45.249000000000009</v>
      </c>
      <c r="AR186" s="82">
        <f t="shared" si="270"/>
        <v>49.996499999999997</v>
      </c>
      <c r="AS186" s="82">
        <f t="shared" si="270"/>
        <v>52.373999999999995</v>
      </c>
      <c r="AT186" s="82">
        <f t="shared" si="270"/>
        <v>47.229365853658535</v>
      </c>
      <c r="AU186" s="82">
        <f t="shared" si="270"/>
        <v>49.294609756097564</v>
      </c>
      <c r="AV186" s="82">
        <f t="shared" si="270"/>
        <v>51.059853658536582</v>
      </c>
      <c r="AW186" s="82">
        <f t="shared" si="270"/>
        <v>51.389853658536587</v>
      </c>
      <c r="AX186" s="82">
        <f t="shared" si="270"/>
        <v>51.470853658536583</v>
      </c>
      <c r="AY186" s="82">
        <f t="shared" si="270"/>
        <v>51.470853658536583</v>
      </c>
      <c r="AZ186" s="82">
        <f t="shared" si="270"/>
        <v>51.470853658536583</v>
      </c>
      <c r="BA186" s="82">
        <f t="shared" si="270"/>
        <v>51.470853658536583</v>
      </c>
      <c r="BD186" s="186">
        <f t="shared" si="246"/>
        <v>178</v>
      </c>
    </row>
    <row r="187" spans="1:56" hidden="1" outlineLevel="2">
      <c r="B187" s="64" t="s">
        <v>336</v>
      </c>
      <c r="C187" s="35"/>
      <c r="D187" s="35"/>
      <c r="E187" s="188">
        <f t="shared" si="268"/>
        <v>0</v>
      </c>
      <c r="F187" s="188">
        <f t="shared" si="268"/>
        <v>0</v>
      </c>
      <c r="G187" s="188">
        <f t="shared" si="268"/>
        <v>0</v>
      </c>
      <c r="H187" s="188">
        <f t="shared" si="268"/>
        <v>0</v>
      </c>
      <c r="I187" s="188">
        <f t="shared" si="268"/>
        <v>32.1875</v>
      </c>
      <c r="J187" s="188">
        <f t="shared" si="268"/>
        <v>107.29499999999999</v>
      </c>
      <c r="K187" s="188">
        <f t="shared" si="268"/>
        <v>104.625</v>
      </c>
      <c r="L187" s="188">
        <f t="shared" si="268"/>
        <v>108</v>
      </c>
      <c r="M187" s="18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188">
        <f t="shared" ref="AL187:BA187" si="272">AL179*AL88</f>
        <v>6.953125</v>
      </c>
      <c r="AM187" s="188">
        <f t="shared" si="272"/>
        <v>7.65625</v>
      </c>
      <c r="AN187" s="188">
        <f t="shared" si="272"/>
        <v>8.359375</v>
      </c>
      <c r="AO187" s="188">
        <f t="shared" ref="AO187" si="273">AO179*AO88</f>
        <v>9.21875</v>
      </c>
      <c r="AP187" s="188">
        <f t="shared" si="272"/>
        <v>22.799999999999997</v>
      </c>
      <c r="AQ187" s="188">
        <f t="shared" si="272"/>
        <v>24.75</v>
      </c>
      <c r="AR187" s="188">
        <f t="shared" si="272"/>
        <v>28.994999999999997</v>
      </c>
      <c r="AS187" s="188">
        <f t="shared" si="272"/>
        <v>30.75</v>
      </c>
      <c r="AT187" s="188">
        <f t="shared" si="272"/>
        <v>24.75</v>
      </c>
      <c r="AU187" s="188">
        <f t="shared" si="272"/>
        <v>25.875</v>
      </c>
      <c r="AV187" s="188">
        <f t="shared" si="272"/>
        <v>27</v>
      </c>
      <c r="AW187" s="188">
        <f t="shared" si="272"/>
        <v>27</v>
      </c>
      <c r="AX187" s="188">
        <f t="shared" si="272"/>
        <v>27</v>
      </c>
      <c r="AY187" s="188">
        <f t="shared" si="272"/>
        <v>27</v>
      </c>
      <c r="AZ187" s="188">
        <f t="shared" si="272"/>
        <v>27</v>
      </c>
      <c r="BA187" s="188">
        <f t="shared" si="272"/>
        <v>27</v>
      </c>
      <c r="BD187" s="186">
        <f t="shared" si="246"/>
        <v>179</v>
      </c>
    </row>
    <row r="188" spans="1:56" hidden="1" outlineLevel="2">
      <c r="B188" s="64" t="s">
        <v>337</v>
      </c>
      <c r="C188" s="188"/>
      <c r="D188" s="188"/>
      <c r="E188" s="188">
        <f t="shared" si="268"/>
        <v>0</v>
      </c>
      <c r="F188" s="188">
        <f t="shared" si="268"/>
        <v>0</v>
      </c>
      <c r="G188" s="188">
        <f t="shared" si="268"/>
        <v>0</v>
      </c>
      <c r="H188" s="188">
        <f t="shared" si="268"/>
        <v>0</v>
      </c>
      <c r="I188" s="188">
        <f t="shared" si="268"/>
        <v>30.85</v>
      </c>
      <c r="J188" s="188">
        <f t="shared" si="268"/>
        <v>55.199999999999996</v>
      </c>
      <c r="K188" s="188">
        <f t="shared" si="268"/>
        <v>63.832682926829264</v>
      </c>
      <c r="L188" s="188">
        <f t="shared" si="268"/>
        <v>65.063414634146341</v>
      </c>
      <c r="M188" s="18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188">
        <f t="shared" ref="AL188:BA188" si="274">AL113*AL180+AL114*AL181+AL184*AL125+AL185*AL133</f>
        <v>7.0250000000000004</v>
      </c>
      <c r="AM188" s="188">
        <f t="shared" si="274"/>
        <v>7.65</v>
      </c>
      <c r="AN188" s="188">
        <f t="shared" si="274"/>
        <v>7.6000000000000005</v>
      </c>
      <c r="AO188" s="188">
        <f t="shared" ref="AO188" si="275">AO113*AO180+AO114*AO181+AO184*AO125+AO185*AO133</f>
        <v>8.5750000000000011</v>
      </c>
      <c r="AP188" s="188">
        <f t="shared" si="274"/>
        <v>12.96</v>
      </c>
      <c r="AQ188" s="188">
        <f t="shared" si="274"/>
        <v>13.62</v>
      </c>
      <c r="AR188" s="188">
        <f t="shared" si="274"/>
        <v>14.04</v>
      </c>
      <c r="AS188" s="188">
        <f t="shared" si="274"/>
        <v>14.58</v>
      </c>
      <c r="AT188" s="188">
        <f t="shared" si="274"/>
        <v>15.345365853658535</v>
      </c>
      <c r="AU188" s="188">
        <f t="shared" si="274"/>
        <v>15.95560975609756</v>
      </c>
      <c r="AV188" s="188">
        <f t="shared" si="274"/>
        <v>16.265853658536585</v>
      </c>
      <c r="AW188" s="188">
        <f t="shared" si="274"/>
        <v>16.265853658536585</v>
      </c>
      <c r="AX188" s="188">
        <f t="shared" si="274"/>
        <v>16.265853658536585</v>
      </c>
      <c r="AY188" s="188">
        <f t="shared" si="274"/>
        <v>16.265853658536585</v>
      </c>
      <c r="AZ188" s="188">
        <f t="shared" si="274"/>
        <v>16.265853658536585</v>
      </c>
      <c r="BA188" s="188">
        <f t="shared" si="274"/>
        <v>16.265853658536585</v>
      </c>
      <c r="BD188" s="186">
        <f t="shared" si="246"/>
        <v>180</v>
      </c>
    </row>
    <row r="189" spans="1:56" hidden="1" outlineLevel="2">
      <c r="B189" s="64" t="s">
        <v>338</v>
      </c>
      <c r="C189" s="188"/>
      <c r="D189" s="188"/>
      <c r="E189" s="188">
        <f t="shared" si="268"/>
        <v>0</v>
      </c>
      <c r="F189" s="188">
        <f t="shared" si="268"/>
        <v>0</v>
      </c>
      <c r="G189" s="188">
        <f t="shared" si="268"/>
        <v>0</v>
      </c>
      <c r="H189" s="188">
        <f t="shared" si="268"/>
        <v>0</v>
      </c>
      <c r="I189" s="188">
        <f t="shared" si="268"/>
        <v>25.18</v>
      </c>
      <c r="J189" s="188">
        <f t="shared" si="268"/>
        <v>27.681000000000001</v>
      </c>
      <c r="K189" s="188">
        <f t="shared" si="268"/>
        <v>30.515999999999998</v>
      </c>
      <c r="L189" s="188">
        <f t="shared" si="268"/>
        <v>32.82</v>
      </c>
      <c r="M189" s="18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188">
        <f t="shared" ref="AL189:BA189" si="276">+AL182*AL141+AL183*AL152</f>
        <v>6.5525000000000002</v>
      </c>
      <c r="AM189" s="188">
        <f t="shared" si="276"/>
        <v>6.5525000000000002</v>
      </c>
      <c r="AN189" s="188">
        <f t="shared" si="276"/>
        <v>6.48</v>
      </c>
      <c r="AO189" s="188">
        <f t="shared" ref="AO189" si="277">+AO182*AO141+AO183*AO152</f>
        <v>5.5950000000000006</v>
      </c>
      <c r="AP189" s="188">
        <f t="shared" si="276"/>
        <v>6.7965</v>
      </c>
      <c r="AQ189" s="188">
        <f t="shared" si="276"/>
        <v>6.8790000000000004</v>
      </c>
      <c r="AR189" s="188">
        <f t="shared" si="276"/>
        <v>6.9615</v>
      </c>
      <c r="AS189" s="188">
        <f t="shared" si="276"/>
        <v>7.0439999999999996</v>
      </c>
      <c r="AT189" s="188">
        <f t="shared" si="276"/>
        <v>7.1340000000000003</v>
      </c>
      <c r="AU189" s="188">
        <f t="shared" si="276"/>
        <v>7.4640000000000004</v>
      </c>
      <c r="AV189" s="188">
        <f t="shared" si="276"/>
        <v>7.7939999999999996</v>
      </c>
      <c r="AW189" s="188">
        <f t="shared" si="276"/>
        <v>8.1239999999999988</v>
      </c>
      <c r="AX189" s="188">
        <f t="shared" si="276"/>
        <v>8.2050000000000001</v>
      </c>
      <c r="AY189" s="188">
        <f t="shared" si="276"/>
        <v>8.2050000000000001</v>
      </c>
      <c r="AZ189" s="188">
        <f t="shared" si="276"/>
        <v>8.2050000000000001</v>
      </c>
      <c r="BA189" s="188">
        <f t="shared" si="276"/>
        <v>8.2050000000000001</v>
      </c>
      <c r="BD189" s="186">
        <f t="shared" si="246"/>
        <v>181</v>
      </c>
    </row>
    <row r="190" spans="1:56" hidden="1" outlineLevel="2">
      <c r="B190" s="44"/>
      <c r="C190" s="188"/>
      <c r="D190" s="188"/>
      <c r="E190" s="188"/>
      <c r="F190" s="188"/>
      <c r="G190" s="188"/>
      <c r="H190" s="188"/>
      <c r="I190" s="188"/>
      <c r="J190" s="188"/>
      <c r="K190" s="188"/>
      <c r="L190" s="188"/>
      <c r="M190" s="18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188"/>
      <c r="AM190" s="188"/>
      <c r="AN190" s="188"/>
      <c r="AO190" s="188"/>
      <c r="AP190" s="188"/>
      <c r="AQ190" s="188"/>
      <c r="AR190" s="188"/>
      <c r="AS190" s="188"/>
      <c r="AT190" s="188"/>
      <c r="AU190" s="188"/>
      <c r="AV190" s="188"/>
      <c r="AW190" s="188"/>
      <c r="AX190" s="188"/>
      <c r="AY190" s="188"/>
      <c r="AZ190" s="188"/>
      <c r="BA190" s="188"/>
      <c r="BD190" s="186">
        <f t="shared" si="246"/>
        <v>182</v>
      </c>
    </row>
    <row r="191" spans="1:56" hidden="1" outlineLevel="2">
      <c r="B191" s="40" t="s">
        <v>299</v>
      </c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82"/>
      <c r="AM191" s="82"/>
      <c r="AN191" s="82"/>
      <c r="AO191" s="82"/>
      <c r="AP191" s="82"/>
      <c r="AT191" s="35"/>
      <c r="AU191" s="35"/>
      <c r="AV191" s="35"/>
      <c r="AW191" s="35"/>
      <c r="AX191" s="35"/>
      <c r="AY191" s="35"/>
      <c r="AZ191" s="35"/>
      <c r="BA191" s="35"/>
      <c r="BD191" s="186">
        <f t="shared" si="246"/>
        <v>183</v>
      </c>
    </row>
    <row r="192" spans="1:56" hidden="1" outlineLevel="2">
      <c r="B192" s="44" t="s">
        <v>284</v>
      </c>
      <c r="C192" s="100" t="str">
        <f t="shared" ref="C192:L197" si="278">IFERROR(AVERAGEIFS($N192:$BB192,$N$5:$BB$5,C$5),"NM")</f>
        <v>NM</v>
      </c>
      <c r="D192" s="100" t="str">
        <f t="shared" si="278"/>
        <v>NM</v>
      </c>
      <c r="E192" s="100" t="str">
        <f t="shared" si="278"/>
        <v>NM</v>
      </c>
      <c r="F192" s="100" t="str">
        <f t="shared" si="278"/>
        <v>NM</v>
      </c>
      <c r="G192" s="100" t="str">
        <f t="shared" si="278"/>
        <v>NM</v>
      </c>
      <c r="H192" s="100" t="str">
        <f t="shared" si="278"/>
        <v>NM</v>
      </c>
      <c r="I192" s="100">
        <f t="shared" si="278"/>
        <v>35</v>
      </c>
      <c r="J192" s="100">
        <f t="shared" si="278"/>
        <v>35</v>
      </c>
      <c r="K192" s="100">
        <f t="shared" si="278"/>
        <v>35</v>
      </c>
      <c r="L192" s="100">
        <f t="shared" si="278"/>
        <v>35</v>
      </c>
      <c r="M192" s="35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50">
        <v>35</v>
      </c>
      <c r="AM192" s="50">
        <v>35</v>
      </c>
      <c r="AN192" s="50">
        <v>35</v>
      </c>
      <c r="AO192" s="50">
        <v>35</v>
      </c>
      <c r="AP192" s="41">
        <v>35</v>
      </c>
      <c r="AQ192" s="41">
        <v>35</v>
      </c>
      <c r="AR192" s="41">
        <v>35</v>
      </c>
      <c r="AS192" s="41">
        <v>35</v>
      </c>
      <c r="AT192" s="41">
        <v>35</v>
      </c>
      <c r="AU192" s="41">
        <v>35</v>
      </c>
      <c r="AV192" s="41">
        <v>35</v>
      </c>
      <c r="AW192" s="41">
        <v>35</v>
      </c>
      <c r="AX192" s="41">
        <v>35</v>
      </c>
      <c r="AY192" s="41">
        <v>35</v>
      </c>
      <c r="AZ192" s="41">
        <v>35</v>
      </c>
      <c r="BA192" s="41">
        <v>35</v>
      </c>
      <c r="BD192" s="186">
        <f t="shared" si="246"/>
        <v>184</v>
      </c>
    </row>
    <row r="193" spans="1:56" hidden="1" outlineLevel="2">
      <c r="B193" s="44" t="s">
        <v>285</v>
      </c>
      <c r="C193" s="100" t="str">
        <f t="shared" si="278"/>
        <v>NM</v>
      </c>
      <c r="D193" s="100" t="str">
        <f t="shared" si="278"/>
        <v>NM</v>
      </c>
      <c r="E193" s="100" t="str">
        <f t="shared" si="278"/>
        <v>NM</v>
      </c>
      <c r="F193" s="100" t="str">
        <f t="shared" si="278"/>
        <v>NM</v>
      </c>
      <c r="G193" s="100" t="str">
        <f t="shared" si="278"/>
        <v>NM</v>
      </c>
      <c r="H193" s="100" t="str">
        <f t="shared" si="278"/>
        <v>NM</v>
      </c>
      <c r="I193" s="100">
        <f t="shared" si="278"/>
        <v>1.5</v>
      </c>
      <c r="J193" s="100">
        <f t="shared" si="278"/>
        <v>1.5</v>
      </c>
      <c r="K193" s="100">
        <f t="shared" si="278"/>
        <v>1.5</v>
      </c>
      <c r="L193" s="100">
        <f t="shared" si="278"/>
        <v>1.5</v>
      </c>
      <c r="M193" s="35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50">
        <v>1.5</v>
      </c>
      <c r="AM193" s="50">
        <v>1.5</v>
      </c>
      <c r="AN193" s="50">
        <v>1.5</v>
      </c>
      <c r="AO193" s="50">
        <v>1.5</v>
      </c>
      <c r="AP193" s="41">
        <v>1.5</v>
      </c>
      <c r="AQ193" s="41">
        <v>1.5</v>
      </c>
      <c r="AR193" s="41">
        <v>1.5</v>
      </c>
      <c r="AS193" s="41">
        <v>1.5</v>
      </c>
      <c r="AT193" s="41">
        <v>1.5</v>
      </c>
      <c r="AU193" s="41">
        <v>1.5</v>
      </c>
      <c r="AV193" s="41">
        <v>1.5</v>
      </c>
      <c r="AW193" s="41">
        <v>1.5</v>
      </c>
      <c r="AX193" s="41">
        <v>1.5</v>
      </c>
      <c r="AY193" s="41">
        <v>1.5</v>
      </c>
      <c r="AZ193" s="41">
        <v>1.5</v>
      </c>
      <c r="BA193" s="41">
        <v>1.5</v>
      </c>
      <c r="BD193" s="186">
        <f t="shared" si="246"/>
        <v>185</v>
      </c>
    </row>
    <row r="194" spans="1:56" hidden="1" outlineLevel="2">
      <c r="B194" s="44" t="s">
        <v>286</v>
      </c>
      <c r="C194" s="100" t="str">
        <f t="shared" si="278"/>
        <v>NM</v>
      </c>
      <c r="D194" s="100" t="str">
        <f t="shared" si="278"/>
        <v>NM</v>
      </c>
      <c r="E194" s="100" t="str">
        <f t="shared" si="278"/>
        <v>NM</v>
      </c>
      <c r="F194" s="100" t="str">
        <f t="shared" si="278"/>
        <v>NM</v>
      </c>
      <c r="G194" s="100" t="str">
        <f t="shared" si="278"/>
        <v>NM</v>
      </c>
      <c r="H194" s="100" t="str">
        <f t="shared" si="278"/>
        <v>NM</v>
      </c>
      <c r="I194" s="100">
        <f t="shared" si="278"/>
        <v>1.5</v>
      </c>
      <c r="J194" s="100">
        <f t="shared" si="278"/>
        <v>1.5</v>
      </c>
      <c r="K194" s="100">
        <f t="shared" si="278"/>
        <v>1.5</v>
      </c>
      <c r="L194" s="100">
        <f t="shared" si="278"/>
        <v>1.5</v>
      </c>
      <c r="M194" s="35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50">
        <v>1.5</v>
      </c>
      <c r="AM194" s="50">
        <v>1.5</v>
      </c>
      <c r="AN194" s="50">
        <v>1.5</v>
      </c>
      <c r="AO194" s="50">
        <v>1.5</v>
      </c>
      <c r="AP194" s="41">
        <v>1.5</v>
      </c>
      <c r="AQ194" s="41">
        <v>1.5</v>
      </c>
      <c r="AR194" s="41">
        <v>1.5</v>
      </c>
      <c r="AS194" s="41">
        <v>1.5</v>
      </c>
      <c r="AT194" s="41">
        <v>1.5</v>
      </c>
      <c r="AU194" s="41">
        <v>1.5</v>
      </c>
      <c r="AV194" s="41">
        <v>1.5</v>
      </c>
      <c r="AW194" s="41">
        <v>1.5</v>
      </c>
      <c r="AX194" s="41">
        <v>1.5</v>
      </c>
      <c r="AY194" s="41">
        <v>1.5</v>
      </c>
      <c r="AZ194" s="41">
        <v>1.5</v>
      </c>
      <c r="BA194" s="41">
        <v>1.5</v>
      </c>
      <c r="BD194" s="186">
        <f t="shared" si="246"/>
        <v>186</v>
      </c>
    </row>
    <row r="195" spans="1:56" hidden="1" outlineLevel="2">
      <c r="B195" s="44" t="s">
        <v>287</v>
      </c>
      <c r="C195" s="100" t="str">
        <f t="shared" si="278"/>
        <v>NM</v>
      </c>
      <c r="D195" s="100" t="str">
        <f t="shared" si="278"/>
        <v>NM</v>
      </c>
      <c r="E195" s="100" t="str">
        <f t="shared" si="278"/>
        <v>NM</v>
      </c>
      <c r="F195" s="100" t="str">
        <f t="shared" si="278"/>
        <v>NM</v>
      </c>
      <c r="G195" s="100" t="str">
        <f t="shared" si="278"/>
        <v>NM</v>
      </c>
      <c r="H195" s="100" t="str">
        <f t="shared" si="278"/>
        <v>NM</v>
      </c>
      <c r="I195" s="100">
        <f t="shared" si="278"/>
        <v>1.25</v>
      </c>
      <c r="J195" s="100">
        <f t="shared" si="278"/>
        <v>1.25</v>
      </c>
      <c r="K195" s="100">
        <f t="shared" si="278"/>
        <v>1.25</v>
      </c>
      <c r="L195" s="100">
        <f t="shared" si="278"/>
        <v>1.25</v>
      </c>
      <c r="M195" s="35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50">
        <v>1.25</v>
      </c>
      <c r="AM195" s="50">
        <v>1.25</v>
      </c>
      <c r="AN195" s="50">
        <v>1.25</v>
      </c>
      <c r="AO195" s="50">
        <v>1.25</v>
      </c>
      <c r="AP195" s="41">
        <v>1.25</v>
      </c>
      <c r="AQ195" s="41">
        <v>1.25</v>
      </c>
      <c r="AR195" s="41">
        <v>1.25</v>
      </c>
      <c r="AS195" s="41">
        <v>1.25</v>
      </c>
      <c r="AT195" s="41">
        <v>1.25</v>
      </c>
      <c r="AU195" s="41">
        <v>1.25</v>
      </c>
      <c r="AV195" s="41">
        <v>1.25</v>
      </c>
      <c r="AW195" s="41">
        <v>1.25</v>
      </c>
      <c r="AX195" s="41">
        <v>1.25</v>
      </c>
      <c r="AY195" s="41">
        <v>1.25</v>
      </c>
      <c r="AZ195" s="41">
        <v>1.25</v>
      </c>
      <c r="BA195" s="41">
        <v>1.25</v>
      </c>
      <c r="BD195" s="186">
        <f t="shared" si="246"/>
        <v>187</v>
      </c>
    </row>
    <row r="196" spans="1:56" hidden="1" outlineLevel="2">
      <c r="B196" s="44" t="s">
        <v>288</v>
      </c>
      <c r="C196" s="100" t="str">
        <f t="shared" si="278"/>
        <v>NM</v>
      </c>
      <c r="D196" s="100" t="str">
        <f t="shared" si="278"/>
        <v>NM</v>
      </c>
      <c r="E196" s="100" t="str">
        <f t="shared" si="278"/>
        <v>NM</v>
      </c>
      <c r="F196" s="100" t="str">
        <f t="shared" si="278"/>
        <v>NM</v>
      </c>
      <c r="G196" s="100" t="str">
        <f t="shared" si="278"/>
        <v>NM</v>
      </c>
      <c r="H196" s="100" t="str">
        <f t="shared" si="278"/>
        <v>NM</v>
      </c>
      <c r="I196" s="100">
        <f t="shared" si="278"/>
        <v>0.27500000000000002</v>
      </c>
      <c r="J196" s="100">
        <f t="shared" si="278"/>
        <v>0.27500000000000002</v>
      </c>
      <c r="K196" s="100">
        <f t="shared" si="278"/>
        <v>0.27500000000000002</v>
      </c>
      <c r="L196" s="100">
        <f t="shared" si="278"/>
        <v>0.27500000000000002</v>
      </c>
      <c r="M196" s="35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50">
        <v>0.27500000000000002</v>
      </c>
      <c r="AM196" s="50">
        <v>0.27500000000000002</v>
      </c>
      <c r="AN196" s="50">
        <v>0.27500000000000002</v>
      </c>
      <c r="AO196" s="50">
        <v>0.27500000000000002</v>
      </c>
      <c r="AP196" s="41">
        <v>0.27500000000000002</v>
      </c>
      <c r="AQ196" s="41">
        <v>0.27500000000000002</v>
      </c>
      <c r="AR196" s="41">
        <v>0.27500000000000002</v>
      </c>
      <c r="AS196" s="41">
        <v>0.27500000000000002</v>
      </c>
      <c r="AT196" s="41">
        <v>0.27500000000000002</v>
      </c>
      <c r="AU196" s="41">
        <v>0.27500000000000002</v>
      </c>
      <c r="AV196" s="41">
        <v>0.27500000000000002</v>
      </c>
      <c r="AW196" s="41">
        <v>0.27500000000000002</v>
      </c>
      <c r="AX196" s="41">
        <v>0.27500000000000002</v>
      </c>
      <c r="AY196" s="41">
        <v>0.27500000000000002</v>
      </c>
      <c r="AZ196" s="41">
        <v>0.27500000000000002</v>
      </c>
      <c r="BA196" s="41">
        <v>0.27500000000000002</v>
      </c>
      <c r="BD196" s="186">
        <f t="shared" si="246"/>
        <v>188</v>
      </c>
    </row>
    <row r="197" spans="1:56" hidden="1" outlineLevel="2">
      <c r="B197" s="44" t="s">
        <v>289</v>
      </c>
      <c r="C197" s="100" t="str">
        <f t="shared" si="278"/>
        <v>NM</v>
      </c>
      <c r="D197" s="100" t="str">
        <f t="shared" si="278"/>
        <v>NM</v>
      </c>
      <c r="E197" s="100" t="str">
        <f t="shared" si="278"/>
        <v>NM</v>
      </c>
      <c r="F197" s="100" t="str">
        <f t="shared" si="278"/>
        <v>NM</v>
      </c>
      <c r="G197" s="100" t="str">
        <f t="shared" si="278"/>
        <v>NM</v>
      </c>
      <c r="H197" s="100" t="str">
        <f t="shared" si="278"/>
        <v>NM</v>
      </c>
      <c r="I197" s="100">
        <f t="shared" si="278"/>
        <v>4</v>
      </c>
      <c r="J197" s="100">
        <f t="shared" si="278"/>
        <v>4</v>
      </c>
      <c r="K197" s="100">
        <f t="shared" si="278"/>
        <v>4</v>
      </c>
      <c r="L197" s="100">
        <f t="shared" si="278"/>
        <v>4</v>
      </c>
      <c r="M197" s="35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50">
        <v>4</v>
      </c>
      <c r="AM197" s="50">
        <v>4</v>
      </c>
      <c r="AN197" s="50">
        <v>4</v>
      </c>
      <c r="AO197" s="50">
        <v>4</v>
      </c>
      <c r="AP197" s="41">
        <v>4</v>
      </c>
      <c r="AQ197" s="41">
        <v>4</v>
      </c>
      <c r="AR197" s="41">
        <v>4</v>
      </c>
      <c r="AS197" s="41">
        <v>4</v>
      </c>
      <c r="AT197" s="41">
        <v>4</v>
      </c>
      <c r="AU197" s="41">
        <v>4</v>
      </c>
      <c r="AV197" s="41">
        <v>4</v>
      </c>
      <c r="AW197" s="41">
        <v>4</v>
      </c>
      <c r="AX197" s="41">
        <v>4</v>
      </c>
      <c r="AY197" s="41">
        <v>4</v>
      </c>
      <c r="AZ197" s="41">
        <v>4</v>
      </c>
      <c r="BA197" s="41">
        <v>4</v>
      </c>
      <c r="BD197" s="186">
        <f t="shared" si="246"/>
        <v>189</v>
      </c>
    </row>
    <row r="198" spans="1:56" hidden="1" outlineLevel="2">
      <c r="B198" s="44" t="s">
        <v>328</v>
      </c>
      <c r="C198" s="100"/>
      <c r="D198" s="100"/>
      <c r="E198" s="100" t="str">
        <f t="shared" ref="E198:L198" si="279">IFERROR(AVERAGEIFS($N198:$BB198,$N$5:$BB$5,E$5),"NM")</f>
        <v>NM</v>
      </c>
      <c r="F198" s="100" t="str">
        <f t="shared" si="279"/>
        <v>NM</v>
      </c>
      <c r="G198" s="100" t="str">
        <f t="shared" si="279"/>
        <v>NM</v>
      </c>
      <c r="H198" s="100" t="str">
        <f t="shared" si="279"/>
        <v>NM</v>
      </c>
      <c r="I198" s="100">
        <f t="shared" si="279"/>
        <v>3.25</v>
      </c>
      <c r="J198" s="100">
        <f t="shared" si="279"/>
        <v>3.25</v>
      </c>
      <c r="K198" s="100">
        <f t="shared" si="279"/>
        <v>3.25</v>
      </c>
      <c r="L198" s="100">
        <f t="shared" si="279"/>
        <v>3.25</v>
      </c>
      <c r="M198" s="18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50">
        <v>3.25</v>
      </c>
      <c r="AM198" s="50">
        <v>3.25</v>
      </c>
      <c r="AN198" s="50">
        <v>3.25</v>
      </c>
      <c r="AO198" s="50">
        <v>3.25</v>
      </c>
      <c r="AP198" s="50">
        <v>3.25</v>
      </c>
      <c r="AQ198" s="50">
        <v>3.25</v>
      </c>
      <c r="AR198" s="50">
        <v>3.25</v>
      </c>
      <c r="AS198" s="50">
        <v>3.25</v>
      </c>
      <c r="AT198" s="50">
        <v>3.25</v>
      </c>
      <c r="AU198" s="50">
        <v>3.25</v>
      </c>
      <c r="AV198" s="50">
        <v>3.25</v>
      </c>
      <c r="AW198" s="50">
        <v>3.25</v>
      </c>
      <c r="AX198" s="50">
        <v>3.25</v>
      </c>
      <c r="AY198" s="50">
        <v>3.25</v>
      </c>
      <c r="AZ198" s="50">
        <v>3.25</v>
      </c>
      <c r="BA198" s="50">
        <v>3.25</v>
      </c>
      <c r="BD198" s="186">
        <f t="shared" si="246"/>
        <v>190</v>
      </c>
    </row>
    <row r="199" spans="1:56" hidden="1" outlineLevel="2">
      <c r="B199" s="40" t="s">
        <v>291</v>
      </c>
      <c r="C199" s="35">
        <f t="shared" ref="C199:L199" si="280">SUMIFS($N199:$BB199,$N$5:$BB$5,C$5)</f>
        <v>0</v>
      </c>
      <c r="D199" s="35">
        <f t="shared" si="280"/>
        <v>0</v>
      </c>
      <c r="E199" s="35">
        <f t="shared" si="280"/>
        <v>0</v>
      </c>
      <c r="F199" s="35">
        <f t="shared" si="280"/>
        <v>0</v>
      </c>
      <c r="G199" s="35">
        <f t="shared" si="280"/>
        <v>0</v>
      </c>
      <c r="H199" s="35">
        <f t="shared" si="280"/>
        <v>0</v>
      </c>
      <c r="I199" s="35">
        <f t="shared" si="280"/>
        <v>60.924999999999997</v>
      </c>
      <c r="J199" s="35">
        <f t="shared" si="280"/>
        <v>18.5</v>
      </c>
      <c r="K199" s="35">
        <f t="shared" si="280"/>
        <v>70</v>
      </c>
      <c r="L199" s="35">
        <f t="shared" si="280"/>
        <v>0</v>
      </c>
      <c r="M199" s="35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50">
        <v>0</v>
      </c>
      <c r="AM199" s="82">
        <f>(AM87-AL87)*AM192+(AM119-AL119)*AM193+(AM120-AL120)*AM194+(AM140-AL140)*AM196+(AM124-AL124)*AM197</f>
        <v>7.5</v>
      </c>
      <c r="AN199" s="206">
        <v>25</v>
      </c>
      <c r="AO199" s="233">
        <f>(AO87-AN87)*AO192+(AO119-AN119)*AO193+(AO120-AN120)*AO194+(AO151-AN151)*AO196+(AO124-AN124)*AO197</f>
        <v>28.425000000000001</v>
      </c>
      <c r="AP199" s="218">
        <f>(AP87-AO87)*AP192+(AP119-AO119)*AP193+(AP120-AO120)*AP194+(AP140-AO140)*AP195+(AP151-AO151)*AP196+(AP124-AO124)*AP197</f>
        <v>1.5</v>
      </c>
      <c r="AQ199" s="185">
        <f t="shared" ref="AQ199:BA199" si="281">(AQ87-AP87)*AQ192+(AQ119-AP119)*AQ193+(AQ120-AP120)*AQ194+(AQ140-AP140)*AQ195+(AQ151-AP151)*AQ196+(AQ124-AP124)*AQ197+(AQ132-AP132)*AQ198</f>
        <v>11</v>
      </c>
      <c r="AR199" s="185">
        <f t="shared" si="281"/>
        <v>3</v>
      </c>
      <c r="AS199" s="185">
        <f t="shared" si="281"/>
        <v>3</v>
      </c>
      <c r="AT199" s="185">
        <f t="shared" si="281"/>
        <v>35</v>
      </c>
      <c r="AU199" s="185">
        <f t="shared" si="281"/>
        <v>35</v>
      </c>
      <c r="AV199" s="185">
        <f t="shared" si="281"/>
        <v>0</v>
      </c>
      <c r="AW199" s="185">
        <f t="shared" si="281"/>
        <v>0</v>
      </c>
      <c r="AX199" s="185">
        <f t="shared" si="281"/>
        <v>0</v>
      </c>
      <c r="AY199" s="185">
        <f t="shared" si="281"/>
        <v>0</v>
      </c>
      <c r="AZ199" s="185">
        <f t="shared" si="281"/>
        <v>0</v>
      </c>
      <c r="BA199" s="185">
        <f t="shared" si="281"/>
        <v>0</v>
      </c>
      <c r="BD199" s="186">
        <f t="shared" si="246"/>
        <v>191</v>
      </c>
    </row>
    <row r="200" spans="1:56" hidden="1" outlineLevel="2">
      <c r="B200" s="40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82"/>
      <c r="AM200" s="82"/>
      <c r="AN200" s="82"/>
      <c r="AO200" s="82"/>
      <c r="AP200" s="35"/>
      <c r="AQ200" s="188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D200" s="186">
        <f t="shared" si="246"/>
        <v>192</v>
      </c>
    </row>
    <row r="201" spans="1:56" hidden="1" outlineLevel="2">
      <c r="B201" s="40" t="s">
        <v>293</v>
      </c>
      <c r="C201" s="35">
        <f t="shared" ref="C201:L205" si="282">SUMIFS($N201:$BB201,$N$5:$BB$5,C$5)</f>
        <v>0</v>
      </c>
      <c r="D201" s="35">
        <f t="shared" si="282"/>
        <v>0</v>
      </c>
      <c r="E201" s="35">
        <f t="shared" si="282"/>
        <v>0</v>
      </c>
      <c r="F201" s="35">
        <f t="shared" si="282"/>
        <v>0</v>
      </c>
      <c r="G201" s="35">
        <f t="shared" si="282"/>
        <v>0</v>
      </c>
      <c r="H201" s="35">
        <f t="shared" si="282"/>
        <v>0</v>
      </c>
      <c r="I201" s="35">
        <f t="shared" si="282"/>
        <v>88.217500000000001</v>
      </c>
      <c r="J201" s="35">
        <f t="shared" si="282"/>
        <v>190.17600000000002</v>
      </c>
      <c r="K201" s="35">
        <f t="shared" si="282"/>
        <v>198.97368292682927</v>
      </c>
      <c r="L201" s="35">
        <f t="shared" si="282"/>
        <v>205.88341463414633</v>
      </c>
      <c r="M201" s="35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82">
        <f t="shared" ref="AL201:BA201" si="283">AL186</f>
        <v>20.530625000000001</v>
      </c>
      <c r="AM201" s="82">
        <f t="shared" si="283"/>
        <v>21.858750000000004</v>
      </c>
      <c r="AN201" s="82">
        <f t="shared" si="283"/>
        <v>22.439375000000002</v>
      </c>
      <c r="AO201" s="82">
        <f t="shared" si="283"/>
        <v>23.388750000000002</v>
      </c>
      <c r="AP201" s="35">
        <f t="shared" si="283"/>
        <v>42.5565</v>
      </c>
      <c r="AQ201" s="35">
        <f t="shared" si="283"/>
        <v>45.249000000000009</v>
      </c>
      <c r="AR201" s="35">
        <f t="shared" si="283"/>
        <v>49.996499999999997</v>
      </c>
      <c r="AS201" s="35">
        <f t="shared" si="283"/>
        <v>52.373999999999995</v>
      </c>
      <c r="AT201" s="35">
        <f t="shared" si="283"/>
        <v>47.229365853658535</v>
      </c>
      <c r="AU201" s="35">
        <f t="shared" si="283"/>
        <v>49.294609756097564</v>
      </c>
      <c r="AV201" s="35">
        <f t="shared" si="283"/>
        <v>51.059853658536582</v>
      </c>
      <c r="AW201" s="35">
        <f t="shared" si="283"/>
        <v>51.389853658536587</v>
      </c>
      <c r="AX201" s="35">
        <f t="shared" si="283"/>
        <v>51.470853658536583</v>
      </c>
      <c r="AY201" s="35">
        <f t="shared" si="283"/>
        <v>51.470853658536583</v>
      </c>
      <c r="AZ201" s="35">
        <f t="shared" si="283"/>
        <v>51.470853658536583</v>
      </c>
      <c r="BA201" s="35">
        <f t="shared" si="283"/>
        <v>51.470853658536583</v>
      </c>
      <c r="BD201" s="186">
        <f t="shared" si="246"/>
        <v>193</v>
      </c>
    </row>
    <row r="202" spans="1:56" hidden="1" outlineLevel="2">
      <c r="B202" s="40" t="s">
        <v>294</v>
      </c>
      <c r="C202" s="35">
        <f t="shared" si="282"/>
        <v>0</v>
      </c>
      <c r="D202" s="35">
        <f t="shared" si="282"/>
        <v>0</v>
      </c>
      <c r="E202" s="35">
        <f t="shared" si="282"/>
        <v>0</v>
      </c>
      <c r="F202" s="35">
        <f t="shared" si="282"/>
        <v>0</v>
      </c>
      <c r="G202" s="35">
        <f t="shared" si="282"/>
        <v>0</v>
      </c>
      <c r="H202" s="35">
        <f t="shared" si="282"/>
        <v>0</v>
      </c>
      <c r="I202" s="35">
        <f t="shared" si="282"/>
        <v>60.924999999999997</v>
      </c>
      <c r="J202" s="35">
        <f t="shared" si="282"/>
        <v>38.5</v>
      </c>
      <c r="K202" s="35">
        <f t="shared" si="282"/>
        <v>70</v>
      </c>
      <c r="L202" s="35">
        <f t="shared" si="282"/>
        <v>0</v>
      </c>
      <c r="M202" s="35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48"/>
      <c r="AJ202" s="48"/>
      <c r="AK202" s="48"/>
      <c r="AL202" s="82">
        <f>AL199</f>
        <v>0</v>
      </c>
      <c r="AM202" s="82">
        <f t="shared" ref="AM202:BA202" si="284">AM199</f>
        <v>7.5</v>
      </c>
      <c r="AN202" s="82">
        <f t="shared" si="284"/>
        <v>25</v>
      </c>
      <c r="AO202" s="82">
        <f t="shared" si="284"/>
        <v>28.425000000000001</v>
      </c>
      <c r="AP202" s="224">
        <f>AP199+20</f>
        <v>21.5</v>
      </c>
      <c r="AQ202" s="35">
        <f t="shared" si="284"/>
        <v>11</v>
      </c>
      <c r="AR202" s="35">
        <f t="shared" si="284"/>
        <v>3</v>
      </c>
      <c r="AS202" s="35">
        <f t="shared" si="284"/>
        <v>3</v>
      </c>
      <c r="AT202" s="35">
        <f t="shared" si="284"/>
        <v>35</v>
      </c>
      <c r="AU202" s="35">
        <f t="shared" si="284"/>
        <v>35</v>
      </c>
      <c r="AV202" s="35">
        <f t="shared" si="284"/>
        <v>0</v>
      </c>
      <c r="AW202" s="35">
        <f t="shared" si="284"/>
        <v>0</v>
      </c>
      <c r="AX202" s="35">
        <f t="shared" si="284"/>
        <v>0</v>
      </c>
      <c r="AY202" s="35">
        <f t="shared" si="284"/>
        <v>0</v>
      </c>
      <c r="AZ202" s="35">
        <f t="shared" si="284"/>
        <v>0</v>
      </c>
      <c r="BA202" s="35">
        <f t="shared" si="284"/>
        <v>0</v>
      </c>
      <c r="BD202" s="186">
        <f t="shared" si="246"/>
        <v>194</v>
      </c>
    </row>
    <row r="203" spans="1:56" hidden="1" outlineLevel="2">
      <c r="B203" s="40" t="s">
        <v>295</v>
      </c>
      <c r="C203" s="35">
        <f t="shared" si="282"/>
        <v>0</v>
      </c>
      <c r="D203" s="35">
        <f t="shared" si="282"/>
        <v>0</v>
      </c>
      <c r="E203" s="35">
        <f t="shared" si="282"/>
        <v>0</v>
      </c>
      <c r="F203" s="35">
        <f t="shared" si="282"/>
        <v>0</v>
      </c>
      <c r="G203" s="35">
        <f t="shared" si="282"/>
        <v>0</v>
      </c>
      <c r="H203" s="35">
        <f t="shared" si="282"/>
        <v>0</v>
      </c>
      <c r="I203" s="35">
        <f t="shared" si="282"/>
        <v>47</v>
      </c>
      <c r="J203" s="35">
        <f t="shared" si="282"/>
        <v>165</v>
      </c>
      <c r="K203" s="35">
        <f t="shared" si="282"/>
        <v>0</v>
      </c>
      <c r="L203" s="35">
        <f t="shared" si="282"/>
        <v>0</v>
      </c>
      <c r="M203" s="35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  <c r="AK203" s="48"/>
      <c r="AL203" s="50">
        <v>0</v>
      </c>
      <c r="AM203" s="50">
        <v>22</v>
      </c>
      <c r="AN203" s="50">
        <v>20</v>
      </c>
      <c r="AO203" s="50">
        <v>5</v>
      </c>
      <c r="AP203" s="41">
        <f>+(145+20)/3</f>
        <v>55</v>
      </c>
      <c r="AQ203" s="41">
        <f>+(145+20)/3</f>
        <v>55</v>
      </c>
      <c r="AR203" s="41">
        <f>+(145+20)/3</f>
        <v>55</v>
      </c>
      <c r="AS203" s="41">
        <v>0</v>
      </c>
      <c r="AT203" s="41">
        <v>0</v>
      </c>
      <c r="AU203" s="41">
        <v>0</v>
      </c>
      <c r="AV203" s="41">
        <v>0</v>
      </c>
      <c r="AW203" s="41">
        <v>0</v>
      </c>
      <c r="AX203" s="41">
        <v>0</v>
      </c>
      <c r="AY203" s="41">
        <v>0</v>
      </c>
      <c r="AZ203" s="41">
        <v>0</v>
      </c>
      <c r="BA203" s="41">
        <v>0</v>
      </c>
      <c r="BD203" s="186">
        <f t="shared" si="246"/>
        <v>195</v>
      </c>
    </row>
    <row r="204" spans="1:56" hidden="1" outlineLevel="2">
      <c r="B204" s="40" t="s">
        <v>296</v>
      </c>
      <c r="C204" s="35">
        <f t="shared" si="282"/>
        <v>0</v>
      </c>
      <c r="D204" s="35">
        <f t="shared" si="282"/>
        <v>0</v>
      </c>
      <c r="E204" s="35">
        <f t="shared" si="282"/>
        <v>0</v>
      </c>
      <c r="F204" s="35">
        <f t="shared" si="282"/>
        <v>0</v>
      </c>
      <c r="G204" s="35">
        <f t="shared" si="282"/>
        <v>0</v>
      </c>
      <c r="H204" s="35">
        <f t="shared" si="282"/>
        <v>0</v>
      </c>
      <c r="I204" s="35">
        <f t="shared" si="282"/>
        <v>14.043500000000016</v>
      </c>
      <c r="J204" s="35">
        <f t="shared" si="282"/>
        <v>45</v>
      </c>
      <c r="K204" s="35">
        <f t="shared" si="282"/>
        <v>8</v>
      </c>
      <c r="L204" s="35">
        <f t="shared" si="282"/>
        <v>8</v>
      </c>
      <c r="M204" s="35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  <c r="AK204" s="48"/>
      <c r="AL204" s="85">
        <f>+AL205-SUM(AL201:AL203)</f>
        <v>-8.9456249999999997</v>
      </c>
      <c r="AM204" s="85">
        <f>+AM205-SUM(AM201:AM203)</f>
        <v>9.6032499999999956</v>
      </c>
      <c r="AN204" s="85">
        <f>+AN205-SUM(AN201:AN203)</f>
        <v>11.458624999999998</v>
      </c>
      <c r="AO204" s="85">
        <f>+AO205-SUM(AO201:AO203)</f>
        <v>1.9272500000000221</v>
      </c>
      <c r="AP204" s="41">
        <f>45/4</f>
        <v>11.25</v>
      </c>
      <c r="AQ204" s="41">
        <v>11.25</v>
      </c>
      <c r="AR204" s="41">
        <v>11.25</v>
      </c>
      <c r="AS204" s="41">
        <v>11.25</v>
      </c>
      <c r="AT204" s="41">
        <v>2</v>
      </c>
      <c r="AU204" s="41">
        <v>2</v>
      </c>
      <c r="AV204" s="41">
        <v>2</v>
      </c>
      <c r="AW204" s="41">
        <v>2</v>
      </c>
      <c r="AX204" s="41">
        <v>2</v>
      </c>
      <c r="AY204" s="41">
        <v>2</v>
      </c>
      <c r="AZ204" s="41">
        <v>2</v>
      </c>
      <c r="BA204" s="41">
        <v>2</v>
      </c>
      <c r="BD204" s="186">
        <f t="shared" si="246"/>
        <v>196</v>
      </c>
    </row>
    <row r="205" spans="1:56" hidden="1" outlineLevel="2">
      <c r="B205" s="40" t="s">
        <v>297</v>
      </c>
      <c r="C205" s="35">
        <f t="shared" si="282"/>
        <v>0</v>
      </c>
      <c r="D205" s="35">
        <f t="shared" si="282"/>
        <v>0</v>
      </c>
      <c r="E205" s="35">
        <f t="shared" si="282"/>
        <v>0</v>
      </c>
      <c r="F205" s="35">
        <f t="shared" si="282"/>
        <v>0</v>
      </c>
      <c r="G205" s="35">
        <f t="shared" si="282"/>
        <v>0</v>
      </c>
      <c r="H205" s="35">
        <f t="shared" si="282"/>
        <v>0</v>
      </c>
      <c r="I205" s="35">
        <f t="shared" si="282"/>
        <v>210.18600000000001</v>
      </c>
      <c r="J205" s="35">
        <f t="shared" si="282"/>
        <v>438.67600000000004</v>
      </c>
      <c r="K205" s="35">
        <f t="shared" si="282"/>
        <v>276.97368292682927</v>
      </c>
      <c r="L205" s="35">
        <f t="shared" si="282"/>
        <v>213.88341463414633</v>
      </c>
      <c r="M205" s="35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  <c r="AK205" s="48"/>
      <c r="AL205" s="85">
        <f>-AL221</f>
        <v>11.585000000000001</v>
      </c>
      <c r="AM205" s="85">
        <f>-AM221</f>
        <v>60.961999999999996</v>
      </c>
      <c r="AN205" s="85">
        <f>-AN221</f>
        <v>78.897999999999996</v>
      </c>
      <c r="AO205" s="85">
        <f>-AO221</f>
        <v>58.741000000000021</v>
      </c>
      <c r="AP205" s="103">
        <f t="shared" ref="AP205:BA205" si="285">SUM(AP201:AP204)</f>
        <v>130.3065</v>
      </c>
      <c r="AQ205" s="103">
        <f t="shared" si="285"/>
        <v>122.49900000000001</v>
      </c>
      <c r="AR205" s="103">
        <f t="shared" si="285"/>
        <v>119.2465</v>
      </c>
      <c r="AS205" s="103">
        <f t="shared" si="285"/>
        <v>66.623999999999995</v>
      </c>
      <c r="AT205" s="103">
        <f t="shared" si="285"/>
        <v>84.229365853658535</v>
      </c>
      <c r="AU205" s="103">
        <f t="shared" si="285"/>
        <v>86.294609756097572</v>
      </c>
      <c r="AV205" s="103">
        <f t="shared" si="285"/>
        <v>53.059853658536582</v>
      </c>
      <c r="AW205" s="103">
        <f t="shared" si="285"/>
        <v>53.389853658536587</v>
      </c>
      <c r="AX205" s="103">
        <f t="shared" si="285"/>
        <v>53.470853658536583</v>
      </c>
      <c r="AY205" s="103">
        <f t="shared" si="285"/>
        <v>53.470853658536583</v>
      </c>
      <c r="AZ205" s="103">
        <f t="shared" si="285"/>
        <v>53.470853658536583</v>
      </c>
      <c r="BA205" s="103">
        <f t="shared" si="285"/>
        <v>53.470853658536583</v>
      </c>
      <c r="BD205" s="186">
        <f t="shared" si="246"/>
        <v>197</v>
      </c>
    </row>
    <row r="206" spans="1:56" outlineLevel="1" collapsed="1"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188"/>
      <c r="AM206" s="188"/>
      <c r="AN206" s="188"/>
      <c r="AO206" s="188"/>
      <c r="AP206" s="35"/>
      <c r="AQ206" s="188"/>
      <c r="AR206" s="188"/>
      <c r="AS206" s="35"/>
      <c r="AT206" s="35"/>
      <c r="AU206" s="35"/>
      <c r="AV206" s="35"/>
      <c r="AW206" s="35"/>
      <c r="AX206" s="35"/>
      <c r="AY206" s="35"/>
      <c r="AZ206" s="35"/>
      <c r="BA206" s="35"/>
      <c r="BD206" s="186">
        <f t="shared" si="246"/>
        <v>198</v>
      </c>
    </row>
    <row r="207" spans="1:56">
      <c r="A207" s="38" t="s">
        <v>71</v>
      </c>
      <c r="B207" s="31" t="s">
        <v>144</v>
      </c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188"/>
      <c r="AM207" s="188"/>
      <c r="AN207" s="188"/>
      <c r="AO207" s="188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D207" s="186">
        <f t="shared" si="246"/>
        <v>199</v>
      </c>
    </row>
    <row r="208" spans="1:56" outlineLevel="1">
      <c r="B208" s="24" t="s">
        <v>44</v>
      </c>
      <c r="C208" s="33">
        <f t="shared" ref="C208:L208" si="286">C$7</f>
        <v>2011</v>
      </c>
      <c r="D208" s="33">
        <f t="shared" si="286"/>
        <v>2012</v>
      </c>
      <c r="E208" s="33">
        <f t="shared" si="286"/>
        <v>2013</v>
      </c>
      <c r="F208" s="33">
        <f t="shared" si="286"/>
        <v>2014</v>
      </c>
      <c r="G208" s="33">
        <f t="shared" si="286"/>
        <v>2015</v>
      </c>
      <c r="H208" s="33">
        <f t="shared" si="286"/>
        <v>2016</v>
      </c>
      <c r="I208" s="33">
        <f t="shared" si="286"/>
        <v>2017</v>
      </c>
      <c r="J208" s="33" t="str">
        <f t="shared" si="286"/>
        <v>2018E</v>
      </c>
      <c r="K208" s="33" t="str">
        <f t="shared" si="286"/>
        <v>2019E</v>
      </c>
      <c r="L208" s="33" t="str">
        <f t="shared" si="286"/>
        <v>2020E</v>
      </c>
      <c r="N208" s="33" t="str">
        <f t="shared" ref="N208:BA208" si="287">N$7</f>
        <v>1Q11</v>
      </c>
      <c r="O208" s="33" t="str">
        <f t="shared" si="287"/>
        <v>2Q11</v>
      </c>
      <c r="P208" s="33" t="str">
        <f t="shared" si="287"/>
        <v>3Q11</v>
      </c>
      <c r="Q208" s="33" t="str">
        <f t="shared" si="287"/>
        <v>4Q11</v>
      </c>
      <c r="R208" s="33" t="str">
        <f t="shared" si="287"/>
        <v>1Q12</v>
      </c>
      <c r="S208" s="33" t="str">
        <f t="shared" si="287"/>
        <v>2Q12</v>
      </c>
      <c r="T208" s="33" t="str">
        <f t="shared" si="287"/>
        <v>3Q12</v>
      </c>
      <c r="U208" s="33" t="str">
        <f t="shared" si="287"/>
        <v>4Q12</v>
      </c>
      <c r="V208" s="33" t="str">
        <f t="shared" si="287"/>
        <v>1Q13</v>
      </c>
      <c r="W208" s="33" t="str">
        <f t="shared" si="287"/>
        <v>2Q13</v>
      </c>
      <c r="X208" s="33" t="str">
        <f t="shared" si="287"/>
        <v>3Q13</v>
      </c>
      <c r="Y208" s="33" t="str">
        <f t="shared" si="287"/>
        <v>4Q13</v>
      </c>
      <c r="Z208" s="33" t="str">
        <f t="shared" si="287"/>
        <v>1Q14</v>
      </c>
      <c r="AA208" s="33" t="str">
        <f t="shared" si="287"/>
        <v>2Q14</v>
      </c>
      <c r="AB208" s="33" t="str">
        <f t="shared" si="287"/>
        <v>3Q14</v>
      </c>
      <c r="AC208" s="33" t="str">
        <f t="shared" si="287"/>
        <v>4Q14</v>
      </c>
      <c r="AD208" s="33" t="str">
        <f t="shared" si="287"/>
        <v>1Q15</v>
      </c>
      <c r="AE208" s="33" t="str">
        <f t="shared" si="287"/>
        <v>2Q15</v>
      </c>
      <c r="AF208" s="33" t="str">
        <f t="shared" si="287"/>
        <v>3Q15</v>
      </c>
      <c r="AG208" s="33" t="str">
        <f t="shared" si="287"/>
        <v>4Q15</v>
      </c>
      <c r="AH208" s="33" t="str">
        <f t="shared" si="287"/>
        <v>1Q16</v>
      </c>
      <c r="AI208" s="33" t="str">
        <f t="shared" si="287"/>
        <v>2Q16</v>
      </c>
      <c r="AJ208" s="33" t="str">
        <f t="shared" si="287"/>
        <v>3Q16</v>
      </c>
      <c r="AK208" s="33" t="str">
        <f t="shared" si="287"/>
        <v>4Q16</v>
      </c>
      <c r="AL208" s="33" t="str">
        <f t="shared" si="287"/>
        <v>1Q17</v>
      </c>
      <c r="AM208" s="33" t="str">
        <f t="shared" si="287"/>
        <v>2Q17</v>
      </c>
      <c r="AN208" s="33" t="str">
        <f t="shared" si="287"/>
        <v>3Q17</v>
      </c>
      <c r="AO208" s="33" t="str">
        <f t="shared" si="287"/>
        <v>4Q17</v>
      </c>
      <c r="AP208" s="33" t="str">
        <f t="shared" si="287"/>
        <v>1Q18E</v>
      </c>
      <c r="AQ208" s="33" t="str">
        <f t="shared" si="287"/>
        <v>2Q18E</v>
      </c>
      <c r="AR208" s="33" t="str">
        <f t="shared" si="287"/>
        <v>3Q18E</v>
      </c>
      <c r="AS208" s="33" t="str">
        <f t="shared" si="287"/>
        <v>4Q18E</v>
      </c>
      <c r="AT208" s="33" t="str">
        <f t="shared" si="287"/>
        <v>1Q19E</v>
      </c>
      <c r="AU208" s="33" t="str">
        <f t="shared" si="287"/>
        <v>2Q19E</v>
      </c>
      <c r="AV208" s="33" t="str">
        <f t="shared" si="287"/>
        <v>3Q19E</v>
      </c>
      <c r="AW208" s="33" t="str">
        <f t="shared" si="287"/>
        <v>4Q19E</v>
      </c>
      <c r="AX208" s="33" t="str">
        <f t="shared" si="287"/>
        <v>1Q20E</v>
      </c>
      <c r="AY208" s="33" t="str">
        <f t="shared" si="287"/>
        <v>2Q20E</v>
      </c>
      <c r="AZ208" s="33" t="str">
        <f t="shared" si="287"/>
        <v>3Q20E</v>
      </c>
      <c r="BA208" s="33" t="str">
        <f t="shared" si="287"/>
        <v>4Q20E</v>
      </c>
      <c r="BD208" s="186">
        <f t="shared" si="246"/>
        <v>200</v>
      </c>
    </row>
    <row r="209" spans="1:62" outlineLevel="1">
      <c r="B209" s="118" t="s">
        <v>145</v>
      </c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188"/>
      <c r="AM209" s="188"/>
      <c r="AN209" s="188"/>
      <c r="AO209" s="188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D209" s="186">
        <f t="shared" si="246"/>
        <v>201</v>
      </c>
    </row>
    <row r="210" spans="1:62" outlineLevel="1">
      <c r="B210" s="119" t="s">
        <v>66</v>
      </c>
      <c r="C210" s="48"/>
      <c r="D210" s="48"/>
      <c r="E210" s="48"/>
      <c r="F210" s="48"/>
      <c r="G210" s="35">
        <f t="shared" ref="G210:L214" si="288">SUMIFS($N210:$BB210,$N$5:$BB$5,G$5)</f>
        <v>-872.54199999999992</v>
      </c>
      <c r="H210" s="35">
        <f t="shared" si="288"/>
        <v>-944.28899999999999</v>
      </c>
      <c r="I210" s="35">
        <f t="shared" si="288"/>
        <v>22.457000000000001</v>
      </c>
      <c r="J210" s="35">
        <f t="shared" si="288"/>
        <v>219.13456780882933</v>
      </c>
      <c r="K210" s="35">
        <f t="shared" si="288"/>
        <v>370.0736575787912</v>
      </c>
      <c r="L210" s="35">
        <f t="shared" si="288"/>
        <v>312.46827751752318</v>
      </c>
      <c r="M210" s="35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50">
        <v>-30.662999999999997</v>
      </c>
      <c r="AE210" s="35">
        <f t="shared" ref="AE210:BA210" si="289">AE34</f>
        <v>-65.121000000000052</v>
      </c>
      <c r="AF210" s="35">
        <f t="shared" si="289"/>
        <v>-455.01599999999996</v>
      </c>
      <c r="AG210" s="35">
        <f t="shared" si="289"/>
        <v>-321.74200000000002</v>
      </c>
      <c r="AH210" s="35">
        <f t="shared" si="289"/>
        <v>-428.41200000000003</v>
      </c>
      <c r="AI210" s="35">
        <f t="shared" si="289"/>
        <v>-291.11599999999999</v>
      </c>
      <c r="AJ210" s="35">
        <f t="shared" si="289"/>
        <v>-106.39</v>
      </c>
      <c r="AK210" s="35">
        <f t="shared" si="289"/>
        <v>-118.37099999999992</v>
      </c>
      <c r="AL210" s="188">
        <f t="shared" si="289"/>
        <v>-32.301000000000002</v>
      </c>
      <c r="AM210" s="188">
        <f t="shared" si="289"/>
        <v>-12.720999999999998</v>
      </c>
      <c r="AN210" s="188">
        <f t="shared" si="289"/>
        <v>10.484</v>
      </c>
      <c r="AO210" s="188">
        <f t="shared" si="289"/>
        <v>56.994999999999997</v>
      </c>
      <c r="AP210" s="35">
        <f t="shared" si="289"/>
        <v>31.598278668780207</v>
      </c>
      <c r="AQ210" s="35">
        <f t="shared" si="289"/>
        <v>46.06685767230951</v>
      </c>
      <c r="AR210" s="35">
        <f t="shared" si="289"/>
        <v>64.901742322102393</v>
      </c>
      <c r="AS210" s="35">
        <f t="shared" si="289"/>
        <v>76.567689145637203</v>
      </c>
      <c r="AT210" s="35">
        <f t="shared" si="289"/>
        <v>85.899335108819997</v>
      </c>
      <c r="AU210" s="35">
        <f t="shared" si="289"/>
        <v>91.437887704224863</v>
      </c>
      <c r="AV210" s="35">
        <f t="shared" si="289"/>
        <v>95.930833649325706</v>
      </c>
      <c r="AW210" s="35">
        <f t="shared" si="289"/>
        <v>96.805601116420632</v>
      </c>
      <c r="AX210" s="35">
        <f t="shared" si="289"/>
        <v>78.669167829866439</v>
      </c>
      <c r="AY210" s="35">
        <f t="shared" si="289"/>
        <v>78.315414896827747</v>
      </c>
      <c r="AZ210" s="35">
        <f t="shared" si="289"/>
        <v>77.940092402189705</v>
      </c>
      <c r="BA210" s="35">
        <f t="shared" si="289"/>
        <v>77.543602388639286</v>
      </c>
      <c r="BD210" s="186">
        <f t="shared" si="246"/>
        <v>202</v>
      </c>
    </row>
    <row r="211" spans="1:62" outlineLevel="1">
      <c r="B211" s="119" t="s">
        <v>146</v>
      </c>
      <c r="C211" s="48"/>
      <c r="D211" s="48"/>
      <c r="E211" s="48"/>
      <c r="F211" s="48"/>
      <c r="G211" s="35">
        <f t="shared" si="288"/>
        <v>276.35299999999995</v>
      </c>
      <c r="H211" s="35">
        <f t="shared" si="288"/>
        <v>217.44</v>
      </c>
      <c r="I211" s="35">
        <f t="shared" si="288"/>
        <v>140.64999999999998</v>
      </c>
      <c r="J211" s="35">
        <f t="shared" si="288"/>
        <v>190.02646938611764</v>
      </c>
      <c r="K211" s="35">
        <f t="shared" si="288"/>
        <v>227.12006669275621</v>
      </c>
      <c r="L211" s="35">
        <f t="shared" si="288"/>
        <v>228.98561215958026</v>
      </c>
      <c r="M211" s="35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50">
        <v>37.437999999999995</v>
      </c>
      <c r="AE211" s="35">
        <f t="shared" ref="AE211:BA211" si="290">-AE21</f>
        <v>81.515999999999991</v>
      </c>
      <c r="AF211" s="35">
        <f t="shared" si="290"/>
        <v>74.730999999999995</v>
      </c>
      <c r="AG211" s="35">
        <f t="shared" si="290"/>
        <v>82.667999999999992</v>
      </c>
      <c r="AH211" s="35">
        <f t="shared" si="290"/>
        <v>58.952999999999996</v>
      </c>
      <c r="AI211" s="35">
        <f t="shared" si="290"/>
        <v>54.283000000000001</v>
      </c>
      <c r="AJ211" s="35">
        <f t="shared" si="290"/>
        <v>51.320999999999998</v>
      </c>
      <c r="AK211" s="35">
        <f t="shared" si="290"/>
        <v>52.883000000000003</v>
      </c>
      <c r="AL211" s="188">
        <f t="shared" si="290"/>
        <v>31.606000000000002</v>
      </c>
      <c r="AM211" s="188">
        <f t="shared" si="290"/>
        <v>32.832999999999998</v>
      </c>
      <c r="AN211" s="188">
        <f t="shared" si="290"/>
        <v>36.271000000000001</v>
      </c>
      <c r="AO211" s="188">
        <f t="shared" si="290"/>
        <v>39.94</v>
      </c>
      <c r="AP211" s="35">
        <f t="shared" si="290"/>
        <v>40.424167500000003</v>
      </c>
      <c r="AQ211" s="35">
        <f t="shared" si="290"/>
        <v>45.592401618750003</v>
      </c>
      <c r="AR211" s="35">
        <f t="shared" si="290"/>
        <v>50.014531025671879</v>
      </c>
      <c r="AS211" s="35">
        <f t="shared" si="290"/>
        <v>53.995369241695748</v>
      </c>
      <c r="AT211" s="35">
        <f t="shared" si="290"/>
        <v>54.721515510298246</v>
      </c>
      <c r="AU211" s="35">
        <f t="shared" si="290"/>
        <v>56.418216905041454</v>
      </c>
      <c r="AV211" s="35">
        <f t="shared" si="290"/>
        <v>58.13610949397718</v>
      </c>
      <c r="AW211" s="35">
        <f t="shared" si="290"/>
        <v>57.844224783439344</v>
      </c>
      <c r="AX211" s="35">
        <f t="shared" si="290"/>
        <v>57.588098443757438</v>
      </c>
      <c r="AY211" s="35">
        <f t="shared" si="290"/>
        <v>57.35135686860724</v>
      </c>
      <c r="AZ211" s="35">
        <f t="shared" si="290"/>
        <v>57.128227934028168</v>
      </c>
      <c r="BA211" s="35">
        <f t="shared" si="290"/>
        <v>56.917928913187403</v>
      </c>
      <c r="BD211" s="186">
        <f t="shared" si="246"/>
        <v>203</v>
      </c>
    </row>
    <row r="212" spans="1:62" outlineLevel="1">
      <c r="B212" s="119" t="s">
        <v>147</v>
      </c>
      <c r="C212" s="48"/>
      <c r="D212" s="48"/>
      <c r="E212" s="48"/>
      <c r="F212" s="48"/>
      <c r="G212" s="35">
        <f t="shared" si="288"/>
        <v>-273.14400000000001</v>
      </c>
      <c r="H212" s="35">
        <f t="shared" si="288"/>
        <v>-129.53299999999999</v>
      </c>
      <c r="I212" s="35">
        <f t="shared" si="288"/>
        <v>-31.244</v>
      </c>
      <c r="J212" s="35">
        <f t="shared" si="288"/>
        <v>1.3853770063746689</v>
      </c>
      <c r="K212" s="35">
        <f t="shared" si="288"/>
        <v>0.27776466516866893</v>
      </c>
      <c r="L212" s="35">
        <f t="shared" si="288"/>
        <v>-8.4143481573485168E-2</v>
      </c>
      <c r="M212" s="35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50">
        <v>2.944</v>
      </c>
      <c r="AE212" s="55">
        <f>-24.405-AD212</f>
        <v>-27.349</v>
      </c>
      <c r="AF212" s="55">
        <f>-93.851-AE212-AD212</f>
        <v>-69.445999999999998</v>
      </c>
      <c r="AG212" s="55">
        <f>-273.144-AF212-AE212-AD212</f>
        <v>-179.29300000000001</v>
      </c>
      <c r="AH212" s="55">
        <f>-94.148</f>
        <v>-94.147999999999996</v>
      </c>
      <c r="AI212" s="55">
        <f>-105.399-AH212</f>
        <v>-11.251000000000005</v>
      </c>
      <c r="AJ212" s="55">
        <f>-126.522-AI212-AH212</f>
        <v>-21.123000000000005</v>
      </c>
      <c r="AK212" s="55">
        <f>-129.533-AJ212-AI212-AH212</f>
        <v>-3.0109999999999815</v>
      </c>
      <c r="AL212" s="55">
        <v>0</v>
      </c>
      <c r="AM212" s="55">
        <v>0</v>
      </c>
      <c r="AN212" s="55">
        <v>0</v>
      </c>
      <c r="AO212" s="55">
        <f>-31.244-AN212-AM212-AL212</f>
        <v>-31.244</v>
      </c>
      <c r="AP212" s="82">
        <f t="shared" ref="AP212:BA212" si="291">-(AP243-AO243)+(AP258-AO258)</f>
        <v>0.50078886703464587</v>
      </c>
      <c r="AQ212" s="82">
        <f t="shared" si="291"/>
        <v>0.42849319993820512</v>
      </c>
      <c r="AR212" s="82">
        <f t="shared" si="291"/>
        <v>0.38573319517750004</v>
      </c>
      <c r="AS212" s="82">
        <f t="shared" si="291"/>
        <v>7.0361744224317846E-2</v>
      </c>
      <c r="AT212" s="82">
        <f t="shared" si="291"/>
        <v>0.16440609106443915</v>
      </c>
      <c r="AU212" s="82">
        <f t="shared" si="291"/>
        <v>0.16645946439988535</v>
      </c>
      <c r="AV212" s="82">
        <f t="shared" si="291"/>
        <v>-2.8282893177125068E-2</v>
      </c>
      <c r="AW212" s="82">
        <f t="shared" si="291"/>
        <v>-2.4817997118530499E-2</v>
      </c>
      <c r="AX212" s="82">
        <f t="shared" si="291"/>
        <v>-2.2939662266720617E-2</v>
      </c>
      <c r="AY212" s="82">
        <f t="shared" si="291"/>
        <v>-2.1620631686384506E-2</v>
      </c>
      <c r="AZ212" s="82">
        <f t="shared" si="291"/>
        <v>-2.0377445364417213E-2</v>
      </c>
      <c r="BA212" s="82">
        <f t="shared" si="291"/>
        <v>-1.9205742255962832E-2</v>
      </c>
      <c r="BD212" s="186">
        <f t="shared" si="246"/>
        <v>204</v>
      </c>
    </row>
    <row r="213" spans="1:62" outlineLevel="1">
      <c r="B213" s="119" t="s">
        <v>148</v>
      </c>
      <c r="C213" s="48"/>
      <c r="D213" s="48"/>
      <c r="E213" s="48"/>
      <c r="F213" s="48"/>
      <c r="G213" s="35">
        <f t="shared" si="288"/>
        <v>18.548999999999999</v>
      </c>
      <c r="H213" s="35">
        <f t="shared" si="288"/>
        <v>17.739999999999998</v>
      </c>
      <c r="I213" s="35">
        <f t="shared" si="288"/>
        <v>23.437000000000001</v>
      </c>
      <c r="J213" s="35">
        <f t="shared" si="288"/>
        <v>18</v>
      </c>
      <c r="K213" s="35">
        <f t="shared" si="288"/>
        <v>18</v>
      </c>
      <c r="L213" s="35">
        <f t="shared" si="288"/>
        <v>18</v>
      </c>
      <c r="M213" s="35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50">
        <v>3.7480000000000002</v>
      </c>
      <c r="AE213" s="55">
        <f>8.902-AD213</f>
        <v>5.153999999999999</v>
      </c>
      <c r="AF213" s="55">
        <f>13.916-AE213-AD213</f>
        <v>5.0140000000000002</v>
      </c>
      <c r="AG213" s="55">
        <f>18.549-AF213-AE213-AD213</f>
        <v>4.633</v>
      </c>
      <c r="AH213" s="55">
        <v>11.923</v>
      </c>
      <c r="AI213" s="55">
        <f>13.167-AH213</f>
        <v>1.2439999999999998</v>
      </c>
      <c r="AJ213" s="55">
        <f>15.523-AI213-AH213</f>
        <v>2.3559999999999999</v>
      </c>
      <c r="AK213" s="55">
        <f>17.74-AJ213-AI213-AH213</f>
        <v>2.2169999999999987</v>
      </c>
      <c r="AL213" s="55">
        <v>16.882000000000001</v>
      </c>
      <c r="AM213" s="55">
        <f>19.541-AL213</f>
        <v>2.6589999999999989</v>
      </c>
      <c r="AN213" s="55">
        <f>22.109-AM213-AL213</f>
        <v>2.5680000000000014</v>
      </c>
      <c r="AO213" s="55">
        <f>23.437-AN213-AM213-AL213</f>
        <v>1.3279999999999994</v>
      </c>
      <c r="AP213" s="50">
        <v>4.5</v>
      </c>
      <c r="AQ213" s="50">
        <v>4.5</v>
      </c>
      <c r="AR213" s="50">
        <v>4.5</v>
      </c>
      <c r="AS213" s="50">
        <v>4.5</v>
      </c>
      <c r="AT213" s="50">
        <v>4.5</v>
      </c>
      <c r="AU213" s="50">
        <v>4.5</v>
      </c>
      <c r="AV213" s="50">
        <v>4.5</v>
      </c>
      <c r="AW213" s="50">
        <v>4.5</v>
      </c>
      <c r="AX213" s="50">
        <v>4.5</v>
      </c>
      <c r="AY213" s="50">
        <v>4.5</v>
      </c>
      <c r="AZ213" s="50">
        <v>4.5</v>
      </c>
      <c r="BA213" s="50">
        <v>4.5</v>
      </c>
      <c r="BB213" s="87"/>
      <c r="BD213" s="186">
        <f t="shared" si="246"/>
        <v>205</v>
      </c>
    </row>
    <row r="214" spans="1:62" outlineLevel="1">
      <c r="B214" s="119" t="s">
        <v>65</v>
      </c>
      <c r="C214" s="48"/>
      <c r="D214" s="48"/>
      <c r="E214" s="48"/>
      <c r="F214" s="48"/>
      <c r="G214" s="35">
        <f t="shared" si="288"/>
        <v>809.08800000000019</v>
      </c>
      <c r="H214" s="35">
        <f t="shared" si="288"/>
        <v>608.85299999999995</v>
      </c>
      <c r="I214" s="35">
        <f t="shared" si="288"/>
        <v>-26.328000000000017</v>
      </c>
      <c r="J214" s="35">
        <f t="shared" si="288"/>
        <v>0</v>
      </c>
      <c r="K214" s="35">
        <f t="shared" si="288"/>
        <v>0</v>
      </c>
      <c r="L214" s="35">
        <f t="shared" si="288"/>
        <v>0</v>
      </c>
      <c r="M214" s="35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50">
        <v>0.30499999999999972</v>
      </c>
      <c r="AE214" s="122">
        <f t="shared" ref="AE214:AO214" si="292">AE220-SUM(AE216:AE219,AE210:AE213)</f>
        <v>7.0120000000000928</v>
      </c>
      <c r="AF214" s="122">
        <f t="shared" si="292"/>
        <v>403.07799999999997</v>
      </c>
      <c r="AG214" s="122">
        <f t="shared" si="292"/>
        <v>398.69300000000004</v>
      </c>
      <c r="AH214" s="122">
        <f t="shared" si="292"/>
        <v>391.18500000000006</v>
      </c>
      <c r="AI214" s="122">
        <f t="shared" si="292"/>
        <v>163.37699999999995</v>
      </c>
      <c r="AJ214" s="122">
        <f t="shared" si="292"/>
        <v>95.965000000000032</v>
      </c>
      <c r="AK214" s="122">
        <f t="shared" si="292"/>
        <v>-41.674000000000063</v>
      </c>
      <c r="AL214" s="122">
        <f t="shared" si="292"/>
        <v>-5.1450000000000244</v>
      </c>
      <c r="AM214" s="122">
        <f t="shared" si="292"/>
        <v>-1.8620000000000019</v>
      </c>
      <c r="AN214" s="122">
        <f t="shared" si="292"/>
        <v>0.56600000000001671</v>
      </c>
      <c r="AO214" s="122">
        <f t="shared" si="292"/>
        <v>-19.887000000000008</v>
      </c>
      <c r="AP214" s="50">
        <v>0</v>
      </c>
      <c r="AQ214" s="50">
        <v>0</v>
      </c>
      <c r="AR214" s="50">
        <v>0</v>
      </c>
      <c r="AS214" s="50">
        <v>0</v>
      </c>
      <c r="AT214" s="50">
        <v>0</v>
      </c>
      <c r="AU214" s="50">
        <v>0</v>
      </c>
      <c r="AV214" s="50">
        <v>0</v>
      </c>
      <c r="AW214" s="50">
        <v>0</v>
      </c>
      <c r="AX214" s="50">
        <v>0</v>
      </c>
      <c r="AY214" s="50">
        <v>0</v>
      </c>
      <c r="AZ214" s="50">
        <v>0</v>
      </c>
      <c r="BA214" s="50">
        <v>0</v>
      </c>
      <c r="BD214" s="186">
        <f t="shared" si="246"/>
        <v>206</v>
      </c>
    </row>
    <row r="215" spans="1:62" outlineLevel="1">
      <c r="B215" s="118" t="s">
        <v>149</v>
      </c>
      <c r="C215" s="48"/>
      <c r="D215" s="48"/>
      <c r="E215" s="48"/>
      <c r="F215" s="48"/>
      <c r="G215" s="35"/>
      <c r="H215" s="35"/>
      <c r="I215" s="35"/>
      <c r="J215" s="35"/>
      <c r="K215" s="35"/>
      <c r="L215" s="35"/>
      <c r="M215" s="35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50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82"/>
      <c r="AQ215" s="82"/>
      <c r="AR215" s="82"/>
      <c r="AS215" s="82"/>
      <c r="AT215" s="82"/>
      <c r="AU215" s="82"/>
      <c r="AV215" s="82"/>
      <c r="AW215" s="82"/>
      <c r="AX215" s="82"/>
      <c r="AY215" s="82"/>
      <c r="AZ215" s="82"/>
      <c r="BA215" s="82"/>
      <c r="BD215" s="186">
        <f t="shared" si="246"/>
        <v>207</v>
      </c>
    </row>
    <row r="216" spans="1:62" outlineLevel="1">
      <c r="B216" s="119" t="s">
        <v>150</v>
      </c>
      <c r="C216" s="48"/>
      <c r="D216" s="48"/>
      <c r="E216" s="48"/>
      <c r="F216" s="48"/>
      <c r="G216" s="35">
        <f t="shared" ref="G216:L219" si="293">SUMIFS($N216:$BB216,$N$5:$BB$5,G$5)</f>
        <v>278.14999999999998</v>
      </c>
      <c r="H216" s="35">
        <f t="shared" si="293"/>
        <v>137.07499999999999</v>
      </c>
      <c r="I216" s="35">
        <f t="shared" si="293"/>
        <v>-203.10100000000003</v>
      </c>
      <c r="J216" s="35">
        <f t="shared" si="293"/>
        <v>-101.7256551253123</v>
      </c>
      <c r="K216" s="35">
        <f t="shared" si="293"/>
        <v>-71.268825739144688</v>
      </c>
      <c r="L216" s="35">
        <f t="shared" si="293"/>
        <v>-1.068575656520693</v>
      </c>
      <c r="M216" s="35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50">
        <v>92.222999999999999</v>
      </c>
      <c r="AE216" s="55">
        <f>212.25-AD216</f>
        <v>120.027</v>
      </c>
      <c r="AF216" s="55">
        <f>259.049-AE216-AD216</f>
        <v>46.798999999999992</v>
      </c>
      <c r="AG216" s="55">
        <f>278.15-AF216-AE216-AD216</f>
        <v>19.100999999999999</v>
      </c>
      <c r="AH216" s="55">
        <v>96.247</v>
      </c>
      <c r="AI216" s="55">
        <f>150.931-AH216</f>
        <v>54.684000000000012</v>
      </c>
      <c r="AJ216" s="55">
        <f>125.911-AI216-AH216</f>
        <v>-25.02000000000001</v>
      </c>
      <c r="AK216" s="55">
        <f>137.075-AJ216-AI216-AH216</f>
        <v>11.163999999999987</v>
      </c>
      <c r="AL216" s="55">
        <v>-94.513999999999996</v>
      </c>
      <c r="AM216" s="55">
        <f>-159.643-AL216</f>
        <v>-65.129000000000005</v>
      </c>
      <c r="AN216" s="55">
        <f>-207.907-AM216-AL216</f>
        <v>-48.264000000000024</v>
      </c>
      <c r="AO216" s="55">
        <f>-203.101-AN216-AM216-AL216</f>
        <v>4.8060000000000116</v>
      </c>
      <c r="AP216" s="82">
        <f t="shared" ref="AP216:BA216" si="294">-(AP240-AO240)</f>
        <v>-39.184509309669806</v>
      </c>
      <c r="AQ216" s="82">
        <f t="shared" si="294"/>
        <v>-12.568099232258533</v>
      </c>
      <c r="AR216" s="82">
        <f t="shared" si="294"/>
        <v>-36.425413171195544</v>
      </c>
      <c r="AS216" s="82">
        <f t="shared" si="294"/>
        <v>-13.547633412188418</v>
      </c>
      <c r="AT216" s="82">
        <f t="shared" si="294"/>
        <v>-38.168957245678087</v>
      </c>
      <c r="AU216" s="82">
        <f t="shared" si="294"/>
        <v>-16.276182078377929</v>
      </c>
      <c r="AV216" s="82">
        <f t="shared" si="294"/>
        <v>-13.089702391990727</v>
      </c>
      <c r="AW216" s="82">
        <f t="shared" si="294"/>
        <v>-3.7339840230979462</v>
      </c>
      <c r="AX216" s="82">
        <f t="shared" si="294"/>
        <v>-7.0242795743336046</v>
      </c>
      <c r="AY216" s="82">
        <f t="shared" si="294"/>
        <v>0</v>
      </c>
      <c r="AZ216" s="82">
        <f t="shared" si="294"/>
        <v>5.9557039178129116</v>
      </c>
      <c r="BA216" s="82">
        <f t="shared" si="294"/>
        <v>0</v>
      </c>
      <c r="BD216" s="186">
        <f t="shared" si="246"/>
        <v>208</v>
      </c>
    </row>
    <row r="217" spans="1:62" outlineLevel="1">
      <c r="B217" s="119" t="s">
        <v>151</v>
      </c>
      <c r="C217" s="48"/>
      <c r="D217" s="48"/>
      <c r="E217" s="48"/>
      <c r="F217" s="48"/>
      <c r="G217" s="35">
        <f t="shared" si="293"/>
        <v>21.123000000000001</v>
      </c>
      <c r="H217" s="35">
        <f t="shared" si="293"/>
        <v>4.2439999999999998</v>
      </c>
      <c r="I217" s="35">
        <f t="shared" si="293"/>
        <v>-26.072000000000003</v>
      </c>
      <c r="J217" s="35">
        <f t="shared" si="293"/>
        <v>-17.641983576376404</v>
      </c>
      <c r="K217" s="35">
        <f t="shared" si="293"/>
        <v>-14.6338580927343</v>
      </c>
      <c r="L217" s="35">
        <f t="shared" si="293"/>
        <v>0.37658637751582091</v>
      </c>
      <c r="M217" s="35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50">
        <v>-16.602</v>
      </c>
      <c r="AE217" s="55">
        <f>4.785-AD217</f>
        <v>21.387</v>
      </c>
      <c r="AF217" s="55">
        <f>18.656-AE217-AD217</f>
        <v>13.870999999999999</v>
      </c>
      <c r="AG217" s="55">
        <f>21.123-AF217-AE217-AD217</f>
        <v>2.4670000000000023</v>
      </c>
      <c r="AH217" s="55">
        <v>0.81699999999999995</v>
      </c>
      <c r="AI217" s="55">
        <f>3.169-AH217</f>
        <v>2.3520000000000003</v>
      </c>
      <c r="AJ217" s="55">
        <f>7.624-AI217-AH217</f>
        <v>4.4549999999999992</v>
      </c>
      <c r="AK217" s="55">
        <f>4.244-AJ217-AI217-AH217</f>
        <v>-3.38</v>
      </c>
      <c r="AL217" s="55">
        <v>-5.0060000000000002</v>
      </c>
      <c r="AM217" s="55">
        <f>-6.978-AL217</f>
        <v>-1.9719999999999995</v>
      </c>
      <c r="AN217" s="55">
        <f>-20.441-AM217-AL217</f>
        <v>-13.463000000000001</v>
      </c>
      <c r="AO217" s="55">
        <f>-26.072-AN217-AM217-AL217</f>
        <v>-5.6309999999999985</v>
      </c>
      <c r="AP217" s="82">
        <f t="shared" ref="AP217:BA217" si="295">-(AP241-AO241)</f>
        <v>-6.4485402381246359</v>
      </c>
      <c r="AQ217" s="82">
        <f t="shared" si="295"/>
        <v>-3.3432035826807009</v>
      </c>
      <c r="AR217" s="82">
        <f t="shared" si="295"/>
        <v>-5.5354753258119871</v>
      </c>
      <c r="AS217" s="82">
        <f t="shared" si="295"/>
        <v>-2.3147644297590801</v>
      </c>
      <c r="AT217" s="82">
        <f t="shared" si="295"/>
        <v>-7.8349896124172886</v>
      </c>
      <c r="AU217" s="82">
        <f t="shared" si="295"/>
        <v>-3.4074038964032809</v>
      </c>
      <c r="AV217" s="82">
        <f t="shared" si="295"/>
        <v>-2.7207381673869975</v>
      </c>
      <c r="AW217" s="82">
        <f t="shared" si="295"/>
        <v>-0.67072641652673326</v>
      </c>
      <c r="AX217" s="82">
        <f t="shared" si="295"/>
        <v>-1.3211812309951227</v>
      </c>
      <c r="AY217" s="82">
        <f t="shared" si="295"/>
        <v>0.16088034560914366</v>
      </c>
      <c r="AZ217" s="82">
        <f t="shared" si="295"/>
        <v>1.3713266981949914</v>
      </c>
      <c r="BA217" s="82">
        <f t="shared" si="295"/>
        <v>0.16556056470680858</v>
      </c>
      <c r="BD217" s="186">
        <f t="shared" si="246"/>
        <v>209</v>
      </c>
    </row>
    <row r="218" spans="1:62" outlineLevel="1">
      <c r="B218" s="119" t="s">
        <v>152</v>
      </c>
      <c r="C218" s="48"/>
      <c r="D218" s="48"/>
      <c r="E218" s="48"/>
      <c r="F218" s="48"/>
      <c r="G218" s="35">
        <f t="shared" si="293"/>
        <v>-168.607</v>
      </c>
      <c r="H218" s="35">
        <f t="shared" si="293"/>
        <v>-75.016000000000005</v>
      </c>
      <c r="I218" s="35">
        <f t="shared" si="293"/>
        <v>41.801000000000002</v>
      </c>
      <c r="J218" s="35">
        <f t="shared" si="293"/>
        <v>41.018322026120302</v>
      </c>
      <c r="K218" s="35">
        <f t="shared" si="293"/>
        <v>27.546085821617538</v>
      </c>
      <c r="L218" s="35">
        <f t="shared" si="293"/>
        <v>-0.70886847532395336</v>
      </c>
      <c r="M218" s="35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50">
        <v>-41.155000000000001</v>
      </c>
      <c r="AE218" s="55">
        <f>-146.699-AD218</f>
        <v>-105.54400000000001</v>
      </c>
      <c r="AF218" s="55">
        <f>-161.708-AE218-AD218</f>
        <v>-15.008999999999986</v>
      </c>
      <c r="AG218" s="55">
        <f>-168.607-AF218-AE218-AD218</f>
        <v>-6.8990000000000009</v>
      </c>
      <c r="AH218" s="55">
        <v>-70.004000000000005</v>
      </c>
      <c r="AI218" s="55">
        <f>-121.847-AH218</f>
        <v>-51.842999999999989</v>
      </c>
      <c r="AJ218" s="55">
        <f>-91.481-AI218-AH218</f>
        <v>30.366</v>
      </c>
      <c r="AK218" s="55">
        <f>-75.016-AJ218-AI218-AH218</f>
        <v>16.464999999999989</v>
      </c>
      <c r="AL218" s="55">
        <v>8.5250000000000004</v>
      </c>
      <c r="AM218" s="55">
        <f>27.784-AL218</f>
        <v>19.259</v>
      </c>
      <c r="AN218" s="55">
        <f>45.018-AM218-AL218</f>
        <v>17.234000000000002</v>
      </c>
      <c r="AO218" s="55">
        <f>41.801-AN218-AM218-AL218</f>
        <v>-3.2170000000000005</v>
      </c>
      <c r="AP218" s="82">
        <f t="shared" ref="AP218:BA218" si="296">+(AP253-AO253)</f>
        <v>16.198290167364206</v>
      </c>
      <c r="AQ218" s="82">
        <f t="shared" si="296"/>
        <v>5.7497401707789209</v>
      </c>
      <c r="AR218" s="82">
        <f t="shared" si="296"/>
        <v>9.7049418156714182</v>
      </c>
      <c r="AS218" s="82">
        <f t="shared" si="296"/>
        <v>9.3653498723057567</v>
      </c>
      <c r="AT218" s="82">
        <f t="shared" si="296"/>
        <v>14.748215741020772</v>
      </c>
      <c r="AU218" s="82">
        <f t="shared" si="296"/>
        <v>6.4139367461709185</v>
      </c>
      <c r="AV218" s="82">
        <f t="shared" si="296"/>
        <v>5.1213894915519802</v>
      </c>
      <c r="AW218" s="82">
        <f t="shared" si="296"/>
        <v>1.2625438428738676</v>
      </c>
      <c r="AX218" s="82">
        <f t="shared" si="296"/>
        <v>2.4869293759907691</v>
      </c>
      <c r="AY218" s="82">
        <f t="shared" si="296"/>
        <v>-0.30283359173483859</v>
      </c>
      <c r="AZ218" s="82">
        <f t="shared" si="296"/>
        <v>-2.5813208436611319</v>
      </c>
      <c r="BA218" s="82">
        <f t="shared" si="296"/>
        <v>-0.311643415918752</v>
      </c>
      <c r="BD218" s="186">
        <f t="shared" si="246"/>
        <v>210</v>
      </c>
    </row>
    <row r="219" spans="1:62" outlineLevel="1">
      <c r="B219" s="119" t="s">
        <v>153</v>
      </c>
      <c r="C219" s="48"/>
      <c r="D219" s="48"/>
      <c r="E219" s="48"/>
      <c r="F219" s="48"/>
      <c r="G219" s="35">
        <f t="shared" si="293"/>
        <v>14.035</v>
      </c>
      <c r="H219" s="35">
        <f t="shared" si="293"/>
        <v>56.113999999999997</v>
      </c>
      <c r="I219" s="35">
        <f t="shared" si="293"/>
        <v>58.494</v>
      </c>
      <c r="J219" s="35">
        <f t="shared" si="293"/>
        <v>0</v>
      </c>
      <c r="K219" s="35">
        <f t="shared" si="293"/>
        <v>0</v>
      </c>
      <c r="L219" s="35">
        <f t="shared" si="293"/>
        <v>0</v>
      </c>
      <c r="M219" s="35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50">
        <v>-0.58099999999999863</v>
      </c>
      <c r="AE219" s="55">
        <f>-19.989+41.402-0.108-3.422-AD219</f>
        <v>18.463999999999999</v>
      </c>
      <c r="AF219" s="55">
        <f>-8.182+25.313-4.069-AE219-AD219</f>
        <v>-4.8209999999999988</v>
      </c>
      <c r="AG219" s="55">
        <f>17.4-0.108-3.257-AF219-AE219-AD219</f>
        <v>0.97299999999999809</v>
      </c>
      <c r="AH219" s="55">
        <f>6.119-6.701+5.556-1.106</f>
        <v>3.8680000000000003</v>
      </c>
      <c r="AI219" s="55">
        <f>14.952+25.209+5.442-9.914-AH219</f>
        <v>31.820999999999998</v>
      </c>
      <c r="AJ219" s="55">
        <f>19.64+-43.78-5.187-9.327</f>
        <v>-38.654000000000003</v>
      </c>
      <c r="AK219" s="55">
        <f>35.028+3.604-6.965+24.447-AJ219-AI219-AH219</f>
        <v>59.079000000000001</v>
      </c>
      <c r="AL219" s="55">
        <f>5.675-0.594-2.694-0.336</f>
        <v>2.0509999999999997</v>
      </c>
      <c r="AM219" s="55">
        <f>6.741+6.747-5.2+1.744-AL219</f>
        <v>7.9809999999999999</v>
      </c>
      <c r="AN219" s="55">
        <f>11.222+24.629+4.805-AM219-AL219</f>
        <v>30.623999999999999</v>
      </c>
      <c r="AO219" s="55">
        <f>16.013+38.104+1.714+2.663-AN219-AM219-AL219</f>
        <v>17.838000000000005</v>
      </c>
      <c r="AP219" s="82">
        <f t="shared" ref="AP219:BA219" si="297">-(AP242-AO242)+(AP255-AO255)</f>
        <v>0</v>
      </c>
      <c r="AQ219" s="82">
        <f t="shared" si="297"/>
        <v>0</v>
      </c>
      <c r="AR219" s="82">
        <f t="shared" si="297"/>
        <v>0</v>
      </c>
      <c r="AS219" s="82">
        <f t="shared" si="297"/>
        <v>0</v>
      </c>
      <c r="AT219" s="82">
        <f t="shared" si="297"/>
        <v>0</v>
      </c>
      <c r="AU219" s="82">
        <f t="shared" si="297"/>
        <v>0</v>
      </c>
      <c r="AV219" s="82">
        <f t="shared" si="297"/>
        <v>0</v>
      </c>
      <c r="AW219" s="82">
        <f t="shared" si="297"/>
        <v>0</v>
      </c>
      <c r="AX219" s="82">
        <f t="shared" si="297"/>
        <v>0</v>
      </c>
      <c r="AY219" s="82">
        <f t="shared" si="297"/>
        <v>0</v>
      </c>
      <c r="AZ219" s="82">
        <f t="shared" si="297"/>
        <v>0</v>
      </c>
      <c r="BA219" s="82">
        <f t="shared" si="297"/>
        <v>0</v>
      </c>
      <c r="BD219" s="186">
        <f t="shared" si="246"/>
        <v>211</v>
      </c>
    </row>
    <row r="220" spans="1:62" s="34" customFormat="1" outlineLevel="1">
      <c r="A220" s="77"/>
      <c r="B220" s="121" t="s">
        <v>154</v>
      </c>
      <c r="C220" s="51"/>
      <c r="D220" s="51"/>
      <c r="E220" s="51"/>
      <c r="F220" s="51"/>
      <c r="G220" s="36">
        <f t="shared" ref="G220:L220" si="298">SUM(G210:G219)</f>
        <v>103.00500000000017</v>
      </c>
      <c r="H220" s="36">
        <f t="shared" si="298"/>
        <v>-107.37199999999999</v>
      </c>
      <c r="I220" s="36">
        <f t="shared" si="298"/>
        <v>9.3999999999951456E-2</v>
      </c>
      <c r="J220" s="36">
        <f t="shared" si="298"/>
        <v>350.19709752575324</v>
      </c>
      <c r="K220" s="36">
        <f t="shared" si="298"/>
        <v>557.11489092645468</v>
      </c>
      <c r="L220" s="36">
        <f t="shared" si="298"/>
        <v>557.96888844120122</v>
      </c>
      <c r="M220" s="37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84">
        <f t="shared" ref="AD220" si="299">SUM(AD210:AD219)</f>
        <v>47.657000000000004</v>
      </c>
      <c r="AE220" s="124">
        <f>103.203-AD220</f>
        <v>55.545999999999999</v>
      </c>
      <c r="AF220" s="124">
        <f>102.404-AE220-AD220</f>
        <v>-0.79900000000000659</v>
      </c>
      <c r="AG220" s="124">
        <f>103.005-AF220-AE220-AD220</f>
        <v>0.60099999999999909</v>
      </c>
      <c r="AH220" s="124">
        <v>-29.571000000000002</v>
      </c>
      <c r="AI220" s="124">
        <f>-76.02-AH220</f>
        <v>-46.448999999999998</v>
      </c>
      <c r="AJ220" s="124">
        <f>-82.744-AI220-AH220</f>
        <v>-6.7240000000000002</v>
      </c>
      <c r="AK220" s="124">
        <f>-107.372-AJ220-AI220-AH220</f>
        <v>-24.627999999999997</v>
      </c>
      <c r="AL220" s="124">
        <v>-77.902000000000001</v>
      </c>
      <c r="AM220" s="124">
        <f>-96.854-AL220</f>
        <v>-18.951999999999998</v>
      </c>
      <c r="AN220" s="124">
        <f>-60.834-AM220-AL220</f>
        <v>36.019999999999996</v>
      </c>
      <c r="AO220" s="124">
        <f>0.094-AN220-AM220-AL220</f>
        <v>60.928000000000004</v>
      </c>
      <c r="AP220" s="36">
        <f t="shared" ref="AP220" si="300">SUM(AP210:AP219)</f>
        <v>47.588475655384613</v>
      </c>
      <c r="AQ220" s="36">
        <f t="shared" ref="AQ220" si="301">SUM(AQ210:AQ219)</f>
        <v>86.426189846837403</v>
      </c>
      <c r="AR220" s="36">
        <f t="shared" ref="AR220" si="302">SUM(AR210:AR219)</f>
        <v>87.54605986161566</v>
      </c>
      <c r="AS220" s="36">
        <f t="shared" ref="AS220" si="303">SUM(AS210:AS219)</f>
        <v>128.63637216191552</v>
      </c>
      <c r="AT220" s="36">
        <f t="shared" ref="AT220" si="304">SUM(AT210:AT219)</f>
        <v>114.02952559310809</v>
      </c>
      <c r="AU220" s="36">
        <f t="shared" ref="AU220" si="305">SUM(AU210:AU219)</f>
        <v>139.2529148450559</v>
      </c>
      <c r="AV220" s="36">
        <f t="shared" ref="AV220" si="306">SUM(AV210:AV219)</f>
        <v>147.84960918230001</v>
      </c>
      <c r="AW220" s="36">
        <f t="shared" ref="AW220" si="307">SUM(AW210:AW219)</f>
        <v>155.98284130599063</v>
      </c>
      <c r="AX220" s="36">
        <f t="shared" ref="AX220" si="308">SUM(AX210:AX219)</f>
        <v>134.8757951820192</v>
      </c>
      <c r="AY220" s="36">
        <f t="shared" ref="AY220" si="309">SUM(AY210:AY219)</f>
        <v>140.00319788762292</v>
      </c>
      <c r="AZ220" s="36">
        <f t="shared" ref="AZ220" si="310">SUM(AZ210:AZ219)</f>
        <v>144.29365266320022</v>
      </c>
      <c r="BA220" s="36">
        <f t="shared" ref="BA220" si="311">SUM(BA210:BA219)</f>
        <v>138.79624270835876</v>
      </c>
      <c r="BD220" s="186">
        <f t="shared" si="246"/>
        <v>212</v>
      </c>
      <c r="BE220"/>
      <c r="BF220"/>
      <c r="BG220"/>
      <c r="BH220"/>
      <c r="BI220"/>
      <c r="BJ220"/>
    </row>
    <row r="221" spans="1:62" outlineLevel="1">
      <c r="B221" s="119" t="s">
        <v>155</v>
      </c>
      <c r="C221" s="48"/>
      <c r="D221" s="48"/>
      <c r="E221" s="48"/>
      <c r="F221" s="48"/>
      <c r="G221" s="35">
        <f t="shared" ref="G221:L221" si="312">SUMIFS($N221:$BB221,$N$5:$BB$5,G$5)</f>
        <v>-166.321</v>
      </c>
      <c r="H221" s="35">
        <f t="shared" si="312"/>
        <v>-57.908999999999999</v>
      </c>
      <c r="I221" s="188">
        <f t="shared" si="312"/>
        <v>-210.18600000000001</v>
      </c>
      <c r="J221" s="35">
        <f t="shared" si="312"/>
        <v>-438.67600000000004</v>
      </c>
      <c r="K221" s="35">
        <f t="shared" si="312"/>
        <v>-276.97368292682927</v>
      </c>
      <c r="L221" s="35">
        <f t="shared" si="312"/>
        <v>-213.88341463414633</v>
      </c>
      <c r="M221" s="35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50">
        <v>-48.588000000000001</v>
      </c>
      <c r="AE221" s="55">
        <f>-117.304-AD221</f>
        <v>-68.716000000000008</v>
      </c>
      <c r="AF221" s="55">
        <f>-141.491-AE221-AD221</f>
        <v>-24.187000000000005</v>
      </c>
      <c r="AG221" s="55">
        <f>-166.321-AF221-AE221-AD221</f>
        <v>-24.829999999999977</v>
      </c>
      <c r="AH221" s="55">
        <v>-18.667000000000002</v>
      </c>
      <c r="AI221" s="55">
        <f>-36.437-AH221</f>
        <v>-17.769999999999996</v>
      </c>
      <c r="AJ221" s="55">
        <f>-44.606-AI221-AH221</f>
        <v>-8.169000000000004</v>
      </c>
      <c r="AK221" s="55">
        <f>-57.909-AJ221-AI221-AH221</f>
        <v>-13.302999999999997</v>
      </c>
      <c r="AL221" s="55">
        <v>-11.585000000000001</v>
      </c>
      <c r="AM221" s="55">
        <f>-72.547-AL221</f>
        <v>-60.961999999999996</v>
      </c>
      <c r="AN221" s="55">
        <f>-151.445-AM221-AL221</f>
        <v>-78.897999999999996</v>
      </c>
      <c r="AO221" s="55">
        <f>-210.186-AN221-AM221-AL221</f>
        <v>-58.741000000000021</v>
      </c>
      <c r="AP221" s="82">
        <f t="shared" ref="AP221:BA221" si="313">-AP205</f>
        <v>-130.3065</v>
      </c>
      <c r="AQ221" s="82">
        <f t="shared" si="313"/>
        <v>-122.49900000000001</v>
      </c>
      <c r="AR221" s="82">
        <f t="shared" si="313"/>
        <v>-119.2465</v>
      </c>
      <c r="AS221" s="82">
        <f t="shared" si="313"/>
        <v>-66.623999999999995</v>
      </c>
      <c r="AT221" s="82">
        <f t="shared" si="313"/>
        <v>-84.229365853658535</v>
      </c>
      <c r="AU221" s="82">
        <f t="shared" si="313"/>
        <v>-86.294609756097572</v>
      </c>
      <c r="AV221" s="82">
        <f t="shared" si="313"/>
        <v>-53.059853658536582</v>
      </c>
      <c r="AW221" s="82">
        <f t="shared" si="313"/>
        <v>-53.389853658536587</v>
      </c>
      <c r="AX221" s="82">
        <f t="shared" si="313"/>
        <v>-53.470853658536583</v>
      </c>
      <c r="AY221" s="82">
        <f t="shared" si="313"/>
        <v>-53.470853658536583</v>
      </c>
      <c r="AZ221" s="82">
        <f t="shared" si="313"/>
        <v>-53.470853658536583</v>
      </c>
      <c r="BA221" s="82">
        <f t="shared" si="313"/>
        <v>-53.470853658536583</v>
      </c>
      <c r="BD221" s="186">
        <f t="shared" si="246"/>
        <v>213</v>
      </c>
    </row>
    <row r="222" spans="1:62" outlineLevel="1">
      <c r="B222" s="121" t="s">
        <v>156</v>
      </c>
      <c r="C222" s="51"/>
      <c r="D222" s="51"/>
      <c r="E222" s="51"/>
      <c r="F222" s="51"/>
      <c r="G222" s="36">
        <f t="shared" ref="G222:L222" si="314">+G220+G221</f>
        <v>-63.315999999999832</v>
      </c>
      <c r="H222" s="36">
        <f t="shared" si="314"/>
        <v>-165.28099999999998</v>
      </c>
      <c r="I222" s="36">
        <f t="shared" si="314"/>
        <v>-210.09200000000004</v>
      </c>
      <c r="J222" s="36">
        <f t="shared" si="314"/>
        <v>-88.478902474246809</v>
      </c>
      <c r="K222" s="36">
        <f t="shared" si="314"/>
        <v>280.14120799962541</v>
      </c>
      <c r="L222" s="36">
        <f t="shared" si="314"/>
        <v>344.08547380705488</v>
      </c>
      <c r="M222" s="37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84">
        <f t="shared" ref="AD222" si="315">+AD220+AD221</f>
        <v>-0.93099999999999739</v>
      </c>
      <c r="AE222" s="123">
        <f t="shared" ref="AE222:AN222" si="316">AE220+AE221</f>
        <v>-13.170000000000009</v>
      </c>
      <c r="AF222" s="123">
        <f t="shared" si="316"/>
        <v>-24.986000000000011</v>
      </c>
      <c r="AG222" s="123">
        <f t="shared" si="316"/>
        <v>-24.228999999999978</v>
      </c>
      <c r="AH222" s="123">
        <f t="shared" si="316"/>
        <v>-48.238</v>
      </c>
      <c r="AI222" s="123">
        <f t="shared" si="316"/>
        <v>-64.218999999999994</v>
      </c>
      <c r="AJ222" s="123">
        <f t="shared" si="316"/>
        <v>-14.893000000000004</v>
      </c>
      <c r="AK222" s="123">
        <f t="shared" si="316"/>
        <v>-37.930999999999997</v>
      </c>
      <c r="AL222" s="123">
        <f t="shared" si="316"/>
        <v>-89.486999999999995</v>
      </c>
      <c r="AM222" s="123">
        <f t="shared" si="316"/>
        <v>-79.913999999999987</v>
      </c>
      <c r="AN222" s="123">
        <f t="shared" si="316"/>
        <v>-42.878</v>
      </c>
      <c r="AO222" s="123">
        <f t="shared" ref="AO222" si="317">+AO220+AO221</f>
        <v>2.1869999999999834</v>
      </c>
      <c r="AP222" s="36">
        <f t="shared" ref="AP222" si="318">+AP220+AP221</f>
        <v>-82.718024344615387</v>
      </c>
      <c r="AQ222" s="36">
        <f t="shared" ref="AQ222" si="319">+AQ220+AQ221</f>
        <v>-36.072810153162607</v>
      </c>
      <c r="AR222" s="36">
        <f t="shared" ref="AR222" si="320">+AR220+AR221</f>
        <v>-31.700440138384337</v>
      </c>
      <c r="AS222" s="36">
        <f t="shared" ref="AS222" si="321">+AS220+AS221</f>
        <v>62.012372161915522</v>
      </c>
      <c r="AT222" s="36">
        <f t="shared" ref="AT222" si="322">+AT220+AT221</f>
        <v>29.800159739449555</v>
      </c>
      <c r="AU222" s="36">
        <f t="shared" ref="AU222" si="323">+AU220+AU221</f>
        <v>52.958305088958326</v>
      </c>
      <c r="AV222" s="36">
        <f t="shared" ref="AV222" si="324">+AV220+AV221</f>
        <v>94.789755523763432</v>
      </c>
      <c r="AW222" s="36">
        <f t="shared" ref="AW222" si="325">+AW220+AW221</f>
        <v>102.59298764745404</v>
      </c>
      <c r="AX222" s="36">
        <f t="shared" ref="AX222" si="326">+AX220+AX221</f>
        <v>81.40494152348262</v>
      </c>
      <c r="AY222" s="36">
        <f t="shared" ref="AY222" si="327">+AY220+AY221</f>
        <v>86.532344229086334</v>
      </c>
      <c r="AZ222" s="36">
        <f t="shared" ref="AZ222" si="328">+AZ220+AZ221</f>
        <v>90.822799004663636</v>
      </c>
      <c r="BA222" s="36">
        <f t="shared" ref="BA222" si="329">+BA220+BA221</f>
        <v>85.325389049822178</v>
      </c>
      <c r="BD222" s="186">
        <f t="shared" si="246"/>
        <v>214</v>
      </c>
    </row>
    <row r="223" spans="1:62" outlineLevel="1">
      <c r="B223" s="120"/>
      <c r="C223" s="48"/>
      <c r="D223" s="48"/>
      <c r="E223" s="48"/>
      <c r="F223" s="48"/>
      <c r="G223" s="35"/>
      <c r="H223" s="35"/>
      <c r="I223" s="35"/>
      <c r="J223" s="35"/>
      <c r="K223" s="35"/>
      <c r="L223" s="35"/>
      <c r="M223" s="35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50"/>
      <c r="AE223" s="122"/>
      <c r="AF223" s="122"/>
      <c r="AG223" s="122"/>
      <c r="AH223" s="122"/>
      <c r="AI223" s="122"/>
      <c r="AJ223" s="122"/>
      <c r="AK223" s="122"/>
      <c r="AL223" s="193"/>
      <c r="AM223" s="193"/>
      <c r="AN223" s="193"/>
      <c r="AO223" s="193"/>
      <c r="AP223" s="82"/>
      <c r="AQ223" s="82"/>
      <c r="AR223" s="82"/>
      <c r="AS223" s="82"/>
      <c r="AT223" s="82"/>
      <c r="AU223" s="82"/>
      <c r="AV223" s="82"/>
      <c r="AW223" s="82"/>
      <c r="AX223" s="82"/>
      <c r="AY223" s="82"/>
      <c r="AZ223" s="82"/>
      <c r="BA223" s="82"/>
      <c r="BD223" s="186">
        <f t="shared" si="246"/>
        <v>215</v>
      </c>
    </row>
    <row r="224" spans="1:62" outlineLevel="1">
      <c r="B224" s="118" t="s">
        <v>157</v>
      </c>
      <c r="C224" s="48"/>
      <c r="D224" s="48"/>
      <c r="E224" s="48"/>
      <c r="F224" s="48"/>
      <c r="G224" s="35"/>
      <c r="H224" s="35"/>
      <c r="I224" s="35"/>
      <c r="J224" s="35"/>
      <c r="K224" s="35"/>
      <c r="L224" s="35"/>
      <c r="M224" s="35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50"/>
      <c r="AE224" s="122"/>
      <c r="AF224" s="122"/>
      <c r="AG224" s="122"/>
      <c r="AH224" s="122"/>
      <c r="AI224" s="122"/>
      <c r="AJ224" s="122"/>
      <c r="AK224" s="122"/>
      <c r="AL224" s="193"/>
      <c r="AM224" s="193"/>
      <c r="AN224" s="193"/>
      <c r="AO224" s="193"/>
      <c r="AP224" s="82"/>
      <c r="AQ224" s="82"/>
      <c r="AR224" s="82"/>
      <c r="AS224" s="82"/>
      <c r="AT224" s="82"/>
      <c r="AU224" s="82"/>
      <c r="AV224" s="82"/>
      <c r="AW224" s="82"/>
      <c r="AX224" s="82"/>
      <c r="AY224" s="82"/>
      <c r="AZ224" s="82"/>
      <c r="BA224" s="82"/>
      <c r="BD224" s="186">
        <f t="shared" si="246"/>
        <v>216</v>
      </c>
    </row>
    <row r="225" spans="1:62" outlineLevel="1">
      <c r="B225" s="119" t="s">
        <v>158</v>
      </c>
      <c r="C225" s="48"/>
      <c r="D225" s="48"/>
      <c r="E225" s="48"/>
      <c r="F225" s="48"/>
      <c r="G225" s="35">
        <f t="shared" ref="G225:L233" si="330">SUMIFS($N225:$BB225,$N$5:$BB$5,G$5)</f>
        <v>-663.303</v>
      </c>
      <c r="H225" s="35">
        <f t="shared" si="330"/>
        <v>-1.419</v>
      </c>
      <c r="I225" s="103">
        <f t="shared" si="330"/>
        <v>-97.009</v>
      </c>
      <c r="J225" s="103">
        <f t="shared" si="330"/>
        <v>0</v>
      </c>
      <c r="K225" s="103">
        <f t="shared" si="330"/>
        <v>0</v>
      </c>
      <c r="L225" s="35">
        <f t="shared" si="330"/>
        <v>0</v>
      </c>
      <c r="M225" s="35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50">
        <v>-693.45500000000004</v>
      </c>
      <c r="AE225" s="53">
        <f>-706.702-AD225</f>
        <v>-13.246999999999957</v>
      </c>
      <c r="AF225" s="53">
        <f>-663.303-AE225-AD225</f>
        <v>43.399000000000001</v>
      </c>
      <c r="AG225" s="53">
        <f>-663.303-AF225-AE225-AD225</f>
        <v>0</v>
      </c>
      <c r="AH225" s="53">
        <v>0</v>
      </c>
      <c r="AI225" s="53">
        <f>-1.419-AH225</f>
        <v>-1.419</v>
      </c>
      <c r="AJ225" s="53">
        <f>-1.419-AI225-AH225</f>
        <v>0</v>
      </c>
      <c r="AK225" s="53">
        <f>-1.419-AJ225-AI225-AH225</f>
        <v>0</v>
      </c>
      <c r="AL225" s="53">
        <v>26.698</v>
      </c>
      <c r="AM225" s="53">
        <f>27.143-AL225</f>
        <v>0.44500000000000028</v>
      </c>
      <c r="AN225" s="53">
        <f>36.741-AM225-AL225</f>
        <v>9.597999999999999</v>
      </c>
      <c r="AO225" s="53">
        <v>-133.75</v>
      </c>
      <c r="AP225" s="50">
        <v>0</v>
      </c>
      <c r="AQ225" s="50">
        <v>0</v>
      </c>
      <c r="AR225" s="50">
        <v>0</v>
      </c>
      <c r="AS225" s="50">
        <v>0</v>
      </c>
      <c r="AT225" s="50">
        <v>0</v>
      </c>
      <c r="AU225" s="50">
        <v>0</v>
      </c>
      <c r="AV225" s="50">
        <v>0</v>
      </c>
      <c r="AW225" s="50">
        <v>0</v>
      </c>
      <c r="AX225" s="50">
        <v>0</v>
      </c>
      <c r="AY225" s="50">
        <v>0</v>
      </c>
      <c r="AZ225" s="50">
        <v>0</v>
      </c>
      <c r="BA225" s="50">
        <v>0</v>
      </c>
      <c r="BD225" s="186">
        <f t="shared" si="246"/>
        <v>217</v>
      </c>
    </row>
    <row r="226" spans="1:62" outlineLevel="1">
      <c r="B226" s="119" t="s">
        <v>159</v>
      </c>
      <c r="C226" s="48"/>
      <c r="D226" s="48"/>
      <c r="E226" s="48"/>
      <c r="F226" s="48"/>
      <c r="G226" s="35">
        <f t="shared" si="330"/>
        <v>4.468</v>
      </c>
      <c r="H226" s="35">
        <f t="shared" si="330"/>
        <v>32.808999999999997</v>
      </c>
      <c r="I226" s="103">
        <f t="shared" si="330"/>
        <v>31.509</v>
      </c>
      <c r="J226" s="103">
        <f t="shared" si="330"/>
        <v>0</v>
      </c>
      <c r="K226" s="103">
        <f t="shared" si="330"/>
        <v>0</v>
      </c>
      <c r="L226" s="35">
        <f t="shared" si="330"/>
        <v>0</v>
      </c>
      <c r="M226" s="35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50">
        <v>2.0830000000000002</v>
      </c>
      <c r="AE226" s="53">
        <f>2.211-AD226</f>
        <v>0.12799999999999967</v>
      </c>
      <c r="AF226" s="53">
        <f>2.743-AE226-AD226</f>
        <v>0.53200000000000003</v>
      </c>
      <c r="AG226" s="53">
        <f>4.468-AF226-AE226-AD226</f>
        <v>1.7250000000000001</v>
      </c>
      <c r="AH226" s="53">
        <v>12.009</v>
      </c>
      <c r="AI226" s="53">
        <f>28.753-AH226</f>
        <v>16.744</v>
      </c>
      <c r="AJ226" s="53">
        <f>30.775-AI226-AH226</f>
        <v>2.0219999999999985</v>
      </c>
      <c r="AK226" s="53">
        <f>32.809-AJ226-AI226-AH226</f>
        <v>2.0339999999999989</v>
      </c>
      <c r="AL226" s="53">
        <v>1.502</v>
      </c>
      <c r="AM226" s="53">
        <f>4.039-AL226</f>
        <v>2.5369999999999999</v>
      </c>
      <c r="AN226" s="53">
        <v>0</v>
      </c>
      <c r="AO226" s="53">
        <f>68.25-AN226-AM226-AL226-AN225-AM225-AL225</f>
        <v>27.47</v>
      </c>
      <c r="AP226" s="50">
        <v>0</v>
      </c>
      <c r="AQ226" s="50">
        <v>0</v>
      </c>
      <c r="AR226" s="50">
        <v>0</v>
      </c>
      <c r="AS226" s="50">
        <v>0</v>
      </c>
      <c r="AT226" s="50">
        <v>0</v>
      </c>
      <c r="AU226" s="50">
        <v>0</v>
      </c>
      <c r="AV226" s="50">
        <v>0</v>
      </c>
      <c r="AW226" s="50">
        <v>0</v>
      </c>
      <c r="AX226" s="50">
        <v>0</v>
      </c>
      <c r="AY226" s="50">
        <v>0</v>
      </c>
      <c r="AZ226" s="50">
        <v>0</v>
      </c>
      <c r="BA226" s="50">
        <v>0</v>
      </c>
      <c r="BD226" s="186">
        <f t="shared" si="246"/>
        <v>218</v>
      </c>
    </row>
    <row r="227" spans="1:62" outlineLevel="1">
      <c r="B227" s="119" t="s">
        <v>160</v>
      </c>
      <c r="C227" s="48"/>
      <c r="D227" s="48"/>
      <c r="E227" s="48"/>
      <c r="F227" s="48"/>
      <c r="G227" s="35">
        <f t="shared" si="330"/>
        <v>0</v>
      </c>
      <c r="H227" s="35">
        <f t="shared" si="330"/>
        <v>-0.40799999999999997</v>
      </c>
      <c r="I227" s="103">
        <f t="shared" si="330"/>
        <v>0</v>
      </c>
      <c r="J227" s="103">
        <f t="shared" si="330"/>
        <v>0</v>
      </c>
      <c r="K227" s="103">
        <f t="shared" si="330"/>
        <v>0</v>
      </c>
      <c r="L227" s="35">
        <f t="shared" si="330"/>
        <v>0</v>
      </c>
      <c r="M227" s="35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50">
        <v>0</v>
      </c>
      <c r="AE227" s="53">
        <v>0</v>
      </c>
      <c r="AF227" s="53">
        <v>0</v>
      </c>
      <c r="AG227" s="53">
        <v>0</v>
      </c>
      <c r="AH227" s="53">
        <v>0</v>
      </c>
      <c r="AI227" s="53">
        <f>-0.408-AH227</f>
        <v>-0.40799999999999997</v>
      </c>
      <c r="AJ227" s="53">
        <f>-0.408-AI227-AH227</f>
        <v>0</v>
      </c>
      <c r="AK227" s="53">
        <f>-0.408-AJ227-AI227-AH227</f>
        <v>0</v>
      </c>
      <c r="AL227" s="53">
        <f>-0.408-AK227-AJ227-AI227</f>
        <v>0</v>
      </c>
      <c r="AM227" s="53">
        <v>0</v>
      </c>
      <c r="AN227" s="53">
        <v>0</v>
      </c>
      <c r="AO227" s="53">
        <v>0</v>
      </c>
      <c r="AP227" s="50">
        <v>0</v>
      </c>
      <c r="AQ227" s="50">
        <v>0</v>
      </c>
      <c r="AR227" s="50">
        <v>0</v>
      </c>
      <c r="AS227" s="50">
        <v>0</v>
      </c>
      <c r="AT227" s="50">
        <v>0</v>
      </c>
      <c r="AU227" s="50">
        <v>0</v>
      </c>
      <c r="AV227" s="50">
        <v>0</v>
      </c>
      <c r="AW227" s="50">
        <v>0</v>
      </c>
      <c r="AX227" s="50">
        <v>0</v>
      </c>
      <c r="AY227" s="50">
        <v>0</v>
      </c>
      <c r="AZ227" s="50">
        <v>0</v>
      </c>
      <c r="BA227" s="50">
        <v>0</v>
      </c>
      <c r="BD227" s="186">
        <f t="shared" si="246"/>
        <v>219</v>
      </c>
    </row>
    <row r="228" spans="1:62" outlineLevel="1">
      <c r="B228" s="119" t="s">
        <v>161</v>
      </c>
      <c r="C228" s="48"/>
      <c r="D228" s="48"/>
      <c r="E228" s="48"/>
      <c r="F228" s="48"/>
      <c r="G228" s="35">
        <f t="shared" si="330"/>
        <v>795.57599999999991</v>
      </c>
      <c r="H228" s="35">
        <f t="shared" si="330"/>
        <v>181.36199999999999</v>
      </c>
      <c r="I228" s="103">
        <f t="shared" si="330"/>
        <v>0</v>
      </c>
      <c r="J228" s="103">
        <f t="shared" si="330"/>
        <v>0</v>
      </c>
      <c r="K228" s="103">
        <f t="shared" si="330"/>
        <v>0</v>
      </c>
      <c r="L228" s="35">
        <f t="shared" si="330"/>
        <v>0</v>
      </c>
      <c r="M228" s="35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50">
        <v>775.28300000000002</v>
      </c>
      <c r="AE228" s="53">
        <f>161-382+1001.4-2.65-2.257-AD228</f>
        <v>0.21000000000003638</v>
      </c>
      <c r="AF228" s="53">
        <f>271-492+1001.4-5.3-3.058-AE228-AD228</f>
        <v>-3.4510000000000218</v>
      </c>
      <c r="AG228" s="53">
        <f>338-532+1001.4-7.95-3.874-AF228-AE228-AD228</f>
        <v>23.533999999999878</v>
      </c>
      <c r="AH228" s="53">
        <f>174-8-2.65-0.81</f>
        <v>162.54</v>
      </c>
      <c r="AI228" s="53">
        <f>174-10.6-2.65-1.52-AH228</f>
        <v>-3.3100000000000023</v>
      </c>
      <c r="AJ228" s="53">
        <f>174-10.6-2.65+24.5-2.171-AI228-AH228</f>
        <v>23.849000000000018</v>
      </c>
      <c r="AK228" s="53">
        <f>174-10.6-2.65+23-2.388-AJ228-AI228-AH228</f>
        <v>-1.717000000000013</v>
      </c>
      <c r="AL228" s="53">
        <v>0</v>
      </c>
      <c r="AM228" s="53">
        <v>0</v>
      </c>
      <c r="AN228" s="53">
        <v>0</v>
      </c>
      <c r="AO228" s="53">
        <v>0</v>
      </c>
      <c r="AP228" s="82">
        <f t="shared" ref="AP228:BA228" si="331">+(AP269-AO269)</f>
        <v>0</v>
      </c>
      <c r="AQ228" s="82">
        <f t="shared" si="331"/>
        <v>14.90383449777778</v>
      </c>
      <c r="AR228" s="82">
        <f t="shared" si="331"/>
        <v>31.700440138384465</v>
      </c>
      <c r="AS228" s="82">
        <f t="shared" si="331"/>
        <v>-46.604274636162245</v>
      </c>
      <c r="AT228" s="82">
        <f t="shared" si="331"/>
        <v>0</v>
      </c>
      <c r="AU228" s="82">
        <f t="shared" si="331"/>
        <v>0</v>
      </c>
      <c r="AV228" s="82">
        <f t="shared" si="331"/>
        <v>0</v>
      </c>
      <c r="AW228" s="82">
        <f t="shared" si="331"/>
        <v>0</v>
      </c>
      <c r="AX228" s="82">
        <f t="shared" si="331"/>
        <v>0</v>
      </c>
      <c r="AY228" s="82">
        <f t="shared" si="331"/>
        <v>0</v>
      </c>
      <c r="AZ228" s="82">
        <f t="shared" si="331"/>
        <v>0</v>
      </c>
      <c r="BA228" s="82">
        <f t="shared" si="331"/>
        <v>0</v>
      </c>
      <c r="BD228" s="186">
        <f t="shared" si="246"/>
        <v>220</v>
      </c>
    </row>
    <row r="229" spans="1:62" outlineLevel="1">
      <c r="B229" s="119" t="s">
        <v>162</v>
      </c>
      <c r="C229" s="48"/>
      <c r="D229" s="48"/>
      <c r="E229" s="48"/>
      <c r="F229" s="48"/>
      <c r="G229" s="35">
        <f t="shared" si="330"/>
        <v>0</v>
      </c>
      <c r="H229" s="35">
        <f t="shared" si="330"/>
        <v>0</v>
      </c>
      <c r="I229" s="103">
        <f t="shared" si="330"/>
        <v>0</v>
      </c>
      <c r="J229" s="103">
        <f t="shared" si="330"/>
        <v>0</v>
      </c>
      <c r="K229" s="103">
        <f t="shared" si="330"/>
        <v>0</v>
      </c>
      <c r="L229" s="35">
        <f t="shared" si="330"/>
        <v>0</v>
      </c>
      <c r="M229" s="35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50">
        <v>0</v>
      </c>
      <c r="AE229" s="53">
        <v>0</v>
      </c>
      <c r="AF229" s="53">
        <v>0</v>
      </c>
      <c r="AG229" s="53">
        <v>0</v>
      </c>
      <c r="AH229" s="53">
        <v>0</v>
      </c>
      <c r="AI229" s="53">
        <v>0</v>
      </c>
      <c r="AJ229" s="53">
        <v>0</v>
      </c>
      <c r="AK229" s="53">
        <v>0</v>
      </c>
      <c r="AL229" s="53">
        <v>0</v>
      </c>
      <c r="AM229" s="53">
        <f t="shared" ref="AM229:BA229" si="332">+AM39*AM313</f>
        <v>0</v>
      </c>
      <c r="AN229" s="53">
        <f t="shared" si="332"/>
        <v>0</v>
      </c>
      <c r="AO229" s="53">
        <f t="shared" si="332"/>
        <v>0</v>
      </c>
      <c r="AP229" s="82">
        <f t="shared" si="332"/>
        <v>0</v>
      </c>
      <c r="AQ229" s="82">
        <f t="shared" si="332"/>
        <v>0</v>
      </c>
      <c r="AR229" s="82">
        <f t="shared" si="332"/>
        <v>0</v>
      </c>
      <c r="AS229" s="82">
        <f t="shared" si="332"/>
        <v>0</v>
      </c>
      <c r="AT229" s="82">
        <f t="shared" si="332"/>
        <v>0</v>
      </c>
      <c r="AU229" s="82">
        <f t="shared" si="332"/>
        <v>0</v>
      </c>
      <c r="AV229" s="82">
        <f t="shared" si="332"/>
        <v>0</v>
      </c>
      <c r="AW229" s="82">
        <f t="shared" si="332"/>
        <v>0</v>
      </c>
      <c r="AX229" s="82">
        <f t="shared" si="332"/>
        <v>0</v>
      </c>
      <c r="AY229" s="82">
        <f t="shared" si="332"/>
        <v>0</v>
      </c>
      <c r="AZ229" s="82">
        <f t="shared" si="332"/>
        <v>0</v>
      </c>
      <c r="BA229" s="82">
        <f t="shared" si="332"/>
        <v>0</v>
      </c>
      <c r="BD229" s="186">
        <f t="shared" si="246"/>
        <v>221</v>
      </c>
    </row>
    <row r="230" spans="1:62" outlineLevel="1">
      <c r="B230" s="119" t="s">
        <v>163</v>
      </c>
      <c r="C230" s="48"/>
      <c r="D230" s="48"/>
      <c r="E230" s="48"/>
      <c r="F230" s="48"/>
      <c r="G230" s="35">
        <f t="shared" si="330"/>
        <v>-4.5350000000000001</v>
      </c>
      <c r="H230" s="35">
        <f t="shared" si="330"/>
        <v>0</v>
      </c>
      <c r="I230" s="103">
        <f t="shared" si="330"/>
        <v>215.92</v>
      </c>
      <c r="J230" s="103">
        <f t="shared" si="330"/>
        <v>0</v>
      </c>
      <c r="K230" s="103">
        <f t="shared" si="330"/>
        <v>0</v>
      </c>
      <c r="L230" s="35">
        <f t="shared" si="330"/>
        <v>0</v>
      </c>
      <c r="M230" s="35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50">
        <v>-3.58</v>
      </c>
      <c r="AE230" s="53">
        <f>0.136-2.503-2.237-AD230</f>
        <v>-1.024</v>
      </c>
      <c r="AF230" s="53">
        <f>0.295-2.62-2.401-AE230-AD230</f>
        <v>-0.12199999999999989</v>
      </c>
      <c r="AG230" s="53">
        <f>0.453-2.621-2.367-AF230-AE230-AD230</f>
        <v>0.19099999999999984</v>
      </c>
      <c r="AH230" s="53">
        <v>0</v>
      </c>
      <c r="AI230" s="53">
        <v>0</v>
      </c>
      <c r="AJ230" s="53">
        <v>0</v>
      </c>
      <c r="AK230" s="53">
        <v>0</v>
      </c>
      <c r="AL230" s="53">
        <v>0</v>
      </c>
      <c r="AM230" s="53">
        <f>215.92-AL230</f>
        <v>215.92</v>
      </c>
      <c r="AN230" s="53">
        <f>215.92-AM230-AL230</f>
        <v>0</v>
      </c>
      <c r="AO230" s="53">
        <f>215.92-AN230-AM230-AL230</f>
        <v>0</v>
      </c>
      <c r="AP230" s="50">
        <v>0</v>
      </c>
      <c r="AQ230" s="50">
        <v>0</v>
      </c>
      <c r="AR230" s="50">
        <v>0</v>
      </c>
      <c r="AS230" s="50">
        <v>0</v>
      </c>
      <c r="AT230" s="50">
        <v>0</v>
      </c>
      <c r="AU230" s="50">
        <v>0</v>
      </c>
      <c r="AV230" s="50">
        <v>0</v>
      </c>
      <c r="AW230" s="50">
        <v>0</v>
      </c>
      <c r="AX230" s="50">
        <v>0</v>
      </c>
      <c r="AY230" s="50">
        <v>0</v>
      </c>
      <c r="AZ230" s="50">
        <v>0</v>
      </c>
      <c r="BA230" s="50">
        <v>0</v>
      </c>
      <c r="BD230" s="186">
        <f t="shared" si="246"/>
        <v>222</v>
      </c>
    </row>
    <row r="231" spans="1:62" outlineLevel="1">
      <c r="B231" s="119" t="s">
        <v>164</v>
      </c>
      <c r="C231" s="48"/>
      <c r="D231" s="48"/>
      <c r="E231" s="48"/>
      <c r="F231" s="48"/>
      <c r="G231" s="35">
        <f t="shared" si="330"/>
        <v>0</v>
      </c>
      <c r="H231" s="35">
        <f t="shared" si="330"/>
        <v>0</v>
      </c>
      <c r="I231" s="103">
        <f t="shared" si="330"/>
        <v>0</v>
      </c>
      <c r="J231" s="103">
        <f t="shared" si="330"/>
        <v>0</v>
      </c>
      <c r="K231" s="103">
        <f t="shared" si="330"/>
        <v>0</v>
      </c>
      <c r="L231" s="35">
        <f t="shared" si="330"/>
        <v>0</v>
      </c>
      <c r="M231" s="35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50">
        <v>0</v>
      </c>
      <c r="AE231" s="53">
        <v>0</v>
      </c>
      <c r="AF231" s="53">
        <v>0</v>
      </c>
      <c r="AG231" s="53">
        <v>0</v>
      </c>
      <c r="AH231" s="53">
        <v>0</v>
      </c>
      <c r="AI231" s="53">
        <v>0</v>
      </c>
      <c r="AJ231" s="53">
        <v>0</v>
      </c>
      <c r="AK231" s="53">
        <v>0</v>
      </c>
      <c r="AL231" s="53">
        <v>0</v>
      </c>
      <c r="AM231" s="53">
        <v>0</v>
      </c>
      <c r="AN231" s="53">
        <v>0</v>
      </c>
      <c r="AO231" s="53">
        <v>0</v>
      </c>
      <c r="AP231" s="50">
        <v>0</v>
      </c>
      <c r="AQ231" s="50">
        <v>0</v>
      </c>
      <c r="AR231" s="50">
        <v>0</v>
      </c>
      <c r="AS231" s="50">
        <v>0</v>
      </c>
      <c r="AT231" s="50">
        <v>0</v>
      </c>
      <c r="AU231" s="50">
        <v>0</v>
      </c>
      <c r="AV231" s="50">
        <v>0</v>
      </c>
      <c r="AW231" s="50">
        <v>0</v>
      </c>
      <c r="AX231" s="50">
        <v>0</v>
      </c>
      <c r="AY231" s="50">
        <v>0</v>
      </c>
      <c r="AZ231" s="50">
        <v>0</v>
      </c>
      <c r="BA231" s="50">
        <v>0</v>
      </c>
      <c r="BD231" s="186">
        <f t="shared" si="246"/>
        <v>223</v>
      </c>
    </row>
    <row r="232" spans="1:62" outlineLevel="1">
      <c r="B232" s="119" t="s">
        <v>165</v>
      </c>
      <c r="C232" s="48"/>
      <c r="D232" s="48"/>
      <c r="E232" s="48"/>
      <c r="F232" s="48"/>
      <c r="G232" s="35">
        <f t="shared" si="330"/>
        <v>-53.00699999999987</v>
      </c>
      <c r="H232" s="35">
        <f t="shared" si="330"/>
        <v>104.18300000000001</v>
      </c>
      <c r="I232" s="103">
        <f t="shared" si="330"/>
        <v>-0.20100000000000051</v>
      </c>
      <c r="J232" s="103">
        <f t="shared" si="330"/>
        <v>0</v>
      </c>
      <c r="K232" s="103">
        <f t="shared" si="330"/>
        <v>0</v>
      </c>
      <c r="L232" s="35">
        <f t="shared" si="330"/>
        <v>0</v>
      </c>
      <c r="M232" s="35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50">
        <v>-49.575000000000003</v>
      </c>
      <c r="AE232" s="53">
        <f>-48.074-1.886-0.09-AD232</f>
        <v>-0.47500000000000142</v>
      </c>
      <c r="AF232" s="53">
        <f>(-55.4-1.69+2.534-AE232-AD232)--2.8421709430404E-14</f>
        <v>-4.5059999999999647</v>
      </c>
      <c r="AG232" s="53">
        <f>(-55.4-1.465+3.908-AF232-AE232-AD232)-0.0499999999998693</f>
        <v>1.549000000000099</v>
      </c>
      <c r="AH232" s="53">
        <f>-0.315-5.592-2.769</f>
        <v>-8.6760000000000002</v>
      </c>
      <c r="AI232" s="53">
        <f>-0.434-5.592-AH232</f>
        <v>2.6500000000000004</v>
      </c>
      <c r="AJ232" s="53">
        <f>-1.009-0.409-5.592-AI232-AH232</f>
        <v>-0.98399999999999999</v>
      </c>
      <c r="AK232" s="53">
        <f>(-1.009-0.497-5.592-AJ232-AI232-AH232)--111.281</f>
        <v>111.19300000000001</v>
      </c>
      <c r="AL232" s="53">
        <f>(-0.206-3.773)+5.378</f>
        <v>1.399</v>
      </c>
      <c r="AM232" s="53">
        <f>(-3.87-1.436-AL232)+5.351</f>
        <v>-1.3540000000000001</v>
      </c>
      <c r="AN232" s="53">
        <f>-1.739-3.842-AM232-AL232+1.34</f>
        <v>-4.2860000000000005</v>
      </c>
      <c r="AO232" s="53">
        <f>(-1.739-3.842-AN232-AM232-AL232)+5.38</f>
        <v>4.04</v>
      </c>
      <c r="AP232" s="50">
        <v>0</v>
      </c>
      <c r="AQ232" s="50">
        <v>0</v>
      </c>
      <c r="AR232" s="50">
        <v>0</v>
      </c>
      <c r="AS232" s="50">
        <v>0</v>
      </c>
      <c r="AT232" s="50">
        <v>0</v>
      </c>
      <c r="AU232" s="50">
        <v>0</v>
      </c>
      <c r="AV232" s="50">
        <v>0</v>
      </c>
      <c r="AW232" s="50">
        <v>0</v>
      </c>
      <c r="AX232" s="50">
        <v>0</v>
      </c>
      <c r="AY232" s="50">
        <v>0</v>
      </c>
      <c r="AZ232" s="50">
        <v>0</v>
      </c>
      <c r="BA232" s="50">
        <v>0</v>
      </c>
      <c r="BD232" s="186">
        <f t="shared" si="246"/>
        <v>224</v>
      </c>
    </row>
    <row r="233" spans="1:62" outlineLevel="1">
      <c r="B233" s="119" t="s">
        <v>166</v>
      </c>
      <c r="C233" s="48"/>
      <c r="D233" s="48"/>
      <c r="E233" s="48"/>
      <c r="F233" s="48"/>
      <c r="G233" s="35">
        <f t="shared" si="330"/>
        <v>0</v>
      </c>
      <c r="H233" s="35">
        <f t="shared" si="330"/>
        <v>-1.282</v>
      </c>
      <c r="I233" s="103">
        <f t="shared" si="330"/>
        <v>-2.1019999999999999</v>
      </c>
      <c r="J233" s="103">
        <f t="shared" si="330"/>
        <v>0</v>
      </c>
      <c r="K233" s="103">
        <f t="shared" si="330"/>
        <v>0</v>
      </c>
      <c r="L233" s="35">
        <f t="shared" si="330"/>
        <v>0</v>
      </c>
      <c r="M233" s="35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50">
        <v>0</v>
      </c>
      <c r="AE233" s="53">
        <v>0</v>
      </c>
      <c r="AF233" s="53">
        <v>0</v>
      </c>
      <c r="AG233" s="53">
        <v>0</v>
      </c>
      <c r="AH233" s="53">
        <v>0</v>
      </c>
      <c r="AI233" s="53">
        <v>-2.8029999999999999</v>
      </c>
      <c r="AJ233" s="53">
        <f>-2.156-AI233-AH233</f>
        <v>0.6469999999999998</v>
      </c>
      <c r="AK233" s="53">
        <f>-1.282-AJ233-AI233-AH233</f>
        <v>0.87400000000000011</v>
      </c>
      <c r="AL233" s="53">
        <v>-0.85799999999999998</v>
      </c>
      <c r="AM233" s="53">
        <f>-0.855-AL233</f>
        <v>3.0000000000000027E-3</v>
      </c>
      <c r="AN233" s="53">
        <f>-2.919-AM233-AL233</f>
        <v>-2.0640000000000001</v>
      </c>
      <c r="AO233" s="53">
        <f>-2.102-AN233-AM233-AL233</f>
        <v>0.81700000000000017</v>
      </c>
      <c r="AP233" s="50">
        <v>0</v>
      </c>
      <c r="AQ233" s="50">
        <v>0</v>
      </c>
      <c r="AR233" s="50">
        <v>0</v>
      </c>
      <c r="AS233" s="50">
        <v>0</v>
      </c>
      <c r="AT233" s="50">
        <v>0</v>
      </c>
      <c r="AU233" s="50">
        <v>0</v>
      </c>
      <c r="AV233" s="50">
        <v>0</v>
      </c>
      <c r="AW233" s="50">
        <v>0</v>
      </c>
      <c r="AX233" s="50">
        <v>0</v>
      </c>
      <c r="AY233" s="50">
        <v>0</v>
      </c>
      <c r="AZ233" s="50">
        <v>0</v>
      </c>
      <c r="BA233" s="50">
        <v>0</v>
      </c>
      <c r="BD233" s="186">
        <f t="shared" si="246"/>
        <v>225</v>
      </c>
    </row>
    <row r="234" spans="1:62" s="34" customFormat="1" outlineLevel="1">
      <c r="A234" s="77"/>
      <c r="B234" s="121" t="s">
        <v>167</v>
      </c>
      <c r="C234" s="51"/>
      <c r="D234" s="51"/>
      <c r="E234" s="51"/>
      <c r="F234" s="51"/>
      <c r="G234" s="84">
        <f t="shared" ref="G234" si="333">SUM(G222:G233)</f>
        <v>15.883000000000202</v>
      </c>
      <c r="H234" s="84">
        <f t="shared" ref="H234" si="334">SUM(H222:H233)</f>
        <v>149.96400000000003</v>
      </c>
      <c r="I234" s="228">
        <f t="shared" ref="I234" si="335">SUM(I222:I233)</f>
        <v>-61.975000000000051</v>
      </c>
      <c r="J234" s="84">
        <f t="shared" ref="J234" si="336">SUM(J222:J233)</f>
        <v>-88.478902474246809</v>
      </c>
      <c r="K234" s="84">
        <f t="shared" ref="K234" si="337">SUM(K222:K233)</f>
        <v>280.14120799962541</v>
      </c>
      <c r="L234" s="84">
        <f t="shared" ref="L234" si="338">SUM(L222:L233)</f>
        <v>344.08547380705488</v>
      </c>
      <c r="M234" s="37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84">
        <f t="shared" ref="AD234" si="339">SUM(AD222:AD233)</f>
        <v>29.824999999999903</v>
      </c>
      <c r="AE234" s="123">
        <f t="shared" ref="AE234:AH234" si="340">SUM(AE225:AE233,AE222)</f>
        <v>-27.577999999999932</v>
      </c>
      <c r="AF234" s="123">
        <f t="shared" si="340"/>
        <v>10.866</v>
      </c>
      <c r="AG234" s="123">
        <f t="shared" si="340"/>
        <v>2.7699999999999996</v>
      </c>
      <c r="AH234" s="123">
        <f t="shared" si="340"/>
        <v>117.63499999999999</v>
      </c>
      <c r="AI234" s="123">
        <f>SUM(AI225:AI233,AI222)</f>
        <v>-52.765000000000001</v>
      </c>
      <c r="AJ234" s="123">
        <f t="shared" ref="AJ234:BA234" si="341">SUM(AJ225:AJ233,AJ222)</f>
        <v>10.641000000000009</v>
      </c>
      <c r="AK234" s="123">
        <f t="shared" si="341"/>
        <v>74.452999999999989</v>
      </c>
      <c r="AL234" s="123">
        <f t="shared" si="341"/>
        <v>-60.745999999999995</v>
      </c>
      <c r="AM234" s="123">
        <f t="shared" si="341"/>
        <v>137.63699999999997</v>
      </c>
      <c r="AN234" s="123">
        <f t="shared" si="341"/>
        <v>-39.630000000000003</v>
      </c>
      <c r="AO234" s="123">
        <f t="shared" si="341"/>
        <v>-99.236000000000018</v>
      </c>
      <c r="AP234" s="123">
        <f t="shared" si="341"/>
        <v>-82.718024344615387</v>
      </c>
      <c r="AQ234" s="123">
        <f t="shared" si="341"/>
        <v>-21.168975655384827</v>
      </c>
      <c r="AR234" s="123">
        <f t="shared" si="341"/>
        <v>1.2789769243681803E-13</v>
      </c>
      <c r="AS234" s="123">
        <f t="shared" si="341"/>
        <v>15.408097525753277</v>
      </c>
      <c r="AT234" s="123">
        <f t="shared" si="341"/>
        <v>29.800159739449555</v>
      </c>
      <c r="AU234" s="123">
        <f t="shared" si="341"/>
        <v>52.958305088958326</v>
      </c>
      <c r="AV234" s="123">
        <f t="shared" si="341"/>
        <v>94.789755523763432</v>
      </c>
      <c r="AW234" s="123">
        <f t="shared" si="341"/>
        <v>102.59298764745404</v>
      </c>
      <c r="AX234" s="123">
        <f t="shared" si="341"/>
        <v>81.40494152348262</v>
      </c>
      <c r="AY234" s="123">
        <f t="shared" si="341"/>
        <v>86.532344229086334</v>
      </c>
      <c r="AZ234" s="123">
        <f t="shared" si="341"/>
        <v>90.822799004663636</v>
      </c>
      <c r="BA234" s="123">
        <f t="shared" si="341"/>
        <v>85.325389049822178</v>
      </c>
      <c r="BD234" s="186">
        <f t="shared" ref="BD234:BD297" si="342">+BD233+1</f>
        <v>226</v>
      </c>
      <c r="BE234"/>
      <c r="BF234"/>
      <c r="BG234"/>
      <c r="BH234"/>
      <c r="BI234"/>
      <c r="BJ234"/>
    </row>
    <row r="235" spans="1:62" s="34" customFormat="1" outlineLevel="1">
      <c r="A235" s="77"/>
      <c r="B235" s="121"/>
      <c r="C235" s="158"/>
      <c r="D235" s="158"/>
      <c r="E235" s="158"/>
      <c r="F235" s="158"/>
      <c r="G235" s="146"/>
      <c r="H235" s="147">
        <f>ROUND(H234-(H239-G239),2)</f>
        <v>0</v>
      </c>
      <c r="I235" s="147">
        <f>ROUND(I234-(I239-H239),2)</f>
        <v>0</v>
      </c>
      <c r="J235" s="147">
        <f>ROUND(J234-(J239-I239),2)</f>
        <v>0</v>
      </c>
      <c r="K235" s="147">
        <f>ROUND(K234-(K239-J239),2)</f>
        <v>0</v>
      </c>
      <c r="L235" s="147">
        <f>ROUND(L234-(L239-K239),2)</f>
        <v>0</v>
      </c>
      <c r="M235" s="37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47">
        <f t="shared" ref="AE235:BA235" si="343">ROUND(AE234-(AE239-AD239),2)</f>
        <v>0</v>
      </c>
      <c r="AF235" s="147">
        <f t="shared" si="343"/>
        <v>0</v>
      </c>
      <c r="AG235" s="147">
        <f t="shared" si="343"/>
        <v>0</v>
      </c>
      <c r="AH235" s="147">
        <f t="shared" si="343"/>
        <v>0</v>
      </c>
      <c r="AI235" s="147">
        <f t="shared" si="343"/>
        <v>0</v>
      </c>
      <c r="AJ235" s="147">
        <f t="shared" si="343"/>
        <v>0</v>
      </c>
      <c r="AK235" s="147">
        <f t="shared" si="343"/>
        <v>0</v>
      </c>
      <c r="AL235" s="191">
        <f>ROUND(AL234-(AL239-AK239),3)</f>
        <v>0</v>
      </c>
      <c r="AM235" s="191">
        <f>ROUND(AM234-(AM239-AL239),3)</f>
        <v>0</v>
      </c>
      <c r="AN235" s="191">
        <f t="shared" si="343"/>
        <v>0</v>
      </c>
      <c r="AO235" s="191">
        <f t="shared" si="343"/>
        <v>0</v>
      </c>
      <c r="AP235" s="147">
        <f t="shared" si="343"/>
        <v>0</v>
      </c>
      <c r="AQ235" s="147">
        <f t="shared" si="343"/>
        <v>0</v>
      </c>
      <c r="AR235" s="147">
        <f t="shared" si="343"/>
        <v>0</v>
      </c>
      <c r="AS235" s="147">
        <f t="shared" si="343"/>
        <v>0</v>
      </c>
      <c r="AT235" s="147">
        <f t="shared" si="343"/>
        <v>0</v>
      </c>
      <c r="AU235" s="147">
        <f t="shared" si="343"/>
        <v>0</v>
      </c>
      <c r="AV235" s="147">
        <f t="shared" si="343"/>
        <v>0</v>
      </c>
      <c r="AW235" s="147">
        <f t="shared" si="343"/>
        <v>0</v>
      </c>
      <c r="AX235" s="147">
        <f t="shared" si="343"/>
        <v>0</v>
      </c>
      <c r="AY235" s="147">
        <f t="shared" si="343"/>
        <v>0</v>
      </c>
      <c r="AZ235" s="147">
        <f t="shared" si="343"/>
        <v>0</v>
      </c>
      <c r="BA235" s="147">
        <f t="shared" si="343"/>
        <v>0</v>
      </c>
      <c r="BD235" s="186">
        <f t="shared" si="342"/>
        <v>227</v>
      </c>
      <c r="BE235"/>
      <c r="BF235"/>
      <c r="BG235"/>
      <c r="BH235"/>
      <c r="BI235"/>
      <c r="BJ235"/>
    </row>
    <row r="236" spans="1:62">
      <c r="A236" s="38" t="s">
        <v>71</v>
      </c>
      <c r="B236" s="23" t="s">
        <v>169</v>
      </c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188"/>
      <c r="AM236" s="188"/>
      <c r="AN236" s="188"/>
      <c r="AO236" s="188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D236" s="186">
        <f t="shared" si="342"/>
        <v>228</v>
      </c>
    </row>
    <row r="237" spans="1:62" outlineLevel="1">
      <c r="B237" s="24" t="s">
        <v>44</v>
      </c>
      <c r="C237" s="33">
        <f t="shared" ref="C237:L237" si="344">C$7</f>
        <v>2011</v>
      </c>
      <c r="D237" s="33">
        <f t="shared" si="344"/>
        <v>2012</v>
      </c>
      <c r="E237" s="33">
        <f t="shared" si="344"/>
        <v>2013</v>
      </c>
      <c r="F237" s="33">
        <f t="shared" si="344"/>
        <v>2014</v>
      </c>
      <c r="G237" s="33">
        <f t="shared" si="344"/>
        <v>2015</v>
      </c>
      <c r="H237" s="33">
        <f t="shared" si="344"/>
        <v>2016</v>
      </c>
      <c r="I237" s="33">
        <f t="shared" si="344"/>
        <v>2017</v>
      </c>
      <c r="J237" s="33" t="str">
        <f t="shared" si="344"/>
        <v>2018E</v>
      </c>
      <c r="K237" s="33" t="str">
        <f t="shared" si="344"/>
        <v>2019E</v>
      </c>
      <c r="L237" s="33" t="str">
        <f t="shared" si="344"/>
        <v>2020E</v>
      </c>
      <c r="N237" s="33" t="str">
        <f t="shared" ref="N237:BA237" si="345">N$7</f>
        <v>1Q11</v>
      </c>
      <c r="O237" s="33" t="str">
        <f t="shared" si="345"/>
        <v>2Q11</v>
      </c>
      <c r="P237" s="33" t="str">
        <f t="shared" si="345"/>
        <v>3Q11</v>
      </c>
      <c r="Q237" s="33" t="str">
        <f t="shared" si="345"/>
        <v>4Q11</v>
      </c>
      <c r="R237" s="33" t="str">
        <f t="shared" si="345"/>
        <v>1Q12</v>
      </c>
      <c r="S237" s="33" t="str">
        <f t="shared" si="345"/>
        <v>2Q12</v>
      </c>
      <c r="T237" s="33" t="str">
        <f t="shared" si="345"/>
        <v>3Q12</v>
      </c>
      <c r="U237" s="33" t="str">
        <f t="shared" si="345"/>
        <v>4Q12</v>
      </c>
      <c r="V237" s="33" t="str">
        <f t="shared" si="345"/>
        <v>1Q13</v>
      </c>
      <c r="W237" s="33" t="str">
        <f t="shared" si="345"/>
        <v>2Q13</v>
      </c>
      <c r="X237" s="33" t="str">
        <f t="shared" si="345"/>
        <v>3Q13</v>
      </c>
      <c r="Y237" s="33" t="str">
        <f t="shared" si="345"/>
        <v>4Q13</v>
      </c>
      <c r="Z237" s="33" t="str">
        <f t="shared" si="345"/>
        <v>1Q14</v>
      </c>
      <c r="AA237" s="33" t="str">
        <f t="shared" si="345"/>
        <v>2Q14</v>
      </c>
      <c r="AB237" s="33" t="str">
        <f t="shared" si="345"/>
        <v>3Q14</v>
      </c>
      <c r="AC237" s="33" t="str">
        <f t="shared" si="345"/>
        <v>4Q14</v>
      </c>
      <c r="AD237" s="33" t="str">
        <f t="shared" si="345"/>
        <v>1Q15</v>
      </c>
      <c r="AE237" s="33" t="str">
        <f t="shared" si="345"/>
        <v>2Q15</v>
      </c>
      <c r="AF237" s="33" t="str">
        <f t="shared" si="345"/>
        <v>3Q15</v>
      </c>
      <c r="AG237" s="33" t="str">
        <f t="shared" si="345"/>
        <v>4Q15</v>
      </c>
      <c r="AH237" s="33" t="str">
        <f t="shared" si="345"/>
        <v>1Q16</v>
      </c>
      <c r="AI237" s="33" t="str">
        <f t="shared" si="345"/>
        <v>2Q16</v>
      </c>
      <c r="AJ237" s="33" t="str">
        <f t="shared" si="345"/>
        <v>3Q16</v>
      </c>
      <c r="AK237" s="33" t="str">
        <f t="shared" si="345"/>
        <v>4Q16</v>
      </c>
      <c r="AL237" s="33" t="str">
        <f t="shared" si="345"/>
        <v>1Q17</v>
      </c>
      <c r="AM237" s="33" t="str">
        <f t="shared" si="345"/>
        <v>2Q17</v>
      </c>
      <c r="AN237" s="33" t="str">
        <f t="shared" si="345"/>
        <v>3Q17</v>
      </c>
      <c r="AO237" s="33" t="str">
        <f t="shared" si="345"/>
        <v>4Q17</v>
      </c>
      <c r="AP237" s="33" t="str">
        <f t="shared" si="345"/>
        <v>1Q18E</v>
      </c>
      <c r="AQ237" s="33" t="str">
        <f t="shared" si="345"/>
        <v>2Q18E</v>
      </c>
      <c r="AR237" s="33" t="str">
        <f t="shared" si="345"/>
        <v>3Q18E</v>
      </c>
      <c r="AS237" s="33" t="str">
        <f t="shared" si="345"/>
        <v>4Q18E</v>
      </c>
      <c r="AT237" s="33" t="str">
        <f t="shared" si="345"/>
        <v>1Q19E</v>
      </c>
      <c r="AU237" s="33" t="str">
        <f t="shared" si="345"/>
        <v>2Q19E</v>
      </c>
      <c r="AV237" s="33" t="str">
        <f t="shared" si="345"/>
        <v>3Q19E</v>
      </c>
      <c r="AW237" s="33" t="str">
        <f t="shared" si="345"/>
        <v>4Q19E</v>
      </c>
      <c r="AX237" s="33" t="str">
        <f t="shared" si="345"/>
        <v>1Q20E</v>
      </c>
      <c r="AY237" s="33" t="str">
        <f t="shared" si="345"/>
        <v>2Q20E</v>
      </c>
      <c r="AZ237" s="33" t="str">
        <f t="shared" si="345"/>
        <v>3Q20E</v>
      </c>
      <c r="BA237" s="33" t="str">
        <f t="shared" si="345"/>
        <v>4Q20E</v>
      </c>
      <c r="BD237" s="186">
        <f t="shared" si="342"/>
        <v>229</v>
      </c>
    </row>
    <row r="238" spans="1:62" outlineLevel="1">
      <c r="B238" s="125" t="s">
        <v>170</v>
      </c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188"/>
      <c r="AM238" s="188"/>
      <c r="AN238" s="188"/>
      <c r="AO238" s="188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D238" s="186">
        <f t="shared" si="342"/>
        <v>230</v>
      </c>
    </row>
    <row r="239" spans="1:62" outlineLevel="1">
      <c r="B239" s="126" t="s">
        <v>171</v>
      </c>
      <c r="C239" s="56"/>
      <c r="D239" s="56"/>
      <c r="E239" s="56"/>
      <c r="F239" s="56"/>
      <c r="G239" s="54">
        <f t="shared" ref="G239:L243" si="346">INDEX($N239:$BB239,1,MATCH(G$4,$N$4:$BB$4,0))</f>
        <v>25.9</v>
      </c>
      <c r="H239" s="54">
        <f t="shared" si="346"/>
        <v>175.864</v>
      </c>
      <c r="I239" s="54">
        <f t="shared" si="346"/>
        <v>113.887</v>
      </c>
      <c r="J239" s="54">
        <f t="shared" si="346"/>
        <v>25.408097525753192</v>
      </c>
      <c r="K239" s="54">
        <f t="shared" si="346"/>
        <v>305.54930552537854</v>
      </c>
      <c r="L239" s="54">
        <f t="shared" si="346"/>
        <v>649.63477933243325</v>
      </c>
      <c r="M239" s="35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3">
        <v>39.841999999999956</v>
      </c>
      <c r="AE239" s="53">
        <v>12.263999999999999</v>
      </c>
      <c r="AF239" s="53">
        <v>23.13</v>
      </c>
      <c r="AG239" s="53">
        <v>25.9</v>
      </c>
      <c r="AH239" s="53">
        <v>143.535</v>
      </c>
      <c r="AI239" s="53">
        <v>90.77</v>
      </c>
      <c r="AJ239" s="53">
        <v>101.411</v>
      </c>
      <c r="AK239" s="53">
        <v>175.864</v>
      </c>
      <c r="AL239" s="53">
        <v>115.11799999999999</v>
      </c>
      <c r="AM239" s="53">
        <v>252.755</v>
      </c>
      <c r="AN239" s="53">
        <v>213.124</v>
      </c>
      <c r="AO239" s="53">
        <v>113.887</v>
      </c>
      <c r="AP239" s="54">
        <f t="shared" ref="AP239:BA239" si="347">+AO239+AP234</f>
        <v>31.168975655384614</v>
      </c>
      <c r="AQ239" s="54">
        <f t="shared" si="347"/>
        <v>9.9999999999997868</v>
      </c>
      <c r="AR239" s="54">
        <f t="shared" si="347"/>
        <v>9.9999999999999147</v>
      </c>
      <c r="AS239" s="54">
        <f t="shared" si="347"/>
        <v>25.408097525753192</v>
      </c>
      <c r="AT239" s="54">
        <f t="shared" si="347"/>
        <v>55.208257265202747</v>
      </c>
      <c r="AU239" s="54">
        <f t="shared" si="347"/>
        <v>108.16656235416107</v>
      </c>
      <c r="AV239" s="54">
        <f t="shared" si="347"/>
        <v>202.9563178779245</v>
      </c>
      <c r="AW239" s="54">
        <f t="shared" si="347"/>
        <v>305.54930552537854</v>
      </c>
      <c r="AX239" s="54">
        <f t="shared" si="347"/>
        <v>386.95424704886113</v>
      </c>
      <c r="AY239" s="54">
        <f t="shared" si="347"/>
        <v>473.48659127794747</v>
      </c>
      <c r="AZ239" s="54">
        <f t="shared" si="347"/>
        <v>564.30939028261105</v>
      </c>
      <c r="BA239" s="54">
        <f t="shared" si="347"/>
        <v>649.63477933243325</v>
      </c>
      <c r="BD239" s="186">
        <f t="shared" si="342"/>
        <v>231</v>
      </c>
    </row>
    <row r="240" spans="1:62" outlineLevel="1">
      <c r="B240" s="126" t="s">
        <v>172</v>
      </c>
      <c r="C240" s="56"/>
      <c r="D240" s="56"/>
      <c r="E240" s="56"/>
      <c r="F240" s="56"/>
      <c r="G240" s="54">
        <f t="shared" si="346"/>
        <v>274.69099999999997</v>
      </c>
      <c r="H240" s="54">
        <f t="shared" si="346"/>
        <v>137.22200000000001</v>
      </c>
      <c r="I240" s="54">
        <f t="shared" si="346"/>
        <v>367.90600000000001</v>
      </c>
      <c r="J240" s="54">
        <f t="shared" si="346"/>
        <v>469.63165512531231</v>
      </c>
      <c r="K240" s="54">
        <f t="shared" si="346"/>
        <v>540.90048086445699</v>
      </c>
      <c r="L240" s="54">
        <f t="shared" si="346"/>
        <v>541.96905652097769</v>
      </c>
      <c r="M240" s="35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3">
        <v>461.25200000000001</v>
      </c>
      <c r="AE240" s="53">
        <v>339.12799999999999</v>
      </c>
      <c r="AF240" s="53">
        <v>290.49700000000001</v>
      </c>
      <c r="AG240" s="53">
        <v>274.69099999999997</v>
      </c>
      <c r="AH240" s="53">
        <v>182.24299999999999</v>
      </c>
      <c r="AI240" s="53">
        <v>127.129</v>
      </c>
      <c r="AJ240" s="53">
        <v>151.98599999999999</v>
      </c>
      <c r="AK240" s="53">
        <v>137.22200000000001</v>
      </c>
      <c r="AL240" s="53">
        <v>231.179</v>
      </c>
      <c r="AM240" s="53">
        <v>294.87700000000001</v>
      </c>
      <c r="AN240" s="53">
        <v>342.02300000000002</v>
      </c>
      <c r="AO240" s="53">
        <v>367.90600000000001</v>
      </c>
      <c r="AP240" s="54">
        <f t="shared" ref="AP240:BA240" si="348">+AP288*AP14/AP6</f>
        <v>407.09050930966981</v>
      </c>
      <c r="AQ240" s="54">
        <f t="shared" si="348"/>
        <v>419.65860854192834</v>
      </c>
      <c r="AR240" s="54">
        <f t="shared" si="348"/>
        <v>456.08402171312389</v>
      </c>
      <c r="AS240" s="54">
        <f t="shared" si="348"/>
        <v>469.63165512531231</v>
      </c>
      <c r="AT240" s="54">
        <f t="shared" si="348"/>
        <v>507.80061237099039</v>
      </c>
      <c r="AU240" s="54">
        <f t="shared" si="348"/>
        <v>524.07679444936832</v>
      </c>
      <c r="AV240" s="54">
        <f t="shared" si="348"/>
        <v>537.16649684135905</v>
      </c>
      <c r="AW240" s="54">
        <f t="shared" si="348"/>
        <v>540.90048086445699</v>
      </c>
      <c r="AX240" s="54">
        <f t="shared" si="348"/>
        <v>547.9247604387906</v>
      </c>
      <c r="AY240" s="54">
        <f t="shared" si="348"/>
        <v>547.9247604387906</v>
      </c>
      <c r="AZ240" s="54">
        <f t="shared" si="348"/>
        <v>541.96905652097769</v>
      </c>
      <c r="BA240" s="54">
        <f t="shared" si="348"/>
        <v>541.96905652097769</v>
      </c>
      <c r="BD240" s="186">
        <f t="shared" si="342"/>
        <v>232</v>
      </c>
    </row>
    <row r="241" spans="2:56" outlineLevel="1">
      <c r="B241" s="126" t="s">
        <v>151</v>
      </c>
      <c r="C241" s="56"/>
      <c r="D241" s="56"/>
      <c r="E241" s="56"/>
      <c r="F241" s="56"/>
      <c r="G241" s="54">
        <f t="shared" si="346"/>
        <v>102.25700000000001</v>
      </c>
      <c r="H241" s="54">
        <f t="shared" si="346"/>
        <v>54.470999999999997</v>
      </c>
      <c r="I241" s="54">
        <f t="shared" si="346"/>
        <v>77.793000000000006</v>
      </c>
      <c r="J241" s="54">
        <f t="shared" si="346"/>
        <v>95.43498357637641</v>
      </c>
      <c r="K241" s="54">
        <f t="shared" si="346"/>
        <v>110.06884166911071</v>
      </c>
      <c r="L241" s="54">
        <f t="shared" si="346"/>
        <v>109.69225529159489</v>
      </c>
      <c r="M241" s="35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3">
        <v>173.72399999999999</v>
      </c>
      <c r="AE241" s="53">
        <v>154.70699999999999</v>
      </c>
      <c r="AF241" s="53">
        <v>137.51599999999999</v>
      </c>
      <c r="AG241" s="53">
        <v>102.25700000000001</v>
      </c>
      <c r="AH241" s="53">
        <v>100.289</v>
      </c>
      <c r="AI241" s="53">
        <v>77.869</v>
      </c>
      <c r="AJ241" s="53">
        <v>73.081999999999994</v>
      </c>
      <c r="AK241" s="53">
        <v>54.470999999999997</v>
      </c>
      <c r="AL241" s="53">
        <v>55.485999999999997</v>
      </c>
      <c r="AM241" s="53">
        <v>57.195</v>
      </c>
      <c r="AN241" s="53">
        <v>70.727000000000004</v>
      </c>
      <c r="AO241" s="53">
        <v>77.793000000000006</v>
      </c>
      <c r="AP241" s="54">
        <f t="shared" ref="AP241:BA241" si="349">+AP290*AP173/AP6</f>
        <v>84.241540238124642</v>
      </c>
      <c r="AQ241" s="54">
        <f t="shared" si="349"/>
        <v>87.584743820805343</v>
      </c>
      <c r="AR241" s="54">
        <f t="shared" si="349"/>
        <v>93.12021914661733</v>
      </c>
      <c r="AS241" s="54">
        <f t="shared" si="349"/>
        <v>95.43498357637641</v>
      </c>
      <c r="AT241" s="54">
        <f t="shared" si="349"/>
        <v>103.2699731887937</v>
      </c>
      <c r="AU241" s="54">
        <f t="shared" si="349"/>
        <v>106.67737708519698</v>
      </c>
      <c r="AV241" s="54">
        <f t="shared" si="349"/>
        <v>109.39811525258398</v>
      </c>
      <c r="AW241" s="54">
        <f t="shared" si="349"/>
        <v>110.06884166911071</v>
      </c>
      <c r="AX241" s="54">
        <f t="shared" si="349"/>
        <v>111.39002290010583</v>
      </c>
      <c r="AY241" s="54">
        <f t="shared" si="349"/>
        <v>111.22914255449669</v>
      </c>
      <c r="AZ241" s="54">
        <f t="shared" si="349"/>
        <v>109.8578158563017</v>
      </c>
      <c r="BA241" s="54">
        <f t="shared" si="349"/>
        <v>109.69225529159489</v>
      </c>
      <c r="BD241" s="186">
        <f t="shared" si="342"/>
        <v>233</v>
      </c>
    </row>
    <row r="242" spans="2:56" outlineLevel="1">
      <c r="B242" s="126" t="s">
        <v>173</v>
      </c>
      <c r="C242" s="56"/>
      <c r="D242" s="56"/>
      <c r="E242" s="56"/>
      <c r="F242" s="56"/>
      <c r="G242" s="54">
        <f t="shared" si="346"/>
        <v>72.56</v>
      </c>
      <c r="H242" s="54">
        <f t="shared" si="346"/>
        <v>37.392000000000003</v>
      </c>
      <c r="I242" s="54">
        <f t="shared" si="346"/>
        <v>33.011000000000003</v>
      </c>
      <c r="J242" s="54">
        <f t="shared" si="346"/>
        <v>33.011000000000003</v>
      </c>
      <c r="K242" s="54">
        <f t="shared" si="346"/>
        <v>33.011000000000003</v>
      </c>
      <c r="L242" s="54">
        <f t="shared" si="346"/>
        <v>33.011000000000003</v>
      </c>
      <c r="M242" s="35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3">
        <v>46.564</v>
      </c>
      <c r="AE242" s="53">
        <v>58.485999999999997</v>
      </c>
      <c r="AF242" s="53">
        <v>45.359000000000002</v>
      </c>
      <c r="AG242" s="53">
        <v>72.56</v>
      </c>
      <c r="AH242" s="53">
        <v>61.966000000000001</v>
      </c>
      <c r="AI242" s="53">
        <v>50.508000000000003</v>
      </c>
      <c r="AJ242" s="53">
        <v>51.313000000000002</v>
      </c>
      <c r="AK242" s="53">
        <v>37.392000000000003</v>
      </c>
      <c r="AL242" s="53">
        <v>35.079000000000001</v>
      </c>
      <c r="AM242" s="53">
        <v>44.591000000000001</v>
      </c>
      <c r="AN242" s="53">
        <v>33.518999999999998</v>
      </c>
      <c r="AO242" s="53">
        <v>33.011000000000003</v>
      </c>
      <c r="AP242" s="53">
        <f t="shared" ref="AP242:BA242" si="350">AO242</f>
        <v>33.011000000000003</v>
      </c>
      <c r="AQ242" s="53">
        <f t="shared" si="350"/>
        <v>33.011000000000003</v>
      </c>
      <c r="AR242" s="53">
        <f t="shared" si="350"/>
        <v>33.011000000000003</v>
      </c>
      <c r="AS242" s="53">
        <f t="shared" si="350"/>
        <v>33.011000000000003</v>
      </c>
      <c r="AT242" s="53">
        <f t="shared" si="350"/>
        <v>33.011000000000003</v>
      </c>
      <c r="AU242" s="53">
        <f t="shared" si="350"/>
        <v>33.011000000000003</v>
      </c>
      <c r="AV242" s="53">
        <f t="shared" si="350"/>
        <v>33.011000000000003</v>
      </c>
      <c r="AW242" s="53">
        <f t="shared" si="350"/>
        <v>33.011000000000003</v>
      </c>
      <c r="AX242" s="53">
        <f t="shared" si="350"/>
        <v>33.011000000000003</v>
      </c>
      <c r="AY242" s="53">
        <f t="shared" si="350"/>
        <v>33.011000000000003</v>
      </c>
      <c r="AZ242" s="53">
        <f t="shared" si="350"/>
        <v>33.011000000000003</v>
      </c>
      <c r="BA242" s="53">
        <f t="shared" si="350"/>
        <v>33.011000000000003</v>
      </c>
      <c r="BD242" s="186">
        <f t="shared" si="342"/>
        <v>234</v>
      </c>
    </row>
    <row r="243" spans="2:56" outlineLevel="1">
      <c r="B243" s="126" t="s">
        <v>174</v>
      </c>
      <c r="C243" s="56"/>
      <c r="D243" s="56"/>
      <c r="E243" s="56"/>
      <c r="F243" s="56"/>
      <c r="G243" s="54">
        <f t="shared" si="346"/>
        <v>9.0350000000000001</v>
      </c>
      <c r="H243" s="54">
        <f t="shared" si="346"/>
        <v>6.02</v>
      </c>
      <c r="I243" s="54">
        <f t="shared" si="346"/>
        <v>0</v>
      </c>
      <c r="J243" s="54">
        <f t="shared" si="346"/>
        <v>0</v>
      </c>
      <c r="K243" s="54">
        <f t="shared" si="346"/>
        <v>0</v>
      </c>
      <c r="L243" s="54">
        <f t="shared" si="346"/>
        <v>0</v>
      </c>
      <c r="M243" s="35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3">
        <v>8.43</v>
      </c>
      <c r="AE243" s="53">
        <v>4.516</v>
      </c>
      <c r="AF243" s="53">
        <v>0.32400000000000001</v>
      </c>
      <c r="AG243" s="53">
        <v>9.0350000000000001</v>
      </c>
      <c r="AH243" s="53">
        <v>9.6080000000000005</v>
      </c>
      <c r="AI243" s="53">
        <v>9.2959999999999994</v>
      </c>
      <c r="AJ243" s="53">
        <v>5.9580000000000002</v>
      </c>
      <c r="AK243" s="53">
        <v>6.02</v>
      </c>
      <c r="AL243" s="53">
        <v>0</v>
      </c>
      <c r="AM243" s="53">
        <v>0</v>
      </c>
      <c r="AN243" s="53">
        <v>0</v>
      </c>
      <c r="AO243" s="53">
        <v>0</v>
      </c>
      <c r="AP243" s="54">
        <f t="shared" ref="AP243:BA243" si="351">+AO243+MAX(AP26,0)</f>
        <v>0</v>
      </c>
      <c r="AQ243" s="54">
        <f t="shared" si="351"/>
        <v>0</v>
      </c>
      <c r="AR243" s="54">
        <f t="shared" si="351"/>
        <v>0</v>
      </c>
      <c r="AS243" s="54">
        <f t="shared" si="351"/>
        <v>0</v>
      </c>
      <c r="AT243" s="54">
        <f t="shared" si="351"/>
        <v>0</v>
      </c>
      <c r="AU243" s="54">
        <f t="shared" si="351"/>
        <v>0</v>
      </c>
      <c r="AV243" s="54">
        <f t="shared" si="351"/>
        <v>0</v>
      </c>
      <c r="AW243" s="54">
        <f t="shared" si="351"/>
        <v>0</v>
      </c>
      <c r="AX243" s="54">
        <f t="shared" si="351"/>
        <v>0</v>
      </c>
      <c r="AY243" s="54">
        <f t="shared" si="351"/>
        <v>0</v>
      </c>
      <c r="AZ243" s="54">
        <f t="shared" si="351"/>
        <v>0</v>
      </c>
      <c r="BA243" s="54">
        <f t="shared" si="351"/>
        <v>0</v>
      </c>
      <c r="BD243" s="186">
        <f t="shared" si="342"/>
        <v>235</v>
      </c>
    </row>
    <row r="244" spans="2:56" outlineLevel="1">
      <c r="B244" s="127" t="s">
        <v>175</v>
      </c>
      <c r="C244" s="142"/>
      <c r="D244" s="142"/>
      <c r="E244" s="142"/>
      <c r="F244" s="142"/>
      <c r="G244" s="138">
        <f t="shared" ref="G244:L244" si="352">SUM(G239:G243)</f>
        <v>484.44299999999998</v>
      </c>
      <c r="H244" s="138">
        <f t="shared" si="352"/>
        <v>410.96899999999999</v>
      </c>
      <c r="I244" s="138">
        <f t="shared" si="352"/>
        <v>592.59699999999998</v>
      </c>
      <c r="J244" s="138">
        <f t="shared" si="352"/>
        <v>623.48573622744186</v>
      </c>
      <c r="K244" s="138">
        <f t="shared" si="352"/>
        <v>989.52962805894617</v>
      </c>
      <c r="L244" s="138">
        <f t="shared" si="352"/>
        <v>1334.3070911450059</v>
      </c>
      <c r="M244" s="35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38">
        <f t="shared" ref="AD244:BA244" si="353">SUM(AD239:AD243)</f>
        <v>729.8119999999999</v>
      </c>
      <c r="AE244" s="138">
        <f t="shared" si="353"/>
        <v>569.101</v>
      </c>
      <c r="AF244" s="138">
        <f t="shared" si="353"/>
        <v>496.82600000000002</v>
      </c>
      <c r="AG244" s="138">
        <f t="shared" si="353"/>
        <v>484.44299999999998</v>
      </c>
      <c r="AH244" s="138">
        <f t="shared" si="353"/>
        <v>497.64100000000002</v>
      </c>
      <c r="AI244" s="138">
        <f t="shared" si="353"/>
        <v>355.572</v>
      </c>
      <c r="AJ244" s="138">
        <f t="shared" si="353"/>
        <v>383.75</v>
      </c>
      <c r="AK244" s="138">
        <f t="shared" si="353"/>
        <v>410.96899999999999</v>
      </c>
      <c r="AL244" s="138">
        <f t="shared" si="353"/>
        <v>436.86200000000002</v>
      </c>
      <c r="AM244" s="138">
        <f t="shared" si="353"/>
        <v>649.41800000000012</v>
      </c>
      <c r="AN244" s="138">
        <f t="shared" si="353"/>
        <v>659.39300000000003</v>
      </c>
      <c r="AO244" s="138">
        <f t="shared" si="353"/>
        <v>592.59699999999998</v>
      </c>
      <c r="AP244" s="138">
        <f t="shared" si="353"/>
        <v>555.51202520317906</v>
      </c>
      <c r="AQ244" s="138">
        <f t="shared" si="353"/>
        <v>550.25435236273347</v>
      </c>
      <c r="AR244" s="138">
        <f t="shared" si="353"/>
        <v>592.21524085974102</v>
      </c>
      <c r="AS244" s="138">
        <f t="shared" si="353"/>
        <v>623.48573622744186</v>
      </c>
      <c r="AT244" s="138">
        <f t="shared" si="353"/>
        <v>699.28984282498686</v>
      </c>
      <c r="AU244" s="138">
        <f t="shared" si="353"/>
        <v>771.9317338887264</v>
      </c>
      <c r="AV244" s="138">
        <f t="shared" si="353"/>
        <v>882.53192997186738</v>
      </c>
      <c r="AW244" s="138">
        <f t="shared" si="353"/>
        <v>989.52962805894617</v>
      </c>
      <c r="AX244" s="138">
        <f t="shared" si="353"/>
        <v>1079.2800303877575</v>
      </c>
      <c r="AY244" s="138">
        <f t="shared" si="353"/>
        <v>1165.6514942712347</v>
      </c>
      <c r="AZ244" s="138">
        <f t="shared" si="353"/>
        <v>1249.1472626598904</v>
      </c>
      <c r="BA244" s="138">
        <f t="shared" si="353"/>
        <v>1334.3070911450059</v>
      </c>
      <c r="BD244" s="186">
        <f t="shared" si="342"/>
        <v>236</v>
      </c>
    </row>
    <row r="245" spans="2:56" hidden="1" outlineLevel="2">
      <c r="B245" s="128" t="s">
        <v>176</v>
      </c>
      <c r="C245" s="143"/>
      <c r="D245" s="143"/>
      <c r="E245" s="143"/>
      <c r="F245" s="143"/>
      <c r="G245" s="139">
        <f t="shared" ref="G245:L246" si="354">INDEX($N245:$BB245,1,MATCH(G$4,$N$4:$BB$4,0))</f>
        <v>1710.335</v>
      </c>
      <c r="H245" s="139">
        <f t="shared" si="354"/>
        <v>1239.5650000000001</v>
      </c>
      <c r="I245" s="139">
        <f t="shared" si="354"/>
        <v>836.78399999999999</v>
      </c>
      <c r="J245" s="139">
        <f t="shared" si="354"/>
        <v>1275.46</v>
      </c>
      <c r="K245" s="139">
        <f t="shared" si="354"/>
        <v>1552.4336829268293</v>
      </c>
      <c r="L245" s="139">
        <f t="shared" si="354"/>
        <v>1766.3170975609753</v>
      </c>
      <c r="M245" s="35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39">
        <v>0</v>
      </c>
      <c r="AE245" s="139">
        <v>0</v>
      </c>
      <c r="AF245" s="139">
        <v>0</v>
      </c>
      <c r="AG245" s="139">
        <f>1676.183+34.152</f>
        <v>1710.335</v>
      </c>
      <c r="AH245" s="139">
        <f>+AG245-AH221-AH225-AH226</f>
        <v>1716.9929999999999</v>
      </c>
      <c r="AI245" s="139">
        <f>+AH245-AI221-AI225-AI226</f>
        <v>1719.4380000000001</v>
      </c>
      <c r="AJ245" s="139">
        <f>+AI245-AJ221-AJ225-AJ226</f>
        <v>1725.5850000000003</v>
      </c>
      <c r="AK245" s="139">
        <f>+AK247-AK246</f>
        <v>1239.5650000000001</v>
      </c>
      <c r="AL245" s="139">
        <f>+AL247-AL246</f>
        <v>602.43500000000006</v>
      </c>
      <c r="AM245" s="139">
        <f>+AM247-AM246</f>
        <v>650.54499999999996</v>
      </c>
      <c r="AN245" s="139">
        <f>+AN247-AN246</f>
        <v>730.37300000000005</v>
      </c>
      <c r="AO245" s="139">
        <f>+AO247-AO246</f>
        <v>836.78399999999999</v>
      </c>
      <c r="AP245" s="139">
        <f t="shared" ref="AP245:BA245" si="355">+AO245-AP221-AP225-AP226</f>
        <v>967.09050000000002</v>
      </c>
      <c r="AQ245" s="139">
        <f t="shared" si="355"/>
        <v>1089.5895</v>
      </c>
      <c r="AR245" s="139">
        <f t="shared" si="355"/>
        <v>1208.836</v>
      </c>
      <c r="AS245" s="139">
        <f t="shared" si="355"/>
        <v>1275.46</v>
      </c>
      <c r="AT245" s="139">
        <f t="shared" si="355"/>
        <v>1359.6893658536585</v>
      </c>
      <c r="AU245" s="139">
        <f t="shared" si="355"/>
        <v>1445.983975609756</v>
      </c>
      <c r="AV245" s="139">
        <f t="shared" si="355"/>
        <v>1499.0438292682927</v>
      </c>
      <c r="AW245" s="139">
        <f t="shared" si="355"/>
        <v>1552.4336829268293</v>
      </c>
      <c r="AX245" s="139">
        <f t="shared" si="355"/>
        <v>1605.9045365853658</v>
      </c>
      <c r="AY245" s="139">
        <f t="shared" si="355"/>
        <v>1659.3753902439023</v>
      </c>
      <c r="AZ245" s="139">
        <f t="shared" si="355"/>
        <v>1712.8462439024388</v>
      </c>
      <c r="BA245" s="139">
        <f t="shared" si="355"/>
        <v>1766.3170975609753</v>
      </c>
      <c r="BD245" s="186">
        <f t="shared" si="342"/>
        <v>237</v>
      </c>
    </row>
    <row r="246" spans="2:56" hidden="1" outlineLevel="2">
      <c r="B246" s="128" t="s">
        <v>177</v>
      </c>
      <c r="C246" s="144"/>
      <c r="D246" s="144"/>
      <c r="E246" s="144"/>
      <c r="F246" s="144"/>
      <c r="G246" s="140">
        <f t="shared" si="354"/>
        <v>-499.89400000000001</v>
      </c>
      <c r="H246" s="140">
        <f t="shared" si="354"/>
        <v>-638.18899999999996</v>
      </c>
      <c r="I246" s="140">
        <f t="shared" si="354"/>
        <v>-133.755</v>
      </c>
      <c r="J246" s="140">
        <f t="shared" si="354"/>
        <v>-323.78146938611764</v>
      </c>
      <c r="K246" s="140">
        <f t="shared" si="354"/>
        <v>-550.90153607887385</v>
      </c>
      <c r="L246" s="140">
        <f t="shared" si="354"/>
        <v>-779.88714823845407</v>
      </c>
      <c r="M246" s="35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0">
        <v>0</v>
      </c>
      <c r="AE246" s="140">
        <v>0</v>
      </c>
      <c r="AF246" s="140">
        <v>0</v>
      </c>
      <c r="AG246" s="140">
        <v>-499.89400000000001</v>
      </c>
      <c r="AH246" s="140">
        <f>+AG246-AH211</f>
        <v>-558.84699999999998</v>
      </c>
      <c r="AI246" s="140">
        <f>+AH246-AI211</f>
        <v>-613.13</v>
      </c>
      <c r="AJ246" s="140">
        <f>+AI246-AJ211</f>
        <v>-664.45100000000002</v>
      </c>
      <c r="AK246" s="140">
        <v>-638.18899999999996</v>
      </c>
      <c r="AL246" s="140">
        <v>-30.614999999999998</v>
      </c>
      <c r="AM246" s="140">
        <v>-62.26</v>
      </c>
      <c r="AN246" s="140">
        <v>-97.331999999999994</v>
      </c>
      <c r="AO246" s="140">
        <v>-133.755</v>
      </c>
      <c r="AP246" s="140">
        <f t="shared" ref="AP246:BA246" si="356">+AO246-AP211</f>
        <v>-174.17916750000001</v>
      </c>
      <c r="AQ246" s="140">
        <f t="shared" si="356"/>
        <v>-219.77156911874999</v>
      </c>
      <c r="AR246" s="140">
        <f t="shared" si="356"/>
        <v>-269.78610014442188</v>
      </c>
      <c r="AS246" s="140">
        <f t="shared" si="356"/>
        <v>-323.78146938611764</v>
      </c>
      <c r="AT246" s="140">
        <f t="shared" si="356"/>
        <v>-378.50298489641591</v>
      </c>
      <c r="AU246" s="140">
        <f t="shared" si="356"/>
        <v>-434.92120180145736</v>
      </c>
      <c r="AV246" s="140">
        <f t="shared" si="356"/>
        <v>-493.05731129543454</v>
      </c>
      <c r="AW246" s="140">
        <f t="shared" si="356"/>
        <v>-550.90153607887385</v>
      </c>
      <c r="AX246" s="140">
        <f t="shared" si="356"/>
        <v>-608.48963452263126</v>
      </c>
      <c r="AY246" s="140">
        <f t="shared" si="356"/>
        <v>-665.8409913912385</v>
      </c>
      <c r="AZ246" s="140">
        <f t="shared" si="356"/>
        <v>-722.96921932526664</v>
      </c>
      <c r="BA246" s="140">
        <f t="shared" si="356"/>
        <v>-779.88714823845407</v>
      </c>
      <c r="BD246" s="186">
        <f t="shared" si="342"/>
        <v>238</v>
      </c>
    </row>
    <row r="247" spans="2:56" outlineLevel="1" collapsed="1">
      <c r="B247" s="126" t="s">
        <v>178</v>
      </c>
      <c r="C247" s="56"/>
      <c r="D247" s="56"/>
      <c r="E247" s="56"/>
      <c r="F247" s="56"/>
      <c r="G247" s="54">
        <f t="shared" ref="G247:L247" si="357">+G245+G246</f>
        <v>1210.441</v>
      </c>
      <c r="H247" s="54">
        <f t="shared" si="357"/>
        <v>601.37600000000009</v>
      </c>
      <c r="I247" s="54">
        <f t="shared" si="357"/>
        <v>703.029</v>
      </c>
      <c r="J247" s="54">
        <f t="shared" si="357"/>
        <v>951.67853061388246</v>
      </c>
      <c r="K247" s="54">
        <f t="shared" si="357"/>
        <v>1001.5321468479555</v>
      </c>
      <c r="L247" s="54">
        <f t="shared" si="357"/>
        <v>986.42994932252122</v>
      </c>
      <c r="M247" s="35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3">
        <v>1820.0119999999999</v>
      </c>
      <c r="AE247" s="53">
        <v>1753.3009999999999</v>
      </c>
      <c r="AF247" s="53">
        <v>1664.1759999999999</v>
      </c>
      <c r="AG247" s="53">
        <v>1210.441</v>
      </c>
      <c r="AH247" s="53">
        <v>1151.164</v>
      </c>
      <c r="AI247" s="53">
        <v>1062.1610000000001</v>
      </c>
      <c r="AJ247" s="53">
        <v>1017.183</v>
      </c>
      <c r="AK247" s="53">
        <v>601.37599999999998</v>
      </c>
      <c r="AL247" s="53">
        <v>571.82000000000005</v>
      </c>
      <c r="AM247" s="53">
        <v>588.28499999999997</v>
      </c>
      <c r="AN247" s="53">
        <v>633.04100000000005</v>
      </c>
      <c r="AO247" s="53">
        <v>703.029</v>
      </c>
      <c r="AP247" s="54">
        <f t="shared" ref="AP247:BA247" si="358">+AP245+AP246</f>
        <v>792.91133250000007</v>
      </c>
      <c r="AQ247" s="54">
        <f t="shared" si="358"/>
        <v>869.81793088125005</v>
      </c>
      <c r="AR247" s="54">
        <f t="shared" si="358"/>
        <v>939.04989985557813</v>
      </c>
      <c r="AS247" s="54">
        <f t="shared" si="358"/>
        <v>951.67853061388246</v>
      </c>
      <c r="AT247" s="54">
        <f t="shared" si="358"/>
        <v>981.18638095724259</v>
      </c>
      <c r="AU247" s="54">
        <f t="shared" si="358"/>
        <v>1011.0627738082987</v>
      </c>
      <c r="AV247" s="54">
        <f t="shared" si="358"/>
        <v>1005.9865179728581</v>
      </c>
      <c r="AW247" s="54">
        <f t="shared" si="358"/>
        <v>1001.5321468479555</v>
      </c>
      <c r="AX247" s="54">
        <f t="shared" si="358"/>
        <v>997.41490206273454</v>
      </c>
      <c r="AY247" s="54">
        <f t="shared" si="358"/>
        <v>993.5343988526638</v>
      </c>
      <c r="AZ247" s="54">
        <f t="shared" si="358"/>
        <v>989.87702457717216</v>
      </c>
      <c r="BA247" s="54">
        <f t="shared" si="358"/>
        <v>986.42994932252122</v>
      </c>
      <c r="BD247" s="186">
        <f t="shared" si="342"/>
        <v>239</v>
      </c>
    </row>
    <row r="248" spans="2:56" outlineLevel="1">
      <c r="B248" s="126" t="s">
        <v>179</v>
      </c>
      <c r="C248" s="56"/>
      <c r="D248" s="56"/>
      <c r="E248" s="56"/>
      <c r="F248" s="56"/>
      <c r="G248" s="54">
        <f t="shared" ref="G248:L249" si="359">INDEX($N248:$BB248,1,MATCH(G$4,$N$4:$BB$4,0))</f>
        <v>455.53800000000001</v>
      </c>
      <c r="H248" s="54">
        <f t="shared" si="359"/>
        <v>50</v>
      </c>
      <c r="I248" s="54">
        <f t="shared" si="359"/>
        <v>271.35199999999998</v>
      </c>
      <c r="J248" s="54">
        <f t="shared" si="359"/>
        <v>271.35199999999998</v>
      </c>
      <c r="K248" s="54">
        <f t="shared" si="359"/>
        <v>271.35199999999998</v>
      </c>
      <c r="L248" s="54">
        <f t="shared" si="359"/>
        <v>271.35199999999998</v>
      </c>
      <c r="M248" s="35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3">
        <f>663.866+154.989</f>
        <v>818.85500000000002</v>
      </c>
      <c r="AE248" s="53">
        <f>742.86+156.06</f>
        <v>898.92000000000007</v>
      </c>
      <c r="AF248" s="53">
        <f>314.41+151.651</f>
        <v>466.06100000000004</v>
      </c>
      <c r="AG248" s="53">
        <f>307.677+147.861</f>
        <v>455.53800000000001</v>
      </c>
      <c r="AH248" s="53">
        <v>92.935000000000002</v>
      </c>
      <c r="AI248" s="53">
        <v>86.567999999999998</v>
      </c>
      <c r="AJ248" s="53">
        <v>84.307000000000002</v>
      </c>
      <c r="AK248" s="53">
        <v>50</v>
      </c>
      <c r="AL248" s="53">
        <v>55.558</v>
      </c>
      <c r="AM248" s="53">
        <v>54.616999999999997</v>
      </c>
      <c r="AN248" s="53">
        <v>53.674999999999997</v>
      </c>
      <c r="AO248" s="53">
        <f>147.515+123.837</f>
        <v>271.35199999999998</v>
      </c>
      <c r="AP248" s="53">
        <f t="shared" ref="AP248:BA249" si="360">AO248</f>
        <v>271.35199999999998</v>
      </c>
      <c r="AQ248" s="53">
        <f t="shared" si="360"/>
        <v>271.35199999999998</v>
      </c>
      <c r="AR248" s="53">
        <f t="shared" si="360"/>
        <v>271.35199999999998</v>
      </c>
      <c r="AS248" s="53">
        <f t="shared" si="360"/>
        <v>271.35199999999998</v>
      </c>
      <c r="AT248" s="53">
        <f t="shared" si="360"/>
        <v>271.35199999999998</v>
      </c>
      <c r="AU248" s="53">
        <f t="shared" si="360"/>
        <v>271.35199999999998</v>
      </c>
      <c r="AV248" s="53">
        <f t="shared" si="360"/>
        <v>271.35199999999998</v>
      </c>
      <c r="AW248" s="53">
        <f t="shared" si="360"/>
        <v>271.35199999999998</v>
      </c>
      <c r="AX248" s="53">
        <f t="shared" si="360"/>
        <v>271.35199999999998</v>
      </c>
      <c r="AY248" s="53">
        <f t="shared" si="360"/>
        <v>271.35199999999998</v>
      </c>
      <c r="AZ248" s="53">
        <f t="shared" si="360"/>
        <v>271.35199999999998</v>
      </c>
      <c r="BA248" s="53">
        <f t="shared" si="360"/>
        <v>271.35199999999998</v>
      </c>
      <c r="BD248" s="186">
        <f t="shared" si="342"/>
        <v>240</v>
      </c>
    </row>
    <row r="249" spans="2:56" outlineLevel="1">
      <c r="B249" s="126" t="s">
        <v>180</v>
      </c>
      <c r="C249" s="56"/>
      <c r="D249" s="56"/>
      <c r="E249" s="56"/>
      <c r="F249" s="56"/>
      <c r="G249" s="54">
        <f t="shared" si="359"/>
        <v>82.483999999999995</v>
      </c>
      <c r="H249" s="54">
        <f t="shared" si="359"/>
        <v>37.292999999999999</v>
      </c>
      <c r="I249" s="54">
        <f t="shared" si="359"/>
        <v>41.878999999999998</v>
      </c>
      <c r="J249" s="54">
        <f t="shared" si="359"/>
        <v>41.878999999999998</v>
      </c>
      <c r="K249" s="54">
        <f t="shared" si="359"/>
        <v>41.878999999999998</v>
      </c>
      <c r="L249" s="54">
        <f t="shared" si="359"/>
        <v>41.878999999999998</v>
      </c>
      <c r="M249" s="35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3">
        <f>51.325+21.723</f>
        <v>73.048000000000002</v>
      </c>
      <c r="AE249" s="53">
        <f>49.28+20.592</f>
        <v>69.872</v>
      </c>
      <c r="AF249" s="53">
        <f>50.505+20.037</f>
        <v>70.542000000000002</v>
      </c>
      <c r="AG249" s="53">
        <f>48.309+34.175</f>
        <v>82.483999999999995</v>
      </c>
      <c r="AH249" s="53">
        <f>13.47+33.614</f>
        <v>47.083999999999996</v>
      </c>
      <c r="AI249" s="53">
        <v>37.048999999999999</v>
      </c>
      <c r="AJ249" s="53">
        <v>36.601999999999997</v>
      </c>
      <c r="AK249" s="53">
        <f>2.248+35.045</f>
        <v>37.292999999999999</v>
      </c>
      <c r="AL249" s="53">
        <f>2.301+32.461</f>
        <v>34.762</v>
      </c>
      <c r="AM249" s="53">
        <f>3.405+41.122</f>
        <v>44.527000000000001</v>
      </c>
      <c r="AN249" s="53">
        <f>3.557+33.338</f>
        <v>36.895000000000003</v>
      </c>
      <c r="AO249" s="53">
        <f>38.5+3.379</f>
        <v>41.878999999999998</v>
      </c>
      <c r="AP249" s="53">
        <f t="shared" si="360"/>
        <v>41.878999999999998</v>
      </c>
      <c r="AQ249" s="53">
        <f t="shared" si="360"/>
        <v>41.878999999999998</v>
      </c>
      <c r="AR249" s="53">
        <f t="shared" si="360"/>
        <v>41.878999999999998</v>
      </c>
      <c r="AS249" s="53">
        <f t="shared" si="360"/>
        <v>41.878999999999998</v>
      </c>
      <c r="AT249" s="53">
        <f t="shared" si="360"/>
        <v>41.878999999999998</v>
      </c>
      <c r="AU249" s="53">
        <f t="shared" si="360"/>
        <v>41.878999999999998</v>
      </c>
      <c r="AV249" s="53">
        <f t="shared" si="360"/>
        <v>41.878999999999998</v>
      </c>
      <c r="AW249" s="53">
        <f t="shared" si="360"/>
        <v>41.878999999999998</v>
      </c>
      <c r="AX249" s="53">
        <f t="shared" si="360"/>
        <v>41.878999999999998</v>
      </c>
      <c r="AY249" s="53">
        <f t="shared" si="360"/>
        <v>41.878999999999998</v>
      </c>
      <c r="AZ249" s="53">
        <f t="shared" si="360"/>
        <v>41.878999999999998</v>
      </c>
      <c r="BA249" s="53">
        <f t="shared" si="360"/>
        <v>41.878999999999998</v>
      </c>
      <c r="BD249" s="186">
        <f t="shared" si="342"/>
        <v>241</v>
      </c>
    </row>
    <row r="250" spans="2:56" outlineLevel="1">
      <c r="B250" s="127" t="s">
        <v>181</v>
      </c>
      <c r="C250" s="142"/>
      <c r="D250" s="142"/>
      <c r="E250" s="142"/>
      <c r="F250" s="142"/>
      <c r="G250" s="138">
        <f t="shared" ref="G250:L250" si="361">SUM(G247:G249,G244)</f>
        <v>2232.9059999999999</v>
      </c>
      <c r="H250" s="138">
        <f t="shared" si="361"/>
        <v>1099.6380000000001</v>
      </c>
      <c r="I250" s="138">
        <f t="shared" si="361"/>
        <v>1608.857</v>
      </c>
      <c r="J250" s="138">
        <f t="shared" si="361"/>
        <v>1888.3952668413244</v>
      </c>
      <c r="K250" s="138">
        <f t="shared" si="361"/>
        <v>2304.2927749069013</v>
      </c>
      <c r="L250" s="138">
        <f t="shared" si="361"/>
        <v>2633.9680404675269</v>
      </c>
      <c r="M250" s="35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38">
        <f t="shared" ref="AD250:BA250" si="362">SUM(AD247:AD249,AD244)</f>
        <v>3441.7269999999999</v>
      </c>
      <c r="AE250" s="138">
        <f t="shared" si="362"/>
        <v>3291.194</v>
      </c>
      <c r="AF250" s="138">
        <f t="shared" si="362"/>
        <v>2697.605</v>
      </c>
      <c r="AG250" s="138">
        <f t="shared" si="362"/>
        <v>2232.9059999999999</v>
      </c>
      <c r="AH250" s="138">
        <f t="shared" si="362"/>
        <v>1788.8240000000001</v>
      </c>
      <c r="AI250" s="138">
        <f t="shared" si="362"/>
        <v>1541.35</v>
      </c>
      <c r="AJ250" s="138">
        <f t="shared" si="362"/>
        <v>1521.8420000000001</v>
      </c>
      <c r="AK250" s="138">
        <f t="shared" si="362"/>
        <v>1099.6379999999999</v>
      </c>
      <c r="AL250" s="138">
        <f t="shared" si="362"/>
        <v>1099.0020000000002</v>
      </c>
      <c r="AM250" s="138">
        <f t="shared" si="362"/>
        <v>1336.8470000000002</v>
      </c>
      <c r="AN250" s="138">
        <f t="shared" si="362"/>
        <v>1383.0039999999999</v>
      </c>
      <c r="AO250" s="138">
        <f t="shared" si="362"/>
        <v>1608.857</v>
      </c>
      <c r="AP250" s="138">
        <f t="shared" si="362"/>
        <v>1661.6543577031791</v>
      </c>
      <c r="AQ250" s="138">
        <f t="shared" si="362"/>
        <v>1733.3032832439833</v>
      </c>
      <c r="AR250" s="138">
        <f t="shared" si="362"/>
        <v>1844.4961407153189</v>
      </c>
      <c r="AS250" s="138">
        <f t="shared" si="362"/>
        <v>1888.3952668413244</v>
      </c>
      <c r="AT250" s="138">
        <f t="shared" si="362"/>
        <v>1993.7072237822294</v>
      </c>
      <c r="AU250" s="138">
        <f t="shared" si="362"/>
        <v>2096.225507697025</v>
      </c>
      <c r="AV250" s="138">
        <f t="shared" si="362"/>
        <v>2201.749447944725</v>
      </c>
      <c r="AW250" s="138">
        <f t="shared" si="362"/>
        <v>2304.2927749069013</v>
      </c>
      <c r="AX250" s="138">
        <f t="shared" si="362"/>
        <v>2389.9259324504919</v>
      </c>
      <c r="AY250" s="138">
        <f t="shared" si="362"/>
        <v>2472.4168931238983</v>
      </c>
      <c r="AZ250" s="138">
        <f t="shared" si="362"/>
        <v>2552.2552872370625</v>
      </c>
      <c r="BA250" s="138">
        <f t="shared" si="362"/>
        <v>2633.9680404675269</v>
      </c>
      <c r="BD250" s="186">
        <f t="shared" si="342"/>
        <v>242</v>
      </c>
    </row>
    <row r="251" spans="2:56" outlineLevel="1">
      <c r="B251" s="129"/>
      <c r="C251" s="56"/>
      <c r="D251" s="56"/>
      <c r="E251" s="56"/>
      <c r="F251" s="56"/>
      <c r="G251" s="54"/>
      <c r="H251" s="54"/>
      <c r="I251" s="54"/>
      <c r="J251" s="54"/>
      <c r="K251" s="54"/>
      <c r="L251" s="54"/>
      <c r="M251" s="35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D251" s="186">
        <f t="shared" si="342"/>
        <v>243</v>
      </c>
    </row>
    <row r="252" spans="2:56" outlineLevel="1">
      <c r="B252" s="127" t="s">
        <v>182</v>
      </c>
      <c r="C252" s="56"/>
      <c r="D252" s="56"/>
      <c r="E252" s="56"/>
      <c r="F252" s="56"/>
      <c r="G252" s="54"/>
      <c r="H252" s="54"/>
      <c r="I252" s="54"/>
      <c r="J252" s="54"/>
      <c r="K252" s="54"/>
      <c r="L252" s="54"/>
      <c r="M252" s="35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D252" s="186">
        <f t="shared" si="342"/>
        <v>244</v>
      </c>
    </row>
    <row r="253" spans="2:56" outlineLevel="1">
      <c r="B253" s="126" t="s">
        <v>152</v>
      </c>
      <c r="C253" s="56"/>
      <c r="D253" s="56"/>
      <c r="E253" s="56"/>
      <c r="F253" s="56"/>
      <c r="G253" s="54">
        <f t="shared" ref="G253:L255" si="363">INDEX($N253:$BB253,1,MATCH(G$4,$N$4:$BB$4,0))</f>
        <v>213.065</v>
      </c>
      <c r="H253" s="54">
        <f t="shared" si="363"/>
        <v>75.192999999999998</v>
      </c>
      <c r="I253" s="54">
        <f t="shared" si="363"/>
        <v>138.624</v>
      </c>
      <c r="J253" s="54">
        <f t="shared" si="363"/>
        <v>179.6423220261203</v>
      </c>
      <c r="K253" s="54">
        <f t="shared" si="363"/>
        <v>207.18840784773784</v>
      </c>
      <c r="L253" s="54">
        <f t="shared" si="363"/>
        <v>206.47953937241388</v>
      </c>
      <c r="M253" s="35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3">
        <v>377.43099999999998</v>
      </c>
      <c r="AE253" s="53">
        <v>248.113</v>
      </c>
      <c r="AF253" s="53">
        <v>224.03</v>
      </c>
      <c r="AG253" s="53">
        <v>213.065</v>
      </c>
      <c r="AH253" s="53">
        <v>154.048</v>
      </c>
      <c r="AI253" s="53">
        <v>70.948999999999998</v>
      </c>
      <c r="AJ253" s="53">
        <v>43.552999999999997</v>
      </c>
      <c r="AK253" s="53">
        <v>75.192999999999998</v>
      </c>
      <c r="AL253" s="53">
        <v>93.527000000000001</v>
      </c>
      <c r="AM253" s="53">
        <v>112.131</v>
      </c>
      <c r="AN253" s="53">
        <v>128.02600000000001</v>
      </c>
      <c r="AO253" s="53">
        <v>138.624</v>
      </c>
      <c r="AP253" s="54">
        <f t="shared" ref="AP253:BA253" si="364">+AP292*AP173/AP6</f>
        <v>154.8222901673642</v>
      </c>
      <c r="AQ253" s="54">
        <f t="shared" si="364"/>
        <v>160.57203033814312</v>
      </c>
      <c r="AR253" s="54">
        <f t="shared" si="364"/>
        <v>170.27697215381454</v>
      </c>
      <c r="AS253" s="54">
        <f t="shared" si="364"/>
        <v>179.6423220261203</v>
      </c>
      <c r="AT253" s="54">
        <f t="shared" si="364"/>
        <v>194.39053776714107</v>
      </c>
      <c r="AU253" s="54">
        <f t="shared" si="364"/>
        <v>200.80447451331199</v>
      </c>
      <c r="AV253" s="54">
        <f t="shared" si="364"/>
        <v>205.92586400486397</v>
      </c>
      <c r="AW253" s="54">
        <f t="shared" si="364"/>
        <v>207.18840784773784</v>
      </c>
      <c r="AX253" s="54">
        <f t="shared" si="364"/>
        <v>209.6753372237286</v>
      </c>
      <c r="AY253" s="54">
        <f t="shared" si="364"/>
        <v>209.37250363199377</v>
      </c>
      <c r="AZ253" s="54">
        <f t="shared" si="364"/>
        <v>206.79118278833263</v>
      </c>
      <c r="BA253" s="54">
        <f t="shared" si="364"/>
        <v>206.47953937241388</v>
      </c>
      <c r="BD253" s="186">
        <f t="shared" si="342"/>
        <v>245</v>
      </c>
    </row>
    <row r="254" spans="2:56" outlineLevel="1">
      <c r="B254" s="126" t="s">
        <v>183</v>
      </c>
      <c r="C254" s="56"/>
      <c r="D254" s="56"/>
      <c r="E254" s="56"/>
      <c r="F254" s="56"/>
      <c r="G254" s="54">
        <f t="shared" si="363"/>
        <v>13.433</v>
      </c>
      <c r="H254" s="54">
        <f t="shared" si="363"/>
        <v>0</v>
      </c>
      <c r="I254" s="54">
        <f t="shared" si="363"/>
        <v>0</v>
      </c>
      <c r="J254" s="54">
        <f t="shared" si="363"/>
        <v>0</v>
      </c>
      <c r="K254" s="54">
        <f t="shared" si="363"/>
        <v>0</v>
      </c>
      <c r="L254" s="54">
        <f t="shared" si="363"/>
        <v>0</v>
      </c>
      <c r="M254" s="35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3">
        <v>14.1</v>
      </c>
      <c r="AE254" s="53">
        <v>13.641999999999999</v>
      </c>
      <c r="AF254" s="53">
        <v>13.585000000000001</v>
      </c>
      <c r="AG254" s="53">
        <v>13.433</v>
      </c>
      <c r="AH254" s="53">
        <v>1256.1959999999999</v>
      </c>
      <c r="AI254" s="53">
        <v>1336.47</v>
      </c>
      <c r="AJ254" s="53">
        <f>25</f>
        <v>25</v>
      </c>
      <c r="AK254" s="53">
        <v>0</v>
      </c>
      <c r="AL254" s="53">
        <f>AL359</f>
        <v>0</v>
      </c>
      <c r="AM254" s="53">
        <f t="shared" ref="AM254:BA254" si="365">AM359</f>
        <v>0</v>
      </c>
      <c r="AN254" s="53">
        <v>0</v>
      </c>
      <c r="AO254" s="53">
        <v>0</v>
      </c>
      <c r="AP254" s="54">
        <f t="shared" si="365"/>
        <v>0</v>
      </c>
      <c r="AQ254" s="54">
        <f t="shared" si="365"/>
        <v>0</v>
      </c>
      <c r="AR254" s="54">
        <f t="shared" si="365"/>
        <v>0</v>
      </c>
      <c r="AS254" s="54">
        <f t="shared" si="365"/>
        <v>0</v>
      </c>
      <c r="AT254" s="54">
        <f t="shared" si="365"/>
        <v>0</v>
      </c>
      <c r="AU254" s="54">
        <f t="shared" si="365"/>
        <v>0</v>
      </c>
      <c r="AV254" s="54">
        <f t="shared" si="365"/>
        <v>0</v>
      </c>
      <c r="AW254" s="54">
        <f t="shared" si="365"/>
        <v>0</v>
      </c>
      <c r="AX254" s="54">
        <f t="shared" si="365"/>
        <v>0</v>
      </c>
      <c r="AY254" s="54">
        <f t="shared" si="365"/>
        <v>0</v>
      </c>
      <c r="AZ254" s="54">
        <f t="shared" si="365"/>
        <v>0</v>
      </c>
      <c r="BA254" s="54">
        <f t="shared" si="365"/>
        <v>0</v>
      </c>
      <c r="BD254" s="186">
        <f t="shared" si="342"/>
        <v>246</v>
      </c>
    </row>
    <row r="255" spans="2:56" outlineLevel="1">
      <c r="B255" s="126" t="s">
        <v>184</v>
      </c>
      <c r="C255" s="56"/>
      <c r="D255" s="56"/>
      <c r="E255" s="56"/>
      <c r="F255" s="56"/>
      <c r="G255" s="54">
        <f t="shared" si="363"/>
        <v>64.37</v>
      </c>
      <c r="H255" s="54">
        <f t="shared" si="363"/>
        <v>64.391000000000005</v>
      </c>
      <c r="I255" s="54">
        <f t="shared" si="363"/>
        <v>120.226</v>
      </c>
      <c r="J255" s="54">
        <f t="shared" si="363"/>
        <v>120.226</v>
      </c>
      <c r="K255" s="54">
        <f t="shared" si="363"/>
        <v>120.226</v>
      </c>
      <c r="L255" s="54">
        <f t="shared" si="363"/>
        <v>120.226</v>
      </c>
      <c r="M255" s="35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3">
        <f>41.312+45.762+2.279</f>
        <v>89.352999999999994</v>
      </c>
      <c r="AE255" s="53">
        <f>42.926+58.364+23.877</f>
        <v>125.16699999999999</v>
      </c>
      <c r="AF255" s="53">
        <f>16.017+69.789+2.013</f>
        <v>87.819000000000003</v>
      </c>
      <c r="AG255" s="53">
        <f>10.335+52.25+1.785</f>
        <v>64.37</v>
      </c>
      <c r="AH255" s="53">
        <f>43.24+1.213+13.522</f>
        <v>57.975000000000001</v>
      </c>
      <c r="AI255" s="53">
        <f>14.138+70.223+29.918+1.072</f>
        <v>115.351</v>
      </c>
      <c r="AJ255" s="53">
        <f>18.474+59.365+1.307+1514.551</f>
        <v>1593.6969999999999</v>
      </c>
      <c r="AK255" s="53">
        <f>18.287+43.078+3.026</f>
        <v>64.391000000000005</v>
      </c>
      <c r="AL255" s="53">
        <f>20.133+51.44+1.537</f>
        <v>73.11</v>
      </c>
      <c r="AM255" s="53">
        <f>28.153+56.143+1.245</f>
        <v>85.540999999999997</v>
      </c>
      <c r="AN255" s="53">
        <f>43.6+58.221+0.853</f>
        <v>102.67399999999999</v>
      </c>
      <c r="AO255" s="53">
        <f>52.812+66.547+0.867</f>
        <v>120.226</v>
      </c>
      <c r="AP255" s="53">
        <f t="shared" ref="AP255:BA255" si="366">AO255</f>
        <v>120.226</v>
      </c>
      <c r="AQ255" s="53">
        <f t="shared" si="366"/>
        <v>120.226</v>
      </c>
      <c r="AR255" s="53">
        <f t="shared" si="366"/>
        <v>120.226</v>
      </c>
      <c r="AS255" s="53">
        <f t="shared" si="366"/>
        <v>120.226</v>
      </c>
      <c r="AT255" s="53">
        <f t="shared" si="366"/>
        <v>120.226</v>
      </c>
      <c r="AU255" s="53">
        <f t="shared" si="366"/>
        <v>120.226</v>
      </c>
      <c r="AV255" s="53">
        <f t="shared" si="366"/>
        <v>120.226</v>
      </c>
      <c r="AW255" s="53">
        <f t="shared" si="366"/>
        <v>120.226</v>
      </c>
      <c r="AX255" s="53">
        <f t="shared" si="366"/>
        <v>120.226</v>
      </c>
      <c r="AY255" s="53">
        <f t="shared" si="366"/>
        <v>120.226</v>
      </c>
      <c r="AZ255" s="53">
        <f t="shared" si="366"/>
        <v>120.226</v>
      </c>
      <c r="BA255" s="53">
        <f t="shared" si="366"/>
        <v>120.226</v>
      </c>
      <c r="BD255" s="186">
        <f t="shared" si="342"/>
        <v>247</v>
      </c>
    </row>
    <row r="256" spans="2:56" outlineLevel="1">
      <c r="B256" s="127" t="s">
        <v>185</v>
      </c>
      <c r="C256" s="142"/>
      <c r="D256" s="142"/>
      <c r="E256" s="142"/>
      <c r="F256" s="142"/>
      <c r="G256" s="138">
        <f t="shared" ref="G256:L256" si="367">SUM(G253:G255)</f>
        <v>290.86799999999999</v>
      </c>
      <c r="H256" s="138">
        <f t="shared" si="367"/>
        <v>139.584</v>
      </c>
      <c r="I256" s="138">
        <f t="shared" si="367"/>
        <v>258.85000000000002</v>
      </c>
      <c r="J256" s="138">
        <f t="shared" si="367"/>
        <v>299.86832202612027</v>
      </c>
      <c r="K256" s="138">
        <f t="shared" si="367"/>
        <v>327.41440784773783</v>
      </c>
      <c r="L256" s="138">
        <f t="shared" si="367"/>
        <v>326.70553937241391</v>
      </c>
      <c r="M256" s="35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38">
        <f t="shared" ref="AD256:BA256" si="368">SUM(AD253:AD255)</f>
        <v>480.88400000000001</v>
      </c>
      <c r="AE256" s="138">
        <f t="shared" si="368"/>
        <v>386.92199999999997</v>
      </c>
      <c r="AF256" s="138">
        <f t="shared" si="368"/>
        <v>325.43400000000003</v>
      </c>
      <c r="AG256" s="138">
        <f t="shared" si="368"/>
        <v>290.86799999999999</v>
      </c>
      <c r="AH256" s="138">
        <f t="shared" si="368"/>
        <v>1468.2189999999998</v>
      </c>
      <c r="AI256" s="138">
        <f t="shared" si="368"/>
        <v>1522.77</v>
      </c>
      <c r="AJ256" s="138">
        <f t="shared" si="368"/>
        <v>1662.25</v>
      </c>
      <c r="AK256" s="138">
        <f t="shared" si="368"/>
        <v>139.584</v>
      </c>
      <c r="AL256" s="138">
        <f t="shared" si="368"/>
        <v>166.637</v>
      </c>
      <c r="AM256" s="138">
        <f t="shared" si="368"/>
        <v>197.672</v>
      </c>
      <c r="AN256" s="138">
        <f t="shared" si="368"/>
        <v>230.7</v>
      </c>
      <c r="AO256" s="138">
        <f t="shared" si="368"/>
        <v>258.85000000000002</v>
      </c>
      <c r="AP256" s="138">
        <f t="shared" si="368"/>
        <v>275.0482901673642</v>
      </c>
      <c r="AQ256" s="138">
        <f t="shared" si="368"/>
        <v>280.79803033814312</v>
      </c>
      <c r="AR256" s="138">
        <f t="shared" si="368"/>
        <v>290.50297215381454</v>
      </c>
      <c r="AS256" s="138">
        <f t="shared" si="368"/>
        <v>299.86832202612027</v>
      </c>
      <c r="AT256" s="138">
        <f t="shared" si="368"/>
        <v>314.61653776714104</v>
      </c>
      <c r="AU256" s="138">
        <f t="shared" si="368"/>
        <v>321.03047451331202</v>
      </c>
      <c r="AV256" s="138">
        <f t="shared" si="368"/>
        <v>326.15186400486397</v>
      </c>
      <c r="AW256" s="138">
        <f t="shared" si="368"/>
        <v>327.41440784773783</v>
      </c>
      <c r="AX256" s="138">
        <f t="shared" si="368"/>
        <v>329.9013372237286</v>
      </c>
      <c r="AY256" s="138">
        <f t="shared" si="368"/>
        <v>329.59850363199376</v>
      </c>
      <c r="AZ256" s="138">
        <f t="shared" si="368"/>
        <v>327.01718278833266</v>
      </c>
      <c r="BA256" s="138">
        <f t="shared" si="368"/>
        <v>326.70553937241391</v>
      </c>
      <c r="BD256" s="186">
        <f t="shared" si="342"/>
        <v>248</v>
      </c>
    </row>
    <row r="257" spans="1:56" outlineLevel="1">
      <c r="B257" s="126" t="s">
        <v>186</v>
      </c>
      <c r="C257" s="56"/>
      <c r="D257" s="56"/>
      <c r="E257" s="56"/>
      <c r="F257" s="56"/>
      <c r="G257" s="54">
        <f t="shared" ref="G257:L262" si="369">INDEX($N257:$BB257,1,MATCH(G$4,$N$4:$BB$4,0))</f>
        <v>1142.077</v>
      </c>
      <c r="H257" s="54">
        <f t="shared" si="369"/>
        <v>0</v>
      </c>
      <c r="I257" s="54">
        <f t="shared" si="369"/>
        <v>0</v>
      </c>
      <c r="J257" s="54">
        <f t="shared" si="369"/>
        <v>0</v>
      </c>
      <c r="K257" s="54">
        <f t="shared" si="369"/>
        <v>0</v>
      </c>
      <c r="L257" s="54">
        <f t="shared" si="369"/>
        <v>0</v>
      </c>
      <c r="M257" s="35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3">
        <v>1115.098</v>
      </c>
      <c r="AE257" s="53">
        <v>1117.7270000000001</v>
      </c>
      <c r="AF257" s="53">
        <v>1116.345</v>
      </c>
      <c r="AG257" s="53">
        <v>1142.077</v>
      </c>
      <c r="AH257" s="53">
        <v>31.370999999999999</v>
      </c>
      <c r="AI257" s="53">
        <v>30.681999999999999</v>
      </c>
      <c r="AJ257" s="53">
        <v>0</v>
      </c>
      <c r="AK257" s="53">
        <v>0</v>
      </c>
      <c r="AL257" s="53">
        <v>0</v>
      </c>
      <c r="AM257" s="53">
        <v>0</v>
      </c>
      <c r="AN257" s="53">
        <v>0</v>
      </c>
      <c r="AO257" s="53">
        <v>0</v>
      </c>
      <c r="AP257" s="54">
        <f t="shared" ref="AP257:BA257" si="370">AP360</f>
        <v>0</v>
      </c>
      <c r="AQ257" s="54">
        <f t="shared" si="370"/>
        <v>14.90383449777778</v>
      </c>
      <c r="AR257" s="54">
        <f t="shared" si="370"/>
        <v>46.604274636162245</v>
      </c>
      <c r="AS257" s="54">
        <f t="shared" si="370"/>
        <v>0</v>
      </c>
      <c r="AT257" s="54">
        <f t="shared" si="370"/>
        <v>0</v>
      </c>
      <c r="AU257" s="54">
        <f t="shared" si="370"/>
        <v>0</v>
      </c>
      <c r="AV257" s="54">
        <f t="shared" si="370"/>
        <v>0</v>
      </c>
      <c r="AW257" s="54">
        <f t="shared" si="370"/>
        <v>0</v>
      </c>
      <c r="AX257" s="54">
        <f t="shared" si="370"/>
        <v>0</v>
      </c>
      <c r="AY257" s="54">
        <f t="shared" si="370"/>
        <v>0</v>
      </c>
      <c r="AZ257" s="54">
        <f t="shared" si="370"/>
        <v>0</v>
      </c>
      <c r="BA257" s="54">
        <f t="shared" si="370"/>
        <v>0</v>
      </c>
      <c r="BD257" s="186">
        <f t="shared" si="342"/>
        <v>249</v>
      </c>
    </row>
    <row r="258" spans="1:56" outlineLevel="1">
      <c r="B258" s="126" t="s">
        <v>187</v>
      </c>
      <c r="C258" s="56"/>
      <c r="D258" s="56"/>
      <c r="E258" s="56"/>
      <c r="F258" s="56"/>
      <c r="G258" s="54">
        <f t="shared" si="369"/>
        <v>149.15100000000001</v>
      </c>
      <c r="H258" s="54">
        <f t="shared" si="369"/>
        <v>15.613</v>
      </c>
      <c r="I258" s="54">
        <f t="shared" si="369"/>
        <v>3.9169999999999998</v>
      </c>
      <c r="J258" s="54">
        <f t="shared" si="369"/>
        <v>5.3023770063746687</v>
      </c>
      <c r="K258" s="54">
        <f t="shared" si="369"/>
        <v>5.5801416715433376</v>
      </c>
      <c r="L258" s="54">
        <f t="shared" si="369"/>
        <v>5.4959981899698525</v>
      </c>
      <c r="M258" s="35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3">
        <v>379.42</v>
      </c>
      <c r="AE258" s="53">
        <v>372.32100000000003</v>
      </c>
      <c r="AF258" s="53">
        <v>293.09699999999998</v>
      </c>
      <c r="AG258" s="53">
        <v>149.15100000000001</v>
      </c>
      <c r="AH258" s="53">
        <v>60.289000000000001</v>
      </c>
      <c r="AI258" s="53">
        <v>48.16</v>
      </c>
      <c r="AJ258" s="53">
        <v>28.716000000000001</v>
      </c>
      <c r="AK258" s="53">
        <v>15.613</v>
      </c>
      <c r="AL258" s="53">
        <v>4.6070000000000002</v>
      </c>
      <c r="AM258" s="53">
        <v>4.91</v>
      </c>
      <c r="AN258" s="53">
        <v>4.7990000000000004</v>
      </c>
      <c r="AO258" s="53">
        <v>3.9169999999999998</v>
      </c>
      <c r="AP258" s="54">
        <f t="shared" ref="AP258:BA258" si="371">+AP297*AP247</f>
        <v>4.4177888670346457</v>
      </c>
      <c r="AQ258" s="54">
        <f t="shared" si="371"/>
        <v>4.8462820669728508</v>
      </c>
      <c r="AR258" s="54">
        <f t="shared" si="371"/>
        <v>5.2320152621503508</v>
      </c>
      <c r="AS258" s="54">
        <f t="shared" si="371"/>
        <v>5.3023770063746687</v>
      </c>
      <c r="AT258" s="54">
        <f t="shared" si="371"/>
        <v>5.4667830974391078</v>
      </c>
      <c r="AU258" s="54">
        <f t="shared" si="371"/>
        <v>5.6332425618389932</v>
      </c>
      <c r="AV258" s="54">
        <f t="shared" si="371"/>
        <v>5.6049596686618681</v>
      </c>
      <c r="AW258" s="54">
        <f t="shared" si="371"/>
        <v>5.5801416715433376</v>
      </c>
      <c r="AX258" s="54">
        <f t="shared" si="371"/>
        <v>5.557202009276617</v>
      </c>
      <c r="AY258" s="54">
        <f t="shared" si="371"/>
        <v>5.5355813775902325</v>
      </c>
      <c r="AZ258" s="54">
        <f t="shared" si="371"/>
        <v>5.5152039322258153</v>
      </c>
      <c r="BA258" s="54">
        <f t="shared" si="371"/>
        <v>5.4959981899698525</v>
      </c>
      <c r="BD258" s="186">
        <f t="shared" si="342"/>
        <v>250</v>
      </c>
    </row>
    <row r="259" spans="1:56" outlineLevel="1">
      <c r="B259" s="126" t="s">
        <v>188</v>
      </c>
      <c r="C259" s="56"/>
      <c r="D259" s="56"/>
      <c r="E259" s="56"/>
      <c r="F259" s="56"/>
      <c r="G259" s="54">
        <f t="shared" si="369"/>
        <v>18.167000000000002</v>
      </c>
      <c r="H259" s="54">
        <f t="shared" si="369"/>
        <v>18.577000000000002</v>
      </c>
      <c r="I259" s="54">
        <f t="shared" si="369"/>
        <v>24.667999999999999</v>
      </c>
      <c r="J259" s="54">
        <f t="shared" si="369"/>
        <v>24.667999999999999</v>
      </c>
      <c r="K259" s="54">
        <f t="shared" si="369"/>
        <v>24.667999999999999</v>
      </c>
      <c r="L259" s="54">
        <f t="shared" si="369"/>
        <v>24.667999999999999</v>
      </c>
      <c r="M259" s="35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3">
        <v>1.627</v>
      </c>
      <c r="AE259" s="53">
        <v>12.411</v>
      </c>
      <c r="AF259" s="53">
        <v>12.127000000000001</v>
      </c>
      <c r="AG259" s="53">
        <v>18.167000000000002</v>
      </c>
      <c r="AH259" s="53">
        <v>16.724</v>
      </c>
      <c r="AI259" s="53">
        <v>17.46</v>
      </c>
      <c r="AJ259" s="53">
        <v>12.897</v>
      </c>
      <c r="AK259" s="53">
        <v>18.577000000000002</v>
      </c>
      <c r="AL259" s="53">
        <v>21.797999999999998</v>
      </c>
      <c r="AM259" s="53">
        <v>22.135999999999999</v>
      </c>
      <c r="AN259" s="53">
        <v>23.151</v>
      </c>
      <c r="AO259" s="53">
        <v>24.667999999999999</v>
      </c>
      <c r="AP259" s="53">
        <f t="shared" ref="AP259:BA259" si="372">AO259</f>
        <v>24.667999999999999</v>
      </c>
      <c r="AQ259" s="53">
        <f t="shared" si="372"/>
        <v>24.667999999999999</v>
      </c>
      <c r="AR259" s="53">
        <f t="shared" si="372"/>
        <v>24.667999999999999</v>
      </c>
      <c r="AS259" s="53">
        <f t="shared" si="372"/>
        <v>24.667999999999999</v>
      </c>
      <c r="AT259" s="53">
        <f t="shared" si="372"/>
        <v>24.667999999999999</v>
      </c>
      <c r="AU259" s="53">
        <f t="shared" si="372"/>
        <v>24.667999999999999</v>
      </c>
      <c r="AV259" s="53">
        <f t="shared" si="372"/>
        <v>24.667999999999999</v>
      </c>
      <c r="AW259" s="53">
        <f t="shared" si="372"/>
        <v>24.667999999999999</v>
      </c>
      <c r="AX259" s="53">
        <f t="shared" si="372"/>
        <v>24.667999999999999</v>
      </c>
      <c r="AY259" s="53">
        <f t="shared" si="372"/>
        <v>24.667999999999999</v>
      </c>
      <c r="AZ259" s="53">
        <f t="shared" si="372"/>
        <v>24.667999999999999</v>
      </c>
      <c r="BA259" s="53">
        <f t="shared" si="372"/>
        <v>24.667999999999999</v>
      </c>
      <c r="BD259" s="186">
        <f t="shared" si="342"/>
        <v>251</v>
      </c>
    </row>
    <row r="260" spans="1:56" hidden="1" outlineLevel="2">
      <c r="B260" s="128" t="s">
        <v>189</v>
      </c>
      <c r="C260" s="143"/>
      <c r="D260" s="143"/>
      <c r="E260" s="143"/>
      <c r="F260" s="143"/>
      <c r="G260" s="139">
        <f t="shared" si="369"/>
        <v>998.96999999999991</v>
      </c>
      <c r="H260" s="139">
        <f t="shared" si="369"/>
        <v>925.86399999999992</v>
      </c>
      <c r="I260" s="139">
        <f t="shared" si="369"/>
        <v>1299.5449999999998</v>
      </c>
      <c r="J260" s="139">
        <f t="shared" si="369"/>
        <v>1317.5449999999998</v>
      </c>
      <c r="K260" s="139">
        <f t="shared" si="369"/>
        <v>1335.5449999999998</v>
      </c>
      <c r="L260" s="139">
        <f t="shared" si="369"/>
        <v>1353.5449999999998</v>
      </c>
      <c r="M260" s="35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39">
        <f>1.19+983.931</f>
        <v>985.12100000000009</v>
      </c>
      <c r="AE260" s="139">
        <f>1.204+987.538</f>
        <v>988.74199999999996</v>
      </c>
      <c r="AF260" s="139">
        <f>1.204+992.715</f>
        <v>993.91899999999998</v>
      </c>
      <c r="AG260" s="139">
        <f>997.766+1.204</f>
        <v>998.96999999999991</v>
      </c>
      <c r="AH260" s="139">
        <f>1003.785+1.201</f>
        <v>1004.986</v>
      </c>
      <c r="AI260" s="139">
        <f>1.196+1004.915</f>
        <v>1006.111</v>
      </c>
      <c r="AJ260" s="139">
        <f>1.196+1007.296</f>
        <v>1008.4920000000001</v>
      </c>
      <c r="AK260" s="139">
        <f>0.555+925.309</f>
        <v>925.86399999999992</v>
      </c>
      <c r="AL260" s="139">
        <f>938.411+0.562</f>
        <v>938.97299999999996</v>
      </c>
      <c r="AM260" s="139">
        <f>0.633+1156.822</f>
        <v>1157.4549999999999</v>
      </c>
      <c r="AN260" s="139">
        <f>1159.418+0.633</f>
        <v>1160.0509999999999</v>
      </c>
      <c r="AO260" s="139">
        <f>1298.859+0.686</f>
        <v>1299.5449999999998</v>
      </c>
      <c r="AP260" s="139">
        <f t="shared" ref="AP260:BA260" si="373">+AO260+AP230+AP231+AP213</f>
        <v>1304.0449999999998</v>
      </c>
      <c r="AQ260" s="139">
        <f t="shared" si="373"/>
        <v>1308.5449999999998</v>
      </c>
      <c r="AR260" s="139">
        <f t="shared" si="373"/>
        <v>1313.0449999999998</v>
      </c>
      <c r="AS260" s="139">
        <f t="shared" si="373"/>
        <v>1317.5449999999998</v>
      </c>
      <c r="AT260" s="139">
        <f t="shared" si="373"/>
        <v>1322.0449999999998</v>
      </c>
      <c r="AU260" s="139">
        <f t="shared" si="373"/>
        <v>1326.5449999999998</v>
      </c>
      <c r="AV260" s="139">
        <f t="shared" si="373"/>
        <v>1331.0449999999998</v>
      </c>
      <c r="AW260" s="139">
        <f t="shared" si="373"/>
        <v>1335.5449999999998</v>
      </c>
      <c r="AX260" s="139">
        <f t="shared" si="373"/>
        <v>1340.0449999999998</v>
      </c>
      <c r="AY260" s="139">
        <f t="shared" si="373"/>
        <v>1344.5449999999998</v>
      </c>
      <c r="AZ260" s="139">
        <f t="shared" si="373"/>
        <v>1349.0449999999998</v>
      </c>
      <c r="BA260" s="139">
        <f t="shared" si="373"/>
        <v>1353.5449999999998</v>
      </c>
      <c r="BD260" s="186">
        <f t="shared" si="342"/>
        <v>252</v>
      </c>
    </row>
    <row r="261" spans="1:56" hidden="1" outlineLevel="2">
      <c r="B261" s="128" t="s">
        <v>190</v>
      </c>
      <c r="C261" s="143"/>
      <c r="D261" s="143"/>
      <c r="E261" s="143"/>
      <c r="F261" s="143"/>
      <c r="G261" s="139">
        <f t="shared" si="369"/>
        <v>-362.30199999999996</v>
      </c>
      <c r="H261" s="139">
        <f t="shared" si="369"/>
        <v>0</v>
      </c>
      <c r="I261" s="139">
        <f t="shared" si="369"/>
        <v>22.457000000000001</v>
      </c>
      <c r="J261" s="139">
        <f t="shared" si="369"/>
        <v>241.59156780882932</v>
      </c>
      <c r="K261" s="139">
        <f t="shared" si="369"/>
        <v>611.66522538762047</v>
      </c>
      <c r="L261" s="139">
        <f t="shared" si="369"/>
        <v>924.1335029051437</v>
      </c>
      <c r="M261" s="35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39">
        <v>479.577</v>
      </c>
      <c r="AE261" s="139">
        <v>414.45600000000002</v>
      </c>
      <c r="AF261" s="139">
        <v>-40.56</v>
      </c>
      <c r="AG261" s="139">
        <v>-362.30199999999996</v>
      </c>
      <c r="AH261" s="139">
        <v>-790.71400000000006</v>
      </c>
      <c r="AI261" s="139">
        <v>-1081.8309999999999</v>
      </c>
      <c r="AJ261" s="139">
        <v>-1188.223</v>
      </c>
      <c r="AK261" s="139">
        <v>0</v>
      </c>
      <c r="AL261" s="139">
        <v>-32.301000000000002</v>
      </c>
      <c r="AM261" s="139">
        <v>-45.021999999999998</v>
      </c>
      <c r="AN261" s="139">
        <v>-34.539000000000001</v>
      </c>
      <c r="AO261" s="139">
        <v>22.457000000000001</v>
      </c>
      <c r="AP261" s="139">
        <f t="shared" ref="AP261:BA261" si="374">+AO261+AP34+AP229</f>
        <v>54.055278668780204</v>
      </c>
      <c r="AQ261" s="139">
        <f t="shared" si="374"/>
        <v>100.12213634108971</v>
      </c>
      <c r="AR261" s="139">
        <f t="shared" si="374"/>
        <v>165.02387866319211</v>
      </c>
      <c r="AS261" s="139">
        <f t="shared" si="374"/>
        <v>241.59156780882932</v>
      </c>
      <c r="AT261" s="139">
        <f t="shared" si="374"/>
        <v>327.49090291764935</v>
      </c>
      <c r="AU261" s="139">
        <f t="shared" si="374"/>
        <v>418.92879062187421</v>
      </c>
      <c r="AV261" s="139">
        <f t="shared" si="374"/>
        <v>514.85962427119989</v>
      </c>
      <c r="AW261" s="139">
        <f t="shared" si="374"/>
        <v>611.66522538762047</v>
      </c>
      <c r="AX261" s="139">
        <f t="shared" si="374"/>
        <v>690.33439321748688</v>
      </c>
      <c r="AY261" s="139">
        <f t="shared" si="374"/>
        <v>768.64980811431462</v>
      </c>
      <c r="AZ261" s="139">
        <f t="shared" si="374"/>
        <v>846.58990051650437</v>
      </c>
      <c r="BA261" s="139">
        <f t="shared" si="374"/>
        <v>924.1335029051437</v>
      </c>
      <c r="BD261" s="186">
        <f t="shared" si="342"/>
        <v>253</v>
      </c>
    </row>
    <row r="262" spans="1:56" hidden="1" outlineLevel="2">
      <c r="B262" s="128" t="s">
        <v>191</v>
      </c>
      <c r="C262" s="143"/>
      <c r="D262" s="143"/>
      <c r="E262" s="143"/>
      <c r="F262" s="143"/>
      <c r="G262" s="139">
        <f t="shared" si="369"/>
        <v>-4.0250000000000004</v>
      </c>
      <c r="H262" s="139">
        <f t="shared" si="369"/>
        <v>0</v>
      </c>
      <c r="I262" s="139">
        <f t="shared" si="369"/>
        <v>-0.57999999999999996</v>
      </c>
      <c r="J262" s="139">
        <f t="shared" si="369"/>
        <v>-0.57999999999999996</v>
      </c>
      <c r="K262" s="139">
        <f t="shared" si="369"/>
        <v>-0.57999999999999996</v>
      </c>
      <c r="L262" s="139">
        <f t="shared" si="369"/>
        <v>-0.57999999999999996</v>
      </c>
      <c r="M262" s="35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39">
        <f>AC262</f>
        <v>0</v>
      </c>
      <c r="AE262" s="139">
        <v>-1.385</v>
      </c>
      <c r="AF262" s="139">
        <v>-2.7570000000000001</v>
      </c>
      <c r="AG262" s="139">
        <v>-4.0250000000000004</v>
      </c>
      <c r="AH262" s="139">
        <v>-2.0510000000000002</v>
      </c>
      <c r="AI262" s="139">
        <v>-2.0019999999999998</v>
      </c>
      <c r="AJ262" s="139">
        <v>-2.29</v>
      </c>
      <c r="AK262" s="139">
        <v>0</v>
      </c>
      <c r="AL262" s="139">
        <v>-0.71199999999999997</v>
      </c>
      <c r="AM262" s="139">
        <v>-0.30399999999999999</v>
      </c>
      <c r="AN262" s="139">
        <v>-1.1579999999999999</v>
      </c>
      <c r="AO262" s="139">
        <v>-0.57999999999999996</v>
      </c>
      <c r="AP262" s="139">
        <f t="shared" ref="AP262:BA262" si="375">AO262</f>
        <v>-0.57999999999999996</v>
      </c>
      <c r="AQ262" s="139">
        <f t="shared" si="375"/>
        <v>-0.57999999999999996</v>
      </c>
      <c r="AR262" s="139">
        <f t="shared" si="375"/>
        <v>-0.57999999999999996</v>
      </c>
      <c r="AS262" s="139">
        <f t="shared" si="375"/>
        <v>-0.57999999999999996</v>
      </c>
      <c r="AT262" s="139">
        <f t="shared" si="375"/>
        <v>-0.57999999999999996</v>
      </c>
      <c r="AU262" s="139">
        <f t="shared" si="375"/>
        <v>-0.57999999999999996</v>
      </c>
      <c r="AV262" s="139">
        <f t="shared" si="375"/>
        <v>-0.57999999999999996</v>
      </c>
      <c r="AW262" s="139">
        <f t="shared" si="375"/>
        <v>-0.57999999999999996</v>
      </c>
      <c r="AX262" s="139">
        <f t="shared" si="375"/>
        <v>-0.57999999999999996</v>
      </c>
      <c r="AY262" s="139">
        <f t="shared" si="375"/>
        <v>-0.57999999999999996</v>
      </c>
      <c r="AZ262" s="139">
        <f t="shared" si="375"/>
        <v>-0.57999999999999996</v>
      </c>
      <c r="BA262" s="139">
        <f t="shared" si="375"/>
        <v>-0.57999999999999996</v>
      </c>
      <c r="BD262" s="186">
        <f t="shared" si="342"/>
        <v>254</v>
      </c>
    </row>
    <row r="263" spans="1:56" outlineLevel="1" collapsed="1">
      <c r="B263" s="130" t="s">
        <v>192</v>
      </c>
      <c r="C263" s="145"/>
      <c r="D263" s="145"/>
      <c r="E263" s="145"/>
      <c r="F263" s="145"/>
      <c r="G263" s="141">
        <f t="shared" ref="G263:L263" si="376">SUM(G260:G262)</f>
        <v>632.64299999999992</v>
      </c>
      <c r="H263" s="141">
        <f t="shared" si="376"/>
        <v>925.86399999999992</v>
      </c>
      <c r="I263" s="141">
        <f t="shared" si="376"/>
        <v>1321.422</v>
      </c>
      <c r="J263" s="141">
        <f t="shared" si="376"/>
        <v>1558.5565678088292</v>
      </c>
      <c r="K263" s="141">
        <f t="shared" si="376"/>
        <v>1946.6302253876204</v>
      </c>
      <c r="L263" s="141">
        <f t="shared" si="376"/>
        <v>2277.0985029051435</v>
      </c>
      <c r="M263" s="3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1">
        <f t="shared" ref="AD263:AJ263" si="377">SUM(AD260:AD262)</f>
        <v>1464.6980000000001</v>
      </c>
      <c r="AE263" s="141">
        <f t="shared" si="377"/>
        <v>1401.8129999999999</v>
      </c>
      <c r="AF263" s="141">
        <f t="shared" si="377"/>
        <v>950.60199999999998</v>
      </c>
      <c r="AG263" s="141">
        <f t="shared" si="377"/>
        <v>632.64299999999992</v>
      </c>
      <c r="AH263" s="141">
        <f t="shared" si="377"/>
        <v>212.22099999999995</v>
      </c>
      <c r="AI263" s="141">
        <f t="shared" si="377"/>
        <v>-77.721999999999909</v>
      </c>
      <c r="AJ263" s="141">
        <f t="shared" si="377"/>
        <v>-182.02099999999987</v>
      </c>
      <c r="AK263" s="141">
        <f t="shared" ref="AK263:BA263" si="378">SUM(AK260:AK262)</f>
        <v>925.86399999999992</v>
      </c>
      <c r="AL263" s="141">
        <f t="shared" si="378"/>
        <v>905.95999999999992</v>
      </c>
      <c r="AM263" s="141">
        <f t="shared" si="378"/>
        <v>1112.1289999999999</v>
      </c>
      <c r="AN263" s="141">
        <f t="shared" si="378"/>
        <v>1124.354</v>
      </c>
      <c r="AO263" s="141">
        <f t="shared" si="378"/>
        <v>1321.422</v>
      </c>
      <c r="AP263" s="141">
        <f t="shared" si="378"/>
        <v>1357.5202786687801</v>
      </c>
      <c r="AQ263" s="141">
        <f t="shared" si="378"/>
        <v>1408.0871363410897</v>
      </c>
      <c r="AR263" s="141">
        <f t="shared" si="378"/>
        <v>1477.4888786631921</v>
      </c>
      <c r="AS263" s="141">
        <f t="shared" si="378"/>
        <v>1558.5565678088292</v>
      </c>
      <c r="AT263" s="141">
        <f t="shared" si="378"/>
        <v>1648.9559029176494</v>
      </c>
      <c r="AU263" s="141">
        <f t="shared" si="378"/>
        <v>1744.8937906218741</v>
      </c>
      <c r="AV263" s="141">
        <f t="shared" si="378"/>
        <v>1845.3246242711998</v>
      </c>
      <c r="AW263" s="141">
        <f t="shared" si="378"/>
        <v>1946.6302253876204</v>
      </c>
      <c r="AX263" s="141">
        <f t="shared" si="378"/>
        <v>2029.7993932174868</v>
      </c>
      <c r="AY263" s="141">
        <f t="shared" si="378"/>
        <v>2112.6148081143147</v>
      </c>
      <c r="AZ263" s="141">
        <f t="shared" si="378"/>
        <v>2195.0549005165044</v>
      </c>
      <c r="BA263" s="141">
        <f t="shared" si="378"/>
        <v>2277.0985029051435</v>
      </c>
      <c r="BD263" s="186">
        <f t="shared" si="342"/>
        <v>255</v>
      </c>
    </row>
    <row r="264" spans="1:56" outlineLevel="1">
      <c r="B264" s="127" t="s">
        <v>193</v>
      </c>
      <c r="C264" s="142"/>
      <c r="D264" s="142"/>
      <c r="E264" s="142"/>
      <c r="F264" s="142"/>
      <c r="G264" s="138">
        <f t="shared" ref="G264:L264" si="379">SUM(G263,G257:G259,G256)</f>
        <v>2232.9059999999999</v>
      </c>
      <c r="H264" s="138">
        <f t="shared" si="379"/>
        <v>1099.6379999999999</v>
      </c>
      <c r="I264" s="138">
        <f t="shared" si="379"/>
        <v>1608.857</v>
      </c>
      <c r="J264" s="138">
        <f t="shared" si="379"/>
        <v>1888.395266841324</v>
      </c>
      <c r="K264" s="138">
        <f t="shared" si="379"/>
        <v>2304.2927749069013</v>
      </c>
      <c r="L264" s="138">
        <f t="shared" si="379"/>
        <v>2633.9680404675273</v>
      </c>
      <c r="M264" s="35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38">
        <f t="shared" ref="AD264:AJ264" si="380">SUM(AD263,AD257:AD259,AD256)</f>
        <v>3441.7270000000003</v>
      </c>
      <c r="AE264" s="138">
        <f t="shared" si="380"/>
        <v>3291.194</v>
      </c>
      <c r="AF264" s="138">
        <f t="shared" si="380"/>
        <v>2697.605</v>
      </c>
      <c r="AG264" s="138">
        <f t="shared" si="380"/>
        <v>2232.9059999999999</v>
      </c>
      <c r="AH264" s="138">
        <f t="shared" si="380"/>
        <v>1788.8239999999998</v>
      </c>
      <c r="AI264" s="138">
        <f t="shared" si="380"/>
        <v>1541.3500000000001</v>
      </c>
      <c r="AJ264" s="138">
        <f t="shared" si="380"/>
        <v>1521.8420000000001</v>
      </c>
      <c r="AK264" s="138">
        <f t="shared" ref="AK264:BA264" si="381">SUM(AK263,AK257:AK259,AK256)</f>
        <v>1099.6379999999999</v>
      </c>
      <c r="AL264" s="138">
        <f t="shared" si="381"/>
        <v>1099.002</v>
      </c>
      <c r="AM264" s="138">
        <f t="shared" si="381"/>
        <v>1336.847</v>
      </c>
      <c r="AN264" s="138">
        <f t="shared" si="381"/>
        <v>1383.0040000000001</v>
      </c>
      <c r="AO264" s="138">
        <f t="shared" si="381"/>
        <v>1608.857</v>
      </c>
      <c r="AP264" s="138">
        <f t="shared" si="381"/>
        <v>1661.6543577031789</v>
      </c>
      <c r="AQ264" s="138">
        <f t="shared" si="381"/>
        <v>1733.3032832439835</v>
      </c>
      <c r="AR264" s="138">
        <f t="shared" si="381"/>
        <v>1844.4961407153191</v>
      </c>
      <c r="AS264" s="138">
        <f t="shared" si="381"/>
        <v>1888.395266841324</v>
      </c>
      <c r="AT264" s="138">
        <f t="shared" si="381"/>
        <v>1993.7072237822294</v>
      </c>
      <c r="AU264" s="138">
        <f t="shared" si="381"/>
        <v>2096.225507697025</v>
      </c>
      <c r="AV264" s="138">
        <f t="shared" si="381"/>
        <v>2201.7494479447255</v>
      </c>
      <c r="AW264" s="138">
        <f t="shared" si="381"/>
        <v>2304.2927749069013</v>
      </c>
      <c r="AX264" s="138">
        <f t="shared" si="381"/>
        <v>2389.9259324504919</v>
      </c>
      <c r="AY264" s="138">
        <f t="shared" si="381"/>
        <v>2472.4168931238987</v>
      </c>
      <c r="AZ264" s="138">
        <f t="shared" si="381"/>
        <v>2552.2552872370629</v>
      </c>
      <c r="BA264" s="138">
        <f t="shared" si="381"/>
        <v>2633.9680404675273</v>
      </c>
      <c r="BD264" s="186">
        <f t="shared" si="342"/>
        <v>256</v>
      </c>
    </row>
    <row r="265" spans="1:56" outlineLevel="1">
      <c r="C265" s="35"/>
      <c r="D265" s="35"/>
      <c r="E265" s="35"/>
      <c r="F265" s="35"/>
      <c r="G265" s="147">
        <f>+G264-G250</f>
        <v>0</v>
      </c>
      <c r="H265" s="147">
        <f t="shared" ref="H265:L265" si="382">+H264-H250</f>
        <v>0</v>
      </c>
      <c r="I265" s="147">
        <f t="shared" si="382"/>
        <v>0</v>
      </c>
      <c r="J265" s="147">
        <f t="shared" si="382"/>
        <v>0</v>
      </c>
      <c r="K265" s="147">
        <f t="shared" si="382"/>
        <v>0</v>
      </c>
      <c r="L265" s="147">
        <f t="shared" si="382"/>
        <v>0</v>
      </c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147">
        <f t="shared" ref="AD265:AI265" si="383">+AD264-AD250</f>
        <v>0</v>
      </c>
      <c r="AE265" s="147">
        <f t="shared" si="383"/>
        <v>0</v>
      </c>
      <c r="AF265" s="147">
        <f t="shared" si="383"/>
        <v>0</v>
      </c>
      <c r="AG265" s="147">
        <f t="shared" si="383"/>
        <v>0</v>
      </c>
      <c r="AH265" s="147">
        <f t="shared" si="383"/>
        <v>0</v>
      </c>
      <c r="AI265" s="147">
        <f t="shared" si="383"/>
        <v>0</v>
      </c>
      <c r="AJ265" s="147">
        <f>+AJ264-AJ250</f>
        <v>0</v>
      </c>
      <c r="AK265" s="147">
        <f t="shared" ref="AK265:BA265" si="384">+AK264-AK250</f>
        <v>0</v>
      </c>
      <c r="AL265" s="191">
        <f t="shared" si="384"/>
        <v>0</v>
      </c>
      <c r="AM265" s="191">
        <f t="shared" si="384"/>
        <v>0</v>
      </c>
      <c r="AN265" s="191">
        <f t="shared" si="384"/>
        <v>0</v>
      </c>
      <c r="AO265" s="191">
        <f t="shared" si="384"/>
        <v>0</v>
      </c>
      <c r="AP265" s="147">
        <f t="shared" si="384"/>
        <v>0</v>
      </c>
      <c r="AQ265" s="147">
        <f t="shared" si="384"/>
        <v>0</v>
      </c>
      <c r="AR265" s="147">
        <f t="shared" si="384"/>
        <v>0</v>
      </c>
      <c r="AS265" s="147">
        <f t="shared" si="384"/>
        <v>0</v>
      </c>
      <c r="AT265" s="147">
        <f t="shared" si="384"/>
        <v>0</v>
      </c>
      <c r="AU265" s="147">
        <f t="shared" si="384"/>
        <v>0</v>
      </c>
      <c r="AV265" s="147">
        <f t="shared" si="384"/>
        <v>0</v>
      </c>
      <c r="AW265" s="147">
        <f t="shared" si="384"/>
        <v>0</v>
      </c>
      <c r="AX265" s="147">
        <f t="shared" si="384"/>
        <v>0</v>
      </c>
      <c r="AY265" s="147">
        <f t="shared" si="384"/>
        <v>0</v>
      </c>
      <c r="AZ265" s="147">
        <f t="shared" si="384"/>
        <v>0</v>
      </c>
      <c r="BA265" s="147">
        <f t="shared" si="384"/>
        <v>0</v>
      </c>
      <c r="BD265" s="186">
        <f t="shared" si="342"/>
        <v>257</v>
      </c>
    </row>
    <row r="266" spans="1:56">
      <c r="A266" s="148" t="s">
        <v>71</v>
      </c>
      <c r="B266" s="59" t="s">
        <v>194</v>
      </c>
      <c r="C266" s="33">
        <f t="shared" ref="C266:L266" si="385">C$7</f>
        <v>2011</v>
      </c>
      <c r="D266" s="33">
        <f t="shared" si="385"/>
        <v>2012</v>
      </c>
      <c r="E266" s="33">
        <f t="shared" si="385"/>
        <v>2013</v>
      </c>
      <c r="F266" s="33">
        <f t="shared" si="385"/>
        <v>2014</v>
      </c>
      <c r="G266" s="33">
        <f t="shared" si="385"/>
        <v>2015</v>
      </c>
      <c r="H266" s="33">
        <f t="shared" si="385"/>
        <v>2016</v>
      </c>
      <c r="I266" s="33">
        <f t="shared" si="385"/>
        <v>2017</v>
      </c>
      <c r="J266" s="33" t="str">
        <f t="shared" si="385"/>
        <v>2018E</v>
      </c>
      <c r="K266" s="33" t="str">
        <f t="shared" si="385"/>
        <v>2019E</v>
      </c>
      <c r="L266" s="33" t="str">
        <f t="shared" si="385"/>
        <v>2020E</v>
      </c>
      <c r="N266" s="33" t="str">
        <f t="shared" ref="N266:BA266" si="386">N$7</f>
        <v>1Q11</v>
      </c>
      <c r="O266" s="33" t="str">
        <f t="shared" si="386"/>
        <v>2Q11</v>
      </c>
      <c r="P266" s="33" t="str">
        <f t="shared" si="386"/>
        <v>3Q11</v>
      </c>
      <c r="Q266" s="33" t="str">
        <f t="shared" si="386"/>
        <v>4Q11</v>
      </c>
      <c r="R266" s="33" t="str">
        <f t="shared" si="386"/>
        <v>1Q12</v>
      </c>
      <c r="S266" s="33" t="str">
        <f t="shared" si="386"/>
        <v>2Q12</v>
      </c>
      <c r="T266" s="33" t="str">
        <f t="shared" si="386"/>
        <v>3Q12</v>
      </c>
      <c r="U266" s="33" t="str">
        <f t="shared" si="386"/>
        <v>4Q12</v>
      </c>
      <c r="V266" s="33" t="str">
        <f t="shared" si="386"/>
        <v>1Q13</v>
      </c>
      <c r="W266" s="33" t="str">
        <f t="shared" si="386"/>
        <v>2Q13</v>
      </c>
      <c r="X266" s="33" t="str">
        <f t="shared" si="386"/>
        <v>3Q13</v>
      </c>
      <c r="Y266" s="33" t="str">
        <f t="shared" si="386"/>
        <v>4Q13</v>
      </c>
      <c r="Z266" s="33" t="str">
        <f t="shared" si="386"/>
        <v>1Q14</v>
      </c>
      <c r="AA266" s="33" t="str">
        <f t="shared" si="386"/>
        <v>2Q14</v>
      </c>
      <c r="AB266" s="33" t="str">
        <f t="shared" si="386"/>
        <v>3Q14</v>
      </c>
      <c r="AC266" s="33" t="str">
        <f t="shared" si="386"/>
        <v>4Q14</v>
      </c>
      <c r="AD266" s="33" t="str">
        <f t="shared" si="386"/>
        <v>1Q15</v>
      </c>
      <c r="AE266" s="33" t="str">
        <f t="shared" si="386"/>
        <v>2Q15</v>
      </c>
      <c r="AF266" s="33" t="str">
        <f t="shared" si="386"/>
        <v>3Q15</v>
      </c>
      <c r="AG266" s="33" t="str">
        <f t="shared" si="386"/>
        <v>4Q15</v>
      </c>
      <c r="AH266" s="33" t="str">
        <f t="shared" si="386"/>
        <v>1Q16</v>
      </c>
      <c r="AI266" s="33" t="str">
        <f t="shared" si="386"/>
        <v>2Q16</v>
      </c>
      <c r="AJ266" s="33" t="str">
        <f t="shared" si="386"/>
        <v>3Q16</v>
      </c>
      <c r="AK266" s="33" t="str">
        <f t="shared" si="386"/>
        <v>4Q16</v>
      </c>
      <c r="AL266" s="33" t="str">
        <f t="shared" si="386"/>
        <v>1Q17</v>
      </c>
      <c r="AM266" s="33" t="str">
        <f t="shared" si="386"/>
        <v>2Q17</v>
      </c>
      <c r="AN266" s="33" t="str">
        <f t="shared" si="386"/>
        <v>3Q17</v>
      </c>
      <c r="AO266" s="33" t="str">
        <f t="shared" si="386"/>
        <v>4Q17</v>
      </c>
      <c r="AP266" s="33" t="str">
        <f t="shared" si="386"/>
        <v>1Q18E</v>
      </c>
      <c r="AQ266" s="33" t="str">
        <f t="shared" si="386"/>
        <v>2Q18E</v>
      </c>
      <c r="AR266" s="33" t="str">
        <f t="shared" si="386"/>
        <v>3Q18E</v>
      </c>
      <c r="AS266" s="33" t="str">
        <f t="shared" si="386"/>
        <v>4Q18E</v>
      </c>
      <c r="AT266" s="33" t="str">
        <f t="shared" si="386"/>
        <v>1Q19E</v>
      </c>
      <c r="AU266" s="33" t="str">
        <f t="shared" si="386"/>
        <v>2Q19E</v>
      </c>
      <c r="AV266" s="33" t="str">
        <f t="shared" si="386"/>
        <v>3Q19E</v>
      </c>
      <c r="AW266" s="33" t="str">
        <f t="shared" si="386"/>
        <v>4Q19E</v>
      </c>
      <c r="AX266" s="33" t="str">
        <f t="shared" si="386"/>
        <v>1Q20E</v>
      </c>
      <c r="AY266" s="33" t="str">
        <f t="shared" si="386"/>
        <v>2Q20E</v>
      </c>
      <c r="AZ266" s="33" t="str">
        <f t="shared" si="386"/>
        <v>3Q20E</v>
      </c>
      <c r="BA266" s="33" t="str">
        <f t="shared" si="386"/>
        <v>4Q20E</v>
      </c>
      <c r="BD266" s="186">
        <f t="shared" si="342"/>
        <v>258</v>
      </c>
    </row>
    <row r="267" spans="1:56" outlineLevel="1">
      <c r="A267" s="148" t="s">
        <v>71</v>
      </c>
      <c r="B267" s="149" t="s">
        <v>195</v>
      </c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188"/>
      <c r="AM267" s="188"/>
      <c r="AN267" s="188"/>
      <c r="AO267" s="188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D267" s="186">
        <f t="shared" si="342"/>
        <v>259</v>
      </c>
    </row>
    <row r="268" spans="1:56" outlineLevel="1">
      <c r="A268" s="148"/>
      <c r="B268" s="150" t="s">
        <v>196</v>
      </c>
      <c r="C268" s="48"/>
      <c r="D268" s="48"/>
      <c r="E268" s="48"/>
      <c r="F268" s="48"/>
      <c r="G268" s="122">
        <f>G254+G257+G263</f>
        <v>1788.1529999999998</v>
      </c>
      <c r="H268" s="122">
        <f t="shared" ref="H268:L268" si="387">H254+H257+H263</f>
        <v>925.86399999999992</v>
      </c>
      <c r="I268" s="122">
        <f t="shared" si="387"/>
        <v>1321.422</v>
      </c>
      <c r="J268" s="122">
        <f t="shared" si="387"/>
        <v>1558.5565678088292</v>
      </c>
      <c r="K268" s="122">
        <f t="shared" si="387"/>
        <v>1946.6302253876204</v>
      </c>
      <c r="L268" s="122">
        <f t="shared" si="387"/>
        <v>2277.0985029051435</v>
      </c>
      <c r="M268" s="35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122">
        <f>AD254+AD257+AD263</f>
        <v>2593.8959999999997</v>
      </c>
      <c r="AE268" s="122">
        <f t="shared" ref="AE268:AK268" si="388">AE254+AE257+AE263</f>
        <v>2533.1819999999998</v>
      </c>
      <c r="AF268" s="122">
        <f t="shared" si="388"/>
        <v>2080.5320000000002</v>
      </c>
      <c r="AG268" s="122">
        <f t="shared" si="388"/>
        <v>1788.1529999999998</v>
      </c>
      <c r="AH268" s="122">
        <f t="shared" si="388"/>
        <v>1499.788</v>
      </c>
      <c r="AI268" s="122">
        <f t="shared" si="388"/>
        <v>1289.43</v>
      </c>
      <c r="AJ268" s="122">
        <f t="shared" si="388"/>
        <v>-157.02099999999987</v>
      </c>
      <c r="AK268" s="122">
        <f t="shared" si="388"/>
        <v>925.86399999999992</v>
      </c>
      <c r="AL268" s="122">
        <f t="shared" ref="AL268:AM268" si="389">AL254+AL257+AL263</f>
        <v>905.95999999999992</v>
      </c>
      <c r="AM268" s="122">
        <f t="shared" si="389"/>
        <v>1112.1289999999999</v>
      </c>
      <c r="AN268" s="122">
        <f t="shared" ref="AN268:AO268" si="390">AN254+AN257+AN263</f>
        <v>1124.354</v>
      </c>
      <c r="AO268" s="122">
        <f t="shared" si="390"/>
        <v>1321.422</v>
      </c>
      <c r="AP268" s="122">
        <f t="shared" ref="AP268:BA268" si="391">AP254+AP257+AP263</f>
        <v>1357.5202786687801</v>
      </c>
      <c r="AQ268" s="122">
        <f t="shared" si="391"/>
        <v>1422.9909708388675</v>
      </c>
      <c r="AR268" s="122">
        <f t="shared" si="391"/>
        <v>1524.0931532993543</v>
      </c>
      <c r="AS268" s="122">
        <f t="shared" si="391"/>
        <v>1558.5565678088292</v>
      </c>
      <c r="AT268" s="122">
        <f t="shared" si="391"/>
        <v>1648.9559029176494</v>
      </c>
      <c r="AU268" s="122">
        <f t="shared" si="391"/>
        <v>1744.8937906218741</v>
      </c>
      <c r="AV268" s="122">
        <f t="shared" si="391"/>
        <v>1845.3246242711998</v>
      </c>
      <c r="AW268" s="122">
        <f t="shared" si="391"/>
        <v>1946.6302253876204</v>
      </c>
      <c r="AX268" s="122">
        <f t="shared" si="391"/>
        <v>2029.7993932174868</v>
      </c>
      <c r="AY268" s="122">
        <f t="shared" si="391"/>
        <v>2112.6148081143147</v>
      </c>
      <c r="AZ268" s="122">
        <f t="shared" si="391"/>
        <v>2195.0549005165044</v>
      </c>
      <c r="BA268" s="122">
        <f t="shared" si="391"/>
        <v>2277.0985029051435</v>
      </c>
      <c r="BD268" s="186">
        <f t="shared" si="342"/>
        <v>260</v>
      </c>
    </row>
    <row r="269" spans="1:56" outlineLevel="1">
      <c r="A269" s="148"/>
      <c r="B269" s="150" t="s">
        <v>197</v>
      </c>
      <c r="C269" s="48"/>
      <c r="D269" s="48"/>
      <c r="E269" s="48"/>
      <c r="F269" s="48"/>
      <c r="G269" s="122">
        <f>G254+G257</f>
        <v>1155.51</v>
      </c>
      <c r="H269" s="122">
        <f t="shared" ref="H269:L269" si="392">H254+H257</f>
        <v>0</v>
      </c>
      <c r="I269" s="122">
        <f t="shared" si="392"/>
        <v>0</v>
      </c>
      <c r="J269" s="122">
        <f t="shared" si="392"/>
        <v>0</v>
      </c>
      <c r="K269" s="122">
        <f t="shared" si="392"/>
        <v>0</v>
      </c>
      <c r="L269" s="122">
        <f t="shared" si="392"/>
        <v>0</v>
      </c>
      <c r="M269" s="35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122">
        <f>AD254+AD257</f>
        <v>1129.1979999999999</v>
      </c>
      <c r="AE269" s="122">
        <f t="shared" ref="AE269:AK269" si="393">AE254+AE257</f>
        <v>1131.3690000000001</v>
      </c>
      <c r="AF269" s="122">
        <f t="shared" si="393"/>
        <v>1129.93</v>
      </c>
      <c r="AG269" s="122">
        <f t="shared" si="393"/>
        <v>1155.51</v>
      </c>
      <c r="AH269" s="122">
        <f t="shared" si="393"/>
        <v>1287.567</v>
      </c>
      <c r="AI269" s="122">
        <f t="shared" si="393"/>
        <v>1367.152</v>
      </c>
      <c r="AJ269" s="122">
        <f t="shared" si="393"/>
        <v>25</v>
      </c>
      <c r="AK269" s="122">
        <f t="shared" si="393"/>
        <v>0</v>
      </c>
      <c r="AL269" s="122">
        <f t="shared" ref="AL269:AM269" si="394">AL254+AL257</f>
        <v>0</v>
      </c>
      <c r="AM269" s="122">
        <f t="shared" si="394"/>
        <v>0</v>
      </c>
      <c r="AN269" s="122">
        <f t="shared" ref="AN269:AO269" si="395">AN254+AN257</f>
        <v>0</v>
      </c>
      <c r="AO269" s="122">
        <f t="shared" si="395"/>
        <v>0</v>
      </c>
      <c r="AP269" s="122">
        <f t="shared" ref="AP269:BA269" si="396">AP254+AP257</f>
        <v>0</v>
      </c>
      <c r="AQ269" s="122">
        <f t="shared" si="396"/>
        <v>14.90383449777778</v>
      </c>
      <c r="AR269" s="122">
        <f t="shared" si="396"/>
        <v>46.604274636162245</v>
      </c>
      <c r="AS269" s="122">
        <f t="shared" si="396"/>
        <v>0</v>
      </c>
      <c r="AT269" s="122">
        <f t="shared" si="396"/>
        <v>0</v>
      </c>
      <c r="AU269" s="122">
        <f t="shared" si="396"/>
        <v>0</v>
      </c>
      <c r="AV269" s="122">
        <f t="shared" si="396"/>
        <v>0</v>
      </c>
      <c r="AW269" s="122">
        <f t="shared" si="396"/>
        <v>0</v>
      </c>
      <c r="AX269" s="122">
        <f t="shared" si="396"/>
        <v>0</v>
      </c>
      <c r="AY269" s="122">
        <f t="shared" si="396"/>
        <v>0</v>
      </c>
      <c r="AZ269" s="122">
        <f t="shared" si="396"/>
        <v>0</v>
      </c>
      <c r="BA269" s="122">
        <f t="shared" si="396"/>
        <v>0</v>
      </c>
      <c r="BD269" s="186">
        <f t="shared" si="342"/>
        <v>261</v>
      </c>
    </row>
    <row r="270" spans="1:56" outlineLevel="1">
      <c r="A270" s="148"/>
      <c r="B270" s="150" t="s">
        <v>198</v>
      </c>
      <c r="C270" s="48"/>
      <c r="D270" s="48"/>
      <c r="E270" s="48"/>
      <c r="F270" s="48"/>
      <c r="G270" s="122">
        <f>G269-G239</f>
        <v>1129.6099999999999</v>
      </c>
      <c r="H270" s="122">
        <f t="shared" ref="H270:L270" si="397">H269-H239</f>
        <v>-175.864</v>
      </c>
      <c r="I270" s="122">
        <f t="shared" si="397"/>
        <v>-113.887</v>
      </c>
      <c r="J270" s="122">
        <f t="shared" si="397"/>
        <v>-25.408097525753192</v>
      </c>
      <c r="K270" s="122">
        <f t="shared" si="397"/>
        <v>-305.54930552537854</v>
      </c>
      <c r="L270" s="122">
        <f t="shared" si="397"/>
        <v>-649.63477933243325</v>
      </c>
      <c r="M270" s="35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122">
        <f>AD269-AD239</f>
        <v>1089.356</v>
      </c>
      <c r="AE270" s="122">
        <f t="shared" ref="AE270:AK270" si="398">AE269-AE239</f>
        <v>1119.1050000000002</v>
      </c>
      <c r="AF270" s="122">
        <f t="shared" si="398"/>
        <v>1106.8</v>
      </c>
      <c r="AG270" s="122">
        <f t="shared" si="398"/>
        <v>1129.6099999999999</v>
      </c>
      <c r="AH270" s="122">
        <f t="shared" si="398"/>
        <v>1144.0319999999999</v>
      </c>
      <c r="AI270" s="122">
        <f t="shared" si="398"/>
        <v>1276.3820000000001</v>
      </c>
      <c r="AJ270" s="122">
        <f t="shared" si="398"/>
        <v>-76.411000000000001</v>
      </c>
      <c r="AK270" s="122">
        <f t="shared" si="398"/>
        <v>-175.864</v>
      </c>
      <c r="AL270" s="122">
        <f t="shared" ref="AL270:AM270" si="399">AL269-AL239</f>
        <v>-115.11799999999999</v>
      </c>
      <c r="AM270" s="122">
        <f t="shared" si="399"/>
        <v>-252.755</v>
      </c>
      <c r="AN270" s="122">
        <f t="shared" ref="AN270:AO270" si="400">AN269-AN239</f>
        <v>-213.124</v>
      </c>
      <c r="AO270" s="122">
        <f t="shared" si="400"/>
        <v>-113.887</v>
      </c>
      <c r="AP270" s="122">
        <f t="shared" ref="AP270" si="401">AP269-AP239</f>
        <v>-31.168975655384614</v>
      </c>
      <c r="AQ270" s="122">
        <f t="shared" ref="AQ270" si="402">AQ269-AQ239</f>
        <v>4.9038344977779929</v>
      </c>
      <c r="AR270" s="122">
        <f t="shared" ref="AR270" si="403">AR269-AR239</f>
        <v>36.60427463616233</v>
      </c>
      <c r="AS270" s="122">
        <f t="shared" ref="AS270" si="404">AS269-AS239</f>
        <v>-25.408097525753192</v>
      </c>
      <c r="AT270" s="122">
        <f t="shared" ref="AT270" si="405">AT269-AT239</f>
        <v>-55.208257265202747</v>
      </c>
      <c r="AU270" s="122">
        <f t="shared" ref="AU270" si="406">AU269-AU239</f>
        <v>-108.16656235416107</v>
      </c>
      <c r="AV270" s="122">
        <f t="shared" ref="AV270" si="407">AV269-AV239</f>
        <v>-202.9563178779245</v>
      </c>
      <c r="AW270" s="122">
        <f t="shared" ref="AW270" si="408">AW269-AW239</f>
        <v>-305.54930552537854</v>
      </c>
      <c r="AX270" s="122">
        <f t="shared" ref="AX270" si="409">AX269-AX239</f>
        <v>-386.95424704886113</v>
      </c>
      <c r="AY270" s="122">
        <f t="shared" ref="AY270" si="410">AY269-AY239</f>
        <v>-473.48659127794747</v>
      </c>
      <c r="AZ270" s="122">
        <f t="shared" ref="AZ270" si="411">AZ269-AZ239</f>
        <v>-564.30939028261105</v>
      </c>
      <c r="BA270" s="122">
        <f t="shared" ref="BA270" si="412">BA269-BA239</f>
        <v>-649.63477933243325</v>
      </c>
      <c r="BD270" s="186">
        <f t="shared" si="342"/>
        <v>262</v>
      </c>
    </row>
    <row r="271" spans="1:56" outlineLevel="1">
      <c r="A271" s="148"/>
      <c r="B271" s="151" t="s">
        <v>199</v>
      </c>
      <c r="C271" s="48"/>
      <c r="D271" s="48"/>
      <c r="E271" s="48"/>
      <c r="F271" s="48"/>
      <c r="G271" s="159">
        <f t="shared" ref="G271:L271" si="413">G269/G268</f>
        <v>0.64620309335946091</v>
      </c>
      <c r="H271" s="159">
        <f t="shared" si="413"/>
        <v>0</v>
      </c>
      <c r="I271" s="159">
        <f t="shared" si="413"/>
        <v>0</v>
      </c>
      <c r="J271" s="159">
        <f t="shared" si="413"/>
        <v>0</v>
      </c>
      <c r="K271" s="159">
        <f t="shared" si="413"/>
        <v>0</v>
      </c>
      <c r="L271" s="159">
        <f t="shared" si="413"/>
        <v>0</v>
      </c>
      <c r="M271" s="35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159">
        <f t="shared" ref="AD271:AK271" si="414">AD269/AD268</f>
        <v>0.43532894148416129</v>
      </c>
      <c r="AE271" s="159">
        <f t="shared" si="414"/>
        <v>0.44661970596664602</v>
      </c>
      <c r="AF271" s="159">
        <f t="shared" si="414"/>
        <v>0.54309666950568414</v>
      </c>
      <c r="AG271" s="159">
        <f t="shared" si="414"/>
        <v>0.64620309335946091</v>
      </c>
      <c r="AH271" s="159">
        <f t="shared" si="414"/>
        <v>0.85849933457261962</v>
      </c>
      <c r="AI271" s="159">
        <f t="shared" si="414"/>
        <v>1.0602762460932349</v>
      </c>
      <c r="AJ271" s="159">
        <f t="shared" si="414"/>
        <v>-0.15921437259984347</v>
      </c>
      <c r="AK271" s="159">
        <f t="shared" si="414"/>
        <v>0</v>
      </c>
      <c r="AL271" s="159">
        <f t="shared" ref="AL271:AM271" si="415">AL269/AL268</f>
        <v>0</v>
      </c>
      <c r="AM271" s="159">
        <f t="shared" si="415"/>
        <v>0</v>
      </c>
      <c r="AN271" s="159">
        <f t="shared" ref="AN271:AO271" si="416">AN269/AN268</f>
        <v>0</v>
      </c>
      <c r="AO271" s="159">
        <f t="shared" si="416"/>
        <v>0</v>
      </c>
      <c r="AP271" s="159">
        <f t="shared" ref="AP271:BA271" si="417">AP269/AP268</f>
        <v>0</v>
      </c>
      <c r="AQ271" s="159">
        <f t="shared" si="417"/>
        <v>1.0473597375668392E-2</v>
      </c>
      <c r="AR271" s="159">
        <f t="shared" si="417"/>
        <v>3.0578363622507845E-2</v>
      </c>
      <c r="AS271" s="159">
        <f t="shared" si="417"/>
        <v>0</v>
      </c>
      <c r="AT271" s="159">
        <f t="shared" si="417"/>
        <v>0</v>
      </c>
      <c r="AU271" s="159">
        <f t="shared" si="417"/>
        <v>0</v>
      </c>
      <c r="AV271" s="159">
        <f t="shared" si="417"/>
        <v>0</v>
      </c>
      <c r="AW271" s="159">
        <f t="shared" si="417"/>
        <v>0</v>
      </c>
      <c r="AX271" s="159">
        <f t="shared" si="417"/>
        <v>0</v>
      </c>
      <c r="AY271" s="159">
        <f t="shared" si="417"/>
        <v>0</v>
      </c>
      <c r="AZ271" s="159">
        <f t="shared" si="417"/>
        <v>0</v>
      </c>
      <c r="BA271" s="159">
        <f t="shared" si="417"/>
        <v>0</v>
      </c>
      <c r="BD271" s="186">
        <f t="shared" si="342"/>
        <v>263</v>
      </c>
    </row>
    <row r="272" spans="1:56" outlineLevel="1">
      <c r="A272" s="148"/>
      <c r="B272" s="150" t="s">
        <v>200</v>
      </c>
      <c r="C272" s="48"/>
      <c r="D272" s="48"/>
      <c r="E272" s="48"/>
      <c r="F272" s="48"/>
      <c r="G272" s="159">
        <f>G270/(G268-G239)</f>
        <v>0.64100330656267868</v>
      </c>
      <c r="H272" s="159">
        <f t="shared" ref="H272:L272" si="418">H270/(H268-H239)</f>
        <v>-0.23448533333333338</v>
      </c>
      <c r="I272" s="159">
        <f t="shared" si="418"/>
        <v>-9.4313622379475534E-2</v>
      </c>
      <c r="J272" s="159">
        <f t="shared" si="418"/>
        <v>-1.6572496413906943E-2</v>
      </c>
      <c r="K272" s="159">
        <f t="shared" si="418"/>
        <v>-0.18618783621652699</v>
      </c>
      <c r="L272" s="159">
        <f t="shared" si="418"/>
        <v>-0.39917005210187684</v>
      </c>
      <c r="M272" s="35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159">
        <f>AD270/(AD268-AD239)</f>
        <v>0.42652034765122437</v>
      </c>
      <c r="AE272" s="159">
        <f t="shared" ref="AE272:AK272" si="419">AE270/(AE268-AE239)</f>
        <v>0.44392756924263321</v>
      </c>
      <c r="AF272" s="159">
        <f t="shared" si="419"/>
        <v>0.53796000975988156</v>
      </c>
      <c r="AG272" s="159">
        <f t="shared" si="419"/>
        <v>0.64100330656267868</v>
      </c>
      <c r="AH272" s="159">
        <f t="shared" si="419"/>
        <v>0.84352403275789989</v>
      </c>
      <c r="AI272" s="159">
        <f t="shared" si="419"/>
        <v>1.0648407388250212</v>
      </c>
      <c r="AJ272" s="159">
        <f t="shared" si="419"/>
        <v>0.29567158865775151</v>
      </c>
      <c r="AK272" s="159">
        <f t="shared" si="419"/>
        <v>-0.23448533333333338</v>
      </c>
      <c r="AL272" s="159">
        <f t="shared" ref="AL272:AM272" si="420">AL270/(AL268-AL239)</f>
        <v>-0.14556384208223641</v>
      </c>
      <c r="AM272" s="159">
        <f t="shared" si="420"/>
        <v>-0.29411525133411065</v>
      </c>
      <c r="AN272" s="159">
        <f t="shared" ref="AN272:AO272" si="421">AN270/(AN268-AN239)</f>
        <v>-0.23388606608649845</v>
      </c>
      <c r="AO272" s="159">
        <f t="shared" si="421"/>
        <v>-9.4313622379475534E-2</v>
      </c>
      <c r="AP272" s="159">
        <f t="shared" ref="AP272:BA272" si="422">AP270/(AP268-AP239)</f>
        <v>-2.3499788920605315E-2</v>
      </c>
      <c r="AQ272" s="159">
        <f t="shared" si="422"/>
        <v>3.4705349142228935E-3</v>
      </c>
      <c r="AR272" s="159">
        <f t="shared" si="422"/>
        <v>2.417570844726304E-2</v>
      </c>
      <c r="AS272" s="159">
        <f t="shared" si="422"/>
        <v>-1.6572496413906943E-2</v>
      </c>
      <c r="AT272" s="159">
        <f t="shared" si="422"/>
        <v>-3.4640526319084632E-2</v>
      </c>
      <c r="AU272" s="159">
        <f t="shared" si="422"/>
        <v>-6.6087103877805531E-2</v>
      </c>
      <c r="AV272" s="159">
        <f t="shared" si="422"/>
        <v>-0.12357539845835612</v>
      </c>
      <c r="AW272" s="159">
        <f t="shared" si="422"/>
        <v>-0.18618783621652699</v>
      </c>
      <c r="AX272" s="159">
        <f t="shared" si="422"/>
        <v>-0.23553908775352295</v>
      </c>
      <c r="AY272" s="159">
        <f t="shared" si="422"/>
        <v>-0.28886488952756234</v>
      </c>
      <c r="AZ272" s="159">
        <f t="shared" si="422"/>
        <v>-0.34604381047884886</v>
      </c>
      <c r="BA272" s="159">
        <f t="shared" si="422"/>
        <v>-0.39917005210187684</v>
      </c>
      <c r="BD272" s="186">
        <f t="shared" si="342"/>
        <v>264</v>
      </c>
    </row>
    <row r="273" spans="1:56" outlineLevel="1">
      <c r="A273" s="148"/>
      <c r="B273" s="151" t="s">
        <v>201</v>
      </c>
      <c r="C273" s="48"/>
      <c r="D273" s="48"/>
      <c r="E273" s="48"/>
      <c r="F273" s="48"/>
      <c r="G273" s="160">
        <f>G270/G263</f>
        <v>1.7855409765064973</v>
      </c>
      <c r="H273" s="160">
        <f t="shared" ref="H273:L273" si="423">H270/H263</f>
        <v>-0.18994582357668083</v>
      </c>
      <c r="I273" s="160">
        <f t="shared" si="423"/>
        <v>-8.6185185353354191E-2</v>
      </c>
      <c r="J273" s="160">
        <f t="shared" si="423"/>
        <v>-1.6302326171885036E-2</v>
      </c>
      <c r="K273" s="160">
        <f t="shared" si="423"/>
        <v>-0.15696319801288219</v>
      </c>
      <c r="L273" s="160">
        <f t="shared" si="423"/>
        <v>-0.2852905917348868</v>
      </c>
      <c r="M273" s="35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160">
        <f>AD270/AD263</f>
        <v>0.7437410305742207</v>
      </c>
      <c r="AE273" s="160">
        <f t="shared" ref="AE273:AH273" si="424">AE270/AE263</f>
        <v>0.79832688097485205</v>
      </c>
      <c r="AF273" s="160">
        <f t="shared" si="424"/>
        <v>1.1643148236591128</v>
      </c>
      <c r="AG273" s="160">
        <f t="shared" si="424"/>
        <v>1.7855409765064973</v>
      </c>
      <c r="AH273" s="160">
        <f t="shared" si="424"/>
        <v>5.3907577478194915</v>
      </c>
      <c r="AI273" s="165" t="str">
        <f>IF(AI263&lt;0,"NM",AI270/AI263)</f>
        <v>NM</v>
      </c>
      <c r="AJ273" s="165" t="str">
        <f t="shared" ref="AJ273:AK273" si="425">IF(AJ263&lt;0,"NM",AJ270/AJ263)</f>
        <v>NM</v>
      </c>
      <c r="AK273" s="165">
        <f t="shared" si="425"/>
        <v>-0.18994582357668083</v>
      </c>
      <c r="AL273" s="165">
        <f t="shared" ref="AL273:AM273" si="426">IF(AL263&lt;0,"NM",AL270/AL263)</f>
        <v>-0.1270674201951521</v>
      </c>
      <c r="AM273" s="165">
        <f t="shared" si="426"/>
        <v>-0.22727129676503358</v>
      </c>
      <c r="AN273" s="165">
        <f t="shared" ref="AN273:AO273" si="427">IF(AN263&lt;0,"NM",AN270/AN263)</f>
        <v>-0.18955240075634541</v>
      </c>
      <c r="AO273" s="165">
        <f t="shared" si="427"/>
        <v>-8.6185185353354191E-2</v>
      </c>
      <c r="AP273" s="165">
        <f t="shared" ref="AP273:BA273" si="428">IF(AP263&lt;0,"NM",AP270/AP263)</f>
        <v>-2.2960228399644775E-2</v>
      </c>
      <c r="AQ273" s="165">
        <f t="shared" si="428"/>
        <v>3.4826214736401843E-3</v>
      </c>
      <c r="AR273" s="165">
        <f t="shared" si="428"/>
        <v>2.4774653240897004E-2</v>
      </c>
      <c r="AS273" s="165">
        <f t="shared" si="428"/>
        <v>-1.6302326171885036E-2</v>
      </c>
      <c r="AT273" s="165">
        <f t="shared" si="428"/>
        <v>-3.3480736002410798E-2</v>
      </c>
      <c r="AU273" s="165">
        <f t="shared" si="428"/>
        <v>-6.1990341724816891E-2</v>
      </c>
      <c r="AV273" s="165">
        <f t="shared" si="428"/>
        <v>-0.10998407283384132</v>
      </c>
      <c r="AW273" s="165">
        <f t="shared" si="428"/>
        <v>-0.15696319801288219</v>
      </c>
      <c r="AX273" s="165">
        <f t="shared" si="428"/>
        <v>-0.19063669461221489</v>
      </c>
      <c r="AY273" s="165">
        <f t="shared" si="428"/>
        <v>-0.22412348406313304</v>
      </c>
      <c r="AZ273" s="165">
        <f t="shared" si="428"/>
        <v>-0.25708213045141926</v>
      </c>
      <c r="BA273" s="165">
        <f t="shared" si="428"/>
        <v>-0.2852905917348868</v>
      </c>
      <c r="BD273" s="186">
        <f t="shared" si="342"/>
        <v>265</v>
      </c>
    </row>
    <row r="274" spans="1:56" outlineLevel="1">
      <c r="A274" s="148"/>
      <c r="B274" s="151"/>
      <c r="C274" s="48"/>
      <c r="D274" s="48"/>
      <c r="E274" s="48"/>
      <c r="F274" s="48"/>
      <c r="G274" s="161"/>
      <c r="H274" s="161"/>
      <c r="I274" s="161"/>
      <c r="J274" s="161"/>
      <c r="K274" s="161"/>
      <c r="L274" s="161"/>
      <c r="M274" s="35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161"/>
      <c r="AE274" s="35"/>
      <c r="AF274" s="35"/>
      <c r="AG274" s="35"/>
      <c r="AH274" s="35"/>
      <c r="AI274" s="35"/>
      <c r="AJ274" s="35"/>
      <c r="AK274" s="35"/>
      <c r="AL274" s="188"/>
      <c r="AM274" s="188"/>
      <c r="AN274" s="188"/>
      <c r="AO274" s="188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D274" s="186">
        <f t="shared" si="342"/>
        <v>266</v>
      </c>
    </row>
    <row r="275" spans="1:56" outlineLevel="1">
      <c r="A275" s="148"/>
      <c r="B275" s="151" t="s">
        <v>202</v>
      </c>
      <c r="C275" s="48"/>
      <c r="D275" s="48"/>
      <c r="E275" s="48"/>
      <c r="F275" s="48"/>
      <c r="G275" s="164">
        <f t="shared" ref="G275:L275" si="429">IFERROR(G270/G20,"NM")</f>
        <v>21.313396226415094</v>
      </c>
      <c r="H275" s="164">
        <f t="shared" si="429"/>
        <v>1.8542839670188314</v>
      </c>
      <c r="I275" s="164">
        <f t="shared" si="429"/>
        <v>-0.87026989852060155</v>
      </c>
      <c r="J275" s="164">
        <f t="shared" si="429"/>
        <v>-6.0852258816800273E-2</v>
      </c>
      <c r="K275" s="164">
        <f t="shared" si="429"/>
        <v>-0.50103249309939935</v>
      </c>
      <c r="L275" s="164">
        <f t="shared" si="429"/>
        <v>-1.0382277858179076</v>
      </c>
      <c r="M275" s="35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164" t="str">
        <f t="shared" ref="AD275:BA275" si="430">IFERROR(AD270/SUM(AA20:AD20),"NM")</f>
        <v>NM</v>
      </c>
      <c r="AE275" s="164">
        <f t="shared" si="430"/>
        <v>55.003686228251411</v>
      </c>
      <c r="AF275" s="164">
        <f t="shared" si="430"/>
        <v>123.85854968666079</v>
      </c>
      <c r="AG275" s="164">
        <f t="shared" si="430"/>
        <v>67.754918426103714</v>
      </c>
      <c r="AH275" s="164">
        <f t="shared" si="430"/>
        <v>-75.593498083784766</v>
      </c>
      <c r="AI275" s="164">
        <f t="shared" si="430"/>
        <v>-18.577986725663727</v>
      </c>
      <c r="AJ275" s="164">
        <f t="shared" si="430"/>
        <v>1.0160767000877635</v>
      </c>
      <c r="AK275" s="164">
        <f t="shared" si="430"/>
        <v>1.8542839670188314</v>
      </c>
      <c r="AL275" s="164">
        <f t="shared" si="430"/>
        <v>1.9694450147129268</v>
      </c>
      <c r="AM275" s="164">
        <f t="shared" si="430"/>
        <v>2141.9915254236907</v>
      </c>
      <c r="AN275" s="164">
        <f t="shared" si="430"/>
        <v>-3.4548136620791388</v>
      </c>
      <c r="AO275" s="164">
        <f t="shared" si="430"/>
        <v>-0.87026989852060155</v>
      </c>
      <c r="AP275" s="164">
        <f t="shared" si="430"/>
        <v>-0.15617306619960655</v>
      </c>
      <c r="AQ275" s="164">
        <f t="shared" si="430"/>
        <v>1.8307882743002404E-2</v>
      </c>
      <c r="AR275" s="164">
        <f t="shared" si="430"/>
        <v>0.10728782730065441</v>
      </c>
      <c r="AS275" s="164">
        <f t="shared" si="430"/>
        <v>-6.0852258816800273E-2</v>
      </c>
      <c r="AT275" s="164">
        <f t="shared" si="430"/>
        <v>-0.11317451460580977</v>
      </c>
      <c r="AU275" s="164">
        <f t="shared" si="430"/>
        <v>-0.1983196149784639</v>
      </c>
      <c r="AV275" s="164">
        <f t="shared" si="430"/>
        <v>-0.34662240057274712</v>
      </c>
      <c r="AW275" s="164">
        <f t="shared" si="430"/>
        <v>-0.50103249309939935</v>
      </c>
      <c r="AX275" s="164">
        <f t="shared" si="430"/>
        <v>-0.62038633461564829</v>
      </c>
      <c r="AY275" s="164">
        <f t="shared" si="430"/>
        <v>-0.7521249700815843</v>
      </c>
      <c r="AZ275" s="164">
        <f t="shared" si="430"/>
        <v>-0.89817493081067956</v>
      </c>
      <c r="BA275" s="164">
        <f t="shared" si="430"/>
        <v>-1.0382277858179076</v>
      </c>
      <c r="BD275" s="186">
        <f t="shared" si="342"/>
        <v>267</v>
      </c>
    </row>
    <row r="276" spans="1:56" outlineLevel="1">
      <c r="A276" s="148"/>
      <c r="B276" s="151" t="s">
        <v>203</v>
      </c>
      <c r="C276" s="48"/>
      <c r="D276" s="48"/>
      <c r="E276" s="48"/>
      <c r="F276" s="48"/>
      <c r="G276" s="164">
        <f t="shared" ref="G276:L276" si="431">IFERROR(G270/G22,"NM")</f>
        <v>-4.3953696498054473</v>
      </c>
      <c r="H276" s="164">
        <f t="shared" si="431"/>
        <v>0.56315765878276691</v>
      </c>
      <c r="I276" s="164">
        <f t="shared" si="431"/>
        <v>11.637747802983887</v>
      </c>
      <c r="J276" s="164">
        <f t="shared" si="431"/>
        <v>-0.11167855038449784</v>
      </c>
      <c r="K276" s="164">
        <f t="shared" si="431"/>
        <v>-0.79836412149732716</v>
      </c>
      <c r="L276" s="164">
        <f t="shared" si="431"/>
        <v>-1.6374754997973218</v>
      </c>
      <c r="M276" s="35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164" t="str">
        <f t="shared" ref="AD276:BA276" si="432">IFERROR(AD270/SUM(AA22:AD22),"NM")</f>
        <v>NM</v>
      </c>
      <c r="AE276" s="164">
        <f t="shared" si="432"/>
        <v>-18.294997547817548</v>
      </c>
      <c r="AF276" s="164">
        <f t="shared" si="432"/>
        <v>-7.5133560969649249</v>
      </c>
      <c r="AG276" s="164">
        <f t="shared" si="432"/>
        <v>-5.0827697610273432</v>
      </c>
      <c r="AH276" s="164">
        <f t="shared" si="432"/>
        <v>-3.6550309582686369</v>
      </c>
      <c r="AI276" s="164">
        <f t="shared" si="432"/>
        <v>-3.7613772658020452</v>
      </c>
      <c r="AJ276" s="164">
        <f t="shared" si="432"/>
        <v>0.23698697689709608</v>
      </c>
      <c r="AK276" s="164">
        <f t="shared" si="432"/>
        <v>0.5631576587827668</v>
      </c>
      <c r="AL276" s="164">
        <f t="shared" si="432"/>
        <v>0.46316763563942143</v>
      </c>
      <c r="AM276" s="164">
        <f t="shared" si="432"/>
        <v>1.4977097789181146</v>
      </c>
      <c r="AN276" s="164">
        <f t="shared" si="432"/>
        <v>2.3189850278551529</v>
      </c>
      <c r="AO276" s="164">
        <f t="shared" si="432"/>
        <v>11.637747802983853</v>
      </c>
      <c r="AP276" s="164">
        <f t="shared" si="432"/>
        <v>-0.62199191111234353</v>
      </c>
      <c r="AQ276" s="164">
        <f t="shared" si="432"/>
        <v>4.6426329630698385E-2</v>
      </c>
      <c r="AR276" s="164">
        <f t="shared" si="432"/>
        <v>0.22156590455949565</v>
      </c>
      <c r="AS276" s="164">
        <f t="shared" si="432"/>
        <v>-0.11167855038449785</v>
      </c>
      <c r="AT276" s="164">
        <f t="shared" si="432"/>
        <v>-0.19474398705361326</v>
      </c>
      <c r="AU276" s="164">
        <f t="shared" si="432"/>
        <v>-0.32751374560925128</v>
      </c>
      <c r="AV276" s="164">
        <f t="shared" si="432"/>
        <v>-0.56025897148548787</v>
      </c>
      <c r="AW276" s="164">
        <f t="shared" si="432"/>
        <v>-0.79836412149732716</v>
      </c>
      <c r="AX276" s="164">
        <f t="shared" si="432"/>
        <v>-0.98275481166919287</v>
      </c>
      <c r="AY276" s="164">
        <f t="shared" si="432"/>
        <v>-1.1878382260354772</v>
      </c>
      <c r="AZ276" s="164">
        <f t="shared" si="432"/>
        <v>-1.4165366718993544</v>
      </c>
      <c r="BA276" s="164">
        <f t="shared" si="432"/>
        <v>-1.6374754997973213</v>
      </c>
      <c r="BD276" s="186">
        <f t="shared" si="342"/>
        <v>268</v>
      </c>
    </row>
    <row r="277" spans="1:56" outlineLevel="1">
      <c r="A277" s="148"/>
      <c r="B277" s="151"/>
      <c r="C277" s="48"/>
      <c r="D277" s="48"/>
      <c r="E277" s="48"/>
      <c r="F277" s="48"/>
      <c r="G277" s="35"/>
      <c r="H277" s="35"/>
      <c r="I277" s="35"/>
      <c r="J277" s="35"/>
      <c r="K277" s="35"/>
      <c r="L277" s="35"/>
      <c r="M277" s="35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161"/>
      <c r="AE277" s="35"/>
      <c r="AF277" s="35"/>
      <c r="AG277" s="35"/>
      <c r="AH277" s="35"/>
      <c r="AI277" s="35"/>
      <c r="AJ277" s="35"/>
      <c r="AK277" s="35"/>
      <c r="AL277" s="188"/>
      <c r="AM277" s="188"/>
      <c r="AN277" s="188"/>
      <c r="AO277" s="188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D277" s="186">
        <f t="shared" si="342"/>
        <v>269</v>
      </c>
    </row>
    <row r="278" spans="1:56" outlineLevel="1">
      <c r="A278" s="148"/>
      <c r="B278" s="150" t="s">
        <v>204</v>
      </c>
      <c r="C278" s="48"/>
      <c r="D278" s="48"/>
      <c r="E278" s="48"/>
      <c r="F278" s="48"/>
      <c r="G278" s="162">
        <f t="shared" ref="G278:L278" si="433">IFERROR(G20/-G23,"NM")</f>
        <v>0.53535353535353536</v>
      </c>
      <c r="H278" s="162">
        <f t="shared" si="433"/>
        <v>-1.4465339739190117</v>
      </c>
      <c r="I278" s="162">
        <f t="shared" si="433"/>
        <v>85.700065487884743</v>
      </c>
      <c r="J278" s="162">
        <f t="shared" si="433"/>
        <v>261.11364389893862</v>
      </c>
      <c r="K278" s="162">
        <f t="shared" si="433"/>
        <v>508.19941775838896</v>
      </c>
      <c r="L278" s="162">
        <f t="shared" si="433"/>
        <v>521.42923114302903</v>
      </c>
      <c r="M278" s="35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162" t="str">
        <f t="shared" ref="AD278:BA278" si="434">IFERROR(AD20/-AD23,"NM")</f>
        <v>NM</v>
      </c>
      <c r="AE278" s="162">
        <f t="shared" si="434"/>
        <v>0.85258129399932725</v>
      </c>
      <c r="AF278" s="162">
        <f t="shared" si="434"/>
        <v>-0.40181715734610346</v>
      </c>
      <c r="AG278" s="162">
        <f t="shared" si="434"/>
        <v>0.31399926939156514</v>
      </c>
      <c r="AH278" s="162">
        <f t="shared" si="434"/>
        <v>-1.2488613161614575</v>
      </c>
      <c r="AI278" s="162">
        <f t="shared" si="434"/>
        <v>-1.1062129586468674</v>
      </c>
      <c r="AJ278" s="162">
        <f t="shared" si="434"/>
        <v>-2.1951458690855605</v>
      </c>
      <c r="AK278" s="162">
        <f t="shared" si="434"/>
        <v>-6.2488188976377801</v>
      </c>
      <c r="AL278" s="162">
        <f t="shared" si="434"/>
        <v>6.6338639652677278</v>
      </c>
      <c r="AM278" s="162">
        <f t="shared" si="434"/>
        <v>60.652173913043477</v>
      </c>
      <c r="AN278" s="162">
        <f t="shared" si="434"/>
        <v>256.71929824561403</v>
      </c>
      <c r="AO278" s="162">
        <f t="shared" si="434"/>
        <v>228.17131474103587</v>
      </c>
      <c r="AP278" s="162">
        <f t="shared" si="434"/>
        <v>244.33237506453679</v>
      </c>
      <c r="AQ278" s="162">
        <f t="shared" si="434"/>
        <v>311.28002488830589</v>
      </c>
      <c r="AR278" s="162">
        <f t="shared" si="434"/>
        <v>390.74514576290079</v>
      </c>
      <c r="AS278" s="162">
        <f t="shared" si="434"/>
        <v>191.15584912942782</v>
      </c>
      <c r="AT278" s="162">
        <f t="shared" si="434"/>
        <v>478.59177028800445</v>
      </c>
      <c r="AU278" s="162">
        <f t="shared" si="434"/>
        <v>503.280268392148</v>
      </c>
      <c r="AV278" s="162">
        <f t="shared" si="434"/>
        <v>524.44625380922196</v>
      </c>
      <c r="AW278" s="162">
        <f t="shared" si="434"/>
        <v>526.47937854418149</v>
      </c>
      <c r="AX278" s="162">
        <f t="shared" si="434"/>
        <v>524.89774514951409</v>
      </c>
      <c r="AY278" s="162">
        <f t="shared" si="434"/>
        <v>522.61597815623406</v>
      </c>
      <c r="AZ278" s="162">
        <f t="shared" si="434"/>
        <v>520.28857582308842</v>
      </c>
      <c r="BA278" s="162">
        <f t="shared" si="434"/>
        <v>517.91462544327987</v>
      </c>
      <c r="BD278" s="186">
        <f t="shared" si="342"/>
        <v>270</v>
      </c>
    </row>
    <row r="279" spans="1:56" outlineLevel="1">
      <c r="A279" s="148"/>
      <c r="B279" s="150" t="s">
        <v>205</v>
      </c>
      <c r="C279" s="48"/>
      <c r="D279" s="48"/>
      <c r="E279" s="48"/>
      <c r="F279" s="48"/>
      <c r="G279" s="162">
        <f t="shared" ref="G279:L279" si="435">IFERROR((G20+G221)/-G23,"NM")</f>
        <v>-1.1446565656565657</v>
      </c>
      <c r="H279" s="162">
        <f t="shared" si="435"/>
        <v>-2.3297643559826127</v>
      </c>
      <c r="I279" s="162">
        <f t="shared" si="435"/>
        <v>-51.946299934512112</v>
      </c>
      <c r="J279" s="162">
        <f t="shared" si="435"/>
        <v>-13.219320388650811</v>
      </c>
      <c r="K279" s="162">
        <f t="shared" si="435"/>
        <v>277.38801531936457</v>
      </c>
      <c r="L279" s="162">
        <f t="shared" si="435"/>
        <v>343.19305228124045</v>
      </c>
      <c r="M279" s="35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162" t="str">
        <f t="shared" ref="AD279:BA279" si="436">IFERROR((AD20+AD221)/-AD23,"NM")</f>
        <v>NM</v>
      </c>
      <c r="AE279" s="162">
        <f t="shared" si="436"/>
        <v>-2.0269024472008073</v>
      </c>
      <c r="AF279" s="162">
        <f t="shared" si="436"/>
        <v>-1.2535920552190434</v>
      </c>
      <c r="AG279" s="162">
        <f t="shared" si="436"/>
        <v>-0.6938344766002349</v>
      </c>
      <c r="AH279" s="162">
        <f t="shared" si="436"/>
        <v>-1.9818203235432699</v>
      </c>
      <c r="AI279" s="162">
        <f t="shared" si="436"/>
        <v>-1.6978757408270631</v>
      </c>
      <c r="AJ279" s="162">
        <f t="shared" si="436"/>
        <v>-3.1964942387840165</v>
      </c>
      <c r="AK279" s="162">
        <f t="shared" si="436"/>
        <v>-13.232020997375294</v>
      </c>
      <c r="AL279" s="162">
        <f t="shared" si="436"/>
        <v>-10.131693198263388</v>
      </c>
      <c r="AM279" s="162">
        <f t="shared" si="436"/>
        <v>-86.59903381642512</v>
      </c>
      <c r="AN279" s="162">
        <f t="shared" si="436"/>
        <v>-204.672514619883</v>
      </c>
      <c r="AO279" s="162">
        <f t="shared" si="436"/>
        <v>-5.8565737051793629</v>
      </c>
      <c r="AP279" s="162">
        <f t="shared" si="436"/>
        <v>-190.02262493546323</v>
      </c>
      <c r="AQ279" s="162">
        <f t="shared" si="436"/>
        <v>-97.049975111694152</v>
      </c>
      <c r="AR279" s="162">
        <f t="shared" si="436"/>
        <v>-6.743187570432573</v>
      </c>
      <c r="AS279" s="162">
        <f t="shared" si="436"/>
        <v>95.85128673305114</v>
      </c>
      <c r="AT279" s="162">
        <f t="shared" si="436"/>
        <v>197.82721744247601</v>
      </c>
      <c r="AU279" s="162">
        <f t="shared" si="436"/>
        <v>215.6315692051561</v>
      </c>
      <c r="AV279" s="162">
        <f t="shared" si="436"/>
        <v>347.58007494743333</v>
      </c>
      <c r="AW279" s="162">
        <f t="shared" si="436"/>
        <v>348.51319968239278</v>
      </c>
      <c r="AX279" s="162">
        <f t="shared" si="436"/>
        <v>346.66156628772541</v>
      </c>
      <c r="AY279" s="162">
        <f t="shared" si="436"/>
        <v>344.37979929444538</v>
      </c>
      <c r="AZ279" s="162">
        <f t="shared" si="436"/>
        <v>342.05239696129979</v>
      </c>
      <c r="BA279" s="162">
        <f t="shared" si="436"/>
        <v>339.6784465814913</v>
      </c>
      <c r="BD279" s="186">
        <f t="shared" si="342"/>
        <v>271</v>
      </c>
    </row>
    <row r="280" spans="1:56" outlineLevel="1">
      <c r="A280" s="148"/>
      <c r="B280" s="150" t="s">
        <v>206</v>
      </c>
      <c r="C280" s="48"/>
      <c r="D280" s="48"/>
      <c r="E280" s="48"/>
      <c r="F280" s="48"/>
      <c r="G280" s="162">
        <f t="shared" ref="G280:L280" si="437">IFERROR(G22/-G23,"NM")</f>
        <v>-2.595959595959596</v>
      </c>
      <c r="H280" s="162">
        <f t="shared" si="437"/>
        <v>-4.7629375428963625</v>
      </c>
      <c r="I280" s="162">
        <f t="shared" si="437"/>
        <v>-6.4086444007858363</v>
      </c>
      <c r="J280" s="162">
        <f t="shared" si="437"/>
        <v>142.27759031999079</v>
      </c>
      <c r="K280" s="162">
        <f t="shared" si="437"/>
        <v>318.93269551442546</v>
      </c>
      <c r="L280" s="162">
        <f t="shared" si="437"/>
        <v>330.60788767671221</v>
      </c>
      <c r="M280" s="35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162" t="str">
        <f t="shared" ref="AD280:BA280" si="438">IFERROR(AD22/-AD23,"NM")</f>
        <v>NM</v>
      </c>
      <c r="AE280" s="162">
        <f t="shared" si="438"/>
        <v>-2.563275226282268</v>
      </c>
      <c r="AF280" s="162">
        <f t="shared" si="438"/>
        <v>-3.0335610649387217</v>
      </c>
      <c r="AG280" s="162">
        <f t="shared" si="438"/>
        <v>-3.0414417339773512</v>
      </c>
      <c r="AH280" s="162">
        <f t="shared" si="438"/>
        <v>-3.5636485000785298</v>
      </c>
      <c r="AI280" s="162">
        <f t="shared" si="438"/>
        <v>-2.9135979223546657</v>
      </c>
      <c r="AJ280" s="162">
        <f t="shared" si="438"/>
        <v>-8.4860259867614616</v>
      </c>
      <c r="AK280" s="162">
        <f t="shared" si="438"/>
        <v>-34.008923884514353</v>
      </c>
      <c r="AL280" s="162">
        <f t="shared" si="438"/>
        <v>-39.105643994211292</v>
      </c>
      <c r="AM280" s="162">
        <f t="shared" si="438"/>
        <v>-18.654589371980673</v>
      </c>
      <c r="AN280" s="162">
        <f t="shared" si="438"/>
        <v>44.60818713450292</v>
      </c>
      <c r="AO280" s="162">
        <f t="shared" si="438"/>
        <v>69.047808764940257</v>
      </c>
      <c r="AP280" s="162">
        <f t="shared" si="438"/>
        <v>109.58515006453679</v>
      </c>
      <c r="AQ280" s="162">
        <f t="shared" si="438"/>
        <v>159.3053528258059</v>
      </c>
      <c r="AR280" s="162">
        <f t="shared" si="438"/>
        <v>224.03004234399447</v>
      </c>
      <c r="AS280" s="162">
        <f t="shared" si="438"/>
        <v>113.91634028861081</v>
      </c>
      <c r="AT280" s="162">
        <f t="shared" si="438"/>
        <v>296.18671858701032</v>
      </c>
      <c r="AU280" s="162">
        <f t="shared" si="438"/>
        <v>315.21954537534322</v>
      </c>
      <c r="AV280" s="162">
        <f t="shared" si="438"/>
        <v>330.65922216263129</v>
      </c>
      <c r="AW280" s="162">
        <f t="shared" si="438"/>
        <v>333.66529593271696</v>
      </c>
      <c r="AX280" s="162">
        <f t="shared" si="438"/>
        <v>332.93741700365587</v>
      </c>
      <c r="AY280" s="162">
        <f t="shared" si="438"/>
        <v>331.44478859420985</v>
      </c>
      <c r="AZ280" s="162">
        <f t="shared" si="438"/>
        <v>329.86114937632789</v>
      </c>
      <c r="BA280" s="162">
        <f t="shared" si="438"/>
        <v>328.18819573265523</v>
      </c>
      <c r="BD280" s="186">
        <f t="shared" si="342"/>
        <v>272</v>
      </c>
    </row>
    <row r="281" spans="1:56" outlineLevel="1">
      <c r="A281" s="148"/>
      <c r="B281" s="151" t="s">
        <v>207</v>
      </c>
      <c r="C281" s="48"/>
      <c r="D281" s="48"/>
      <c r="E281" s="48"/>
      <c r="F281" s="48"/>
      <c r="G281" s="163">
        <f t="shared" ref="G281:L281" si="439">-G221/G211</f>
        <v>0.60184257091473592</v>
      </c>
      <c r="H281" s="163">
        <f t="shared" si="439"/>
        <v>0.26632174392935981</v>
      </c>
      <c r="I281" s="163">
        <f t="shared" si="439"/>
        <v>1.4943903306078923</v>
      </c>
      <c r="J281" s="163">
        <f t="shared" si="439"/>
        <v>2.3084994496669182</v>
      </c>
      <c r="K281" s="163">
        <f t="shared" si="439"/>
        <v>1.2195033532704713</v>
      </c>
      <c r="L281" s="163">
        <f t="shared" si="439"/>
        <v>0.934047395454221</v>
      </c>
      <c r="M281" s="35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163">
        <f t="shared" ref="AD281:BA281" si="440">-AD221/AD211</f>
        <v>1.2978257385544101</v>
      </c>
      <c r="AE281" s="163">
        <f t="shared" si="440"/>
        <v>0.84297561214976224</v>
      </c>
      <c r="AF281" s="163">
        <f t="shared" si="440"/>
        <v>0.32365417296704185</v>
      </c>
      <c r="AG281" s="163">
        <f t="shared" si="440"/>
        <v>0.30035805874098781</v>
      </c>
      <c r="AH281" s="163">
        <f t="shared" si="440"/>
        <v>0.3166420708021645</v>
      </c>
      <c r="AI281" s="163">
        <f t="shared" si="440"/>
        <v>0.32735847318681716</v>
      </c>
      <c r="AJ281" s="163">
        <f t="shared" si="440"/>
        <v>0.1591746068860701</v>
      </c>
      <c r="AK281" s="163">
        <f t="shared" si="440"/>
        <v>0.25155532023523619</v>
      </c>
      <c r="AL281" s="163">
        <f t="shared" ref="AL281:AM281" si="441">-AL221/AL211</f>
        <v>0.36654432702651396</v>
      </c>
      <c r="AM281" s="163">
        <f t="shared" si="441"/>
        <v>1.8567295099442633</v>
      </c>
      <c r="AN281" s="163">
        <f t="shared" ref="AN281:AO281" si="442">-AN221/AN211</f>
        <v>2.1752364147666179</v>
      </c>
      <c r="AO281" s="163">
        <f t="shared" si="442"/>
        <v>1.470731096644968</v>
      </c>
      <c r="AP281" s="163">
        <f t="shared" si="440"/>
        <v>3.2234801124846908</v>
      </c>
      <c r="AQ281" s="163">
        <f t="shared" si="440"/>
        <v>2.686829288449283</v>
      </c>
      <c r="AR281" s="163">
        <f t="shared" si="440"/>
        <v>2.3842370917922264</v>
      </c>
      <c r="AS281" s="163">
        <f t="shared" si="440"/>
        <v>1.2338835891977251</v>
      </c>
      <c r="AT281" s="163">
        <f t="shared" si="440"/>
        <v>1.5392367164576628</v>
      </c>
      <c r="AU281" s="163">
        <f t="shared" si="440"/>
        <v>1.5295522348985546</v>
      </c>
      <c r="AV281" s="163">
        <f t="shared" si="440"/>
        <v>0.91268325521565064</v>
      </c>
      <c r="AW281" s="163">
        <f t="shared" si="440"/>
        <v>0.92299367583230141</v>
      </c>
      <c r="AX281" s="163">
        <f t="shared" si="440"/>
        <v>0.92850528327060666</v>
      </c>
      <c r="AY281" s="163">
        <f t="shared" si="440"/>
        <v>0.93233807494806198</v>
      </c>
      <c r="AZ281" s="163">
        <f t="shared" si="440"/>
        <v>0.9359795602322003</v>
      </c>
      <c r="BA281" s="163">
        <f t="shared" si="440"/>
        <v>0.9394377954280736</v>
      </c>
      <c r="BD281" s="186">
        <f t="shared" si="342"/>
        <v>273</v>
      </c>
    </row>
    <row r="282" spans="1:56" outlineLevel="1">
      <c r="A282" s="148"/>
      <c r="B282" s="151"/>
      <c r="C282" s="48"/>
      <c r="D282" s="48"/>
      <c r="E282" s="48"/>
      <c r="F282" s="48"/>
      <c r="G282" s="35"/>
      <c r="H282" s="35"/>
      <c r="I282" s="35"/>
      <c r="J282" s="35"/>
      <c r="K282" s="35"/>
      <c r="L282" s="35"/>
      <c r="M282" s="35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35"/>
      <c r="AE282" s="35"/>
      <c r="AF282" s="35"/>
      <c r="AG282" s="35"/>
      <c r="AH282" s="35"/>
      <c r="AI282" s="35"/>
      <c r="AJ282" s="35"/>
      <c r="AK282" s="35"/>
      <c r="AL282" s="188"/>
      <c r="AM282" s="188"/>
      <c r="AN282" s="188"/>
      <c r="AO282" s="188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D282" s="186">
        <f t="shared" si="342"/>
        <v>274</v>
      </c>
    </row>
    <row r="283" spans="1:56" outlineLevel="1">
      <c r="A283" s="148" t="s">
        <v>71</v>
      </c>
      <c r="B283" s="149" t="s">
        <v>208</v>
      </c>
      <c r="C283" s="48"/>
      <c r="D283" s="48"/>
      <c r="E283" s="48"/>
      <c r="F283" s="48"/>
      <c r="G283" s="35"/>
      <c r="H283" s="35"/>
      <c r="I283" s="35"/>
      <c r="J283" s="35"/>
      <c r="K283" s="35"/>
      <c r="L283" s="35"/>
      <c r="M283" s="35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35"/>
      <c r="AE283" s="35"/>
      <c r="AF283" s="35"/>
      <c r="AG283" s="35"/>
      <c r="AH283" s="35"/>
      <c r="AI283" s="35"/>
      <c r="AJ283" s="35"/>
      <c r="AK283" s="35"/>
      <c r="AL283" s="188"/>
      <c r="AM283" s="188"/>
      <c r="AN283" s="188"/>
      <c r="AO283" s="188"/>
      <c r="AP283" s="188"/>
      <c r="AQ283" s="188"/>
      <c r="AR283" s="188"/>
      <c r="AS283" s="188"/>
      <c r="AT283" s="35"/>
      <c r="AU283" s="35"/>
      <c r="AV283" s="35"/>
      <c r="AW283" s="35"/>
      <c r="AX283" s="35"/>
      <c r="AY283" s="35"/>
      <c r="AZ283" s="35"/>
      <c r="BA283" s="35"/>
      <c r="BD283" s="186">
        <f t="shared" si="342"/>
        <v>275</v>
      </c>
    </row>
    <row r="284" spans="1:56" hidden="1" outlineLevel="2">
      <c r="A284" s="148"/>
      <c r="B284" s="150" t="s">
        <v>209</v>
      </c>
      <c r="C284" s="48"/>
      <c r="D284" s="48"/>
      <c r="E284" s="48"/>
      <c r="F284" s="48"/>
      <c r="G284" s="35">
        <f>G244-G256</f>
        <v>193.57499999999999</v>
      </c>
      <c r="H284" s="35">
        <f t="shared" ref="H284:L284" si="443">H244-H256</f>
        <v>271.38499999999999</v>
      </c>
      <c r="I284" s="35">
        <f t="shared" si="443"/>
        <v>333.74699999999996</v>
      </c>
      <c r="J284" s="35">
        <f t="shared" si="443"/>
        <v>323.61741420132159</v>
      </c>
      <c r="K284" s="35">
        <f t="shared" si="443"/>
        <v>662.11522021120834</v>
      </c>
      <c r="L284" s="35">
        <f t="shared" si="443"/>
        <v>1007.601551772592</v>
      </c>
      <c r="M284" s="35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35">
        <f>AD244-AD256</f>
        <v>248.92799999999988</v>
      </c>
      <c r="AE284" s="35">
        <f t="shared" ref="AE284:BA284" si="444">AE244-AE256</f>
        <v>182.17900000000003</v>
      </c>
      <c r="AF284" s="35">
        <f t="shared" si="444"/>
        <v>171.392</v>
      </c>
      <c r="AG284" s="35">
        <f t="shared" si="444"/>
        <v>193.57499999999999</v>
      </c>
      <c r="AH284" s="35">
        <f t="shared" si="444"/>
        <v>-970.57799999999975</v>
      </c>
      <c r="AI284" s="35">
        <f t="shared" si="444"/>
        <v>-1167.1979999999999</v>
      </c>
      <c r="AJ284" s="35">
        <f t="shared" si="444"/>
        <v>-1278.5</v>
      </c>
      <c r="AK284" s="35">
        <f t="shared" si="444"/>
        <v>271.38499999999999</v>
      </c>
      <c r="AL284" s="188">
        <f t="shared" ref="AL284:AM284" si="445">AL244-AL256</f>
        <v>270.22500000000002</v>
      </c>
      <c r="AM284" s="188">
        <f t="shared" si="445"/>
        <v>451.74600000000009</v>
      </c>
      <c r="AN284" s="188">
        <f t="shared" ref="AN284:AO284" si="446">AN244-AN256</f>
        <v>428.69300000000004</v>
      </c>
      <c r="AO284" s="188">
        <f t="shared" si="446"/>
        <v>333.74699999999996</v>
      </c>
      <c r="AP284" s="35">
        <f t="shared" si="444"/>
        <v>280.46373503581486</v>
      </c>
      <c r="AQ284" s="35">
        <f t="shared" si="444"/>
        <v>269.45632202459035</v>
      </c>
      <c r="AR284" s="35">
        <f t="shared" si="444"/>
        <v>301.71226870592648</v>
      </c>
      <c r="AS284" s="35">
        <f t="shared" si="444"/>
        <v>323.61741420132159</v>
      </c>
      <c r="AT284" s="35">
        <f t="shared" si="444"/>
        <v>384.67330505784582</v>
      </c>
      <c r="AU284" s="35">
        <f t="shared" si="444"/>
        <v>450.90125937541438</v>
      </c>
      <c r="AV284" s="35">
        <f t="shared" si="444"/>
        <v>556.38006596700347</v>
      </c>
      <c r="AW284" s="35">
        <f t="shared" si="444"/>
        <v>662.11522021120834</v>
      </c>
      <c r="AX284" s="35">
        <f t="shared" si="444"/>
        <v>749.37869316402885</v>
      </c>
      <c r="AY284" s="35">
        <f t="shared" si="444"/>
        <v>836.05299063924099</v>
      </c>
      <c r="AZ284" s="35">
        <f t="shared" si="444"/>
        <v>922.13007987155777</v>
      </c>
      <c r="BA284" s="35">
        <f t="shared" si="444"/>
        <v>1007.601551772592</v>
      </c>
      <c r="BD284" s="186">
        <f t="shared" si="342"/>
        <v>276</v>
      </c>
    </row>
    <row r="285" spans="1:56" hidden="1" outlineLevel="2">
      <c r="A285" s="148"/>
      <c r="B285" s="150" t="s">
        <v>210</v>
      </c>
      <c r="C285" s="48"/>
      <c r="D285" s="48"/>
      <c r="E285" s="48"/>
      <c r="F285" s="48"/>
      <c r="G285" s="35">
        <f>(G244-G239)-(G256-G254)</f>
        <v>181.108</v>
      </c>
      <c r="H285" s="35">
        <f t="shared" ref="H285:L285" si="447">(H244-H239)-(H256-H254)</f>
        <v>95.520999999999987</v>
      </c>
      <c r="I285" s="35">
        <f t="shared" si="447"/>
        <v>219.85999999999996</v>
      </c>
      <c r="J285" s="35">
        <f t="shared" si="447"/>
        <v>298.2093166755684</v>
      </c>
      <c r="K285" s="35">
        <f t="shared" si="447"/>
        <v>356.56591468582985</v>
      </c>
      <c r="L285" s="35">
        <f t="shared" si="447"/>
        <v>357.96677244015871</v>
      </c>
      <c r="M285" s="35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35">
        <f>(AD244-AD239)-(AD256-AD254)</f>
        <v>223.18599999999992</v>
      </c>
      <c r="AE285" s="35">
        <f t="shared" ref="AE285:BA285" si="448">(AE244-AE239)-(AE256-AE254)</f>
        <v>183.55700000000002</v>
      </c>
      <c r="AF285" s="35">
        <f t="shared" si="448"/>
        <v>161.84699999999998</v>
      </c>
      <c r="AG285" s="35">
        <f t="shared" si="448"/>
        <v>181.108</v>
      </c>
      <c r="AH285" s="35">
        <f t="shared" si="448"/>
        <v>142.08300000000008</v>
      </c>
      <c r="AI285" s="35">
        <f t="shared" si="448"/>
        <v>78.502000000000066</v>
      </c>
      <c r="AJ285" s="35">
        <f t="shared" si="448"/>
        <v>-1354.9110000000001</v>
      </c>
      <c r="AK285" s="35">
        <f t="shared" si="448"/>
        <v>95.520999999999987</v>
      </c>
      <c r="AL285" s="188">
        <f t="shared" ref="AL285:AM285" si="449">(AL244-AL239)-(AL256-AL254)</f>
        <v>155.10700000000003</v>
      </c>
      <c r="AM285" s="188">
        <f t="shared" si="449"/>
        <v>198.99100000000013</v>
      </c>
      <c r="AN285" s="188">
        <f t="shared" ref="AN285:AO285" si="450">(AN244-AN239)-(AN256-AN254)</f>
        <v>215.56900000000002</v>
      </c>
      <c r="AO285" s="188">
        <f t="shared" si="450"/>
        <v>219.85999999999996</v>
      </c>
      <c r="AP285" s="35">
        <f t="shared" si="448"/>
        <v>249.29475938043021</v>
      </c>
      <c r="AQ285" s="35">
        <f t="shared" si="448"/>
        <v>259.45632202459058</v>
      </c>
      <c r="AR285" s="35">
        <f t="shared" si="448"/>
        <v>291.71226870592659</v>
      </c>
      <c r="AS285" s="35">
        <f t="shared" si="448"/>
        <v>298.2093166755684</v>
      </c>
      <c r="AT285" s="35">
        <f t="shared" si="448"/>
        <v>329.46504779264308</v>
      </c>
      <c r="AU285" s="35">
        <f t="shared" si="448"/>
        <v>342.73469702125328</v>
      </c>
      <c r="AV285" s="35">
        <f t="shared" si="448"/>
        <v>353.42374808907897</v>
      </c>
      <c r="AW285" s="35">
        <f t="shared" si="448"/>
        <v>356.56591468582985</v>
      </c>
      <c r="AX285" s="35">
        <f t="shared" si="448"/>
        <v>362.42444611516777</v>
      </c>
      <c r="AY285" s="35">
        <f t="shared" si="448"/>
        <v>362.56639936129346</v>
      </c>
      <c r="AZ285" s="35">
        <f t="shared" si="448"/>
        <v>357.82068958894672</v>
      </c>
      <c r="BA285" s="35">
        <f t="shared" si="448"/>
        <v>357.96677244015871</v>
      </c>
      <c r="BD285" s="186">
        <f t="shared" si="342"/>
        <v>277</v>
      </c>
    </row>
    <row r="286" spans="1:56" hidden="1" outlineLevel="2">
      <c r="A286" s="148"/>
      <c r="B286" s="150" t="s">
        <v>211</v>
      </c>
      <c r="C286" s="48"/>
      <c r="D286" s="48"/>
      <c r="E286" s="48"/>
      <c r="F286" s="48"/>
      <c r="G286" s="166">
        <f>G244/G256</f>
        <v>1.6655080655142538</v>
      </c>
      <c r="H286" s="166">
        <f t="shared" ref="H286:L286" si="451">H244/H256</f>
        <v>2.9442414603392937</v>
      </c>
      <c r="I286" s="166">
        <f t="shared" si="451"/>
        <v>2.2893451806065288</v>
      </c>
      <c r="J286" s="166">
        <f t="shared" si="451"/>
        <v>2.079198402868085</v>
      </c>
      <c r="K286" s="166">
        <f t="shared" si="451"/>
        <v>3.0222543795907759</v>
      </c>
      <c r="L286" s="166">
        <f t="shared" si="451"/>
        <v>4.084127540990421</v>
      </c>
      <c r="M286" s="35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166">
        <f>AD244/AD256</f>
        <v>1.517646667387561</v>
      </c>
      <c r="AE286" s="166">
        <f t="shared" ref="AE286:BA286" si="452">AE244/AE256</f>
        <v>1.4708416683465919</v>
      </c>
      <c r="AF286" s="166">
        <f t="shared" si="452"/>
        <v>1.5266567107309008</v>
      </c>
      <c r="AG286" s="166">
        <f t="shared" si="452"/>
        <v>1.6655080655142538</v>
      </c>
      <c r="AH286" s="166">
        <f t="shared" si="452"/>
        <v>0.33894194258485966</v>
      </c>
      <c r="AI286" s="166">
        <f t="shared" si="452"/>
        <v>0.23350341811304401</v>
      </c>
      <c r="AJ286" s="166">
        <f t="shared" si="452"/>
        <v>0.23086178372687621</v>
      </c>
      <c r="AK286" s="166">
        <f t="shared" si="452"/>
        <v>2.9442414603392937</v>
      </c>
      <c r="AL286" s="166">
        <f t="shared" ref="AL286:AM286" si="453">AL244/AL256</f>
        <v>2.6216386516799992</v>
      </c>
      <c r="AM286" s="166">
        <f t="shared" si="453"/>
        <v>3.2853312558177188</v>
      </c>
      <c r="AN286" s="166">
        <f t="shared" ref="AN286:AO286" si="454">AN244/AN256</f>
        <v>2.8582271348071089</v>
      </c>
      <c r="AO286" s="166">
        <f t="shared" si="454"/>
        <v>2.2893451806065288</v>
      </c>
      <c r="AP286" s="166">
        <f t="shared" si="452"/>
        <v>2.0196890693817999</v>
      </c>
      <c r="AQ286" s="166">
        <f t="shared" si="452"/>
        <v>1.9596090175565162</v>
      </c>
      <c r="AR286" s="166">
        <f t="shared" si="452"/>
        <v>2.0385858239900445</v>
      </c>
      <c r="AS286" s="166">
        <f t="shared" si="452"/>
        <v>2.079198402868085</v>
      </c>
      <c r="AT286" s="166">
        <f t="shared" si="452"/>
        <v>2.2226735053023701</v>
      </c>
      <c r="AU286" s="166">
        <f t="shared" si="452"/>
        <v>2.4045434784937125</v>
      </c>
      <c r="AV286" s="166">
        <f t="shared" si="452"/>
        <v>2.70589264502473</v>
      </c>
      <c r="AW286" s="166">
        <f t="shared" si="452"/>
        <v>3.0222543795907759</v>
      </c>
      <c r="AX286" s="166">
        <f t="shared" si="452"/>
        <v>3.2715236605901481</v>
      </c>
      <c r="AY286" s="166">
        <f t="shared" si="452"/>
        <v>3.5365800555111688</v>
      </c>
      <c r="AZ286" s="166">
        <f t="shared" si="452"/>
        <v>3.8198214907515178</v>
      </c>
      <c r="BA286" s="166">
        <f t="shared" si="452"/>
        <v>4.084127540990421</v>
      </c>
      <c r="BD286" s="186">
        <f t="shared" si="342"/>
        <v>278</v>
      </c>
    </row>
    <row r="287" spans="1:56" hidden="1" outlineLevel="2">
      <c r="A287" s="148"/>
      <c r="B287" s="150" t="s">
        <v>212</v>
      </c>
      <c r="C287" s="48"/>
      <c r="D287" s="48"/>
      <c r="E287" s="48"/>
      <c r="F287" s="48"/>
      <c r="G287" s="166">
        <f t="shared" ref="G287:L287" si="455">(G14)/AVERAGE(F240:G240)</f>
        <v>7.695920142997041</v>
      </c>
      <c r="H287" s="166">
        <f t="shared" si="455"/>
        <v>4.7152772551485391</v>
      </c>
      <c r="I287" s="166">
        <f t="shared" si="455"/>
        <v>6.4884108582379119</v>
      </c>
      <c r="J287" s="166">
        <f t="shared" si="455"/>
        <v>6.1087848687545092</v>
      </c>
      <c r="K287" s="166">
        <f t="shared" si="455"/>
        <v>6.3522705347909998</v>
      </c>
      <c r="L287" s="166">
        <f t="shared" si="455"/>
        <v>6.1393857066498372</v>
      </c>
      <c r="M287" s="35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166">
        <f t="shared" ref="AD287:BA287" si="456">(4*AD14)/AVERAGE(AC240:AD240)</f>
        <v>6.6588415876787526</v>
      </c>
      <c r="AE287" s="166">
        <f t="shared" si="456"/>
        <v>5.1092231190184663</v>
      </c>
      <c r="AF287" s="166">
        <f t="shared" si="456"/>
        <v>5.4317665276950562</v>
      </c>
      <c r="AG287" s="166">
        <f t="shared" si="456"/>
        <v>5.7893798169812527</v>
      </c>
      <c r="AH287" s="166">
        <f t="shared" si="456"/>
        <v>4.7204191414952712</v>
      </c>
      <c r="AI287" s="166">
        <f t="shared" si="456"/>
        <v>5.8225825220123344</v>
      </c>
      <c r="AJ287" s="166">
        <f t="shared" si="456"/>
        <v>6.6649803844293567</v>
      </c>
      <c r="AK287" s="166">
        <f t="shared" si="456"/>
        <v>6.7445437193991875</v>
      </c>
      <c r="AL287" s="166">
        <f t="shared" si="456"/>
        <v>6.8228696447620933</v>
      </c>
      <c r="AM287" s="166">
        <f t="shared" si="456"/>
        <v>5.9331021792356697</v>
      </c>
      <c r="AN287" s="166">
        <f t="shared" si="456"/>
        <v>5.5600816454702455</v>
      </c>
      <c r="AO287" s="166">
        <f t="shared" si="456"/>
        <v>5.5413992103435685</v>
      </c>
      <c r="AP287" s="166">
        <f t="shared" si="456"/>
        <v>5.7303320994866525</v>
      </c>
      <c r="AQ287" s="166">
        <f t="shared" si="456"/>
        <v>5.8656105711670827</v>
      </c>
      <c r="AR287" s="166">
        <f t="shared" si="456"/>
        <v>6.18236285675835</v>
      </c>
      <c r="AS287" s="166">
        <f t="shared" si="456"/>
        <v>6.2230932387489339</v>
      </c>
      <c r="AT287" s="166">
        <f t="shared" si="456"/>
        <v>6.2343013946743211</v>
      </c>
      <c r="AU287" s="166">
        <f t="shared" si="456"/>
        <v>6.1623584325904481</v>
      </c>
      <c r="AV287" s="166">
        <f t="shared" si="456"/>
        <v>6.2089837602081781</v>
      </c>
      <c r="AW287" s="166">
        <f t="shared" si="456"/>
        <v>6.1545766968242894</v>
      </c>
      <c r="AX287" s="166">
        <f t="shared" si="456"/>
        <v>6.1058042262441354</v>
      </c>
      <c r="AY287" s="166">
        <f t="shared" si="456"/>
        <v>6.0666666666666673</v>
      </c>
      <c r="AZ287" s="166">
        <f t="shared" si="456"/>
        <v>6.0998178506375238</v>
      </c>
      <c r="BA287" s="166">
        <f t="shared" si="456"/>
        <v>6.1333333333333337</v>
      </c>
      <c r="BD287" s="186">
        <f t="shared" si="342"/>
        <v>279</v>
      </c>
    </row>
    <row r="288" spans="1:56" hidden="1" outlineLevel="2">
      <c r="A288" s="148"/>
      <c r="B288" s="150" t="s">
        <v>213</v>
      </c>
      <c r="C288" s="48"/>
      <c r="D288" s="48"/>
      <c r="E288" s="48"/>
      <c r="F288" s="48"/>
      <c r="G288" s="35">
        <f t="shared" ref="G288:L288" si="457">G240/(G14/G6)</f>
        <v>47.427727057710491</v>
      </c>
      <c r="H288" s="35">
        <f t="shared" si="457"/>
        <v>51.715662591052592</v>
      </c>
      <c r="I288" s="35">
        <f t="shared" si="457"/>
        <v>81.944525638310907</v>
      </c>
      <c r="J288" s="35">
        <f t="shared" si="457"/>
        <v>67.007135080812247</v>
      </c>
      <c r="K288" s="35">
        <f t="shared" si="457"/>
        <v>61.512179145588497</v>
      </c>
      <c r="L288" s="35">
        <f t="shared" si="457"/>
        <v>59.673913043478265</v>
      </c>
      <c r="M288" s="35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35">
        <f>IFERROR(AD240/(AD14/AD6),"NM")</f>
        <v>54.06345762394006</v>
      </c>
      <c r="AE288" s="35">
        <f t="shared" ref="AE288:AO288" si="458">AE240/(AE14/AE6)</f>
        <v>60.373163264307998</v>
      </c>
      <c r="AF288" s="35">
        <f t="shared" si="458"/>
        <v>62.516752164342684</v>
      </c>
      <c r="AG288" s="35">
        <f t="shared" si="458"/>
        <v>61.787022842906417</v>
      </c>
      <c r="AH288" s="35">
        <f t="shared" si="458"/>
        <v>61.510349943437859</v>
      </c>
      <c r="AI288" s="35">
        <f t="shared" si="458"/>
        <v>51.378255347118603</v>
      </c>
      <c r="AJ288" s="35">
        <f t="shared" si="458"/>
        <v>60.131127519491514</v>
      </c>
      <c r="AK288" s="35">
        <f t="shared" si="458"/>
        <v>51.777214525350466</v>
      </c>
      <c r="AL288" s="188">
        <f t="shared" si="458"/>
        <v>66.220583461173661</v>
      </c>
      <c r="AM288" s="188">
        <f t="shared" si="458"/>
        <v>68.77941421478792</v>
      </c>
      <c r="AN288" s="188">
        <f t="shared" si="458"/>
        <v>71.085448614261324</v>
      </c>
      <c r="AO288" s="188">
        <f t="shared" si="458"/>
        <v>68.830405693950183</v>
      </c>
      <c r="AP288" s="50">
        <v>66</v>
      </c>
      <c r="AQ288" s="50">
        <v>63</v>
      </c>
      <c r="AR288" s="50">
        <v>62</v>
      </c>
      <c r="AS288" s="50">
        <v>60</v>
      </c>
      <c r="AT288" s="41">
        <f t="shared" ref="AT288:BA290" si="459">AS288</f>
        <v>60</v>
      </c>
      <c r="AU288" s="41">
        <f t="shared" si="459"/>
        <v>60</v>
      </c>
      <c r="AV288" s="41">
        <f t="shared" si="459"/>
        <v>60</v>
      </c>
      <c r="AW288" s="41">
        <f t="shared" si="459"/>
        <v>60</v>
      </c>
      <c r="AX288" s="41">
        <f t="shared" si="459"/>
        <v>60</v>
      </c>
      <c r="AY288" s="41">
        <f t="shared" si="459"/>
        <v>60</v>
      </c>
      <c r="AZ288" s="41">
        <f t="shared" si="459"/>
        <v>60</v>
      </c>
      <c r="BA288" s="41">
        <f t="shared" si="459"/>
        <v>60</v>
      </c>
      <c r="BD288" s="186">
        <f t="shared" si="342"/>
        <v>280</v>
      </c>
    </row>
    <row r="289" spans="1:56" hidden="1" outlineLevel="2">
      <c r="A289" s="148"/>
      <c r="B289" s="150" t="s">
        <v>214</v>
      </c>
      <c r="C289" s="48"/>
      <c r="D289" s="48"/>
      <c r="E289" s="48"/>
      <c r="F289" s="48"/>
      <c r="G289" s="167">
        <f t="shared" ref="G289:L289" si="460">G173/AVERAGE(F241:G241)</f>
        <v>18.631487330940669</v>
      </c>
      <c r="H289" s="167">
        <f t="shared" si="460"/>
        <v>11.241118370680415</v>
      </c>
      <c r="I289" s="167">
        <f t="shared" si="460"/>
        <v>19.480327224339199</v>
      </c>
      <c r="J289" s="167">
        <f t="shared" si="460"/>
        <v>21.45878719900443</v>
      </c>
      <c r="K289" s="167">
        <f t="shared" si="460"/>
        <v>22.437194448225227</v>
      </c>
      <c r="L289" s="167">
        <f t="shared" si="460"/>
        <v>21.658252134326862</v>
      </c>
      <c r="M289" s="35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167">
        <f t="shared" ref="AD289:BA289" si="461">4*AD173/AVERAGE(AC241:AD241)</f>
        <v>0</v>
      </c>
      <c r="AE289" s="167">
        <f t="shared" si="461"/>
        <v>10.603603192146906</v>
      </c>
      <c r="AF289" s="167">
        <f t="shared" si="461"/>
        <v>10.556513347683104</v>
      </c>
      <c r="AG289" s="167">
        <f t="shared" si="461"/>
        <v>11.820346744629296</v>
      </c>
      <c r="AH289" s="167">
        <f t="shared" si="461"/>
        <v>10.080515043496293</v>
      </c>
      <c r="AI289" s="167">
        <f t="shared" si="461"/>
        <v>9.4596930814221079</v>
      </c>
      <c r="AJ289" s="167">
        <f t="shared" si="461"/>
        <v>11.029963365595458</v>
      </c>
      <c r="AK289" s="167">
        <f t="shared" si="461"/>
        <v>12.975939413420303</v>
      </c>
      <c r="AL289" s="167">
        <f t="shared" si="461"/>
        <v>19.059013978191476</v>
      </c>
      <c r="AM289" s="167">
        <f t="shared" si="461"/>
        <v>22.040130989252845</v>
      </c>
      <c r="AN289" s="167">
        <f t="shared" si="461"/>
        <v>21.261706352308437</v>
      </c>
      <c r="AO289" s="167">
        <f t="shared" si="461"/>
        <v>20.247562617829246</v>
      </c>
      <c r="AP289" s="167">
        <f t="shared" si="461"/>
        <v>20.233893769280488</v>
      </c>
      <c r="AQ289" s="167">
        <f t="shared" si="461"/>
        <v>20.615683596035741</v>
      </c>
      <c r="AR289" s="167">
        <f t="shared" si="461"/>
        <v>21.672732697683433</v>
      </c>
      <c r="AS289" s="167">
        <f t="shared" si="461"/>
        <v>21.912805093321936</v>
      </c>
      <c r="AT289" s="167">
        <f t="shared" si="461"/>
        <v>22.011464489683689</v>
      </c>
      <c r="AU289" s="167">
        <f t="shared" si="461"/>
        <v>21.759273404575048</v>
      </c>
      <c r="AV289" s="167">
        <f t="shared" si="461"/>
        <v>21.919630129583773</v>
      </c>
      <c r="AW289" s="167">
        <f t="shared" si="461"/>
        <v>21.713215726585346</v>
      </c>
      <c r="AX289" s="167">
        <f t="shared" si="461"/>
        <v>21.539503199019318</v>
      </c>
      <c r="AY289" s="167">
        <f t="shared" si="461"/>
        <v>21.396291051136817</v>
      </c>
      <c r="AZ289" s="167">
        <f t="shared" si="461"/>
        <v>21.512789530055549</v>
      </c>
      <c r="BA289" s="167">
        <f t="shared" si="461"/>
        <v>21.630734987857998</v>
      </c>
      <c r="BD289" s="186">
        <f t="shared" si="342"/>
        <v>281</v>
      </c>
    </row>
    <row r="290" spans="1:56" hidden="1" outlineLevel="2">
      <c r="A290" s="148"/>
      <c r="B290" s="150" t="s">
        <v>215</v>
      </c>
      <c r="C290" s="48"/>
      <c r="D290" s="48"/>
      <c r="E290" s="48"/>
      <c r="F290" s="48"/>
      <c r="G290" s="100">
        <f t="shared" ref="G290:L290" si="462">IFERROR(G241/(G173/G6),"NM")</f>
        <v>19.590491811883268</v>
      </c>
      <c r="H290" s="100">
        <f t="shared" si="462"/>
        <v>22.631863584815054</v>
      </c>
      <c r="I290" s="100">
        <f t="shared" si="462"/>
        <v>22.040704881651642</v>
      </c>
      <c r="J290" s="100">
        <f t="shared" si="462"/>
        <v>18.741624838509111</v>
      </c>
      <c r="K290" s="100">
        <f t="shared" si="462"/>
        <v>17.426043519460805</v>
      </c>
      <c r="L290" s="100">
        <f t="shared" si="462"/>
        <v>16.869912395003389</v>
      </c>
      <c r="M290" s="35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100" t="str">
        <f t="shared" ref="AD290:AO290" si="463">IFERROR(AD241/(AD173/AD6),"NM")</f>
        <v>NM</v>
      </c>
      <c r="AE290" s="100">
        <f t="shared" si="463"/>
        <v>32.340276900387984</v>
      </c>
      <c r="AF290" s="100">
        <f t="shared" si="463"/>
        <v>32.809238421501689</v>
      </c>
      <c r="AG290" s="100">
        <f t="shared" si="463"/>
        <v>26.554636934584714</v>
      </c>
      <c r="AH290" s="100">
        <f t="shared" si="463"/>
        <v>35.758417214884354</v>
      </c>
      <c r="AI290" s="100">
        <f t="shared" si="463"/>
        <v>33.636717062634986</v>
      </c>
      <c r="AJ290" s="100">
        <f t="shared" si="463"/>
        <v>32.305626960979801</v>
      </c>
      <c r="AK290" s="100">
        <f t="shared" si="463"/>
        <v>24.222205036492824</v>
      </c>
      <c r="AL290" s="100">
        <f t="shared" si="463"/>
        <v>19.063059486408179</v>
      </c>
      <c r="AM290" s="100">
        <f t="shared" si="463"/>
        <v>16.765811530804864</v>
      </c>
      <c r="AN290" s="100">
        <f t="shared" si="463"/>
        <v>19.139019942349552</v>
      </c>
      <c r="AO290" s="100">
        <f t="shared" si="463"/>
        <v>19.039723753378599</v>
      </c>
      <c r="AP290" s="41">
        <v>18.5</v>
      </c>
      <c r="AQ290" s="41">
        <v>18</v>
      </c>
      <c r="AR290" s="41">
        <v>17.5</v>
      </c>
      <c r="AS290" s="41">
        <v>17</v>
      </c>
      <c r="AT290" s="41">
        <f t="shared" si="459"/>
        <v>17</v>
      </c>
      <c r="AU290" s="41">
        <f t="shared" si="459"/>
        <v>17</v>
      </c>
      <c r="AV290" s="41">
        <f t="shared" si="459"/>
        <v>17</v>
      </c>
      <c r="AW290" s="41">
        <f t="shared" si="459"/>
        <v>17</v>
      </c>
      <c r="AX290" s="41">
        <f t="shared" si="459"/>
        <v>17</v>
      </c>
      <c r="AY290" s="41">
        <f t="shared" si="459"/>
        <v>17</v>
      </c>
      <c r="AZ290" s="41">
        <f t="shared" si="459"/>
        <v>17</v>
      </c>
      <c r="BA290" s="41">
        <f t="shared" si="459"/>
        <v>17</v>
      </c>
      <c r="BD290" s="186">
        <f t="shared" si="342"/>
        <v>282</v>
      </c>
    </row>
    <row r="291" spans="1:56" hidden="1" outlineLevel="2">
      <c r="A291" s="148"/>
      <c r="B291" s="150" t="s">
        <v>216</v>
      </c>
      <c r="C291" s="48"/>
      <c r="D291" s="48"/>
      <c r="E291" s="48"/>
      <c r="F291" s="48"/>
      <c r="G291" s="166">
        <f t="shared" ref="G291:L291" si="464">G173/AVERAGE(F253:G253)</f>
        <v>8.941872198624834</v>
      </c>
      <c r="H291" s="166">
        <f t="shared" si="464"/>
        <v>6.1118789417813213</v>
      </c>
      <c r="I291" s="166">
        <f t="shared" si="464"/>
        <v>12.050239223261011</v>
      </c>
      <c r="J291" s="166">
        <f t="shared" si="464"/>
        <v>11.679722858559373</v>
      </c>
      <c r="K291" s="166">
        <f t="shared" si="464"/>
        <v>11.919759550619652</v>
      </c>
      <c r="L291" s="166">
        <f t="shared" si="464"/>
        <v>11.505946446361143</v>
      </c>
      <c r="M291" s="35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166">
        <f t="shared" ref="AD291:BA291" si="465">4*AD173/AVERAGE(AC253:AD253)</f>
        <v>0</v>
      </c>
      <c r="AE291" s="166">
        <f t="shared" si="465"/>
        <v>5.5672374765004555</v>
      </c>
      <c r="AF291" s="166">
        <f t="shared" si="465"/>
        <v>6.5337323649826411</v>
      </c>
      <c r="AG291" s="166">
        <f t="shared" si="465"/>
        <v>6.4841739210011555</v>
      </c>
      <c r="AH291" s="166">
        <f t="shared" si="465"/>
        <v>5.5616880905879116</v>
      </c>
      <c r="AI291" s="166">
        <f t="shared" si="465"/>
        <v>7.4904109832575552</v>
      </c>
      <c r="AJ291" s="166">
        <f t="shared" si="465"/>
        <v>14.5410909853103</v>
      </c>
      <c r="AK291" s="166">
        <f t="shared" si="465"/>
        <v>13.938322132956056</v>
      </c>
      <c r="AL291" s="166">
        <f t="shared" si="465"/>
        <v>12.421005215742058</v>
      </c>
      <c r="AM291" s="166">
        <f t="shared" si="465"/>
        <v>12.075892987386826</v>
      </c>
      <c r="AN291" s="166">
        <f t="shared" si="465"/>
        <v>11.325258060352185</v>
      </c>
      <c r="AO291" s="166">
        <f t="shared" si="465"/>
        <v>11.277584849053065</v>
      </c>
      <c r="AP291" s="166">
        <f t="shared" si="465"/>
        <v>11.172707865083275</v>
      </c>
      <c r="AQ291" s="166">
        <f t="shared" si="465"/>
        <v>11.231389011583694</v>
      </c>
      <c r="AR291" s="166">
        <f t="shared" si="465"/>
        <v>11.83733464522969</v>
      </c>
      <c r="AS291" s="166">
        <f t="shared" si="465"/>
        <v>11.807789611270005</v>
      </c>
      <c r="AT291" s="166">
        <f t="shared" si="465"/>
        <v>11.693590510144459</v>
      </c>
      <c r="AU291" s="166">
        <f t="shared" si="465"/>
        <v>11.559613996180495</v>
      </c>
      <c r="AV291" s="166">
        <f t="shared" si="465"/>
        <v>11.644803506341379</v>
      </c>
      <c r="AW291" s="166">
        <f t="shared" si="465"/>
        <v>11.535145854748466</v>
      </c>
      <c r="AX291" s="166">
        <f t="shared" si="465"/>
        <v>11.442861074479012</v>
      </c>
      <c r="AY291" s="166">
        <f t="shared" si="465"/>
        <v>11.366779620916434</v>
      </c>
      <c r="AZ291" s="166">
        <f t="shared" si="465"/>
        <v>11.428669437842011</v>
      </c>
      <c r="BA291" s="166">
        <f t="shared" si="465"/>
        <v>11.491327962299561</v>
      </c>
      <c r="BD291" s="186">
        <f t="shared" si="342"/>
        <v>283</v>
      </c>
    </row>
    <row r="292" spans="1:56" hidden="1" outlineLevel="2">
      <c r="A292" s="148"/>
      <c r="B292" s="150" t="s">
        <v>217</v>
      </c>
      <c r="C292" s="48"/>
      <c r="D292" s="48"/>
      <c r="E292" s="48"/>
      <c r="F292" s="48"/>
      <c r="G292" s="100">
        <f t="shared" ref="G292:L292" si="466">IFERROR(G253/(G173/G6),"NM")</f>
        <v>40.81919221079152</v>
      </c>
      <c r="H292" s="100">
        <f t="shared" si="466"/>
        <v>31.241536203355889</v>
      </c>
      <c r="I292" s="100">
        <f t="shared" si="466"/>
        <v>39.275650425026377</v>
      </c>
      <c r="J292" s="100">
        <f t="shared" si="466"/>
        <v>35.27835263719362</v>
      </c>
      <c r="K292" s="100">
        <f t="shared" si="466"/>
        <v>32.801964271926224</v>
      </c>
      <c r="L292" s="100">
        <f t="shared" si="466"/>
        <v>31.755129214124025</v>
      </c>
      <c r="M292" s="35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100" t="str">
        <f t="shared" ref="AD292:AO292" si="467">IFERROR(AD253/(AD173/AD6),"NM")</f>
        <v>NM</v>
      </c>
      <c r="AE292" s="100">
        <f t="shared" si="467"/>
        <v>51.866063737167444</v>
      </c>
      <c r="AF292" s="100">
        <f t="shared" si="467"/>
        <v>53.450170769721517</v>
      </c>
      <c r="AG292" s="100">
        <f t="shared" si="467"/>
        <v>55.329842636370046</v>
      </c>
      <c r="AH292" s="100">
        <f t="shared" si="467"/>
        <v>54.92638928614808</v>
      </c>
      <c r="AI292" s="100">
        <f t="shared" si="467"/>
        <v>30.647516198704096</v>
      </c>
      <c r="AJ292" s="100">
        <f t="shared" si="467"/>
        <v>19.252442065509335</v>
      </c>
      <c r="AK292" s="100">
        <f t="shared" si="467"/>
        <v>33.436879501184208</v>
      </c>
      <c r="AL292" s="100">
        <f t="shared" si="467"/>
        <v>32.132623807542402</v>
      </c>
      <c r="AM292" s="100">
        <f t="shared" si="467"/>
        <v>32.869432865821842</v>
      </c>
      <c r="AN292" s="100">
        <f t="shared" si="467"/>
        <v>34.644367315724459</v>
      </c>
      <c r="AO292" s="100">
        <f t="shared" si="467"/>
        <v>33.928022644561267</v>
      </c>
      <c r="AP292" s="41">
        <v>34</v>
      </c>
      <c r="AQ292" s="41">
        <v>33</v>
      </c>
      <c r="AR292" s="41">
        <v>32</v>
      </c>
      <c r="AS292" s="41">
        <f t="shared" ref="AS292:BA292" si="468">AR292</f>
        <v>32</v>
      </c>
      <c r="AT292" s="41">
        <f t="shared" si="468"/>
        <v>32</v>
      </c>
      <c r="AU292" s="41">
        <f t="shared" si="468"/>
        <v>32</v>
      </c>
      <c r="AV292" s="41">
        <f t="shared" si="468"/>
        <v>32</v>
      </c>
      <c r="AW292" s="41">
        <f t="shared" si="468"/>
        <v>32</v>
      </c>
      <c r="AX292" s="41">
        <f t="shared" si="468"/>
        <v>32</v>
      </c>
      <c r="AY292" s="41">
        <f t="shared" si="468"/>
        <v>32</v>
      </c>
      <c r="AZ292" s="41">
        <f t="shared" si="468"/>
        <v>32</v>
      </c>
      <c r="BA292" s="41">
        <f t="shared" si="468"/>
        <v>32</v>
      </c>
      <c r="BD292" s="186">
        <f t="shared" si="342"/>
        <v>284</v>
      </c>
    </row>
    <row r="293" spans="1:56" hidden="1" outlineLevel="2">
      <c r="A293" s="148"/>
      <c r="B293" s="150" t="s">
        <v>218</v>
      </c>
      <c r="C293" s="48"/>
      <c r="D293" s="48"/>
      <c r="E293" s="48"/>
      <c r="F293" s="48"/>
      <c r="G293" s="100">
        <f>IFERROR(G288+G290-G292,"NM")</f>
        <v>26.199026658802246</v>
      </c>
      <c r="H293" s="100">
        <f t="shared" ref="H293:L293" si="469">IFERROR(H288+H290-H292,"NM")</f>
        <v>43.10598997251175</v>
      </c>
      <c r="I293" s="100">
        <f t="shared" si="469"/>
        <v>64.709580094936172</v>
      </c>
      <c r="J293" s="100">
        <f t="shared" si="469"/>
        <v>50.470407282127738</v>
      </c>
      <c r="K293" s="100">
        <f t="shared" si="469"/>
        <v>46.136258393123072</v>
      </c>
      <c r="L293" s="100">
        <f t="shared" si="469"/>
        <v>44.788696224357636</v>
      </c>
      <c r="M293" s="35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100" t="str">
        <f>IFERROR(AD288+AD290-AD292,"NM")</f>
        <v>NM</v>
      </c>
      <c r="AE293" s="100">
        <f t="shared" ref="AE293:BA293" si="470">IFERROR(AE288+AE290-AE292,"NM")</f>
        <v>40.847376427528538</v>
      </c>
      <c r="AF293" s="100">
        <f t="shared" si="470"/>
        <v>41.875819816122863</v>
      </c>
      <c r="AG293" s="100">
        <f t="shared" si="470"/>
        <v>33.011817141121085</v>
      </c>
      <c r="AH293" s="100">
        <f t="shared" si="470"/>
        <v>42.34237787217414</v>
      </c>
      <c r="AI293" s="100">
        <f t="shared" si="470"/>
        <v>54.3674562110495</v>
      </c>
      <c r="AJ293" s="100">
        <f t="shared" si="470"/>
        <v>73.184312414961965</v>
      </c>
      <c r="AK293" s="100">
        <f t="shared" si="470"/>
        <v>42.562540060659089</v>
      </c>
      <c r="AL293" s="100">
        <f t="shared" ref="AL293:AM293" si="471">IFERROR(AL288+AL290-AL292,"NM")</f>
        <v>53.151019140039438</v>
      </c>
      <c r="AM293" s="100">
        <f t="shared" si="471"/>
        <v>52.675792879770945</v>
      </c>
      <c r="AN293" s="100">
        <f t="shared" ref="AN293:AO293" si="472">IFERROR(AN288+AN290-AN292,"NM")</f>
        <v>55.580101240886414</v>
      </c>
      <c r="AO293" s="100">
        <f t="shared" si="472"/>
        <v>53.942106802767512</v>
      </c>
      <c r="AP293" s="100">
        <f t="shared" si="470"/>
        <v>50.5</v>
      </c>
      <c r="AQ293" s="100">
        <f t="shared" si="470"/>
        <v>48</v>
      </c>
      <c r="AR293" s="100">
        <f t="shared" si="470"/>
        <v>47.5</v>
      </c>
      <c r="AS293" s="100">
        <f t="shared" si="470"/>
        <v>45</v>
      </c>
      <c r="AT293" s="100">
        <f t="shared" si="470"/>
        <v>45</v>
      </c>
      <c r="AU293" s="100">
        <f t="shared" si="470"/>
        <v>45</v>
      </c>
      <c r="AV293" s="100">
        <f t="shared" si="470"/>
        <v>45</v>
      </c>
      <c r="AW293" s="100">
        <f t="shared" si="470"/>
        <v>45</v>
      </c>
      <c r="AX293" s="100">
        <f t="shared" si="470"/>
        <v>45</v>
      </c>
      <c r="AY293" s="100">
        <f t="shared" si="470"/>
        <v>45</v>
      </c>
      <c r="AZ293" s="100">
        <f t="shared" si="470"/>
        <v>45</v>
      </c>
      <c r="BA293" s="100">
        <f t="shared" si="470"/>
        <v>45</v>
      </c>
      <c r="BD293" s="186">
        <f t="shared" si="342"/>
        <v>285</v>
      </c>
    </row>
    <row r="294" spans="1:56" hidden="1" outlineLevel="2">
      <c r="A294" s="148"/>
      <c r="B294" s="150"/>
      <c r="C294" s="48"/>
      <c r="D294" s="48"/>
      <c r="E294" s="48"/>
      <c r="F294" s="48"/>
      <c r="G294" s="35"/>
      <c r="H294" s="35"/>
      <c r="I294" s="35"/>
      <c r="J294" s="35"/>
      <c r="K294" s="35"/>
      <c r="L294" s="35"/>
      <c r="M294" s="35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35"/>
      <c r="AE294" s="35"/>
      <c r="AF294" s="35"/>
      <c r="AG294" s="35"/>
      <c r="AH294" s="35"/>
      <c r="AI294" s="35"/>
      <c r="AJ294" s="35"/>
      <c r="AK294" s="35"/>
      <c r="AL294" s="188"/>
      <c r="AM294" s="188"/>
      <c r="AN294" s="188"/>
      <c r="AO294" s="188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D294" s="186">
        <f t="shared" si="342"/>
        <v>286</v>
      </c>
    </row>
    <row r="295" spans="1:56" hidden="1" outlineLevel="2">
      <c r="A295" s="148"/>
      <c r="B295" s="150" t="s">
        <v>269</v>
      </c>
      <c r="C295" s="48"/>
      <c r="D295" s="48"/>
      <c r="E295" s="48"/>
      <c r="F295" s="48"/>
      <c r="G295" s="62">
        <f t="shared" ref="G295:L295" si="473">G242/G14</f>
        <v>3.4323557237464525E-2</v>
      </c>
      <c r="H295" s="62">
        <f t="shared" si="473"/>
        <v>3.8503123127204879E-2</v>
      </c>
      <c r="I295" s="62">
        <f t="shared" si="473"/>
        <v>2.0144147420669188E-2</v>
      </c>
      <c r="J295" s="62">
        <f t="shared" si="473"/>
        <v>1.2904152995326542E-2</v>
      </c>
      <c r="K295" s="62">
        <f t="shared" si="473"/>
        <v>1.0285124693628038E-2</v>
      </c>
      <c r="L295" s="62">
        <f t="shared" si="473"/>
        <v>9.9308774110081297E-3</v>
      </c>
      <c r="M295" s="35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62">
        <f t="shared" ref="AD295:BA295" si="474">AD242/AD14</f>
        <v>6.0641973507881086E-2</v>
      </c>
      <c r="AE295" s="62">
        <f t="shared" si="474"/>
        <v>0.11441706689620768</v>
      </c>
      <c r="AF295" s="62">
        <f t="shared" si="474"/>
        <v>0.10610366856375601</v>
      </c>
      <c r="AG295" s="62">
        <f t="shared" si="474"/>
        <v>0.17740354171403702</v>
      </c>
      <c r="AH295" s="62">
        <f t="shared" si="474"/>
        <v>0.22983142629304748</v>
      </c>
      <c r="AI295" s="62">
        <f t="shared" si="474"/>
        <v>0.2243125133233852</v>
      </c>
      <c r="AJ295" s="62">
        <f t="shared" si="474"/>
        <v>0.2206659585356309</v>
      </c>
      <c r="AK295" s="62">
        <f t="shared" si="474"/>
        <v>0.15335777739498488</v>
      </c>
      <c r="AL295" s="62">
        <f t="shared" si="474"/>
        <v>0.11164758079403171</v>
      </c>
      <c r="AM295" s="62">
        <f t="shared" si="474"/>
        <v>0.11429398963969623</v>
      </c>
      <c r="AN295" s="62">
        <f t="shared" si="474"/>
        <v>7.5723141429384702E-2</v>
      </c>
      <c r="AO295" s="62">
        <f t="shared" si="474"/>
        <v>6.7129639044229791E-2</v>
      </c>
      <c r="AP295" s="62">
        <f t="shared" si="474"/>
        <v>5.9466055123018911E-2</v>
      </c>
      <c r="AQ295" s="62">
        <f t="shared" si="474"/>
        <v>5.4458001731867003E-2</v>
      </c>
      <c r="AR295" s="62">
        <f t="shared" si="474"/>
        <v>4.8777291944364386E-2</v>
      </c>
      <c r="AS295" s="62">
        <f t="shared" si="474"/>
        <v>4.5842125011214756E-2</v>
      </c>
      <c r="AT295" s="62">
        <f t="shared" si="474"/>
        <v>4.3338532481436154E-2</v>
      </c>
      <c r="AU295" s="62">
        <f t="shared" si="474"/>
        <v>4.1531116691329285E-2</v>
      </c>
      <c r="AV295" s="62">
        <f t="shared" si="474"/>
        <v>4.0078659354357275E-2</v>
      </c>
      <c r="AW295" s="62">
        <f t="shared" si="474"/>
        <v>3.9801985402326059E-2</v>
      </c>
      <c r="AX295" s="62">
        <f t="shared" si="474"/>
        <v>3.9723509644032519E-2</v>
      </c>
      <c r="AY295" s="62">
        <f t="shared" si="474"/>
        <v>3.9723509644032519E-2</v>
      </c>
      <c r="AZ295" s="62">
        <f t="shared" si="474"/>
        <v>3.9723509644032519E-2</v>
      </c>
      <c r="BA295" s="62">
        <f t="shared" si="474"/>
        <v>3.9723509644032519E-2</v>
      </c>
      <c r="BD295" s="186">
        <f t="shared" si="342"/>
        <v>287</v>
      </c>
    </row>
    <row r="296" spans="1:56" hidden="1" outlineLevel="2">
      <c r="A296" s="148"/>
      <c r="B296" s="150" t="s">
        <v>270</v>
      </c>
      <c r="C296" s="48"/>
      <c r="D296" s="48"/>
      <c r="E296" s="48"/>
      <c r="F296" s="48"/>
      <c r="G296" s="62">
        <f t="shared" ref="G296:L296" si="475">G255/G14</f>
        <v>3.044938505203406E-2</v>
      </c>
      <c r="H296" s="62">
        <f t="shared" si="475"/>
        <v>6.6304412742935637E-2</v>
      </c>
      <c r="I296" s="62">
        <f t="shared" si="475"/>
        <v>7.3364947072108486E-2</v>
      </c>
      <c r="J296" s="62">
        <f t="shared" si="475"/>
        <v>4.6996900972891727E-2</v>
      </c>
      <c r="K296" s="62">
        <f t="shared" si="475"/>
        <v>3.745840481706475E-2</v>
      </c>
      <c r="L296" s="62">
        <f t="shared" si="475"/>
        <v>3.6168236879096767E-2</v>
      </c>
      <c r="M296" s="35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62">
        <f t="shared" ref="AD296:BA296" si="476">AD255/AD14</f>
        <v>0.11636762861544753</v>
      </c>
      <c r="AE296" s="62">
        <f t="shared" si="476"/>
        <v>0.24486613911359342</v>
      </c>
      <c r="AF296" s="62">
        <f t="shared" si="476"/>
        <v>0.20542600298949468</v>
      </c>
      <c r="AG296" s="62">
        <f t="shared" si="476"/>
        <v>0.15737963037668914</v>
      </c>
      <c r="AH296" s="62">
        <f t="shared" si="476"/>
        <v>0.21502883741631584</v>
      </c>
      <c r="AI296" s="62">
        <f t="shared" si="476"/>
        <v>0.51228860228806938</v>
      </c>
      <c r="AJ296" s="62">
        <f t="shared" si="476"/>
        <v>6.8535200849757238</v>
      </c>
      <c r="AK296" s="62">
        <f t="shared" si="476"/>
        <v>0.26409019694695313</v>
      </c>
      <c r="AL296" s="62">
        <f t="shared" si="476"/>
        <v>0.23269063062948367</v>
      </c>
      <c r="AM296" s="62">
        <f t="shared" si="476"/>
        <v>0.21925550375118869</v>
      </c>
      <c r="AN296" s="62">
        <f t="shared" si="476"/>
        <v>0.23195196226380993</v>
      </c>
      <c r="AO296" s="62">
        <f t="shared" si="476"/>
        <v>0.24448601931875952</v>
      </c>
      <c r="AP296" s="62">
        <f t="shared" si="476"/>
        <v>0.21657526107116026</v>
      </c>
      <c r="AQ296" s="62">
        <f t="shared" si="476"/>
        <v>0.19833594002651969</v>
      </c>
      <c r="AR296" s="62">
        <f t="shared" si="476"/>
        <v>0.17764680564972743</v>
      </c>
      <c r="AS296" s="62">
        <f t="shared" si="476"/>
        <v>0.16695693319191496</v>
      </c>
      <c r="AT296" s="62">
        <f t="shared" si="476"/>
        <v>0.1578388539006132</v>
      </c>
      <c r="AU296" s="62">
        <f t="shared" si="476"/>
        <v>0.15125624898766332</v>
      </c>
      <c r="AV296" s="62">
        <f t="shared" si="476"/>
        <v>0.14596640209436121</v>
      </c>
      <c r="AW296" s="62">
        <f t="shared" si="476"/>
        <v>0.14495875608070197</v>
      </c>
      <c r="AX296" s="62">
        <f t="shared" si="476"/>
        <v>0.14467294751638707</v>
      </c>
      <c r="AY296" s="62">
        <f t="shared" si="476"/>
        <v>0.14467294751638707</v>
      </c>
      <c r="AZ296" s="62">
        <f t="shared" si="476"/>
        <v>0.14467294751638707</v>
      </c>
      <c r="BA296" s="62">
        <f t="shared" si="476"/>
        <v>0.14467294751638707</v>
      </c>
      <c r="BD296" s="186">
        <f t="shared" si="342"/>
        <v>288</v>
      </c>
    </row>
    <row r="297" spans="1:56" hidden="1" outlineLevel="2">
      <c r="A297" s="148"/>
      <c r="B297" s="150" t="s">
        <v>271</v>
      </c>
      <c r="C297" s="48"/>
      <c r="D297" s="48"/>
      <c r="E297" s="48"/>
      <c r="F297" s="48"/>
      <c r="G297" s="62">
        <f>G258/G247</f>
        <v>0.12322038001026073</v>
      </c>
      <c r="H297" s="62">
        <f t="shared" ref="H297:L297" si="477">H258/H247</f>
        <v>2.5962126855744155E-2</v>
      </c>
      <c r="I297" s="62">
        <f t="shared" si="477"/>
        <v>5.5716051542681732E-3</v>
      </c>
      <c r="J297" s="62">
        <f t="shared" si="477"/>
        <v>5.5716051542681732E-3</v>
      </c>
      <c r="K297" s="62">
        <f t="shared" si="477"/>
        <v>5.5716051542681732E-3</v>
      </c>
      <c r="L297" s="62">
        <f t="shared" si="477"/>
        <v>5.5716051542681732E-3</v>
      </c>
      <c r="M297" s="35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62">
        <f t="shared" ref="AD297:AK297" si="478">AD258/AD247</f>
        <v>0.20847115293745316</v>
      </c>
      <c r="AE297" s="62">
        <f t="shared" si="478"/>
        <v>0.21235429626744071</v>
      </c>
      <c r="AF297" s="62">
        <f t="shared" si="478"/>
        <v>0.17612139581390429</v>
      </c>
      <c r="AG297" s="62">
        <f t="shared" si="478"/>
        <v>0.12322038001026073</v>
      </c>
      <c r="AH297" s="62">
        <f t="shared" si="478"/>
        <v>5.2372207608994026E-2</v>
      </c>
      <c r="AI297" s="62">
        <f t="shared" si="478"/>
        <v>4.534152543729246E-2</v>
      </c>
      <c r="AJ297" s="62">
        <f t="shared" si="478"/>
        <v>2.8230908302635811E-2</v>
      </c>
      <c r="AK297" s="62">
        <f t="shared" si="478"/>
        <v>2.5962126855744162E-2</v>
      </c>
      <c r="AL297" s="62">
        <f t="shared" ref="AL297:AM297" si="479">AL258/AL247</f>
        <v>8.0567311391696681E-3</v>
      </c>
      <c r="AM297" s="62">
        <f t="shared" si="479"/>
        <v>8.3462947380946312E-3</v>
      </c>
      <c r="AN297" s="62">
        <f t="shared" ref="AN297:AO297" si="480">AN258/AN247</f>
        <v>7.5808675899349332E-3</v>
      </c>
      <c r="AO297" s="62">
        <f t="shared" si="480"/>
        <v>5.5716051542681732E-3</v>
      </c>
      <c r="AP297" s="168">
        <f t="shared" ref="AP297:BA297" si="481">AO297</f>
        <v>5.5716051542681732E-3</v>
      </c>
      <c r="AQ297" s="168">
        <f t="shared" si="481"/>
        <v>5.5716051542681732E-3</v>
      </c>
      <c r="AR297" s="168">
        <f t="shared" si="481"/>
        <v>5.5716051542681732E-3</v>
      </c>
      <c r="AS297" s="168">
        <f t="shared" si="481"/>
        <v>5.5716051542681732E-3</v>
      </c>
      <c r="AT297" s="168">
        <f t="shared" si="481"/>
        <v>5.5716051542681732E-3</v>
      </c>
      <c r="AU297" s="168">
        <f t="shared" si="481"/>
        <v>5.5716051542681732E-3</v>
      </c>
      <c r="AV297" s="168">
        <f t="shared" si="481"/>
        <v>5.5716051542681732E-3</v>
      </c>
      <c r="AW297" s="168">
        <f t="shared" si="481"/>
        <v>5.5716051542681732E-3</v>
      </c>
      <c r="AX297" s="168">
        <f t="shared" si="481"/>
        <v>5.5716051542681732E-3</v>
      </c>
      <c r="AY297" s="168">
        <f t="shared" si="481"/>
        <v>5.5716051542681732E-3</v>
      </c>
      <c r="AZ297" s="168">
        <f t="shared" si="481"/>
        <v>5.5716051542681732E-3</v>
      </c>
      <c r="BA297" s="168">
        <f t="shared" si="481"/>
        <v>5.5716051542681732E-3</v>
      </c>
      <c r="BD297" s="186">
        <f t="shared" si="342"/>
        <v>289</v>
      </c>
    </row>
    <row r="298" spans="1:56" hidden="1" outlineLevel="2">
      <c r="A298" s="148"/>
      <c r="B298" s="150"/>
      <c r="C298" s="48"/>
      <c r="D298" s="48"/>
      <c r="E298" s="48"/>
      <c r="F298" s="48"/>
      <c r="G298" s="35"/>
      <c r="H298" s="35"/>
      <c r="I298" s="35"/>
      <c r="J298" s="35"/>
      <c r="K298" s="35"/>
      <c r="L298" s="35"/>
      <c r="M298" s="35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35"/>
      <c r="AE298" s="35"/>
      <c r="AF298" s="35"/>
      <c r="AG298" s="35"/>
      <c r="AH298" s="35"/>
      <c r="AI298" s="35"/>
      <c r="AJ298" s="35"/>
      <c r="AK298" s="35"/>
      <c r="AL298" s="188"/>
      <c r="AM298" s="188"/>
      <c r="AN298" s="188"/>
      <c r="AO298" s="188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D298" s="186">
        <f t="shared" ref="BD298:BD361" si="482">+BD297+1</f>
        <v>290</v>
      </c>
    </row>
    <row r="299" spans="1:56" outlineLevel="1" collapsed="1">
      <c r="A299" s="148" t="s">
        <v>71</v>
      </c>
      <c r="B299" s="152" t="s">
        <v>219</v>
      </c>
      <c r="C299" s="48"/>
      <c r="D299" s="48"/>
      <c r="E299" s="48"/>
      <c r="F299" s="48"/>
      <c r="G299" s="35"/>
      <c r="H299" s="35"/>
      <c r="I299" s="35"/>
      <c r="J299" s="35"/>
      <c r="K299" s="35"/>
      <c r="L299" s="35"/>
      <c r="M299" s="35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35"/>
      <c r="AE299" s="35"/>
      <c r="AF299" s="35"/>
      <c r="AG299" s="35"/>
      <c r="AH299" s="35"/>
      <c r="AI299" s="35"/>
      <c r="AJ299" s="35"/>
      <c r="AK299" s="35"/>
      <c r="AL299" s="188"/>
      <c r="AM299" s="188"/>
      <c r="AN299" s="188"/>
      <c r="AO299" s="188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D299" s="186">
        <f t="shared" si="482"/>
        <v>291</v>
      </c>
    </row>
    <row r="300" spans="1:56" hidden="1" outlineLevel="2">
      <c r="A300" s="148"/>
      <c r="B300" s="151" t="s">
        <v>220</v>
      </c>
      <c r="C300" s="48"/>
      <c r="D300" s="48"/>
      <c r="E300" s="48"/>
      <c r="F300" s="48"/>
      <c r="G300" s="169">
        <f t="shared" ref="G300:L300" si="483">G211</f>
        <v>276.35299999999995</v>
      </c>
      <c r="H300" s="169">
        <f t="shared" si="483"/>
        <v>217.44</v>
      </c>
      <c r="I300" s="169">
        <f t="shared" si="483"/>
        <v>140.64999999999998</v>
      </c>
      <c r="J300" s="169">
        <f t="shared" si="483"/>
        <v>190.02646938611764</v>
      </c>
      <c r="K300" s="169">
        <f t="shared" si="483"/>
        <v>227.12006669275621</v>
      </c>
      <c r="L300" s="169">
        <f t="shared" si="483"/>
        <v>228.98561215958026</v>
      </c>
      <c r="M300" s="35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169">
        <f t="shared" ref="AD300:BA300" si="484">AD211</f>
        <v>37.437999999999995</v>
      </c>
      <c r="AE300" s="169">
        <f t="shared" si="484"/>
        <v>81.515999999999991</v>
      </c>
      <c r="AF300" s="169">
        <f t="shared" si="484"/>
        <v>74.730999999999995</v>
      </c>
      <c r="AG300" s="169">
        <f t="shared" si="484"/>
        <v>82.667999999999992</v>
      </c>
      <c r="AH300" s="169">
        <f t="shared" si="484"/>
        <v>58.952999999999996</v>
      </c>
      <c r="AI300" s="169">
        <f t="shared" si="484"/>
        <v>54.283000000000001</v>
      </c>
      <c r="AJ300" s="169">
        <f t="shared" si="484"/>
        <v>51.320999999999998</v>
      </c>
      <c r="AK300" s="169">
        <f t="shared" si="484"/>
        <v>52.883000000000003</v>
      </c>
      <c r="AL300" s="169">
        <f t="shared" ref="AL300:AM300" si="485">AL211</f>
        <v>31.606000000000002</v>
      </c>
      <c r="AM300" s="169">
        <f t="shared" si="485"/>
        <v>32.832999999999998</v>
      </c>
      <c r="AN300" s="169">
        <f t="shared" ref="AN300:AO300" si="486">AN211</f>
        <v>36.271000000000001</v>
      </c>
      <c r="AO300" s="169">
        <f t="shared" si="486"/>
        <v>39.94</v>
      </c>
      <c r="AP300" s="169">
        <f t="shared" si="484"/>
        <v>40.424167500000003</v>
      </c>
      <c r="AQ300" s="169">
        <f t="shared" si="484"/>
        <v>45.592401618750003</v>
      </c>
      <c r="AR300" s="169">
        <f t="shared" si="484"/>
        <v>50.014531025671879</v>
      </c>
      <c r="AS300" s="169">
        <f t="shared" si="484"/>
        <v>53.995369241695748</v>
      </c>
      <c r="AT300" s="169">
        <f t="shared" si="484"/>
        <v>54.721515510298246</v>
      </c>
      <c r="AU300" s="169">
        <f t="shared" si="484"/>
        <v>56.418216905041454</v>
      </c>
      <c r="AV300" s="169">
        <f t="shared" si="484"/>
        <v>58.13610949397718</v>
      </c>
      <c r="AW300" s="169">
        <f t="shared" si="484"/>
        <v>57.844224783439344</v>
      </c>
      <c r="AX300" s="169">
        <f t="shared" si="484"/>
        <v>57.588098443757438</v>
      </c>
      <c r="AY300" s="169">
        <f t="shared" si="484"/>
        <v>57.35135686860724</v>
      </c>
      <c r="AZ300" s="169">
        <f t="shared" si="484"/>
        <v>57.128227934028168</v>
      </c>
      <c r="BA300" s="169">
        <f t="shared" si="484"/>
        <v>56.917928913187403</v>
      </c>
      <c r="BD300" s="186">
        <f t="shared" si="482"/>
        <v>292</v>
      </c>
    </row>
    <row r="301" spans="1:56" hidden="1" outlineLevel="2">
      <c r="A301" s="148"/>
      <c r="B301" s="151" t="s">
        <v>155</v>
      </c>
      <c r="C301" s="48"/>
      <c r="D301" s="48"/>
      <c r="E301" s="48"/>
      <c r="F301" s="48"/>
      <c r="G301" s="170">
        <f t="shared" ref="G301:L301" si="487">-G221</f>
        <v>166.321</v>
      </c>
      <c r="H301" s="170">
        <f t="shared" si="487"/>
        <v>57.908999999999999</v>
      </c>
      <c r="I301" s="170">
        <f t="shared" si="487"/>
        <v>210.18600000000001</v>
      </c>
      <c r="J301" s="170">
        <f t="shared" si="487"/>
        <v>438.67600000000004</v>
      </c>
      <c r="K301" s="170">
        <f t="shared" si="487"/>
        <v>276.97368292682927</v>
      </c>
      <c r="L301" s="170">
        <f t="shared" si="487"/>
        <v>213.88341463414633</v>
      </c>
      <c r="M301" s="35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170">
        <f t="shared" ref="AD301:BA301" si="488">-AD221</f>
        <v>48.588000000000001</v>
      </c>
      <c r="AE301" s="170">
        <f t="shared" si="488"/>
        <v>68.716000000000008</v>
      </c>
      <c r="AF301" s="170">
        <f t="shared" si="488"/>
        <v>24.187000000000005</v>
      </c>
      <c r="AG301" s="170">
        <f t="shared" si="488"/>
        <v>24.829999999999977</v>
      </c>
      <c r="AH301" s="170">
        <f t="shared" si="488"/>
        <v>18.667000000000002</v>
      </c>
      <c r="AI301" s="170">
        <f t="shared" si="488"/>
        <v>17.769999999999996</v>
      </c>
      <c r="AJ301" s="170">
        <f t="shared" si="488"/>
        <v>8.169000000000004</v>
      </c>
      <c r="AK301" s="170">
        <f t="shared" si="488"/>
        <v>13.302999999999997</v>
      </c>
      <c r="AL301" s="170">
        <f t="shared" ref="AL301:AM301" si="489">-AL221</f>
        <v>11.585000000000001</v>
      </c>
      <c r="AM301" s="170">
        <f t="shared" si="489"/>
        <v>60.961999999999996</v>
      </c>
      <c r="AN301" s="170">
        <f t="shared" ref="AN301:AO301" si="490">-AN221</f>
        <v>78.897999999999996</v>
      </c>
      <c r="AO301" s="170">
        <f t="shared" si="490"/>
        <v>58.741000000000021</v>
      </c>
      <c r="AP301" s="170">
        <f t="shared" si="488"/>
        <v>130.3065</v>
      </c>
      <c r="AQ301" s="170">
        <f t="shared" si="488"/>
        <v>122.49900000000001</v>
      </c>
      <c r="AR301" s="170">
        <f t="shared" si="488"/>
        <v>119.2465</v>
      </c>
      <c r="AS301" s="170">
        <f t="shared" si="488"/>
        <v>66.623999999999995</v>
      </c>
      <c r="AT301" s="170">
        <f t="shared" si="488"/>
        <v>84.229365853658535</v>
      </c>
      <c r="AU301" s="170">
        <f t="shared" si="488"/>
        <v>86.294609756097572</v>
      </c>
      <c r="AV301" s="170">
        <f t="shared" si="488"/>
        <v>53.059853658536582</v>
      </c>
      <c r="AW301" s="170">
        <f t="shared" si="488"/>
        <v>53.389853658536587</v>
      </c>
      <c r="AX301" s="170">
        <f t="shared" si="488"/>
        <v>53.470853658536583</v>
      </c>
      <c r="AY301" s="170">
        <f t="shared" si="488"/>
        <v>53.470853658536583</v>
      </c>
      <c r="AZ301" s="170">
        <f t="shared" si="488"/>
        <v>53.470853658536583</v>
      </c>
      <c r="BA301" s="170">
        <f t="shared" si="488"/>
        <v>53.470853658536583</v>
      </c>
      <c r="BD301" s="186">
        <f t="shared" si="482"/>
        <v>293</v>
      </c>
    </row>
    <row r="302" spans="1:56" hidden="1" outlineLevel="2">
      <c r="A302" s="148"/>
      <c r="B302" s="153" t="s">
        <v>221</v>
      </c>
      <c r="C302" s="48"/>
      <c r="D302" s="48"/>
      <c r="E302" s="48"/>
      <c r="F302" s="48"/>
      <c r="G302" s="160">
        <f t="shared" ref="G302:L302" si="491">+G300/G14</f>
        <v>0.13072516556291389</v>
      </c>
      <c r="H302" s="160">
        <f t="shared" si="491"/>
        <v>0.2239013450144263</v>
      </c>
      <c r="I302" s="160">
        <f t="shared" si="491"/>
        <v>8.5828188625522411E-2</v>
      </c>
      <c r="J302" s="160">
        <f t="shared" si="491"/>
        <v>7.4282228170009915E-2</v>
      </c>
      <c r="K302" s="160">
        <f t="shared" si="491"/>
        <v>7.0763024639063157E-2</v>
      </c>
      <c r="L302" s="160">
        <f t="shared" si="491"/>
        <v>6.888697837816013E-2</v>
      </c>
      <c r="M302" s="35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160">
        <f t="shared" ref="AD302:BA302" si="492">+AD300/AD14</f>
        <v>4.8756855171120432E-2</v>
      </c>
      <c r="AE302" s="160">
        <f t="shared" si="492"/>
        <v>0.15947101229544275</v>
      </c>
      <c r="AF302" s="160">
        <f t="shared" si="492"/>
        <v>0.1748105834660828</v>
      </c>
      <c r="AG302" s="160">
        <f t="shared" si="492"/>
        <v>0.20211681348423388</v>
      </c>
      <c r="AH302" s="160">
        <f t="shared" si="492"/>
        <v>0.2186562320345678</v>
      </c>
      <c r="AI302" s="160">
        <f t="shared" si="492"/>
        <v>0.24107777304057415</v>
      </c>
      <c r="AJ302" s="160">
        <f t="shared" si="492"/>
        <v>0.22070036166287513</v>
      </c>
      <c r="AK302" s="160">
        <f t="shared" si="492"/>
        <v>0.21689183092583936</v>
      </c>
      <c r="AL302" s="160">
        <f t="shared" si="492"/>
        <v>0.1005939005837158</v>
      </c>
      <c r="AM302" s="160">
        <f t="shared" si="492"/>
        <v>8.4156322169050835E-2</v>
      </c>
      <c r="AN302" s="160">
        <f t="shared" si="492"/>
        <v>8.1940214886637816E-2</v>
      </c>
      <c r="AO302" s="160">
        <f t="shared" si="492"/>
        <v>8.1220132180986268E-2</v>
      </c>
      <c r="AP302" s="160">
        <f t="shared" si="492"/>
        <v>7.2820143977981575E-2</v>
      </c>
      <c r="AQ302" s="160">
        <f t="shared" si="492"/>
        <v>7.5213446618214039E-2</v>
      </c>
      <c r="AR302" s="160">
        <f t="shared" si="492"/>
        <v>7.3901832155937944E-2</v>
      </c>
      <c r="AS302" s="160">
        <f t="shared" si="492"/>
        <v>7.4982959219790868E-2</v>
      </c>
      <c r="AT302" s="160">
        <f t="shared" si="492"/>
        <v>7.1841209820256047E-2</v>
      </c>
      <c r="AU302" s="160">
        <f t="shared" si="492"/>
        <v>7.0979720390173057E-2</v>
      </c>
      <c r="AV302" s="160">
        <f t="shared" si="492"/>
        <v>7.0583058029042661E-2</v>
      </c>
      <c r="AW302" s="160">
        <f t="shared" si="492"/>
        <v>6.974387296474871E-2</v>
      </c>
      <c r="AX302" s="160">
        <f t="shared" si="492"/>
        <v>6.9298154673051185E-2</v>
      </c>
      <c r="AY302" s="160">
        <f t="shared" si="492"/>
        <v>6.9013273686603566E-2</v>
      </c>
      <c r="AZ302" s="160">
        <f t="shared" si="492"/>
        <v>6.8744773356876662E-2</v>
      </c>
      <c r="BA302" s="160">
        <f t="shared" si="492"/>
        <v>6.8491711796109078E-2</v>
      </c>
      <c r="BD302" s="186">
        <f t="shared" si="482"/>
        <v>294</v>
      </c>
    </row>
    <row r="303" spans="1:56" hidden="1" outlineLevel="2">
      <c r="A303" s="148"/>
      <c r="B303" s="153" t="s">
        <v>222</v>
      </c>
      <c r="C303" s="48"/>
      <c r="D303" s="48"/>
      <c r="E303" s="48"/>
      <c r="F303" s="48"/>
      <c r="G303" s="160">
        <f t="shared" ref="G303:L303" si="493">G301/G14</f>
        <v>7.8675969725638603E-2</v>
      </c>
      <c r="H303" s="160">
        <f t="shared" si="493"/>
        <v>5.9629796672371289E-2</v>
      </c>
      <c r="I303" s="160">
        <f t="shared" si="493"/>
        <v>0.12826081517557097</v>
      </c>
      <c r="J303" s="160">
        <f t="shared" si="493"/>
        <v>0.17148048285050033</v>
      </c>
      <c r="K303" s="160">
        <f t="shared" si="493"/>
        <v>8.6295745834898491E-2</v>
      </c>
      <c r="L303" s="160">
        <f t="shared" si="493"/>
        <v>6.4343702734831698E-2</v>
      </c>
      <c r="M303" s="35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160">
        <f t="shared" ref="AD303:BA303" si="494">AD301/AD14</f>
        <v>6.3277901572049794E-2</v>
      </c>
      <c r="AE303" s="160">
        <f t="shared" si="494"/>
        <v>0.13443017420989309</v>
      </c>
      <c r="AF303" s="160">
        <f t="shared" si="494"/>
        <v>5.6578174817601079E-2</v>
      </c>
      <c r="AG303" s="160">
        <f t="shared" si="494"/>
        <v>6.07074137370388E-2</v>
      </c>
      <c r="AH303" s="160">
        <f t="shared" si="494"/>
        <v>6.9235762105224113E-2</v>
      </c>
      <c r="AI303" s="160">
        <f t="shared" si="494"/>
        <v>7.891885170184039E-2</v>
      </c>
      <c r="AJ303" s="160">
        <f t="shared" si="494"/>
        <v>3.5129893307301652E-2</v>
      </c>
      <c r="AK303" s="160">
        <f t="shared" si="494"/>
        <v>5.4560293984956224E-2</v>
      </c>
      <c r="AL303" s="160">
        <f t="shared" si="494"/>
        <v>3.6872123592430153E-2</v>
      </c>
      <c r="AM303" s="160">
        <f t="shared" si="494"/>
        <v>0.1562555268196533</v>
      </c>
      <c r="AN303" s="160">
        <f t="shared" si="494"/>
        <v>0.17823933925521629</v>
      </c>
      <c r="AO303" s="160">
        <f t="shared" si="494"/>
        <v>0.1194529740721912</v>
      </c>
      <c r="AP303" s="160">
        <f t="shared" si="494"/>
        <v>0.23473428590129544</v>
      </c>
      <c r="AQ303" s="160">
        <f t="shared" si="494"/>
        <v>0.20208569125903414</v>
      </c>
      <c r="AR303" s="160">
        <f t="shared" si="494"/>
        <v>0.17619948937759072</v>
      </c>
      <c r="AS303" s="160">
        <f t="shared" si="494"/>
        <v>9.2520242850782197E-2</v>
      </c>
      <c r="AT303" s="160">
        <f t="shared" si="494"/>
        <v>0.11058062791007692</v>
      </c>
      <c r="AU303" s="160">
        <f t="shared" si="494"/>
        <v>0.10856718995526371</v>
      </c>
      <c r="AV303" s="160">
        <f t="shared" si="494"/>
        <v>6.441997516502182E-2</v>
      </c>
      <c r="AW303" s="160">
        <f t="shared" si="494"/>
        <v>6.4373153674514488E-2</v>
      </c>
      <c r="AX303" s="160">
        <f t="shared" si="494"/>
        <v>6.4343702734831698E-2</v>
      </c>
      <c r="AY303" s="160">
        <f t="shared" si="494"/>
        <v>6.4343702734831698E-2</v>
      </c>
      <c r="AZ303" s="160">
        <f t="shared" si="494"/>
        <v>6.4343702734831698E-2</v>
      </c>
      <c r="BA303" s="160">
        <f t="shared" si="494"/>
        <v>6.4343702734831698E-2</v>
      </c>
      <c r="BD303" s="186">
        <f t="shared" si="482"/>
        <v>295</v>
      </c>
    </row>
    <row r="304" spans="1:56" hidden="1" outlineLevel="2">
      <c r="A304" s="148"/>
      <c r="B304" s="151" t="s">
        <v>223</v>
      </c>
      <c r="C304" s="48"/>
      <c r="D304" s="48"/>
      <c r="E304" s="48"/>
      <c r="F304" s="48"/>
      <c r="G304" s="160">
        <f t="shared" ref="G304:L304" si="495">G301/G300</f>
        <v>0.60184257091473592</v>
      </c>
      <c r="H304" s="160">
        <f t="shared" si="495"/>
        <v>0.26632174392935981</v>
      </c>
      <c r="I304" s="160">
        <f t="shared" si="495"/>
        <v>1.4943903306078923</v>
      </c>
      <c r="J304" s="160">
        <f t="shared" si="495"/>
        <v>2.3084994496669182</v>
      </c>
      <c r="K304" s="160">
        <f t="shared" si="495"/>
        <v>1.2195033532704713</v>
      </c>
      <c r="L304" s="160">
        <f t="shared" si="495"/>
        <v>0.934047395454221</v>
      </c>
      <c r="M304" s="35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160">
        <f t="shared" ref="AD304:BA304" si="496">AD301/AD300</f>
        <v>1.2978257385544101</v>
      </c>
      <c r="AE304" s="160">
        <f t="shared" si="496"/>
        <v>0.84297561214976224</v>
      </c>
      <c r="AF304" s="160">
        <f t="shared" si="496"/>
        <v>0.32365417296704185</v>
      </c>
      <c r="AG304" s="160">
        <f t="shared" si="496"/>
        <v>0.30035805874098781</v>
      </c>
      <c r="AH304" s="160">
        <f t="shared" si="496"/>
        <v>0.3166420708021645</v>
      </c>
      <c r="AI304" s="160">
        <f t="shared" si="496"/>
        <v>0.32735847318681716</v>
      </c>
      <c r="AJ304" s="160">
        <f t="shared" si="496"/>
        <v>0.1591746068860701</v>
      </c>
      <c r="AK304" s="160">
        <f t="shared" si="496"/>
        <v>0.25155532023523619</v>
      </c>
      <c r="AL304" s="160">
        <f t="shared" ref="AL304:AM304" si="497">AL301/AL300</f>
        <v>0.36654432702651396</v>
      </c>
      <c r="AM304" s="160">
        <f t="shared" si="497"/>
        <v>1.8567295099442633</v>
      </c>
      <c r="AN304" s="160">
        <f t="shared" ref="AN304:AO304" si="498">AN301/AN300</f>
        <v>2.1752364147666179</v>
      </c>
      <c r="AO304" s="160">
        <f t="shared" si="498"/>
        <v>1.470731096644968</v>
      </c>
      <c r="AP304" s="160">
        <f t="shared" si="496"/>
        <v>3.2234801124846908</v>
      </c>
      <c r="AQ304" s="160">
        <f t="shared" si="496"/>
        <v>2.686829288449283</v>
      </c>
      <c r="AR304" s="160">
        <f t="shared" si="496"/>
        <v>2.3842370917922264</v>
      </c>
      <c r="AS304" s="160">
        <f t="shared" si="496"/>
        <v>1.2338835891977251</v>
      </c>
      <c r="AT304" s="160">
        <f t="shared" si="496"/>
        <v>1.5392367164576628</v>
      </c>
      <c r="AU304" s="160">
        <f t="shared" si="496"/>
        <v>1.5295522348985546</v>
      </c>
      <c r="AV304" s="160">
        <f t="shared" si="496"/>
        <v>0.91268325521565064</v>
      </c>
      <c r="AW304" s="160">
        <f t="shared" si="496"/>
        <v>0.92299367583230141</v>
      </c>
      <c r="AX304" s="160">
        <f t="shared" si="496"/>
        <v>0.92850528327060666</v>
      </c>
      <c r="AY304" s="160">
        <f t="shared" si="496"/>
        <v>0.93233807494806198</v>
      </c>
      <c r="AZ304" s="160">
        <f t="shared" si="496"/>
        <v>0.9359795602322003</v>
      </c>
      <c r="BA304" s="160">
        <f t="shared" si="496"/>
        <v>0.9394377954280736</v>
      </c>
      <c r="BD304" s="186">
        <f t="shared" si="482"/>
        <v>296</v>
      </c>
    </row>
    <row r="305" spans="1:56" hidden="1" outlineLevel="2">
      <c r="A305" s="148"/>
      <c r="B305" s="151"/>
      <c r="C305" s="48"/>
      <c r="D305" s="48"/>
      <c r="E305" s="48"/>
      <c r="F305" s="48"/>
      <c r="G305" s="169"/>
      <c r="H305" s="169"/>
      <c r="I305" s="169"/>
      <c r="J305" s="169"/>
      <c r="K305" s="169"/>
      <c r="L305" s="169"/>
      <c r="M305" s="35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169"/>
      <c r="AE305" s="169"/>
      <c r="AF305" s="169"/>
      <c r="AG305" s="169"/>
      <c r="AH305" s="169"/>
      <c r="AI305" s="169"/>
      <c r="AJ305" s="169"/>
      <c r="AK305" s="169"/>
      <c r="AL305" s="169"/>
      <c r="AM305" s="169"/>
      <c r="AN305" s="169"/>
      <c r="AO305" s="169"/>
      <c r="AP305" s="169"/>
      <c r="AQ305" s="169"/>
      <c r="AR305" s="169"/>
      <c r="AS305" s="169"/>
      <c r="AT305" s="169"/>
      <c r="AU305" s="169"/>
      <c r="AV305" s="169"/>
      <c r="AW305" s="169"/>
      <c r="AX305" s="169"/>
      <c r="AY305" s="169"/>
      <c r="AZ305" s="169"/>
      <c r="BA305" s="169"/>
      <c r="BD305" s="186">
        <f t="shared" si="482"/>
        <v>297</v>
      </c>
    </row>
    <row r="306" spans="1:56" hidden="1" outlineLevel="2">
      <c r="A306" s="148"/>
      <c r="B306" s="151" t="s">
        <v>224</v>
      </c>
      <c r="C306" s="48"/>
      <c r="D306" s="48"/>
      <c r="E306" s="48"/>
      <c r="F306" s="48"/>
      <c r="G306" s="54">
        <f>G245/G300</f>
        <v>6.1889503642080976</v>
      </c>
      <c r="H306" s="54">
        <f t="shared" ref="H306:L306" si="499">H245/H300</f>
        <v>5.7007220382634296</v>
      </c>
      <c r="I306" s="54">
        <f t="shared" si="499"/>
        <v>5.9494063277639544</v>
      </c>
      <c r="J306" s="54">
        <f t="shared" si="499"/>
        <v>6.7120123008146493</v>
      </c>
      <c r="K306" s="54">
        <f t="shared" si="499"/>
        <v>6.8352995203498805</v>
      </c>
      <c r="L306" s="54">
        <f t="shared" si="499"/>
        <v>7.7136597400278033</v>
      </c>
      <c r="M306" s="35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54">
        <f>AD245/(AD300*4)</f>
        <v>0</v>
      </c>
      <c r="AE306" s="54">
        <f t="shared" ref="AE306:BA306" si="500">AE245/(AE300*4)</f>
        <v>0</v>
      </c>
      <c r="AF306" s="54">
        <f t="shared" si="500"/>
        <v>0</v>
      </c>
      <c r="AG306" s="54">
        <f t="shared" si="500"/>
        <v>5.1723006483766394</v>
      </c>
      <c r="AH306" s="54">
        <f t="shared" si="500"/>
        <v>7.2811943412548983</v>
      </c>
      <c r="AI306" s="54">
        <f t="shared" si="500"/>
        <v>7.918860416705046</v>
      </c>
      <c r="AJ306" s="54">
        <f t="shared" si="500"/>
        <v>8.4058426375168072</v>
      </c>
      <c r="AK306" s="54">
        <f t="shared" si="500"/>
        <v>5.8599408127375527</v>
      </c>
      <c r="AL306" s="54">
        <f t="shared" ref="AL306:AM306" si="501">AL245/(AL300*4)</f>
        <v>4.7651948997025881</v>
      </c>
      <c r="AM306" s="54">
        <f t="shared" si="501"/>
        <v>4.9534386135899853</v>
      </c>
      <c r="AN306" s="54">
        <f t="shared" ref="AN306:AO306" si="502">AN245/(AN300*4)</f>
        <v>5.0341388437043371</v>
      </c>
      <c r="AO306" s="54">
        <f t="shared" si="502"/>
        <v>5.2377566349524285</v>
      </c>
      <c r="AP306" s="54">
        <f t="shared" si="500"/>
        <v>5.9808931130121596</v>
      </c>
      <c r="AQ306" s="54">
        <f t="shared" si="500"/>
        <v>5.9746222030114735</v>
      </c>
      <c r="AR306" s="54">
        <f t="shared" si="500"/>
        <v>6.0424239476499269</v>
      </c>
      <c r="AS306" s="54">
        <f t="shared" si="500"/>
        <v>5.9054138248909194</v>
      </c>
      <c r="AT306" s="54">
        <f t="shared" si="500"/>
        <v>6.211859052029423</v>
      </c>
      <c r="AU306" s="54">
        <f t="shared" si="500"/>
        <v>6.4074338703557334</v>
      </c>
      <c r="AV306" s="54">
        <f t="shared" si="500"/>
        <v>6.446268258729936</v>
      </c>
      <c r="AW306" s="54">
        <f t="shared" si="500"/>
        <v>6.7095448540408444</v>
      </c>
      <c r="AX306" s="54">
        <f t="shared" si="500"/>
        <v>6.9715122567979417</v>
      </c>
      <c r="AY306" s="54">
        <f t="shared" si="500"/>
        <v>7.2333745914920309</v>
      </c>
      <c r="AZ306" s="54">
        <f t="shared" si="500"/>
        <v>7.4956212797307415</v>
      </c>
      <c r="BA306" s="54">
        <f t="shared" si="500"/>
        <v>7.7581753732422554</v>
      </c>
      <c r="BD306" s="186">
        <f t="shared" si="482"/>
        <v>298</v>
      </c>
    </row>
    <row r="307" spans="1:56" hidden="1" outlineLevel="2">
      <c r="A307" s="148"/>
      <c r="B307" s="151" t="s">
        <v>225</v>
      </c>
      <c r="C307" s="48"/>
      <c r="D307" s="48"/>
      <c r="E307" s="48"/>
      <c r="F307" s="48"/>
      <c r="G307" s="54">
        <f>-G246/G300</f>
        <v>1.8088965924017473</v>
      </c>
      <c r="H307" s="54">
        <f t="shared" ref="H307:L307" si="503">-H246/H300</f>
        <v>2.9350119573215596</v>
      </c>
      <c r="I307" s="54">
        <f t="shared" si="503"/>
        <v>0.95097760398151454</v>
      </c>
      <c r="J307" s="54">
        <f t="shared" si="503"/>
        <v>1.7038756254962628</v>
      </c>
      <c r="K307" s="54">
        <f t="shared" si="503"/>
        <v>2.4255960475043499</v>
      </c>
      <c r="L307" s="54">
        <f t="shared" si="503"/>
        <v>3.4058347198467218</v>
      </c>
      <c r="M307" s="35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54">
        <f>-AD246/(AD300*4)</f>
        <v>0</v>
      </c>
      <c r="AE307" s="54">
        <f t="shared" ref="AE307:BA307" si="504">-AE246/(AE300*4)</f>
        <v>0</v>
      </c>
      <c r="AF307" s="54">
        <f t="shared" si="504"/>
        <v>0</v>
      </c>
      <c r="AG307" s="54">
        <f t="shared" si="504"/>
        <v>1.5117518265834424</v>
      </c>
      <c r="AH307" s="54">
        <f t="shared" si="504"/>
        <v>2.3698836361169069</v>
      </c>
      <c r="AI307" s="54">
        <f t="shared" si="504"/>
        <v>2.8237661883094152</v>
      </c>
      <c r="AJ307" s="54">
        <f t="shared" si="504"/>
        <v>3.2367403207264087</v>
      </c>
      <c r="AK307" s="54">
        <f t="shared" si="504"/>
        <v>3.0169856097422607</v>
      </c>
      <c r="AL307" s="54">
        <f t="shared" ref="AL307:AM307" si="505">-AL246/(AL300*4)</f>
        <v>0.24216129848762891</v>
      </c>
      <c r="AM307" s="54">
        <f t="shared" si="505"/>
        <v>0.47406572655559953</v>
      </c>
      <c r="AN307" s="54">
        <f t="shared" ref="AN307:AO307" si="506">-AN246/(AN300*4)</f>
        <v>0.67086653249152206</v>
      </c>
      <c r="AO307" s="54">
        <f t="shared" si="506"/>
        <v>0.83722458688032053</v>
      </c>
      <c r="AP307" s="54">
        <f t="shared" si="504"/>
        <v>1.0771969979344658</v>
      </c>
      <c r="AQ307" s="54">
        <f t="shared" si="504"/>
        <v>1.2050887939426309</v>
      </c>
      <c r="AR307" s="54">
        <f t="shared" si="504"/>
        <v>1.3485385877453484</v>
      </c>
      <c r="AS307" s="54">
        <f t="shared" si="504"/>
        <v>1.4991168406349671</v>
      </c>
      <c r="AT307" s="54">
        <f t="shared" si="504"/>
        <v>1.7292237859584865</v>
      </c>
      <c r="AU307" s="54">
        <f t="shared" si="504"/>
        <v>1.927219724674573</v>
      </c>
      <c r="AV307" s="54">
        <f t="shared" si="504"/>
        <v>2.1202713579695018</v>
      </c>
      <c r="AW307" s="54">
        <f t="shared" si="504"/>
        <v>2.380970348126247</v>
      </c>
      <c r="AX307" s="54">
        <f t="shared" si="504"/>
        <v>2.6415598490237686</v>
      </c>
      <c r="AY307" s="54">
        <f t="shared" si="504"/>
        <v>2.9024639857984944</v>
      </c>
      <c r="AZ307" s="54">
        <f t="shared" si="504"/>
        <v>3.1638003027161696</v>
      </c>
      <c r="BA307" s="54">
        <f t="shared" si="504"/>
        <v>3.4254898374287159</v>
      </c>
      <c r="BD307" s="186">
        <f t="shared" si="482"/>
        <v>299</v>
      </c>
    </row>
    <row r="308" spans="1:56" hidden="1" outlineLevel="2">
      <c r="A308" s="148"/>
      <c r="B308" s="150" t="s">
        <v>226</v>
      </c>
      <c r="C308" s="48"/>
      <c r="D308" s="48"/>
      <c r="E308" s="48"/>
      <c r="F308" s="48"/>
      <c r="G308" s="54">
        <f>G247/G300</f>
        <v>4.3800537718063497</v>
      </c>
      <c r="H308" s="54">
        <f t="shared" ref="H308:L308" si="507">H247/H300</f>
        <v>2.7657100809418695</v>
      </c>
      <c r="I308" s="54">
        <f t="shared" si="507"/>
        <v>4.9984287237824399</v>
      </c>
      <c r="J308" s="54">
        <f t="shared" si="507"/>
        <v>5.0081366753183874</v>
      </c>
      <c r="K308" s="54">
        <f t="shared" si="507"/>
        <v>4.4097034728455302</v>
      </c>
      <c r="L308" s="54">
        <f t="shared" si="507"/>
        <v>4.3078250201810819</v>
      </c>
      <c r="M308" s="35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54">
        <f>AD247/(AD300*4)</f>
        <v>12.15350713179123</v>
      </c>
      <c r="AE308" s="54">
        <f t="shared" ref="AE308:BA308" si="508">AE247/(AE300*4)</f>
        <v>5.3771682859806669</v>
      </c>
      <c r="AF308" s="54">
        <f t="shared" si="508"/>
        <v>5.5672210996775098</v>
      </c>
      <c r="AG308" s="54">
        <f t="shared" si="508"/>
        <v>3.6605488217931974</v>
      </c>
      <c r="AH308" s="54">
        <f t="shared" si="508"/>
        <v>4.8817023730768581</v>
      </c>
      <c r="AI308" s="54">
        <f t="shared" si="508"/>
        <v>4.8917755098281228</v>
      </c>
      <c r="AJ308" s="54">
        <f t="shared" si="508"/>
        <v>4.9550037996141931</v>
      </c>
      <c r="AK308" s="54">
        <f t="shared" si="508"/>
        <v>2.8429552029952911</v>
      </c>
      <c r="AL308" s="54">
        <f t="shared" ref="AL308:AM308" si="509">AL247/(AL300*4)</f>
        <v>4.5230336012149595</v>
      </c>
      <c r="AM308" s="54">
        <f t="shared" si="509"/>
        <v>4.4793728870343861</v>
      </c>
      <c r="AN308" s="54">
        <f t="shared" ref="AN308:AO308" si="510">AN247/(AN300*4)</f>
        <v>4.3632723112128149</v>
      </c>
      <c r="AO308" s="54">
        <f t="shared" si="510"/>
        <v>4.4005320480721082</v>
      </c>
      <c r="AP308" s="54">
        <f t="shared" si="508"/>
        <v>4.903696115077695</v>
      </c>
      <c r="AQ308" s="54">
        <f t="shared" si="508"/>
        <v>4.7695334090688428</v>
      </c>
      <c r="AR308" s="54">
        <f t="shared" si="508"/>
        <v>4.693885359904578</v>
      </c>
      <c r="AS308" s="54">
        <f t="shared" si="508"/>
        <v>4.4062969842559525</v>
      </c>
      <c r="AT308" s="54">
        <f t="shared" si="508"/>
        <v>4.4826352660709361</v>
      </c>
      <c r="AU308" s="54">
        <f t="shared" si="508"/>
        <v>4.4802141456811597</v>
      </c>
      <c r="AV308" s="54">
        <f t="shared" si="508"/>
        <v>4.3259969007604342</v>
      </c>
      <c r="AW308" s="54">
        <f t="shared" si="508"/>
        <v>4.328574505914597</v>
      </c>
      <c r="AX308" s="54">
        <f t="shared" si="508"/>
        <v>4.3299524077741731</v>
      </c>
      <c r="AY308" s="54">
        <f t="shared" si="508"/>
        <v>4.3309106056935365</v>
      </c>
      <c r="AZ308" s="54">
        <f t="shared" si="508"/>
        <v>4.3318209770145719</v>
      </c>
      <c r="BA308" s="54">
        <f t="shared" si="508"/>
        <v>4.332685535813539</v>
      </c>
      <c r="BD308" s="186">
        <f t="shared" si="482"/>
        <v>300</v>
      </c>
    </row>
    <row r="309" spans="1:56" hidden="1" outlineLevel="2">
      <c r="A309" s="148"/>
      <c r="B309" s="149"/>
      <c r="C309" s="48"/>
      <c r="D309" s="48"/>
      <c r="E309" s="48"/>
      <c r="F309" s="48"/>
      <c r="G309" s="35"/>
      <c r="H309" s="35"/>
      <c r="I309" s="35"/>
      <c r="J309" s="35"/>
      <c r="K309" s="35"/>
      <c r="L309" s="35"/>
      <c r="M309" s="35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35"/>
      <c r="AE309" s="35"/>
      <c r="AF309" s="35"/>
      <c r="AG309" s="35"/>
      <c r="AH309" s="35"/>
      <c r="AI309" s="35"/>
      <c r="AJ309" s="35"/>
      <c r="AK309" s="35"/>
      <c r="AL309" s="188"/>
      <c r="AM309" s="188"/>
      <c r="AN309" s="188"/>
      <c r="AO309" s="188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D309" s="186">
        <f t="shared" si="482"/>
        <v>301</v>
      </c>
    </row>
    <row r="310" spans="1:56" outlineLevel="1" collapsed="1">
      <c r="A310" s="148" t="s">
        <v>71</v>
      </c>
      <c r="B310" s="172" t="s">
        <v>227</v>
      </c>
      <c r="C310" s="48"/>
      <c r="D310" s="48"/>
      <c r="E310" s="48"/>
      <c r="F310" s="48"/>
      <c r="G310" s="35"/>
      <c r="H310" s="35"/>
      <c r="I310" s="35"/>
      <c r="J310" s="35"/>
      <c r="K310" s="35"/>
      <c r="L310" s="35"/>
      <c r="M310" s="35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35"/>
      <c r="AE310" s="35"/>
      <c r="AF310" s="35"/>
      <c r="AG310" s="35"/>
      <c r="AH310" s="35"/>
      <c r="AI310" s="35"/>
      <c r="AJ310" s="35"/>
      <c r="AK310" s="35"/>
      <c r="AL310" s="188"/>
      <c r="AM310" s="188"/>
      <c r="AN310" s="188"/>
      <c r="AO310" s="188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D310" s="186">
        <f t="shared" si="482"/>
        <v>302</v>
      </c>
    </row>
    <row r="311" spans="1:56" hidden="1" outlineLevel="2">
      <c r="A311" s="148"/>
      <c r="B311" s="150" t="s">
        <v>228</v>
      </c>
      <c r="C311" s="48"/>
      <c r="D311" s="48"/>
      <c r="E311" s="48"/>
      <c r="F311" s="48"/>
      <c r="G311" s="35">
        <f t="shared" ref="G311:L312" si="511">AVERAGEIFS($N311:$BB311,$N$5:$BB$5,G$5)</f>
        <v>102.65600000000001</v>
      </c>
      <c r="H311" s="35">
        <f t="shared" si="511"/>
        <v>118.30500000000002</v>
      </c>
      <c r="I311" s="35">
        <f t="shared" si="511"/>
        <v>60.350250000000003</v>
      </c>
      <c r="J311" s="35">
        <f t="shared" si="511"/>
        <v>69.23529355499457</v>
      </c>
      <c r="K311" s="35">
        <f t="shared" si="511"/>
        <v>70.630419381046522</v>
      </c>
      <c r="L311" s="35">
        <f t="shared" si="511"/>
        <v>72.05365769092829</v>
      </c>
      <c r="M311" s="35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53">
        <v>59.682000000000002</v>
      </c>
      <c r="AE311" s="53">
        <v>116.851</v>
      </c>
      <c r="AF311" s="53">
        <v>117.01900000000001</v>
      </c>
      <c r="AG311" s="53">
        <v>117.072</v>
      </c>
      <c r="AH311" s="53">
        <v>117.533</v>
      </c>
      <c r="AI311" s="53">
        <v>118.426</v>
      </c>
      <c r="AJ311" s="53">
        <v>118.626</v>
      </c>
      <c r="AK311" s="53">
        <f t="shared" ref="AK311:AK312" si="512">118.305*4-AJ311-AI311-AH311</f>
        <v>118.63500000000006</v>
      </c>
      <c r="AL311" s="50">
        <v>55.557000000000002</v>
      </c>
      <c r="AM311" s="50">
        <v>58.912999999999997</v>
      </c>
      <c r="AN311" s="50">
        <v>62.697000000000003</v>
      </c>
      <c r="AO311" s="50">
        <v>64.233999999999995</v>
      </c>
      <c r="AP311" s="82">
        <f t="shared" ref="AP311:BA311" si="513">AVERAGE(AO313:AP313)</f>
        <v>68.718187049999983</v>
      </c>
      <c r="AQ311" s="82">
        <f t="shared" si="513"/>
        <v>69.061777985249989</v>
      </c>
      <c r="AR311" s="82">
        <f t="shared" si="513"/>
        <v>69.407086875176219</v>
      </c>
      <c r="AS311" s="82">
        <f t="shared" si="513"/>
        <v>69.754122309552102</v>
      </c>
      <c r="AT311" s="82">
        <f t="shared" si="513"/>
        <v>70.102892921099851</v>
      </c>
      <c r="AU311" s="82">
        <f t="shared" si="513"/>
        <v>70.453407385705361</v>
      </c>
      <c r="AV311" s="82">
        <f t="shared" si="513"/>
        <v>70.805674422633871</v>
      </c>
      <c r="AW311" s="82">
        <f t="shared" si="513"/>
        <v>71.159702794747034</v>
      </c>
      <c r="AX311" s="82">
        <f t="shared" si="513"/>
        <v>71.515501308720758</v>
      </c>
      <c r="AY311" s="82">
        <f t="shared" si="513"/>
        <v>71.873078815264364</v>
      </c>
      <c r="AZ311" s="82">
        <f t="shared" si="513"/>
        <v>72.23244420934067</v>
      </c>
      <c r="BA311" s="82">
        <f t="shared" si="513"/>
        <v>72.593606430387368</v>
      </c>
      <c r="BD311" s="186">
        <f t="shared" si="482"/>
        <v>303</v>
      </c>
    </row>
    <row r="312" spans="1:56" hidden="1" outlineLevel="2">
      <c r="A312" s="148"/>
      <c r="B312" s="150" t="s">
        <v>229</v>
      </c>
      <c r="C312" s="48"/>
      <c r="D312" s="48"/>
      <c r="E312" s="48"/>
      <c r="F312" s="48"/>
      <c r="G312" s="35">
        <f t="shared" si="511"/>
        <v>102.65600000000001</v>
      </c>
      <c r="H312" s="35">
        <f t="shared" si="511"/>
        <v>118.30500000000002</v>
      </c>
      <c r="I312" s="35">
        <f t="shared" si="511"/>
        <v>60.417749999999998</v>
      </c>
      <c r="J312" s="35">
        <f t="shared" si="511"/>
        <v>69.927646490544518</v>
      </c>
      <c r="K312" s="35">
        <f t="shared" si="511"/>
        <v>71.33672357485699</v>
      </c>
      <c r="L312" s="35">
        <f t="shared" si="511"/>
        <v>72.774194267837572</v>
      </c>
      <c r="M312" s="35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53">
        <v>59.682000000000002</v>
      </c>
      <c r="AE312" s="53">
        <v>116.851</v>
      </c>
      <c r="AF312" s="53">
        <v>117.01900000000001</v>
      </c>
      <c r="AG312" s="53">
        <v>117.072</v>
      </c>
      <c r="AH312" s="53">
        <v>117.533</v>
      </c>
      <c r="AI312" s="53">
        <v>118.426</v>
      </c>
      <c r="AJ312" s="53">
        <v>118.626</v>
      </c>
      <c r="AK312" s="53">
        <f t="shared" si="512"/>
        <v>118.63500000000006</v>
      </c>
      <c r="AL312" s="50">
        <v>55.557000000000002</v>
      </c>
      <c r="AM312" s="50">
        <v>58.912999999999997</v>
      </c>
      <c r="AN312" s="50">
        <v>62.704000000000001</v>
      </c>
      <c r="AO312" s="50">
        <v>64.497</v>
      </c>
      <c r="AP312" s="82">
        <f t="shared" ref="AP312:BA312" si="514">+AP314*AP311</f>
        <v>69.405368920499981</v>
      </c>
      <c r="AQ312" s="82">
        <f t="shared" si="514"/>
        <v>69.752395765102492</v>
      </c>
      <c r="AR312" s="82">
        <f t="shared" si="514"/>
        <v>70.101157743927985</v>
      </c>
      <c r="AS312" s="82">
        <f t="shared" si="514"/>
        <v>70.451663532647629</v>
      </c>
      <c r="AT312" s="82">
        <f t="shared" si="514"/>
        <v>70.803921850310857</v>
      </c>
      <c r="AU312" s="82">
        <f t="shared" si="514"/>
        <v>71.157941459562409</v>
      </c>
      <c r="AV312" s="82">
        <f t="shared" si="514"/>
        <v>71.513731166860211</v>
      </c>
      <c r="AW312" s="82">
        <f t="shared" si="514"/>
        <v>71.87129982269451</v>
      </c>
      <c r="AX312" s="82">
        <f t="shared" si="514"/>
        <v>72.23065632180797</v>
      </c>
      <c r="AY312" s="82">
        <f t="shared" si="514"/>
        <v>72.591809603417005</v>
      </c>
      <c r="AZ312" s="82">
        <f t="shared" si="514"/>
        <v>72.95476865143408</v>
      </c>
      <c r="BA312" s="82">
        <f t="shared" si="514"/>
        <v>73.319542494691248</v>
      </c>
      <c r="BD312" s="186">
        <f t="shared" si="482"/>
        <v>304</v>
      </c>
    </row>
    <row r="313" spans="1:56" hidden="1" outlineLevel="2">
      <c r="A313" s="148"/>
      <c r="B313" s="150" t="s">
        <v>230</v>
      </c>
      <c r="C313" s="48"/>
      <c r="D313" s="48"/>
      <c r="E313" s="48"/>
      <c r="F313" s="48"/>
      <c r="G313" s="54">
        <f t="shared" ref="G313:L313" si="515">INDEX($N313:$BB313,1,MATCH(G$4,$N$4:$BB$4,0))</f>
        <v>120.42012</v>
      </c>
      <c r="H313" s="54">
        <f t="shared" si="515"/>
        <v>55.463906000000001</v>
      </c>
      <c r="I313" s="54">
        <f t="shared" si="515"/>
        <v>68.546819999999997</v>
      </c>
      <c r="J313" s="54">
        <f t="shared" si="515"/>
        <v>69.928072739251732</v>
      </c>
      <c r="K313" s="54">
        <f t="shared" si="515"/>
        <v>71.33715841268905</v>
      </c>
      <c r="L313" s="54">
        <f t="shared" si="515"/>
        <v>72.774637867869629</v>
      </c>
      <c r="M313" s="35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53">
        <v>118.96995099999999</v>
      </c>
      <c r="AE313" s="53">
        <v>120.403464</v>
      </c>
      <c r="AF313" s="53">
        <v>120.361293</v>
      </c>
      <c r="AG313" s="53">
        <v>120.42012</v>
      </c>
      <c r="AH313" s="53">
        <v>120.107979</v>
      </c>
      <c r="AI313" s="53">
        <v>119.624066</v>
      </c>
      <c r="AJ313" s="53">
        <v>119.581014</v>
      </c>
      <c r="AK313" s="175">
        <v>55.463906000000001</v>
      </c>
      <c r="AL313" s="50">
        <v>56.220626000000003</v>
      </c>
      <c r="AM313" s="50">
        <v>63.265084999999999</v>
      </c>
      <c r="AN313" s="50">
        <v>63.255161999999999</v>
      </c>
      <c r="AO313" s="50">
        <v>68.546819999999997</v>
      </c>
      <c r="AP313" s="50">
        <f t="shared" ref="AP313:BA313" si="516">AO313*1.005</f>
        <v>68.889554099999984</v>
      </c>
      <c r="AQ313" s="50">
        <f t="shared" si="516"/>
        <v>69.234001870499981</v>
      </c>
      <c r="AR313" s="50">
        <f t="shared" si="516"/>
        <v>69.580171879852472</v>
      </c>
      <c r="AS313" s="50">
        <f t="shared" si="516"/>
        <v>69.928072739251732</v>
      </c>
      <c r="AT313" s="50">
        <f t="shared" si="516"/>
        <v>70.277713102947985</v>
      </c>
      <c r="AU313" s="50">
        <f t="shared" si="516"/>
        <v>70.629101668462724</v>
      </c>
      <c r="AV313" s="50">
        <f t="shared" si="516"/>
        <v>70.982247176805032</v>
      </c>
      <c r="AW313" s="50">
        <f t="shared" si="516"/>
        <v>71.33715841268905</v>
      </c>
      <c r="AX313" s="50">
        <f t="shared" si="516"/>
        <v>71.69384420475248</v>
      </c>
      <c r="AY313" s="50">
        <f t="shared" si="516"/>
        <v>72.052313425776234</v>
      </c>
      <c r="AZ313" s="50">
        <f t="shared" si="516"/>
        <v>72.412574992905107</v>
      </c>
      <c r="BA313" s="50">
        <f t="shared" si="516"/>
        <v>72.774637867869629</v>
      </c>
      <c r="BD313" s="186">
        <f t="shared" si="482"/>
        <v>305</v>
      </c>
    </row>
    <row r="314" spans="1:56" hidden="1" outlineLevel="2">
      <c r="A314" s="148"/>
      <c r="B314" s="151" t="s">
        <v>231</v>
      </c>
      <c r="C314" s="48"/>
      <c r="D314" s="48"/>
      <c r="E314" s="48"/>
      <c r="F314" s="48"/>
      <c r="G314" s="171">
        <f t="shared" ref="G314:L314" si="517">+G312/G311</f>
        <v>1</v>
      </c>
      <c r="H314" s="171">
        <f t="shared" si="517"/>
        <v>1</v>
      </c>
      <c r="I314" s="171">
        <f t="shared" si="517"/>
        <v>1.0011184709259695</v>
      </c>
      <c r="J314" s="171">
        <f t="shared" si="517"/>
        <v>1.01</v>
      </c>
      <c r="K314" s="171">
        <f t="shared" si="517"/>
        <v>1.01</v>
      </c>
      <c r="L314" s="171">
        <f t="shared" si="517"/>
        <v>1.01</v>
      </c>
      <c r="M314" s="35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171">
        <f>+AD312/AD311</f>
        <v>1</v>
      </c>
      <c r="AE314" s="171">
        <f t="shared" ref="AE314:AO314" si="518">+AE312/AE311</f>
        <v>1</v>
      </c>
      <c r="AF314" s="171">
        <f t="shared" si="518"/>
        <v>1</v>
      </c>
      <c r="AG314" s="171">
        <f t="shared" si="518"/>
        <v>1</v>
      </c>
      <c r="AH314" s="171">
        <f t="shared" si="518"/>
        <v>1</v>
      </c>
      <c r="AI314" s="171">
        <f t="shared" si="518"/>
        <v>1</v>
      </c>
      <c r="AJ314" s="171">
        <f t="shared" si="518"/>
        <v>1</v>
      </c>
      <c r="AK314" s="171">
        <f t="shared" si="518"/>
        <v>1</v>
      </c>
      <c r="AL314" s="171">
        <f t="shared" si="518"/>
        <v>1</v>
      </c>
      <c r="AM314" s="171">
        <f t="shared" si="518"/>
        <v>1</v>
      </c>
      <c r="AN314" s="171">
        <f t="shared" si="518"/>
        <v>1.0001116480852352</v>
      </c>
      <c r="AO314" s="171">
        <f t="shared" si="518"/>
        <v>1.0040944048323319</v>
      </c>
      <c r="AP314" s="221">
        <f t="shared" ref="AP314:BA314" si="519">IF(AP27&gt;0,1.01,1)</f>
        <v>1.01</v>
      </c>
      <c r="AQ314" s="221">
        <f t="shared" si="519"/>
        <v>1.01</v>
      </c>
      <c r="AR314" s="221">
        <f t="shared" si="519"/>
        <v>1.01</v>
      </c>
      <c r="AS314" s="221">
        <f t="shared" si="519"/>
        <v>1.01</v>
      </c>
      <c r="AT314" s="221">
        <f t="shared" si="519"/>
        <v>1.01</v>
      </c>
      <c r="AU314" s="221">
        <f t="shared" si="519"/>
        <v>1.01</v>
      </c>
      <c r="AV314" s="221">
        <f t="shared" si="519"/>
        <v>1.01</v>
      </c>
      <c r="AW314" s="221">
        <f t="shared" si="519"/>
        <v>1.01</v>
      </c>
      <c r="AX314" s="221">
        <f t="shared" si="519"/>
        <v>1.01</v>
      </c>
      <c r="AY314" s="221">
        <f t="shared" si="519"/>
        <v>1.01</v>
      </c>
      <c r="AZ314" s="221">
        <f t="shared" si="519"/>
        <v>1.01</v>
      </c>
      <c r="BA314" s="221">
        <f t="shared" si="519"/>
        <v>1.01</v>
      </c>
      <c r="BD314" s="186">
        <f t="shared" si="482"/>
        <v>306</v>
      </c>
    </row>
    <row r="315" spans="1:56" hidden="1" outlineLevel="2">
      <c r="A315" s="148"/>
      <c r="B315" s="151"/>
      <c r="C315" s="48"/>
      <c r="D315" s="48"/>
      <c r="E315" s="48"/>
      <c r="F315" s="48"/>
      <c r="G315" s="35"/>
      <c r="H315" s="35"/>
      <c r="I315" s="35"/>
      <c r="J315" s="35"/>
      <c r="K315" s="35"/>
      <c r="L315" s="35"/>
      <c r="M315" s="35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35"/>
      <c r="AE315" s="35"/>
      <c r="AF315" s="35"/>
      <c r="AG315" s="35"/>
      <c r="AH315" s="35"/>
      <c r="AI315" s="35"/>
      <c r="AJ315" s="35"/>
      <c r="AK315" s="35"/>
      <c r="AL315" s="188"/>
      <c r="AM315" s="188"/>
      <c r="AN315" s="188"/>
      <c r="AO315" s="188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D315" s="186">
        <f t="shared" si="482"/>
        <v>307</v>
      </c>
    </row>
    <row r="316" spans="1:56" hidden="1" outlineLevel="2">
      <c r="A316" s="148"/>
      <c r="B316" s="154" t="s">
        <v>232</v>
      </c>
      <c r="C316" s="48"/>
      <c r="D316" s="48"/>
      <c r="E316" s="48"/>
      <c r="F316" s="48"/>
      <c r="G316" s="42">
        <f t="shared" ref="G316:L316" si="520">G34/G311</f>
        <v>-8.5625779301745624</v>
      </c>
      <c r="H316" s="42">
        <f t="shared" si="520"/>
        <v>-7.9818181818181797</v>
      </c>
      <c r="I316" s="42">
        <f t="shared" si="520"/>
        <v>0.37211113458519263</v>
      </c>
      <c r="J316" s="42">
        <f t="shared" si="520"/>
        <v>3.1650702489586133</v>
      </c>
      <c r="K316" s="42">
        <f t="shared" si="520"/>
        <v>5.239578935278125</v>
      </c>
      <c r="L316" s="42">
        <f t="shared" si="520"/>
        <v>4.336605351220963</v>
      </c>
      <c r="M316" s="35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2">
        <f t="shared" ref="AD316:BA316" si="521">AD34/AD311</f>
        <v>0</v>
      </c>
      <c r="AE316" s="42">
        <f t="shared" si="521"/>
        <v>-0.55729946684238951</v>
      </c>
      <c r="AF316" s="42">
        <f t="shared" si="521"/>
        <v>-3.8883941923961061</v>
      </c>
      <c r="AG316" s="42">
        <f t="shared" si="521"/>
        <v>-2.7482403990706574</v>
      </c>
      <c r="AH316" s="42">
        <f t="shared" si="521"/>
        <v>-3.6450358622684695</v>
      </c>
      <c r="AI316" s="42">
        <f t="shared" si="521"/>
        <v>-2.4582101903298259</v>
      </c>
      <c r="AJ316" s="42">
        <f t="shared" si="521"/>
        <v>-0.89685229207762207</v>
      </c>
      <c r="AK316" s="42">
        <f t="shared" si="521"/>
        <v>-0.99777468706536743</v>
      </c>
      <c r="AL316" s="42">
        <f t="shared" si="521"/>
        <v>-0.58140288352502834</v>
      </c>
      <c r="AM316" s="42">
        <f t="shared" si="521"/>
        <v>-0.21592857264101301</v>
      </c>
      <c r="AN316" s="42">
        <f t="shared" si="521"/>
        <v>0.16721693222961226</v>
      </c>
      <c r="AO316" s="42">
        <f t="shared" si="521"/>
        <v>0.88730267459600842</v>
      </c>
      <c r="AP316" s="42">
        <f t="shared" si="521"/>
        <v>0.45982410225387654</v>
      </c>
      <c r="AQ316" s="42">
        <f t="shared" si="521"/>
        <v>0.66703839687052846</v>
      </c>
      <c r="AR316" s="42">
        <f t="shared" si="521"/>
        <v>0.93508811915451273</v>
      </c>
      <c r="AS316" s="42">
        <f t="shared" si="521"/>
        <v>1.0976797730440664</v>
      </c>
      <c r="AT316" s="42">
        <f t="shared" si="521"/>
        <v>1.2253322442127872</v>
      </c>
      <c r="AU316" s="42">
        <f t="shared" si="521"/>
        <v>1.297849048004698</v>
      </c>
      <c r="AV316" s="42">
        <f t="shared" si="521"/>
        <v>1.3548466903474656</v>
      </c>
      <c r="AW316" s="42">
        <f t="shared" si="521"/>
        <v>1.3603991769842911</v>
      </c>
      <c r="AX316" s="42">
        <f t="shared" si="521"/>
        <v>1.1000295934480619</v>
      </c>
      <c r="AY316" s="42">
        <f t="shared" si="521"/>
        <v>1.0896348979027619</v>
      </c>
      <c r="AZ316" s="42">
        <f t="shared" si="521"/>
        <v>1.0790177911785375</v>
      </c>
      <c r="BA316" s="42">
        <f t="shared" si="521"/>
        <v>1.0681877675136398</v>
      </c>
      <c r="BD316" s="186">
        <f t="shared" si="482"/>
        <v>308</v>
      </c>
    </row>
    <row r="317" spans="1:56" hidden="1" outlineLevel="2">
      <c r="A317" s="148"/>
      <c r="B317" s="154" t="s">
        <v>233</v>
      </c>
      <c r="C317" s="48"/>
      <c r="D317" s="48"/>
      <c r="E317" s="48"/>
      <c r="F317" s="48"/>
      <c r="G317" s="42">
        <f t="shared" ref="G317:L317" si="522">+G27/G312</f>
        <v>-3.2282574812967577</v>
      </c>
      <c r="H317" s="42">
        <f t="shared" si="522"/>
        <v>-2.451130552385782</v>
      </c>
      <c r="I317" s="42">
        <f t="shared" si="522"/>
        <v>0.12509651551075673</v>
      </c>
      <c r="J317" s="42">
        <f t="shared" si="522"/>
        <v>3.1337329197610031</v>
      </c>
      <c r="K317" s="42">
        <f t="shared" si="522"/>
        <v>5.1877019161169553</v>
      </c>
      <c r="L317" s="42">
        <f t="shared" si="522"/>
        <v>4.2936686645752111</v>
      </c>
      <c r="M317" s="35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2">
        <f t="shared" ref="AD317:BA317" si="523">+AD27/AD312</f>
        <v>0</v>
      </c>
      <c r="AE317" s="42">
        <f t="shared" si="523"/>
        <v>-0.4591466910852286</v>
      </c>
      <c r="AF317" s="42">
        <f t="shared" si="523"/>
        <v>-0.65747870004016395</v>
      </c>
      <c r="AG317" s="42">
        <f t="shared" si="523"/>
        <v>-0.44480020841875084</v>
      </c>
      <c r="AH317" s="42">
        <f t="shared" si="523"/>
        <v>-0.58746649877055901</v>
      </c>
      <c r="AI317" s="42">
        <f t="shared" si="523"/>
        <v>-0.88566024352760375</v>
      </c>
      <c r="AJ317" s="42">
        <f t="shared" si="523"/>
        <v>-0.41260853438537914</v>
      </c>
      <c r="AK317" s="42">
        <f t="shared" si="523"/>
        <v>-0.5656256585324726</v>
      </c>
      <c r="AL317" s="42">
        <f t="shared" si="523"/>
        <v>-0.39666288676494421</v>
      </c>
      <c r="AM317" s="42">
        <f t="shared" si="523"/>
        <v>-0.10358324987693716</v>
      </c>
      <c r="AN317" s="42">
        <f t="shared" si="523"/>
        <v>0.17980352130645572</v>
      </c>
      <c r="AO317" s="42">
        <f t="shared" si="523"/>
        <v>0.37867575236057494</v>
      </c>
      <c r="AP317" s="42">
        <f t="shared" si="523"/>
        <v>0.45527138837017478</v>
      </c>
      <c r="AQ317" s="42">
        <f t="shared" si="523"/>
        <v>0.66043405630745389</v>
      </c>
      <c r="AR317" s="42">
        <f t="shared" si="523"/>
        <v>0.92582982094506205</v>
      </c>
      <c r="AS317" s="42">
        <f t="shared" si="523"/>
        <v>1.0868116564792736</v>
      </c>
      <c r="AT317" s="42">
        <f t="shared" si="523"/>
        <v>1.2132002417948387</v>
      </c>
      <c r="AU317" s="42">
        <f t="shared" si="523"/>
        <v>1.2849990574303942</v>
      </c>
      <c r="AV317" s="42">
        <f t="shared" si="523"/>
        <v>1.3414323666806591</v>
      </c>
      <c r="AW317" s="42">
        <f t="shared" si="523"/>
        <v>1.3469298782022685</v>
      </c>
      <c r="AX317" s="42">
        <f t="shared" si="523"/>
        <v>1.0891382113347148</v>
      </c>
      <c r="AY317" s="42">
        <f t="shared" si="523"/>
        <v>1.0788464335670911</v>
      </c>
      <c r="AZ317" s="42">
        <f t="shared" si="523"/>
        <v>1.0683344467114231</v>
      </c>
      <c r="BA317" s="42">
        <f t="shared" si="523"/>
        <v>1.0576116510036035</v>
      </c>
      <c r="BD317" s="186">
        <f t="shared" si="482"/>
        <v>309</v>
      </c>
    </row>
    <row r="318" spans="1:56" hidden="1" outlineLevel="2">
      <c r="A318" s="148"/>
      <c r="B318" s="151"/>
      <c r="C318" s="48"/>
      <c r="D318" s="48"/>
      <c r="E318" s="48"/>
      <c r="F318" s="48"/>
      <c r="G318" s="35"/>
      <c r="H318" s="35"/>
      <c r="I318" s="35"/>
      <c r="J318" s="35"/>
      <c r="K318" s="35"/>
      <c r="L318" s="35"/>
      <c r="M318" s="35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35"/>
      <c r="AE318" s="35"/>
      <c r="AF318" s="35"/>
      <c r="AG318" s="35"/>
      <c r="AH318" s="35"/>
      <c r="AI318" s="35"/>
      <c r="AJ318" s="35"/>
      <c r="AK318" s="35"/>
      <c r="AL318" s="188"/>
      <c r="AM318" s="188"/>
      <c r="AN318" s="188"/>
      <c r="AO318" s="188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D318" s="186">
        <f t="shared" si="482"/>
        <v>310</v>
      </c>
    </row>
    <row r="319" spans="1:56" hidden="1" outlineLevel="2">
      <c r="A319" s="148"/>
      <c r="B319" s="150" t="s">
        <v>234</v>
      </c>
      <c r="C319" s="48"/>
      <c r="D319" s="48"/>
      <c r="E319" s="48"/>
      <c r="F319" s="48"/>
      <c r="G319" s="35">
        <f>G263/G313</f>
        <v>5.2536320342480964</v>
      </c>
      <c r="H319" s="35">
        <f t="shared" ref="H319:L319" si="524">H263/H313</f>
        <v>16.69309045778348</v>
      </c>
      <c r="I319" s="35">
        <f t="shared" si="524"/>
        <v>19.277655768713998</v>
      </c>
      <c r="J319" s="35">
        <f t="shared" si="524"/>
        <v>22.287995460998694</v>
      </c>
      <c r="K319" s="35">
        <f t="shared" si="524"/>
        <v>27.287745527040293</v>
      </c>
      <c r="L319" s="35">
        <f t="shared" si="524"/>
        <v>31.289726333499132</v>
      </c>
      <c r="M319" s="35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35">
        <f>AD263/AD313</f>
        <v>12.311495362387769</v>
      </c>
      <c r="AE319" s="35">
        <f t="shared" ref="AE319:AJ319" si="525">AE263/AE313</f>
        <v>11.642630148913323</v>
      </c>
      <c r="AF319" s="35">
        <f t="shared" si="525"/>
        <v>7.8979045198525739</v>
      </c>
      <c r="AG319" s="35">
        <f t="shared" si="525"/>
        <v>5.2536320342480964</v>
      </c>
      <c r="AH319" s="35">
        <f t="shared" si="525"/>
        <v>1.7669184159696829</v>
      </c>
      <c r="AI319" s="35">
        <f t="shared" si="525"/>
        <v>-0.64971876144052743</v>
      </c>
      <c r="AJ319" s="35">
        <f t="shared" si="525"/>
        <v>-1.5221563516763612</v>
      </c>
      <c r="AK319" s="35">
        <f t="shared" ref="AK319:BA319" si="526">AK263/AK313</f>
        <v>16.69309045778348</v>
      </c>
      <c r="AL319" s="188">
        <f t="shared" ref="AL319:AM319" si="527">AL263/AL313</f>
        <v>16.114370551476959</v>
      </c>
      <c r="AM319" s="188">
        <f t="shared" si="527"/>
        <v>17.578874666808712</v>
      </c>
      <c r="AN319" s="188">
        <f t="shared" ref="AN319:AO319" si="528">AN263/AN313</f>
        <v>17.774897169657081</v>
      </c>
      <c r="AO319" s="188">
        <f t="shared" si="528"/>
        <v>19.277655768713998</v>
      </c>
      <c r="AP319" s="35">
        <f t="shared" si="526"/>
        <v>19.70574924462721</v>
      </c>
      <c r="AQ319" s="35">
        <f t="shared" si="526"/>
        <v>20.33808675359937</v>
      </c>
      <c r="AR319" s="35">
        <f t="shared" si="526"/>
        <v>21.234337868760157</v>
      </c>
      <c r="AS319" s="35">
        <f t="shared" si="526"/>
        <v>22.287995460998694</v>
      </c>
      <c r="AT319" s="35">
        <f t="shared" si="526"/>
        <v>23.463425744974611</v>
      </c>
      <c r="AU319" s="35">
        <f t="shared" si="526"/>
        <v>24.705025965253121</v>
      </c>
      <c r="AV319" s="35">
        <f t="shared" si="526"/>
        <v>25.996987946504447</v>
      </c>
      <c r="AW319" s="35">
        <f t="shared" si="526"/>
        <v>27.287745527040293</v>
      </c>
      <c r="AX319" s="35">
        <f t="shared" si="526"/>
        <v>28.312045695590339</v>
      </c>
      <c r="AY319" s="35">
        <f t="shared" si="526"/>
        <v>29.320568732197582</v>
      </c>
      <c r="AZ319" s="35">
        <f t="shared" si="526"/>
        <v>30.313172825736043</v>
      </c>
      <c r="BA319" s="35">
        <f t="shared" si="526"/>
        <v>31.289726333499132</v>
      </c>
      <c r="BD319" s="186">
        <f t="shared" si="482"/>
        <v>311</v>
      </c>
    </row>
    <row r="320" spans="1:56" hidden="1" outlineLevel="2">
      <c r="A320" s="148"/>
      <c r="B320" s="150" t="s">
        <v>235</v>
      </c>
      <c r="C320" s="48"/>
      <c r="D320" s="48"/>
      <c r="E320" s="48"/>
      <c r="F320" s="48"/>
      <c r="G320" s="35">
        <f>(G263-G248)/G313</f>
        <v>1.4707259883149086</v>
      </c>
      <c r="H320" s="35">
        <f t="shared" ref="H320:L320" si="529">(H263-H248)/H313</f>
        <v>15.791603281600828</v>
      </c>
      <c r="I320" s="35">
        <f t="shared" si="529"/>
        <v>15.319018446078173</v>
      </c>
      <c r="J320" s="35">
        <f t="shared" si="529"/>
        <v>18.407551036170641</v>
      </c>
      <c r="K320" s="35">
        <f t="shared" si="529"/>
        <v>23.483949496502952</v>
      </c>
      <c r="L320" s="35">
        <f t="shared" si="529"/>
        <v>27.56106470150765</v>
      </c>
      <c r="M320" s="35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35">
        <f>(AD263-AD248)/AD313</f>
        <v>5.4286228965497356</v>
      </c>
      <c r="AE320" s="35">
        <f t="shared" ref="AE320:AJ320" si="530">(AE263-AE248)/AE313</f>
        <v>4.1767319916975127</v>
      </c>
      <c r="AF320" s="35">
        <f t="shared" si="530"/>
        <v>4.025721126143103</v>
      </c>
      <c r="AG320" s="35">
        <f t="shared" si="530"/>
        <v>1.4707259883149086</v>
      </c>
      <c r="AH320" s="35">
        <f t="shared" si="530"/>
        <v>0.99315633310256557</v>
      </c>
      <c r="AI320" s="35">
        <f t="shared" si="530"/>
        <v>-1.3733858536458701</v>
      </c>
      <c r="AJ320" s="35">
        <f t="shared" si="530"/>
        <v>-2.2271762974011899</v>
      </c>
      <c r="AK320" s="35">
        <f t="shared" ref="AK320:BA320" si="531">(AK263-AK248)/AK313</f>
        <v>15.791603281600828</v>
      </c>
      <c r="AL320" s="188">
        <f t="shared" ref="AL320:AM320" si="532">(AL263-AL248)/AL313</f>
        <v>15.126156724046435</v>
      </c>
      <c r="AM320" s="188">
        <f t="shared" si="532"/>
        <v>16.715570681680109</v>
      </c>
      <c r="AN320" s="188">
        <f t="shared" ref="AN320:AO320" si="533">(AN263-AN248)/AN313</f>
        <v>16.926349821062825</v>
      </c>
      <c r="AO320" s="188">
        <f t="shared" si="533"/>
        <v>15.319018446078173</v>
      </c>
      <c r="AP320" s="35">
        <f t="shared" si="531"/>
        <v>15.766806635039323</v>
      </c>
      <c r="AQ320" s="35">
        <f t="shared" si="531"/>
        <v>16.418740873412418</v>
      </c>
      <c r="AR320" s="35">
        <f t="shared" si="531"/>
        <v>17.334491221807962</v>
      </c>
      <c r="AS320" s="35">
        <f t="shared" si="531"/>
        <v>18.407551036170641</v>
      </c>
      <c r="AT320" s="35">
        <f t="shared" si="531"/>
        <v>19.602287013802421</v>
      </c>
      <c r="AU320" s="35">
        <f t="shared" si="531"/>
        <v>20.863096879509644</v>
      </c>
      <c r="AV320" s="35">
        <f t="shared" si="531"/>
        <v>22.174172935814426</v>
      </c>
      <c r="AW320" s="35">
        <f t="shared" si="531"/>
        <v>23.483949496502952</v>
      </c>
      <c r="AX320" s="35">
        <f t="shared" si="531"/>
        <v>24.527174023413881</v>
      </c>
      <c r="AY320" s="35">
        <f t="shared" si="531"/>
        <v>25.554527267345385</v>
      </c>
      <c r="AZ320" s="35">
        <f t="shared" si="531"/>
        <v>26.565867885584602</v>
      </c>
      <c r="BA320" s="35">
        <f t="shared" si="531"/>
        <v>27.56106470150765</v>
      </c>
      <c r="BD320" s="186">
        <f t="shared" si="482"/>
        <v>312</v>
      </c>
    </row>
    <row r="321" spans="1:56" hidden="1" outlineLevel="2">
      <c r="A321" s="148"/>
      <c r="B321" s="149"/>
      <c r="C321" s="48"/>
      <c r="D321" s="48"/>
      <c r="E321" s="48"/>
      <c r="F321" s="48"/>
      <c r="G321" s="35"/>
      <c r="H321" s="35"/>
      <c r="I321" s="35"/>
      <c r="J321" s="35"/>
      <c r="K321" s="35"/>
      <c r="L321" s="35"/>
      <c r="M321" s="35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35"/>
      <c r="AE321" s="35"/>
      <c r="AF321" s="35"/>
      <c r="AG321" s="35"/>
      <c r="AH321" s="35"/>
      <c r="AI321" s="35"/>
      <c r="AJ321" s="35"/>
      <c r="AK321" s="35"/>
      <c r="AL321" s="188"/>
      <c r="AM321" s="188"/>
      <c r="AN321" s="188"/>
      <c r="AO321" s="188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D321" s="186">
        <f t="shared" si="482"/>
        <v>313</v>
      </c>
    </row>
    <row r="322" spans="1:56" outlineLevel="1" collapsed="1">
      <c r="A322" s="155" t="s">
        <v>71</v>
      </c>
      <c r="B322" s="156" t="s">
        <v>236</v>
      </c>
      <c r="C322" s="48"/>
      <c r="D322" s="48"/>
      <c r="E322" s="48"/>
      <c r="F322" s="48"/>
      <c r="G322" s="35"/>
      <c r="H322" s="35"/>
      <c r="I322" s="35"/>
      <c r="J322" s="35"/>
      <c r="K322" s="35"/>
      <c r="L322" s="35"/>
      <c r="M322" s="35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35"/>
      <c r="AE322" s="35"/>
      <c r="AF322" s="35"/>
      <c r="AG322" s="35"/>
      <c r="AH322" s="35"/>
      <c r="AI322" s="35"/>
      <c r="AJ322" s="35"/>
      <c r="AK322" s="35"/>
      <c r="AL322" s="188"/>
      <c r="AM322" s="188"/>
      <c r="AN322" s="188"/>
      <c r="AO322" s="188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D322" s="186">
        <f t="shared" si="482"/>
        <v>314</v>
      </c>
    </row>
    <row r="323" spans="1:56" hidden="1" outlineLevel="2">
      <c r="A323" s="148"/>
      <c r="B323" s="150" t="s">
        <v>237</v>
      </c>
      <c r="C323" s="48"/>
      <c r="D323" s="48"/>
      <c r="E323" s="48"/>
      <c r="F323" s="48"/>
      <c r="G323" s="35">
        <f>SUM(G240:G243,G247:G249)-SUM(G253,G255,G258:G259)</f>
        <v>1762.2529999999997</v>
      </c>
      <c r="H323" s="35">
        <f t="shared" ref="H323:L323" si="534">SUM(H240:H243,H247:H249)-SUM(H253,H255,H258:H259)</f>
        <v>750.00000000000011</v>
      </c>
      <c r="I323" s="35">
        <f t="shared" si="534"/>
        <v>1207.5349999999999</v>
      </c>
      <c r="J323" s="35">
        <f t="shared" si="534"/>
        <v>1533.148470283076</v>
      </c>
      <c r="K323" s="35">
        <f t="shared" si="534"/>
        <v>1641.0809198622419</v>
      </c>
      <c r="L323" s="35">
        <f t="shared" si="534"/>
        <v>1627.4637235727096</v>
      </c>
      <c r="M323" s="35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35">
        <f>SUM(AD240:AD243,AD247:AD249)-SUM(AD253,AD255,AD258:AD259)</f>
        <v>2554.0540000000001</v>
      </c>
      <c r="AE323" s="35">
        <f>SUM(AE240:AE243,AE247:AE249)-SUM(AE253,AE255,AE258:AE259)</f>
        <v>2520.9179999999997</v>
      </c>
      <c r="AF323" s="35">
        <f t="shared" ref="AF323:BA323" si="535">SUM(AF240:AF243,AF247:AF249)-SUM(AF253,AF255,AF258:AF259)</f>
        <v>2057.402</v>
      </c>
      <c r="AG323" s="35">
        <f t="shared" si="535"/>
        <v>1762.2529999999997</v>
      </c>
      <c r="AH323" s="35">
        <f t="shared" si="535"/>
        <v>1356.2529999999999</v>
      </c>
      <c r="AI323" s="35">
        <f t="shared" si="535"/>
        <v>1198.6600000000001</v>
      </c>
      <c r="AJ323" s="35">
        <f t="shared" si="535"/>
        <v>-258.43199999999979</v>
      </c>
      <c r="AK323" s="35">
        <f t="shared" si="535"/>
        <v>750</v>
      </c>
      <c r="AL323" s="188">
        <f t="shared" ref="AL323:AM323" si="536">SUM(AL240:AL243,AL247:AL249)-SUM(AL253,AL255,AL258:AL259)</f>
        <v>790.84199999999998</v>
      </c>
      <c r="AM323" s="188">
        <f t="shared" si="536"/>
        <v>859.37400000000014</v>
      </c>
      <c r="AN323" s="188">
        <f t="shared" ref="AN323:AO323" si="537">SUM(AN240:AN243,AN247:AN249)-SUM(AN253,AN255,AN258:AN259)</f>
        <v>911.2299999999999</v>
      </c>
      <c r="AO323" s="188">
        <f t="shared" si="537"/>
        <v>1207.5349999999999</v>
      </c>
      <c r="AP323" s="35">
        <f t="shared" si="535"/>
        <v>1326.3513030133954</v>
      </c>
      <c r="AQ323" s="35">
        <f t="shared" si="535"/>
        <v>1412.9909708388675</v>
      </c>
      <c r="AR323" s="35">
        <f t="shared" si="535"/>
        <v>1514.0931532993543</v>
      </c>
      <c r="AS323" s="35">
        <f t="shared" si="535"/>
        <v>1533.148470283076</v>
      </c>
      <c r="AT323" s="35">
        <f t="shared" si="535"/>
        <v>1593.7476456524464</v>
      </c>
      <c r="AU323" s="35">
        <f t="shared" si="535"/>
        <v>1636.7272282677127</v>
      </c>
      <c r="AV323" s="35">
        <f t="shared" si="535"/>
        <v>1642.3683063932751</v>
      </c>
      <c r="AW323" s="35">
        <f t="shared" si="535"/>
        <v>1641.0809198622419</v>
      </c>
      <c r="AX323" s="35">
        <f t="shared" si="535"/>
        <v>1642.8451461686254</v>
      </c>
      <c r="AY323" s="35">
        <f t="shared" si="535"/>
        <v>1639.1282168363668</v>
      </c>
      <c r="AZ323" s="35">
        <f t="shared" si="535"/>
        <v>1630.7455102338927</v>
      </c>
      <c r="BA323" s="35">
        <f t="shared" si="535"/>
        <v>1627.4637235727096</v>
      </c>
      <c r="BD323" s="186">
        <f t="shared" si="482"/>
        <v>315</v>
      </c>
    </row>
    <row r="324" spans="1:56" hidden="1" outlineLevel="2">
      <c r="A324" s="155"/>
      <c r="B324" s="157" t="s">
        <v>238</v>
      </c>
      <c r="C324" s="48"/>
      <c r="D324" s="48"/>
      <c r="E324" s="48"/>
      <c r="F324" s="48"/>
      <c r="G324" s="35">
        <f>SUM(G263,G257,G254)-G239</f>
        <v>1762.2529999999997</v>
      </c>
      <c r="H324" s="35">
        <f t="shared" ref="H324:L324" si="538">SUM(H263,H257,H254)-H239</f>
        <v>749.99999999999989</v>
      </c>
      <c r="I324" s="35">
        <f t="shared" si="538"/>
        <v>1207.5350000000001</v>
      </c>
      <c r="J324" s="35">
        <f t="shared" si="538"/>
        <v>1533.148470283076</v>
      </c>
      <c r="K324" s="35">
        <f t="shared" si="538"/>
        <v>1641.0809198622419</v>
      </c>
      <c r="L324" s="35">
        <f t="shared" si="538"/>
        <v>1627.4637235727103</v>
      </c>
      <c r="M324" s="35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35">
        <f>SUM(AD263,AD257,AD254)-AD239</f>
        <v>2554.0540000000001</v>
      </c>
      <c r="AE324" s="35">
        <f>SUM(AE263,AE257,AE254)-AE239</f>
        <v>2520.9179999999997</v>
      </c>
      <c r="AF324" s="35">
        <f t="shared" ref="AF324:BA324" si="539">SUM(AF263,AF257,AF254)-AF239</f>
        <v>2057.402</v>
      </c>
      <c r="AG324" s="35">
        <f t="shared" si="539"/>
        <v>1762.2529999999997</v>
      </c>
      <c r="AH324" s="35">
        <f t="shared" si="539"/>
        <v>1356.2529999999997</v>
      </c>
      <c r="AI324" s="35">
        <f t="shared" si="539"/>
        <v>1198.6600000000001</v>
      </c>
      <c r="AJ324" s="35">
        <f t="shared" si="539"/>
        <v>-258.4319999999999</v>
      </c>
      <c r="AK324" s="35">
        <f t="shared" si="539"/>
        <v>749.99999999999989</v>
      </c>
      <c r="AL324" s="188">
        <f t="shared" ref="AL324:AM324" si="540">SUM(AL263,AL257,AL254)-AL239</f>
        <v>790.84199999999987</v>
      </c>
      <c r="AM324" s="188">
        <f t="shared" si="540"/>
        <v>859.37399999999991</v>
      </c>
      <c r="AN324" s="188">
        <f t="shared" ref="AN324:AO324" si="541">SUM(AN263,AN257,AN254)-AN239</f>
        <v>911.23</v>
      </c>
      <c r="AO324" s="188">
        <f t="shared" si="541"/>
        <v>1207.5350000000001</v>
      </c>
      <c r="AP324" s="35">
        <f t="shared" si="539"/>
        <v>1326.3513030133954</v>
      </c>
      <c r="AQ324" s="35">
        <f t="shared" si="539"/>
        <v>1412.9909708388677</v>
      </c>
      <c r="AR324" s="35">
        <f t="shared" si="539"/>
        <v>1514.0931532993543</v>
      </c>
      <c r="AS324" s="35">
        <f t="shared" si="539"/>
        <v>1533.148470283076</v>
      </c>
      <c r="AT324" s="35">
        <f t="shared" si="539"/>
        <v>1593.7476456524466</v>
      </c>
      <c r="AU324" s="35">
        <f t="shared" si="539"/>
        <v>1636.7272282677131</v>
      </c>
      <c r="AV324" s="35">
        <f t="shared" si="539"/>
        <v>1642.3683063932754</v>
      </c>
      <c r="AW324" s="35">
        <f t="shared" si="539"/>
        <v>1641.0809198622419</v>
      </c>
      <c r="AX324" s="35">
        <f t="shared" si="539"/>
        <v>1642.8451461686257</v>
      </c>
      <c r="AY324" s="35">
        <f t="shared" si="539"/>
        <v>1639.1282168363673</v>
      </c>
      <c r="AZ324" s="35">
        <f t="shared" si="539"/>
        <v>1630.7455102338934</v>
      </c>
      <c r="BA324" s="35">
        <f t="shared" si="539"/>
        <v>1627.4637235727103</v>
      </c>
      <c r="BD324" s="186">
        <f t="shared" si="482"/>
        <v>316</v>
      </c>
    </row>
    <row r="325" spans="1:56" hidden="1" outlineLevel="2">
      <c r="A325" s="148"/>
      <c r="B325" s="150" t="s">
        <v>54</v>
      </c>
      <c r="C325" s="48"/>
      <c r="D325" s="48"/>
      <c r="E325" s="48"/>
      <c r="F325" s="48"/>
      <c r="G325" s="35">
        <f t="shared" ref="G325:L325" si="542">G22</f>
        <v>-257</v>
      </c>
      <c r="H325" s="35">
        <f t="shared" si="542"/>
        <v>-312.28199999999998</v>
      </c>
      <c r="I325" s="35">
        <f t="shared" si="542"/>
        <v>-9.7859999999999729</v>
      </c>
      <c r="J325" s="35">
        <f t="shared" si="542"/>
        <v>227.51098969565516</v>
      </c>
      <c r="K325" s="35">
        <f t="shared" si="542"/>
        <v>382.71923461731052</v>
      </c>
      <c r="L325" s="35">
        <f t="shared" si="542"/>
        <v>396.72946521205461</v>
      </c>
      <c r="M325" s="35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35">
        <f t="shared" ref="AD325:BA325" si="543">AD22</f>
        <v>0</v>
      </c>
      <c r="AE325" s="35">
        <f t="shared" si="543"/>
        <v>-61.170000000000044</v>
      </c>
      <c r="AF325" s="35">
        <f t="shared" si="543"/>
        <v>-86.140999999999948</v>
      </c>
      <c r="AG325" s="35">
        <f t="shared" si="543"/>
        <v>-74.932000000000002</v>
      </c>
      <c r="AH325" s="35">
        <f t="shared" si="543"/>
        <v>-90.759</v>
      </c>
      <c r="AI325" s="35">
        <f t="shared" si="543"/>
        <v>-87.507000000000005</v>
      </c>
      <c r="AJ325" s="35">
        <f t="shared" si="543"/>
        <v>-69.228999999999999</v>
      </c>
      <c r="AK325" s="35">
        <f t="shared" si="543"/>
        <v>-64.787000000000006</v>
      </c>
      <c r="AL325" s="188">
        <f t="shared" si="543"/>
        <v>-27.022000000000002</v>
      </c>
      <c r="AM325" s="188">
        <f t="shared" si="543"/>
        <v>-7.722999999999999</v>
      </c>
      <c r="AN325" s="188">
        <f t="shared" si="543"/>
        <v>7.6280000000000001</v>
      </c>
      <c r="AO325" s="188">
        <f t="shared" si="543"/>
        <v>17.331000000000003</v>
      </c>
      <c r="AP325" s="35">
        <f t="shared" si="543"/>
        <v>32.875545019361034</v>
      </c>
      <c r="AQ325" s="35">
        <f t="shared" si="543"/>
        <v>47.791605847741764</v>
      </c>
      <c r="AR325" s="35">
        <f t="shared" si="543"/>
        <v>67.20901270319834</v>
      </c>
      <c r="AS325" s="35">
        <f t="shared" si="543"/>
        <v>79.634826125353982</v>
      </c>
      <c r="AT325" s="35">
        <f t="shared" si="543"/>
        <v>88.85601557610309</v>
      </c>
      <c r="AU325" s="35">
        <f t="shared" si="543"/>
        <v>94.565863612602953</v>
      </c>
      <c r="AV325" s="35">
        <f t="shared" si="543"/>
        <v>99.197766648789383</v>
      </c>
      <c r="AW325" s="35">
        <f t="shared" si="543"/>
        <v>100.09958877981508</v>
      </c>
      <c r="AX325" s="35">
        <f t="shared" si="543"/>
        <v>99.88122510109676</v>
      </c>
      <c r="AY325" s="35">
        <f t="shared" si="543"/>
        <v>99.433436578262956</v>
      </c>
      <c r="AZ325" s="35">
        <f t="shared" si="543"/>
        <v>98.95834481289836</v>
      </c>
      <c r="BA325" s="35">
        <f t="shared" si="543"/>
        <v>98.456458719796558</v>
      </c>
      <c r="BD325" s="186">
        <f t="shared" si="482"/>
        <v>317</v>
      </c>
    </row>
    <row r="326" spans="1:56" hidden="1" outlineLevel="2">
      <c r="A326" s="148"/>
      <c r="B326" s="150" t="s">
        <v>239</v>
      </c>
      <c r="C326" s="48"/>
      <c r="D326" s="48"/>
      <c r="E326" s="48"/>
      <c r="F326" s="48"/>
      <c r="G326" s="35">
        <f t="shared" ref="G326:L326" si="544">G325*(1-G419)</f>
        <v>-160.625</v>
      </c>
      <c r="H326" s="35">
        <f t="shared" si="544"/>
        <v>-195.17624999999998</v>
      </c>
      <c r="I326" s="35">
        <f t="shared" si="544"/>
        <v>-6.1162499999999831</v>
      </c>
      <c r="J326" s="35">
        <f t="shared" si="544"/>
        <v>172.90835216869792</v>
      </c>
      <c r="K326" s="35">
        <f t="shared" si="544"/>
        <v>290.86661830915602</v>
      </c>
      <c r="L326" s="35">
        <f t="shared" si="544"/>
        <v>301.51439356116151</v>
      </c>
      <c r="M326" s="35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35">
        <f t="shared" ref="AD326:BA326" si="545">AD325*(1-AD419)</f>
        <v>0</v>
      </c>
      <c r="AE326" s="35">
        <f t="shared" si="545"/>
        <v>-38.231250000000031</v>
      </c>
      <c r="AF326" s="35">
        <f t="shared" si="545"/>
        <v>-53.83812499999997</v>
      </c>
      <c r="AG326" s="35">
        <f t="shared" si="545"/>
        <v>-46.832500000000003</v>
      </c>
      <c r="AH326" s="35">
        <f t="shared" si="545"/>
        <v>-56.724375000000002</v>
      </c>
      <c r="AI326" s="35">
        <f t="shared" si="545"/>
        <v>-54.691875000000003</v>
      </c>
      <c r="AJ326" s="35">
        <f t="shared" si="545"/>
        <v>-43.268124999999998</v>
      </c>
      <c r="AK326" s="35">
        <f t="shared" si="545"/>
        <v>-40.491875000000007</v>
      </c>
      <c r="AL326" s="188">
        <f t="shared" si="545"/>
        <v>-16.888750000000002</v>
      </c>
      <c r="AM326" s="188">
        <f t="shared" si="545"/>
        <v>-4.8268749999999994</v>
      </c>
      <c r="AN326" s="188">
        <f t="shared" si="545"/>
        <v>4.7675000000000001</v>
      </c>
      <c r="AO326" s="188">
        <f t="shared" si="545"/>
        <v>10.831875000000002</v>
      </c>
      <c r="AP326" s="35">
        <f t="shared" si="545"/>
        <v>24.985414214714385</v>
      </c>
      <c r="AQ326" s="35">
        <f t="shared" si="545"/>
        <v>36.321620444283738</v>
      </c>
      <c r="AR326" s="35">
        <f t="shared" si="545"/>
        <v>51.078849654430741</v>
      </c>
      <c r="AS326" s="35">
        <f t="shared" si="545"/>
        <v>60.522467855269028</v>
      </c>
      <c r="AT326" s="35">
        <f t="shared" si="545"/>
        <v>67.530571837838352</v>
      </c>
      <c r="AU326" s="35">
        <f t="shared" si="545"/>
        <v>71.870056345578249</v>
      </c>
      <c r="AV326" s="35">
        <f t="shared" si="545"/>
        <v>75.390302653079928</v>
      </c>
      <c r="AW326" s="35">
        <f t="shared" si="545"/>
        <v>76.075687472659467</v>
      </c>
      <c r="AX326" s="35">
        <f t="shared" si="545"/>
        <v>75.909731076833538</v>
      </c>
      <c r="AY326" s="35">
        <f t="shared" si="545"/>
        <v>75.569411799479852</v>
      </c>
      <c r="AZ326" s="35">
        <f t="shared" si="545"/>
        <v>75.208342057802753</v>
      </c>
      <c r="BA326" s="35">
        <f t="shared" si="545"/>
        <v>74.826908627045384</v>
      </c>
      <c r="BD326" s="186">
        <f t="shared" si="482"/>
        <v>318</v>
      </c>
    </row>
    <row r="327" spans="1:56" hidden="1" outlineLevel="2">
      <c r="A327" s="148"/>
      <c r="B327" s="150" t="s">
        <v>240</v>
      </c>
      <c r="C327" s="48"/>
      <c r="D327" s="48"/>
      <c r="E327" s="48"/>
      <c r="F327" s="48"/>
      <c r="G327" s="62">
        <f t="shared" ref="G327:L327" si="546">+G326/G14</f>
        <v>-7.5981551561021765E-2</v>
      </c>
      <c r="H327" s="62">
        <f t="shared" si="546"/>
        <v>-0.20097601586585687</v>
      </c>
      <c r="I327" s="62">
        <f t="shared" si="546"/>
        <v>-3.7322904989751161E-3</v>
      </c>
      <c r="J327" s="62">
        <f t="shared" si="546"/>
        <v>6.7590676760918469E-2</v>
      </c>
      <c r="K327" s="62">
        <f t="shared" si="546"/>
        <v>9.062432033333076E-2</v>
      </c>
      <c r="L327" s="62">
        <f t="shared" si="546"/>
        <v>9.0706203390092804E-2</v>
      </c>
      <c r="M327" s="35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62">
        <f t="shared" ref="AD327:BA327" si="547">+AD326/AD14</f>
        <v>0</v>
      </c>
      <c r="AE327" s="62">
        <f t="shared" si="547"/>
        <v>-7.4792386020169674E-2</v>
      </c>
      <c r="AF327" s="62">
        <f t="shared" si="547"/>
        <v>-0.12593801827849077</v>
      </c>
      <c r="AG327" s="62">
        <f t="shared" si="547"/>
        <v>-0.11450181046475523</v>
      </c>
      <c r="AH327" s="62">
        <f t="shared" si="547"/>
        <v>-0.21039027873078278</v>
      </c>
      <c r="AI327" s="62">
        <f t="shared" si="547"/>
        <v>-0.24289363941590281</v>
      </c>
      <c r="AJ327" s="62">
        <f t="shared" si="547"/>
        <v>-0.18606985124947856</v>
      </c>
      <c r="AK327" s="62">
        <f t="shared" si="547"/>
        <v>-0.16607145786680449</v>
      </c>
      <c r="AL327" s="62">
        <f t="shared" si="547"/>
        <v>-5.3752617809378921E-2</v>
      </c>
      <c r="AM327" s="62">
        <f t="shared" si="547"/>
        <v>-1.2372066139851284E-2</v>
      </c>
      <c r="AN327" s="62">
        <f t="shared" si="547"/>
        <v>1.0770311666952821E-2</v>
      </c>
      <c r="AO327" s="62">
        <f t="shared" si="547"/>
        <v>2.2027198779867824E-2</v>
      </c>
      <c r="AP327" s="62">
        <f t="shared" si="547"/>
        <v>4.5008755232003449E-2</v>
      </c>
      <c r="AQ327" s="62">
        <f t="shared" si="547"/>
        <v>5.9919507711339241E-2</v>
      </c>
      <c r="AR327" s="62">
        <f t="shared" si="547"/>
        <v>7.547447704633195E-2</v>
      </c>
      <c r="AS327" s="62">
        <f t="shared" si="547"/>
        <v>8.4047091497030352E-2</v>
      </c>
      <c r="AT327" s="62">
        <f t="shared" si="547"/>
        <v>8.8657595379846549E-2</v>
      </c>
      <c r="AU327" s="62">
        <f t="shared" si="547"/>
        <v>9.0419669101227493E-2</v>
      </c>
      <c r="AV327" s="62">
        <f t="shared" si="547"/>
        <v>9.1531376167177242E-2</v>
      </c>
      <c r="AW327" s="62">
        <f t="shared" si="547"/>
        <v>9.1725891437966472E-2</v>
      </c>
      <c r="AX327" s="62">
        <f t="shared" si="547"/>
        <v>9.1345337448320615E-2</v>
      </c>
      <c r="AY327" s="62">
        <f t="shared" si="547"/>
        <v>9.0935817103707933E-2</v>
      </c>
      <c r="AZ327" s="62">
        <f t="shared" si="547"/>
        <v>9.0501326862101231E-2</v>
      </c>
      <c r="BA327" s="62">
        <f t="shared" si="547"/>
        <v>9.0042332146241466E-2</v>
      </c>
      <c r="BD327" s="186">
        <f t="shared" si="482"/>
        <v>319</v>
      </c>
    </row>
    <row r="328" spans="1:56" hidden="1" outlineLevel="2">
      <c r="A328" s="155"/>
      <c r="B328" s="157"/>
      <c r="C328" s="48"/>
      <c r="D328" s="48"/>
      <c r="E328" s="48"/>
      <c r="F328" s="48"/>
      <c r="G328" s="35"/>
      <c r="H328" s="35"/>
      <c r="I328" s="35"/>
      <c r="J328" s="35"/>
      <c r="K328" s="35"/>
      <c r="L328" s="35"/>
      <c r="M328" s="35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35"/>
      <c r="AE328" s="35"/>
      <c r="AF328" s="35"/>
      <c r="AG328" s="35"/>
      <c r="AH328" s="35"/>
      <c r="AI328" s="35"/>
      <c r="AJ328" s="35"/>
      <c r="AK328" s="35"/>
      <c r="AL328" s="188"/>
      <c r="AM328" s="188"/>
      <c r="AN328" s="188"/>
      <c r="AO328" s="188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D328" s="186">
        <f t="shared" si="482"/>
        <v>320</v>
      </c>
    </row>
    <row r="329" spans="1:56" hidden="1" outlineLevel="2">
      <c r="A329" s="155"/>
      <c r="B329" s="157" t="s">
        <v>241</v>
      </c>
      <c r="C329" s="48"/>
      <c r="D329" s="48"/>
      <c r="E329" s="48"/>
      <c r="F329" s="48"/>
      <c r="G329" s="62">
        <f t="shared" ref="G329:L329" si="548">G14/AVERAGE(F323:G323)</f>
        <v>1.1996007383729808</v>
      </c>
      <c r="H329" s="62">
        <f t="shared" si="548"/>
        <v>0.77312436287268849</v>
      </c>
      <c r="I329" s="62">
        <f t="shared" si="548"/>
        <v>1.6742883269009241</v>
      </c>
      <c r="J329" s="62">
        <f t="shared" si="548"/>
        <v>1.8668107463402885</v>
      </c>
      <c r="K329" s="62">
        <f t="shared" si="548"/>
        <v>2.022277763489976</v>
      </c>
      <c r="L329" s="62">
        <f t="shared" si="548"/>
        <v>2.0339797938338813</v>
      </c>
      <c r="M329" s="35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62">
        <f t="shared" ref="AD329:BA329" si="549">AD14*4/AVERAGE(AC323:AD323)</f>
        <v>1.2025603217473084</v>
      </c>
      <c r="AE329" s="62">
        <f t="shared" si="549"/>
        <v>0.80578178559408808</v>
      </c>
      <c r="AF329" s="62">
        <f t="shared" si="549"/>
        <v>0.74699365706197907</v>
      </c>
      <c r="AG329" s="62">
        <f t="shared" si="549"/>
        <v>0.85664490641170488</v>
      </c>
      <c r="AH329" s="62">
        <f t="shared" si="549"/>
        <v>0.69165170758048899</v>
      </c>
      <c r="AI329" s="62">
        <f t="shared" si="549"/>
        <v>0.70505101347873689</v>
      </c>
      <c r="AJ329" s="62">
        <f t="shared" si="549"/>
        <v>1.9785583922197589</v>
      </c>
      <c r="AK329" s="62">
        <f t="shared" si="549"/>
        <v>3.9680695244605002</v>
      </c>
      <c r="AL329" s="62">
        <f t="shared" si="549"/>
        <v>1.6312847131633224</v>
      </c>
      <c r="AM329" s="62">
        <f t="shared" si="549"/>
        <v>1.8913548287012121</v>
      </c>
      <c r="AN329" s="62">
        <f t="shared" si="549"/>
        <v>2.0000045182321964</v>
      </c>
      <c r="AO329" s="62">
        <f t="shared" si="549"/>
        <v>1.8567420171656603</v>
      </c>
      <c r="AP329" s="62">
        <f t="shared" si="549"/>
        <v>1.7526387703370563</v>
      </c>
      <c r="AQ329" s="62">
        <f t="shared" si="549"/>
        <v>1.7702747158184913</v>
      </c>
      <c r="AR329" s="62">
        <f t="shared" si="549"/>
        <v>1.8496764970711963</v>
      </c>
      <c r="AS329" s="62">
        <f t="shared" si="549"/>
        <v>1.8905015358659267</v>
      </c>
      <c r="AT329" s="62">
        <f t="shared" si="549"/>
        <v>1.9487719203069096</v>
      </c>
      <c r="AU329" s="62">
        <f t="shared" si="549"/>
        <v>1.968378856821952</v>
      </c>
      <c r="AV329" s="62">
        <f t="shared" si="549"/>
        <v>2.0094694685177079</v>
      </c>
      <c r="AW329" s="62">
        <f t="shared" si="549"/>
        <v>2.0207548347475708</v>
      </c>
      <c r="AX329" s="62">
        <f t="shared" si="549"/>
        <v>2.0244529341752147</v>
      </c>
      <c r="AY329" s="62">
        <f t="shared" si="549"/>
        <v>2.0256574397982239</v>
      </c>
      <c r="AZ329" s="62">
        <f t="shared" si="549"/>
        <v>2.0331530557136439</v>
      </c>
      <c r="BA329" s="62">
        <f t="shared" si="549"/>
        <v>2.0404318086790108</v>
      </c>
      <c r="BD329" s="186">
        <f t="shared" si="482"/>
        <v>321</v>
      </c>
    </row>
    <row r="330" spans="1:56" hidden="1" outlineLevel="2">
      <c r="A330" s="148"/>
      <c r="B330" s="150" t="s">
        <v>242</v>
      </c>
      <c r="C330" s="48"/>
      <c r="D330" s="48"/>
      <c r="E330" s="48"/>
      <c r="F330" s="48"/>
      <c r="G330" s="62">
        <f>G326/AVERAGE(F323:G323)</f>
        <v>-9.1147525355326414E-2</v>
      </c>
      <c r="H330" s="62">
        <f t="shared" ref="H330:L330" si="550">H326/AVERAGE(G323:H323)</f>
        <v>-0.15537945421898192</v>
      </c>
      <c r="I330" s="62">
        <f t="shared" si="550"/>
        <v>-6.2489304150372621E-3</v>
      </c>
      <c r="J330" s="62">
        <f t="shared" si="550"/>
        <v>0.12617900172969543</v>
      </c>
      <c r="K330" s="62">
        <f t="shared" si="550"/>
        <v>0.1832675478414873</v>
      </c>
      <c r="L330" s="62">
        <f t="shared" si="550"/>
        <v>0.18449458487083509</v>
      </c>
      <c r="M330" s="35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62">
        <f>AD326*4/AVERAGE(AC323:AD323)</f>
        <v>0</v>
      </c>
      <c r="AE330" s="62">
        <f t="shared" ref="AE330:BA330" si="551">AE326*4/AVERAGE(AD323:AE323)</f>
        <v>-6.0266342356174625E-2</v>
      </c>
      <c r="AF330" s="62">
        <f t="shared" si="551"/>
        <v>-9.407490083698819E-2</v>
      </c>
      <c r="AG330" s="62">
        <f t="shared" si="551"/>
        <v>-9.8087392709551011E-2</v>
      </c>
      <c r="AH330" s="62">
        <f t="shared" si="551"/>
        <v>-0.14551679554248095</v>
      </c>
      <c r="AI330" s="62">
        <f t="shared" si="551"/>
        <v>-0.17125240663772115</v>
      </c>
      <c r="AJ330" s="62">
        <f t="shared" si="551"/>
        <v>-0.36815006572873799</v>
      </c>
      <c r="AK330" s="62">
        <f t="shared" si="551"/>
        <v>-0.65898309084399298</v>
      </c>
      <c r="AL330" s="62">
        <f t="shared" si="551"/>
        <v>-8.7685823724950387E-2</v>
      </c>
      <c r="AM330" s="62">
        <f t="shared" si="551"/>
        <v>-2.3399967034618493E-2</v>
      </c>
      <c r="AN330" s="62">
        <f t="shared" si="551"/>
        <v>2.154067199667458E-2</v>
      </c>
      <c r="AO330" s="62">
        <f t="shared" si="551"/>
        <v>4.0898825495040751E-2</v>
      </c>
      <c r="AP330" s="62">
        <f t="shared" si="551"/>
        <v>7.888408942422008E-2</v>
      </c>
      <c r="AQ330" s="62">
        <f t="shared" si="551"/>
        <v>0.10607398948567497</v>
      </c>
      <c r="AR330" s="62">
        <f t="shared" si="551"/>
        <v>0.13960336632133968</v>
      </c>
      <c r="AS330" s="62">
        <f t="shared" si="551"/>
        <v>0.15889115556019995</v>
      </c>
      <c r="AT330" s="62">
        <f t="shared" si="551"/>
        <v>0.17277343239817655</v>
      </c>
      <c r="AU330" s="62">
        <f t="shared" si="551"/>
        <v>0.17798016489969334</v>
      </c>
      <c r="AV330" s="62">
        <f t="shared" si="551"/>
        <v>0.18392950581935202</v>
      </c>
      <c r="AW330" s="62">
        <f t="shared" si="551"/>
        <v>0.18535553859480156</v>
      </c>
      <c r="AX330" s="62">
        <f t="shared" si="551"/>
        <v>0.18492433642047779</v>
      </c>
      <c r="AY330" s="62">
        <f t="shared" si="551"/>
        <v>0.18420481446025655</v>
      </c>
      <c r="AZ330" s="62">
        <f t="shared" si="551"/>
        <v>0.18400304925582042</v>
      </c>
      <c r="BA330" s="62">
        <f t="shared" si="551"/>
        <v>0.18372523863883172</v>
      </c>
      <c r="BD330" s="186">
        <f t="shared" si="482"/>
        <v>322</v>
      </c>
    </row>
    <row r="331" spans="1:56" hidden="1" outlineLevel="2">
      <c r="A331" s="155"/>
      <c r="B331" s="157" t="s">
        <v>243</v>
      </c>
      <c r="C331" s="48"/>
      <c r="D331" s="48"/>
      <c r="E331" s="48"/>
      <c r="F331" s="48"/>
      <c r="G331" s="62">
        <f t="shared" ref="G331:L331" si="552">G27/AVERAGE(F263:G263)</f>
        <v>-0.52383413710418048</v>
      </c>
      <c r="H331" s="62">
        <f t="shared" si="552"/>
        <v>-0.37212665711479004</v>
      </c>
      <c r="I331" s="62">
        <f t="shared" si="552"/>
        <v>6.7263801759099842E-3</v>
      </c>
      <c r="J331" s="62">
        <f t="shared" si="552"/>
        <v>0.15217791566799974</v>
      </c>
      <c r="K331" s="62">
        <f t="shared" si="552"/>
        <v>0.21115773818222888</v>
      </c>
      <c r="L331" s="62">
        <f t="shared" si="552"/>
        <v>0.14795849715652698</v>
      </c>
      <c r="M331" s="35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62">
        <f t="shared" ref="AD331:BA331" si="553">AD27*4/AVERAGE(AC263:AD263)</f>
        <v>0</v>
      </c>
      <c r="AE331" s="62">
        <f t="shared" si="553"/>
        <v>-0.14973394485491262</v>
      </c>
      <c r="AF331" s="62">
        <f t="shared" si="553"/>
        <v>-0.26164601058911779</v>
      </c>
      <c r="AG331" s="62">
        <f t="shared" si="553"/>
        <v>-0.26312364795088572</v>
      </c>
      <c r="AH331" s="62">
        <f t="shared" si="553"/>
        <v>-0.65380179531853766</v>
      </c>
      <c r="AI331" s="62">
        <f t="shared" si="553"/>
        <v>-6.2385712904928647</v>
      </c>
      <c r="AJ331" s="62">
        <f t="shared" si="553"/>
        <v>1.5075239756220582</v>
      </c>
      <c r="AK331" s="62">
        <f t="shared" si="553"/>
        <v>-0.72168992650330688</v>
      </c>
      <c r="AL331" s="62">
        <f t="shared" si="553"/>
        <v>-9.6242433770929989E-2</v>
      </c>
      <c r="AM331" s="62">
        <f t="shared" si="553"/>
        <v>-2.4190806252846128E-2</v>
      </c>
      <c r="AN331" s="62">
        <f t="shared" si="553"/>
        <v>4.0329034470639839E-2</v>
      </c>
      <c r="AO331" s="62">
        <f t="shared" si="553"/>
        <v>7.9887773859911956E-2</v>
      </c>
      <c r="AP331" s="62">
        <f t="shared" si="553"/>
        <v>9.4360461351879588E-2</v>
      </c>
      <c r="AQ331" s="62">
        <f t="shared" si="553"/>
        <v>0.13325639039666839</v>
      </c>
      <c r="AR331" s="62">
        <f t="shared" si="553"/>
        <v>0.17993424393501856</v>
      </c>
      <c r="AS331" s="62">
        <f t="shared" si="553"/>
        <v>0.20175637155790596</v>
      </c>
      <c r="AT331" s="62">
        <f t="shared" si="553"/>
        <v>0.21424536526117241</v>
      </c>
      <c r="AU331" s="62">
        <f t="shared" si="553"/>
        <v>0.21553786044982376</v>
      </c>
      <c r="AV331" s="62">
        <f t="shared" si="553"/>
        <v>0.21376044031501137</v>
      </c>
      <c r="AW331" s="62">
        <f t="shared" si="553"/>
        <v>0.2042336577401615</v>
      </c>
      <c r="AX331" s="62">
        <f t="shared" si="553"/>
        <v>0.15827096239658897</v>
      </c>
      <c r="AY331" s="62">
        <f t="shared" si="553"/>
        <v>0.1512459374471033</v>
      </c>
      <c r="AZ331" s="62">
        <f t="shared" si="553"/>
        <v>0.14474664526118042</v>
      </c>
      <c r="BA331" s="62">
        <f t="shared" si="553"/>
        <v>0.1387136717256803</v>
      </c>
      <c r="BD331" s="186">
        <f t="shared" si="482"/>
        <v>323</v>
      </c>
    </row>
    <row r="332" spans="1:56" hidden="1" outlineLevel="2">
      <c r="A332" s="155"/>
      <c r="B332" s="157" t="s">
        <v>244</v>
      </c>
      <c r="C332" s="48"/>
      <c r="D332" s="48"/>
      <c r="E332" s="48"/>
      <c r="F332" s="48"/>
      <c r="G332" s="62">
        <f t="shared" ref="G332:L332" si="554">G34/AVERAGE(F263:G263)</f>
        <v>-1.3894091928623253</v>
      </c>
      <c r="H332" s="62">
        <f t="shared" si="554"/>
        <v>-1.2117866650582898</v>
      </c>
      <c r="I332" s="62">
        <f t="shared" si="554"/>
        <v>1.9985885196632757E-2</v>
      </c>
      <c r="J332" s="62">
        <f t="shared" si="554"/>
        <v>0.15217791566799974</v>
      </c>
      <c r="K332" s="62">
        <f t="shared" si="554"/>
        <v>0.21115773818222888</v>
      </c>
      <c r="L332" s="62">
        <f t="shared" si="554"/>
        <v>0.14795849715652698</v>
      </c>
      <c r="M332" s="35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62">
        <f t="shared" ref="AD332:BA332" si="555">AD34*4/AVERAGE(AC263:AD263)</f>
        <v>0</v>
      </c>
      <c r="AE332" s="62">
        <f t="shared" si="555"/>
        <v>-0.18174289231752483</v>
      </c>
      <c r="AF332" s="62">
        <f t="shared" si="555"/>
        <v>-1.5474004374228185</v>
      </c>
      <c r="AG332" s="62">
        <f t="shared" si="555"/>
        <v>-1.6257344883451395</v>
      </c>
      <c r="AH332" s="62">
        <f t="shared" si="555"/>
        <v>-4.0566244981440809</v>
      </c>
      <c r="AI332" s="62">
        <f t="shared" si="555"/>
        <v>-17.315578554487391</v>
      </c>
      <c r="AJ332" s="62">
        <f t="shared" si="555"/>
        <v>3.2767774299981163</v>
      </c>
      <c r="AK332" s="62">
        <f t="shared" si="555"/>
        <v>-1.2730750978365049</v>
      </c>
      <c r="AL332" s="62">
        <f t="shared" si="555"/>
        <v>-0.14106595393443913</v>
      </c>
      <c r="AM332" s="62">
        <f t="shared" si="555"/>
        <v>-5.0427904814901614E-2</v>
      </c>
      <c r="AN332" s="62">
        <f t="shared" si="555"/>
        <v>3.7501738220232388E-2</v>
      </c>
      <c r="AO332" s="62">
        <f t="shared" si="555"/>
        <v>0.18642753874434945</v>
      </c>
      <c r="AP332" s="62">
        <f t="shared" si="555"/>
        <v>9.4360461351879588E-2</v>
      </c>
      <c r="AQ332" s="62">
        <f t="shared" si="555"/>
        <v>0.13325639039666839</v>
      </c>
      <c r="AR332" s="62">
        <f t="shared" si="555"/>
        <v>0.17993424393501856</v>
      </c>
      <c r="AS332" s="62">
        <f t="shared" si="555"/>
        <v>0.20175637155790596</v>
      </c>
      <c r="AT332" s="62">
        <f t="shared" si="555"/>
        <v>0.21424536526117241</v>
      </c>
      <c r="AU332" s="62">
        <f t="shared" si="555"/>
        <v>0.21553786044982376</v>
      </c>
      <c r="AV332" s="62">
        <f t="shared" si="555"/>
        <v>0.21376044031501137</v>
      </c>
      <c r="AW332" s="62">
        <f t="shared" si="555"/>
        <v>0.2042336577401615</v>
      </c>
      <c r="AX332" s="62">
        <f t="shared" si="555"/>
        <v>0.15827096239658897</v>
      </c>
      <c r="AY332" s="62">
        <f t="shared" si="555"/>
        <v>0.1512459374471033</v>
      </c>
      <c r="AZ332" s="62">
        <f t="shared" si="555"/>
        <v>0.14474664526118042</v>
      </c>
      <c r="BA332" s="62">
        <f t="shared" si="555"/>
        <v>0.1387136717256803</v>
      </c>
      <c r="BD332" s="186">
        <f t="shared" si="482"/>
        <v>324</v>
      </c>
    </row>
    <row r="333" spans="1:56" hidden="1" outlineLevel="2">
      <c r="A333" s="148"/>
      <c r="B333" s="150"/>
      <c r="C333" s="48"/>
      <c r="D333" s="48"/>
      <c r="E333" s="48"/>
      <c r="F333" s="48"/>
      <c r="G333" s="35"/>
      <c r="H333" s="35"/>
      <c r="I333" s="35"/>
      <c r="J333" s="35"/>
      <c r="K333" s="35"/>
      <c r="L333" s="35"/>
      <c r="M333" s="35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35"/>
      <c r="AE333" s="35"/>
      <c r="AF333" s="35"/>
      <c r="AG333" s="35"/>
      <c r="AH333" s="35"/>
      <c r="AI333" s="35"/>
      <c r="AJ333" s="35"/>
      <c r="AK333" s="35"/>
      <c r="AL333" s="188"/>
      <c r="AM333" s="188"/>
      <c r="AN333" s="188"/>
      <c r="AO333" s="188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D333" s="186">
        <f t="shared" si="482"/>
        <v>325</v>
      </c>
    </row>
    <row r="334" spans="1:56" outlineLevel="1" collapsed="1">
      <c r="A334" s="155" t="s">
        <v>71</v>
      </c>
      <c r="B334" s="156" t="s">
        <v>245</v>
      </c>
      <c r="C334" s="48"/>
      <c r="D334" s="48"/>
      <c r="E334" s="48"/>
      <c r="F334" s="48"/>
      <c r="G334" s="35"/>
      <c r="H334" s="35"/>
      <c r="I334" s="35"/>
      <c r="J334" s="35"/>
      <c r="K334" s="35"/>
      <c r="L334" s="35"/>
      <c r="M334" s="35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87"/>
      <c r="AE334" s="87"/>
      <c r="AF334" s="87"/>
      <c r="AG334" s="87"/>
      <c r="AH334" s="87"/>
      <c r="AI334" s="87"/>
      <c r="AJ334" s="87"/>
      <c r="AK334" s="35"/>
      <c r="AL334" s="188"/>
      <c r="AM334" s="188"/>
      <c r="AN334" s="188"/>
      <c r="AO334" s="188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D334" s="186">
        <f t="shared" si="482"/>
        <v>326</v>
      </c>
    </row>
    <row r="335" spans="1:56" hidden="1" outlineLevel="2">
      <c r="A335" s="148"/>
      <c r="B335" s="150" t="s">
        <v>246</v>
      </c>
      <c r="C335" s="48"/>
      <c r="D335" s="48"/>
      <c r="E335" s="48"/>
      <c r="F335" s="48"/>
      <c r="G335" s="54">
        <f t="shared" ref="G335:L337" si="556">INDEX($N335:$BB335,1,MATCH(G$4,$N$4:$BB$4,0))</f>
        <v>0</v>
      </c>
      <c r="H335" s="54">
        <f t="shared" si="556"/>
        <v>750</v>
      </c>
      <c r="I335" s="54">
        <f t="shared" si="556"/>
        <v>1207.5349999999999</v>
      </c>
      <c r="J335" s="54">
        <f t="shared" si="556"/>
        <v>1533.148470283076</v>
      </c>
      <c r="K335" s="54">
        <f t="shared" si="556"/>
        <v>1641.0809198622419</v>
      </c>
      <c r="L335" s="54">
        <f t="shared" si="556"/>
        <v>1627.4637235727096</v>
      </c>
      <c r="M335" s="35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117"/>
      <c r="AE335" s="117"/>
      <c r="AF335" s="117"/>
      <c r="AG335" s="117"/>
      <c r="AH335" s="117"/>
      <c r="AI335" s="117"/>
      <c r="AJ335" s="117"/>
      <c r="AK335" s="35">
        <f>AK323</f>
        <v>750</v>
      </c>
      <c r="AL335" s="188">
        <f>AL323</f>
        <v>790.84199999999998</v>
      </c>
      <c r="AM335" s="188">
        <f>AM323</f>
        <v>859.37400000000014</v>
      </c>
      <c r="AN335" s="188">
        <f>AN323</f>
        <v>911.2299999999999</v>
      </c>
      <c r="AO335" s="188">
        <f>AO323</f>
        <v>1207.5349999999999</v>
      </c>
      <c r="AP335" s="35">
        <f t="shared" ref="AP335:BA335" si="557">AP323</f>
        <v>1326.3513030133954</v>
      </c>
      <c r="AQ335" s="35">
        <f t="shared" si="557"/>
        <v>1412.9909708388675</v>
      </c>
      <c r="AR335" s="35">
        <f t="shared" si="557"/>
        <v>1514.0931532993543</v>
      </c>
      <c r="AS335" s="35">
        <f t="shared" si="557"/>
        <v>1533.148470283076</v>
      </c>
      <c r="AT335" s="35">
        <f t="shared" si="557"/>
        <v>1593.7476456524464</v>
      </c>
      <c r="AU335" s="35">
        <f t="shared" si="557"/>
        <v>1636.7272282677127</v>
      </c>
      <c r="AV335" s="35">
        <f t="shared" si="557"/>
        <v>1642.3683063932751</v>
      </c>
      <c r="AW335" s="35">
        <f t="shared" si="557"/>
        <v>1641.0809198622419</v>
      </c>
      <c r="AX335" s="35">
        <f t="shared" si="557"/>
        <v>1642.8451461686254</v>
      </c>
      <c r="AY335" s="35">
        <f t="shared" si="557"/>
        <v>1639.1282168363668</v>
      </c>
      <c r="AZ335" s="35">
        <f t="shared" si="557"/>
        <v>1630.7455102338927</v>
      </c>
      <c r="BA335" s="35">
        <f t="shared" si="557"/>
        <v>1627.4637235727096</v>
      </c>
      <c r="BD335" s="186">
        <f t="shared" si="482"/>
        <v>327</v>
      </c>
    </row>
    <row r="336" spans="1:56" hidden="1" outlineLevel="2">
      <c r="A336" s="155"/>
      <c r="B336" s="157" t="s">
        <v>247</v>
      </c>
      <c r="C336" s="48"/>
      <c r="D336" s="48"/>
      <c r="E336" s="48"/>
      <c r="F336" s="48"/>
      <c r="G336" s="54">
        <f t="shared" si="556"/>
        <v>0</v>
      </c>
      <c r="H336" s="54">
        <f t="shared" si="556"/>
        <v>175.864</v>
      </c>
      <c r="I336" s="54">
        <f t="shared" si="556"/>
        <v>113.887</v>
      </c>
      <c r="J336" s="54">
        <f t="shared" si="556"/>
        <v>10</v>
      </c>
      <c r="K336" s="54">
        <f t="shared" si="556"/>
        <v>10</v>
      </c>
      <c r="L336" s="54">
        <f t="shared" si="556"/>
        <v>10</v>
      </c>
      <c r="M336" s="35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117"/>
      <c r="AE336" s="117"/>
      <c r="AF336" s="117"/>
      <c r="AG336" s="117"/>
      <c r="AH336" s="117"/>
      <c r="AI336" s="117"/>
      <c r="AJ336" s="117"/>
      <c r="AK336" s="35">
        <f>AK239</f>
        <v>175.864</v>
      </c>
      <c r="AL336" s="188">
        <f>AL239</f>
        <v>115.11799999999999</v>
      </c>
      <c r="AM336" s="188">
        <f>AM239</f>
        <v>252.755</v>
      </c>
      <c r="AN336" s="188">
        <f>AN239</f>
        <v>213.124</v>
      </c>
      <c r="AO336" s="188">
        <f>AO239</f>
        <v>113.887</v>
      </c>
      <c r="AP336" s="41">
        <v>10</v>
      </c>
      <c r="AQ336" s="41">
        <v>10</v>
      </c>
      <c r="AR336" s="41">
        <v>10</v>
      </c>
      <c r="AS336" s="41">
        <v>10</v>
      </c>
      <c r="AT336" s="41">
        <v>10</v>
      </c>
      <c r="AU336" s="41">
        <v>10</v>
      </c>
      <c r="AV336" s="41">
        <v>10</v>
      </c>
      <c r="AW336" s="41">
        <v>10</v>
      </c>
      <c r="AX336" s="41">
        <v>10</v>
      </c>
      <c r="AY336" s="41">
        <v>10</v>
      </c>
      <c r="AZ336" s="41">
        <v>10</v>
      </c>
      <c r="BA336" s="41">
        <v>10</v>
      </c>
      <c r="BD336" s="186">
        <f t="shared" si="482"/>
        <v>328</v>
      </c>
    </row>
    <row r="337" spans="1:56" hidden="1" outlineLevel="2">
      <c r="A337" s="155"/>
      <c r="B337" s="157" t="s">
        <v>248</v>
      </c>
      <c r="C337" s="48"/>
      <c r="D337" s="48"/>
      <c r="E337" s="48"/>
      <c r="F337" s="48"/>
      <c r="G337" s="54">
        <f t="shared" si="556"/>
        <v>0</v>
      </c>
      <c r="H337" s="54">
        <f t="shared" si="556"/>
        <v>925.86400000000003</v>
      </c>
      <c r="I337" s="54">
        <f t="shared" si="556"/>
        <v>1321.4219999999998</v>
      </c>
      <c r="J337" s="54">
        <f t="shared" si="556"/>
        <v>1543.148470283076</v>
      </c>
      <c r="K337" s="54">
        <f t="shared" si="556"/>
        <v>1651.0809198622419</v>
      </c>
      <c r="L337" s="54">
        <f t="shared" si="556"/>
        <v>1637.4637235727096</v>
      </c>
      <c r="M337" s="35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117"/>
      <c r="AE337" s="117"/>
      <c r="AF337" s="117"/>
      <c r="AG337" s="117"/>
      <c r="AH337" s="117"/>
      <c r="AI337" s="117"/>
      <c r="AJ337" s="117"/>
      <c r="AK337" s="35">
        <f>SUM(AK335:AK336)</f>
        <v>925.86400000000003</v>
      </c>
      <c r="AL337" s="188">
        <f>SUM(AL335:AL336)</f>
        <v>905.96</v>
      </c>
      <c r="AM337" s="188">
        <f>SUM(AM335:AM336)</f>
        <v>1112.1290000000001</v>
      </c>
      <c r="AN337" s="188">
        <f>SUM(AN335:AN336)</f>
        <v>1124.3539999999998</v>
      </c>
      <c r="AO337" s="188">
        <f>SUM(AO335:AO336)</f>
        <v>1321.4219999999998</v>
      </c>
      <c r="AP337" s="35">
        <f t="shared" ref="AP337:BA337" si="558">SUM(AP335:AP336)</f>
        <v>1336.3513030133954</v>
      </c>
      <c r="AQ337" s="35">
        <f t="shared" si="558"/>
        <v>1422.9909708388675</v>
      </c>
      <c r="AR337" s="35">
        <f t="shared" si="558"/>
        <v>1524.0931532993543</v>
      </c>
      <c r="AS337" s="35">
        <f t="shared" si="558"/>
        <v>1543.148470283076</v>
      </c>
      <c r="AT337" s="35">
        <f t="shared" si="558"/>
        <v>1603.7476456524464</v>
      </c>
      <c r="AU337" s="35">
        <f t="shared" si="558"/>
        <v>1646.7272282677127</v>
      </c>
      <c r="AV337" s="35">
        <f t="shared" si="558"/>
        <v>1652.3683063932751</v>
      </c>
      <c r="AW337" s="35">
        <f t="shared" si="558"/>
        <v>1651.0809198622419</v>
      </c>
      <c r="AX337" s="35">
        <f t="shared" si="558"/>
        <v>1652.8451461686254</v>
      </c>
      <c r="AY337" s="35">
        <f t="shared" si="558"/>
        <v>1649.1282168363668</v>
      </c>
      <c r="AZ337" s="35">
        <f t="shared" si="558"/>
        <v>1640.7455102338927</v>
      </c>
      <c r="BA337" s="35">
        <f t="shared" si="558"/>
        <v>1637.4637235727096</v>
      </c>
      <c r="BD337" s="186">
        <f t="shared" si="482"/>
        <v>329</v>
      </c>
    </row>
    <row r="338" spans="1:56" hidden="1" outlineLevel="2">
      <c r="A338" s="155"/>
      <c r="B338" s="157"/>
      <c r="C338" s="48"/>
      <c r="D338" s="48"/>
      <c r="E338" s="48"/>
      <c r="F338" s="48"/>
      <c r="G338" s="35"/>
      <c r="H338" s="35"/>
      <c r="I338" s="35"/>
      <c r="J338" s="35"/>
      <c r="K338" s="35"/>
      <c r="L338" s="35"/>
      <c r="M338" s="35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117"/>
      <c r="AE338" s="117"/>
      <c r="AF338" s="117"/>
      <c r="AG338" s="117"/>
      <c r="AH338" s="117"/>
      <c r="AI338" s="117"/>
      <c r="AJ338" s="117"/>
      <c r="AK338" s="35"/>
      <c r="AL338" s="188"/>
      <c r="AM338" s="188"/>
      <c r="AN338" s="188"/>
      <c r="AO338" s="188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D338" s="186">
        <f t="shared" si="482"/>
        <v>330</v>
      </c>
    </row>
    <row r="339" spans="1:56" hidden="1" outlineLevel="2">
      <c r="A339" s="155"/>
      <c r="B339" s="157" t="s">
        <v>192</v>
      </c>
      <c r="C339" s="48"/>
      <c r="D339" s="48"/>
      <c r="E339" s="48"/>
      <c r="F339" s="48"/>
      <c r="G339" s="54">
        <f t="shared" ref="G339:L341" si="559">INDEX($N339:$BB339,1,MATCH(G$4,$N$4:$BB$4,0))</f>
        <v>0</v>
      </c>
      <c r="H339" s="54">
        <f t="shared" si="559"/>
        <v>925.86399999999992</v>
      </c>
      <c r="I339" s="54">
        <f t="shared" si="559"/>
        <v>1321.422</v>
      </c>
      <c r="J339" s="54">
        <f t="shared" si="559"/>
        <v>1558.5565678088292</v>
      </c>
      <c r="K339" s="54">
        <f t="shared" si="559"/>
        <v>1946.6302253876204</v>
      </c>
      <c r="L339" s="54">
        <f t="shared" si="559"/>
        <v>2277.0985029051435</v>
      </c>
      <c r="M339" s="35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117"/>
      <c r="AE339" s="117"/>
      <c r="AF339" s="117"/>
      <c r="AG339" s="117"/>
      <c r="AH339" s="117"/>
      <c r="AI339" s="117"/>
      <c r="AJ339" s="117"/>
      <c r="AK339" s="35">
        <f>AK263</f>
        <v>925.86399999999992</v>
      </c>
      <c r="AL339" s="188">
        <f>AL263</f>
        <v>905.95999999999992</v>
      </c>
      <c r="AM339" s="188">
        <f>AM263</f>
        <v>1112.1289999999999</v>
      </c>
      <c r="AN339" s="188">
        <f>AN263</f>
        <v>1124.354</v>
      </c>
      <c r="AO339" s="188">
        <f>AO263</f>
        <v>1321.422</v>
      </c>
      <c r="AP339" s="35">
        <f t="shared" ref="AP339:BA339" si="560">AP263</f>
        <v>1357.5202786687801</v>
      </c>
      <c r="AQ339" s="35">
        <f t="shared" si="560"/>
        <v>1408.0871363410897</v>
      </c>
      <c r="AR339" s="35">
        <f t="shared" si="560"/>
        <v>1477.4888786631921</v>
      </c>
      <c r="AS339" s="35">
        <f t="shared" si="560"/>
        <v>1558.5565678088292</v>
      </c>
      <c r="AT339" s="35">
        <f t="shared" si="560"/>
        <v>1648.9559029176494</v>
      </c>
      <c r="AU339" s="35">
        <f t="shared" si="560"/>
        <v>1744.8937906218741</v>
      </c>
      <c r="AV339" s="35">
        <f t="shared" si="560"/>
        <v>1845.3246242711998</v>
      </c>
      <c r="AW339" s="35">
        <f t="shared" si="560"/>
        <v>1946.6302253876204</v>
      </c>
      <c r="AX339" s="35">
        <f t="shared" si="560"/>
        <v>2029.7993932174868</v>
      </c>
      <c r="AY339" s="35">
        <f t="shared" si="560"/>
        <v>2112.6148081143147</v>
      </c>
      <c r="AZ339" s="35">
        <f t="shared" si="560"/>
        <v>2195.0549005165044</v>
      </c>
      <c r="BA339" s="35">
        <f t="shared" si="560"/>
        <v>2277.0985029051435</v>
      </c>
      <c r="BD339" s="186">
        <f t="shared" si="482"/>
        <v>331</v>
      </c>
    </row>
    <row r="340" spans="1:56" hidden="1" outlineLevel="2">
      <c r="A340" s="155"/>
      <c r="B340" s="157" t="s">
        <v>273</v>
      </c>
      <c r="C340" s="48"/>
      <c r="D340" s="48"/>
      <c r="E340" s="48"/>
      <c r="F340" s="48"/>
      <c r="G340" s="54">
        <f t="shared" si="559"/>
        <v>0</v>
      </c>
      <c r="H340" s="54">
        <f t="shared" si="559"/>
        <v>0</v>
      </c>
      <c r="I340" s="54">
        <f t="shared" si="559"/>
        <v>0</v>
      </c>
      <c r="J340" s="54">
        <f t="shared" si="559"/>
        <v>0</v>
      </c>
      <c r="K340" s="54">
        <f t="shared" si="559"/>
        <v>0</v>
      </c>
      <c r="L340" s="54">
        <f t="shared" si="559"/>
        <v>0</v>
      </c>
      <c r="M340" s="35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117"/>
      <c r="AE340" s="117"/>
      <c r="AF340" s="117"/>
      <c r="AG340" s="117"/>
      <c r="AH340" s="117"/>
      <c r="AI340" s="117"/>
      <c r="AJ340" s="117"/>
      <c r="AK340" s="35">
        <f>AK346</f>
        <v>0</v>
      </c>
      <c r="AL340" s="188">
        <f>AL346</f>
        <v>0</v>
      </c>
      <c r="AM340" s="188">
        <f>AM346</f>
        <v>0</v>
      </c>
      <c r="AN340" s="188">
        <f>AN346</f>
        <v>0</v>
      </c>
      <c r="AO340" s="188">
        <f>AO346</f>
        <v>0</v>
      </c>
      <c r="AP340" s="35">
        <f t="shared" ref="AP340:BA340" si="561">AP346</f>
        <v>0</v>
      </c>
      <c r="AQ340" s="35">
        <f t="shared" si="561"/>
        <v>0</v>
      </c>
      <c r="AR340" s="35">
        <f t="shared" si="561"/>
        <v>0</v>
      </c>
      <c r="AS340" s="35">
        <f t="shared" si="561"/>
        <v>0</v>
      </c>
      <c r="AT340" s="35">
        <f t="shared" si="561"/>
        <v>0</v>
      </c>
      <c r="AU340" s="35">
        <f t="shared" si="561"/>
        <v>0</v>
      </c>
      <c r="AV340" s="35">
        <f t="shared" si="561"/>
        <v>0</v>
      </c>
      <c r="AW340" s="35">
        <f t="shared" si="561"/>
        <v>0</v>
      </c>
      <c r="AX340" s="35">
        <f t="shared" si="561"/>
        <v>0</v>
      </c>
      <c r="AY340" s="35">
        <f t="shared" si="561"/>
        <v>0</v>
      </c>
      <c r="AZ340" s="35">
        <f t="shared" si="561"/>
        <v>0</v>
      </c>
      <c r="BA340" s="35">
        <f t="shared" si="561"/>
        <v>0</v>
      </c>
      <c r="BD340" s="186">
        <f t="shared" si="482"/>
        <v>332</v>
      </c>
    </row>
    <row r="341" spans="1:56" hidden="1" outlineLevel="2">
      <c r="A341" s="155"/>
      <c r="B341" s="157" t="s">
        <v>249</v>
      </c>
      <c r="C341" s="48"/>
      <c r="D341" s="48"/>
      <c r="E341" s="48"/>
      <c r="F341" s="48"/>
      <c r="G341" s="54">
        <f t="shared" si="559"/>
        <v>0</v>
      </c>
      <c r="H341" s="54">
        <f t="shared" si="559"/>
        <v>0</v>
      </c>
      <c r="I341" s="54">
        <f t="shared" si="559"/>
        <v>0</v>
      </c>
      <c r="J341" s="54">
        <f t="shared" si="559"/>
        <v>0</v>
      </c>
      <c r="K341" s="54">
        <f t="shared" si="559"/>
        <v>0</v>
      </c>
      <c r="L341" s="54">
        <f t="shared" si="559"/>
        <v>0</v>
      </c>
      <c r="M341" s="35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117"/>
      <c r="AE341" s="117"/>
      <c r="AF341" s="117"/>
      <c r="AG341" s="117"/>
      <c r="AH341" s="117"/>
      <c r="AI341" s="117"/>
      <c r="AJ341" s="117"/>
      <c r="AK341" s="35">
        <f>ROUND(MAX(AK337-AK339-AK340,0),3)</f>
        <v>0</v>
      </c>
      <c r="AL341" s="188">
        <f>ROUND(MAX(AL337-AL339-AL340,0),3)</f>
        <v>0</v>
      </c>
      <c r="AM341" s="188">
        <f>ROUND(MAX(AM337-AM339-AM340,0),3)</f>
        <v>0</v>
      </c>
      <c r="AN341" s="188">
        <f>ROUND(MAX(AN337-AN339-AN340,0),3)</f>
        <v>0</v>
      </c>
      <c r="AO341" s="188">
        <f>ROUND(MAX(AO337-AO339-AO340,0),3)</f>
        <v>0</v>
      </c>
      <c r="AP341" s="35">
        <f t="shared" ref="AP341:BA341" si="562">MAX(AP337-AP339-AP340,0)</f>
        <v>0</v>
      </c>
      <c r="AQ341" s="35">
        <f t="shared" si="562"/>
        <v>14.90383449777778</v>
      </c>
      <c r="AR341" s="35">
        <f t="shared" si="562"/>
        <v>46.604274636162245</v>
      </c>
      <c r="AS341" s="35">
        <f t="shared" si="562"/>
        <v>0</v>
      </c>
      <c r="AT341" s="35">
        <f t="shared" si="562"/>
        <v>0</v>
      </c>
      <c r="AU341" s="35">
        <f t="shared" si="562"/>
        <v>0</v>
      </c>
      <c r="AV341" s="35">
        <f t="shared" si="562"/>
        <v>0</v>
      </c>
      <c r="AW341" s="35">
        <f t="shared" si="562"/>
        <v>0</v>
      </c>
      <c r="AX341" s="35">
        <f t="shared" si="562"/>
        <v>0</v>
      </c>
      <c r="AY341" s="35">
        <f t="shared" si="562"/>
        <v>0</v>
      </c>
      <c r="AZ341" s="35">
        <f t="shared" si="562"/>
        <v>0</v>
      </c>
      <c r="BA341" s="35">
        <f t="shared" si="562"/>
        <v>0</v>
      </c>
      <c r="BD341" s="186">
        <f t="shared" si="482"/>
        <v>333</v>
      </c>
    </row>
    <row r="342" spans="1:56" hidden="1" outlineLevel="2">
      <c r="A342" s="155"/>
      <c r="B342" s="157"/>
      <c r="C342" s="48"/>
      <c r="D342" s="48"/>
      <c r="E342" s="48"/>
      <c r="F342" s="48"/>
      <c r="G342" s="35"/>
      <c r="H342" s="35"/>
      <c r="I342" s="35"/>
      <c r="J342" s="35"/>
      <c r="K342" s="35"/>
      <c r="L342" s="35"/>
      <c r="M342" s="35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117"/>
      <c r="AE342" s="117"/>
      <c r="AF342" s="117"/>
      <c r="AG342" s="117"/>
      <c r="AH342" s="117"/>
      <c r="AI342" s="117"/>
      <c r="AJ342" s="117"/>
      <c r="AK342" s="35"/>
      <c r="AL342" s="188"/>
      <c r="AM342" s="188"/>
      <c r="AN342" s="188"/>
      <c r="AO342" s="188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D342" s="186">
        <f t="shared" si="482"/>
        <v>334</v>
      </c>
    </row>
    <row r="343" spans="1:56" outlineLevel="1" collapsed="1">
      <c r="A343" s="155" t="s">
        <v>71</v>
      </c>
      <c r="B343" s="156" t="s">
        <v>250</v>
      </c>
      <c r="C343" s="48"/>
      <c r="D343" s="48"/>
      <c r="E343" s="48"/>
      <c r="F343" s="48"/>
      <c r="G343" s="35"/>
      <c r="H343" s="35"/>
      <c r="I343" s="35"/>
      <c r="J343" s="35"/>
      <c r="K343" s="35"/>
      <c r="L343" s="35"/>
      <c r="M343" s="35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87"/>
      <c r="AE343" s="87"/>
      <c r="AF343" s="87"/>
      <c r="AG343" s="87"/>
      <c r="AH343" s="87"/>
      <c r="AI343" s="87"/>
      <c r="AJ343" s="87"/>
      <c r="AK343" s="35"/>
      <c r="AL343" s="188"/>
      <c r="AM343" s="188"/>
      <c r="AN343" s="188"/>
      <c r="AO343" s="188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D343" s="186">
        <f t="shared" si="482"/>
        <v>335</v>
      </c>
    </row>
    <row r="344" spans="1:56" hidden="1" outlineLevel="2">
      <c r="A344" s="155"/>
      <c r="B344" s="157" t="s">
        <v>272</v>
      </c>
      <c r="C344" s="48"/>
      <c r="D344" s="48"/>
      <c r="E344" s="48"/>
      <c r="F344" s="48"/>
      <c r="G344" s="54">
        <f t="shared" ref="G344:L346" si="563">INDEX($N344:$BB344,1,MATCH(G$4,$N$4:$BB$4,0))</f>
        <v>0</v>
      </c>
      <c r="H344" s="54">
        <f t="shared" si="563"/>
        <v>0</v>
      </c>
      <c r="I344" s="54">
        <f t="shared" si="563"/>
        <v>0</v>
      </c>
      <c r="J344" s="54">
        <f t="shared" si="563"/>
        <v>0</v>
      </c>
      <c r="K344" s="54">
        <f t="shared" si="563"/>
        <v>0</v>
      </c>
      <c r="L344" s="54">
        <f t="shared" si="563"/>
        <v>0</v>
      </c>
      <c r="M344" s="35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117"/>
      <c r="AE344" s="117"/>
      <c r="AF344" s="117"/>
      <c r="AG344" s="117"/>
      <c r="AH344" s="117"/>
      <c r="AI344" s="117"/>
      <c r="AJ344" s="117"/>
      <c r="AK344" s="176">
        <v>0</v>
      </c>
      <c r="AL344" s="176">
        <v>0</v>
      </c>
      <c r="AM344" s="176">
        <v>0</v>
      </c>
      <c r="AN344" s="176">
        <v>0</v>
      </c>
      <c r="AO344" s="176">
        <v>0</v>
      </c>
      <c r="AP344" s="176">
        <v>0</v>
      </c>
      <c r="AQ344" s="176">
        <v>0</v>
      </c>
      <c r="AR344" s="176">
        <v>0</v>
      </c>
      <c r="AS344" s="176">
        <v>0</v>
      </c>
      <c r="AT344" s="176">
        <v>0</v>
      </c>
      <c r="AU344" s="176">
        <v>0</v>
      </c>
      <c r="AV344" s="176">
        <v>0</v>
      </c>
      <c r="AW344" s="176">
        <v>0</v>
      </c>
      <c r="AX344" s="176">
        <v>0</v>
      </c>
      <c r="AY344" s="176">
        <v>0</v>
      </c>
      <c r="AZ344" s="176">
        <v>0</v>
      </c>
      <c r="BA344" s="176">
        <v>0</v>
      </c>
      <c r="BD344" s="186">
        <f t="shared" si="482"/>
        <v>336</v>
      </c>
    </row>
    <row r="345" spans="1:56" hidden="1" outlineLevel="2">
      <c r="A345" s="155"/>
      <c r="B345" s="157" t="s">
        <v>251</v>
      </c>
      <c r="C345" s="48"/>
      <c r="D345" s="48"/>
      <c r="E345" s="48"/>
      <c r="F345" s="48"/>
      <c r="G345" s="54">
        <f t="shared" si="563"/>
        <v>0</v>
      </c>
      <c r="H345" s="54">
        <f t="shared" si="563"/>
        <v>0</v>
      </c>
      <c r="I345" s="54">
        <f t="shared" si="563"/>
        <v>0</v>
      </c>
      <c r="J345" s="54">
        <f t="shared" si="563"/>
        <v>0</v>
      </c>
      <c r="K345" s="54">
        <f t="shared" si="563"/>
        <v>0</v>
      </c>
      <c r="L345" s="54">
        <f t="shared" si="563"/>
        <v>0</v>
      </c>
      <c r="M345" s="35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117"/>
      <c r="AE345" s="117"/>
      <c r="AF345" s="117"/>
      <c r="AG345" s="117"/>
      <c r="AH345" s="117"/>
      <c r="AI345" s="117"/>
      <c r="AJ345" s="117"/>
      <c r="AK345" s="176">
        <v>0</v>
      </c>
      <c r="AL345" s="176">
        <v>0</v>
      </c>
      <c r="AM345" s="176">
        <v>0</v>
      </c>
      <c r="AN345" s="176">
        <v>0</v>
      </c>
      <c r="AO345" s="176">
        <v>0</v>
      </c>
      <c r="AP345" s="176">
        <v>0</v>
      </c>
      <c r="AQ345" s="176">
        <v>0</v>
      </c>
      <c r="AR345" s="176">
        <v>0</v>
      </c>
      <c r="AS345" s="176">
        <v>0</v>
      </c>
      <c r="AT345" s="176">
        <v>0</v>
      </c>
      <c r="AU345" s="176">
        <v>0</v>
      </c>
      <c r="AV345" s="176">
        <v>0</v>
      </c>
      <c r="AW345" s="176">
        <v>0</v>
      </c>
      <c r="AX345" s="176">
        <v>0</v>
      </c>
      <c r="AY345" s="176">
        <v>0</v>
      </c>
      <c r="AZ345" s="176">
        <v>0</v>
      </c>
      <c r="BA345" s="176">
        <v>0</v>
      </c>
      <c r="BD345" s="186">
        <f t="shared" si="482"/>
        <v>337</v>
      </c>
    </row>
    <row r="346" spans="1:56" hidden="1" outlineLevel="2">
      <c r="A346" s="155"/>
      <c r="B346" s="157" t="s">
        <v>252</v>
      </c>
      <c r="C346" s="48"/>
      <c r="D346" s="48"/>
      <c r="E346" s="48"/>
      <c r="F346" s="48"/>
      <c r="G346" s="54">
        <f t="shared" si="563"/>
        <v>0</v>
      </c>
      <c r="H346" s="54">
        <f t="shared" si="563"/>
        <v>0</v>
      </c>
      <c r="I346" s="54">
        <f t="shared" si="563"/>
        <v>0</v>
      </c>
      <c r="J346" s="54">
        <f t="shared" si="563"/>
        <v>0</v>
      </c>
      <c r="K346" s="54">
        <f t="shared" si="563"/>
        <v>0</v>
      </c>
      <c r="L346" s="54">
        <f t="shared" si="563"/>
        <v>0</v>
      </c>
      <c r="M346" s="35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117"/>
      <c r="AE346" s="117"/>
      <c r="AF346" s="117"/>
      <c r="AG346" s="117"/>
      <c r="AH346" s="117"/>
      <c r="AI346" s="117"/>
      <c r="AJ346" s="117"/>
      <c r="AK346" s="35">
        <f>SUM(AK344:AK345)</f>
        <v>0</v>
      </c>
      <c r="AL346" s="188">
        <f>SUM(AL344:AL345)</f>
        <v>0</v>
      </c>
      <c r="AM346" s="188">
        <f>SUM(AM344:AM345)</f>
        <v>0</v>
      </c>
      <c r="AN346" s="188">
        <f>SUM(AN344:AN345)</f>
        <v>0</v>
      </c>
      <c r="AO346" s="188">
        <f>SUM(AO344:AO345)</f>
        <v>0</v>
      </c>
      <c r="AP346" s="35">
        <f t="shared" ref="AP346:BA346" si="564">SUM(AP344:AP345)</f>
        <v>0</v>
      </c>
      <c r="AQ346" s="35">
        <f t="shared" si="564"/>
        <v>0</v>
      </c>
      <c r="AR346" s="35">
        <f t="shared" si="564"/>
        <v>0</v>
      </c>
      <c r="AS346" s="35">
        <f t="shared" si="564"/>
        <v>0</v>
      </c>
      <c r="AT346" s="35">
        <f t="shared" si="564"/>
        <v>0</v>
      </c>
      <c r="AU346" s="35">
        <f t="shared" si="564"/>
        <v>0</v>
      </c>
      <c r="AV346" s="35">
        <f t="shared" si="564"/>
        <v>0</v>
      </c>
      <c r="AW346" s="35">
        <f t="shared" si="564"/>
        <v>0</v>
      </c>
      <c r="AX346" s="35">
        <f t="shared" si="564"/>
        <v>0</v>
      </c>
      <c r="AY346" s="35">
        <f t="shared" si="564"/>
        <v>0</v>
      </c>
      <c r="AZ346" s="35">
        <f t="shared" si="564"/>
        <v>0</v>
      </c>
      <c r="BA346" s="35">
        <f t="shared" si="564"/>
        <v>0</v>
      </c>
      <c r="BD346" s="186">
        <f t="shared" si="482"/>
        <v>338</v>
      </c>
    </row>
    <row r="347" spans="1:56" hidden="1" outlineLevel="2">
      <c r="A347" s="155"/>
      <c r="B347" s="157"/>
      <c r="C347" s="48"/>
      <c r="D347" s="48"/>
      <c r="E347" s="48"/>
      <c r="F347" s="48"/>
      <c r="G347" s="35"/>
      <c r="H347" s="35"/>
      <c r="I347" s="35"/>
      <c r="J347" s="35"/>
      <c r="K347" s="35"/>
      <c r="L347" s="35"/>
      <c r="M347" s="35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117"/>
      <c r="AE347" s="117"/>
      <c r="AF347" s="117"/>
      <c r="AG347" s="117"/>
      <c r="AH347" s="117"/>
      <c r="AI347" s="117"/>
      <c r="AJ347" s="117"/>
      <c r="AK347" s="35"/>
      <c r="AL347" s="188"/>
      <c r="AM347" s="188"/>
      <c r="AN347" s="188"/>
      <c r="AO347" s="188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D347" s="186">
        <f t="shared" si="482"/>
        <v>339</v>
      </c>
    </row>
    <row r="348" spans="1:56" hidden="1" outlineLevel="2">
      <c r="A348" s="155"/>
      <c r="B348" s="157" t="s">
        <v>253</v>
      </c>
      <c r="C348" s="48"/>
      <c r="D348" s="48"/>
      <c r="E348" s="48"/>
      <c r="F348" s="48"/>
      <c r="G348" s="54">
        <f t="shared" ref="G348:L350" si="565">INDEX($N348:$BB348,1,MATCH(G$4,$N$4:$BB$4,0))</f>
        <v>0</v>
      </c>
      <c r="H348" s="54">
        <f t="shared" si="565"/>
        <v>80</v>
      </c>
      <c r="I348" s="54">
        <f t="shared" si="565"/>
        <v>200</v>
      </c>
      <c r="J348" s="54">
        <f t="shared" si="565"/>
        <v>200</v>
      </c>
      <c r="K348" s="54">
        <f t="shared" si="565"/>
        <v>200</v>
      </c>
      <c r="L348" s="54">
        <f t="shared" si="565"/>
        <v>200</v>
      </c>
      <c r="M348" s="35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117"/>
      <c r="AE348" s="117"/>
      <c r="AF348" s="117"/>
      <c r="AG348" s="117"/>
      <c r="AH348" s="117"/>
      <c r="AI348" s="117"/>
      <c r="AJ348" s="117"/>
      <c r="AK348" s="178">
        <v>80</v>
      </c>
      <c r="AL348" s="178">
        <v>80</v>
      </c>
      <c r="AM348" s="200">
        <v>200</v>
      </c>
      <c r="AN348" s="178">
        <f t="shared" ref="AN348:BA348" si="566">AM348</f>
        <v>200</v>
      </c>
      <c r="AO348" s="178">
        <f t="shared" si="566"/>
        <v>200</v>
      </c>
      <c r="AP348" s="35">
        <f t="shared" si="566"/>
        <v>200</v>
      </c>
      <c r="AQ348" s="35">
        <f t="shared" si="566"/>
        <v>200</v>
      </c>
      <c r="AR348" s="35">
        <f t="shared" si="566"/>
        <v>200</v>
      </c>
      <c r="AS348" s="35">
        <f t="shared" si="566"/>
        <v>200</v>
      </c>
      <c r="AT348" s="35">
        <f t="shared" si="566"/>
        <v>200</v>
      </c>
      <c r="AU348" s="35">
        <f t="shared" si="566"/>
        <v>200</v>
      </c>
      <c r="AV348" s="35">
        <f t="shared" si="566"/>
        <v>200</v>
      </c>
      <c r="AW348" s="35">
        <f t="shared" si="566"/>
        <v>200</v>
      </c>
      <c r="AX348" s="35">
        <f t="shared" si="566"/>
        <v>200</v>
      </c>
      <c r="AY348" s="35">
        <f t="shared" si="566"/>
        <v>200</v>
      </c>
      <c r="AZ348" s="35">
        <f t="shared" si="566"/>
        <v>200</v>
      </c>
      <c r="BA348" s="35">
        <f t="shared" si="566"/>
        <v>200</v>
      </c>
      <c r="BD348" s="186">
        <f t="shared" si="482"/>
        <v>340</v>
      </c>
    </row>
    <row r="349" spans="1:56" hidden="1" outlineLevel="2">
      <c r="A349" s="155"/>
      <c r="B349" s="157" t="s">
        <v>254</v>
      </c>
      <c r="C349" s="48"/>
      <c r="D349" s="48"/>
      <c r="E349" s="48"/>
      <c r="F349" s="48"/>
      <c r="G349" s="54">
        <f t="shared" si="565"/>
        <v>0</v>
      </c>
      <c r="H349" s="54">
        <f t="shared" si="565"/>
        <v>0</v>
      </c>
      <c r="I349" s="54">
        <f t="shared" si="565"/>
        <v>0</v>
      </c>
      <c r="J349" s="54">
        <f t="shared" si="565"/>
        <v>0</v>
      </c>
      <c r="K349" s="54">
        <f t="shared" si="565"/>
        <v>0</v>
      </c>
      <c r="L349" s="54">
        <f t="shared" si="565"/>
        <v>0</v>
      </c>
      <c r="M349" s="35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117"/>
      <c r="AE349" s="117"/>
      <c r="AF349" s="117"/>
      <c r="AG349" s="117"/>
      <c r="AH349" s="117"/>
      <c r="AI349" s="117"/>
      <c r="AJ349" s="117"/>
      <c r="AK349" s="177">
        <v>0</v>
      </c>
      <c r="AL349" s="177">
        <v>0</v>
      </c>
      <c r="AM349" s="177">
        <v>0</v>
      </c>
      <c r="AN349" s="177">
        <v>0</v>
      </c>
      <c r="AO349" s="177">
        <v>0</v>
      </c>
      <c r="AP349" s="177">
        <v>0</v>
      </c>
      <c r="AQ349" s="177">
        <v>0</v>
      </c>
      <c r="AR349" s="177">
        <v>0</v>
      </c>
      <c r="AS349" s="177">
        <v>0</v>
      </c>
      <c r="AT349" s="177">
        <v>0</v>
      </c>
      <c r="AU349" s="177">
        <v>0</v>
      </c>
      <c r="AV349" s="177">
        <v>0</v>
      </c>
      <c r="AW349" s="177">
        <v>0</v>
      </c>
      <c r="AX349" s="177">
        <v>0</v>
      </c>
      <c r="AY349" s="177">
        <v>0</v>
      </c>
      <c r="AZ349" s="177">
        <v>0</v>
      </c>
      <c r="BA349" s="177">
        <v>0</v>
      </c>
      <c r="BD349" s="186">
        <f t="shared" si="482"/>
        <v>341</v>
      </c>
    </row>
    <row r="350" spans="1:56" hidden="1" outlineLevel="2">
      <c r="A350" s="155"/>
      <c r="B350" s="157" t="s">
        <v>255</v>
      </c>
      <c r="C350" s="48"/>
      <c r="D350" s="48"/>
      <c r="E350" s="48"/>
      <c r="F350" s="48"/>
      <c r="G350" s="54">
        <f t="shared" si="565"/>
        <v>0</v>
      </c>
      <c r="H350" s="54">
        <f t="shared" si="565"/>
        <v>80</v>
      </c>
      <c r="I350" s="54">
        <f t="shared" si="565"/>
        <v>200</v>
      </c>
      <c r="J350" s="54">
        <f t="shared" si="565"/>
        <v>200</v>
      </c>
      <c r="K350" s="54">
        <f t="shared" si="565"/>
        <v>200</v>
      </c>
      <c r="L350" s="54">
        <f t="shared" si="565"/>
        <v>200</v>
      </c>
      <c r="M350" s="35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117"/>
      <c r="AE350" s="117"/>
      <c r="AF350" s="117"/>
      <c r="AG350" s="117"/>
      <c r="AH350" s="117"/>
      <c r="AI350" s="117"/>
      <c r="AJ350" s="117"/>
      <c r="AK350" s="35">
        <f t="shared" ref="AK350:AL350" si="567">SUM(AK348:AK349)</f>
        <v>80</v>
      </c>
      <c r="AL350" s="188">
        <f t="shared" si="567"/>
        <v>80</v>
      </c>
      <c r="AM350" s="82">
        <f t="shared" ref="AM350:AN350" si="568">SUM(AM348:AM349)</f>
        <v>200</v>
      </c>
      <c r="AN350" s="82">
        <f t="shared" si="568"/>
        <v>200</v>
      </c>
      <c r="AO350" s="82">
        <f t="shared" ref="AO350" si="569">SUM(AO348:AO349)</f>
        <v>200</v>
      </c>
      <c r="AP350" s="35">
        <f t="shared" ref="AP350" si="570">SUM(AP348:AP349)</f>
        <v>200</v>
      </c>
      <c r="AQ350" s="35">
        <f t="shared" ref="AQ350" si="571">SUM(AQ348:AQ349)</f>
        <v>200</v>
      </c>
      <c r="AR350" s="35">
        <f t="shared" ref="AR350" si="572">SUM(AR348:AR349)</f>
        <v>200</v>
      </c>
      <c r="AS350" s="35">
        <f t="shared" ref="AS350" si="573">SUM(AS348:AS349)</f>
        <v>200</v>
      </c>
      <c r="AT350" s="35">
        <f t="shared" ref="AT350" si="574">SUM(AT348:AT349)</f>
        <v>200</v>
      </c>
      <c r="AU350" s="35">
        <f t="shared" ref="AU350" si="575">SUM(AU348:AU349)</f>
        <v>200</v>
      </c>
      <c r="AV350" s="35">
        <f t="shared" ref="AV350" si="576">SUM(AV348:AV349)</f>
        <v>200</v>
      </c>
      <c r="AW350" s="35">
        <f t="shared" ref="AW350" si="577">SUM(AW348:AW349)</f>
        <v>200</v>
      </c>
      <c r="AX350" s="35">
        <f t="shared" ref="AX350" si="578">SUM(AX348:AX349)</f>
        <v>200</v>
      </c>
      <c r="AY350" s="35">
        <f t="shared" ref="AY350" si="579">SUM(AY348:AY349)</f>
        <v>200</v>
      </c>
      <c r="AZ350" s="35">
        <f t="shared" ref="AZ350" si="580">SUM(AZ348:AZ349)</f>
        <v>200</v>
      </c>
      <c r="BA350" s="35">
        <f t="shared" ref="BA350" si="581">SUM(BA348:BA349)</f>
        <v>200</v>
      </c>
      <c r="BD350" s="186">
        <f t="shared" si="482"/>
        <v>342</v>
      </c>
    </row>
    <row r="351" spans="1:56" hidden="1" outlineLevel="2">
      <c r="A351" s="155"/>
      <c r="B351" s="157"/>
      <c r="C351" s="48"/>
      <c r="D351" s="48"/>
      <c r="E351" s="48"/>
      <c r="F351" s="48"/>
      <c r="G351" s="35"/>
      <c r="H351" s="35"/>
      <c r="I351" s="35"/>
      <c r="J351" s="35"/>
      <c r="K351" s="35"/>
      <c r="L351" s="35"/>
      <c r="M351" s="35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117"/>
      <c r="AE351" s="117"/>
      <c r="AF351" s="117"/>
      <c r="AG351" s="117"/>
      <c r="AH351" s="117"/>
      <c r="AI351" s="117"/>
      <c r="AJ351" s="117"/>
      <c r="AK351" s="35"/>
      <c r="AL351" s="188"/>
      <c r="AM351" s="82"/>
      <c r="AN351" s="82"/>
      <c r="AO351" s="82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D351" s="186">
        <f t="shared" si="482"/>
        <v>343</v>
      </c>
    </row>
    <row r="352" spans="1:56" hidden="1" outlineLevel="2">
      <c r="A352" s="155"/>
      <c r="B352" s="157" t="s">
        <v>256</v>
      </c>
      <c r="C352" s="48"/>
      <c r="D352" s="48"/>
      <c r="E352" s="48"/>
      <c r="F352" s="48"/>
      <c r="G352" s="54">
        <f t="shared" ref="G352:L353" si="582">INDEX($N352:$BB352,1,MATCH(G$4,$N$4:$BB$4,0))</f>
        <v>0</v>
      </c>
      <c r="H352" s="54">
        <f t="shared" si="582"/>
        <v>149.32130000000001</v>
      </c>
      <c r="I352" s="54">
        <f t="shared" si="582"/>
        <v>178.4</v>
      </c>
      <c r="J352" s="54">
        <f t="shared" si="582"/>
        <v>234.81582756265615</v>
      </c>
      <c r="K352" s="54">
        <f t="shared" si="582"/>
        <v>270.4502404322285</v>
      </c>
      <c r="L352" s="54">
        <f t="shared" si="582"/>
        <v>270.98452826048884</v>
      </c>
      <c r="M352" s="35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117"/>
      <c r="AE352" s="117"/>
      <c r="AF352" s="117"/>
      <c r="AG352" s="117"/>
      <c r="AH352" s="117"/>
      <c r="AI352" s="117"/>
      <c r="AJ352" s="117"/>
      <c r="AK352" s="220">
        <f>0.85*AK240+0.6*AK241</f>
        <v>149.32130000000001</v>
      </c>
      <c r="AL352" s="48">
        <f>0.5*AL240</f>
        <v>115.5895</v>
      </c>
      <c r="AM352" s="47">
        <v>152</v>
      </c>
      <c r="AN352" s="48">
        <f>0.5*AN240</f>
        <v>171.01150000000001</v>
      </c>
      <c r="AO352" s="47">
        <v>178.4</v>
      </c>
      <c r="AP352" s="48">
        <f>0.5*AP240</f>
        <v>203.54525465483491</v>
      </c>
      <c r="AQ352" s="48">
        <f t="shared" ref="AQ352:BA352" si="583">0.5*AQ240</f>
        <v>209.82930427096417</v>
      </c>
      <c r="AR352" s="48">
        <f t="shared" si="583"/>
        <v>228.04201085656194</v>
      </c>
      <c r="AS352" s="48">
        <f t="shared" si="583"/>
        <v>234.81582756265615</v>
      </c>
      <c r="AT352" s="48">
        <f t="shared" si="583"/>
        <v>253.9003061854952</v>
      </c>
      <c r="AU352" s="48">
        <f t="shared" si="583"/>
        <v>262.03839722468416</v>
      </c>
      <c r="AV352" s="48">
        <f t="shared" si="583"/>
        <v>268.58324842067952</v>
      </c>
      <c r="AW352" s="48">
        <f t="shared" si="583"/>
        <v>270.4502404322285</v>
      </c>
      <c r="AX352" s="48">
        <f t="shared" si="583"/>
        <v>273.9623802193953</v>
      </c>
      <c r="AY352" s="48">
        <f t="shared" si="583"/>
        <v>273.9623802193953</v>
      </c>
      <c r="AZ352" s="48">
        <f t="shared" si="583"/>
        <v>270.98452826048884</v>
      </c>
      <c r="BA352" s="48">
        <f t="shared" si="583"/>
        <v>270.98452826048884</v>
      </c>
      <c r="BD352" s="186">
        <f t="shared" si="482"/>
        <v>344</v>
      </c>
    </row>
    <row r="353" spans="1:56" hidden="1" outlineLevel="2">
      <c r="A353" s="155"/>
      <c r="B353" s="157" t="s">
        <v>257</v>
      </c>
      <c r="C353" s="48"/>
      <c r="D353" s="48"/>
      <c r="E353" s="48"/>
      <c r="F353" s="48"/>
      <c r="G353" s="54">
        <f t="shared" si="582"/>
        <v>0</v>
      </c>
      <c r="H353" s="54">
        <f t="shared" si="582"/>
        <v>80</v>
      </c>
      <c r="I353" s="54">
        <f t="shared" si="582"/>
        <v>178.4</v>
      </c>
      <c r="J353" s="54">
        <f t="shared" si="582"/>
        <v>200</v>
      </c>
      <c r="K353" s="54">
        <f t="shared" si="582"/>
        <v>200</v>
      </c>
      <c r="L353" s="54">
        <f t="shared" si="582"/>
        <v>200</v>
      </c>
      <c r="M353" s="35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117"/>
      <c r="AE353" s="117"/>
      <c r="AF353" s="117"/>
      <c r="AG353" s="117"/>
      <c r="AH353" s="117"/>
      <c r="AI353" s="117"/>
      <c r="AJ353" s="117"/>
      <c r="AK353" s="35">
        <f>MIN(AK350,AK352)</f>
        <v>80</v>
      </c>
      <c r="AL353" s="188">
        <f t="shared" ref="AL353:BA353" si="584">MIN(AL350,AL352)</f>
        <v>80</v>
      </c>
      <c r="AM353" s="188">
        <f t="shared" si="584"/>
        <v>152</v>
      </c>
      <c r="AN353" s="188">
        <f t="shared" si="584"/>
        <v>171.01150000000001</v>
      </c>
      <c r="AO353" s="188">
        <f t="shared" si="584"/>
        <v>178.4</v>
      </c>
      <c r="AP353" s="188">
        <f t="shared" si="584"/>
        <v>200</v>
      </c>
      <c r="AQ353" s="188">
        <f t="shared" si="584"/>
        <v>200</v>
      </c>
      <c r="AR353" s="188">
        <f t="shared" si="584"/>
        <v>200</v>
      </c>
      <c r="AS353" s="188">
        <f t="shared" si="584"/>
        <v>200</v>
      </c>
      <c r="AT353" s="188">
        <f t="shared" si="584"/>
        <v>200</v>
      </c>
      <c r="AU353" s="188">
        <f t="shared" si="584"/>
        <v>200</v>
      </c>
      <c r="AV353" s="188">
        <f t="shared" si="584"/>
        <v>200</v>
      </c>
      <c r="AW353" s="188">
        <f t="shared" si="584"/>
        <v>200</v>
      </c>
      <c r="AX353" s="188">
        <f t="shared" si="584"/>
        <v>200</v>
      </c>
      <c r="AY353" s="188">
        <f t="shared" si="584"/>
        <v>200</v>
      </c>
      <c r="AZ353" s="188">
        <f t="shared" si="584"/>
        <v>200</v>
      </c>
      <c r="BA353" s="188">
        <f t="shared" si="584"/>
        <v>200</v>
      </c>
      <c r="BD353" s="186">
        <f t="shared" si="482"/>
        <v>345</v>
      </c>
    </row>
    <row r="354" spans="1:56" hidden="1" outlineLevel="2">
      <c r="A354" s="155"/>
      <c r="B354" s="157"/>
      <c r="C354" s="48"/>
      <c r="D354" s="48"/>
      <c r="E354" s="48"/>
      <c r="F354" s="48"/>
      <c r="G354" s="35"/>
      <c r="H354" s="35"/>
      <c r="I354" s="35"/>
      <c r="J354" s="35"/>
      <c r="K354" s="35"/>
      <c r="L354" s="35"/>
      <c r="M354" s="35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117"/>
      <c r="AE354" s="117"/>
      <c r="AF354" s="117"/>
      <c r="AG354" s="117"/>
      <c r="AH354" s="117"/>
      <c r="AI354" s="117"/>
      <c r="AJ354" s="117"/>
      <c r="AK354" s="35"/>
      <c r="AL354" s="188"/>
      <c r="AM354" s="188"/>
      <c r="AN354" s="188"/>
      <c r="AO354" s="188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D354" s="186">
        <f t="shared" si="482"/>
        <v>346</v>
      </c>
    </row>
    <row r="355" spans="1:56" hidden="1" outlineLevel="2">
      <c r="A355" s="155"/>
      <c r="B355" s="157" t="s">
        <v>258</v>
      </c>
      <c r="C355" s="48"/>
      <c r="D355" s="48"/>
      <c r="E355" s="48"/>
      <c r="F355" s="48"/>
      <c r="G355" s="54">
        <f t="shared" ref="G355:L357" si="585">INDEX($N355:$BB355,1,MATCH(G$4,$N$4:$BB$4,0))</f>
        <v>0</v>
      </c>
      <c r="H355" s="54">
        <f t="shared" si="585"/>
        <v>0</v>
      </c>
      <c r="I355" s="54">
        <f t="shared" si="585"/>
        <v>0</v>
      </c>
      <c r="J355" s="54">
        <f t="shared" si="585"/>
        <v>0</v>
      </c>
      <c r="K355" s="54">
        <f t="shared" si="585"/>
        <v>0</v>
      </c>
      <c r="L355" s="54">
        <f t="shared" si="585"/>
        <v>0</v>
      </c>
      <c r="M355" s="35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117"/>
      <c r="AE355" s="117"/>
      <c r="AF355" s="117"/>
      <c r="AG355" s="117"/>
      <c r="AH355" s="117"/>
      <c r="AI355" s="117"/>
      <c r="AJ355" s="117"/>
      <c r="AK355" s="35">
        <f>MIN(AK353,AK341)</f>
        <v>0</v>
      </c>
      <c r="AL355" s="188">
        <f>MIN(AL353,AL341)</f>
        <v>0</v>
      </c>
      <c r="AM355" s="188">
        <f>MIN(AM353,AM341)</f>
        <v>0</v>
      </c>
      <c r="AN355" s="188">
        <f t="shared" ref="AN355:BA355" si="586">MIN(AN353,AN341)</f>
        <v>0</v>
      </c>
      <c r="AO355" s="188">
        <f t="shared" ref="AO355" si="587">MIN(AO353,AO341)</f>
        <v>0</v>
      </c>
      <c r="AP355" s="188">
        <f t="shared" si="586"/>
        <v>0</v>
      </c>
      <c r="AQ355" s="188">
        <f t="shared" si="586"/>
        <v>14.90383449777778</v>
      </c>
      <c r="AR355" s="188">
        <f t="shared" si="586"/>
        <v>46.604274636162245</v>
      </c>
      <c r="AS355" s="188">
        <f t="shared" si="586"/>
        <v>0</v>
      </c>
      <c r="AT355" s="188">
        <f t="shared" si="586"/>
        <v>0</v>
      </c>
      <c r="AU355" s="188">
        <f t="shared" si="586"/>
        <v>0</v>
      </c>
      <c r="AV355" s="188">
        <f t="shared" si="586"/>
        <v>0</v>
      </c>
      <c r="AW355" s="188">
        <f t="shared" si="586"/>
        <v>0</v>
      </c>
      <c r="AX355" s="188">
        <f t="shared" si="586"/>
        <v>0</v>
      </c>
      <c r="AY355" s="188">
        <f t="shared" si="586"/>
        <v>0</v>
      </c>
      <c r="AZ355" s="188">
        <f t="shared" si="586"/>
        <v>0</v>
      </c>
      <c r="BA355" s="188">
        <f t="shared" si="586"/>
        <v>0</v>
      </c>
      <c r="BD355" s="186">
        <f t="shared" si="482"/>
        <v>347</v>
      </c>
    </row>
    <row r="356" spans="1:56" hidden="1" outlineLevel="2">
      <c r="A356" s="155"/>
      <c r="B356" s="157" t="s">
        <v>259</v>
      </c>
      <c r="C356" s="48"/>
      <c r="D356" s="48"/>
      <c r="E356" s="48"/>
      <c r="F356" s="48"/>
      <c r="G356" s="54">
        <f t="shared" si="585"/>
        <v>0</v>
      </c>
      <c r="H356" s="54">
        <f t="shared" si="585"/>
        <v>80</v>
      </c>
      <c r="I356" s="54">
        <f t="shared" si="585"/>
        <v>178.4</v>
      </c>
      <c r="J356" s="54">
        <f t="shared" si="585"/>
        <v>200</v>
      </c>
      <c r="K356" s="54">
        <f t="shared" si="585"/>
        <v>200</v>
      </c>
      <c r="L356" s="54">
        <f t="shared" si="585"/>
        <v>200</v>
      </c>
      <c r="M356" s="35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117"/>
      <c r="AE356" s="117"/>
      <c r="AF356" s="117"/>
      <c r="AG356" s="117"/>
      <c r="AH356" s="117"/>
      <c r="AI356" s="117"/>
      <c r="AJ356" s="117"/>
      <c r="AK356" s="35">
        <f>AK353-AK355</f>
        <v>80</v>
      </c>
      <c r="AL356" s="188">
        <f>AL353-AL355</f>
        <v>80</v>
      </c>
      <c r="AM356" s="188">
        <f>AM353-AM355</f>
        <v>152</v>
      </c>
      <c r="AN356" s="188">
        <f t="shared" ref="AN356:BA356" si="588">AN353-AN355</f>
        <v>171.01150000000001</v>
      </c>
      <c r="AO356" s="188">
        <f t="shared" ref="AO356" si="589">AO353-AO355</f>
        <v>178.4</v>
      </c>
      <c r="AP356" s="188">
        <f t="shared" si="588"/>
        <v>200</v>
      </c>
      <c r="AQ356" s="188">
        <f t="shared" si="588"/>
        <v>185.09616550222222</v>
      </c>
      <c r="AR356" s="188">
        <f t="shared" si="588"/>
        <v>153.39572536383776</v>
      </c>
      <c r="AS356" s="188">
        <f t="shared" si="588"/>
        <v>200</v>
      </c>
      <c r="AT356" s="188">
        <f t="shared" si="588"/>
        <v>200</v>
      </c>
      <c r="AU356" s="188">
        <f t="shared" si="588"/>
        <v>200</v>
      </c>
      <c r="AV356" s="188">
        <f t="shared" si="588"/>
        <v>200</v>
      </c>
      <c r="AW356" s="188">
        <f t="shared" si="588"/>
        <v>200</v>
      </c>
      <c r="AX356" s="188">
        <f t="shared" si="588"/>
        <v>200</v>
      </c>
      <c r="AY356" s="188">
        <f t="shared" si="588"/>
        <v>200</v>
      </c>
      <c r="AZ356" s="188">
        <f t="shared" si="588"/>
        <v>200</v>
      </c>
      <c r="BA356" s="188">
        <f t="shared" si="588"/>
        <v>200</v>
      </c>
      <c r="BD356" s="186">
        <f t="shared" si="482"/>
        <v>348</v>
      </c>
    </row>
    <row r="357" spans="1:56" hidden="1" outlineLevel="2">
      <c r="A357" s="155"/>
      <c r="B357" s="157" t="s">
        <v>260</v>
      </c>
      <c r="C357" s="48"/>
      <c r="D357" s="48"/>
      <c r="E357" s="48"/>
      <c r="F357" s="48"/>
      <c r="G357" s="54">
        <f t="shared" si="585"/>
        <v>0</v>
      </c>
      <c r="H357" s="54">
        <f t="shared" si="585"/>
        <v>255.864</v>
      </c>
      <c r="I357" s="54">
        <f t="shared" si="585"/>
        <v>292.28700000000003</v>
      </c>
      <c r="J357" s="54">
        <f t="shared" si="585"/>
        <v>225.40809752575319</v>
      </c>
      <c r="K357" s="54">
        <f t="shared" si="585"/>
        <v>505.54930552537854</v>
      </c>
      <c r="L357" s="54">
        <f t="shared" si="585"/>
        <v>849.63477933243325</v>
      </c>
      <c r="M357" s="35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117"/>
      <c r="AE357" s="117"/>
      <c r="AF357" s="117"/>
      <c r="AG357" s="117"/>
      <c r="AH357" s="117"/>
      <c r="AI357" s="117"/>
      <c r="AJ357" s="117"/>
      <c r="AK357" s="35">
        <f>+AK239+AK356</f>
        <v>255.864</v>
      </c>
      <c r="AL357" s="188">
        <f>+AL239+AL356</f>
        <v>195.11799999999999</v>
      </c>
      <c r="AM357" s="188">
        <f>+AM239+AM356</f>
        <v>404.755</v>
      </c>
      <c r="AN357" s="188">
        <f t="shared" ref="AN357:BA357" si="590">+AN239+AN356</f>
        <v>384.13549999999998</v>
      </c>
      <c r="AO357" s="188">
        <f t="shared" ref="AO357" si="591">+AO239+AO356</f>
        <v>292.28700000000003</v>
      </c>
      <c r="AP357" s="188">
        <f t="shared" si="590"/>
        <v>231.1689756553846</v>
      </c>
      <c r="AQ357" s="188">
        <f t="shared" si="590"/>
        <v>195.09616550222199</v>
      </c>
      <c r="AR357" s="188">
        <f t="shared" si="590"/>
        <v>163.39572536383767</v>
      </c>
      <c r="AS357" s="188">
        <f t="shared" si="590"/>
        <v>225.40809752575319</v>
      </c>
      <c r="AT357" s="188">
        <f t="shared" si="590"/>
        <v>255.20825726520275</v>
      </c>
      <c r="AU357" s="188">
        <f t="shared" si="590"/>
        <v>308.1665623541611</v>
      </c>
      <c r="AV357" s="188">
        <f t="shared" si="590"/>
        <v>402.9563178779245</v>
      </c>
      <c r="AW357" s="188">
        <f t="shared" si="590"/>
        <v>505.54930552537854</v>
      </c>
      <c r="AX357" s="188">
        <f t="shared" si="590"/>
        <v>586.95424704886113</v>
      </c>
      <c r="AY357" s="188">
        <f t="shared" si="590"/>
        <v>673.48659127794747</v>
      </c>
      <c r="AZ357" s="188">
        <f t="shared" si="590"/>
        <v>764.30939028261105</v>
      </c>
      <c r="BA357" s="188">
        <f t="shared" si="590"/>
        <v>849.63477933243325</v>
      </c>
      <c r="BD357" s="186">
        <f t="shared" si="482"/>
        <v>349</v>
      </c>
    </row>
    <row r="358" spans="1:56" hidden="1" outlineLevel="2">
      <c r="A358" s="155"/>
      <c r="B358" s="157"/>
      <c r="C358" s="48"/>
      <c r="D358" s="48"/>
      <c r="E358" s="48"/>
      <c r="F358" s="48"/>
      <c r="G358" s="35"/>
      <c r="H358" s="35"/>
      <c r="I358" s="35"/>
      <c r="J358" s="35"/>
      <c r="K358" s="35"/>
      <c r="L358" s="35"/>
      <c r="M358" s="35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117"/>
      <c r="AE358" s="117"/>
      <c r="AF358" s="117"/>
      <c r="AG358" s="117"/>
      <c r="AH358" s="117"/>
      <c r="AI358" s="117"/>
      <c r="AJ358" s="117"/>
      <c r="AK358" s="35"/>
      <c r="AL358" s="188"/>
      <c r="AM358" s="188"/>
      <c r="AN358" s="188"/>
      <c r="AO358" s="188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D358" s="186">
        <f t="shared" si="482"/>
        <v>350</v>
      </c>
    </row>
    <row r="359" spans="1:56" hidden="1" outlineLevel="2">
      <c r="A359" s="155"/>
      <c r="B359" s="157" t="s">
        <v>261</v>
      </c>
      <c r="C359" s="48"/>
      <c r="D359" s="48"/>
      <c r="E359" s="48"/>
      <c r="F359" s="48"/>
      <c r="G359" s="54">
        <f t="shared" ref="G359:L360" si="592">INDEX($N359:$BB359,1,MATCH(G$4,$N$4:$BB$4,0))</f>
        <v>0</v>
      </c>
      <c r="H359" s="54">
        <f t="shared" si="592"/>
        <v>0</v>
      </c>
      <c r="I359" s="54">
        <f t="shared" si="592"/>
        <v>0</v>
      </c>
      <c r="J359" s="54">
        <f t="shared" si="592"/>
        <v>0</v>
      </c>
      <c r="K359" s="54">
        <f t="shared" si="592"/>
        <v>0</v>
      </c>
      <c r="L359" s="54">
        <f t="shared" si="592"/>
        <v>0</v>
      </c>
      <c r="M359" s="35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117"/>
      <c r="AE359" s="117"/>
      <c r="AF359" s="117"/>
      <c r="AG359" s="117"/>
      <c r="AH359" s="117"/>
      <c r="AI359" s="117"/>
      <c r="AJ359" s="117"/>
      <c r="AK359" s="35">
        <f>-SUM(AL365:AO365)</f>
        <v>0</v>
      </c>
      <c r="AL359" s="188">
        <f>-SUM(AM365:AP365)</f>
        <v>0</v>
      </c>
      <c r="AM359" s="188">
        <f>-SUM(AN365:AQ365)</f>
        <v>0</v>
      </c>
      <c r="AN359" s="188">
        <f>-SUM(AO365:AR365)</f>
        <v>0</v>
      </c>
      <c r="AO359" s="188">
        <f>-SUM(AP365:AS365)</f>
        <v>0</v>
      </c>
      <c r="AP359" s="35">
        <f t="shared" ref="AP359:AW359" si="593">-SUM(AQ365:AT365)</f>
        <v>0</v>
      </c>
      <c r="AQ359" s="35">
        <f t="shared" si="593"/>
        <v>0</v>
      </c>
      <c r="AR359" s="35">
        <f t="shared" si="593"/>
        <v>0</v>
      </c>
      <c r="AS359" s="35">
        <f t="shared" si="593"/>
        <v>0</v>
      </c>
      <c r="AT359" s="35">
        <f t="shared" si="593"/>
        <v>0</v>
      </c>
      <c r="AU359" s="35">
        <f t="shared" si="593"/>
        <v>0</v>
      </c>
      <c r="AV359" s="35">
        <f t="shared" si="593"/>
        <v>0</v>
      </c>
      <c r="AW359" s="35">
        <f t="shared" si="593"/>
        <v>0</v>
      </c>
      <c r="AX359" s="47">
        <v>0</v>
      </c>
      <c r="AY359" s="47">
        <v>0</v>
      </c>
      <c r="AZ359" s="47">
        <v>0</v>
      </c>
      <c r="BA359" s="47">
        <v>0</v>
      </c>
      <c r="BD359" s="186">
        <f t="shared" si="482"/>
        <v>351</v>
      </c>
    </row>
    <row r="360" spans="1:56" hidden="1" outlineLevel="2">
      <c r="A360" s="155"/>
      <c r="B360" s="157" t="s">
        <v>186</v>
      </c>
      <c r="C360" s="48"/>
      <c r="D360" s="48"/>
      <c r="E360" s="48"/>
      <c r="F360" s="48"/>
      <c r="G360" s="54">
        <f t="shared" si="592"/>
        <v>0</v>
      </c>
      <c r="H360" s="54">
        <f t="shared" si="592"/>
        <v>0</v>
      </c>
      <c r="I360" s="54">
        <f t="shared" si="592"/>
        <v>0</v>
      </c>
      <c r="J360" s="54">
        <f t="shared" si="592"/>
        <v>0</v>
      </c>
      <c r="K360" s="54">
        <f t="shared" si="592"/>
        <v>0</v>
      </c>
      <c r="L360" s="54">
        <f t="shared" si="592"/>
        <v>0</v>
      </c>
      <c r="M360" s="35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117"/>
      <c r="AE360" s="117"/>
      <c r="AF360" s="117"/>
      <c r="AG360" s="117"/>
      <c r="AH360" s="117"/>
      <c r="AI360" s="117"/>
      <c r="AJ360" s="117"/>
      <c r="AK360" s="35">
        <f>AK346+AK355-AK359</f>
        <v>0</v>
      </c>
      <c r="AL360" s="188">
        <f>AL346+AL355-AL359</f>
        <v>0</v>
      </c>
      <c r="AM360" s="188">
        <f>AM346+AM355-AM359</f>
        <v>0</v>
      </c>
      <c r="AN360" s="188">
        <f>AN346+AN355-AN359</f>
        <v>0</v>
      </c>
      <c r="AO360" s="188">
        <f>AO346+AO355-AO359</f>
        <v>0</v>
      </c>
      <c r="AP360" s="35">
        <f t="shared" ref="AP360:BA360" si="594">AP346+AP355-AP359</f>
        <v>0</v>
      </c>
      <c r="AQ360" s="35">
        <f t="shared" si="594"/>
        <v>14.90383449777778</v>
      </c>
      <c r="AR360" s="35">
        <f t="shared" si="594"/>
        <v>46.604274636162245</v>
      </c>
      <c r="AS360" s="35">
        <f t="shared" si="594"/>
        <v>0</v>
      </c>
      <c r="AT360" s="35">
        <f t="shared" si="594"/>
        <v>0</v>
      </c>
      <c r="AU360" s="35">
        <f t="shared" si="594"/>
        <v>0</v>
      </c>
      <c r="AV360" s="35">
        <f t="shared" si="594"/>
        <v>0</v>
      </c>
      <c r="AW360" s="35">
        <f t="shared" si="594"/>
        <v>0</v>
      </c>
      <c r="AX360" s="35">
        <f t="shared" si="594"/>
        <v>0</v>
      </c>
      <c r="AY360" s="35">
        <f t="shared" si="594"/>
        <v>0</v>
      </c>
      <c r="AZ360" s="35">
        <f t="shared" si="594"/>
        <v>0</v>
      </c>
      <c r="BA360" s="35">
        <f t="shared" si="594"/>
        <v>0</v>
      </c>
      <c r="BD360" s="186">
        <f t="shared" si="482"/>
        <v>352</v>
      </c>
    </row>
    <row r="361" spans="1:56" hidden="1" outlineLevel="2">
      <c r="A361" s="155"/>
      <c r="B361" s="157"/>
      <c r="C361" s="48"/>
      <c r="D361" s="48"/>
      <c r="E361" s="48"/>
      <c r="F361" s="48"/>
      <c r="G361" s="35"/>
      <c r="H361" s="35"/>
      <c r="I361" s="35"/>
      <c r="J361" s="35"/>
      <c r="K361" s="35"/>
      <c r="L361" s="35"/>
      <c r="M361" s="35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117"/>
      <c r="AE361" s="117"/>
      <c r="AF361" s="117"/>
      <c r="AG361" s="117"/>
      <c r="AH361" s="117"/>
      <c r="AI361" s="117"/>
      <c r="AJ361" s="117"/>
      <c r="AK361" s="35"/>
      <c r="AL361" s="188"/>
      <c r="AM361" s="188"/>
      <c r="AN361" s="188"/>
      <c r="AO361" s="188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D361" s="186">
        <f t="shared" si="482"/>
        <v>353</v>
      </c>
    </row>
    <row r="362" spans="1:56" hidden="1" outlineLevel="2">
      <c r="A362" s="155"/>
      <c r="B362" s="157" t="s">
        <v>262</v>
      </c>
      <c r="C362" s="48"/>
      <c r="D362" s="48"/>
      <c r="E362" s="48"/>
      <c r="F362" s="48"/>
      <c r="G362" s="35"/>
      <c r="H362" s="35"/>
      <c r="I362" s="35"/>
      <c r="J362" s="35"/>
      <c r="K362" s="35"/>
      <c r="L362" s="35"/>
      <c r="M362" s="35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117"/>
      <c r="AE362" s="117"/>
      <c r="AF362" s="117"/>
      <c r="AG362" s="117"/>
      <c r="AH362" s="117"/>
      <c r="AI362" s="117"/>
      <c r="AJ362" s="117"/>
      <c r="AK362" s="35"/>
      <c r="AL362" s="188"/>
      <c r="AM362" s="188"/>
      <c r="AN362" s="188"/>
      <c r="AO362" s="188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D362" s="186">
        <f t="shared" ref="BD362:BD420" si="595">+BD361+1</f>
        <v>354</v>
      </c>
    </row>
    <row r="363" spans="1:56" hidden="1" outlineLevel="2">
      <c r="A363" s="155"/>
      <c r="B363" s="179" t="s">
        <v>272</v>
      </c>
      <c r="C363" s="48"/>
      <c r="D363" s="48"/>
      <c r="E363" s="48"/>
      <c r="F363" s="48"/>
      <c r="G363" s="188">
        <f>(G344-F344)</f>
        <v>0</v>
      </c>
      <c r="H363" s="188">
        <f t="shared" ref="H363:K363" si="596">(H344-G344)</f>
        <v>0</v>
      </c>
      <c r="I363" s="188">
        <f t="shared" si="596"/>
        <v>0</v>
      </c>
      <c r="J363" s="188">
        <f t="shared" si="596"/>
        <v>0</v>
      </c>
      <c r="K363" s="188">
        <f t="shared" si="596"/>
        <v>0</v>
      </c>
      <c r="L363" s="35">
        <f>SUMIFS($N363:$BB363,$N$5:$BB$5,L$5)</f>
        <v>0</v>
      </c>
      <c r="M363" s="35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117"/>
      <c r="AE363" s="117"/>
      <c r="AF363" s="117"/>
      <c r="AG363" s="117"/>
      <c r="AH363" s="117"/>
      <c r="AI363" s="117"/>
      <c r="AJ363" s="117"/>
      <c r="AK363" s="35">
        <f>(AK344-AJ344)</f>
        <v>0</v>
      </c>
      <c r="AL363" s="188">
        <f t="shared" ref="AL363:AW363" si="597">(AL344-AK344)</f>
        <v>0</v>
      </c>
      <c r="AM363" s="188">
        <f t="shared" si="597"/>
        <v>0</v>
      </c>
      <c r="AN363" s="188">
        <f t="shared" si="597"/>
        <v>0</v>
      </c>
      <c r="AO363" s="188">
        <f t="shared" si="597"/>
        <v>0</v>
      </c>
      <c r="AP363" s="188">
        <f t="shared" si="597"/>
        <v>0</v>
      </c>
      <c r="AQ363" s="188">
        <f t="shared" si="597"/>
        <v>0</v>
      </c>
      <c r="AR363" s="188">
        <f t="shared" si="597"/>
        <v>0</v>
      </c>
      <c r="AS363" s="188">
        <f t="shared" si="597"/>
        <v>0</v>
      </c>
      <c r="AT363" s="188">
        <f t="shared" si="597"/>
        <v>0</v>
      </c>
      <c r="AU363" s="188">
        <f t="shared" si="597"/>
        <v>0</v>
      </c>
      <c r="AV363" s="188">
        <f t="shared" si="597"/>
        <v>0</v>
      </c>
      <c r="AW363" s="188">
        <f t="shared" si="597"/>
        <v>0</v>
      </c>
      <c r="AX363" s="35">
        <f t="shared" ref="AX363:BA363" si="598">-(AX344-AW344)</f>
        <v>0</v>
      </c>
      <c r="AY363" s="35">
        <f t="shared" si="598"/>
        <v>0</v>
      </c>
      <c r="AZ363" s="35">
        <f t="shared" si="598"/>
        <v>0</v>
      </c>
      <c r="BA363" s="35">
        <f t="shared" si="598"/>
        <v>0</v>
      </c>
      <c r="BD363" s="186">
        <f t="shared" si="595"/>
        <v>355</v>
      </c>
    </row>
    <row r="364" spans="1:56" hidden="1" outlineLevel="2">
      <c r="A364" s="155"/>
      <c r="B364" s="179" t="s">
        <v>251</v>
      </c>
      <c r="C364" s="48"/>
      <c r="D364" s="48"/>
      <c r="E364" s="48"/>
      <c r="F364" s="48"/>
      <c r="G364" s="188">
        <f>(G345-F345)</f>
        <v>0</v>
      </c>
      <c r="H364" s="188">
        <f t="shared" ref="H364:K364" si="599">(H345-G345)</f>
        <v>0</v>
      </c>
      <c r="I364" s="188">
        <f t="shared" si="599"/>
        <v>0</v>
      </c>
      <c r="J364" s="188">
        <f t="shared" si="599"/>
        <v>0</v>
      </c>
      <c r="K364" s="188">
        <f t="shared" si="599"/>
        <v>0</v>
      </c>
      <c r="L364" s="35">
        <f>SUMIFS($N364:$BB364,$N$5:$BB$5,L$5)</f>
        <v>0</v>
      </c>
      <c r="M364" s="35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117"/>
      <c r="AE364" s="117"/>
      <c r="AF364" s="117"/>
      <c r="AG364" s="117"/>
      <c r="AH364" s="117"/>
      <c r="AI364" s="117"/>
      <c r="AJ364" s="117"/>
      <c r="AK364" s="188">
        <f>(AK345-AJ345)</f>
        <v>0</v>
      </c>
      <c r="AL364" s="188">
        <f t="shared" ref="AL364:AW364" si="600">(AL345-AK345)</f>
        <v>0</v>
      </c>
      <c r="AM364" s="188">
        <f t="shared" si="600"/>
        <v>0</v>
      </c>
      <c r="AN364" s="188">
        <f t="shared" si="600"/>
        <v>0</v>
      </c>
      <c r="AO364" s="188">
        <f t="shared" si="600"/>
        <v>0</v>
      </c>
      <c r="AP364" s="188">
        <f t="shared" si="600"/>
        <v>0</v>
      </c>
      <c r="AQ364" s="188">
        <f t="shared" si="600"/>
        <v>0</v>
      </c>
      <c r="AR364" s="188">
        <f t="shared" si="600"/>
        <v>0</v>
      </c>
      <c r="AS364" s="188">
        <f t="shared" si="600"/>
        <v>0</v>
      </c>
      <c r="AT364" s="188">
        <f t="shared" si="600"/>
        <v>0</v>
      </c>
      <c r="AU364" s="188">
        <f t="shared" si="600"/>
        <v>0</v>
      </c>
      <c r="AV364" s="188">
        <f t="shared" si="600"/>
        <v>0</v>
      </c>
      <c r="AW364" s="188">
        <f t="shared" si="600"/>
        <v>0</v>
      </c>
      <c r="AX364" s="35">
        <f t="shared" ref="AX364:BA364" si="601">-(AX345-AW345)</f>
        <v>0</v>
      </c>
      <c r="AY364" s="35">
        <f t="shared" si="601"/>
        <v>0</v>
      </c>
      <c r="AZ364" s="35">
        <f t="shared" si="601"/>
        <v>0</v>
      </c>
      <c r="BA364" s="35">
        <f t="shared" si="601"/>
        <v>0</v>
      </c>
      <c r="BD364" s="186">
        <f t="shared" si="595"/>
        <v>356</v>
      </c>
    </row>
    <row r="365" spans="1:56" hidden="1" outlineLevel="2">
      <c r="A365" s="155"/>
      <c r="B365" s="179" t="s">
        <v>252</v>
      </c>
      <c r="C365" s="48"/>
      <c r="D365" s="48"/>
      <c r="E365" s="48"/>
      <c r="F365" s="48"/>
      <c r="G365" s="188">
        <f>SUM(G363:G364)</f>
        <v>0</v>
      </c>
      <c r="H365" s="188">
        <f t="shared" ref="H365:K365" si="602">SUM(H363:H364)</f>
        <v>0</v>
      </c>
      <c r="I365" s="188">
        <f t="shared" si="602"/>
        <v>0</v>
      </c>
      <c r="J365" s="188">
        <f t="shared" si="602"/>
        <v>0</v>
      </c>
      <c r="K365" s="188">
        <f t="shared" si="602"/>
        <v>0</v>
      </c>
      <c r="L365" s="35">
        <f>SUMIFS($N365:$BB365,$N$5:$BB$5,L$5)</f>
        <v>0</v>
      </c>
      <c r="M365" s="35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117"/>
      <c r="AE365" s="117"/>
      <c r="AF365" s="117"/>
      <c r="AG365" s="117"/>
      <c r="AH365" s="117"/>
      <c r="AI365" s="117"/>
      <c r="AJ365" s="117"/>
      <c r="AK365" s="188">
        <f>SUM(AK363:AK364)</f>
        <v>0</v>
      </c>
      <c r="AL365" s="188">
        <f t="shared" ref="AL365:AW365" si="603">SUM(AL363:AL364)</f>
        <v>0</v>
      </c>
      <c r="AM365" s="188">
        <f t="shared" ref="AM365:AN365" si="604">SUM(AM363:AM364)</f>
        <v>0</v>
      </c>
      <c r="AN365" s="188">
        <f t="shared" si="604"/>
        <v>0</v>
      </c>
      <c r="AO365" s="188">
        <f t="shared" ref="AO365" si="605">SUM(AO363:AO364)</f>
        <v>0</v>
      </c>
      <c r="AP365" s="188">
        <f t="shared" si="603"/>
        <v>0</v>
      </c>
      <c r="AQ365" s="188">
        <f t="shared" si="603"/>
        <v>0</v>
      </c>
      <c r="AR365" s="188">
        <f t="shared" si="603"/>
        <v>0</v>
      </c>
      <c r="AS365" s="188">
        <f t="shared" si="603"/>
        <v>0</v>
      </c>
      <c r="AT365" s="188">
        <f t="shared" si="603"/>
        <v>0</v>
      </c>
      <c r="AU365" s="188">
        <f t="shared" si="603"/>
        <v>0</v>
      </c>
      <c r="AV365" s="188">
        <f t="shared" si="603"/>
        <v>0</v>
      </c>
      <c r="AW365" s="188">
        <f t="shared" si="603"/>
        <v>0</v>
      </c>
      <c r="AX365" s="35">
        <f t="shared" ref="AX365:BA365" si="606">-(AX346-AW346)</f>
        <v>0</v>
      </c>
      <c r="AY365" s="35">
        <f t="shared" si="606"/>
        <v>0</v>
      </c>
      <c r="AZ365" s="35">
        <f t="shared" si="606"/>
        <v>0</v>
      </c>
      <c r="BA365" s="35">
        <f t="shared" si="606"/>
        <v>0</v>
      </c>
      <c r="BD365" s="186">
        <f t="shared" si="595"/>
        <v>357</v>
      </c>
    </row>
    <row r="366" spans="1:56" hidden="1" outlineLevel="2">
      <c r="A366" s="155"/>
      <c r="B366" s="179" t="s">
        <v>263</v>
      </c>
      <c r="C366" s="48"/>
      <c r="D366" s="48"/>
      <c r="E366" s="48"/>
      <c r="F366" s="48"/>
      <c r="G366" s="188">
        <f>(G347-F347)</f>
        <v>0</v>
      </c>
      <c r="H366" s="188">
        <f t="shared" ref="H366:K366" si="607">(H347-G347)</f>
        <v>0</v>
      </c>
      <c r="I366" s="188">
        <f t="shared" si="607"/>
        <v>0</v>
      </c>
      <c r="J366" s="188">
        <f t="shared" si="607"/>
        <v>0</v>
      </c>
      <c r="K366" s="188">
        <f t="shared" si="607"/>
        <v>0</v>
      </c>
      <c r="L366" s="35">
        <f>SUMIFS($N366:$BB366,$N$5:$BB$5,L$5)</f>
        <v>0</v>
      </c>
      <c r="M366" s="35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117"/>
      <c r="AE366" s="117"/>
      <c r="AF366" s="117"/>
      <c r="AG366" s="117"/>
      <c r="AH366" s="117"/>
      <c r="AI366" s="117"/>
      <c r="AJ366" s="117"/>
      <c r="AK366" s="188">
        <f>(AK347-AJ347)</f>
        <v>0</v>
      </c>
      <c r="AL366" s="188">
        <f t="shared" ref="AL366:AW366" si="608">(AL347-AK347)</f>
        <v>0</v>
      </c>
      <c r="AM366" s="188">
        <f t="shared" si="608"/>
        <v>0</v>
      </c>
      <c r="AN366" s="188">
        <f t="shared" si="608"/>
        <v>0</v>
      </c>
      <c r="AO366" s="188">
        <f t="shared" si="608"/>
        <v>0</v>
      </c>
      <c r="AP366" s="188">
        <f t="shared" si="608"/>
        <v>0</v>
      </c>
      <c r="AQ366" s="188">
        <f t="shared" si="608"/>
        <v>0</v>
      </c>
      <c r="AR366" s="188">
        <f t="shared" si="608"/>
        <v>0</v>
      </c>
      <c r="AS366" s="188">
        <f t="shared" si="608"/>
        <v>0</v>
      </c>
      <c r="AT366" s="188">
        <f t="shared" si="608"/>
        <v>0</v>
      </c>
      <c r="AU366" s="188">
        <f t="shared" si="608"/>
        <v>0</v>
      </c>
      <c r="AV366" s="188">
        <f t="shared" si="608"/>
        <v>0</v>
      </c>
      <c r="AW366" s="188">
        <f t="shared" si="608"/>
        <v>0</v>
      </c>
      <c r="AX366" s="35">
        <f t="shared" ref="AX366:BA366" si="609">-(AX355-AW355)</f>
        <v>0</v>
      </c>
      <c r="AY366" s="35">
        <f t="shared" si="609"/>
        <v>0</v>
      </c>
      <c r="AZ366" s="35">
        <f t="shared" si="609"/>
        <v>0</v>
      </c>
      <c r="BA366" s="35">
        <f t="shared" si="609"/>
        <v>0</v>
      </c>
      <c r="BD366" s="186">
        <f t="shared" si="595"/>
        <v>358</v>
      </c>
    </row>
    <row r="367" spans="1:56" hidden="1" outlineLevel="2">
      <c r="A367" s="155"/>
      <c r="B367" s="179" t="s">
        <v>264</v>
      </c>
      <c r="C367" s="48"/>
      <c r="D367" s="48"/>
      <c r="E367" s="48"/>
      <c r="F367" s="48"/>
      <c r="G367" s="188">
        <f>+G366+G365</f>
        <v>0</v>
      </c>
      <c r="H367" s="188">
        <f t="shared" ref="H367:K367" si="610">+H366+H365</f>
        <v>0</v>
      </c>
      <c r="I367" s="188">
        <f t="shared" si="610"/>
        <v>0</v>
      </c>
      <c r="J367" s="188">
        <f t="shared" si="610"/>
        <v>0</v>
      </c>
      <c r="K367" s="188">
        <f t="shared" si="610"/>
        <v>0</v>
      </c>
      <c r="L367" s="35">
        <f>SUMIFS($N367:$BB367,$N$5:$BB$5,L$5)</f>
        <v>0</v>
      </c>
      <c r="M367" s="35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117"/>
      <c r="AE367" s="117"/>
      <c r="AF367" s="117"/>
      <c r="AG367" s="117"/>
      <c r="AH367" s="117"/>
      <c r="AI367" s="117"/>
      <c r="AJ367" s="117"/>
      <c r="AK367" s="35">
        <f>+AK366+AK365</f>
        <v>0</v>
      </c>
      <c r="AL367" s="188">
        <f t="shared" ref="AL367:AW367" si="611">+AL366+AL365</f>
        <v>0</v>
      </c>
      <c r="AM367" s="188">
        <f t="shared" ref="AM367:AN367" si="612">+AM366+AM365</f>
        <v>0</v>
      </c>
      <c r="AN367" s="188">
        <f t="shared" si="612"/>
        <v>0</v>
      </c>
      <c r="AO367" s="188">
        <f t="shared" ref="AO367" si="613">+AO366+AO365</f>
        <v>0</v>
      </c>
      <c r="AP367" s="188">
        <f t="shared" si="611"/>
        <v>0</v>
      </c>
      <c r="AQ367" s="188">
        <f t="shared" si="611"/>
        <v>0</v>
      </c>
      <c r="AR367" s="188">
        <f t="shared" si="611"/>
        <v>0</v>
      </c>
      <c r="AS367" s="188">
        <f t="shared" si="611"/>
        <v>0</v>
      </c>
      <c r="AT367" s="188">
        <f t="shared" si="611"/>
        <v>0</v>
      </c>
      <c r="AU367" s="188">
        <f t="shared" si="611"/>
        <v>0</v>
      </c>
      <c r="AV367" s="188">
        <f t="shared" si="611"/>
        <v>0</v>
      </c>
      <c r="AW367" s="188">
        <f t="shared" si="611"/>
        <v>0</v>
      </c>
      <c r="AX367" s="35">
        <f t="shared" ref="AX367:BA367" si="614">+AX366+AX365</f>
        <v>0</v>
      </c>
      <c r="AY367" s="35">
        <f t="shared" si="614"/>
        <v>0</v>
      </c>
      <c r="AZ367" s="35">
        <f t="shared" si="614"/>
        <v>0</v>
      </c>
      <c r="BA367" s="35">
        <f t="shared" si="614"/>
        <v>0</v>
      </c>
      <c r="BD367" s="186">
        <f t="shared" si="595"/>
        <v>359</v>
      </c>
    </row>
    <row r="368" spans="1:56" hidden="1" outlineLevel="2">
      <c r="A368" s="155"/>
      <c r="B368" s="179"/>
      <c r="C368" s="48"/>
      <c r="D368" s="48"/>
      <c r="E368" s="48"/>
      <c r="F368" s="48"/>
      <c r="G368" s="35"/>
      <c r="H368" s="35"/>
      <c r="I368" s="35"/>
      <c r="J368" s="35"/>
      <c r="K368" s="35"/>
      <c r="L368" s="35"/>
      <c r="M368" s="35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117"/>
      <c r="AE368" s="117"/>
      <c r="AF368" s="117"/>
      <c r="AG368" s="117"/>
      <c r="AH368" s="117"/>
      <c r="AI368" s="117"/>
      <c r="AJ368" s="117"/>
      <c r="AK368" s="35"/>
      <c r="AL368" s="188"/>
      <c r="AM368" s="188"/>
      <c r="AN368" s="188"/>
      <c r="AO368" s="188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D368" s="186">
        <f t="shared" si="595"/>
        <v>360</v>
      </c>
    </row>
    <row r="369" spans="1:56" hidden="1" outlineLevel="2">
      <c r="A369" s="155"/>
      <c r="B369" s="157" t="s">
        <v>274</v>
      </c>
      <c r="C369" s="48"/>
      <c r="D369" s="48"/>
      <c r="E369" s="48"/>
      <c r="F369" s="48"/>
      <c r="G369" s="35"/>
      <c r="H369" s="35"/>
      <c r="I369" s="35"/>
      <c r="J369" s="35"/>
      <c r="K369" s="35"/>
      <c r="L369" s="35"/>
      <c r="M369" s="35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117"/>
      <c r="AE369" s="117"/>
      <c r="AF369" s="117"/>
      <c r="AG369" s="117"/>
      <c r="AH369" s="117"/>
      <c r="AI369" s="117"/>
      <c r="AJ369" s="117"/>
      <c r="AK369" s="35"/>
      <c r="AL369" s="188"/>
      <c r="AM369" s="188"/>
      <c r="AN369" s="188"/>
      <c r="AO369" s="188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D369" s="186">
        <f t="shared" si="595"/>
        <v>361</v>
      </c>
    </row>
    <row r="370" spans="1:56" hidden="1" outlineLevel="2">
      <c r="A370" s="155"/>
      <c r="B370" s="179" t="s">
        <v>275</v>
      </c>
      <c r="C370" s="48"/>
      <c r="D370" s="48"/>
      <c r="E370" s="48"/>
      <c r="F370" s="48"/>
      <c r="G370" s="54">
        <f t="shared" ref="G370:L371" si="615">INDEX($N370:$BB370,1,MATCH(G$4,$N$4:$BB$4,0))</f>
        <v>0</v>
      </c>
      <c r="H370" s="54">
        <f t="shared" si="615"/>
        <v>100</v>
      </c>
      <c r="I370" s="54">
        <f t="shared" si="615"/>
        <v>40</v>
      </c>
      <c r="J370" s="54">
        <f t="shared" si="615"/>
        <v>40</v>
      </c>
      <c r="K370" s="54">
        <f t="shared" si="615"/>
        <v>40</v>
      </c>
      <c r="L370" s="54">
        <f t="shared" si="615"/>
        <v>40</v>
      </c>
      <c r="M370" s="35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117"/>
      <c r="AE370" s="117"/>
      <c r="AF370" s="117"/>
      <c r="AG370" s="117"/>
      <c r="AH370" s="117"/>
      <c r="AI370" s="117"/>
      <c r="AJ370" s="117"/>
      <c r="AK370" s="41">
        <v>100</v>
      </c>
      <c r="AL370" s="50">
        <v>100</v>
      </c>
      <c r="AM370" s="41">
        <v>40</v>
      </c>
      <c r="AN370" s="41">
        <v>40</v>
      </c>
      <c r="AO370" s="41">
        <v>40</v>
      </c>
      <c r="AP370" s="41">
        <v>40</v>
      </c>
      <c r="AQ370" s="41">
        <v>40</v>
      </c>
      <c r="AR370" s="41">
        <v>40</v>
      </c>
      <c r="AS370" s="41">
        <v>40</v>
      </c>
      <c r="AT370" s="41">
        <v>40</v>
      </c>
      <c r="AU370" s="41">
        <v>40</v>
      </c>
      <c r="AV370" s="41">
        <v>40</v>
      </c>
      <c r="AW370" s="41">
        <v>40</v>
      </c>
      <c r="AX370" s="41">
        <v>40</v>
      </c>
      <c r="AY370" s="41">
        <v>40</v>
      </c>
      <c r="AZ370" s="41">
        <v>40</v>
      </c>
      <c r="BA370" s="41">
        <v>40</v>
      </c>
      <c r="BD370" s="186">
        <f t="shared" si="595"/>
        <v>362</v>
      </c>
    </row>
    <row r="371" spans="1:56" hidden="1" outlineLevel="2">
      <c r="A371" s="155"/>
      <c r="B371" s="179" t="s">
        <v>276</v>
      </c>
      <c r="C371" s="48"/>
      <c r="D371" s="48"/>
      <c r="E371" s="48"/>
      <c r="F371" s="48"/>
      <c r="G371" s="54">
        <f t="shared" si="615"/>
        <v>0</v>
      </c>
      <c r="H371" s="54">
        <f t="shared" si="615"/>
        <v>255.864</v>
      </c>
      <c r="I371" s="54">
        <f t="shared" si="615"/>
        <v>292.28700000000003</v>
      </c>
      <c r="J371" s="54">
        <f t="shared" si="615"/>
        <v>225.40809752575319</v>
      </c>
      <c r="K371" s="54">
        <f t="shared" si="615"/>
        <v>505.54930552537854</v>
      </c>
      <c r="L371" s="54">
        <f t="shared" si="615"/>
        <v>849.63477933243325</v>
      </c>
      <c r="M371" s="35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117"/>
      <c r="AE371" s="117"/>
      <c r="AF371" s="117"/>
      <c r="AG371" s="117"/>
      <c r="AH371" s="117"/>
      <c r="AI371" s="117"/>
      <c r="AJ371" s="117"/>
      <c r="AK371" s="35">
        <f>AK357</f>
        <v>255.864</v>
      </c>
      <c r="AL371" s="82">
        <f t="shared" ref="AL371:BA371" si="616">AL357</f>
        <v>195.11799999999999</v>
      </c>
      <c r="AM371" s="82">
        <f t="shared" ref="AM371" si="617">AM357</f>
        <v>404.755</v>
      </c>
      <c r="AN371" s="82">
        <f t="shared" si="616"/>
        <v>384.13549999999998</v>
      </c>
      <c r="AO371" s="82">
        <f t="shared" ref="AO371" si="618">AO357</f>
        <v>292.28700000000003</v>
      </c>
      <c r="AP371" s="35">
        <f t="shared" si="616"/>
        <v>231.1689756553846</v>
      </c>
      <c r="AQ371" s="35">
        <f t="shared" si="616"/>
        <v>195.09616550222199</v>
      </c>
      <c r="AR371" s="35">
        <f t="shared" si="616"/>
        <v>163.39572536383767</v>
      </c>
      <c r="AS371" s="35">
        <f t="shared" si="616"/>
        <v>225.40809752575319</v>
      </c>
      <c r="AT371" s="35">
        <f t="shared" si="616"/>
        <v>255.20825726520275</v>
      </c>
      <c r="AU371" s="35">
        <f t="shared" si="616"/>
        <v>308.1665623541611</v>
      </c>
      <c r="AV371" s="35">
        <f t="shared" si="616"/>
        <v>402.9563178779245</v>
      </c>
      <c r="AW371" s="35">
        <f t="shared" si="616"/>
        <v>505.54930552537854</v>
      </c>
      <c r="AX371" s="35">
        <f t="shared" si="616"/>
        <v>586.95424704886113</v>
      </c>
      <c r="AY371" s="35">
        <f t="shared" si="616"/>
        <v>673.48659127794747</v>
      </c>
      <c r="AZ371" s="35">
        <f t="shared" si="616"/>
        <v>764.30939028261105</v>
      </c>
      <c r="BA371" s="35">
        <f t="shared" si="616"/>
        <v>849.63477933243325</v>
      </c>
      <c r="BD371" s="186">
        <f t="shared" si="595"/>
        <v>363</v>
      </c>
    </row>
    <row r="372" spans="1:56" hidden="1" outlineLevel="2">
      <c r="A372" s="155"/>
      <c r="B372" s="179"/>
      <c r="C372" s="48"/>
      <c r="D372" s="48"/>
      <c r="E372" s="48"/>
      <c r="F372" s="48"/>
      <c r="G372" s="35"/>
      <c r="H372" s="35"/>
      <c r="I372" s="35"/>
      <c r="J372" s="35"/>
      <c r="K372" s="35"/>
      <c r="L372" s="35"/>
      <c r="M372" s="35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117"/>
      <c r="AE372" s="117"/>
      <c r="AF372" s="117"/>
      <c r="AG372" s="117"/>
      <c r="AH372" s="117"/>
      <c r="AI372" s="117"/>
      <c r="AJ372" s="117"/>
      <c r="AK372" s="35"/>
      <c r="AL372" s="188"/>
      <c r="AM372" s="188"/>
      <c r="AN372" s="188"/>
      <c r="AO372" s="188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D372" s="186">
        <f t="shared" si="595"/>
        <v>364</v>
      </c>
    </row>
    <row r="373" spans="1:56" hidden="1" outlineLevel="2">
      <c r="A373" s="155"/>
      <c r="B373" s="157" t="s">
        <v>279</v>
      </c>
      <c r="C373" s="48"/>
      <c r="D373" s="48"/>
      <c r="E373" s="48"/>
      <c r="F373" s="48"/>
      <c r="G373" s="35"/>
      <c r="H373" s="35"/>
      <c r="I373" s="35"/>
      <c r="J373" s="35"/>
      <c r="K373" s="35"/>
      <c r="L373" s="35"/>
      <c r="M373" s="35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117"/>
      <c r="AE373" s="117"/>
      <c r="AF373" s="117"/>
      <c r="AG373" s="117"/>
      <c r="AH373" s="117"/>
      <c r="AI373" s="117"/>
      <c r="AJ373" s="117"/>
      <c r="AK373" s="35"/>
      <c r="AL373" s="188"/>
      <c r="AM373" s="188"/>
      <c r="AN373" s="188"/>
      <c r="AO373" s="188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D373" s="186">
        <f t="shared" si="595"/>
        <v>365</v>
      </c>
    </row>
    <row r="374" spans="1:56" hidden="1" outlineLevel="2">
      <c r="A374" s="155"/>
      <c r="B374" s="179" t="s">
        <v>52</v>
      </c>
      <c r="C374" s="48"/>
      <c r="D374" s="48"/>
      <c r="E374" s="48"/>
      <c r="F374" s="48"/>
      <c r="G374" s="54">
        <f t="shared" ref="G374:L379" si="619">INDEX($N374:$BB374,1,MATCH(G$4,$N$4:$BB$4,0))</f>
        <v>0</v>
      </c>
      <c r="H374" s="54">
        <f t="shared" si="619"/>
        <v>-94.841999999999999</v>
      </c>
      <c r="I374" s="54">
        <f t="shared" si="619"/>
        <v>130.864</v>
      </c>
      <c r="J374" s="54">
        <f t="shared" si="619"/>
        <v>417.53745908177279</v>
      </c>
      <c r="K374" s="54">
        <f t="shared" si="619"/>
        <v>609.83930131006673</v>
      </c>
      <c r="L374" s="54">
        <f t="shared" si="619"/>
        <v>625.71507737163483</v>
      </c>
      <c r="M374" s="35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117"/>
      <c r="AE374" s="117"/>
      <c r="AF374" s="117"/>
      <c r="AG374" s="117"/>
      <c r="AH374" s="117"/>
      <c r="AI374" s="117"/>
      <c r="AJ374" s="117"/>
      <c r="AK374" s="35">
        <f t="shared" ref="AK374:BA374" si="620">SUM(AH20:AK20)</f>
        <v>-94.841999999999999</v>
      </c>
      <c r="AL374" s="188">
        <f t="shared" si="620"/>
        <v>-58.451999999999998</v>
      </c>
      <c r="AM374" s="188">
        <f t="shared" si="620"/>
        <v>-0.1180000000000021</v>
      </c>
      <c r="AN374" s="188">
        <f t="shared" si="620"/>
        <v>61.689</v>
      </c>
      <c r="AO374" s="188">
        <f t="shared" si="620"/>
        <v>130.864</v>
      </c>
      <c r="AP374" s="35">
        <f t="shared" si="620"/>
        <v>199.57971251936104</v>
      </c>
      <c r="AQ374" s="35">
        <f t="shared" si="620"/>
        <v>267.85371998585282</v>
      </c>
      <c r="AR374" s="35">
        <f t="shared" si="620"/>
        <v>341.17826371472302</v>
      </c>
      <c r="AS374" s="35">
        <f t="shared" si="620"/>
        <v>417.53745908177279</v>
      </c>
      <c r="AT374" s="35">
        <f t="shared" si="620"/>
        <v>487.81527764881309</v>
      </c>
      <c r="AU374" s="35">
        <f t="shared" si="620"/>
        <v>545.41535069996576</v>
      </c>
      <c r="AV374" s="35">
        <f t="shared" si="620"/>
        <v>585.5256831138621</v>
      </c>
      <c r="AW374" s="35">
        <f t="shared" si="620"/>
        <v>609.83930131006673</v>
      </c>
      <c r="AX374" s="35">
        <f t="shared" si="620"/>
        <v>623.7310937685196</v>
      </c>
      <c r="AY374" s="35">
        <f t="shared" si="620"/>
        <v>629.53180669774542</v>
      </c>
      <c r="AZ374" s="35">
        <f t="shared" si="620"/>
        <v>628.28450330190537</v>
      </c>
      <c r="BA374" s="35">
        <f t="shared" si="620"/>
        <v>625.71507737163483</v>
      </c>
      <c r="BD374" s="186">
        <f t="shared" si="595"/>
        <v>366</v>
      </c>
    </row>
    <row r="375" spans="1:56" hidden="1" outlineLevel="2">
      <c r="A375" s="155"/>
      <c r="B375" s="179" t="s">
        <v>278</v>
      </c>
      <c r="C375" s="48"/>
      <c r="D375" s="48"/>
      <c r="E375" s="48"/>
      <c r="F375" s="48"/>
      <c r="G375" s="54">
        <f t="shared" si="619"/>
        <v>0</v>
      </c>
      <c r="H375" s="54">
        <f t="shared" si="619"/>
        <v>-57.908999999999999</v>
      </c>
      <c r="I375" s="54">
        <f t="shared" si="619"/>
        <v>-210.18600000000001</v>
      </c>
      <c r="J375" s="54">
        <f t="shared" si="619"/>
        <v>-438.67600000000004</v>
      </c>
      <c r="K375" s="54">
        <f t="shared" si="619"/>
        <v>-276.97368292682927</v>
      </c>
      <c r="L375" s="54">
        <f t="shared" si="619"/>
        <v>-213.88341463414633</v>
      </c>
      <c r="M375" s="35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117"/>
      <c r="AE375" s="117"/>
      <c r="AF375" s="117"/>
      <c r="AG375" s="117"/>
      <c r="AH375" s="117"/>
      <c r="AI375" s="117"/>
      <c r="AJ375" s="117"/>
      <c r="AK375" s="35">
        <f t="shared" ref="AK375:BA375" si="621">SUM(AH221:AK221)</f>
        <v>-57.908999999999999</v>
      </c>
      <c r="AL375" s="188">
        <f t="shared" si="621"/>
        <v>-50.826999999999998</v>
      </c>
      <c r="AM375" s="188">
        <f t="shared" si="621"/>
        <v>-94.019000000000005</v>
      </c>
      <c r="AN375" s="188">
        <f t="shared" si="621"/>
        <v>-164.74799999999999</v>
      </c>
      <c r="AO375" s="188">
        <f t="shared" si="621"/>
        <v>-210.18600000000001</v>
      </c>
      <c r="AP375" s="35">
        <f t="shared" si="621"/>
        <v>-328.90750000000003</v>
      </c>
      <c r="AQ375" s="35">
        <f t="shared" si="621"/>
        <v>-390.44450000000006</v>
      </c>
      <c r="AR375" s="35">
        <f t="shared" si="621"/>
        <v>-430.79300000000001</v>
      </c>
      <c r="AS375" s="35">
        <f t="shared" si="621"/>
        <v>-438.67600000000004</v>
      </c>
      <c r="AT375" s="35">
        <f t="shared" si="621"/>
        <v>-392.59886585365854</v>
      </c>
      <c r="AU375" s="35">
        <f t="shared" si="621"/>
        <v>-356.39447560975611</v>
      </c>
      <c r="AV375" s="35">
        <f t="shared" si="621"/>
        <v>-290.2078292682927</v>
      </c>
      <c r="AW375" s="35">
        <f t="shared" si="621"/>
        <v>-276.97368292682927</v>
      </c>
      <c r="AX375" s="35">
        <f t="shared" si="621"/>
        <v>-246.21517073170733</v>
      </c>
      <c r="AY375" s="35">
        <f t="shared" si="621"/>
        <v>-213.39141463414634</v>
      </c>
      <c r="AZ375" s="35">
        <f t="shared" si="621"/>
        <v>-213.80241463414634</v>
      </c>
      <c r="BA375" s="35">
        <f t="shared" si="621"/>
        <v>-213.88341463414633</v>
      </c>
      <c r="BD375" s="186">
        <f t="shared" si="595"/>
        <v>367</v>
      </c>
    </row>
    <row r="376" spans="1:56" hidden="1" outlineLevel="2">
      <c r="A376" s="155"/>
      <c r="B376" s="179" t="s">
        <v>280</v>
      </c>
      <c r="C376" s="48"/>
      <c r="D376" s="48"/>
      <c r="E376" s="48"/>
      <c r="F376" s="48"/>
      <c r="G376" s="54">
        <f t="shared" si="619"/>
        <v>0</v>
      </c>
      <c r="H376" s="54">
        <f t="shared" si="619"/>
        <v>0</v>
      </c>
      <c r="I376" s="54">
        <f t="shared" si="619"/>
        <v>0</v>
      </c>
      <c r="J376" s="54">
        <f t="shared" si="619"/>
        <v>-6.7773577672833811</v>
      </c>
      <c r="K376" s="54">
        <f t="shared" si="619"/>
        <v>-11.445577038519316</v>
      </c>
      <c r="L376" s="54">
        <f t="shared" si="619"/>
        <v>-83.061187694531469</v>
      </c>
      <c r="M376" s="35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117"/>
      <c r="AE376" s="117"/>
      <c r="AF376" s="117"/>
      <c r="AG376" s="117"/>
      <c r="AH376" s="117"/>
      <c r="AI376" s="117"/>
      <c r="AJ376" s="117"/>
      <c r="AK376" s="35">
        <f t="shared" ref="AK376:BA376" si="622">MIN(SUM(AH26:AK26),0)</f>
        <v>0</v>
      </c>
      <c r="AL376" s="188">
        <f t="shared" si="622"/>
        <v>0</v>
      </c>
      <c r="AM376" s="188">
        <f t="shared" si="622"/>
        <v>0</v>
      </c>
      <c r="AN376" s="188">
        <f t="shared" si="622"/>
        <v>0</v>
      </c>
      <c r="AO376" s="188">
        <f t="shared" si="622"/>
        <v>0</v>
      </c>
      <c r="AP376" s="35">
        <f t="shared" si="622"/>
        <v>0</v>
      </c>
      <c r="AQ376" s="35">
        <f t="shared" si="622"/>
        <v>0</v>
      </c>
      <c r="AR376" s="35">
        <f t="shared" si="622"/>
        <v>0</v>
      </c>
      <c r="AS376" s="35">
        <f t="shared" si="622"/>
        <v>-6.7773577672833811</v>
      </c>
      <c r="AT376" s="35">
        <f t="shared" si="622"/>
        <v>-8.4567718839856418</v>
      </c>
      <c r="AU376" s="35">
        <f t="shared" si="622"/>
        <v>-9.8599996169314785</v>
      </c>
      <c r="AV376" s="35">
        <f t="shared" si="622"/>
        <v>-10.819662235299209</v>
      </c>
      <c r="AW376" s="35">
        <f t="shared" si="622"/>
        <v>-11.445577038519316</v>
      </c>
      <c r="AX376" s="35">
        <f t="shared" si="622"/>
        <v>-29.700953842466543</v>
      </c>
      <c r="AY376" s="35">
        <f t="shared" si="622"/>
        <v>-47.690999615523673</v>
      </c>
      <c r="AZ376" s="35">
        <f t="shared" si="622"/>
        <v>-65.442319026768644</v>
      </c>
      <c r="BA376" s="35">
        <f t="shared" si="622"/>
        <v>-83.061187694531469</v>
      </c>
      <c r="BD376" s="186">
        <f t="shared" si="595"/>
        <v>368</v>
      </c>
    </row>
    <row r="377" spans="1:56" hidden="1" outlineLevel="2">
      <c r="A377" s="155"/>
      <c r="B377" s="179" t="s">
        <v>281</v>
      </c>
      <c r="C377" s="48"/>
      <c r="D377" s="48"/>
      <c r="E377" s="48"/>
      <c r="F377" s="48"/>
      <c r="G377" s="54">
        <f t="shared" si="619"/>
        <v>0</v>
      </c>
      <c r="H377" s="54">
        <f t="shared" si="619"/>
        <v>-152.751</v>
      </c>
      <c r="I377" s="54">
        <f t="shared" si="619"/>
        <v>-79.322000000000003</v>
      </c>
      <c r="J377" s="54">
        <f t="shared" si="619"/>
        <v>-27.91589868551063</v>
      </c>
      <c r="K377" s="54">
        <f t="shared" si="619"/>
        <v>321.42004134471813</v>
      </c>
      <c r="L377" s="54">
        <f t="shared" si="619"/>
        <v>328.77047504295706</v>
      </c>
      <c r="M377" s="35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117"/>
      <c r="AE377" s="117"/>
      <c r="AF377" s="117"/>
      <c r="AG377" s="117"/>
      <c r="AH377" s="117"/>
      <c r="AI377" s="117"/>
      <c r="AJ377" s="117"/>
      <c r="AK377" s="35">
        <f>SUM(AK374:AK376)</f>
        <v>-152.751</v>
      </c>
      <c r="AL377" s="188">
        <f>SUM(AL374:AL376)</f>
        <v>-109.279</v>
      </c>
      <c r="AM377" s="188">
        <f>SUM(AM374:AM376)</f>
        <v>-94.137</v>
      </c>
      <c r="AN377" s="188">
        <f>SUM(AN374:AN376)</f>
        <v>-103.059</v>
      </c>
      <c r="AO377" s="188">
        <f>SUM(AO374:AO376)</f>
        <v>-79.322000000000003</v>
      </c>
      <c r="AP377" s="35">
        <f t="shared" ref="AP377:BA377" si="623">SUM(AP374:AP376)</f>
        <v>-129.32778748063899</v>
      </c>
      <c r="AQ377" s="35">
        <f t="shared" si="623"/>
        <v>-122.59078001414724</v>
      </c>
      <c r="AR377" s="35">
        <f t="shared" si="623"/>
        <v>-89.61473628527699</v>
      </c>
      <c r="AS377" s="35">
        <f t="shared" si="623"/>
        <v>-27.91589868551063</v>
      </c>
      <c r="AT377" s="35">
        <f t="shared" si="623"/>
        <v>86.759639911168918</v>
      </c>
      <c r="AU377" s="35">
        <f t="shared" si="623"/>
        <v>179.16087547327817</v>
      </c>
      <c r="AV377" s="35">
        <f t="shared" si="623"/>
        <v>284.49819161027017</v>
      </c>
      <c r="AW377" s="35">
        <f t="shared" si="623"/>
        <v>321.42004134471813</v>
      </c>
      <c r="AX377" s="35">
        <f t="shared" si="623"/>
        <v>347.81496919434574</v>
      </c>
      <c r="AY377" s="35">
        <f t="shared" si="623"/>
        <v>368.4493924480754</v>
      </c>
      <c r="AZ377" s="35">
        <f t="shared" si="623"/>
        <v>349.03976964099041</v>
      </c>
      <c r="BA377" s="35">
        <f t="shared" si="623"/>
        <v>328.77047504295706</v>
      </c>
      <c r="BD377" s="186">
        <f t="shared" si="595"/>
        <v>369</v>
      </c>
    </row>
    <row r="378" spans="1:56" hidden="1" outlineLevel="2">
      <c r="A378" s="155"/>
      <c r="B378" s="179" t="s">
        <v>282</v>
      </c>
      <c r="C378" s="48"/>
      <c r="D378" s="48"/>
      <c r="E378" s="48"/>
      <c r="F378" s="48"/>
      <c r="G378" s="54">
        <f t="shared" si="619"/>
        <v>0</v>
      </c>
      <c r="H378" s="54">
        <f t="shared" si="619"/>
        <v>65.564999999999998</v>
      </c>
      <c r="I378" s="54">
        <f t="shared" si="619"/>
        <v>1.5270000000000001</v>
      </c>
      <c r="J378" s="54">
        <f t="shared" si="619"/>
        <v>1.5990641195424335</v>
      </c>
      <c r="K378" s="54">
        <f t="shared" si="619"/>
        <v>1.2</v>
      </c>
      <c r="L378" s="54">
        <f t="shared" si="619"/>
        <v>1.2</v>
      </c>
      <c r="M378" s="35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117"/>
      <c r="AE378" s="117"/>
      <c r="AF378" s="117"/>
      <c r="AG378" s="117"/>
      <c r="AH378" s="117"/>
      <c r="AI378" s="117"/>
      <c r="AJ378" s="117"/>
      <c r="AK378" s="35">
        <f t="shared" ref="AK378:BA378" si="624">-SUM(AH23:AK23)</f>
        <v>65.564999999999998</v>
      </c>
      <c r="AL378" s="188">
        <f t="shared" si="624"/>
        <v>40.787999999999997</v>
      </c>
      <c r="AM378" s="188">
        <f t="shared" si="624"/>
        <v>11.168000000000005</v>
      </c>
      <c r="AN378" s="188">
        <f t="shared" si="624"/>
        <v>3.1810000000000045</v>
      </c>
      <c r="AO378" s="188">
        <f t="shared" si="624"/>
        <v>1.5270000000000001</v>
      </c>
      <c r="AP378" s="35">
        <f t="shared" si="624"/>
        <v>1.1359999999999999</v>
      </c>
      <c r="AQ378" s="35">
        <f t="shared" si="624"/>
        <v>1.022</v>
      </c>
      <c r="AR378" s="35">
        <f t="shared" si="624"/>
        <v>1.151</v>
      </c>
      <c r="AS378" s="35">
        <f t="shared" si="624"/>
        <v>1.5990641195424335</v>
      </c>
      <c r="AT378" s="35">
        <f t="shared" si="624"/>
        <v>1.5990641195424338</v>
      </c>
      <c r="AU378" s="35">
        <f t="shared" si="624"/>
        <v>1.5990641195424338</v>
      </c>
      <c r="AV378" s="35">
        <f t="shared" si="624"/>
        <v>1.5990641195424338</v>
      </c>
      <c r="AW378" s="35">
        <f t="shared" si="624"/>
        <v>1.2</v>
      </c>
      <c r="AX378" s="35">
        <f t="shared" si="624"/>
        <v>1.2</v>
      </c>
      <c r="AY378" s="35">
        <f t="shared" si="624"/>
        <v>1.2</v>
      </c>
      <c r="AZ378" s="35">
        <f t="shared" si="624"/>
        <v>1.2</v>
      </c>
      <c r="BA378" s="35">
        <f t="shared" si="624"/>
        <v>1.2</v>
      </c>
      <c r="BD378" s="186">
        <f t="shared" si="595"/>
        <v>370</v>
      </c>
    </row>
    <row r="379" spans="1:56" hidden="1" outlineLevel="2">
      <c r="A379" s="155"/>
      <c r="B379" s="179" t="s">
        <v>277</v>
      </c>
      <c r="C379" s="48"/>
      <c r="D379" s="48"/>
      <c r="E379" s="48"/>
      <c r="F379" s="48"/>
      <c r="G379" s="181">
        <f t="shared" si="619"/>
        <v>0</v>
      </c>
      <c r="H379" s="181">
        <f t="shared" si="619"/>
        <v>-2.3297643559826127</v>
      </c>
      <c r="I379" s="181">
        <f t="shared" si="619"/>
        <v>-51.946299934512112</v>
      </c>
      <c r="J379" s="181">
        <f t="shared" si="619"/>
        <v>-17.457648098250534</v>
      </c>
      <c r="K379" s="181">
        <f t="shared" si="619"/>
        <v>267.85003445393181</v>
      </c>
      <c r="L379" s="181">
        <f t="shared" si="619"/>
        <v>273.97539586913092</v>
      </c>
      <c r="M379" s="35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117"/>
      <c r="AE379" s="117"/>
      <c r="AF379" s="117"/>
      <c r="AG379" s="117"/>
      <c r="AH379" s="117"/>
      <c r="AI379" s="117"/>
      <c r="AJ379" s="117"/>
      <c r="AK379" s="180">
        <f>IFERROR(AK377/AK378,"NM")</f>
        <v>-2.3297643559826127</v>
      </c>
      <c r="AL379" s="180">
        <f>IFERROR(AL377/AL378,"NM")</f>
        <v>-2.6791948612336962</v>
      </c>
      <c r="AM379" s="180">
        <f>IFERROR(AM377/AM378,"NM")</f>
        <v>-8.4291726361031483</v>
      </c>
      <c r="AN379" s="180">
        <f>IFERROR(AN377/AN378,"NM")</f>
        <v>-32.3983024206224</v>
      </c>
      <c r="AO379" s="180">
        <f>IFERROR(AO377/AO378,"NM")</f>
        <v>-51.946299934512112</v>
      </c>
      <c r="AP379" s="180">
        <f t="shared" ref="AP379:BA379" si="625">IFERROR(AP377/AP378,"NM")</f>
        <v>-113.84488334563292</v>
      </c>
      <c r="AQ379" s="180">
        <f t="shared" si="625"/>
        <v>-119.95183954417539</v>
      </c>
      <c r="AR379" s="180">
        <f t="shared" si="625"/>
        <v>-77.858154895983489</v>
      </c>
      <c r="AS379" s="180">
        <f t="shared" si="625"/>
        <v>-17.457648098250534</v>
      </c>
      <c r="AT379" s="180">
        <f t="shared" si="625"/>
        <v>54.256510949664026</v>
      </c>
      <c r="AU379" s="180">
        <f t="shared" si="625"/>
        <v>112.04108283321646</v>
      </c>
      <c r="AV379" s="180">
        <f t="shared" si="625"/>
        <v>177.9154369942828</v>
      </c>
      <c r="AW379" s="180">
        <f t="shared" si="625"/>
        <v>267.85003445393181</v>
      </c>
      <c r="AX379" s="180">
        <f t="shared" si="625"/>
        <v>289.84580766195478</v>
      </c>
      <c r="AY379" s="180">
        <f t="shared" si="625"/>
        <v>307.04116037339617</v>
      </c>
      <c r="AZ379" s="180">
        <f t="shared" si="625"/>
        <v>290.86647470082534</v>
      </c>
      <c r="BA379" s="180">
        <f t="shared" si="625"/>
        <v>273.97539586913092</v>
      </c>
      <c r="BD379" s="186">
        <f t="shared" si="595"/>
        <v>371</v>
      </c>
    </row>
    <row r="380" spans="1:56" hidden="1" outlineLevel="2">
      <c r="A380" s="155"/>
      <c r="B380" s="157"/>
      <c r="C380" s="48"/>
      <c r="D380" s="48"/>
      <c r="E380" s="48"/>
      <c r="F380" s="48"/>
      <c r="G380" s="35"/>
      <c r="H380" s="35"/>
      <c r="I380" s="35"/>
      <c r="J380" s="35"/>
      <c r="K380" s="35"/>
      <c r="L380" s="35"/>
      <c r="M380" s="35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117"/>
      <c r="AE380" s="117"/>
      <c r="AF380" s="117"/>
      <c r="AG380" s="117"/>
      <c r="AH380" s="117"/>
      <c r="AI380" s="117"/>
      <c r="AJ380" s="117"/>
      <c r="AK380" s="35"/>
      <c r="AL380" s="188"/>
      <c r="AM380" s="188"/>
      <c r="AN380" s="188"/>
      <c r="AO380" s="188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D380" s="186">
        <f t="shared" si="595"/>
        <v>372</v>
      </c>
    </row>
    <row r="381" spans="1:56" outlineLevel="1" collapsed="1">
      <c r="A381" s="38" t="s">
        <v>71</v>
      </c>
      <c r="B381" s="34" t="s">
        <v>143</v>
      </c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82"/>
      <c r="AM381" s="82"/>
      <c r="AN381" s="82"/>
      <c r="AO381" s="82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D381" s="186">
        <f t="shared" si="595"/>
        <v>373</v>
      </c>
    </row>
    <row r="382" spans="1:56" hidden="1" outlineLevel="2">
      <c r="B382" s="39" t="s">
        <v>98</v>
      </c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82"/>
      <c r="AM382" s="82"/>
      <c r="AN382" s="82"/>
      <c r="AO382" s="82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D382" s="186">
        <f t="shared" si="595"/>
        <v>374</v>
      </c>
    </row>
    <row r="383" spans="1:56" hidden="1" outlineLevel="2">
      <c r="B383" s="64" t="s">
        <v>77</v>
      </c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82"/>
      <c r="AM383" s="82"/>
      <c r="AN383" s="82"/>
      <c r="AO383" s="82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D383" s="186">
        <f t="shared" si="595"/>
        <v>375</v>
      </c>
    </row>
    <row r="384" spans="1:56" hidden="1" outlineLevel="2">
      <c r="B384" s="65" t="s">
        <v>72</v>
      </c>
      <c r="C384" s="35">
        <f t="shared" ref="C384:L387" si="626">SUMIFS($N384:$BB384,$N$5:$BB$5,C$5)</f>
        <v>1237.306</v>
      </c>
      <c r="D384" s="35">
        <f t="shared" si="626"/>
        <v>1462.7670000000001</v>
      </c>
      <c r="E384" s="35">
        <f t="shared" si="626"/>
        <v>1048.9090000000001</v>
      </c>
      <c r="F384" s="35">
        <f t="shared" si="626"/>
        <v>1218.3610000000001</v>
      </c>
      <c r="G384" s="35">
        <f t="shared" si="626"/>
        <v>208.12299999999999</v>
      </c>
      <c r="H384" s="35">
        <f t="shared" si="626"/>
        <v>0</v>
      </c>
      <c r="I384" s="35">
        <f t="shared" si="626"/>
        <v>0</v>
      </c>
      <c r="J384" s="35">
        <f t="shared" si="626"/>
        <v>0</v>
      </c>
      <c r="K384" s="35">
        <f t="shared" si="626"/>
        <v>0</v>
      </c>
      <c r="L384" s="35">
        <f t="shared" si="626"/>
        <v>0</v>
      </c>
      <c r="M384" s="35"/>
      <c r="N384" s="41">
        <v>257.85899999999998</v>
      </c>
      <c r="O384" s="41">
        <v>265.93</v>
      </c>
      <c r="P384" s="41">
        <v>343.72300000000001</v>
      </c>
      <c r="Q384" s="41">
        <v>369.79399999999998</v>
      </c>
      <c r="R384" s="41">
        <v>398.036</v>
      </c>
      <c r="S384" s="41">
        <v>387.66300000000001</v>
      </c>
      <c r="T384" s="41">
        <v>381.24099999999999</v>
      </c>
      <c r="U384" s="41">
        <v>295.827</v>
      </c>
      <c r="V384" s="41">
        <v>262.13799999999998</v>
      </c>
      <c r="W384" s="41">
        <v>254.01599999999999</v>
      </c>
      <c r="X384" s="41">
        <v>266.52</v>
      </c>
      <c r="Y384" s="41">
        <v>266.23500000000001</v>
      </c>
      <c r="Z384" s="41">
        <v>227.899</v>
      </c>
      <c r="AA384" s="41">
        <v>276.63900000000001</v>
      </c>
      <c r="AB384" s="41">
        <v>352.02699999999999</v>
      </c>
      <c r="AC384" s="41">
        <v>361.79599999999999</v>
      </c>
      <c r="AD384" s="41">
        <v>208.12299999999999</v>
      </c>
      <c r="AE384" s="35"/>
      <c r="AF384" s="35"/>
      <c r="AG384" s="35"/>
      <c r="AH384" s="35"/>
      <c r="AI384" s="35"/>
      <c r="AJ384" s="35"/>
      <c r="AK384" s="35"/>
      <c r="AL384" s="82"/>
      <c r="AM384" s="82"/>
      <c r="AN384" s="82"/>
      <c r="AO384" s="82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D384" s="186">
        <f t="shared" si="595"/>
        <v>376</v>
      </c>
    </row>
    <row r="385" spans="2:56" hidden="1" outlineLevel="2">
      <c r="B385" s="65" t="s">
        <v>73</v>
      </c>
      <c r="C385" s="35">
        <f t="shared" si="626"/>
        <v>619.89886100000001</v>
      </c>
      <c r="D385" s="35">
        <f t="shared" si="626"/>
        <v>784.5</v>
      </c>
      <c r="E385" s="35">
        <f t="shared" si="626"/>
        <v>626.29999999999995</v>
      </c>
      <c r="F385" s="35">
        <f t="shared" si="626"/>
        <v>985</v>
      </c>
      <c r="G385" s="35">
        <f t="shared" si="626"/>
        <v>330.61599999999999</v>
      </c>
      <c r="H385" s="35">
        <f t="shared" si="626"/>
        <v>0</v>
      </c>
      <c r="I385" s="35">
        <f t="shared" si="626"/>
        <v>0</v>
      </c>
      <c r="J385" s="35">
        <f t="shared" si="626"/>
        <v>0</v>
      </c>
      <c r="K385" s="35">
        <f t="shared" si="626"/>
        <v>0</v>
      </c>
      <c r="L385" s="35">
        <f t="shared" si="626"/>
        <v>0</v>
      </c>
      <c r="M385" s="35"/>
      <c r="N385" s="41">
        <v>104.898861</v>
      </c>
      <c r="O385" s="41">
        <v>150.6</v>
      </c>
      <c r="P385" s="41">
        <v>191.8</v>
      </c>
      <c r="Q385" s="41">
        <v>172.6</v>
      </c>
      <c r="R385" s="41">
        <v>186.4</v>
      </c>
      <c r="S385" s="41">
        <v>216.4</v>
      </c>
      <c r="T385" s="41">
        <v>196</v>
      </c>
      <c r="U385" s="41">
        <v>185.7</v>
      </c>
      <c r="V385" s="41">
        <v>173.8</v>
      </c>
      <c r="W385" s="41">
        <v>160.5</v>
      </c>
      <c r="X385" s="41">
        <v>144.80000000000001</v>
      </c>
      <c r="Y385" s="41">
        <v>147.19999999999999</v>
      </c>
      <c r="Z385" s="41">
        <v>186.9</v>
      </c>
      <c r="AA385" s="41">
        <v>221.6</v>
      </c>
      <c r="AB385" s="41">
        <v>273.10000000000002</v>
      </c>
      <c r="AC385" s="41">
        <v>303.39999999999998</v>
      </c>
      <c r="AD385" s="47">
        <f>370.954-AD391</f>
        <v>330.61599999999999</v>
      </c>
      <c r="AE385" s="35"/>
      <c r="AF385" s="35"/>
      <c r="AG385" s="35"/>
      <c r="AH385" s="35"/>
      <c r="AI385" s="35"/>
      <c r="AJ385" s="35"/>
      <c r="AK385" s="35"/>
      <c r="AL385" s="82"/>
      <c r="AM385" s="82"/>
      <c r="AN385" s="82"/>
      <c r="AO385" s="82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D385" s="186">
        <f t="shared" si="595"/>
        <v>377</v>
      </c>
    </row>
    <row r="386" spans="2:56" hidden="1" outlineLevel="2">
      <c r="B386" s="65" t="s">
        <v>75</v>
      </c>
      <c r="C386" s="35">
        <f t="shared" si="626"/>
        <v>0</v>
      </c>
      <c r="D386" s="35">
        <f t="shared" si="626"/>
        <v>130.12</v>
      </c>
      <c r="E386" s="35">
        <f t="shared" si="626"/>
        <v>278.82000000000005</v>
      </c>
      <c r="F386" s="35">
        <f t="shared" si="626"/>
        <v>408.48699999999997</v>
      </c>
      <c r="G386" s="35">
        <f t="shared" si="626"/>
        <v>0</v>
      </c>
      <c r="H386" s="35">
        <f t="shared" si="626"/>
        <v>0</v>
      </c>
      <c r="I386" s="35">
        <f t="shared" si="626"/>
        <v>0</v>
      </c>
      <c r="J386" s="35">
        <f t="shared" si="626"/>
        <v>0</v>
      </c>
      <c r="K386" s="35">
        <f t="shared" si="626"/>
        <v>0</v>
      </c>
      <c r="L386" s="35">
        <f t="shared" si="626"/>
        <v>0</v>
      </c>
      <c r="M386" s="35"/>
      <c r="N386" s="41">
        <v>0</v>
      </c>
      <c r="O386" s="41">
        <v>0</v>
      </c>
      <c r="P386" s="41">
        <v>0</v>
      </c>
      <c r="Q386" s="41">
        <v>0</v>
      </c>
      <c r="R386" s="41">
        <v>0</v>
      </c>
      <c r="S386" s="41">
        <v>15.125</v>
      </c>
      <c r="T386" s="41">
        <v>61.594999999999999</v>
      </c>
      <c r="U386" s="41">
        <v>53.4</v>
      </c>
      <c r="V386" s="41">
        <v>62.128999999999998</v>
      </c>
      <c r="W386" s="41">
        <v>67.661000000000001</v>
      </c>
      <c r="X386" s="41">
        <v>74.909000000000006</v>
      </c>
      <c r="Y386" s="41">
        <v>74.121000000000009</v>
      </c>
      <c r="Z386" s="41">
        <v>83.128</v>
      </c>
      <c r="AA386" s="41">
        <v>93.637</v>
      </c>
      <c r="AB386" s="41">
        <v>113.22199999999999</v>
      </c>
      <c r="AC386" s="41">
        <v>118.5</v>
      </c>
      <c r="AD386" s="35">
        <v>0</v>
      </c>
      <c r="AE386" s="35"/>
      <c r="AF386" s="35"/>
      <c r="AG386" s="35"/>
      <c r="AH386" s="35"/>
      <c r="AI386" s="35"/>
      <c r="AJ386" s="35"/>
      <c r="AK386" s="35"/>
      <c r="AL386" s="82"/>
      <c r="AM386" s="82"/>
      <c r="AN386" s="82"/>
      <c r="AO386" s="82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D386" s="186">
        <f t="shared" si="595"/>
        <v>378</v>
      </c>
    </row>
    <row r="387" spans="2:56" hidden="1" outlineLevel="2">
      <c r="B387" s="65" t="s">
        <v>65</v>
      </c>
      <c r="C387" s="35">
        <f t="shared" si="626"/>
        <v>70.126138999999981</v>
      </c>
      <c r="D387" s="35">
        <f t="shared" si="626"/>
        <v>56.781000000000013</v>
      </c>
      <c r="E387" s="35">
        <f t="shared" si="626"/>
        <v>24.701999999999963</v>
      </c>
      <c r="F387" s="35">
        <f t="shared" si="626"/>
        <v>38.05699999999986</v>
      </c>
      <c r="G387" s="35">
        <f t="shared" si="626"/>
        <v>14.134999999999991</v>
      </c>
      <c r="H387" s="35">
        <f t="shared" si="626"/>
        <v>0</v>
      </c>
      <c r="I387" s="35">
        <f t="shared" si="626"/>
        <v>0</v>
      </c>
      <c r="J387" s="35">
        <f t="shared" si="626"/>
        <v>0</v>
      </c>
      <c r="K387" s="35">
        <f t="shared" si="626"/>
        <v>0</v>
      </c>
      <c r="L387" s="35">
        <f t="shared" si="626"/>
        <v>0</v>
      </c>
      <c r="M387" s="35"/>
      <c r="N387" s="41">
        <v>22.305138999999997</v>
      </c>
      <c r="O387" s="41">
        <v>9.5169999999999888</v>
      </c>
      <c r="P387" s="41">
        <v>11.653000000000013</v>
      </c>
      <c r="Q387" s="41">
        <v>26.650999999999982</v>
      </c>
      <c r="R387" s="41">
        <v>17.151999999999987</v>
      </c>
      <c r="S387" s="41">
        <v>15.76299999999997</v>
      </c>
      <c r="T387" s="41">
        <v>15.102000000000032</v>
      </c>
      <c r="U387" s="41">
        <v>8.7640000000000242</v>
      </c>
      <c r="V387" s="41">
        <v>3.7219999999999729</v>
      </c>
      <c r="W387" s="41">
        <v>6.2950000000000159</v>
      </c>
      <c r="X387" s="41">
        <v>8.0219999999999629</v>
      </c>
      <c r="Y387" s="41">
        <v>6.6630000000000109</v>
      </c>
      <c r="Z387" s="41">
        <v>6.5089999999999719</v>
      </c>
      <c r="AA387" s="41">
        <v>9.5840000000000032</v>
      </c>
      <c r="AB387" s="41">
        <v>8.9559999999999889</v>
      </c>
      <c r="AC387" s="41">
        <v>13.007999999999896</v>
      </c>
      <c r="AD387" s="35">
        <v>14.134999999999991</v>
      </c>
      <c r="AE387" s="35"/>
      <c r="AF387" s="35"/>
      <c r="AG387" s="35"/>
      <c r="AH387" s="35"/>
      <c r="AI387" s="35"/>
      <c r="AJ387" s="35"/>
      <c r="AK387" s="35"/>
      <c r="AL387" s="82"/>
      <c r="AM387" s="82"/>
      <c r="AN387" s="82"/>
      <c r="AO387" s="82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D387" s="186">
        <f t="shared" si="595"/>
        <v>379</v>
      </c>
    </row>
    <row r="388" spans="2:56" hidden="1" outlineLevel="2">
      <c r="B388" s="66" t="s">
        <v>76</v>
      </c>
      <c r="C388" s="37">
        <f>SUM(C384:C387)</f>
        <v>1927.3310000000001</v>
      </c>
      <c r="D388" s="37">
        <f t="shared" ref="D388:N388" si="627">SUM(D384:D387)</f>
        <v>2434.1679999999997</v>
      </c>
      <c r="E388" s="37">
        <f t="shared" si="627"/>
        <v>1978.731</v>
      </c>
      <c r="F388" s="37">
        <f t="shared" si="627"/>
        <v>2649.9049999999997</v>
      </c>
      <c r="G388" s="37">
        <f t="shared" si="627"/>
        <v>552.87400000000002</v>
      </c>
      <c r="H388" s="37">
        <f t="shared" si="627"/>
        <v>0</v>
      </c>
      <c r="I388" s="37">
        <f t="shared" si="627"/>
        <v>0</v>
      </c>
      <c r="J388" s="37">
        <f t="shared" si="627"/>
        <v>0</v>
      </c>
      <c r="K388" s="37">
        <f t="shared" si="627"/>
        <v>0</v>
      </c>
      <c r="L388" s="37">
        <f t="shared" si="627"/>
        <v>0</v>
      </c>
      <c r="M388" s="37"/>
      <c r="N388" s="37">
        <f t="shared" si="627"/>
        <v>385.06299999999999</v>
      </c>
      <c r="O388" s="37">
        <f t="shared" ref="O388" si="628">SUM(O384:O387)</f>
        <v>426.04699999999997</v>
      </c>
      <c r="P388" s="37">
        <f t="shared" ref="P388" si="629">SUM(P384:P387)</f>
        <v>547.17600000000004</v>
      </c>
      <c r="Q388" s="37">
        <f t="shared" ref="Q388" si="630">SUM(Q384:Q387)</f>
        <v>569.04499999999996</v>
      </c>
      <c r="R388" s="37">
        <f t="shared" ref="R388" si="631">SUM(R384:R387)</f>
        <v>601.58799999999997</v>
      </c>
      <c r="S388" s="37">
        <f t="shared" ref="S388" si="632">SUM(S384:S387)</f>
        <v>634.95099999999991</v>
      </c>
      <c r="T388" s="37">
        <f t="shared" ref="T388" si="633">SUM(T384:T387)</f>
        <v>653.9380000000001</v>
      </c>
      <c r="U388" s="37">
        <f t="shared" ref="U388" si="634">SUM(U384:U387)</f>
        <v>543.69100000000003</v>
      </c>
      <c r="V388" s="37">
        <f t="shared" ref="V388" si="635">SUM(V384:V387)</f>
        <v>501.78899999999999</v>
      </c>
      <c r="W388" s="37">
        <f t="shared" ref="W388" si="636">SUM(W384:W387)</f>
        <v>488.47199999999998</v>
      </c>
      <c r="X388" s="37">
        <f t="shared" ref="X388" si="637">SUM(X384:X387)</f>
        <v>494.25099999999998</v>
      </c>
      <c r="Y388" s="37">
        <f t="shared" ref="Y388" si="638">SUM(Y384:Y387)</f>
        <v>494.21900000000005</v>
      </c>
      <c r="Z388" s="37">
        <f t="shared" ref="Z388" si="639">SUM(Z384:Z387)</f>
        <v>504.43599999999992</v>
      </c>
      <c r="AA388" s="37">
        <f t="shared" ref="AA388" si="640">SUM(AA384:AA387)</f>
        <v>601.46</v>
      </c>
      <c r="AB388" s="37">
        <f t="shared" ref="AB388" si="641">SUM(AB384:AB387)</f>
        <v>747.30499999999995</v>
      </c>
      <c r="AC388" s="37">
        <f t="shared" ref="AC388:AD388" si="642">SUM(AC384:AC387)</f>
        <v>796.70399999999984</v>
      </c>
      <c r="AD388" s="37">
        <f t="shared" si="642"/>
        <v>552.87400000000002</v>
      </c>
      <c r="AE388" s="35"/>
      <c r="AF388" s="35"/>
      <c r="AG388" s="35"/>
      <c r="AH388" s="35"/>
      <c r="AI388" s="35"/>
      <c r="AJ388" s="35"/>
      <c r="AK388" s="35"/>
      <c r="AL388" s="82"/>
      <c r="AM388" s="82"/>
      <c r="AN388" s="82"/>
      <c r="AO388" s="82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D388" s="186">
        <f t="shared" si="595"/>
        <v>380</v>
      </c>
    </row>
    <row r="389" spans="2:56" hidden="1" outlineLevel="2">
      <c r="B389" s="40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82"/>
      <c r="AM389" s="82"/>
      <c r="AN389" s="82"/>
      <c r="AO389" s="82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D389" s="186">
        <f t="shared" si="595"/>
        <v>381</v>
      </c>
    </row>
    <row r="390" spans="2:56" hidden="1" outlineLevel="2">
      <c r="B390" s="64" t="s">
        <v>85</v>
      </c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82"/>
      <c r="AM390" s="82"/>
      <c r="AN390" s="82"/>
      <c r="AO390" s="82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D390" s="186">
        <f t="shared" si="595"/>
        <v>382</v>
      </c>
    </row>
    <row r="391" spans="2:56" hidden="1" outlineLevel="2">
      <c r="B391" s="65" t="s">
        <v>74</v>
      </c>
      <c r="C391" s="35">
        <f t="shared" ref="C391:L392" si="643">SUMIFS($N391:$BB391,$N$5:$BB$5,C$5)</f>
        <v>79.7</v>
      </c>
      <c r="D391" s="35">
        <f t="shared" si="643"/>
        <v>140.1</v>
      </c>
      <c r="E391" s="35">
        <f t="shared" si="643"/>
        <v>140.5</v>
      </c>
      <c r="F391" s="35">
        <f t="shared" si="643"/>
        <v>176.4</v>
      </c>
      <c r="G391" s="35">
        <f t="shared" si="643"/>
        <v>40.338000000000001</v>
      </c>
      <c r="H391" s="35">
        <f t="shared" si="643"/>
        <v>0</v>
      </c>
      <c r="I391" s="35">
        <f t="shared" si="643"/>
        <v>0</v>
      </c>
      <c r="J391" s="35">
        <f t="shared" si="643"/>
        <v>0</v>
      </c>
      <c r="K391" s="35">
        <f t="shared" si="643"/>
        <v>0</v>
      </c>
      <c r="L391" s="35">
        <f t="shared" si="643"/>
        <v>0</v>
      </c>
      <c r="M391" s="35"/>
      <c r="N391" s="41">
        <v>0</v>
      </c>
      <c r="O391" s="41">
        <v>22.1</v>
      </c>
      <c r="P391" s="41">
        <v>25.6</v>
      </c>
      <c r="Q391" s="41">
        <v>32</v>
      </c>
      <c r="R391" s="41">
        <v>35.5</v>
      </c>
      <c r="S391" s="41">
        <v>31.1</v>
      </c>
      <c r="T391" s="41">
        <v>35.1</v>
      </c>
      <c r="U391" s="41">
        <v>38.4</v>
      </c>
      <c r="V391" s="41">
        <v>36.4</v>
      </c>
      <c r="W391" s="41">
        <v>32.5</v>
      </c>
      <c r="X391" s="41">
        <v>34.200000000000003</v>
      </c>
      <c r="Y391" s="41">
        <v>37.4</v>
      </c>
      <c r="Z391" s="41">
        <v>40</v>
      </c>
      <c r="AA391" s="41">
        <v>43.1</v>
      </c>
      <c r="AB391" s="41">
        <v>44.7</v>
      </c>
      <c r="AC391" s="41">
        <v>48.6</v>
      </c>
      <c r="AD391" s="43">
        <v>40.338000000000001</v>
      </c>
      <c r="AE391" s="35"/>
      <c r="AF391" s="35"/>
      <c r="AG391" s="35"/>
      <c r="AH391" s="35"/>
      <c r="AI391" s="35"/>
      <c r="AJ391" s="35"/>
      <c r="AK391" s="35"/>
      <c r="AL391" s="82"/>
      <c r="AM391" s="82"/>
      <c r="AN391" s="82"/>
      <c r="AO391" s="82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D391" s="186">
        <f t="shared" si="595"/>
        <v>383</v>
      </c>
    </row>
    <row r="392" spans="2:56" hidden="1" outlineLevel="2">
      <c r="B392" s="65" t="s">
        <v>78</v>
      </c>
      <c r="C392" s="35">
        <f t="shared" si="643"/>
        <v>849.52199999999993</v>
      </c>
      <c r="D392" s="35">
        <f t="shared" si="643"/>
        <v>1000.873</v>
      </c>
      <c r="E392" s="35">
        <f t="shared" si="643"/>
        <v>1035.018</v>
      </c>
      <c r="F392" s="35">
        <f t="shared" si="643"/>
        <v>1033.538</v>
      </c>
      <c r="G392" s="35">
        <f t="shared" si="643"/>
        <v>174.63900000000001</v>
      </c>
      <c r="H392" s="35">
        <f t="shared" si="643"/>
        <v>0</v>
      </c>
      <c r="I392" s="35">
        <f t="shared" si="643"/>
        <v>0</v>
      </c>
      <c r="J392" s="35">
        <f t="shared" si="643"/>
        <v>0</v>
      </c>
      <c r="K392" s="35">
        <f t="shared" si="643"/>
        <v>0</v>
      </c>
      <c r="L392" s="35">
        <f t="shared" si="643"/>
        <v>0</v>
      </c>
      <c r="M392" s="35"/>
      <c r="N392" s="41">
        <v>195.09200000000001</v>
      </c>
      <c r="O392" s="41">
        <v>185.85599999999999</v>
      </c>
      <c r="P392" s="41">
        <v>228.53299999999999</v>
      </c>
      <c r="Q392" s="41">
        <v>240.041</v>
      </c>
      <c r="R392" s="41">
        <v>257.25900000000001</v>
      </c>
      <c r="S392" s="41">
        <v>240.38</v>
      </c>
      <c r="T392" s="41">
        <v>254.827</v>
      </c>
      <c r="U392" s="41">
        <v>248.40700000000001</v>
      </c>
      <c r="V392" s="41">
        <v>251.571</v>
      </c>
      <c r="W392" s="41">
        <v>244.602</v>
      </c>
      <c r="X392" s="41">
        <v>246.80600000000001</v>
      </c>
      <c r="Y392" s="41">
        <v>292.03899999999999</v>
      </c>
      <c r="Z392" s="41">
        <v>275.39999999999998</v>
      </c>
      <c r="AA392" s="41">
        <v>258.37799999999999</v>
      </c>
      <c r="AB392" s="41">
        <v>259.863</v>
      </c>
      <c r="AC392" s="41">
        <v>239.89699999999999</v>
      </c>
      <c r="AD392" s="47">
        <f>158.512+16.127</f>
        <v>174.63900000000001</v>
      </c>
      <c r="AE392" s="35"/>
      <c r="AF392" s="35"/>
      <c r="AG392" s="35"/>
      <c r="AH392" s="35"/>
      <c r="AI392" s="35"/>
      <c r="AJ392" s="35"/>
      <c r="AK392" s="35"/>
      <c r="AL392" s="82"/>
      <c r="AM392" s="82"/>
      <c r="AN392" s="82"/>
      <c r="AO392" s="82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D392" s="186">
        <f t="shared" si="595"/>
        <v>384</v>
      </c>
    </row>
    <row r="393" spans="2:56" hidden="1" outlineLevel="2">
      <c r="B393" s="66" t="s">
        <v>86</v>
      </c>
      <c r="C393" s="37">
        <f t="shared" ref="C393:L393" si="644">SUM(C391:C392)</f>
        <v>929.22199999999998</v>
      </c>
      <c r="D393" s="37">
        <f t="shared" si="644"/>
        <v>1140.973</v>
      </c>
      <c r="E393" s="37">
        <f t="shared" si="644"/>
        <v>1175.518</v>
      </c>
      <c r="F393" s="37">
        <f t="shared" si="644"/>
        <v>1209.9380000000001</v>
      </c>
      <c r="G393" s="37">
        <f t="shared" si="644"/>
        <v>214.977</v>
      </c>
      <c r="H393" s="37">
        <f t="shared" si="644"/>
        <v>0</v>
      </c>
      <c r="I393" s="37">
        <f t="shared" si="644"/>
        <v>0</v>
      </c>
      <c r="J393" s="37">
        <f t="shared" si="644"/>
        <v>0</v>
      </c>
      <c r="K393" s="37">
        <f t="shared" si="644"/>
        <v>0</v>
      </c>
      <c r="L393" s="37">
        <f t="shared" si="644"/>
        <v>0</v>
      </c>
      <c r="M393" s="35"/>
      <c r="N393" s="37">
        <f t="shared" ref="N393:AD393" si="645">SUM(N391:N392)</f>
        <v>195.09200000000001</v>
      </c>
      <c r="O393" s="37">
        <f t="shared" si="645"/>
        <v>207.95599999999999</v>
      </c>
      <c r="P393" s="37">
        <f t="shared" si="645"/>
        <v>254.13299999999998</v>
      </c>
      <c r="Q393" s="37">
        <f t="shared" si="645"/>
        <v>272.041</v>
      </c>
      <c r="R393" s="37">
        <f t="shared" si="645"/>
        <v>292.75900000000001</v>
      </c>
      <c r="S393" s="37">
        <f t="shared" si="645"/>
        <v>271.48</v>
      </c>
      <c r="T393" s="37">
        <f t="shared" si="645"/>
        <v>289.92700000000002</v>
      </c>
      <c r="U393" s="37">
        <f t="shared" si="645"/>
        <v>286.80700000000002</v>
      </c>
      <c r="V393" s="37">
        <f t="shared" si="645"/>
        <v>287.971</v>
      </c>
      <c r="W393" s="37">
        <f t="shared" si="645"/>
        <v>277.10199999999998</v>
      </c>
      <c r="X393" s="37">
        <f t="shared" si="645"/>
        <v>281.00600000000003</v>
      </c>
      <c r="Y393" s="37">
        <f t="shared" si="645"/>
        <v>329.43899999999996</v>
      </c>
      <c r="Z393" s="37">
        <f t="shared" si="645"/>
        <v>315.39999999999998</v>
      </c>
      <c r="AA393" s="37">
        <f t="shared" si="645"/>
        <v>301.47800000000001</v>
      </c>
      <c r="AB393" s="37">
        <f t="shared" si="645"/>
        <v>304.56299999999999</v>
      </c>
      <c r="AC393" s="37">
        <f t="shared" si="645"/>
        <v>288.49700000000001</v>
      </c>
      <c r="AD393" s="37">
        <f t="shared" si="645"/>
        <v>214.977</v>
      </c>
      <c r="AE393" s="35"/>
      <c r="AF393" s="35"/>
      <c r="AG393" s="35"/>
      <c r="AH393" s="35"/>
      <c r="AI393" s="35"/>
      <c r="AJ393" s="35"/>
      <c r="AK393" s="35"/>
      <c r="AL393" s="82"/>
      <c r="AM393" s="82"/>
      <c r="AN393" s="82"/>
      <c r="AO393" s="82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D393" s="186">
        <f t="shared" si="595"/>
        <v>385</v>
      </c>
    </row>
    <row r="394" spans="2:56" hidden="1" outlineLevel="2"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82"/>
      <c r="AM394" s="82"/>
      <c r="AN394" s="82"/>
      <c r="AO394" s="82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D394" s="186">
        <f t="shared" si="595"/>
        <v>386</v>
      </c>
    </row>
    <row r="395" spans="2:56" hidden="1" outlineLevel="2">
      <c r="B395" s="40" t="s">
        <v>80</v>
      </c>
      <c r="C395" s="35">
        <f t="shared" ref="C395:L397" si="646">SUMIFS($N395:$BB395,$N$5:$BB$5,C$5)</f>
        <v>769.72500000000002</v>
      </c>
      <c r="D395" s="35">
        <f t="shared" si="646"/>
        <v>1111.501</v>
      </c>
      <c r="E395" s="35">
        <f t="shared" si="646"/>
        <v>1070.3220000000001</v>
      </c>
      <c r="F395" s="35">
        <f t="shared" si="646"/>
        <v>1607.9439999999997</v>
      </c>
      <c r="G395" s="35">
        <f t="shared" si="646"/>
        <v>401.21600000000001</v>
      </c>
      <c r="H395" s="35">
        <f t="shared" si="646"/>
        <v>0</v>
      </c>
      <c r="I395" s="35">
        <f t="shared" si="646"/>
        <v>0</v>
      </c>
      <c r="J395" s="35">
        <f t="shared" si="646"/>
        <v>0</v>
      </c>
      <c r="K395" s="35">
        <f t="shared" si="646"/>
        <v>0</v>
      </c>
      <c r="L395" s="35">
        <f t="shared" si="646"/>
        <v>0</v>
      </c>
      <c r="M395" s="35"/>
      <c r="N395" s="41">
        <v>127.20399999999999</v>
      </c>
      <c r="O395" s="41">
        <v>182.21699999999998</v>
      </c>
      <c r="P395" s="41">
        <v>229.05300000000003</v>
      </c>
      <c r="Q395" s="41">
        <v>231.25099999999998</v>
      </c>
      <c r="R395" s="41">
        <v>239.05199999999999</v>
      </c>
      <c r="S395" s="41">
        <v>278.38799999999998</v>
      </c>
      <c r="T395" s="41">
        <v>307.79700000000003</v>
      </c>
      <c r="U395" s="41">
        <v>286.26400000000001</v>
      </c>
      <c r="V395" s="41">
        <v>276.05099999999999</v>
      </c>
      <c r="W395" s="41">
        <v>266.95600000000002</v>
      </c>
      <c r="X395" s="41">
        <v>261.93099999999998</v>
      </c>
      <c r="Y395" s="41">
        <v>265.38400000000001</v>
      </c>
      <c r="Z395" s="41">
        <v>316.53699999999998</v>
      </c>
      <c r="AA395" s="41">
        <v>367.92099999999999</v>
      </c>
      <c r="AB395" s="41">
        <v>439.97800000000001</v>
      </c>
      <c r="AC395" s="41">
        <v>483.50799999999987</v>
      </c>
      <c r="AD395" s="41">
        <v>401.21600000000001</v>
      </c>
      <c r="AE395" s="35"/>
      <c r="AF395" s="35"/>
      <c r="AG395" s="35"/>
      <c r="AH395" s="35"/>
      <c r="AI395" s="35"/>
      <c r="AJ395" s="35"/>
      <c r="AK395" s="35"/>
      <c r="AL395" s="82"/>
      <c r="AM395" s="82"/>
      <c r="AN395" s="82"/>
      <c r="AO395" s="82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D395" s="186">
        <f t="shared" si="595"/>
        <v>387</v>
      </c>
    </row>
    <row r="396" spans="2:56" hidden="1" outlineLevel="2">
      <c r="B396" s="40" t="s">
        <v>81</v>
      </c>
      <c r="C396" s="35">
        <f t="shared" si="646"/>
        <v>2086.828</v>
      </c>
      <c r="D396" s="35">
        <f t="shared" si="646"/>
        <v>2463.6400000000003</v>
      </c>
      <c r="E396" s="35">
        <f t="shared" si="646"/>
        <v>2083.9270000000001</v>
      </c>
      <c r="F396" s="35">
        <f t="shared" si="646"/>
        <v>2251.8990000000003</v>
      </c>
      <c r="G396" s="35">
        <f t="shared" si="646"/>
        <v>366.63499999999999</v>
      </c>
      <c r="H396" s="35">
        <f t="shared" si="646"/>
        <v>0</v>
      </c>
      <c r="I396" s="35">
        <f t="shared" si="646"/>
        <v>0</v>
      </c>
      <c r="J396" s="35">
        <f t="shared" si="646"/>
        <v>0</v>
      </c>
      <c r="K396" s="35">
        <f t="shared" si="646"/>
        <v>0</v>
      </c>
      <c r="L396" s="35">
        <f t="shared" si="646"/>
        <v>0</v>
      </c>
      <c r="M396" s="35"/>
      <c r="N396" s="41">
        <v>452.95100000000002</v>
      </c>
      <c r="O396" s="41">
        <v>451.786</v>
      </c>
      <c r="P396" s="41">
        <v>572.25599999999997</v>
      </c>
      <c r="Q396" s="41">
        <v>609.83500000000004</v>
      </c>
      <c r="R396" s="41">
        <v>655.29500000000007</v>
      </c>
      <c r="S396" s="41">
        <v>628.04300000000001</v>
      </c>
      <c r="T396" s="41">
        <v>636.06799999999998</v>
      </c>
      <c r="U396" s="41">
        <v>544.23400000000004</v>
      </c>
      <c r="V396" s="41">
        <v>513.70899999999995</v>
      </c>
      <c r="W396" s="41">
        <v>498.61799999999999</v>
      </c>
      <c r="X396" s="41">
        <v>513.32600000000002</v>
      </c>
      <c r="Y396" s="41">
        <v>558.274</v>
      </c>
      <c r="Z396" s="41">
        <v>503.29899999999998</v>
      </c>
      <c r="AA396" s="41">
        <v>535.01700000000005</v>
      </c>
      <c r="AB396" s="41">
        <v>611.89</v>
      </c>
      <c r="AC396" s="41">
        <v>601.69299999999998</v>
      </c>
      <c r="AD396" s="41">
        <v>366.63499999999999</v>
      </c>
      <c r="AE396" s="35"/>
      <c r="AF396" s="35"/>
      <c r="AG396" s="35"/>
      <c r="AH396" s="35"/>
      <c r="AI396" s="35"/>
      <c r="AJ396" s="35"/>
      <c r="AK396" s="35"/>
      <c r="AL396" s="82"/>
      <c r="AM396" s="82"/>
      <c r="AN396" s="82"/>
      <c r="AO396" s="82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D396" s="186">
        <f t="shared" si="595"/>
        <v>388</v>
      </c>
    </row>
    <row r="397" spans="2:56" hidden="1" outlineLevel="2">
      <c r="B397" s="40" t="s">
        <v>82</v>
      </c>
      <c r="C397" s="37">
        <f t="shared" si="646"/>
        <v>2856.5529999999999</v>
      </c>
      <c r="D397" s="37">
        <f t="shared" si="646"/>
        <v>3575.1410000000001</v>
      </c>
      <c r="E397" s="37">
        <f t="shared" si="646"/>
        <v>3154.2490000000003</v>
      </c>
      <c r="F397" s="37">
        <f t="shared" si="646"/>
        <v>3859.8429999999998</v>
      </c>
      <c r="G397" s="37">
        <f t="shared" si="646"/>
        <v>767.851</v>
      </c>
      <c r="H397" s="37">
        <f t="shared" si="646"/>
        <v>0</v>
      </c>
      <c r="I397" s="37">
        <f t="shared" si="646"/>
        <v>0</v>
      </c>
      <c r="J397" s="37">
        <f t="shared" si="646"/>
        <v>0</v>
      </c>
      <c r="K397" s="37">
        <f t="shared" si="646"/>
        <v>0</v>
      </c>
      <c r="L397" s="37">
        <f t="shared" si="646"/>
        <v>0</v>
      </c>
      <c r="M397" s="35"/>
      <c r="N397" s="37">
        <f>SUM(N395:N396)</f>
        <v>580.15499999999997</v>
      </c>
      <c r="O397" s="37">
        <f t="shared" ref="O397:AD397" si="647">SUM(O395:O396)</f>
        <v>634.00299999999993</v>
      </c>
      <c r="P397" s="37">
        <f t="shared" si="647"/>
        <v>801.30899999999997</v>
      </c>
      <c r="Q397" s="37">
        <f t="shared" si="647"/>
        <v>841.08600000000001</v>
      </c>
      <c r="R397" s="37">
        <f t="shared" si="647"/>
        <v>894.34700000000009</v>
      </c>
      <c r="S397" s="37">
        <f t="shared" si="647"/>
        <v>906.43100000000004</v>
      </c>
      <c r="T397" s="37">
        <f t="shared" si="647"/>
        <v>943.86500000000001</v>
      </c>
      <c r="U397" s="37">
        <f t="shared" si="647"/>
        <v>830.49800000000005</v>
      </c>
      <c r="V397" s="37">
        <f t="shared" si="647"/>
        <v>789.76</v>
      </c>
      <c r="W397" s="37">
        <f t="shared" si="647"/>
        <v>765.57400000000007</v>
      </c>
      <c r="X397" s="37">
        <f t="shared" si="647"/>
        <v>775.25700000000006</v>
      </c>
      <c r="Y397" s="37">
        <f t="shared" si="647"/>
        <v>823.65800000000002</v>
      </c>
      <c r="Z397" s="37">
        <f t="shared" si="647"/>
        <v>819.83600000000001</v>
      </c>
      <c r="AA397" s="37">
        <f t="shared" si="647"/>
        <v>902.9380000000001</v>
      </c>
      <c r="AB397" s="37">
        <f t="shared" si="647"/>
        <v>1051.8679999999999</v>
      </c>
      <c r="AC397" s="37">
        <f t="shared" si="647"/>
        <v>1085.2009999999998</v>
      </c>
      <c r="AD397" s="37">
        <f t="shared" si="647"/>
        <v>767.851</v>
      </c>
      <c r="AE397" s="35"/>
      <c r="AF397" s="35"/>
      <c r="AG397" s="35"/>
      <c r="AH397" s="35"/>
      <c r="AI397" s="35"/>
      <c r="AJ397" s="35"/>
      <c r="AK397" s="35"/>
      <c r="AL397" s="82"/>
      <c r="AM397" s="82"/>
      <c r="AN397" s="82"/>
      <c r="AO397" s="82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D397" s="186">
        <f t="shared" si="595"/>
        <v>389</v>
      </c>
    </row>
    <row r="398" spans="2:56" hidden="1" outlineLevel="2"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82"/>
      <c r="AM398" s="82"/>
      <c r="AN398" s="82"/>
      <c r="AO398" s="82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D398" s="186">
        <f t="shared" si="595"/>
        <v>390</v>
      </c>
    </row>
    <row r="399" spans="2:56" hidden="1" outlineLevel="2">
      <c r="B399" s="39" t="s">
        <v>52</v>
      </c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82"/>
      <c r="AM399" s="82"/>
      <c r="AN399" s="82"/>
      <c r="AO399" s="82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D399" s="186">
        <f t="shared" si="595"/>
        <v>391</v>
      </c>
    </row>
    <row r="400" spans="2:56" hidden="1" outlineLevel="2">
      <c r="B400" s="64" t="s">
        <v>77</v>
      </c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82"/>
      <c r="AM400" s="82"/>
      <c r="AN400" s="82"/>
      <c r="AO400" s="82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D400" s="186">
        <f t="shared" si="595"/>
        <v>392</v>
      </c>
    </row>
    <row r="401" spans="1:56" hidden="1" outlineLevel="2">
      <c r="B401" s="65" t="s">
        <v>72</v>
      </c>
      <c r="C401" s="35">
        <f t="shared" ref="C401:L404" si="648">SUMIFS($N401:$BB401,$N$5:$BB$5,C$5)</f>
        <v>331.13400000000001</v>
      </c>
      <c r="D401" s="35">
        <f t="shared" si="648"/>
        <v>300.92</v>
      </c>
      <c r="E401" s="35">
        <f t="shared" si="648"/>
        <v>160.964</v>
      </c>
      <c r="F401" s="35">
        <f t="shared" si="648"/>
        <v>94.838999999999999</v>
      </c>
      <c r="G401" s="35">
        <f t="shared" si="648"/>
        <v>-27.847000000000001</v>
      </c>
      <c r="H401" s="35">
        <f t="shared" si="648"/>
        <v>0</v>
      </c>
      <c r="I401" s="35">
        <f t="shared" si="648"/>
        <v>0</v>
      </c>
      <c r="J401" s="35">
        <f t="shared" si="648"/>
        <v>0</v>
      </c>
      <c r="K401" s="35">
        <f t="shared" si="648"/>
        <v>0</v>
      </c>
      <c r="L401" s="35">
        <f t="shared" si="648"/>
        <v>0</v>
      </c>
      <c r="M401" s="35"/>
      <c r="N401" s="41">
        <v>69.786000000000001</v>
      </c>
      <c r="O401" s="41">
        <v>68.129000000000005</v>
      </c>
      <c r="P401" s="41">
        <v>90.682000000000002</v>
      </c>
      <c r="Q401" s="41">
        <v>102.53700000000001</v>
      </c>
      <c r="R401" s="41">
        <v>93.186000000000007</v>
      </c>
      <c r="S401" s="41">
        <v>71.503</v>
      </c>
      <c r="T401" s="41">
        <v>75.867999999999995</v>
      </c>
      <c r="U401" s="41">
        <v>60.363</v>
      </c>
      <c r="V401" s="41">
        <v>46.723999999999997</v>
      </c>
      <c r="W401" s="41">
        <v>33.478999999999999</v>
      </c>
      <c r="X401" s="41">
        <v>39.909999999999997</v>
      </c>
      <c r="Y401" s="41">
        <v>40.850999999999999</v>
      </c>
      <c r="Z401" s="41">
        <v>-6.6539999999999999</v>
      </c>
      <c r="AA401" s="41">
        <v>27.614000000000001</v>
      </c>
      <c r="AB401" s="41">
        <v>40.506999999999998</v>
      </c>
      <c r="AC401" s="41">
        <v>33.372</v>
      </c>
      <c r="AD401" s="41">
        <v>-27.847000000000001</v>
      </c>
      <c r="AE401" s="35"/>
      <c r="AF401" s="35"/>
      <c r="AG401" s="35"/>
      <c r="AH401" s="35"/>
      <c r="AI401" s="35"/>
      <c r="AJ401" s="35"/>
      <c r="AK401" s="35"/>
      <c r="AL401" s="82"/>
      <c r="AM401" s="82"/>
      <c r="AN401" s="82"/>
      <c r="AO401" s="82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D401" s="186">
        <f t="shared" si="595"/>
        <v>393</v>
      </c>
    </row>
    <row r="402" spans="1:56" hidden="1" outlineLevel="2">
      <c r="B402" s="65" t="s">
        <v>73</v>
      </c>
      <c r="C402" s="35">
        <f t="shared" si="648"/>
        <v>255.07477219999998</v>
      </c>
      <c r="D402" s="35">
        <f t="shared" si="648"/>
        <v>271.31180000000001</v>
      </c>
      <c r="E402" s="35">
        <f t="shared" si="648"/>
        <v>101.86959999999999</v>
      </c>
      <c r="F402" s="35">
        <f t="shared" si="648"/>
        <v>128.92020000000002</v>
      </c>
      <c r="G402" s="35">
        <f t="shared" si="648"/>
        <v>20.886400000000002</v>
      </c>
      <c r="H402" s="35">
        <f t="shared" si="648"/>
        <v>0</v>
      </c>
      <c r="I402" s="35">
        <f t="shared" si="648"/>
        <v>0</v>
      </c>
      <c r="J402" s="35">
        <f t="shared" si="648"/>
        <v>0</v>
      </c>
      <c r="K402" s="35">
        <f t="shared" si="648"/>
        <v>0</v>
      </c>
      <c r="L402" s="35">
        <f t="shared" si="648"/>
        <v>0</v>
      </c>
      <c r="M402" s="35"/>
      <c r="N402" s="49">
        <f t="shared" ref="N402:AD402" si="649">+N412-N408-N403-N404</f>
        <v>47.4609722</v>
      </c>
      <c r="O402" s="49">
        <f t="shared" si="649"/>
        <v>59.433600000000006</v>
      </c>
      <c r="P402" s="49">
        <f t="shared" si="649"/>
        <v>73.706399999999988</v>
      </c>
      <c r="Q402" s="49">
        <f t="shared" si="649"/>
        <v>74.473799999999997</v>
      </c>
      <c r="R402" s="49">
        <f t="shared" si="649"/>
        <v>73.601600000000019</v>
      </c>
      <c r="S402" s="49">
        <f t="shared" si="649"/>
        <v>80.162400000000005</v>
      </c>
      <c r="T402" s="49">
        <f t="shared" si="649"/>
        <v>66.772599999999997</v>
      </c>
      <c r="U402" s="49">
        <f t="shared" si="649"/>
        <v>50.775199999999998</v>
      </c>
      <c r="V402" s="49">
        <f t="shared" si="649"/>
        <v>36.852800000000002</v>
      </c>
      <c r="W402" s="49">
        <f t="shared" si="649"/>
        <v>32.648799999999994</v>
      </c>
      <c r="X402" s="49">
        <f t="shared" si="649"/>
        <v>19.486800000000002</v>
      </c>
      <c r="Y402" s="49">
        <f t="shared" si="649"/>
        <v>12.881199999999994</v>
      </c>
      <c r="Z402" s="49">
        <f t="shared" si="649"/>
        <v>17.054600000000004</v>
      </c>
      <c r="AA402" s="49">
        <f t="shared" si="649"/>
        <v>23.756799999999995</v>
      </c>
      <c r="AB402" s="49">
        <f t="shared" si="649"/>
        <v>41.783400000000007</v>
      </c>
      <c r="AC402" s="49">
        <f t="shared" si="649"/>
        <v>46.325400000000016</v>
      </c>
      <c r="AD402" s="49">
        <f t="shared" si="649"/>
        <v>20.886400000000002</v>
      </c>
      <c r="AE402" s="35"/>
      <c r="AF402" s="35"/>
      <c r="AG402" s="35"/>
      <c r="AH402" s="35"/>
      <c r="AI402" s="35"/>
      <c r="AJ402" s="35"/>
      <c r="AK402" s="35"/>
      <c r="AL402" s="82"/>
      <c r="AM402" s="82"/>
      <c r="AN402" s="82"/>
      <c r="AO402" s="82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D402" s="186">
        <f t="shared" si="595"/>
        <v>394</v>
      </c>
    </row>
    <row r="403" spans="1:56" hidden="1" outlineLevel="2">
      <c r="B403" s="65" t="s">
        <v>75</v>
      </c>
      <c r="C403" s="35">
        <f t="shared" si="648"/>
        <v>0</v>
      </c>
      <c r="D403" s="35">
        <f t="shared" si="648"/>
        <v>26.024000000000001</v>
      </c>
      <c r="E403" s="35">
        <f t="shared" si="648"/>
        <v>55.76400000000001</v>
      </c>
      <c r="F403" s="35">
        <f t="shared" si="648"/>
        <v>81.697400000000002</v>
      </c>
      <c r="G403" s="35">
        <f t="shared" si="648"/>
        <v>0</v>
      </c>
      <c r="H403" s="35">
        <f t="shared" si="648"/>
        <v>0</v>
      </c>
      <c r="I403" s="35">
        <f t="shared" si="648"/>
        <v>0</v>
      </c>
      <c r="J403" s="35">
        <f t="shared" si="648"/>
        <v>0</v>
      </c>
      <c r="K403" s="35">
        <f t="shared" si="648"/>
        <v>0</v>
      </c>
      <c r="L403" s="35">
        <f t="shared" si="648"/>
        <v>0</v>
      </c>
      <c r="M403" s="35"/>
      <c r="N403" s="47">
        <f t="shared" ref="N403:AD403" si="650">N386*0.2</f>
        <v>0</v>
      </c>
      <c r="O403" s="47">
        <f t="shared" si="650"/>
        <v>0</v>
      </c>
      <c r="P403" s="47">
        <f t="shared" si="650"/>
        <v>0</v>
      </c>
      <c r="Q403" s="47">
        <f t="shared" si="650"/>
        <v>0</v>
      </c>
      <c r="R403" s="47">
        <f t="shared" si="650"/>
        <v>0</v>
      </c>
      <c r="S403" s="47">
        <f t="shared" si="650"/>
        <v>3.0250000000000004</v>
      </c>
      <c r="T403" s="47">
        <f t="shared" si="650"/>
        <v>12.319000000000001</v>
      </c>
      <c r="U403" s="47">
        <f t="shared" si="650"/>
        <v>10.68</v>
      </c>
      <c r="V403" s="47">
        <f t="shared" si="650"/>
        <v>12.425800000000001</v>
      </c>
      <c r="W403" s="47">
        <f t="shared" si="650"/>
        <v>13.532200000000001</v>
      </c>
      <c r="X403" s="47">
        <f t="shared" si="650"/>
        <v>14.981800000000002</v>
      </c>
      <c r="Y403" s="47">
        <f t="shared" si="650"/>
        <v>14.824200000000003</v>
      </c>
      <c r="Z403" s="47">
        <f t="shared" si="650"/>
        <v>16.625600000000002</v>
      </c>
      <c r="AA403" s="47">
        <f t="shared" si="650"/>
        <v>18.727399999999999</v>
      </c>
      <c r="AB403" s="47">
        <f t="shared" si="650"/>
        <v>22.644400000000001</v>
      </c>
      <c r="AC403" s="47">
        <f t="shared" si="650"/>
        <v>23.700000000000003</v>
      </c>
      <c r="AD403" s="47">
        <f t="shared" si="650"/>
        <v>0</v>
      </c>
      <c r="AE403" s="35"/>
      <c r="AF403" s="35"/>
      <c r="AG403" s="35"/>
      <c r="AH403" s="35"/>
      <c r="AI403" s="35"/>
      <c r="AJ403" s="35"/>
      <c r="AK403" s="35"/>
      <c r="AL403" s="82"/>
      <c r="AM403" s="82"/>
      <c r="AN403" s="82"/>
      <c r="AO403" s="82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D403" s="186">
        <f t="shared" si="595"/>
        <v>395</v>
      </c>
    </row>
    <row r="404" spans="1:56" hidden="1" outlineLevel="2">
      <c r="B404" s="65" t="s">
        <v>65</v>
      </c>
      <c r="C404" s="35">
        <f t="shared" si="648"/>
        <v>14.025227799999996</v>
      </c>
      <c r="D404" s="35">
        <f t="shared" si="648"/>
        <v>11.356200000000001</v>
      </c>
      <c r="E404" s="35">
        <f t="shared" si="648"/>
        <v>4.9403999999999924</v>
      </c>
      <c r="F404" s="35">
        <f t="shared" si="648"/>
        <v>7.6113999999999731</v>
      </c>
      <c r="G404" s="35">
        <f t="shared" si="648"/>
        <v>2.8269999999999982</v>
      </c>
      <c r="H404" s="35">
        <f t="shared" si="648"/>
        <v>0</v>
      </c>
      <c r="I404" s="35">
        <f t="shared" si="648"/>
        <v>0</v>
      </c>
      <c r="J404" s="35">
        <f t="shared" si="648"/>
        <v>0</v>
      </c>
      <c r="K404" s="35">
        <f t="shared" si="648"/>
        <v>0</v>
      </c>
      <c r="L404" s="35">
        <f t="shared" si="648"/>
        <v>0</v>
      </c>
      <c r="M404" s="35"/>
      <c r="N404" s="47">
        <f t="shared" ref="N404:AD404" si="651">N387*0.2</f>
        <v>4.4610277999999992</v>
      </c>
      <c r="O404" s="47">
        <f t="shared" si="651"/>
        <v>1.9033999999999978</v>
      </c>
      <c r="P404" s="47">
        <f t="shared" si="651"/>
        <v>2.3306000000000027</v>
      </c>
      <c r="Q404" s="47">
        <f t="shared" si="651"/>
        <v>5.3301999999999969</v>
      </c>
      <c r="R404" s="47">
        <f t="shared" si="651"/>
        <v>3.4303999999999975</v>
      </c>
      <c r="S404" s="47">
        <f t="shared" si="651"/>
        <v>3.1525999999999943</v>
      </c>
      <c r="T404" s="47">
        <f t="shared" si="651"/>
        <v>3.0204000000000066</v>
      </c>
      <c r="U404" s="47">
        <f t="shared" si="651"/>
        <v>1.752800000000005</v>
      </c>
      <c r="V404" s="47">
        <f t="shared" si="651"/>
        <v>0.74439999999999462</v>
      </c>
      <c r="W404" s="47">
        <f t="shared" si="651"/>
        <v>1.2590000000000032</v>
      </c>
      <c r="X404" s="47">
        <f t="shared" si="651"/>
        <v>1.6043999999999927</v>
      </c>
      <c r="Y404" s="47">
        <f t="shared" si="651"/>
        <v>1.3326000000000022</v>
      </c>
      <c r="Z404" s="47">
        <f t="shared" si="651"/>
        <v>1.3017999999999945</v>
      </c>
      <c r="AA404" s="47">
        <f t="shared" si="651"/>
        <v>1.9168000000000007</v>
      </c>
      <c r="AB404" s="47">
        <f t="shared" si="651"/>
        <v>1.7911999999999979</v>
      </c>
      <c r="AC404" s="47">
        <f t="shared" si="651"/>
        <v>2.6015999999999795</v>
      </c>
      <c r="AD404" s="47">
        <f t="shared" si="651"/>
        <v>2.8269999999999982</v>
      </c>
      <c r="AE404" s="35"/>
      <c r="AF404" s="35"/>
      <c r="AG404" s="35"/>
      <c r="AH404" s="35"/>
      <c r="AI404" s="35"/>
      <c r="AJ404" s="35"/>
      <c r="AK404" s="35"/>
      <c r="AL404" s="82"/>
      <c r="AM404" s="82"/>
      <c r="AN404" s="82"/>
      <c r="AO404" s="82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D404" s="186">
        <f t="shared" si="595"/>
        <v>396</v>
      </c>
    </row>
    <row r="405" spans="1:56" hidden="1" outlineLevel="2">
      <c r="B405" s="66" t="s">
        <v>76</v>
      </c>
      <c r="C405" s="37">
        <f>SUM(C401:C404)</f>
        <v>600.23400000000004</v>
      </c>
      <c r="D405" s="37">
        <f t="shared" ref="D405" si="652">SUM(D401:D404)</f>
        <v>609.61200000000008</v>
      </c>
      <c r="E405" s="37">
        <f t="shared" ref="E405" si="653">SUM(E401:E404)</f>
        <v>323.53800000000001</v>
      </c>
      <c r="F405" s="37">
        <f t="shared" ref="F405" si="654">SUM(F401:F404)</f>
        <v>313.06799999999998</v>
      </c>
      <c r="G405" s="37">
        <f t="shared" ref="G405" si="655">SUM(G401:G404)</f>
        <v>-4.1336000000000013</v>
      </c>
      <c r="H405" s="37">
        <f t="shared" ref="H405" si="656">SUM(H401:H404)</f>
        <v>0</v>
      </c>
      <c r="I405" s="37">
        <f t="shared" ref="I405" si="657">SUM(I401:I404)</f>
        <v>0</v>
      </c>
      <c r="J405" s="37">
        <f t="shared" ref="J405" si="658">SUM(J401:J404)</f>
        <v>0</v>
      </c>
      <c r="K405" s="37">
        <f t="shared" ref="K405" si="659">SUM(K401:K404)</f>
        <v>0</v>
      </c>
      <c r="L405" s="37">
        <f t="shared" ref="L405" si="660">SUM(L401:L404)</f>
        <v>0</v>
      </c>
      <c r="M405" s="37"/>
      <c r="N405" s="37">
        <f t="shared" ref="N405" si="661">SUM(N401:N404)</f>
        <v>121.708</v>
      </c>
      <c r="O405" s="37">
        <f t="shared" ref="O405" si="662">SUM(O401:O404)</f>
        <v>129.46600000000001</v>
      </c>
      <c r="P405" s="37">
        <f t="shared" ref="P405" si="663">SUM(P401:P404)</f>
        <v>166.71899999999999</v>
      </c>
      <c r="Q405" s="37">
        <f t="shared" ref="Q405" si="664">SUM(Q401:Q404)</f>
        <v>182.34100000000001</v>
      </c>
      <c r="R405" s="37">
        <f t="shared" ref="R405" si="665">SUM(R401:R404)</f>
        <v>170.21800000000002</v>
      </c>
      <c r="S405" s="37">
        <f t="shared" ref="S405" si="666">SUM(S401:S404)</f>
        <v>157.84300000000002</v>
      </c>
      <c r="T405" s="37">
        <f t="shared" ref="T405" si="667">SUM(T401:T404)</f>
        <v>157.97999999999999</v>
      </c>
      <c r="U405" s="37">
        <f t="shared" ref="U405" si="668">SUM(U401:U404)</f>
        <v>123.571</v>
      </c>
      <c r="V405" s="37">
        <f t="shared" ref="V405" si="669">SUM(V401:V404)</f>
        <v>96.746999999999986</v>
      </c>
      <c r="W405" s="37">
        <f t="shared" ref="W405" si="670">SUM(W401:W404)</f>
        <v>80.918999999999997</v>
      </c>
      <c r="X405" s="37">
        <f t="shared" ref="X405" si="671">SUM(X401:X404)</f>
        <v>75.983000000000004</v>
      </c>
      <c r="Y405" s="37">
        <f t="shared" ref="Y405" si="672">SUM(Y401:Y404)</f>
        <v>69.888999999999996</v>
      </c>
      <c r="Z405" s="37">
        <f t="shared" ref="Z405" si="673">SUM(Z401:Z404)</f>
        <v>28.327999999999999</v>
      </c>
      <c r="AA405" s="37">
        <f t="shared" ref="AA405" si="674">SUM(AA401:AA404)</f>
        <v>72.014999999999986</v>
      </c>
      <c r="AB405" s="37">
        <f t="shared" ref="AB405" si="675">SUM(AB401:AB404)</f>
        <v>106.72600000000001</v>
      </c>
      <c r="AC405" s="37">
        <f t="shared" ref="AC405:AD405" si="676">SUM(AC401:AC404)</f>
        <v>105.999</v>
      </c>
      <c r="AD405" s="37">
        <f t="shared" si="676"/>
        <v>-4.1336000000000013</v>
      </c>
      <c r="AE405" s="35"/>
      <c r="AF405" s="35"/>
      <c r="AG405" s="35"/>
      <c r="AH405" s="35"/>
      <c r="AI405" s="35"/>
      <c r="AJ405" s="35"/>
      <c r="AK405" s="35"/>
      <c r="AL405" s="82"/>
      <c r="AM405" s="82"/>
      <c r="AN405" s="82"/>
      <c r="AO405" s="82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D405" s="186">
        <f t="shared" si="595"/>
        <v>397</v>
      </c>
    </row>
    <row r="406" spans="1:56" hidden="1" outlineLevel="2">
      <c r="B406" s="40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82"/>
      <c r="AM406" s="82"/>
      <c r="AN406" s="82"/>
      <c r="AO406" s="82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D406" s="186">
        <f t="shared" si="595"/>
        <v>398</v>
      </c>
    </row>
    <row r="407" spans="1:56" hidden="1" outlineLevel="2">
      <c r="B407" s="64" t="s">
        <v>85</v>
      </c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82"/>
      <c r="AM407" s="82"/>
      <c r="AN407" s="82"/>
      <c r="AO407" s="82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D407" s="186">
        <f t="shared" si="595"/>
        <v>399</v>
      </c>
    </row>
    <row r="408" spans="1:56" hidden="1" outlineLevel="2">
      <c r="B408" s="65" t="s">
        <v>74</v>
      </c>
      <c r="C408" s="35">
        <f t="shared" ref="C408:L409" si="677">SUMIFS($N408:$BB408,$N$5:$BB$5,C$5)</f>
        <v>15.940000000000003</v>
      </c>
      <c r="D408" s="35">
        <f t="shared" si="677"/>
        <v>28.02</v>
      </c>
      <c r="E408" s="35">
        <f t="shared" si="677"/>
        <v>28.1</v>
      </c>
      <c r="F408" s="35">
        <f t="shared" si="677"/>
        <v>35.28</v>
      </c>
      <c r="G408" s="35">
        <f t="shared" si="677"/>
        <v>8.0676000000000005</v>
      </c>
      <c r="H408" s="35">
        <f t="shared" si="677"/>
        <v>0</v>
      </c>
      <c r="I408" s="35">
        <f t="shared" si="677"/>
        <v>0</v>
      </c>
      <c r="J408" s="35">
        <f t="shared" si="677"/>
        <v>0</v>
      </c>
      <c r="K408" s="35">
        <f t="shared" si="677"/>
        <v>0</v>
      </c>
      <c r="L408" s="35">
        <f t="shared" si="677"/>
        <v>0</v>
      </c>
      <c r="M408" s="35"/>
      <c r="N408" s="47">
        <f t="shared" ref="N408:AD408" si="678">N391*0.2</f>
        <v>0</v>
      </c>
      <c r="O408" s="47">
        <f t="shared" si="678"/>
        <v>4.4200000000000008</v>
      </c>
      <c r="P408" s="47">
        <f t="shared" si="678"/>
        <v>5.120000000000001</v>
      </c>
      <c r="Q408" s="47">
        <f t="shared" si="678"/>
        <v>6.4</v>
      </c>
      <c r="R408" s="47">
        <f t="shared" si="678"/>
        <v>7.1000000000000005</v>
      </c>
      <c r="S408" s="47">
        <f t="shared" si="678"/>
        <v>6.2200000000000006</v>
      </c>
      <c r="T408" s="47">
        <f t="shared" si="678"/>
        <v>7.0200000000000005</v>
      </c>
      <c r="U408" s="47">
        <f t="shared" si="678"/>
        <v>7.68</v>
      </c>
      <c r="V408" s="47">
        <f t="shared" si="678"/>
        <v>7.28</v>
      </c>
      <c r="W408" s="47">
        <f t="shared" si="678"/>
        <v>6.5</v>
      </c>
      <c r="X408" s="47">
        <f t="shared" si="678"/>
        <v>6.8400000000000007</v>
      </c>
      <c r="Y408" s="47">
        <f t="shared" si="678"/>
        <v>7.48</v>
      </c>
      <c r="Z408" s="47">
        <f t="shared" si="678"/>
        <v>8</v>
      </c>
      <c r="AA408" s="47">
        <f t="shared" si="678"/>
        <v>8.620000000000001</v>
      </c>
      <c r="AB408" s="47">
        <f t="shared" si="678"/>
        <v>8.9400000000000013</v>
      </c>
      <c r="AC408" s="47">
        <f t="shared" si="678"/>
        <v>9.7200000000000006</v>
      </c>
      <c r="AD408" s="47">
        <f t="shared" si="678"/>
        <v>8.0676000000000005</v>
      </c>
      <c r="AE408" s="35"/>
      <c r="AF408" s="35"/>
      <c r="AG408" s="35"/>
      <c r="AH408" s="35"/>
      <c r="AI408" s="35"/>
      <c r="AJ408" s="35"/>
      <c r="AK408" s="35"/>
      <c r="AL408" s="82"/>
      <c r="AM408" s="82"/>
      <c r="AN408" s="82"/>
      <c r="AO408" s="82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D408" s="186">
        <f t="shared" si="595"/>
        <v>400</v>
      </c>
    </row>
    <row r="409" spans="1:56" hidden="1" outlineLevel="2">
      <c r="B409" s="65" t="s">
        <v>78</v>
      </c>
      <c r="C409" s="35">
        <f t="shared" si="677"/>
        <v>176.90400000000002</v>
      </c>
      <c r="D409" s="35">
        <f t="shared" si="677"/>
        <v>213.036</v>
      </c>
      <c r="E409" s="35">
        <f t="shared" si="677"/>
        <v>205.63200000000001</v>
      </c>
      <c r="F409" s="35">
        <f t="shared" si="677"/>
        <v>207.91899999999998</v>
      </c>
      <c r="G409" s="35">
        <f t="shared" si="677"/>
        <v>23.042999999999999</v>
      </c>
      <c r="H409" s="35">
        <f t="shared" si="677"/>
        <v>0</v>
      </c>
      <c r="I409" s="35">
        <f t="shared" si="677"/>
        <v>0</v>
      </c>
      <c r="J409" s="35">
        <f t="shared" si="677"/>
        <v>0</v>
      </c>
      <c r="K409" s="35">
        <f t="shared" si="677"/>
        <v>0</v>
      </c>
      <c r="L409" s="35">
        <f t="shared" si="677"/>
        <v>0</v>
      </c>
      <c r="M409" s="35"/>
      <c r="N409" s="41">
        <v>39.573999999999998</v>
      </c>
      <c r="O409" s="41">
        <v>32.844000000000001</v>
      </c>
      <c r="P409" s="41">
        <v>50.466000000000001</v>
      </c>
      <c r="Q409" s="41">
        <v>54.02</v>
      </c>
      <c r="R409" s="41">
        <v>53.374000000000002</v>
      </c>
      <c r="S409" s="41">
        <v>51.673000000000002</v>
      </c>
      <c r="T409" s="41">
        <v>60.62</v>
      </c>
      <c r="U409" s="41">
        <v>47.369</v>
      </c>
      <c r="V409" s="41">
        <v>51.118000000000002</v>
      </c>
      <c r="W409" s="41">
        <v>48.036000000000001</v>
      </c>
      <c r="X409" s="41">
        <v>50.904000000000003</v>
      </c>
      <c r="Y409" s="41">
        <v>55.573999999999998</v>
      </c>
      <c r="Z409" s="41">
        <v>60.055999999999997</v>
      </c>
      <c r="AA409" s="41">
        <v>58.267000000000003</v>
      </c>
      <c r="AB409" s="41">
        <v>49.311999999999998</v>
      </c>
      <c r="AC409" s="41">
        <v>40.283999999999999</v>
      </c>
      <c r="AD409" s="41">
        <v>23.042999999999999</v>
      </c>
      <c r="AE409" s="35"/>
      <c r="AF409" s="35"/>
      <c r="AG409" s="35"/>
      <c r="AH409" s="35"/>
      <c r="AI409" s="35"/>
      <c r="AJ409" s="35"/>
      <c r="AK409" s="35"/>
      <c r="AL409" s="82"/>
      <c r="AM409" s="82"/>
      <c r="AN409" s="82"/>
      <c r="AO409" s="82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D409" s="186">
        <f t="shared" si="595"/>
        <v>401</v>
      </c>
    </row>
    <row r="410" spans="1:56" hidden="1" outlineLevel="2">
      <c r="B410" s="66" t="s">
        <v>86</v>
      </c>
      <c r="C410" s="37">
        <f t="shared" ref="C410:L410" si="679">SUM(C408:C409)</f>
        <v>192.84400000000002</v>
      </c>
      <c r="D410" s="37">
        <f t="shared" si="679"/>
        <v>241.05600000000001</v>
      </c>
      <c r="E410" s="37">
        <f t="shared" si="679"/>
        <v>233.732</v>
      </c>
      <c r="F410" s="37">
        <f t="shared" si="679"/>
        <v>243.19899999999998</v>
      </c>
      <c r="G410" s="37">
        <f t="shared" si="679"/>
        <v>31.110599999999998</v>
      </c>
      <c r="H410" s="37">
        <f t="shared" si="679"/>
        <v>0</v>
      </c>
      <c r="I410" s="37">
        <f t="shared" si="679"/>
        <v>0</v>
      </c>
      <c r="J410" s="37">
        <f t="shared" si="679"/>
        <v>0</v>
      </c>
      <c r="K410" s="37">
        <f t="shared" si="679"/>
        <v>0</v>
      </c>
      <c r="L410" s="37">
        <f t="shared" si="679"/>
        <v>0</v>
      </c>
      <c r="M410" s="35"/>
      <c r="N410" s="37">
        <f t="shared" ref="N410:AD410" si="680">SUM(N408:N409)</f>
        <v>39.573999999999998</v>
      </c>
      <c r="O410" s="37">
        <f t="shared" si="680"/>
        <v>37.264000000000003</v>
      </c>
      <c r="P410" s="37">
        <f t="shared" si="680"/>
        <v>55.585999999999999</v>
      </c>
      <c r="Q410" s="37">
        <f t="shared" si="680"/>
        <v>60.42</v>
      </c>
      <c r="R410" s="37">
        <f t="shared" si="680"/>
        <v>60.474000000000004</v>
      </c>
      <c r="S410" s="37">
        <f t="shared" si="680"/>
        <v>57.893000000000001</v>
      </c>
      <c r="T410" s="37">
        <f t="shared" si="680"/>
        <v>67.64</v>
      </c>
      <c r="U410" s="37">
        <f t="shared" si="680"/>
        <v>55.048999999999999</v>
      </c>
      <c r="V410" s="37">
        <f t="shared" si="680"/>
        <v>58.398000000000003</v>
      </c>
      <c r="W410" s="37">
        <f t="shared" si="680"/>
        <v>54.536000000000001</v>
      </c>
      <c r="X410" s="37">
        <f t="shared" si="680"/>
        <v>57.744000000000007</v>
      </c>
      <c r="Y410" s="37">
        <f t="shared" si="680"/>
        <v>63.054000000000002</v>
      </c>
      <c r="Z410" s="37">
        <f t="shared" si="680"/>
        <v>68.055999999999997</v>
      </c>
      <c r="AA410" s="37">
        <f t="shared" si="680"/>
        <v>66.887</v>
      </c>
      <c r="AB410" s="37">
        <f t="shared" si="680"/>
        <v>58.251999999999995</v>
      </c>
      <c r="AC410" s="37">
        <f t="shared" si="680"/>
        <v>50.003999999999998</v>
      </c>
      <c r="AD410" s="37">
        <f t="shared" si="680"/>
        <v>31.110599999999998</v>
      </c>
      <c r="AE410" s="35"/>
      <c r="AF410" s="35"/>
      <c r="AG410" s="35"/>
      <c r="AH410" s="35"/>
      <c r="AI410" s="35"/>
      <c r="AJ410" s="35"/>
      <c r="AK410" s="35"/>
      <c r="AL410" s="82"/>
      <c r="AM410" s="82"/>
      <c r="AN410" s="82"/>
      <c r="AO410" s="82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D410" s="186">
        <f t="shared" si="595"/>
        <v>402</v>
      </c>
    </row>
    <row r="411" spans="1:56" hidden="1" outlineLevel="2"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82"/>
      <c r="AM411" s="82"/>
      <c r="AN411" s="82"/>
      <c r="AO411" s="82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D411" s="186">
        <f t="shared" si="595"/>
        <v>403</v>
      </c>
    </row>
    <row r="412" spans="1:56" hidden="1" outlineLevel="2">
      <c r="B412" s="40" t="s">
        <v>79</v>
      </c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50">
        <v>51.921999999999997</v>
      </c>
      <c r="O412" s="50">
        <v>65.757000000000005</v>
      </c>
      <c r="P412" s="50">
        <v>81.156999999999996</v>
      </c>
      <c r="Q412" s="50">
        <v>86.203999999999994</v>
      </c>
      <c r="R412" s="50">
        <v>84.132000000000005</v>
      </c>
      <c r="S412" s="50">
        <v>92.56</v>
      </c>
      <c r="T412" s="50">
        <v>89.132000000000005</v>
      </c>
      <c r="U412" s="50">
        <v>70.888000000000005</v>
      </c>
      <c r="V412" s="50">
        <v>57.302999999999997</v>
      </c>
      <c r="W412" s="50">
        <v>53.94</v>
      </c>
      <c r="X412" s="50">
        <v>42.912999999999997</v>
      </c>
      <c r="Y412" s="50">
        <v>36.518000000000001</v>
      </c>
      <c r="Z412" s="50">
        <v>42.981999999999999</v>
      </c>
      <c r="AA412" s="50">
        <v>53.021000000000001</v>
      </c>
      <c r="AB412" s="50">
        <v>75.159000000000006</v>
      </c>
      <c r="AC412" s="50">
        <v>82.346999999999994</v>
      </c>
      <c r="AD412" s="41">
        <v>31.781000000000002</v>
      </c>
      <c r="AE412" s="35"/>
      <c r="AF412" s="35"/>
      <c r="AG412" s="35"/>
      <c r="AH412" s="35"/>
      <c r="AI412" s="35"/>
      <c r="AJ412" s="35"/>
      <c r="AK412" s="35"/>
      <c r="AL412" s="82"/>
      <c r="AM412" s="82"/>
      <c r="AN412" s="82"/>
      <c r="AO412" s="82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D412" s="186">
        <f t="shared" si="595"/>
        <v>404</v>
      </c>
    </row>
    <row r="413" spans="1:56" hidden="1" outlineLevel="2">
      <c r="B413" s="40" t="s">
        <v>83</v>
      </c>
      <c r="C413" s="35">
        <f t="shared" ref="C413:L414" si="681">SUMIFS($N413:$BB413,$N$5:$BB$5,C$5)</f>
        <v>508.03800000000001</v>
      </c>
      <c r="D413" s="35">
        <f t="shared" si="681"/>
        <v>513.95600000000002</v>
      </c>
      <c r="E413" s="35">
        <f t="shared" si="681"/>
        <v>366.596</v>
      </c>
      <c r="F413" s="35">
        <f t="shared" si="681"/>
        <v>302.75800000000004</v>
      </c>
      <c r="G413" s="35">
        <f t="shared" si="681"/>
        <v>-4.8040000000000003</v>
      </c>
      <c r="H413" s="35">
        <f t="shared" si="681"/>
        <v>0</v>
      </c>
      <c r="I413" s="35">
        <f t="shared" si="681"/>
        <v>0</v>
      </c>
      <c r="J413" s="35">
        <f t="shared" si="681"/>
        <v>0</v>
      </c>
      <c r="K413" s="35">
        <f t="shared" si="681"/>
        <v>0</v>
      </c>
      <c r="L413" s="35">
        <f t="shared" si="681"/>
        <v>0</v>
      </c>
      <c r="M413" s="35"/>
      <c r="N413" s="41">
        <v>109.36</v>
      </c>
      <c r="O413" s="41">
        <v>100.97300000000001</v>
      </c>
      <c r="P413" s="41">
        <v>141.148</v>
      </c>
      <c r="Q413" s="41">
        <v>156.55700000000002</v>
      </c>
      <c r="R413" s="41">
        <v>146.56</v>
      </c>
      <c r="S413" s="41">
        <v>123.176</v>
      </c>
      <c r="T413" s="41">
        <v>136.488</v>
      </c>
      <c r="U413" s="41">
        <v>107.732</v>
      </c>
      <c r="V413" s="41">
        <v>97.841999999999999</v>
      </c>
      <c r="W413" s="41">
        <v>81.515000000000001</v>
      </c>
      <c r="X413" s="41">
        <v>90.813999999999993</v>
      </c>
      <c r="Y413" s="41">
        <v>96.424999999999997</v>
      </c>
      <c r="Z413" s="41">
        <v>53.402000000000001</v>
      </c>
      <c r="AA413" s="41">
        <v>85.881</v>
      </c>
      <c r="AB413" s="41">
        <v>89.818999999999988</v>
      </c>
      <c r="AC413" s="41">
        <v>73.656000000000006</v>
      </c>
      <c r="AD413" s="35">
        <v>-4.8040000000000003</v>
      </c>
      <c r="AE413" s="35"/>
      <c r="AF413" s="35"/>
      <c r="AG413" s="35"/>
      <c r="AH413" s="35"/>
      <c r="AI413" s="35"/>
      <c r="AJ413" s="35"/>
      <c r="AK413" s="35"/>
      <c r="AL413" s="82"/>
      <c r="AM413" s="82"/>
      <c r="AN413" s="82"/>
      <c r="AO413" s="82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D413" s="186">
        <f t="shared" si="595"/>
        <v>405</v>
      </c>
    </row>
    <row r="414" spans="1:56" hidden="1" outlineLevel="2">
      <c r="B414" s="40" t="s">
        <v>84</v>
      </c>
      <c r="C414" s="37">
        <f t="shared" si="681"/>
        <v>793.07799999999997</v>
      </c>
      <c r="D414" s="37">
        <f t="shared" si="681"/>
        <v>850.66800000000001</v>
      </c>
      <c r="E414" s="37">
        <f t="shared" si="681"/>
        <v>557.27</v>
      </c>
      <c r="F414" s="37">
        <f t="shared" si="681"/>
        <v>556.26700000000005</v>
      </c>
      <c r="G414" s="37">
        <f t="shared" si="681"/>
        <v>26.977000000000004</v>
      </c>
      <c r="H414" s="37">
        <f t="shared" si="681"/>
        <v>0</v>
      </c>
      <c r="I414" s="37">
        <f t="shared" si="681"/>
        <v>0</v>
      </c>
      <c r="J414" s="37">
        <f t="shared" si="681"/>
        <v>0</v>
      </c>
      <c r="K414" s="37">
        <f t="shared" si="681"/>
        <v>0</v>
      </c>
      <c r="L414" s="37">
        <f t="shared" si="681"/>
        <v>0</v>
      </c>
      <c r="M414" s="35"/>
      <c r="N414" s="37">
        <f t="shared" ref="N414:AD414" si="682">SUM(N412:N413)</f>
        <v>161.28199999999998</v>
      </c>
      <c r="O414" s="37">
        <f t="shared" si="682"/>
        <v>166.73000000000002</v>
      </c>
      <c r="P414" s="37">
        <f t="shared" si="682"/>
        <v>222.30500000000001</v>
      </c>
      <c r="Q414" s="37">
        <f t="shared" si="682"/>
        <v>242.76100000000002</v>
      </c>
      <c r="R414" s="37">
        <f t="shared" si="682"/>
        <v>230.69200000000001</v>
      </c>
      <c r="S414" s="37">
        <f t="shared" si="682"/>
        <v>215.73599999999999</v>
      </c>
      <c r="T414" s="37">
        <f t="shared" si="682"/>
        <v>225.62</v>
      </c>
      <c r="U414" s="37">
        <f t="shared" si="682"/>
        <v>178.62</v>
      </c>
      <c r="V414" s="37">
        <f t="shared" si="682"/>
        <v>155.14499999999998</v>
      </c>
      <c r="W414" s="37">
        <f t="shared" si="682"/>
        <v>135.45499999999998</v>
      </c>
      <c r="X414" s="37">
        <f t="shared" si="682"/>
        <v>133.72699999999998</v>
      </c>
      <c r="Y414" s="37">
        <f t="shared" si="682"/>
        <v>132.94299999999998</v>
      </c>
      <c r="Z414" s="37">
        <f t="shared" si="682"/>
        <v>96.384</v>
      </c>
      <c r="AA414" s="37">
        <f t="shared" si="682"/>
        <v>138.90199999999999</v>
      </c>
      <c r="AB414" s="37">
        <f t="shared" si="682"/>
        <v>164.97800000000001</v>
      </c>
      <c r="AC414" s="37">
        <f t="shared" si="682"/>
        <v>156.00299999999999</v>
      </c>
      <c r="AD414" s="37">
        <f t="shared" si="682"/>
        <v>26.977000000000004</v>
      </c>
      <c r="AE414" s="35"/>
      <c r="AF414" s="35"/>
      <c r="AG414" s="35"/>
      <c r="AH414" s="35"/>
      <c r="AI414" s="35"/>
      <c r="AJ414" s="35"/>
      <c r="AK414" s="35"/>
      <c r="AL414" s="82"/>
      <c r="AM414" s="82"/>
      <c r="AN414" s="82"/>
      <c r="AO414" s="82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D414" s="186">
        <f t="shared" si="595"/>
        <v>406</v>
      </c>
    </row>
    <row r="415" spans="1:56" hidden="1" outlineLevel="2">
      <c r="B415" s="40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5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5"/>
      <c r="AF415" s="35"/>
      <c r="AG415" s="35"/>
      <c r="AH415" s="35"/>
      <c r="AI415" s="35"/>
      <c r="AJ415" s="35"/>
      <c r="AK415" s="35"/>
      <c r="AL415" s="82"/>
      <c r="AM415" s="82"/>
      <c r="AN415" s="82"/>
      <c r="AO415" s="82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D415" s="186">
        <f t="shared" si="595"/>
        <v>407</v>
      </c>
    </row>
    <row r="416" spans="1:56" outlineLevel="1" collapsed="1">
      <c r="A416" s="148" t="s">
        <v>71</v>
      </c>
      <c r="B416" s="23" t="s">
        <v>265</v>
      </c>
      <c r="C416" s="48"/>
      <c r="D416" s="48"/>
      <c r="E416" s="48"/>
      <c r="F416" s="48"/>
      <c r="G416" s="35"/>
      <c r="H416" s="35"/>
      <c r="I416" s="35"/>
      <c r="J416" s="35"/>
      <c r="K416" s="35"/>
      <c r="L416" s="35"/>
      <c r="M416" s="35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35"/>
      <c r="AE416" s="35"/>
      <c r="AF416" s="35"/>
      <c r="AG416" s="35"/>
      <c r="AH416" s="35"/>
      <c r="AI416" s="35"/>
      <c r="AJ416" s="35"/>
      <c r="AK416" s="35"/>
      <c r="AL416" s="82"/>
      <c r="AM416" s="82"/>
      <c r="AN416" s="82"/>
      <c r="AO416" s="82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D416" s="186">
        <f t="shared" si="595"/>
        <v>408</v>
      </c>
    </row>
    <row r="417" spans="1:56" hidden="1" outlineLevel="2">
      <c r="A417" s="148"/>
      <c r="B417" s="30" t="s">
        <v>266</v>
      </c>
      <c r="C417" s="48"/>
      <c r="D417" s="48"/>
      <c r="E417" s="48"/>
      <c r="F417" s="48"/>
      <c r="G417" s="54">
        <f t="shared" ref="G417:L417" si="683">INDEX($N417:$BB417,1,MATCH(G$4,$N$4:$BB$4,0))</f>
        <v>0</v>
      </c>
      <c r="H417" s="54">
        <f t="shared" si="683"/>
        <v>0</v>
      </c>
      <c r="I417" s="54">
        <f t="shared" si="683"/>
        <v>0</v>
      </c>
      <c r="J417" s="54">
        <f t="shared" si="683"/>
        <v>0</v>
      </c>
      <c r="K417" s="54">
        <f t="shared" si="683"/>
        <v>0</v>
      </c>
      <c r="L417" s="54">
        <f t="shared" si="683"/>
        <v>0</v>
      </c>
      <c r="M417" s="35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1">
        <v>0</v>
      </c>
      <c r="AE417" s="41">
        <v>0</v>
      </c>
      <c r="AF417" s="41">
        <v>0</v>
      </c>
      <c r="AG417" s="41">
        <v>0</v>
      </c>
      <c r="AH417" s="41">
        <v>0</v>
      </c>
      <c r="AI417" s="41">
        <v>0</v>
      </c>
      <c r="AJ417" s="41">
        <v>0</v>
      </c>
      <c r="AK417" s="41">
        <v>0</v>
      </c>
      <c r="AL417" s="50">
        <v>0</v>
      </c>
      <c r="AM417" s="50">
        <v>0</v>
      </c>
      <c r="AN417" s="50">
        <v>0</v>
      </c>
      <c r="AO417" s="50">
        <v>0</v>
      </c>
      <c r="AP417" s="41">
        <v>0</v>
      </c>
      <c r="AQ417" s="41">
        <v>0</v>
      </c>
      <c r="AR417" s="41">
        <v>0</v>
      </c>
      <c r="AS417" s="41">
        <v>0</v>
      </c>
      <c r="AT417" s="41">
        <v>0</v>
      </c>
      <c r="AU417" s="41">
        <v>0</v>
      </c>
      <c r="AV417" s="41">
        <v>0</v>
      </c>
      <c r="AW417" s="41">
        <v>0</v>
      </c>
      <c r="AX417" s="41">
        <v>0</v>
      </c>
      <c r="AY417" s="41">
        <v>0</v>
      </c>
      <c r="AZ417" s="41">
        <v>0</v>
      </c>
      <c r="BA417" s="41">
        <v>0</v>
      </c>
      <c r="BD417" s="186">
        <f t="shared" si="595"/>
        <v>409</v>
      </c>
    </row>
    <row r="418" spans="1:56" hidden="1" outlineLevel="2">
      <c r="A418" s="148"/>
      <c r="B418" s="30" t="s">
        <v>267</v>
      </c>
      <c r="C418" s="48"/>
      <c r="D418" s="48"/>
      <c r="E418" s="48"/>
      <c r="F418" s="48"/>
      <c r="G418" s="35">
        <f t="shared" ref="G418:L418" si="684">+G230+G231</f>
        <v>-4.5350000000000001</v>
      </c>
      <c r="H418" s="35">
        <f t="shared" si="684"/>
        <v>0</v>
      </c>
      <c r="I418" s="35">
        <f t="shared" si="684"/>
        <v>215.92</v>
      </c>
      <c r="J418" s="35">
        <f t="shared" si="684"/>
        <v>0</v>
      </c>
      <c r="K418" s="35">
        <f t="shared" si="684"/>
        <v>0</v>
      </c>
      <c r="L418" s="35">
        <f t="shared" si="684"/>
        <v>0</v>
      </c>
      <c r="M418" s="35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35">
        <f t="shared" ref="AD418:BA418" si="685">+AD230+AD231</f>
        <v>-3.58</v>
      </c>
      <c r="AE418" s="35">
        <f t="shared" si="685"/>
        <v>-1.024</v>
      </c>
      <c r="AF418" s="35">
        <f t="shared" si="685"/>
        <v>-0.12199999999999989</v>
      </c>
      <c r="AG418" s="35">
        <f t="shared" si="685"/>
        <v>0.19099999999999984</v>
      </c>
      <c r="AH418" s="35">
        <f t="shared" si="685"/>
        <v>0</v>
      </c>
      <c r="AI418" s="35">
        <f t="shared" si="685"/>
        <v>0</v>
      </c>
      <c r="AJ418" s="35">
        <f t="shared" si="685"/>
        <v>0</v>
      </c>
      <c r="AK418" s="35">
        <f t="shared" si="685"/>
        <v>0</v>
      </c>
      <c r="AL418" s="82">
        <f t="shared" si="685"/>
        <v>0</v>
      </c>
      <c r="AM418" s="82">
        <f t="shared" si="685"/>
        <v>215.92</v>
      </c>
      <c r="AN418" s="82">
        <f t="shared" si="685"/>
        <v>0</v>
      </c>
      <c r="AO418" s="82">
        <f t="shared" si="685"/>
        <v>0</v>
      </c>
      <c r="AP418" s="35">
        <f t="shared" si="685"/>
        <v>0</v>
      </c>
      <c r="AQ418" s="35">
        <f t="shared" si="685"/>
        <v>0</v>
      </c>
      <c r="AR418" s="35">
        <f t="shared" si="685"/>
        <v>0</v>
      </c>
      <c r="AS418" s="35">
        <f t="shared" si="685"/>
        <v>0</v>
      </c>
      <c r="AT418" s="35">
        <f t="shared" si="685"/>
        <v>0</v>
      </c>
      <c r="AU418" s="35">
        <f t="shared" si="685"/>
        <v>0</v>
      </c>
      <c r="AV418" s="35">
        <f t="shared" si="685"/>
        <v>0</v>
      </c>
      <c r="AW418" s="35">
        <f t="shared" si="685"/>
        <v>0</v>
      </c>
      <c r="AX418" s="35">
        <f t="shared" si="685"/>
        <v>0</v>
      </c>
      <c r="AY418" s="35">
        <f t="shared" si="685"/>
        <v>0</v>
      </c>
      <c r="AZ418" s="35">
        <f t="shared" si="685"/>
        <v>0</v>
      </c>
      <c r="BA418" s="35">
        <f t="shared" si="685"/>
        <v>0</v>
      </c>
      <c r="BD418" s="186">
        <f t="shared" si="595"/>
        <v>410</v>
      </c>
    </row>
    <row r="419" spans="1:56" hidden="1" outlineLevel="2">
      <c r="A419" s="148"/>
      <c r="B419" s="150" t="s">
        <v>268</v>
      </c>
      <c r="C419" s="48"/>
      <c r="D419" s="48"/>
      <c r="E419" s="48"/>
      <c r="F419" s="48"/>
      <c r="G419" s="168">
        <v>0.375</v>
      </c>
      <c r="H419" s="168">
        <v>0.375</v>
      </c>
      <c r="I419" s="168">
        <v>0.375</v>
      </c>
      <c r="J419" s="168">
        <v>0.24</v>
      </c>
      <c r="K419" s="168">
        <v>0.24</v>
      </c>
      <c r="L419" s="168">
        <v>0.24</v>
      </c>
      <c r="M419" s="35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168">
        <v>0.375</v>
      </c>
      <c r="AE419" s="168">
        <v>0.375</v>
      </c>
      <c r="AF419" s="168">
        <v>0.375</v>
      </c>
      <c r="AG419" s="168">
        <v>0.375</v>
      </c>
      <c r="AH419" s="168">
        <v>0.375</v>
      </c>
      <c r="AI419" s="168">
        <v>0.375</v>
      </c>
      <c r="AJ419" s="168">
        <v>0.375</v>
      </c>
      <c r="AK419" s="168">
        <v>0.375</v>
      </c>
      <c r="AL419" s="192">
        <v>0.375</v>
      </c>
      <c r="AM419" s="192">
        <v>0.375</v>
      </c>
      <c r="AN419" s="192">
        <v>0.375</v>
      </c>
      <c r="AO419" s="192">
        <v>0.375</v>
      </c>
      <c r="AP419" s="168">
        <v>0.24</v>
      </c>
      <c r="AQ419" s="168">
        <v>0.24</v>
      </c>
      <c r="AR419" s="168">
        <v>0.24</v>
      </c>
      <c r="AS419" s="168">
        <v>0.24</v>
      </c>
      <c r="AT419" s="168">
        <v>0.24</v>
      </c>
      <c r="AU419" s="168">
        <v>0.24</v>
      </c>
      <c r="AV419" s="168">
        <v>0.24</v>
      </c>
      <c r="AW419" s="168">
        <v>0.24</v>
      </c>
      <c r="AX419" s="168">
        <v>0.24</v>
      </c>
      <c r="AY419" s="168">
        <v>0.24</v>
      </c>
      <c r="AZ419" s="168">
        <v>0.24</v>
      </c>
      <c r="BA419" s="168">
        <v>0.24</v>
      </c>
      <c r="BD419" s="186">
        <f t="shared" si="595"/>
        <v>411</v>
      </c>
    </row>
    <row r="420" spans="1:56" outlineLevel="1" collapsed="1">
      <c r="A420" s="148" t="s">
        <v>71</v>
      </c>
      <c r="B420" s="150"/>
      <c r="C420" s="48"/>
      <c r="D420" s="48"/>
      <c r="E420" s="48"/>
      <c r="F420" s="48"/>
      <c r="G420" s="168"/>
      <c r="H420" s="168"/>
      <c r="I420" s="168"/>
      <c r="J420" s="168"/>
      <c r="K420" s="168"/>
      <c r="L420" s="168"/>
      <c r="M420" s="35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168"/>
      <c r="AE420" s="168"/>
      <c r="AF420" s="168"/>
      <c r="AG420" s="168"/>
      <c r="AH420" s="168"/>
      <c r="AI420" s="168"/>
      <c r="AJ420" s="168"/>
      <c r="AK420" s="168"/>
      <c r="AL420" s="192"/>
      <c r="AM420" s="192"/>
      <c r="AN420" s="192"/>
      <c r="AO420" s="192"/>
      <c r="AP420" s="168"/>
      <c r="AQ420" s="168"/>
      <c r="AR420" s="168"/>
      <c r="AS420" s="168"/>
      <c r="AT420" s="168"/>
      <c r="AU420" s="168"/>
      <c r="AV420" s="168"/>
      <c r="AW420" s="168"/>
      <c r="AX420" s="168"/>
      <c r="AY420" s="168"/>
      <c r="AZ420" s="168"/>
      <c r="BA420" s="168"/>
      <c r="BD420" s="186">
        <f t="shared" si="595"/>
        <v>412</v>
      </c>
    </row>
    <row r="421" spans="1:56">
      <c r="A421"/>
      <c r="BD421"/>
    </row>
    <row r="422" spans="1:56"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</row>
    <row r="423" spans="1:56"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</row>
    <row r="424" spans="1:56"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</row>
    <row r="425" spans="1:56"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</row>
    <row r="426" spans="1:56"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</row>
    <row r="427" spans="1:56"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</row>
    <row r="428" spans="1:56"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</row>
    <row r="429" spans="1:56"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</row>
    <row r="430" spans="1:56"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</row>
    <row r="431" spans="1:56"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</row>
    <row r="432" spans="1:56"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</row>
    <row r="433" spans="3:53"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</row>
    <row r="434" spans="3:53"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</row>
    <row r="435" spans="3:53"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</row>
    <row r="436" spans="3:53"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</row>
    <row r="437" spans="3:53"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</row>
    <row r="438" spans="3:53"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</row>
    <row r="439" spans="3:53"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</row>
    <row r="440" spans="3:53"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</row>
    <row r="441" spans="3:53"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</row>
    <row r="442" spans="3:53"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</row>
    <row r="443" spans="3:53"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</row>
    <row r="444" spans="3:53"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</row>
    <row r="445" spans="3:53"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</row>
    <row r="446" spans="3:53"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</row>
    <row r="447" spans="3:53"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</row>
    <row r="448" spans="3:53"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</row>
    <row r="449" spans="3:53"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</row>
    <row r="450" spans="3:53"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</row>
    <row r="451" spans="3:53"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</row>
    <row r="452" spans="3:53"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</row>
    <row r="453" spans="3:53"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</row>
    <row r="454" spans="3:53"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</row>
    <row r="455" spans="3:53"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</row>
    <row r="456" spans="3:53"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</row>
    <row r="457" spans="3:53"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</row>
    <row r="458" spans="3:53"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</row>
    <row r="459" spans="3:53"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</row>
    <row r="460" spans="3:53"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</row>
    <row r="461" spans="3:53"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</row>
    <row r="462" spans="3:53"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</row>
    <row r="463" spans="3:53"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</row>
    <row r="464" spans="3:53"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</row>
    <row r="465" spans="3:53"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</row>
    <row r="466" spans="3:53"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</row>
    <row r="467" spans="3:53"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</row>
    <row r="468" spans="3:53"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</row>
    <row r="469" spans="3:53"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</row>
    <row r="470" spans="3:53"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</row>
    <row r="471" spans="3:53"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</row>
    <row r="472" spans="3:53"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</row>
    <row r="473" spans="3:53"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</row>
    <row r="474" spans="3:53"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</row>
    <row r="475" spans="3:53"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</row>
    <row r="476" spans="3:53"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</row>
    <row r="477" spans="3:53"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</row>
    <row r="478" spans="3:53"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</row>
    <row r="479" spans="3:53"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</row>
    <row r="480" spans="3:53"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</row>
    <row r="481" spans="3:53"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</row>
    <row r="482" spans="3:53"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</row>
    <row r="483" spans="3:53"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</row>
    <row r="484" spans="3:53"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</row>
    <row r="485" spans="3:53"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</row>
    <row r="486" spans="3:53"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</row>
    <row r="487" spans="3:53"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</row>
    <row r="488" spans="3:53"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</row>
    <row r="489" spans="3:53"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</row>
    <row r="490" spans="3:53"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</row>
    <row r="491" spans="3:53"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</row>
    <row r="492" spans="3:53"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</row>
    <row r="493" spans="3:53"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</row>
    <row r="494" spans="3:53"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</row>
    <row r="495" spans="3:53"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</row>
    <row r="496" spans="3:53"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</row>
    <row r="497" spans="3:53"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</row>
    <row r="498" spans="3:53"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</row>
    <row r="499" spans="3:53"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</row>
    <row r="500" spans="3:53"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</row>
    <row r="501" spans="3:53"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</row>
    <row r="502" spans="3:53"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</row>
    <row r="503" spans="3:53"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</row>
    <row r="504" spans="3:53"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</row>
    <row r="505" spans="3:53"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</row>
    <row r="506" spans="3:53"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</row>
    <row r="507" spans="3:53"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</row>
    <row r="508" spans="3:53"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</row>
    <row r="509" spans="3:53"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</row>
    <row r="510" spans="3:53"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</row>
    <row r="511" spans="3:53"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</row>
    <row r="512" spans="3:53"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</row>
    <row r="513" spans="3:53"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</row>
    <row r="514" spans="3:53"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</row>
    <row r="515" spans="3:53"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</row>
    <row r="516" spans="3:53"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</row>
    <row r="517" spans="3:53"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</row>
    <row r="518" spans="3:53"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</row>
    <row r="519" spans="3:53"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</row>
    <row r="520" spans="3:53"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</row>
    <row r="521" spans="3:53"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</row>
    <row r="522" spans="3:53"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</row>
    <row r="523" spans="3:53"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</row>
    <row r="524" spans="3:53"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</row>
    <row r="525" spans="3:53"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</row>
    <row r="526" spans="3:53"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</row>
    <row r="527" spans="3:53"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</row>
    <row r="528" spans="3:53"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</row>
    <row r="529" spans="3:53"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</row>
    <row r="530" spans="3:53"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</row>
    <row r="531" spans="3:53"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</row>
    <row r="532" spans="3:53"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</row>
    <row r="533" spans="3:53"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</row>
    <row r="534" spans="3:53"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</row>
    <row r="535" spans="3:53"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</row>
    <row r="536" spans="3:53"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</row>
    <row r="537" spans="3:53"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</row>
    <row r="538" spans="3:53"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</row>
    <row r="539" spans="3:53"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</row>
    <row r="540" spans="3:53"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</row>
    <row r="541" spans="3:53"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</row>
    <row r="542" spans="3:53"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</row>
    <row r="543" spans="3:53"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</row>
    <row r="544" spans="3:53"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</row>
    <row r="545" spans="3:53"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</row>
    <row r="546" spans="3:53"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</row>
    <row r="547" spans="3:53"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</row>
    <row r="548" spans="3:53"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</row>
    <row r="549" spans="3:53"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</row>
    <row r="550" spans="3:53"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</row>
    <row r="551" spans="3:53"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</row>
    <row r="552" spans="3:53"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</row>
    <row r="553" spans="3:53"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</row>
    <row r="554" spans="3:53"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</row>
    <row r="555" spans="3:53"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</row>
    <row r="556" spans="3:53"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</row>
    <row r="557" spans="3:53"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</row>
    <row r="558" spans="3:53"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</row>
    <row r="559" spans="3:53"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</row>
    <row r="560" spans="3:53"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</row>
    <row r="561" spans="3:53"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</row>
  </sheetData>
  <conditionalFormatting sqref="C2:BA2">
    <cfRule type="cellIs" dxfId="4" priority="6" stopIfTrue="1" operator="equal">
      <formula>0</formula>
    </cfRule>
  </conditionalFormatting>
  <conditionalFormatting sqref="H235:L235">
    <cfRule type="cellIs" dxfId="3" priority="4" operator="equal">
      <formula>0</formula>
    </cfRule>
  </conditionalFormatting>
  <conditionalFormatting sqref="AE235:BA235">
    <cfRule type="cellIs" dxfId="2" priority="3" operator="equal">
      <formula>0</formula>
    </cfRule>
  </conditionalFormatting>
  <conditionalFormatting sqref="AD265:BA265">
    <cfRule type="cellIs" dxfId="1" priority="2" operator="equal">
      <formula>0</formula>
    </cfRule>
  </conditionalFormatting>
  <conditionalFormatting sqref="G265:L265">
    <cfRule type="cellIs" dxfId="0" priority="1" operator="equal">
      <formula>0</formula>
    </cfRule>
  </conditionalFormatting>
  <pageMargins left="0" right="0" top="0" bottom="0" header="0" footer="0"/>
  <pageSetup paperSize="5" scale="41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34.5" style="187" bestFit="1" customWidth="1"/>
    <col min="2" max="2" width="23.1640625" style="255" customWidth="1"/>
    <col min="3" max="3" width="14" style="187" bestFit="1" customWidth="1"/>
    <col min="4" max="256" width="9.33203125" style="187"/>
    <col min="257" max="257" width="34.5" style="187" bestFit="1" customWidth="1"/>
    <col min="258" max="258" width="23.1640625" style="187" customWidth="1"/>
    <col min="259" max="259" width="14" style="187" bestFit="1" customWidth="1"/>
    <col min="260" max="512" width="9.33203125" style="187"/>
    <col min="513" max="513" width="34.5" style="187" bestFit="1" customWidth="1"/>
    <col min="514" max="514" width="23.1640625" style="187" customWidth="1"/>
    <col min="515" max="515" width="14" style="187" bestFit="1" customWidth="1"/>
    <col min="516" max="768" width="9.33203125" style="187"/>
    <col min="769" max="769" width="34.5" style="187" bestFit="1" customWidth="1"/>
    <col min="770" max="770" width="23.1640625" style="187" customWidth="1"/>
    <col min="771" max="771" width="14" style="187" bestFit="1" customWidth="1"/>
    <col min="772" max="1024" width="9.33203125" style="187"/>
    <col min="1025" max="1025" width="34.5" style="187" bestFit="1" customWidth="1"/>
    <col min="1026" max="1026" width="23.1640625" style="187" customWidth="1"/>
    <col min="1027" max="1027" width="14" style="187" bestFit="1" customWidth="1"/>
    <col min="1028" max="1280" width="9.33203125" style="187"/>
    <col min="1281" max="1281" width="34.5" style="187" bestFit="1" customWidth="1"/>
    <col min="1282" max="1282" width="23.1640625" style="187" customWidth="1"/>
    <col min="1283" max="1283" width="14" style="187" bestFit="1" customWidth="1"/>
    <col min="1284" max="1536" width="9.33203125" style="187"/>
    <col min="1537" max="1537" width="34.5" style="187" bestFit="1" customWidth="1"/>
    <col min="1538" max="1538" width="23.1640625" style="187" customWidth="1"/>
    <col min="1539" max="1539" width="14" style="187" bestFit="1" customWidth="1"/>
    <col min="1540" max="1792" width="9.33203125" style="187"/>
    <col min="1793" max="1793" width="34.5" style="187" bestFit="1" customWidth="1"/>
    <col min="1794" max="1794" width="23.1640625" style="187" customWidth="1"/>
    <col min="1795" max="1795" width="14" style="187" bestFit="1" customWidth="1"/>
    <col min="1796" max="2048" width="9.33203125" style="187"/>
    <col min="2049" max="2049" width="34.5" style="187" bestFit="1" customWidth="1"/>
    <col min="2050" max="2050" width="23.1640625" style="187" customWidth="1"/>
    <col min="2051" max="2051" width="14" style="187" bestFit="1" customWidth="1"/>
    <col min="2052" max="2304" width="9.33203125" style="187"/>
    <col min="2305" max="2305" width="34.5" style="187" bestFit="1" customWidth="1"/>
    <col min="2306" max="2306" width="23.1640625" style="187" customWidth="1"/>
    <col min="2307" max="2307" width="14" style="187" bestFit="1" customWidth="1"/>
    <col min="2308" max="2560" width="9.33203125" style="187"/>
    <col min="2561" max="2561" width="34.5" style="187" bestFit="1" customWidth="1"/>
    <col min="2562" max="2562" width="23.1640625" style="187" customWidth="1"/>
    <col min="2563" max="2563" width="14" style="187" bestFit="1" customWidth="1"/>
    <col min="2564" max="2816" width="9.33203125" style="187"/>
    <col min="2817" max="2817" width="34.5" style="187" bestFit="1" customWidth="1"/>
    <col min="2818" max="2818" width="23.1640625" style="187" customWidth="1"/>
    <col min="2819" max="2819" width="14" style="187" bestFit="1" customWidth="1"/>
    <col min="2820" max="3072" width="9.33203125" style="187"/>
    <col min="3073" max="3073" width="34.5" style="187" bestFit="1" customWidth="1"/>
    <col min="3074" max="3074" width="23.1640625" style="187" customWidth="1"/>
    <col min="3075" max="3075" width="14" style="187" bestFit="1" customWidth="1"/>
    <col min="3076" max="3328" width="9.33203125" style="187"/>
    <col min="3329" max="3329" width="34.5" style="187" bestFit="1" customWidth="1"/>
    <col min="3330" max="3330" width="23.1640625" style="187" customWidth="1"/>
    <col min="3331" max="3331" width="14" style="187" bestFit="1" customWidth="1"/>
    <col min="3332" max="3584" width="9.33203125" style="187"/>
    <col min="3585" max="3585" width="34.5" style="187" bestFit="1" customWidth="1"/>
    <col min="3586" max="3586" width="23.1640625" style="187" customWidth="1"/>
    <col min="3587" max="3587" width="14" style="187" bestFit="1" customWidth="1"/>
    <col min="3588" max="3840" width="9.33203125" style="187"/>
    <col min="3841" max="3841" width="34.5" style="187" bestFit="1" customWidth="1"/>
    <col min="3842" max="3842" width="23.1640625" style="187" customWidth="1"/>
    <col min="3843" max="3843" width="14" style="187" bestFit="1" customWidth="1"/>
    <col min="3844" max="4096" width="9.33203125" style="187"/>
    <col min="4097" max="4097" width="34.5" style="187" bestFit="1" customWidth="1"/>
    <col min="4098" max="4098" width="23.1640625" style="187" customWidth="1"/>
    <col min="4099" max="4099" width="14" style="187" bestFit="1" customWidth="1"/>
    <col min="4100" max="4352" width="9.33203125" style="187"/>
    <col min="4353" max="4353" width="34.5" style="187" bestFit="1" customWidth="1"/>
    <col min="4354" max="4354" width="23.1640625" style="187" customWidth="1"/>
    <col min="4355" max="4355" width="14" style="187" bestFit="1" customWidth="1"/>
    <col min="4356" max="4608" width="9.33203125" style="187"/>
    <col min="4609" max="4609" width="34.5" style="187" bestFit="1" customWidth="1"/>
    <col min="4610" max="4610" width="23.1640625" style="187" customWidth="1"/>
    <col min="4611" max="4611" width="14" style="187" bestFit="1" customWidth="1"/>
    <col min="4612" max="4864" width="9.33203125" style="187"/>
    <col min="4865" max="4865" width="34.5" style="187" bestFit="1" customWidth="1"/>
    <col min="4866" max="4866" width="23.1640625" style="187" customWidth="1"/>
    <col min="4867" max="4867" width="14" style="187" bestFit="1" customWidth="1"/>
    <col min="4868" max="5120" width="9.33203125" style="187"/>
    <col min="5121" max="5121" width="34.5" style="187" bestFit="1" customWidth="1"/>
    <col min="5122" max="5122" width="23.1640625" style="187" customWidth="1"/>
    <col min="5123" max="5123" width="14" style="187" bestFit="1" customWidth="1"/>
    <col min="5124" max="5376" width="9.33203125" style="187"/>
    <col min="5377" max="5377" width="34.5" style="187" bestFit="1" customWidth="1"/>
    <col min="5378" max="5378" width="23.1640625" style="187" customWidth="1"/>
    <col min="5379" max="5379" width="14" style="187" bestFit="1" customWidth="1"/>
    <col min="5380" max="5632" width="9.33203125" style="187"/>
    <col min="5633" max="5633" width="34.5" style="187" bestFit="1" customWidth="1"/>
    <col min="5634" max="5634" width="23.1640625" style="187" customWidth="1"/>
    <col min="5635" max="5635" width="14" style="187" bestFit="1" customWidth="1"/>
    <col min="5636" max="5888" width="9.33203125" style="187"/>
    <col min="5889" max="5889" width="34.5" style="187" bestFit="1" customWidth="1"/>
    <col min="5890" max="5890" width="23.1640625" style="187" customWidth="1"/>
    <col min="5891" max="5891" width="14" style="187" bestFit="1" customWidth="1"/>
    <col min="5892" max="6144" width="9.33203125" style="187"/>
    <col min="6145" max="6145" width="34.5" style="187" bestFit="1" customWidth="1"/>
    <col min="6146" max="6146" width="23.1640625" style="187" customWidth="1"/>
    <col min="6147" max="6147" width="14" style="187" bestFit="1" customWidth="1"/>
    <col min="6148" max="6400" width="9.33203125" style="187"/>
    <col min="6401" max="6401" width="34.5" style="187" bestFit="1" customWidth="1"/>
    <col min="6402" max="6402" width="23.1640625" style="187" customWidth="1"/>
    <col min="6403" max="6403" width="14" style="187" bestFit="1" customWidth="1"/>
    <col min="6404" max="6656" width="9.33203125" style="187"/>
    <col min="6657" max="6657" width="34.5" style="187" bestFit="1" customWidth="1"/>
    <col min="6658" max="6658" width="23.1640625" style="187" customWidth="1"/>
    <col min="6659" max="6659" width="14" style="187" bestFit="1" customWidth="1"/>
    <col min="6660" max="6912" width="9.33203125" style="187"/>
    <col min="6913" max="6913" width="34.5" style="187" bestFit="1" customWidth="1"/>
    <col min="6914" max="6914" width="23.1640625" style="187" customWidth="1"/>
    <col min="6915" max="6915" width="14" style="187" bestFit="1" customWidth="1"/>
    <col min="6916" max="7168" width="9.33203125" style="187"/>
    <col min="7169" max="7169" width="34.5" style="187" bestFit="1" customWidth="1"/>
    <col min="7170" max="7170" width="23.1640625" style="187" customWidth="1"/>
    <col min="7171" max="7171" width="14" style="187" bestFit="1" customWidth="1"/>
    <col min="7172" max="7424" width="9.33203125" style="187"/>
    <col min="7425" max="7425" width="34.5" style="187" bestFit="1" customWidth="1"/>
    <col min="7426" max="7426" width="23.1640625" style="187" customWidth="1"/>
    <col min="7427" max="7427" width="14" style="187" bestFit="1" customWidth="1"/>
    <col min="7428" max="7680" width="9.33203125" style="187"/>
    <col min="7681" max="7681" width="34.5" style="187" bestFit="1" customWidth="1"/>
    <col min="7682" max="7682" width="23.1640625" style="187" customWidth="1"/>
    <col min="7683" max="7683" width="14" style="187" bestFit="1" customWidth="1"/>
    <col min="7684" max="7936" width="9.33203125" style="187"/>
    <col min="7937" max="7937" width="34.5" style="187" bestFit="1" customWidth="1"/>
    <col min="7938" max="7938" width="23.1640625" style="187" customWidth="1"/>
    <col min="7939" max="7939" width="14" style="187" bestFit="1" customWidth="1"/>
    <col min="7940" max="8192" width="9.33203125" style="187"/>
    <col min="8193" max="8193" width="34.5" style="187" bestFit="1" customWidth="1"/>
    <col min="8194" max="8194" width="23.1640625" style="187" customWidth="1"/>
    <col min="8195" max="8195" width="14" style="187" bestFit="1" customWidth="1"/>
    <col min="8196" max="8448" width="9.33203125" style="187"/>
    <col min="8449" max="8449" width="34.5" style="187" bestFit="1" customWidth="1"/>
    <col min="8450" max="8450" width="23.1640625" style="187" customWidth="1"/>
    <col min="8451" max="8451" width="14" style="187" bestFit="1" customWidth="1"/>
    <col min="8452" max="8704" width="9.33203125" style="187"/>
    <col min="8705" max="8705" width="34.5" style="187" bestFit="1" customWidth="1"/>
    <col min="8706" max="8706" width="23.1640625" style="187" customWidth="1"/>
    <col min="8707" max="8707" width="14" style="187" bestFit="1" customWidth="1"/>
    <col min="8708" max="8960" width="9.33203125" style="187"/>
    <col min="8961" max="8961" width="34.5" style="187" bestFit="1" customWidth="1"/>
    <col min="8962" max="8962" width="23.1640625" style="187" customWidth="1"/>
    <col min="8963" max="8963" width="14" style="187" bestFit="1" customWidth="1"/>
    <col min="8964" max="9216" width="9.33203125" style="187"/>
    <col min="9217" max="9217" width="34.5" style="187" bestFit="1" customWidth="1"/>
    <col min="9218" max="9218" width="23.1640625" style="187" customWidth="1"/>
    <col min="9219" max="9219" width="14" style="187" bestFit="1" customWidth="1"/>
    <col min="9220" max="9472" width="9.33203125" style="187"/>
    <col min="9473" max="9473" width="34.5" style="187" bestFit="1" customWidth="1"/>
    <col min="9474" max="9474" width="23.1640625" style="187" customWidth="1"/>
    <col min="9475" max="9475" width="14" style="187" bestFit="1" customWidth="1"/>
    <col min="9476" max="9728" width="9.33203125" style="187"/>
    <col min="9729" max="9729" width="34.5" style="187" bestFit="1" customWidth="1"/>
    <col min="9730" max="9730" width="23.1640625" style="187" customWidth="1"/>
    <col min="9731" max="9731" width="14" style="187" bestFit="1" customWidth="1"/>
    <col min="9732" max="9984" width="9.33203125" style="187"/>
    <col min="9985" max="9985" width="34.5" style="187" bestFit="1" customWidth="1"/>
    <col min="9986" max="9986" width="23.1640625" style="187" customWidth="1"/>
    <col min="9987" max="9987" width="14" style="187" bestFit="1" customWidth="1"/>
    <col min="9988" max="10240" width="9.33203125" style="187"/>
    <col min="10241" max="10241" width="34.5" style="187" bestFit="1" customWidth="1"/>
    <col min="10242" max="10242" width="23.1640625" style="187" customWidth="1"/>
    <col min="10243" max="10243" width="14" style="187" bestFit="1" customWidth="1"/>
    <col min="10244" max="10496" width="9.33203125" style="187"/>
    <col min="10497" max="10497" width="34.5" style="187" bestFit="1" customWidth="1"/>
    <col min="10498" max="10498" width="23.1640625" style="187" customWidth="1"/>
    <col min="10499" max="10499" width="14" style="187" bestFit="1" customWidth="1"/>
    <col min="10500" max="10752" width="9.33203125" style="187"/>
    <col min="10753" max="10753" width="34.5" style="187" bestFit="1" customWidth="1"/>
    <col min="10754" max="10754" width="23.1640625" style="187" customWidth="1"/>
    <col min="10755" max="10755" width="14" style="187" bestFit="1" customWidth="1"/>
    <col min="10756" max="11008" width="9.33203125" style="187"/>
    <col min="11009" max="11009" width="34.5" style="187" bestFit="1" customWidth="1"/>
    <col min="11010" max="11010" width="23.1640625" style="187" customWidth="1"/>
    <col min="11011" max="11011" width="14" style="187" bestFit="1" customWidth="1"/>
    <col min="11012" max="11264" width="9.33203125" style="187"/>
    <col min="11265" max="11265" width="34.5" style="187" bestFit="1" customWidth="1"/>
    <col min="11266" max="11266" width="23.1640625" style="187" customWidth="1"/>
    <col min="11267" max="11267" width="14" style="187" bestFit="1" customWidth="1"/>
    <col min="11268" max="11520" width="9.33203125" style="187"/>
    <col min="11521" max="11521" width="34.5" style="187" bestFit="1" customWidth="1"/>
    <col min="11522" max="11522" width="23.1640625" style="187" customWidth="1"/>
    <col min="11523" max="11523" width="14" style="187" bestFit="1" customWidth="1"/>
    <col min="11524" max="11776" width="9.33203125" style="187"/>
    <col min="11777" max="11777" width="34.5" style="187" bestFit="1" customWidth="1"/>
    <col min="11778" max="11778" width="23.1640625" style="187" customWidth="1"/>
    <col min="11779" max="11779" width="14" style="187" bestFit="1" customWidth="1"/>
    <col min="11780" max="12032" width="9.33203125" style="187"/>
    <col min="12033" max="12033" width="34.5" style="187" bestFit="1" customWidth="1"/>
    <col min="12034" max="12034" width="23.1640625" style="187" customWidth="1"/>
    <col min="12035" max="12035" width="14" style="187" bestFit="1" customWidth="1"/>
    <col min="12036" max="12288" width="9.33203125" style="187"/>
    <col min="12289" max="12289" width="34.5" style="187" bestFit="1" customWidth="1"/>
    <col min="12290" max="12290" width="23.1640625" style="187" customWidth="1"/>
    <col min="12291" max="12291" width="14" style="187" bestFit="1" customWidth="1"/>
    <col min="12292" max="12544" width="9.33203125" style="187"/>
    <col min="12545" max="12545" width="34.5" style="187" bestFit="1" customWidth="1"/>
    <col min="12546" max="12546" width="23.1640625" style="187" customWidth="1"/>
    <col min="12547" max="12547" width="14" style="187" bestFit="1" customWidth="1"/>
    <col min="12548" max="12800" width="9.33203125" style="187"/>
    <col min="12801" max="12801" width="34.5" style="187" bestFit="1" customWidth="1"/>
    <col min="12802" max="12802" width="23.1640625" style="187" customWidth="1"/>
    <col min="12803" max="12803" width="14" style="187" bestFit="1" customWidth="1"/>
    <col min="12804" max="13056" width="9.33203125" style="187"/>
    <col min="13057" max="13057" width="34.5" style="187" bestFit="1" customWidth="1"/>
    <col min="13058" max="13058" width="23.1640625" style="187" customWidth="1"/>
    <col min="13059" max="13059" width="14" style="187" bestFit="1" customWidth="1"/>
    <col min="13060" max="13312" width="9.33203125" style="187"/>
    <col min="13313" max="13313" width="34.5" style="187" bestFit="1" customWidth="1"/>
    <col min="13314" max="13314" width="23.1640625" style="187" customWidth="1"/>
    <col min="13315" max="13315" width="14" style="187" bestFit="1" customWidth="1"/>
    <col min="13316" max="13568" width="9.33203125" style="187"/>
    <col min="13569" max="13569" width="34.5" style="187" bestFit="1" customWidth="1"/>
    <col min="13570" max="13570" width="23.1640625" style="187" customWidth="1"/>
    <col min="13571" max="13571" width="14" style="187" bestFit="1" customWidth="1"/>
    <col min="13572" max="13824" width="9.33203125" style="187"/>
    <col min="13825" max="13825" width="34.5" style="187" bestFit="1" customWidth="1"/>
    <col min="13826" max="13826" width="23.1640625" style="187" customWidth="1"/>
    <col min="13827" max="13827" width="14" style="187" bestFit="1" customWidth="1"/>
    <col min="13828" max="14080" width="9.33203125" style="187"/>
    <col min="14081" max="14081" width="34.5" style="187" bestFit="1" customWidth="1"/>
    <col min="14082" max="14082" width="23.1640625" style="187" customWidth="1"/>
    <col min="14083" max="14083" width="14" style="187" bestFit="1" customWidth="1"/>
    <col min="14084" max="14336" width="9.33203125" style="187"/>
    <col min="14337" max="14337" width="34.5" style="187" bestFit="1" customWidth="1"/>
    <col min="14338" max="14338" width="23.1640625" style="187" customWidth="1"/>
    <col min="14339" max="14339" width="14" style="187" bestFit="1" customWidth="1"/>
    <col min="14340" max="14592" width="9.33203125" style="187"/>
    <col min="14593" max="14593" width="34.5" style="187" bestFit="1" customWidth="1"/>
    <col min="14594" max="14594" width="23.1640625" style="187" customWidth="1"/>
    <col min="14595" max="14595" width="14" style="187" bestFit="1" customWidth="1"/>
    <col min="14596" max="14848" width="9.33203125" style="187"/>
    <col min="14849" max="14849" width="34.5" style="187" bestFit="1" customWidth="1"/>
    <col min="14850" max="14850" width="23.1640625" style="187" customWidth="1"/>
    <col min="14851" max="14851" width="14" style="187" bestFit="1" customWidth="1"/>
    <col min="14852" max="15104" width="9.33203125" style="187"/>
    <col min="15105" max="15105" width="34.5" style="187" bestFit="1" customWidth="1"/>
    <col min="15106" max="15106" width="23.1640625" style="187" customWidth="1"/>
    <col min="15107" max="15107" width="14" style="187" bestFit="1" customWidth="1"/>
    <col min="15108" max="15360" width="9.33203125" style="187"/>
    <col min="15361" max="15361" width="34.5" style="187" bestFit="1" customWidth="1"/>
    <col min="15362" max="15362" width="23.1640625" style="187" customWidth="1"/>
    <col min="15363" max="15363" width="14" style="187" bestFit="1" customWidth="1"/>
    <col min="15364" max="15616" width="9.33203125" style="187"/>
    <col min="15617" max="15617" width="34.5" style="187" bestFit="1" customWidth="1"/>
    <col min="15618" max="15618" width="23.1640625" style="187" customWidth="1"/>
    <col min="15619" max="15619" width="14" style="187" bestFit="1" customWidth="1"/>
    <col min="15620" max="15872" width="9.33203125" style="187"/>
    <col min="15873" max="15873" width="34.5" style="187" bestFit="1" customWidth="1"/>
    <col min="15874" max="15874" width="23.1640625" style="187" customWidth="1"/>
    <col min="15875" max="15875" width="14" style="187" bestFit="1" customWidth="1"/>
    <col min="15876" max="16128" width="9.33203125" style="187"/>
    <col min="16129" max="16129" width="34.5" style="187" bestFit="1" customWidth="1"/>
    <col min="16130" max="16130" width="23.1640625" style="187" customWidth="1"/>
    <col min="16131" max="16131" width="14" style="187" bestFit="1" customWidth="1"/>
    <col min="16132" max="16384" width="9.33203125" style="187"/>
  </cols>
  <sheetData>
    <row r="1" spans="1:2">
      <c r="A1" s="187" t="s">
        <v>635</v>
      </c>
      <c r="B1" s="254">
        <v>6.1</v>
      </c>
    </row>
    <row r="2" spans="1:2">
      <c r="A2" s="187" t="s">
        <v>636</v>
      </c>
      <c r="B2" s="258">
        <v>43201.398518518516</v>
      </c>
    </row>
    <row r="3" spans="1:2">
      <c r="A3" s="187" t="s">
        <v>637</v>
      </c>
      <c r="B3" s="255" t="s">
        <v>340</v>
      </c>
    </row>
    <row r="4" spans="1:2">
      <c r="A4" s="187" t="s">
        <v>638</v>
      </c>
      <c r="B4" s="255" t="s">
        <v>639</v>
      </c>
    </row>
    <row r="5" spans="1:2">
      <c r="A5" s="187" t="s">
        <v>640</v>
      </c>
      <c r="B5" s="255" t="s">
        <v>641</v>
      </c>
    </row>
    <row r="6" spans="1:2">
      <c r="A6" s="187" t="s">
        <v>642</v>
      </c>
    </row>
    <row r="7" spans="1:2">
      <c r="A7" s="187" t="s">
        <v>643</v>
      </c>
      <c r="B7" s="255" t="s">
        <v>304</v>
      </c>
    </row>
    <row r="8" spans="1:2">
      <c r="A8" s="187" t="s">
        <v>644</v>
      </c>
      <c r="B8" s="255" t="s">
        <v>645</v>
      </c>
    </row>
    <row r="9" spans="1:2">
      <c r="A9" s="187" t="s">
        <v>646</v>
      </c>
      <c r="B9" s="255" t="s">
        <v>684</v>
      </c>
    </row>
    <row r="10" spans="1:2">
      <c r="A10" s="187" t="s">
        <v>647</v>
      </c>
    </row>
    <row r="11" spans="1:2">
      <c r="A11" s="187" t="s">
        <v>648</v>
      </c>
    </row>
    <row r="12" spans="1:2">
      <c r="A12" s="187" t="s">
        <v>649</v>
      </c>
    </row>
    <row r="13" spans="1:2">
      <c r="A13" s="187" t="s">
        <v>650</v>
      </c>
    </row>
    <row r="14" spans="1:2">
      <c r="A14" s="187" t="s">
        <v>651</v>
      </c>
    </row>
    <row r="15" spans="1:2">
      <c r="A15" s="187" t="s">
        <v>652</v>
      </c>
    </row>
    <row r="16" spans="1:2">
      <c r="A16" s="187" t="s">
        <v>653</v>
      </c>
    </row>
    <row r="17" spans="1:4">
      <c r="A17" s="187" t="s">
        <v>654</v>
      </c>
      <c r="B17" s="255" t="s">
        <v>685</v>
      </c>
    </row>
    <row r="18" spans="1:4">
      <c r="A18" s="187" t="s">
        <v>655</v>
      </c>
      <c r="B18" s="255" t="s">
        <v>341</v>
      </c>
    </row>
    <row r="19" spans="1:4">
      <c r="A19" s="187" t="s">
        <v>656</v>
      </c>
      <c r="B19" s="255" t="s">
        <v>303</v>
      </c>
    </row>
    <row r="20" spans="1:4">
      <c r="A20" s="187" t="s">
        <v>657</v>
      </c>
      <c r="B20" s="256" t="s">
        <v>688</v>
      </c>
    </row>
    <row r="21" spans="1:4">
      <c r="A21" s="187" t="s">
        <v>658</v>
      </c>
      <c r="B21" s="255" t="s">
        <v>303</v>
      </c>
    </row>
    <row r="22" spans="1:4">
      <c r="A22" s="187" t="s">
        <v>659</v>
      </c>
      <c r="B22" s="256" t="s">
        <v>322</v>
      </c>
    </row>
    <row r="23" spans="1:4">
      <c r="A23" s="187" t="s">
        <v>306</v>
      </c>
      <c r="B23" s="254">
        <v>27.26</v>
      </c>
    </row>
    <row r="24" spans="1:4">
      <c r="A24" s="187" t="s">
        <v>305</v>
      </c>
      <c r="B24" s="255" t="s">
        <v>302</v>
      </c>
      <c r="D24" s="187" t="s">
        <v>660</v>
      </c>
    </row>
    <row r="25" spans="1:4">
      <c r="A25" s="187" t="s">
        <v>661</v>
      </c>
      <c r="B25" s="255" t="s">
        <v>689</v>
      </c>
    </row>
    <row r="26" spans="1:4">
      <c r="A26" s="187" t="s">
        <v>662</v>
      </c>
      <c r="B26" s="255">
        <v>0</v>
      </c>
    </row>
    <row r="27" spans="1:4">
      <c r="A27" s="187" t="s">
        <v>663</v>
      </c>
      <c r="B27" s="255" t="s">
        <v>664</v>
      </c>
    </row>
    <row r="28" spans="1:4">
      <c r="A28" s="187" t="s">
        <v>665</v>
      </c>
      <c r="B28" s="255" t="s">
        <v>666</v>
      </c>
    </row>
    <row r="29" spans="1:4">
      <c r="A29" s="187" t="s">
        <v>667</v>
      </c>
    </row>
    <row r="30" spans="1:4">
      <c r="A30" s="187" t="s">
        <v>668</v>
      </c>
    </row>
    <row r="31" spans="1:4">
      <c r="A31" s="187" t="s">
        <v>669</v>
      </c>
    </row>
    <row r="32" spans="1:4">
      <c r="A32" s="187" t="s">
        <v>670</v>
      </c>
      <c r="B32" s="254"/>
    </row>
    <row r="33" spans="1:2">
      <c r="A33" s="187" t="s">
        <v>671</v>
      </c>
      <c r="B33" s="254"/>
    </row>
    <row r="34" spans="1:2">
      <c r="A34" s="187" t="s">
        <v>672</v>
      </c>
      <c r="B34" s="254"/>
    </row>
    <row r="35" spans="1:2">
      <c r="A35" s="187" t="s">
        <v>673</v>
      </c>
      <c r="B35" s="255">
        <v>1000000</v>
      </c>
    </row>
    <row r="36" spans="1:2">
      <c r="A36" s="187" t="s">
        <v>674</v>
      </c>
      <c r="B36" s="255" t="s">
        <v>686</v>
      </c>
    </row>
    <row r="37" spans="1:2">
      <c r="A37" s="187" t="s">
        <v>675</v>
      </c>
      <c r="B37" s="255" t="s">
        <v>676</v>
      </c>
    </row>
    <row r="38" spans="1:2">
      <c r="A38" s="187" t="s">
        <v>677</v>
      </c>
      <c r="B38" s="255" t="s">
        <v>678</v>
      </c>
    </row>
    <row r="39" spans="1:2">
      <c r="A39" s="187" t="s">
        <v>679</v>
      </c>
      <c r="B39" s="255" t="s">
        <v>687</v>
      </c>
    </row>
    <row r="40" spans="1:2">
      <c r="A40" s="187" t="s">
        <v>680</v>
      </c>
      <c r="B40" s="255">
        <v>1500000135</v>
      </c>
    </row>
    <row r="41" spans="1:2">
      <c r="A41" s="187" t="s">
        <v>681</v>
      </c>
      <c r="B41" s="255">
        <v>1</v>
      </c>
    </row>
    <row r="42" spans="1:2">
      <c r="A42" s="257" t="s">
        <v>682</v>
      </c>
    </row>
    <row r="43" spans="1:2">
      <c r="A43" s="187" t="s">
        <v>683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187" bestFit="1" customWidth="1"/>
    <col min="2" max="256" width="9.33203125" style="187"/>
    <col min="257" max="257" width="33.33203125" style="187" bestFit="1" customWidth="1"/>
    <col min="258" max="512" width="9.33203125" style="187"/>
    <col min="513" max="513" width="33.33203125" style="187" bestFit="1" customWidth="1"/>
    <col min="514" max="768" width="9.33203125" style="187"/>
    <col min="769" max="769" width="33.33203125" style="187" bestFit="1" customWidth="1"/>
    <col min="770" max="1024" width="9.33203125" style="187"/>
    <col min="1025" max="1025" width="33.33203125" style="187" bestFit="1" customWidth="1"/>
    <col min="1026" max="1280" width="9.33203125" style="187"/>
    <col min="1281" max="1281" width="33.33203125" style="187" bestFit="1" customWidth="1"/>
    <col min="1282" max="1536" width="9.33203125" style="187"/>
    <col min="1537" max="1537" width="33.33203125" style="187" bestFit="1" customWidth="1"/>
    <col min="1538" max="1792" width="9.33203125" style="187"/>
    <col min="1793" max="1793" width="33.33203125" style="187" bestFit="1" customWidth="1"/>
    <col min="1794" max="2048" width="9.33203125" style="187"/>
    <col min="2049" max="2049" width="33.33203125" style="187" bestFit="1" customWidth="1"/>
    <col min="2050" max="2304" width="9.33203125" style="187"/>
    <col min="2305" max="2305" width="33.33203125" style="187" bestFit="1" customWidth="1"/>
    <col min="2306" max="2560" width="9.33203125" style="187"/>
    <col min="2561" max="2561" width="33.33203125" style="187" bestFit="1" customWidth="1"/>
    <col min="2562" max="2816" width="9.33203125" style="187"/>
    <col min="2817" max="2817" width="33.33203125" style="187" bestFit="1" customWidth="1"/>
    <col min="2818" max="3072" width="9.33203125" style="187"/>
    <col min="3073" max="3073" width="33.33203125" style="187" bestFit="1" customWidth="1"/>
    <col min="3074" max="3328" width="9.33203125" style="187"/>
    <col min="3329" max="3329" width="33.33203125" style="187" bestFit="1" customWidth="1"/>
    <col min="3330" max="3584" width="9.33203125" style="187"/>
    <col min="3585" max="3585" width="33.33203125" style="187" bestFit="1" customWidth="1"/>
    <col min="3586" max="3840" width="9.33203125" style="187"/>
    <col min="3841" max="3841" width="33.33203125" style="187" bestFit="1" customWidth="1"/>
    <col min="3842" max="4096" width="9.33203125" style="187"/>
    <col min="4097" max="4097" width="33.33203125" style="187" bestFit="1" customWidth="1"/>
    <col min="4098" max="4352" width="9.33203125" style="187"/>
    <col min="4353" max="4353" width="33.33203125" style="187" bestFit="1" customWidth="1"/>
    <col min="4354" max="4608" width="9.33203125" style="187"/>
    <col min="4609" max="4609" width="33.33203125" style="187" bestFit="1" customWidth="1"/>
    <col min="4610" max="4864" width="9.33203125" style="187"/>
    <col min="4865" max="4865" width="33.33203125" style="187" bestFit="1" customWidth="1"/>
    <col min="4866" max="5120" width="9.33203125" style="187"/>
    <col min="5121" max="5121" width="33.33203125" style="187" bestFit="1" customWidth="1"/>
    <col min="5122" max="5376" width="9.33203125" style="187"/>
    <col min="5377" max="5377" width="33.33203125" style="187" bestFit="1" customWidth="1"/>
    <col min="5378" max="5632" width="9.33203125" style="187"/>
    <col min="5633" max="5633" width="33.33203125" style="187" bestFit="1" customWidth="1"/>
    <col min="5634" max="5888" width="9.33203125" style="187"/>
    <col min="5889" max="5889" width="33.33203125" style="187" bestFit="1" customWidth="1"/>
    <col min="5890" max="6144" width="9.33203125" style="187"/>
    <col min="6145" max="6145" width="33.33203125" style="187" bestFit="1" customWidth="1"/>
    <col min="6146" max="6400" width="9.33203125" style="187"/>
    <col min="6401" max="6401" width="33.33203125" style="187" bestFit="1" customWidth="1"/>
    <col min="6402" max="6656" width="9.33203125" style="187"/>
    <col min="6657" max="6657" width="33.33203125" style="187" bestFit="1" customWidth="1"/>
    <col min="6658" max="6912" width="9.33203125" style="187"/>
    <col min="6913" max="6913" width="33.33203125" style="187" bestFit="1" customWidth="1"/>
    <col min="6914" max="7168" width="9.33203125" style="187"/>
    <col min="7169" max="7169" width="33.33203125" style="187" bestFit="1" customWidth="1"/>
    <col min="7170" max="7424" width="9.33203125" style="187"/>
    <col min="7425" max="7425" width="33.33203125" style="187" bestFit="1" customWidth="1"/>
    <col min="7426" max="7680" width="9.33203125" style="187"/>
    <col min="7681" max="7681" width="33.33203125" style="187" bestFit="1" customWidth="1"/>
    <col min="7682" max="7936" width="9.33203125" style="187"/>
    <col min="7937" max="7937" width="33.33203125" style="187" bestFit="1" customWidth="1"/>
    <col min="7938" max="8192" width="9.33203125" style="187"/>
    <col min="8193" max="8193" width="33.33203125" style="187" bestFit="1" customWidth="1"/>
    <col min="8194" max="8448" width="9.33203125" style="187"/>
    <col min="8449" max="8449" width="33.33203125" style="187" bestFit="1" customWidth="1"/>
    <col min="8450" max="8704" width="9.33203125" style="187"/>
    <col min="8705" max="8705" width="33.33203125" style="187" bestFit="1" customWidth="1"/>
    <col min="8706" max="8960" width="9.33203125" style="187"/>
    <col min="8961" max="8961" width="33.33203125" style="187" bestFit="1" customWidth="1"/>
    <col min="8962" max="9216" width="9.33203125" style="187"/>
    <col min="9217" max="9217" width="33.33203125" style="187" bestFit="1" customWidth="1"/>
    <col min="9218" max="9472" width="9.33203125" style="187"/>
    <col min="9473" max="9473" width="33.33203125" style="187" bestFit="1" customWidth="1"/>
    <col min="9474" max="9728" width="9.33203125" style="187"/>
    <col min="9729" max="9729" width="33.33203125" style="187" bestFit="1" customWidth="1"/>
    <col min="9730" max="9984" width="9.33203125" style="187"/>
    <col min="9985" max="9985" width="33.33203125" style="187" bestFit="1" customWidth="1"/>
    <col min="9986" max="10240" width="9.33203125" style="187"/>
    <col min="10241" max="10241" width="33.33203125" style="187" bestFit="1" customWidth="1"/>
    <col min="10242" max="10496" width="9.33203125" style="187"/>
    <col min="10497" max="10497" width="33.33203125" style="187" bestFit="1" customWidth="1"/>
    <col min="10498" max="10752" width="9.33203125" style="187"/>
    <col min="10753" max="10753" width="33.33203125" style="187" bestFit="1" customWidth="1"/>
    <col min="10754" max="11008" width="9.33203125" style="187"/>
    <col min="11009" max="11009" width="33.33203125" style="187" bestFit="1" customWidth="1"/>
    <col min="11010" max="11264" width="9.33203125" style="187"/>
    <col min="11265" max="11265" width="33.33203125" style="187" bestFit="1" customWidth="1"/>
    <col min="11266" max="11520" width="9.33203125" style="187"/>
    <col min="11521" max="11521" width="33.33203125" style="187" bestFit="1" customWidth="1"/>
    <col min="11522" max="11776" width="9.33203125" style="187"/>
    <col min="11777" max="11777" width="33.33203125" style="187" bestFit="1" customWidth="1"/>
    <col min="11778" max="12032" width="9.33203125" style="187"/>
    <col min="12033" max="12033" width="33.33203125" style="187" bestFit="1" customWidth="1"/>
    <col min="12034" max="12288" width="9.33203125" style="187"/>
    <col min="12289" max="12289" width="33.33203125" style="187" bestFit="1" customWidth="1"/>
    <col min="12290" max="12544" width="9.33203125" style="187"/>
    <col min="12545" max="12545" width="33.33203125" style="187" bestFit="1" customWidth="1"/>
    <col min="12546" max="12800" width="9.33203125" style="187"/>
    <col min="12801" max="12801" width="33.33203125" style="187" bestFit="1" customWidth="1"/>
    <col min="12802" max="13056" width="9.33203125" style="187"/>
    <col min="13057" max="13057" width="33.33203125" style="187" bestFit="1" customWidth="1"/>
    <col min="13058" max="13312" width="9.33203125" style="187"/>
    <col min="13313" max="13313" width="33.33203125" style="187" bestFit="1" customWidth="1"/>
    <col min="13314" max="13568" width="9.33203125" style="187"/>
    <col min="13569" max="13569" width="33.33203125" style="187" bestFit="1" customWidth="1"/>
    <col min="13570" max="13824" width="9.33203125" style="187"/>
    <col min="13825" max="13825" width="33.33203125" style="187" bestFit="1" customWidth="1"/>
    <col min="13826" max="14080" width="9.33203125" style="187"/>
    <col min="14081" max="14081" width="33.33203125" style="187" bestFit="1" customWidth="1"/>
    <col min="14082" max="14336" width="9.33203125" style="187"/>
    <col min="14337" max="14337" width="33.33203125" style="187" bestFit="1" customWidth="1"/>
    <col min="14338" max="14592" width="9.33203125" style="187"/>
    <col min="14593" max="14593" width="33.33203125" style="187" bestFit="1" customWidth="1"/>
    <col min="14594" max="14848" width="9.33203125" style="187"/>
    <col min="14849" max="14849" width="33.33203125" style="187" bestFit="1" customWidth="1"/>
    <col min="14850" max="15104" width="9.33203125" style="187"/>
    <col min="15105" max="15105" width="33.33203125" style="187" bestFit="1" customWidth="1"/>
    <col min="15106" max="15360" width="9.33203125" style="187"/>
    <col min="15361" max="15361" width="33.33203125" style="187" bestFit="1" customWidth="1"/>
    <col min="15362" max="15616" width="9.33203125" style="187"/>
    <col min="15617" max="15617" width="33.33203125" style="187" bestFit="1" customWidth="1"/>
    <col min="15618" max="15872" width="9.33203125" style="187"/>
    <col min="15873" max="15873" width="33.33203125" style="187" bestFit="1" customWidth="1"/>
    <col min="15874" max="16128" width="9.33203125" style="187"/>
    <col min="16129" max="16129" width="33.33203125" style="187" bestFit="1" customWidth="1"/>
    <col min="16130" max="16384" width="9.33203125" style="187"/>
  </cols>
  <sheetData>
    <row r="1" spans="1:1">
      <c r="A1" s="259" t="s">
        <v>690</v>
      </c>
    </row>
    <row r="2" spans="1:1">
      <c r="A2" s="259" t="s">
        <v>695</v>
      </c>
    </row>
    <row r="3" spans="1:1">
      <c r="A3" s="259" t="s">
        <v>696</v>
      </c>
    </row>
    <row r="4" spans="1:1">
      <c r="A4" s="259" t="s">
        <v>697</v>
      </c>
    </row>
    <row r="5" spans="1:1">
      <c r="A5" s="259" t="s">
        <v>698</v>
      </c>
    </row>
    <row r="6" spans="1:1">
      <c r="A6" s="259" t="s">
        <v>691</v>
      </c>
    </row>
    <row r="7" spans="1:1">
      <c r="A7" s="259" t="s">
        <v>699</v>
      </c>
    </row>
    <row r="8" spans="1:1">
      <c r="A8" s="259" t="s">
        <v>700</v>
      </c>
    </row>
    <row r="9" spans="1:1">
      <c r="A9" s="259" t="s">
        <v>701</v>
      </c>
    </row>
    <row r="10" spans="1:1">
      <c r="A10" s="259" t="s">
        <v>692</v>
      </c>
    </row>
    <row r="11" spans="1:1">
      <c r="A11" s="259" t="s">
        <v>702</v>
      </c>
    </row>
    <row r="12" spans="1:1">
      <c r="A12" s="259" t="s">
        <v>693</v>
      </c>
    </row>
    <row r="13" spans="1:1">
      <c r="A13" s="259" t="s">
        <v>694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"/>
  <sheetViews>
    <sheetView workbookViewId="0"/>
  </sheetViews>
  <sheetFormatPr defaultRowHeight="11.25"/>
  <sheetData>
    <row r="1" spans="1:6">
      <c r="A1" t="s">
        <v>311</v>
      </c>
    </row>
    <row r="2" spans="1:6">
      <c r="A2" s="190" t="s">
        <v>308</v>
      </c>
      <c r="B2" s="190" t="s">
        <v>322</v>
      </c>
      <c r="C2" s="190" t="s">
        <v>309</v>
      </c>
      <c r="D2" s="190" t="s">
        <v>323</v>
      </c>
      <c r="E2" s="190" t="s">
        <v>310</v>
      </c>
      <c r="F2" s="190" t="s">
        <v>302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Linking_7</vt:lpstr>
      <vt:lpstr>Linking_8</vt:lpstr>
      <vt:lpstr>Linking_9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2017-03-27T19:39:58Z</dcterms:created>
  <dc:creator>Lynagh, Connor J (Research)</dc:creator>
  <cp:lastModifiedBy>Ozier, Alex (Research)</cp:lastModifiedBy>
  <cp:lastPrinted>2017-11-13T21:26:37Z</cp:lastPrinted>
  <dcterms:modified xsi:type="dcterms:W3CDTF">2018-04-11T13:33:54Z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760964</vt:lpwstr>
  </property>
  <property fmtid="{D5CDD505-2E9C-101B-9397-08002B2CF9AE}" name="ERModPubCompanyName" pid="5">
    <vt:lpwstr>C&amp;J Energy Services Inc</vt:lpwstr>
  </property>
  <property fmtid="{D5CDD505-2E9C-101B-9397-08002B2CF9AE}" name="MSDH34TAG" pid="6">
    <vt:lpwstr>.TEZUF76X5TAHATHESADREYAK-00-INB160+*94600-06=feb24b5e/-3d8c/-11e8/-b3f7/-7a79cfe26848,MD=20180411093815/-0400,ZZ=000Z-84f2.</vt:lpwstr>
  </property>
</Properties>
</file>