
<file path=[Content_Types].xml><?xml version="1.0" encoding="utf-8"?>
<Types xmlns="http://schemas.openxmlformats.org/package/2006/content-types">
  <Default ContentType="application/vnd.openxmlformats-officedocument.spreadsheetml.printerSettings" Extension="bin"/>
  <Default ContentType="image/gif" Extension="gif"/>
  <Default ContentType="image/jpeg" Extension="jpeg"/>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externalLink+xml" PartName="/xl/externalLinks/externalLink5.xml"/>
  <Override ContentType="application/vnd.openxmlformats-officedocument.spreadsheetml.externalLink+xml" PartName="/xl/externalLinks/externalLink6.xml"/>
  <Override ContentType="application/vnd.openxmlformats-officedocument.spreadsheetml.externalLink+xml" PartName="/xl/externalLinks/externalLink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volatileDependencies+xml" PartName="/xl/volatileDependenci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8780" yWindow="0" windowWidth="18840" windowHeight="11550"/>
  </bookViews>
  <sheets>
    <sheet name="ImportantDisclosures" sheetId="33" r:id="rId1"/>
    <sheet name="TOC" sheetId="11" r:id="rId2"/>
    <sheet name="IS" sheetId="5" r:id="rId3"/>
    <sheet name="BDX" sheetId="3" r:id="rId4"/>
    <sheet name="Med" sheetId="1" r:id="rId5"/>
    <sheet name="LS" sheetId="2" r:id="rId6"/>
    <sheet name="Int" sheetId="4" r:id="rId7"/>
    <sheet name="BS" sheetId="6" r:id="rId8"/>
    <sheet name="CFS" sheetId="7" r:id="rId9"/>
    <sheet name="IndexInformation" sheetId="34" r:id="rId10"/>
    <sheet name="ModPubIndex" sheetId="35" r:id="rId11"/>
    <sheet name="MW-Cache" sheetId="25" state="veryHidden" r:id="rId12"/>
  </sheets>
  <externalReferences>
    <externalReference r:id="rId13"/>
    <externalReference r:id="rId14"/>
    <externalReference r:id="rId15"/>
    <externalReference r:id="rId16"/>
    <externalReference r:id="rId17"/>
    <externalReference r:id="rId18"/>
    <externalReference r:id="rId19"/>
  </externalReferences>
  <definedNames>
    <definedName name="___a1" hidden="1">{"comp1",#N/A,FALSE,"COMPS";"footnotes",#N/A,FALSE,"COMPS"}</definedName>
    <definedName name="___aa1" hidden="1">{#N/A,#N/A,TRUE,"Pro Forma";#N/A,#N/A,TRUE,"PF_Bal";#N/A,#N/A,TRUE,"PF_INC";#N/A,#N/A,TRUE,"CBE";#N/A,#N/A,TRUE,"SWK"}</definedName>
    <definedName name="___ab1" hidden="1">{"comp1",#N/A,FALSE,"COMPS";"footnotes",#N/A,FALSE,"COMPS"}</definedName>
    <definedName name="___ae1" hidden="1">{#N/A,#N/A,FALSE,"Calc";#N/A,#N/A,FALSE,"Sensitivity";#N/A,#N/A,FALSE,"LT Earn.Dil.";#N/A,#N/A,FALSE,"Dil. AVP"}</definedName>
    <definedName name="___am1" hidden="1">{#N/A,#N/A,TRUE,"Pro Forma";#N/A,#N/A,TRUE,"PF_Bal";#N/A,#N/A,TRUE,"PF_INC";#N/A,#N/A,TRUE,"CBE";#N/A,#N/A,TRUE,"SWK"}</definedName>
    <definedName name="___as1" hidden="1">{"comp1",#N/A,FALSE,"COMPS";"footnotes",#N/A,FALSE,"COMPS"}</definedName>
    <definedName name="___f1" hidden="1">{"assumption cash",#N/A,TRUE,"Merger";"has gets cash",#N/A,TRUE,"Merger";"accretion dilution",#N/A,TRUE,"Merger";"comparison credit stats",#N/A,TRUE,"Merger";"pf credit stats",#N/A,TRUE,"Merger";"pf sheets",#N/A,TRUE,"Merger"}</definedName>
    <definedName name="___ik1" hidden="1">{"casespecific",#N/A,FALSE,"Assumptions"}</definedName>
    <definedName name="___t1" hidden="1">{"Client is",#N/A,FALSE,"Client"}</definedName>
    <definedName name="__a1" hidden="1">{"comp1",#N/A,FALSE,"COMPS";"footnotes",#N/A,FALSE,"COMPS"}</definedName>
    <definedName name="__aa1" hidden="1">{#N/A,#N/A,TRUE,"Pro Forma";#N/A,#N/A,TRUE,"PF_Bal";#N/A,#N/A,TRUE,"PF_INC";#N/A,#N/A,TRUE,"CBE";#N/A,#N/A,TRUE,"SWK"}</definedName>
    <definedName name="__aaa1" hidden="1">{"comp1",#N/A,FALSE,"COMPS";"footnotes",#N/A,FALSE,"COMPS"}</definedName>
    <definedName name="__aab1" hidden="1">{"comp1",#N/A,FALSE,"COMPS";"footnotes",#N/A,FALSE,"COMPS"}</definedName>
    <definedName name="__ab1" hidden="1">{"comp1",#N/A,FALSE,"COMPS";"footnotes",#N/A,FALSE,"COMPS"}</definedName>
    <definedName name="__ae1" hidden="1">{#N/A,#N/A,FALSE,"Calc";#N/A,#N/A,FALSE,"Sensitivity";#N/A,#N/A,FALSE,"LT Earn.Dil.";#N/A,#N/A,FALSE,"Dil. AVP"}</definedName>
    <definedName name="__aee1" hidden="1">{#N/A,#N/A,FALSE,"Calc";#N/A,#N/A,FALSE,"Sensitivity";#N/A,#N/A,FALSE,"LT Earn.Dil.";#N/A,#N/A,FALSE,"Dil. AVP"}</definedName>
    <definedName name="__am1" hidden="1">{#N/A,#N/A,TRUE,"Pro Forma";#N/A,#N/A,TRUE,"PF_Bal";#N/A,#N/A,TRUE,"PF_INC";#N/A,#N/A,TRUE,"CBE";#N/A,#N/A,TRUE,"SWK"}</definedName>
    <definedName name="__amm1" hidden="1">{#N/A,#N/A,TRUE,"Pro Forma";#N/A,#N/A,TRUE,"PF_Bal";#N/A,#N/A,TRUE,"PF_INC";#N/A,#N/A,TRUE,"CBE";#N/A,#N/A,TRUE,"SWK"}</definedName>
    <definedName name="__as1" hidden="1">{"comp1",#N/A,FALSE,"COMPS";"footnotes",#N/A,FALSE,"COMPS"}</definedName>
    <definedName name="__ass1" hidden="1">{"comp1",#N/A,FALSE,"COMPS";"footnotes",#N/A,FALSE,"COMPS"}</definedName>
    <definedName name="__CFN1" hidden="1">{"fdsup://directions/FAT Viewer?action=UPDATE&amp;creator=factset&amp;DYN_ARGS=TRUE&amp;DOC_NAME=FAT:FQL_AUDITING_CLIENT_TEMPLATE.FAT&amp;display_string=Audit&amp;VAR:KEY=WZAJSXWDSJ&amp;VAR:QUERY=RkZfU0hMRFJTX0VRKEFOTiwwKQ==&amp;WINDOW=FIRST_POPUP&amp;HEIGHT=450&amp;WIDTH=450&amp;START_MAXIMIZED=","FALSE&amp;VAR:CALENDAR=US&amp;VAR:SYMBOL=BDX&amp;VAR:INDEX=0"}</definedName>
    <definedName name="__f1" hidden="1">{"assumption cash",#N/A,TRUE,"Merger";"has gets cash",#N/A,TRUE,"Merger";"accretion dilution",#N/A,TRUE,"Merger";"comparison credit stats",#N/A,TRUE,"Merger";"pf credit stats",#N/A,TRUE,"Merger";"pf sheets",#N/A,TRUE,"Merger"}</definedName>
    <definedName name="__FDS_HYPERLINK_TOGGLE_STATE__" hidden="1">"ON"</definedName>
    <definedName name="__FDS_UNIQUE_RANGE_ID_GENERATOR_COUNTER" hidden="1">193</definedName>
    <definedName name="__ik1" hidden="1">{"casespecific",#N/A,FALSE,"Assumptions"}</definedName>
    <definedName name="__t1" hidden="1">{"Client is",#N/A,FALSE,"Client"}</definedName>
    <definedName name="_1__FDSAUDITLINK__" hidden="1">{"fdsup://Directions/FactSet Auditing Viewer?action=AUDIT_VALUE&amp;DB=129&amp;ID1=62855J10&amp;VALUEID=02001&amp;SDATE=2010&amp;PERIODTYPE=ANN_STD&amp;window=popup_no_bar&amp;width=385&amp;height=120&amp;START_MAXIMIZED=FALSE&amp;creator=factset&amp;display_string=Audit"}</definedName>
    <definedName name="_10__FDSAUDITLINK__" hidden="1">{"fdsup://Directions/FactSet Auditing Viewer?action=AUDIT_VALUE&amp;DB=129&amp;ID1=45232710&amp;VALUEID=02001&amp;SDATE=2009&amp;PERIODTYPE=ANN_STD&amp;window=popup_no_bar&amp;width=385&amp;height=120&amp;START_MAXIMIZED=FALSE&amp;creator=factset&amp;display_string=Audit"}</definedName>
    <definedName name="_100__FDSAUDITLINK__" hidden="1">{"fdsup://Directions/FactSet Auditing Viewer?action=AUDIT_VALUE&amp;DB=129&amp;ID1=98956P10&amp;VALUEID=02001&amp;SDATE=2009&amp;PERIODTYPE=ANN_STD&amp;window=popup_no_bar&amp;width=385&amp;height=120&amp;START_MAXIMIZED=FALSE&amp;creator=factset&amp;display_string=Audit"}</definedName>
    <definedName name="_101__FDSAUDITLINK__" hidden="1">{"fdsup://Directions/FactSet Auditing Viewer?action=AUDIT_VALUE&amp;DB=129&amp;ID1=58505510&amp;VALUEID=02001&amp;SDATE=2009&amp;PERIODTYPE=ANN_STD&amp;window=popup_no_bar&amp;width=385&amp;height=120&amp;START_MAXIMIZED=FALSE&amp;creator=factset&amp;display_string=Audit"}</definedName>
    <definedName name="_102__FDSAUDITLINK__" hidden="1">{"fdsup://Directions/FactSet Auditing Viewer?action=AUDIT_VALUE&amp;DB=129&amp;ID1=45798520&amp;VALUEID=02001&amp;SDATE=2009&amp;PERIODTYPE=ANN_STD&amp;window=popup_no_bar&amp;width=385&amp;height=120&amp;START_MAXIMIZED=FALSE&amp;creator=factset&amp;display_string=Audit"}</definedName>
    <definedName name="_103__FDSAUDITLINK__" hidden="1">{"fdsup://Directions/FactSet Auditing Viewer?action=AUDIT_VALUE&amp;DB=129&amp;ID1=46120E60&amp;VALUEID=02001&amp;SDATE=2009&amp;PERIODTYPE=ANN_STD&amp;window=popup_no_bar&amp;width=385&amp;height=120&amp;START_MAXIMIZED=FALSE&amp;creator=factset&amp;display_string=Audit"}</definedName>
    <definedName name="_104__FDSAUDITLINK__" hidden="1">{"fdsup://Directions/FactSet Auditing Viewer?action=AUDIT_VALUE&amp;DB=129&amp;ID1=43644010&amp;VALUEID=02001&amp;SDATE=201004&amp;PERIODTYPE=QTR_STD&amp;window=popup_no_bar&amp;width=385&amp;height=120&amp;START_MAXIMIZED=FALSE&amp;creator=factset&amp;display_string=Audit"}</definedName>
    <definedName name="_105__FDSAUDITLINK__" hidden="1">{"fdsup://Directions/FactSet Auditing Viewer?action=AUDIT_VALUE&amp;DB=129&amp;ID1=40502410&amp;VALUEID=02001&amp;SDATE=2009&amp;PERIODTYPE=ANN_STD&amp;window=popup_no_bar&amp;width=385&amp;height=120&amp;START_MAXIMIZED=FALSE&amp;creator=factset&amp;display_string=Audit"}</definedName>
    <definedName name="_106__FDSAUDITLINK__" hidden="1">{"fdsup://Directions/FactSet Auditing Viewer?action=AUDIT_VALUE&amp;DB=129&amp;ID1=36866T10&amp;VALUEID=02001&amp;SDATE=2009&amp;PERIODTYPE=ANN_STD&amp;window=popup_no_bar&amp;width=385&amp;height=120&amp;START_MAXIMIZED=FALSE&amp;creator=factset&amp;display_string=Audit"}</definedName>
    <definedName name="_107__FDSAUDITLINK__" hidden="1">{"fdsup://Directions/FactSet Auditing Viewer?action=AUDIT_VALUE&amp;DB=129&amp;ID1=06738310&amp;VALUEID=02001&amp;SDATE=2009&amp;PERIODTYPE=ANN_STD&amp;window=popup_no_bar&amp;width=385&amp;height=120&amp;START_MAXIMIZED=FALSE&amp;creator=factset&amp;display_string=Audit"}</definedName>
    <definedName name="_108__FDSAUDITLINK__" hidden="1">{"fdsup://Directions/FactSet Auditing Viewer?action=AUDIT_VALUE&amp;DB=129&amp;ID1=28176E10&amp;VALUEID=02001&amp;SDATE=2009&amp;PERIODTYPE=ANN_STD&amp;window=popup_no_bar&amp;width=385&amp;height=120&amp;START_MAXIMIZED=FALSE&amp;creator=factset&amp;display_string=Audit"}</definedName>
    <definedName name="_109__FDSAUDITLINK__" hidden="1">{"fdsup://Directions/FactSet Auditing Viewer?action=AUDIT_VALUE&amp;DB=129&amp;ID1=10113710&amp;VALUEID=02001&amp;SDATE=2009&amp;PERIODTYPE=ANN_STD&amp;window=popup_no_bar&amp;width=385&amp;height=120&amp;START_MAXIMIZED=FALSE&amp;creator=factset&amp;display_string=Audit"}</definedName>
    <definedName name="_11__123Graph_Aｸﾞﾗﾌ_1" hidden="1">[1]ｾｸﾞﾒﾝﾄ!$E$164:$I$164</definedName>
    <definedName name="_11__FDSAUDITLINK__" hidden="1">{"fdsup://Directions/FactSet Auditing Viewer?action=AUDIT_VALUE&amp;DB=129&amp;ID1=87422710&amp;VALUEID=02001&amp;SDATE=2009&amp;PERIODTYPE=ANN_STD&amp;window=popup_no_bar&amp;width=385&amp;height=120&amp;START_MAXIMIZED=FALSE&amp;creator=factset&amp;display_string=Audit"}</definedName>
    <definedName name="_110__FDSAUDITLINK__" hidden="1">{"fdsup://Directions/FactSet Auditing Viewer?action=AUDIT_VALUE&amp;DB=129&amp;ID1=07581110&amp;VALUEID=02001&amp;SDATE=2009&amp;PERIODTYPE=ANN_STD&amp;window=popup_no_bar&amp;width=385&amp;height=120&amp;START_MAXIMIZED=FALSE&amp;creator=factset&amp;display_string=Audit"}</definedName>
    <definedName name="_111__FDSAUDITLINK__" hidden="1">{"fdsup://Directions/FactSet Auditing Viewer?action=AUDIT_VALUE&amp;DB=129&amp;ID1=07588710&amp;VALUEID=02001&amp;SDATE=2010&amp;PERIODTYPE=ANN_STD&amp;window=popup_no_bar&amp;width=385&amp;height=120&amp;START_MAXIMIZED=FALSE&amp;creator=factset&amp;display_string=Audit"}</definedName>
    <definedName name="_112__FDSAUDITLINK__" hidden="1">{"fdsup://Directions/FactSet Auditing Viewer?action=AUDIT_VALUE&amp;DB=129&amp;ID1=02744M10&amp;VALUEID=02001&amp;SDATE=2009&amp;PERIODTYPE=ANN_STD&amp;window=popup_no_bar&amp;width=385&amp;height=120&amp;START_MAXIMIZED=FALSE&amp;creator=factset&amp;display_string=Audit"}</definedName>
    <definedName name="_113__FDSAUDITLINK__" hidden="1">{"fdsup://Directions/FactSet Auditing Viewer?action=AUDIT_VALUE&amp;DB=129&amp;ID1=47816010&amp;VALUEID=02001&amp;SDATE=2009&amp;PERIODTYPE=ANN_STD&amp;window=popup_no_bar&amp;width=385&amp;height=120&amp;START_MAXIMIZED=FALSE&amp;creator=factset&amp;display_string=Audit"}</definedName>
    <definedName name="_114__FDSAUDITLINK__" hidden="1">{"fdsup://Directions/FactSet Auditing Viewer?action=AUDIT_VALUE&amp;DB=129&amp;ID1=00365410&amp;VALUEID=02001&amp;SDATE=2009&amp;PERIODTYPE=ANN_STD&amp;window=popup_no_bar&amp;width=385&amp;height=120&amp;START_MAXIMIZED=FALSE&amp;creator=factset&amp;display_string=Audit"}</definedName>
    <definedName name="_115__FDSAUDITLINK__" hidden="1">{"fdsup://Directions/FactSet Auditing Viewer?action=AUDIT_VALUE&amp;DB=129&amp;ID1=43644010&amp;VALUEID=02001&amp;SDATE=201004&amp;PERIODTYPE=QTR_STD&amp;window=popup_no_bar&amp;width=385&amp;height=120&amp;START_MAXIMIZED=FALSE&amp;creator=factset&amp;display_string=Audit"}</definedName>
    <definedName name="_116__FDSAUDITLINK__" hidden="1">{"fdsup://Directions/FactSet Auditing Viewer?action=AUDIT_VALUE&amp;DB=129&amp;ID1=14170T10&amp;VALUEID=02001&amp;SDATE=2010&amp;PERIODTYPE=ANN_STD&amp;window=popup_no_bar&amp;width=385&amp;height=120&amp;START_MAXIMIZED=FALSE&amp;creator=factset&amp;display_string=Audit"}</definedName>
    <definedName name="_117__FDSAUDITLINK__" hidden="1">{"fdsup://Directions/FactSet Auditing Viewer?action=AUDIT_VALUE&amp;DB=129&amp;ID1=07181310&amp;VALUEID=02001&amp;SDATE=2009&amp;PERIODTYPE=ANN_STD&amp;window=popup_no_bar&amp;width=385&amp;height=120&amp;START_MAXIMIZED=FALSE&amp;creator=factset&amp;display_string=Audit"}</definedName>
    <definedName name="_118__FDSAUDITLINK__" hidden="1">{"fdsup://Directions/FactSet Auditing Viewer?action=AUDIT_VALUE&amp;DB=129&amp;ID1=00282410&amp;VALUEID=02001&amp;SDATE=2009&amp;PERIODTYPE=ANN_STD&amp;window=popup_no_bar&amp;width=385&amp;height=120&amp;START_MAXIMIZED=FALSE&amp;creator=factset&amp;display_string=Audit"}</definedName>
    <definedName name="_119__FDSAUDITLINK__" hidden="1">{"fdsup://Directions/FactSet Auditing Viewer?action=AUDIT_VALUE&amp;DB=129&amp;ID1=62855J10&amp;VALUEID=02001&amp;SDATE=2010&amp;PERIODTYPE=ANN_STD&amp;window=popup_no_bar&amp;width=385&amp;height=120&amp;START_MAXIMIZED=FALSE&amp;creator=factset&amp;display_string=Audit"}</definedName>
    <definedName name="_12__123Graph_Aｸﾞﾗﾌ_2" hidden="1">[1]単独!$AR$14:$AR$18</definedName>
    <definedName name="_12__FDSAUDITLINK__" hidden="1">{"fdsup://Directions/FactSet Auditing Viewer?action=AUDIT_VALUE&amp;DB=129&amp;ID1=41130710&amp;VALUEID=02001&amp;SDATE=2009&amp;PERIODTYPE=ANN_STD&amp;window=popup_no_bar&amp;width=385&amp;height=120&amp;START_MAXIMIZED=FALSE&amp;creator=factset&amp;display_string=Audit"}</definedName>
    <definedName name="_120__FDSAUDITLINK__" hidden="1">{"fdsup://Directions/FactSet Auditing Viewer?action=AUDIT_VALUE&amp;DB=129&amp;ID1=94184810&amp;VALUEID=02001&amp;SDATE=2009&amp;PERIODTYPE=ANN_STD&amp;window=popup_no_bar&amp;width=385&amp;height=120&amp;START_MAXIMIZED=FALSE&amp;creator=factset&amp;display_string=Audit"}</definedName>
    <definedName name="_121__FDSAUDITLINK__" hidden="1">{"fdsup://Directions/FactSet Auditing Viewer?action=AUDIT_VALUE&amp;DB=129&amp;ID1=44106010&amp;VALUEID=02001&amp;SDATE=2009&amp;PERIODTYPE=ANN_STD&amp;window=popup_no_bar&amp;width=385&amp;height=120&amp;START_MAXIMIZED=FALSE&amp;creator=factset&amp;display_string=Audit"}</definedName>
    <definedName name="_122__FDSAUDITLINK__" hidden="1">{"fdsup://Directions/FactSet Auditing Viewer?action=AUDIT_VALUE&amp;DB=129&amp;ID1=36866T10&amp;VALUEID=02001&amp;SDATE=2009&amp;PERIODTYPE=ANN_STD&amp;window=popup_no_bar&amp;width=385&amp;height=120&amp;START_MAXIMIZED=FALSE&amp;creator=factset&amp;display_string=Audit"}</definedName>
    <definedName name="_123__FDSAUDITLINK__" hidden="1">{"fdsup://Directions/FactSet Auditing Viewer?action=AUDIT_VALUE&amp;DB=129&amp;ID1=07588710&amp;VALUEID=02001&amp;SDATE=201004&amp;PERIODTYPE=QTR_STD&amp;window=popup_no_bar&amp;width=385&amp;height=120&amp;START_MAXIMIZED=FALSE&amp;creator=factset&amp;display_string=Audit"}</definedName>
    <definedName name="_124__FDSAUDITLINK__" hidden="1">{"fdsup://Directions/FactSet Auditing Viewer?action=AUDIT_VALUE&amp;DB=129&amp;ID1=07581110&amp;VALUEID=02001&amp;SDATE=2009&amp;PERIODTYPE=ANN_STD&amp;window=popup_no_bar&amp;width=385&amp;height=120&amp;START_MAXIMIZED=FALSE&amp;creator=factset&amp;display_string=Audit"}</definedName>
    <definedName name="_125__FDSAUDITLINK__" hidden="1">{"fdsup://Directions/FactSet Auditing Viewer?action=AUDIT_VALUE&amp;DB=129&amp;ID1=00826T10&amp;VALUEID=02001&amp;SDATE=2009&amp;PERIODTYPE=ANN_STD&amp;window=popup_no_bar&amp;width=385&amp;height=120&amp;START_MAXIMIZED=FALSE&amp;creator=factset&amp;display_string=Audit"}</definedName>
    <definedName name="_126__FDSAUDITLINK__" hidden="1">{"fdsup://Directions/FactSet Auditing Viewer?action=AUDIT_VALUE&amp;DB=129&amp;ID1=88355610&amp;VALUEID=02001&amp;SDATE=2009&amp;PERIODTYPE=ANN_STD&amp;window=popup_no_bar&amp;width=385&amp;height=120&amp;START_MAXIMIZED=FALSE&amp;creator=factset&amp;display_string=Audit"}</definedName>
    <definedName name="_127__FDSAUDITLINK__" hidden="1">{"fdsup://Directions/FactSet Auditing Viewer?action=AUDIT_VALUE&amp;DB=129&amp;ID1=53217V10&amp;VALUEID=02001&amp;SDATE=2009&amp;PERIODTYPE=ANN_STD&amp;window=popup_no_bar&amp;width=385&amp;height=120&amp;START_MAXIMIZED=FALSE&amp;creator=factset&amp;display_string=Audit"}</definedName>
    <definedName name="_128__FDSAUDITLINK__" hidden="1">{"fdsup://Directions/FactSet Auditing Viewer?action=AUDIT_VALUE&amp;DB=129&amp;ID1=45232710&amp;VALUEID=02001&amp;SDATE=2009&amp;PERIODTYPE=ANN_STD&amp;window=popup_no_bar&amp;width=385&amp;height=120&amp;START_MAXIMIZED=FALSE&amp;creator=factset&amp;display_string=Audit"}</definedName>
    <definedName name="_129__FDSAUDITLINK__" hidden="1">{"fdsup://Directions/FactSet Auditing Viewer?action=AUDIT_VALUE&amp;DB=129&amp;ID1=87422710&amp;VALUEID=02001&amp;SDATE=2009&amp;PERIODTYPE=ANN_STD&amp;window=popup_no_bar&amp;width=385&amp;height=120&amp;START_MAXIMIZED=FALSE&amp;creator=factset&amp;display_string=Audit"}</definedName>
    <definedName name="_13__FDSAUDITLINK__" hidden="1">{"fdsup://Directions/FactSet Auditing Viewer?action=AUDIT_VALUE&amp;DB=129&amp;ID1=79084910&amp;VALUEID=02001&amp;SDATE=2009&amp;PERIODTYPE=ANN_STD&amp;window=popup_no_bar&amp;width=385&amp;height=120&amp;START_MAXIMIZED=FALSE&amp;creator=factset&amp;display_string=Audit"}</definedName>
    <definedName name="_130__FDSAUDITLINK__" hidden="1">{"fdsup://Directions/FactSet Auditing Viewer?action=AUDIT_VALUE&amp;DB=129&amp;ID1=41130710&amp;VALUEID=02001&amp;SDATE=2009&amp;PERIODTYPE=ANN_STD&amp;window=popup_no_bar&amp;width=385&amp;height=120&amp;START_MAXIMIZED=FALSE&amp;creator=factset&amp;display_string=Audit"}</definedName>
    <definedName name="_131__FDSAUDITLINK__" hidden="1">{"fdsup://Directions/FactSet Auditing Viewer?action=AUDIT_VALUE&amp;DB=129&amp;ID1=79084910&amp;VALUEID=02001&amp;SDATE=2009&amp;PERIODTYPE=ANN_STD&amp;window=popup_no_bar&amp;width=385&amp;height=120&amp;START_MAXIMIZED=FALSE&amp;creator=factset&amp;display_string=Audit"}</definedName>
    <definedName name="_132__FDSAUDITLINK__" hidden="1">{"fdsup://Directions/FactSet Auditing Viewer?action=AUDIT_VALUE&amp;DB=129&amp;ID1=98956P10&amp;VALUEID=02001&amp;SDATE=2009&amp;PERIODTYPE=ANN_STD&amp;window=popup_no_bar&amp;width=385&amp;height=120&amp;START_MAXIMIZED=FALSE&amp;creator=factset&amp;display_string=Audit"}</definedName>
    <definedName name="_133__FDSAUDITLINK__" hidden="1">{"fdsup://Directions/FactSet Auditing Viewer?action=AUDIT_VALUE&amp;DB=129&amp;ID1=58505510&amp;VALUEID=02001&amp;SDATE=2009&amp;PERIODTYPE=ANN_STD&amp;window=popup_no_bar&amp;width=385&amp;height=120&amp;START_MAXIMIZED=FALSE&amp;creator=factset&amp;display_string=Audit"}</definedName>
    <definedName name="_134__FDSAUDITLINK__" hidden="1">{"fdsup://Directions/FactSet Auditing Viewer?action=AUDIT_VALUE&amp;DB=129&amp;ID1=45798520&amp;VALUEID=02001&amp;SDATE=2009&amp;PERIODTYPE=ANN_STD&amp;window=popup_no_bar&amp;width=385&amp;height=120&amp;START_MAXIMIZED=FALSE&amp;creator=factset&amp;display_string=Audit"}</definedName>
    <definedName name="_135__FDSAUDITLINK__" hidden="1">{"fdsup://Directions/FactSet Auditing Viewer?action=AUDIT_VALUE&amp;DB=129&amp;ID1=46120E60&amp;VALUEID=02001&amp;SDATE=2009&amp;PERIODTYPE=ANN_STD&amp;window=popup_no_bar&amp;width=385&amp;height=120&amp;START_MAXIMIZED=FALSE&amp;creator=factset&amp;display_string=Audit"}</definedName>
    <definedName name="_136__FDSAUDITLINK__" hidden="1">{"fdsup://Directions/FactSet Auditing Viewer?action=AUDIT_VALUE&amp;DB=129&amp;ID1=43644010&amp;VALUEID=02001&amp;SDATE=201004&amp;PERIODTYPE=QTR_STD&amp;window=popup_no_bar&amp;width=385&amp;height=120&amp;START_MAXIMIZED=FALSE&amp;creator=factset&amp;display_string=Audit"}</definedName>
    <definedName name="_137__FDSAUDITLINK__" hidden="1">{"fdsup://Directions/FactSet Auditing Viewer?action=AUDIT_VALUE&amp;DB=129&amp;ID1=40502410&amp;VALUEID=02001&amp;SDATE=2009&amp;PERIODTYPE=ANN_STD&amp;window=popup_no_bar&amp;width=385&amp;height=120&amp;START_MAXIMIZED=FALSE&amp;creator=factset&amp;display_string=Audit"}</definedName>
    <definedName name="_138__FDSAUDITLINK__" hidden="1">{"fdsup://Directions/FactSet Auditing Viewer?action=AUDIT_VALUE&amp;DB=129&amp;ID1=36866T10&amp;VALUEID=02001&amp;SDATE=2009&amp;PERIODTYPE=ANN_STD&amp;window=popup_no_bar&amp;width=385&amp;height=120&amp;START_MAXIMIZED=FALSE&amp;creator=factset&amp;display_string=Audit"}</definedName>
    <definedName name="_139__FDSAUDITLINK__" hidden="1">{"fdsup://Directions/FactSet Auditing Viewer?action=AUDIT_VALUE&amp;DB=129&amp;ID1=06738310&amp;VALUEID=02001&amp;SDATE=2009&amp;PERIODTYPE=ANN_STD&amp;window=popup_no_bar&amp;width=385&amp;height=120&amp;START_MAXIMIZED=FALSE&amp;creator=factset&amp;display_string=Audit"}</definedName>
    <definedName name="_14__123Graph_BCHART_111" hidden="1">[2]Menu!$D$24:$M$24</definedName>
    <definedName name="_14__FDSAUDITLINK__" hidden="1">{"fdsup://Directions/FactSet Auditing Viewer?action=AUDIT_VALUE&amp;DB=129&amp;ID1=98956P10&amp;VALUEID=02001&amp;SDATE=2009&amp;PERIODTYPE=ANN_STD&amp;window=popup_no_bar&amp;width=385&amp;height=120&amp;START_MAXIMIZED=FALSE&amp;creator=factset&amp;display_string=Audit"}</definedName>
    <definedName name="_140__FDSAUDITLINK__" hidden="1">{"fdsup://Directions/FactSet Auditing Viewer?action=AUDIT_VALUE&amp;DB=129&amp;ID1=28176E10&amp;VALUEID=02001&amp;SDATE=2009&amp;PERIODTYPE=ANN_STD&amp;window=popup_no_bar&amp;width=385&amp;height=120&amp;START_MAXIMIZED=FALSE&amp;creator=factset&amp;display_string=Audit"}</definedName>
    <definedName name="_141__FDSAUDITLINK__" hidden="1">{"fdsup://Directions/FactSet Auditing Viewer?action=AUDIT_VALUE&amp;DB=129&amp;ID1=10113710&amp;VALUEID=02001&amp;SDATE=2009&amp;PERIODTYPE=ANN_STD&amp;window=popup_no_bar&amp;width=385&amp;height=120&amp;START_MAXIMIZED=FALSE&amp;creator=factset&amp;display_string=Audit"}</definedName>
    <definedName name="_142__FDSAUDITLINK__" hidden="1">{"fdsup://Directions/FactSet Auditing Viewer?action=AUDIT_VALUE&amp;DB=129&amp;ID1=07581110&amp;VALUEID=02001&amp;SDATE=2009&amp;PERIODTYPE=ANN_STD&amp;window=popup_no_bar&amp;width=385&amp;height=120&amp;START_MAXIMIZED=FALSE&amp;creator=factset&amp;display_string=Audit"}</definedName>
    <definedName name="_143__FDSAUDITLINK__" hidden="1">{"fdsup://Directions/FactSet Auditing Viewer?action=AUDIT_VALUE&amp;DB=129&amp;ID1=07588710&amp;VALUEID=02001&amp;SDATE=2010&amp;PERIODTYPE=ANN_STD&amp;window=popup_no_bar&amp;width=385&amp;height=120&amp;START_MAXIMIZED=FALSE&amp;creator=factset&amp;display_string=Audit"}</definedName>
    <definedName name="_144__FDSAUDITLINK__" hidden="1">{"fdsup://Directions/FactSet Auditing Viewer?action=AUDIT_VALUE&amp;DB=129&amp;ID1=02744M10&amp;VALUEID=02001&amp;SDATE=2009&amp;PERIODTYPE=ANN_STD&amp;window=popup_no_bar&amp;width=385&amp;height=120&amp;START_MAXIMIZED=FALSE&amp;creator=factset&amp;display_string=Audit"}</definedName>
    <definedName name="_145__FDSAUDITLINK__" hidden="1">{"fdsup://Directions/FactSet Auditing Viewer?action=AUDIT_VALUE&amp;DB=129&amp;ID1=47816010&amp;VALUEID=02001&amp;SDATE=2009&amp;PERIODTYPE=ANN_STD&amp;window=popup_no_bar&amp;width=385&amp;height=120&amp;START_MAXIMIZED=FALSE&amp;creator=factset&amp;display_string=Audit"}</definedName>
    <definedName name="_146__FDSAUDITLINK__" hidden="1">{"fdsup://Directions/FactSet Auditing Viewer?action=AUDIT_VALUE&amp;DB=129&amp;ID1=00365410&amp;VALUEID=02001&amp;SDATE=2009&amp;PERIODTYPE=ANN_STD&amp;window=popup_no_bar&amp;width=385&amp;height=120&amp;START_MAXIMIZED=FALSE&amp;creator=factset&amp;display_string=Audit"}</definedName>
    <definedName name="_147__FDSAUDITLINK__" hidden="1">{"fdsup://Directions/FactSet Auditing Viewer?action=AUDIT_VALUE&amp;DB=129&amp;ID1=43644010&amp;VALUEID=02001&amp;SDATE=201004&amp;PERIODTYPE=QTR_STD&amp;window=popup_no_bar&amp;width=385&amp;height=120&amp;START_MAXIMIZED=FALSE&amp;creator=factset&amp;display_string=Audit"}</definedName>
    <definedName name="_148__FDSAUDITLINK__" hidden="1">{"fdsup://Directions/FactSet Auditing Viewer?action=AUDIT_VALUE&amp;DB=129&amp;ID1=14170T10&amp;VALUEID=02001&amp;SDATE=2010&amp;PERIODTYPE=ANN_STD&amp;window=popup_no_bar&amp;width=385&amp;height=120&amp;START_MAXIMIZED=FALSE&amp;creator=factset&amp;display_string=Audit"}</definedName>
    <definedName name="_149__FDSAUDITLINK__" hidden="1">{"fdsup://Directions/FactSet Auditing Viewer?action=AUDIT_VALUE&amp;DB=129&amp;ID1=07181310&amp;VALUEID=02001&amp;SDATE=2009&amp;PERIODTYPE=ANN_STD&amp;window=popup_no_bar&amp;width=385&amp;height=120&amp;START_MAXIMIZED=FALSE&amp;creator=factset&amp;display_string=Audit"}</definedName>
    <definedName name="_15__123Graph_BCHART_112" hidden="1">[2]Menu!$D$18:$M$18</definedName>
    <definedName name="_15__FDSAUDITLINK__" hidden="1">{"fdsup://Directions/FactSet Auditing Viewer?action=AUDIT_VALUE&amp;DB=129&amp;ID1=58505510&amp;VALUEID=02001&amp;SDATE=2009&amp;PERIODTYPE=ANN_STD&amp;window=popup_no_bar&amp;width=385&amp;height=120&amp;START_MAXIMIZED=FALSE&amp;creator=factset&amp;display_string=Audit"}</definedName>
    <definedName name="_150__FDSAUDITLINK__" hidden="1">{"fdsup://Directions/FactSet Auditing Viewer?action=AUDIT_VALUE&amp;DB=129&amp;ID1=00282410&amp;VALUEID=02001&amp;SDATE=2009&amp;PERIODTYPE=ANN_STD&amp;window=popup_no_bar&amp;width=385&amp;height=120&amp;START_MAXIMIZED=FALSE&amp;creator=factset&amp;display_string=Audit"}</definedName>
    <definedName name="_151__FDSAUDITLINK__" hidden="1">{"fdsup://Directions/FactSet Auditing Viewer?action=AUDIT_VALUE&amp;DB=129&amp;ID1=62855J10&amp;VALUEID=02001&amp;SDATE=2010&amp;PERIODTYPE=ANN_STD&amp;window=popup_no_bar&amp;width=385&amp;height=120&amp;START_MAXIMIZED=FALSE&amp;creator=factset&amp;display_string=Audit"}</definedName>
    <definedName name="_152__FDSAUDITLINK__" hidden="1">{"fdsup://Directions/FactSet Auditing Viewer?action=AUDIT_VALUE&amp;DB=129&amp;ID1=94184810&amp;VALUEID=02001&amp;SDATE=2009&amp;PERIODTYPE=ANN_STD&amp;window=popup_no_bar&amp;width=385&amp;height=120&amp;START_MAXIMIZED=FALSE&amp;creator=factset&amp;display_string=Audit"}</definedName>
    <definedName name="_153__FDSAUDITLINK__" hidden="1">{"fdsup://Directions/FactSet Auditing Viewer?action=AUDIT_VALUE&amp;DB=129&amp;ID1=44106010&amp;VALUEID=02001&amp;SDATE=2009&amp;PERIODTYPE=ANN_STD&amp;window=popup_no_bar&amp;width=385&amp;height=120&amp;START_MAXIMIZED=FALSE&amp;creator=factset&amp;display_string=Audit"}</definedName>
    <definedName name="_154__FDSAUDITLINK__" hidden="1">{"fdsup://Directions/FactSet Auditing Viewer?action=AUDIT_VALUE&amp;DB=129&amp;ID1=36866T10&amp;VALUEID=02001&amp;SDATE=2009&amp;PERIODTYPE=ANN_STD&amp;window=popup_no_bar&amp;width=385&amp;height=120&amp;START_MAXIMIZED=FALSE&amp;creator=factset&amp;display_string=Audit"}</definedName>
    <definedName name="_155__FDSAUDITLINK__" hidden="1">{"fdsup://Directions/FactSet Auditing Viewer?action=AUDIT_VALUE&amp;DB=129&amp;ID1=07588710&amp;VALUEID=02001&amp;SDATE=201004&amp;PERIODTYPE=QTR_STD&amp;window=popup_no_bar&amp;width=385&amp;height=120&amp;START_MAXIMIZED=FALSE&amp;creator=factset&amp;display_string=Audit"}</definedName>
    <definedName name="_156__FDSAUDITLINK__" hidden="1">{"fdsup://Directions/FactSet Auditing Viewer?action=AUDIT_VALUE&amp;DB=129&amp;ID1=07581110&amp;VALUEID=02001&amp;SDATE=2009&amp;PERIODTYPE=ANN_STD&amp;window=popup_no_bar&amp;width=385&amp;height=120&amp;START_MAXIMIZED=FALSE&amp;creator=factset&amp;display_string=Audit"}</definedName>
    <definedName name="_157__FDSAUDITLINK__" hidden="1">{"fdsup://Directions/FactSet Auditing Viewer?action=AUDIT_VALUE&amp;DB=129&amp;ID1=00826T10&amp;VALUEID=02001&amp;SDATE=2009&amp;PERIODTYPE=ANN_STD&amp;window=popup_no_bar&amp;width=385&amp;height=120&amp;START_MAXIMIZED=FALSE&amp;creator=factset&amp;display_string=Audit"}</definedName>
    <definedName name="_158__FDSAUDITLINK__" hidden="1">{"fdsup://Directions/FactSet Auditing Viewer?action=AUDIT_VALUE&amp;DB=129&amp;ID1=88355610&amp;VALUEID=02001&amp;SDATE=2009&amp;PERIODTYPE=ANN_STD&amp;window=popup_no_bar&amp;width=385&amp;height=120&amp;START_MAXIMIZED=FALSE&amp;creator=factset&amp;display_string=Audit"}</definedName>
    <definedName name="_159__FDSAUDITLINK__" hidden="1">{"fdsup://Directions/FactSet Auditing Viewer?action=AUDIT_VALUE&amp;DB=129&amp;ID1=53217V10&amp;VALUEID=02001&amp;SDATE=2009&amp;PERIODTYPE=ANN_STD&amp;window=popup_no_bar&amp;width=385&amp;height=120&amp;START_MAXIMIZED=FALSE&amp;creator=factset&amp;display_string=Audit"}</definedName>
    <definedName name="_16__123Graph_BCHART_26" hidden="1">[2]Menu!$D$88:$M$88</definedName>
    <definedName name="_16__FDSAUDITLINK__" hidden="1">{"fdsup://Directions/FactSet Auditing Viewer?action=AUDIT_VALUE&amp;DB=129&amp;ID1=45798520&amp;VALUEID=02001&amp;SDATE=2009&amp;PERIODTYPE=ANN_STD&amp;window=popup_no_bar&amp;width=385&amp;height=120&amp;START_MAXIMIZED=FALSE&amp;creator=factset&amp;display_string=Audit"}</definedName>
    <definedName name="_160__FDSAUDITLINK__" hidden="1">{"fdsup://Directions/FactSet Auditing Viewer?action=AUDIT_VALUE&amp;DB=129&amp;ID1=45232710&amp;VALUEID=02001&amp;SDATE=2009&amp;PERIODTYPE=ANN_STD&amp;window=popup_no_bar&amp;width=385&amp;height=120&amp;START_MAXIMIZED=FALSE&amp;creator=factset&amp;display_string=Audit"}</definedName>
    <definedName name="_161__FDSAUDITLINK__" hidden="1">{"fdsup://Directions/FactSet Auditing Viewer?action=AUDIT_VALUE&amp;DB=129&amp;ID1=87422710&amp;VALUEID=02001&amp;SDATE=2009&amp;PERIODTYPE=ANN_STD&amp;window=popup_no_bar&amp;width=385&amp;height=120&amp;START_MAXIMIZED=FALSE&amp;creator=factset&amp;display_string=Audit"}</definedName>
    <definedName name="_162__FDSAUDITLINK__" hidden="1">{"fdsup://Directions/FactSet Auditing Viewer?action=AUDIT_VALUE&amp;DB=129&amp;ID1=41130710&amp;VALUEID=02001&amp;SDATE=2009&amp;PERIODTYPE=ANN_STD&amp;window=popup_no_bar&amp;width=385&amp;height=120&amp;START_MAXIMIZED=FALSE&amp;creator=factset&amp;display_string=Audit"}</definedName>
    <definedName name="_163__FDSAUDITLINK__" hidden="1">{"fdsup://Directions/FactSet Auditing Viewer?action=AUDIT_VALUE&amp;DB=129&amp;ID1=79084910&amp;VALUEID=02001&amp;SDATE=2009&amp;PERIODTYPE=ANN_STD&amp;window=popup_no_bar&amp;width=385&amp;height=120&amp;START_MAXIMIZED=FALSE&amp;creator=factset&amp;display_string=Audit"}</definedName>
    <definedName name="_164__FDSAUDITLINK__" hidden="1">{"fdsup://Directions/FactSet Auditing Viewer?action=AUDIT_VALUE&amp;DB=129&amp;ID1=98956P10&amp;VALUEID=02001&amp;SDATE=2009&amp;PERIODTYPE=ANN_STD&amp;window=popup_no_bar&amp;width=385&amp;height=120&amp;START_MAXIMIZED=FALSE&amp;creator=factset&amp;display_string=Audit"}</definedName>
    <definedName name="_165__FDSAUDITLINK__" hidden="1">{"fdsup://Directions/FactSet Auditing Viewer?action=AUDIT_VALUE&amp;DB=129&amp;ID1=58505510&amp;VALUEID=02001&amp;SDATE=2009&amp;PERIODTYPE=ANN_STD&amp;window=popup_no_bar&amp;width=385&amp;height=120&amp;START_MAXIMIZED=FALSE&amp;creator=factset&amp;display_string=Audit"}</definedName>
    <definedName name="_166__FDSAUDITLINK__" hidden="1">{"fdsup://Directions/FactSet Auditing Viewer?action=AUDIT_VALUE&amp;DB=129&amp;ID1=45798520&amp;VALUEID=02001&amp;SDATE=2009&amp;PERIODTYPE=ANN_STD&amp;window=popup_no_bar&amp;width=385&amp;height=120&amp;START_MAXIMIZED=FALSE&amp;creator=factset&amp;display_string=Audit"}</definedName>
    <definedName name="_167__FDSAUDITLINK__" hidden="1">{"fdsup://Directions/FactSet Auditing Viewer?action=AUDIT_VALUE&amp;DB=129&amp;ID1=46120E60&amp;VALUEID=02001&amp;SDATE=2009&amp;PERIODTYPE=ANN_STD&amp;window=popup_no_bar&amp;width=385&amp;height=120&amp;START_MAXIMIZED=FALSE&amp;creator=factset&amp;display_string=Audit"}</definedName>
    <definedName name="_168__FDSAUDITLINK__" hidden="1">{"fdsup://Directions/FactSet Auditing Viewer?action=AUDIT_VALUE&amp;DB=129&amp;ID1=43644010&amp;VALUEID=02001&amp;SDATE=201004&amp;PERIODTYPE=QTR_STD&amp;window=popup_no_bar&amp;width=385&amp;height=120&amp;START_MAXIMIZED=FALSE&amp;creator=factset&amp;display_string=Audit"}</definedName>
    <definedName name="_169__FDSAUDITLINK__" hidden="1">{"fdsup://Directions/FactSet Auditing Viewer?action=AUDIT_VALUE&amp;DB=129&amp;ID1=40502410&amp;VALUEID=02001&amp;SDATE=2009&amp;PERIODTYPE=ANN_STD&amp;window=popup_no_bar&amp;width=385&amp;height=120&amp;START_MAXIMIZED=FALSE&amp;creator=factset&amp;display_string=Audit"}</definedName>
    <definedName name="_17__FDSAUDITLINK__" hidden="1">{"fdsup://Directions/FactSet Auditing Viewer?action=AUDIT_VALUE&amp;DB=129&amp;ID1=46120E60&amp;VALUEID=02001&amp;SDATE=2009&amp;PERIODTYPE=ANN_STD&amp;window=popup_no_bar&amp;width=385&amp;height=120&amp;START_MAXIMIZED=FALSE&amp;creator=factset&amp;display_string=Audit"}</definedName>
    <definedName name="_170__FDSAUDITLINK__" hidden="1">{"fdsup://Directions/FactSet Auditing Viewer?action=AUDIT_VALUE&amp;DB=129&amp;ID1=36866T10&amp;VALUEID=02001&amp;SDATE=2009&amp;PERIODTYPE=ANN_STD&amp;window=popup_no_bar&amp;width=385&amp;height=120&amp;START_MAXIMIZED=FALSE&amp;creator=factset&amp;display_string=Audit"}</definedName>
    <definedName name="_171__FDSAUDITLINK__" hidden="1">{"fdsup://Directions/FactSet Auditing Viewer?action=AUDIT_VALUE&amp;DB=129&amp;ID1=06738310&amp;VALUEID=02001&amp;SDATE=2009&amp;PERIODTYPE=ANN_STD&amp;window=popup_no_bar&amp;width=385&amp;height=120&amp;START_MAXIMIZED=FALSE&amp;creator=factset&amp;display_string=Audit"}</definedName>
    <definedName name="_172__FDSAUDITLINK__" hidden="1">{"fdsup://Directions/FactSet Auditing Viewer?action=AUDIT_VALUE&amp;DB=129&amp;ID1=28176E10&amp;VALUEID=02001&amp;SDATE=2009&amp;PERIODTYPE=ANN_STD&amp;window=popup_no_bar&amp;width=385&amp;height=120&amp;START_MAXIMIZED=FALSE&amp;creator=factset&amp;display_string=Audit"}</definedName>
    <definedName name="_173__FDSAUDITLINK__" hidden="1">{"fdsup://Directions/FactSet Auditing Viewer?action=AUDIT_VALUE&amp;DB=129&amp;ID1=10113710&amp;VALUEID=02001&amp;SDATE=2009&amp;PERIODTYPE=ANN_STD&amp;window=popup_no_bar&amp;width=385&amp;height=120&amp;START_MAXIMIZED=FALSE&amp;creator=factset&amp;display_string=Audit"}</definedName>
    <definedName name="_174__FDSAUDITLINK__" hidden="1">{"fdsup://Directions/FactSet Auditing Viewer?action=AUDIT_VALUE&amp;DB=129&amp;ID1=07581110&amp;VALUEID=02001&amp;SDATE=2009&amp;PERIODTYPE=ANN_STD&amp;window=popup_no_bar&amp;width=385&amp;height=120&amp;START_MAXIMIZED=FALSE&amp;creator=factset&amp;display_string=Audit"}</definedName>
    <definedName name="_175__FDSAUDITLINK__" hidden="1">{"fdsup://Directions/FactSet Auditing Viewer?action=AUDIT_VALUE&amp;DB=129&amp;ID1=07588710&amp;VALUEID=02001&amp;SDATE=2010&amp;PERIODTYPE=ANN_STD&amp;window=popup_no_bar&amp;width=385&amp;height=120&amp;START_MAXIMIZED=FALSE&amp;creator=factset&amp;display_string=Audit"}</definedName>
    <definedName name="_176__FDSAUDITLINK__" hidden="1">{"fdsup://Directions/FactSet Auditing Viewer?action=AUDIT_VALUE&amp;DB=129&amp;ID1=02744M10&amp;VALUEID=02001&amp;SDATE=2009&amp;PERIODTYPE=ANN_STD&amp;window=popup_no_bar&amp;width=385&amp;height=120&amp;START_MAXIMIZED=FALSE&amp;creator=factset&amp;display_string=Audit"}</definedName>
    <definedName name="_177__FDSAUDITLINK__" hidden="1">{"fdsup://Directions/FactSet Auditing Viewer?action=AUDIT_VALUE&amp;DB=129&amp;ID1=47816010&amp;VALUEID=02001&amp;SDATE=2009&amp;PERIODTYPE=ANN_STD&amp;window=popup_no_bar&amp;width=385&amp;height=120&amp;START_MAXIMIZED=FALSE&amp;creator=factset&amp;display_string=Audit"}</definedName>
    <definedName name="_178__FDSAUDITLINK__" hidden="1">{"fdsup://Directions/FactSet Auditing Viewer?action=AUDIT_VALUE&amp;DB=129&amp;ID1=00365410&amp;VALUEID=02001&amp;SDATE=2009&amp;PERIODTYPE=ANN_STD&amp;window=popup_no_bar&amp;width=385&amp;height=120&amp;START_MAXIMIZED=FALSE&amp;creator=factset&amp;display_string=Audit"}</definedName>
    <definedName name="_179__FDSAUDITLINK__" hidden="1">{"fdsup://Directions/FactSet Auditing Viewer?action=AUDIT_VALUE&amp;DB=129&amp;ID1=43644010&amp;VALUEID=02001&amp;SDATE=201004&amp;PERIODTYPE=QTR_STD&amp;window=popup_no_bar&amp;width=385&amp;height=120&amp;START_MAXIMIZED=FALSE&amp;creator=factset&amp;display_string=Audit"}</definedName>
    <definedName name="_18__FDSAUDITLINK__" hidden="1">{"fdsup://Directions/FactSet Auditing Viewer?action=AUDIT_VALUE&amp;DB=129&amp;ID1=43644010&amp;VALUEID=02001&amp;SDATE=201004&amp;PERIODTYPE=QTR_STD&amp;window=popup_no_bar&amp;width=385&amp;height=120&amp;START_MAXIMIZED=FALSE&amp;creator=factset&amp;display_string=Audit"}</definedName>
    <definedName name="_180__FDSAUDITLINK__" hidden="1">{"fdsup://Directions/FactSet Auditing Viewer?action=AUDIT_VALUE&amp;DB=129&amp;ID1=14170T10&amp;VALUEID=02001&amp;SDATE=2010&amp;PERIODTYPE=ANN_STD&amp;window=popup_no_bar&amp;width=385&amp;height=120&amp;START_MAXIMIZED=FALSE&amp;creator=factset&amp;display_string=Audit"}</definedName>
    <definedName name="_181__FDSAUDITLINK__" hidden="1">{"fdsup://Directions/FactSet Auditing Viewer?action=AUDIT_VALUE&amp;DB=129&amp;ID1=07181310&amp;VALUEID=02001&amp;SDATE=2009&amp;PERIODTYPE=ANN_STD&amp;window=popup_no_bar&amp;width=385&amp;height=120&amp;START_MAXIMIZED=FALSE&amp;creator=factset&amp;display_string=Audit"}</definedName>
    <definedName name="_182__FDSAUDITLINK__" hidden="1">{"fdsup://Directions/FactSet Auditing Viewer?action=AUDIT_VALUE&amp;DB=129&amp;ID1=00282410&amp;VALUEID=02001&amp;SDATE=2009&amp;PERIODTYPE=ANN_STD&amp;window=popup_no_bar&amp;width=385&amp;height=120&amp;START_MAXIMIZED=FALSE&amp;creator=factset&amp;display_string=Audit"}</definedName>
    <definedName name="_183__FDSAUDITLINK__" hidden="1">{"fdsup://Directions/FactSet Auditing Viewer?action=AUDIT_VALUE&amp;DB=129&amp;ID1=62855J10&amp;VALUEID=02001&amp;SDATE=2010&amp;PERIODTYPE=ANN_STD&amp;window=popup_no_bar&amp;width=385&amp;height=120&amp;START_MAXIMIZED=FALSE&amp;creator=factset&amp;display_string=Audit"}</definedName>
    <definedName name="_184__FDSAUDITLINK__" hidden="1">{"fdsup://Directions/FactSet Auditing Viewer?action=AUDIT_VALUE&amp;DB=129&amp;ID1=94184810&amp;VALUEID=02001&amp;SDATE=2009&amp;PERIODTYPE=ANN_STD&amp;window=popup_no_bar&amp;width=385&amp;height=120&amp;START_MAXIMIZED=FALSE&amp;creator=factset&amp;display_string=Audit"}</definedName>
    <definedName name="_185__FDSAUDITLINK__" hidden="1">{"fdsup://Directions/FactSet Auditing Viewer?action=AUDIT_VALUE&amp;DB=129&amp;ID1=44106010&amp;VALUEID=02001&amp;SDATE=2009&amp;PERIODTYPE=ANN_STD&amp;window=popup_no_bar&amp;width=385&amp;height=120&amp;START_MAXIMIZED=FALSE&amp;creator=factset&amp;display_string=Audit"}</definedName>
    <definedName name="_186__FDSAUDITLINK__" hidden="1">{"fdsup://Directions/FactSet Auditing Viewer?action=AUDIT_VALUE&amp;DB=129&amp;ID1=36866T10&amp;VALUEID=02001&amp;SDATE=2009&amp;PERIODTYPE=ANN_STD&amp;window=popup_no_bar&amp;width=385&amp;height=120&amp;START_MAXIMIZED=FALSE&amp;creator=factset&amp;display_string=Audit"}</definedName>
    <definedName name="_187__FDSAUDITLINK__" hidden="1">{"fdsup://Directions/FactSet Auditing Viewer?action=AUDIT_VALUE&amp;DB=129&amp;ID1=07588710&amp;VALUEID=02001&amp;SDATE=201004&amp;PERIODTYPE=QTR_STD&amp;window=popup_no_bar&amp;width=385&amp;height=120&amp;START_MAXIMIZED=FALSE&amp;creator=factset&amp;display_string=Audit"}</definedName>
    <definedName name="_188__FDSAUDITLINK__" hidden="1">{"fdsup://Directions/FactSet Auditing Viewer?action=AUDIT_VALUE&amp;DB=129&amp;ID1=07581110&amp;VALUEID=02001&amp;SDATE=2009&amp;PERIODTYPE=ANN_STD&amp;window=popup_no_bar&amp;width=385&amp;height=120&amp;START_MAXIMIZED=FALSE&amp;creator=factset&amp;display_string=Audit"}</definedName>
    <definedName name="_189__FDSAUDITLINK__" hidden="1">{"fdsup://Directions/FactSet Auditing Viewer?action=AUDIT_VALUE&amp;DB=129&amp;ID1=00826T10&amp;VALUEID=02001&amp;SDATE=2009&amp;PERIODTYPE=ANN_STD&amp;window=popup_no_bar&amp;width=385&amp;height=120&amp;START_MAXIMIZED=FALSE&amp;creator=factset&amp;display_string=Audit"}</definedName>
    <definedName name="_19__123Graph_Bｸﾞﾗﾌ_1" hidden="1">[1]ｾｸﾞﾒﾝﾄ!$E$165:$I$165</definedName>
    <definedName name="_19__FDSAUDITLINK__" hidden="1">{"fdsup://Directions/FactSet Auditing Viewer?action=AUDIT_VALUE&amp;DB=129&amp;ID1=40502410&amp;VALUEID=02001&amp;SDATE=2009&amp;PERIODTYPE=ANN_STD&amp;window=popup_no_bar&amp;width=385&amp;height=120&amp;START_MAXIMIZED=FALSE&amp;creator=factset&amp;display_string=Audit"}</definedName>
    <definedName name="_190__FDSAUDITLINK__" hidden="1">{"fdsup://Directions/FactSet Auditing Viewer?action=AUDIT_VALUE&amp;DB=129&amp;ID1=88355610&amp;VALUEID=02001&amp;SDATE=2009&amp;PERIODTYPE=ANN_STD&amp;window=popup_no_bar&amp;width=385&amp;height=120&amp;START_MAXIMIZED=FALSE&amp;creator=factset&amp;display_string=Audit"}</definedName>
    <definedName name="_191__FDSAUDITLINK__" hidden="1">{"fdsup://Directions/FactSet Auditing Viewer?action=AUDIT_VALUE&amp;DB=129&amp;ID1=53217V10&amp;VALUEID=02001&amp;SDATE=2009&amp;PERIODTYPE=ANN_STD&amp;window=popup_no_bar&amp;width=385&amp;height=120&amp;START_MAXIMIZED=FALSE&amp;creator=factset&amp;display_string=Audit"}</definedName>
    <definedName name="_192__FDSAUDITLINK__" hidden="1">{"fdsup://Directions/FactSet Auditing Viewer?action=AUDIT_VALUE&amp;DB=129&amp;ID1=45232710&amp;VALUEID=02001&amp;SDATE=2009&amp;PERIODTYPE=ANN_STD&amp;window=popup_no_bar&amp;width=385&amp;height=120&amp;START_MAXIMIZED=FALSE&amp;creator=factset&amp;display_string=Audit"}</definedName>
    <definedName name="_2__FDSAUDITLINK__" hidden="1">{"fdsup://Directions/FactSet Auditing Viewer?action=AUDIT_VALUE&amp;DB=129&amp;ID1=94184810&amp;VALUEID=02001&amp;SDATE=2009&amp;PERIODTYPE=ANN_STD&amp;window=popup_no_bar&amp;width=385&amp;height=120&amp;START_MAXIMIZED=FALSE&amp;creator=factset&amp;display_string=Audit"}</definedName>
    <definedName name="_20__123Graph_CCHART_111" hidden="1">[2]Menu!$D$25:$M$25</definedName>
    <definedName name="_20__FDSAUDITLINK__" hidden="1">{"fdsup://Directions/FactSet Auditing Viewer?action=AUDIT_VALUE&amp;DB=129&amp;ID1=36866T10&amp;VALUEID=02001&amp;SDATE=2009&amp;PERIODTYPE=ANN_STD&amp;window=popup_no_bar&amp;width=385&amp;height=120&amp;START_MAXIMIZED=FALSE&amp;creator=factset&amp;display_string=Audit"}</definedName>
    <definedName name="_21__123Graph_CCHART_112" hidden="1">[2]Menu!$D$19:$M$19</definedName>
    <definedName name="_21__FDSAUDITLINK__" hidden="1">{"fdsup://Directions/FactSet Auditing Viewer?action=AUDIT_VALUE&amp;DB=129&amp;ID1=06738310&amp;VALUEID=02001&amp;SDATE=2009&amp;PERIODTYPE=ANN_STD&amp;window=popup_no_bar&amp;width=385&amp;height=120&amp;START_MAXIMIZED=FALSE&amp;creator=factset&amp;display_string=Audit"}</definedName>
    <definedName name="_22__123Graph_CCHART_26" hidden="1">[2]Menu!$D$92:$M$92</definedName>
    <definedName name="_22__FDSAUDITLINK__" hidden="1">{"fdsup://Directions/FactSet Auditing Viewer?action=AUDIT_VALUE&amp;DB=129&amp;ID1=28176E10&amp;VALUEID=02001&amp;SDATE=2009&amp;PERIODTYPE=ANN_STD&amp;window=popup_no_bar&amp;width=385&amp;height=120&amp;START_MAXIMIZED=FALSE&amp;creator=factset&amp;display_string=Audit"}</definedName>
    <definedName name="_23__123Graph_CCHART_30" hidden="1">[2]Menu!$D$12:$M$12</definedName>
    <definedName name="_23__FDSAUDITLINK__" hidden="1">{"fdsup://Directions/FactSet Auditing Viewer?action=AUDIT_VALUE&amp;DB=129&amp;ID1=10113710&amp;VALUEID=02001&amp;SDATE=2009&amp;PERIODTYPE=ANN_STD&amp;window=popup_no_bar&amp;width=385&amp;height=120&amp;START_MAXIMIZED=FALSE&amp;creator=factset&amp;display_string=Audit"}</definedName>
    <definedName name="_24__FDSAUDITLINK__" hidden="1">{"fdsup://Directions/FactSet Auditing Viewer?action=AUDIT_VALUE&amp;DB=129&amp;ID1=07581110&amp;VALUEID=02001&amp;SDATE=2009&amp;PERIODTYPE=ANN_STD&amp;window=popup_no_bar&amp;width=385&amp;height=120&amp;START_MAXIMIZED=FALSE&amp;creator=factset&amp;display_string=Audit"}</definedName>
    <definedName name="_25__123Graph_DCHART_112" hidden="1">[2]Menu!$D$16:$M$16</definedName>
    <definedName name="_25__FDSAUDITLINK__" hidden="1">{"fdsup://Directions/FactSet Auditing Viewer?action=AUDIT_VALUE&amp;DB=129&amp;ID1=07588710&amp;VALUEID=02001&amp;SDATE=2010&amp;PERIODTYPE=ANN_STD&amp;window=popup_no_bar&amp;width=385&amp;height=120&amp;START_MAXIMIZED=FALSE&amp;creator=factset&amp;display_string=Audit"}</definedName>
    <definedName name="_26__123Graph_Dｸﾞﾗﾌ_1" hidden="1">[1]ｾｸﾞﾒﾝﾄ!$E$167:$I$167</definedName>
    <definedName name="_26__FDSAUDITLINK__" hidden="1">{"fdsup://Directions/FactSet Auditing Viewer?action=AUDIT_VALUE&amp;DB=129&amp;ID1=02744M10&amp;VALUEID=02001&amp;SDATE=2009&amp;PERIODTYPE=ANN_STD&amp;window=popup_no_bar&amp;width=385&amp;height=120&amp;START_MAXIMIZED=FALSE&amp;creator=factset&amp;display_string=Audit"}</definedName>
    <definedName name="_27__FDSAUDITLINK__" hidden="1">{"fdsup://Directions/FactSet Auditing Viewer?action=AUDIT_VALUE&amp;DB=129&amp;ID1=47816010&amp;VALUEID=02001&amp;SDATE=2009&amp;PERIODTYPE=ANN_STD&amp;window=popup_no_bar&amp;width=385&amp;height=120&amp;START_MAXIMIZED=FALSE&amp;creator=factset&amp;display_string=Audit"}</definedName>
    <definedName name="_28__FDSAUDITLINK__" hidden="1">{"fdsup://Directions/FactSet Auditing Viewer?action=AUDIT_VALUE&amp;DB=129&amp;ID1=00365410&amp;VALUEID=02001&amp;SDATE=2009&amp;PERIODTYPE=ANN_STD&amp;window=popup_no_bar&amp;width=385&amp;height=120&amp;START_MAXIMIZED=FALSE&amp;creator=factset&amp;display_string=Audit"}</definedName>
    <definedName name="_29__FDSAUDITLINK__" hidden="1">{"fdsup://Directions/FactSet Auditing Viewer?action=AUDIT_VALUE&amp;DB=129&amp;ID1=43644010&amp;VALUEID=02001&amp;SDATE=201004&amp;PERIODTYPE=QTR_STD&amp;window=popup_no_bar&amp;width=385&amp;height=120&amp;START_MAXIMIZED=FALSE&amp;creator=factset&amp;display_string=Audit"}</definedName>
    <definedName name="_3__123Graph_ACHART_111" hidden="1">[2]Menu!$D$23:$M$23</definedName>
    <definedName name="_3__FDSAUDITLINK__" hidden="1">{"fdsup://Directions/FactSet Auditing Viewer?action=AUDIT_VALUE&amp;DB=129&amp;ID1=44106010&amp;VALUEID=02001&amp;SDATE=2009&amp;PERIODTYPE=ANN_STD&amp;window=popup_no_bar&amp;width=385&amp;height=120&amp;START_MAXIMIZED=FALSE&amp;creator=factset&amp;display_string=Audit"}</definedName>
    <definedName name="_30__123Graph_XCHART_112" hidden="1">[2]Menu!$AF$15:$AO$15</definedName>
    <definedName name="_30__FDSAUDITLINK__" hidden="1">{"fdsup://Directions/FactSet Auditing Viewer?action=AUDIT_VALUE&amp;DB=129&amp;ID1=14170T10&amp;VALUEID=02001&amp;SDATE=2010&amp;PERIODTYPE=ANN_STD&amp;window=popup_no_bar&amp;width=385&amp;height=120&amp;START_MAXIMIZED=FALSE&amp;creator=factset&amp;display_string=Audit"}</definedName>
    <definedName name="_31__123Graph_XCHART_30" hidden="1">[2]Menu!$AF$15:$AO$15</definedName>
    <definedName name="_31__FDSAUDITLINK__" hidden="1">{"fdsup://Directions/FactSet Auditing Viewer?action=AUDIT_VALUE&amp;DB=129&amp;ID1=07181310&amp;VALUEID=02001&amp;SDATE=2009&amp;PERIODTYPE=ANN_STD&amp;window=popup_no_bar&amp;width=385&amp;height=120&amp;START_MAXIMIZED=FALSE&amp;creator=factset&amp;display_string=Audit"}</definedName>
    <definedName name="_32__123Graph_XLIQUIDS" hidden="1">[3]P!$R$29:$AK$29</definedName>
    <definedName name="_32__FDSAUDITLINK__" hidden="1">{"fdsup://Directions/FactSet Auditing Viewer?action=AUDIT_VALUE&amp;DB=129&amp;ID1=00282410&amp;VALUEID=02001&amp;SDATE=2009&amp;PERIODTYPE=ANN_STD&amp;window=popup_no_bar&amp;width=385&amp;height=120&amp;START_MAXIMIZED=FALSE&amp;creator=factset&amp;display_string=Audit"}</definedName>
    <definedName name="_33__123Graph_XR_M_MARG" hidden="1">[3]P!$R$29:$AK$29</definedName>
    <definedName name="_33__FDSAUDITLINK__" hidden="1">{"fdsup://Directions/FactSet Auditing Viewer?action=AUDIT_VALUE&amp;DB=129&amp;ID1=62855J10&amp;VALUEID=02001&amp;SDATE=2010&amp;PERIODTYPE=ANN_STD&amp;window=popup_no_bar&amp;width=385&amp;height=120&amp;START_MAXIMIZED=FALSE&amp;creator=factset&amp;display_string=Audit"}</definedName>
    <definedName name="_34__FDSAUDITLINK__" hidden="1">{"fdsup://Directions/FactSet Auditing Viewer?action=AUDIT_VALUE&amp;DB=129&amp;ID1=94184810&amp;VALUEID=02001&amp;SDATE=2009&amp;PERIODTYPE=ANN_STD&amp;window=popup_no_bar&amp;width=385&amp;height=120&amp;START_MAXIMIZED=FALSE&amp;creator=factset&amp;display_string=Audit"}</definedName>
    <definedName name="_35__FDSAUDITLINK__" hidden="1">{"fdsup://Directions/FactSet Auditing Viewer?action=AUDIT_VALUE&amp;DB=129&amp;ID1=44106010&amp;VALUEID=02001&amp;SDATE=2009&amp;PERIODTYPE=ANN_STD&amp;window=popup_no_bar&amp;width=385&amp;height=120&amp;START_MAXIMIZED=FALSE&amp;creator=factset&amp;display_string=Audit"}</definedName>
    <definedName name="_36__FDSAUDITLINK__" hidden="1">{"fdsup://Directions/FactSet Auditing Viewer?action=AUDIT_VALUE&amp;DB=129&amp;ID1=36866T10&amp;VALUEID=02001&amp;SDATE=2009&amp;PERIODTYPE=ANN_STD&amp;window=popup_no_bar&amp;width=385&amp;height=120&amp;START_MAXIMIZED=FALSE&amp;creator=factset&amp;display_string=Audit"}</definedName>
    <definedName name="_37__FDSAUDITLINK__" hidden="1">{"fdsup://Directions/FactSet Auditing Viewer?action=AUDIT_VALUE&amp;DB=129&amp;ID1=07588710&amp;VALUEID=02001&amp;SDATE=201004&amp;PERIODTYPE=QTR_STD&amp;window=popup_no_bar&amp;width=385&amp;height=120&amp;START_MAXIMIZED=FALSE&amp;creator=factset&amp;display_string=Audit"}</definedName>
    <definedName name="_38__FDSAUDITLINK__" hidden="1">{"fdsup://Directions/FactSet Auditing Viewer?action=AUDIT_VALUE&amp;DB=129&amp;ID1=07581110&amp;VALUEID=02001&amp;SDATE=2009&amp;PERIODTYPE=ANN_STD&amp;window=popup_no_bar&amp;width=385&amp;height=120&amp;START_MAXIMIZED=FALSE&amp;creator=factset&amp;display_string=Audit"}</definedName>
    <definedName name="_39__FDSAUDITLINK__" hidden="1">{"fdsup://Directions/FactSet Auditing Viewer?action=AUDIT_VALUE&amp;DB=129&amp;ID1=00826T10&amp;VALUEID=02001&amp;SDATE=2009&amp;PERIODTYPE=ANN_STD&amp;window=popup_no_bar&amp;width=385&amp;height=120&amp;START_MAXIMIZED=FALSE&amp;creator=factset&amp;display_string=Audit"}</definedName>
    <definedName name="_4__123Graph_ACHART_112" hidden="1">[2]Menu!$D$17:$M$17</definedName>
    <definedName name="_4__FDSAUDITLINK__" hidden="1">{"fdsup://Directions/FactSet Auditing Viewer?action=AUDIT_VALUE&amp;DB=129&amp;ID1=36866T10&amp;VALUEID=02001&amp;SDATE=2009&amp;PERIODTYPE=ANN_STD&amp;window=popup_no_bar&amp;width=385&amp;height=120&amp;START_MAXIMIZED=FALSE&amp;creator=factset&amp;display_string=Audit"}</definedName>
    <definedName name="_40__FDSAUDITLINK__" hidden="1">{"fdsup://Directions/FactSet Auditing Viewer?action=AUDIT_VALUE&amp;DB=129&amp;ID1=88355610&amp;VALUEID=02001&amp;SDATE=2009&amp;PERIODTYPE=ANN_STD&amp;window=popup_no_bar&amp;width=385&amp;height=120&amp;START_MAXIMIZED=FALSE&amp;creator=factset&amp;display_string=Audit"}</definedName>
    <definedName name="_41__FDSAUDITLINK__" hidden="1">{"fdsup://Directions/FactSet Auditing Viewer?action=AUDIT_VALUE&amp;DB=129&amp;ID1=53217V10&amp;VALUEID=02001&amp;SDATE=2009&amp;PERIODTYPE=ANN_STD&amp;window=popup_no_bar&amp;width=385&amp;height=120&amp;START_MAXIMIZED=FALSE&amp;creator=factset&amp;display_string=Audit"}</definedName>
    <definedName name="_42__FDSAUDITLINK__" hidden="1">{"fdsup://Directions/FactSet Auditing Viewer?action=AUDIT_VALUE&amp;DB=129&amp;ID1=45232710&amp;VALUEID=02001&amp;SDATE=2009&amp;PERIODTYPE=ANN_STD&amp;window=popup_no_bar&amp;width=385&amp;height=120&amp;START_MAXIMIZED=FALSE&amp;creator=factset&amp;display_string=Audit"}</definedName>
    <definedName name="_43__FDSAUDITLINK__" hidden="1">{"fdsup://Directions/FactSet Auditing Viewer?action=AUDIT_VALUE&amp;DB=129&amp;ID1=87422710&amp;VALUEID=02001&amp;SDATE=2009&amp;PERIODTYPE=ANN_STD&amp;window=popup_no_bar&amp;width=385&amp;height=120&amp;START_MAXIMIZED=FALSE&amp;creator=factset&amp;display_string=Audit"}</definedName>
    <definedName name="_44__FDSAUDITLINK__" hidden="1">{"fdsup://Directions/FactSet Auditing Viewer?action=AUDIT_VALUE&amp;DB=129&amp;ID1=41130710&amp;VALUEID=02001&amp;SDATE=2009&amp;PERIODTYPE=ANN_STD&amp;window=popup_no_bar&amp;width=385&amp;height=120&amp;START_MAXIMIZED=FALSE&amp;creator=factset&amp;display_string=Audit"}</definedName>
    <definedName name="_45__FDSAUDITLINK__" hidden="1">{"fdsup://Directions/FactSet Auditing Viewer?action=AUDIT_VALUE&amp;DB=129&amp;ID1=79084910&amp;VALUEID=02001&amp;SDATE=2009&amp;PERIODTYPE=ANN_STD&amp;window=popup_no_bar&amp;width=385&amp;height=120&amp;START_MAXIMIZED=FALSE&amp;creator=factset&amp;display_string=Audit"}</definedName>
    <definedName name="_46__FDSAUDITLINK__" hidden="1">{"fdsup://Directions/FactSet Auditing Viewer?action=AUDIT_VALUE&amp;DB=129&amp;ID1=98956P10&amp;VALUEID=02001&amp;SDATE=2009&amp;PERIODTYPE=ANN_STD&amp;window=popup_no_bar&amp;width=385&amp;height=120&amp;START_MAXIMIZED=FALSE&amp;creator=factset&amp;display_string=Audit"}</definedName>
    <definedName name="_47__FDSAUDITLINK__" hidden="1">{"fdsup://Directions/FactSet Auditing Viewer?action=AUDIT_VALUE&amp;DB=129&amp;ID1=58505510&amp;VALUEID=02001&amp;SDATE=2009&amp;PERIODTYPE=ANN_STD&amp;window=popup_no_bar&amp;width=385&amp;height=120&amp;START_MAXIMIZED=FALSE&amp;creator=factset&amp;display_string=Audit"}</definedName>
    <definedName name="_48__FDSAUDITLINK__" hidden="1">{"fdsup://Directions/FactSet Auditing Viewer?action=AUDIT_VALUE&amp;DB=129&amp;ID1=45798520&amp;VALUEID=02001&amp;SDATE=2009&amp;PERIODTYPE=ANN_STD&amp;window=popup_no_bar&amp;width=385&amp;height=120&amp;START_MAXIMIZED=FALSE&amp;creator=factset&amp;display_string=Audit"}</definedName>
    <definedName name="_49__FDSAUDITLINK__" hidden="1">{"fdsup://Directions/FactSet Auditing Viewer?action=AUDIT_VALUE&amp;DB=129&amp;ID1=46120E60&amp;VALUEID=02001&amp;SDATE=2009&amp;PERIODTYPE=ANN_STD&amp;window=popup_no_bar&amp;width=385&amp;height=120&amp;START_MAXIMIZED=FALSE&amp;creator=factset&amp;display_string=Audit"}</definedName>
    <definedName name="_5__123Graph_ACHART_26" hidden="1">[2]Menu!$D$83:$M$83</definedName>
    <definedName name="_5__FDSAUDITLINK__" hidden="1">{"fdsup://Directions/FactSet Auditing Viewer?action=AUDIT_VALUE&amp;DB=129&amp;ID1=07588710&amp;VALUEID=02001&amp;SDATE=201004&amp;PERIODTYPE=QTR_STD&amp;window=popup_no_bar&amp;width=385&amp;height=120&amp;START_MAXIMIZED=FALSE&amp;creator=factset&amp;display_string=Audit"}</definedName>
    <definedName name="_50__FDSAUDITLINK__" hidden="1">{"fdsup://Directions/FactSet Auditing Viewer?action=AUDIT_VALUE&amp;DB=129&amp;ID1=43644010&amp;VALUEID=02001&amp;SDATE=201004&amp;PERIODTYPE=QTR_STD&amp;window=popup_no_bar&amp;width=385&amp;height=120&amp;START_MAXIMIZED=FALSE&amp;creator=factset&amp;display_string=Audit"}</definedName>
    <definedName name="_51__FDSAUDITLINK__" hidden="1">{"fdsup://Directions/FactSet Auditing Viewer?action=AUDIT_VALUE&amp;DB=129&amp;ID1=40502410&amp;VALUEID=02001&amp;SDATE=2009&amp;PERIODTYPE=ANN_STD&amp;window=popup_no_bar&amp;width=385&amp;height=120&amp;START_MAXIMIZED=FALSE&amp;creator=factset&amp;display_string=Audit"}</definedName>
    <definedName name="_52__FDSAUDITLINK__" hidden="1">{"fdsup://Directions/FactSet Auditing Viewer?action=AUDIT_VALUE&amp;DB=129&amp;ID1=36866T10&amp;VALUEID=02001&amp;SDATE=2009&amp;PERIODTYPE=ANN_STD&amp;window=popup_no_bar&amp;width=385&amp;height=120&amp;START_MAXIMIZED=FALSE&amp;creator=factset&amp;display_string=Audit"}</definedName>
    <definedName name="_53__FDSAUDITLINK__" hidden="1">{"fdsup://Directions/FactSet Auditing Viewer?action=AUDIT_VALUE&amp;DB=129&amp;ID1=06738310&amp;VALUEID=02001&amp;SDATE=2009&amp;PERIODTYPE=ANN_STD&amp;window=popup_no_bar&amp;width=385&amp;height=120&amp;START_MAXIMIZED=FALSE&amp;creator=factset&amp;display_string=Audit"}</definedName>
    <definedName name="_54__FDSAUDITLINK__" hidden="1">{"fdsup://Directions/FactSet Auditing Viewer?action=AUDIT_VALUE&amp;DB=129&amp;ID1=28176E10&amp;VALUEID=02001&amp;SDATE=2009&amp;PERIODTYPE=ANN_STD&amp;window=popup_no_bar&amp;width=385&amp;height=120&amp;START_MAXIMIZED=FALSE&amp;creator=factset&amp;display_string=Audit"}</definedName>
    <definedName name="_55__FDSAUDITLINK__" hidden="1">{"fdsup://Directions/FactSet Auditing Viewer?action=AUDIT_VALUE&amp;DB=129&amp;ID1=10113710&amp;VALUEID=02001&amp;SDATE=2009&amp;PERIODTYPE=ANN_STD&amp;window=popup_no_bar&amp;width=385&amp;height=120&amp;START_MAXIMIZED=FALSE&amp;creator=factset&amp;display_string=Audit"}</definedName>
    <definedName name="_56__FDSAUDITLINK__" hidden="1">{"fdsup://Directions/FactSet Auditing Viewer?action=AUDIT_VALUE&amp;DB=129&amp;ID1=07581110&amp;VALUEID=02001&amp;SDATE=2009&amp;PERIODTYPE=ANN_STD&amp;window=popup_no_bar&amp;width=385&amp;height=120&amp;START_MAXIMIZED=FALSE&amp;creator=factset&amp;display_string=Audit"}</definedName>
    <definedName name="_57__FDSAUDITLINK__" hidden="1">{"fdsup://Directions/FactSet Auditing Viewer?action=AUDIT_VALUE&amp;DB=129&amp;ID1=07588710&amp;VALUEID=02001&amp;SDATE=2010&amp;PERIODTYPE=ANN_STD&amp;window=popup_no_bar&amp;width=385&amp;height=120&amp;START_MAXIMIZED=FALSE&amp;creator=factset&amp;display_string=Audit"}</definedName>
    <definedName name="_58__FDSAUDITLINK__" hidden="1">{"fdsup://Directions/FactSet Auditing Viewer?action=AUDIT_VALUE&amp;DB=129&amp;ID1=02744M10&amp;VALUEID=02001&amp;SDATE=2009&amp;PERIODTYPE=ANN_STD&amp;window=popup_no_bar&amp;width=385&amp;height=120&amp;START_MAXIMIZED=FALSE&amp;creator=factset&amp;display_string=Audit"}</definedName>
    <definedName name="_59__FDSAUDITLINK__" hidden="1">{"fdsup://Directions/FactSet Auditing Viewer?action=AUDIT_VALUE&amp;DB=129&amp;ID1=47816010&amp;VALUEID=02001&amp;SDATE=2009&amp;PERIODTYPE=ANN_STD&amp;window=popup_no_bar&amp;width=385&amp;height=120&amp;START_MAXIMIZED=FALSE&amp;creator=factset&amp;display_string=Audit"}</definedName>
    <definedName name="_6__FDSAUDITLINK__" hidden="1">{"fdsup://Directions/FactSet Auditing Viewer?action=AUDIT_VALUE&amp;DB=129&amp;ID1=07581110&amp;VALUEID=02001&amp;SDATE=2009&amp;PERIODTYPE=ANN_STD&amp;window=popup_no_bar&amp;width=385&amp;height=120&amp;START_MAXIMIZED=FALSE&amp;creator=factset&amp;display_string=Audit"}</definedName>
    <definedName name="_60__FDSAUDITLINK__" hidden="1">{"fdsup://Directions/FactSet Auditing Viewer?action=AUDIT_VALUE&amp;DB=129&amp;ID1=00365410&amp;VALUEID=02001&amp;SDATE=2009&amp;PERIODTYPE=ANN_STD&amp;window=popup_no_bar&amp;width=385&amp;height=120&amp;START_MAXIMIZED=FALSE&amp;creator=factset&amp;display_string=Audit"}</definedName>
    <definedName name="_61__FDSAUDITLINK__" hidden="1">{"fdsup://Directions/FactSet Auditing Viewer?action=AUDIT_VALUE&amp;DB=129&amp;ID1=43644010&amp;VALUEID=02001&amp;SDATE=201004&amp;PERIODTYPE=QTR_STD&amp;window=popup_no_bar&amp;width=385&amp;height=120&amp;START_MAXIMIZED=FALSE&amp;creator=factset&amp;display_string=Audit"}</definedName>
    <definedName name="_62__FDSAUDITLINK__" hidden="1">{"fdsup://Directions/FactSet Auditing Viewer?action=AUDIT_VALUE&amp;DB=129&amp;ID1=14170T10&amp;VALUEID=02001&amp;SDATE=2010&amp;PERIODTYPE=ANN_STD&amp;window=popup_no_bar&amp;width=385&amp;height=120&amp;START_MAXIMIZED=FALSE&amp;creator=factset&amp;display_string=Audit"}</definedName>
    <definedName name="_63__FDSAUDITLINK__" hidden="1">{"fdsup://Directions/FactSet Auditing Viewer?action=AUDIT_VALUE&amp;DB=129&amp;ID1=07181310&amp;VALUEID=02001&amp;SDATE=2009&amp;PERIODTYPE=ANN_STD&amp;window=popup_no_bar&amp;width=385&amp;height=120&amp;START_MAXIMIZED=FALSE&amp;creator=factset&amp;display_string=Audit"}</definedName>
    <definedName name="_64__FDSAUDITLINK__" hidden="1">{"fdsup://Directions/FactSet Auditing Viewer?action=AUDIT_VALUE&amp;DB=129&amp;ID1=00282410&amp;VALUEID=02001&amp;SDATE=2009&amp;PERIODTYPE=ANN_STD&amp;window=popup_no_bar&amp;width=385&amp;height=120&amp;START_MAXIMIZED=FALSE&amp;creator=factset&amp;display_string=Audit"}</definedName>
    <definedName name="_65__FDSAUDITLINK__" hidden="1">{"fdsup://Directions/FactSet Auditing Viewer?action=AUDIT_VALUE&amp;DB=129&amp;ID1=62855J10&amp;VALUEID=02001&amp;SDATE=2010&amp;PERIODTYPE=ANN_STD&amp;window=popup_no_bar&amp;width=385&amp;height=120&amp;START_MAXIMIZED=FALSE&amp;creator=factset&amp;display_string=Audit"}</definedName>
    <definedName name="_66__FDSAUDITLINK__" hidden="1">{"fdsup://Directions/FactSet Auditing Viewer?action=AUDIT_VALUE&amp;DB=129&amp;ID1=94184810&amp;VALUEID=02001&amp;SDATE=2009&amp;PERIODTYPE=ANN_STD&amp;window=popup_no_bar&amp;width=385&amp;height=120&amp;START_MAXIMIZED=FALSE&amp;creator=factset&amp;display_string=Audit"}</definedName>
    <definedName name="_67__FDSAUDITLINK__" hidden="1">{"fdsup://Directions/FactSet Auditing Viewer?action=AUDIT_VALUE&amp;DB=129&amp;ID1=44106010&amp;VALUEID=02001&amp;SDATE=2009&amp;PERIODTYPE=ANN_STD&amp;window=popup_no_bar&amp;width=385&amp;height=120&amp;START_MAXIMIZED=FALSE&amp;creator=factset&amp;display_string=Audit"}</definedName>
    <definedName name="_68__FDSAUDITLINK__" hidden="1">{"fdsup://Directions/FactSet Auditing Viewer?action=AUDIT_VALUE&amp;DB=129&amp;ID1=36866T10&amp;VALUEID=02001&amp;SDATE=2009&amp;PERIODTYPE=ANN_STD&amp;window=popup_no_bar&amp;width=385&amp;height=120&amp;START_MAXIMIZED=FALSE&amp;creator=factset&amp;display_string=Audit"}</definedName>
    <definedName name="_69__FDSAUDITLINK__" hidden="1">{"fdsup://Directions/FactSet Auditing Viewer?action=AUDIT_VALUE&amp;DB=129&amp;ID1=07588710&amp;VALUEID=02001&amp;SDATE=201004&amp;PERIODTYPE=QTR_STD&amp;window=popup_no_bar&amp;width=385&amp;height=120&amp;START_MAXIMIZED=FALSE&amp;creator=factset&amp;display_string=Audit"}</definedName>
    <definedName name="_7__FDSAUDITLINK__" hidden="1">{"fdsup://Directions/FactSet Auditing Viewer?action=AUDIT_VALUE&amp;DB=129&amp;ID1=00826T10&amp;VALUEID=02001&amp;SDATE=2009&amp;PERIODTYPE=ANN_STD&amp;window=popup_no_bar&amp;width=385&amp;height=120&amp;START_MAXIMIZED=FALSE&amp;creator=factset&amp;display_string=Audit"}</definedName>
    <definedName name="_70__FDSAUDITLINK__" hidden="1">{"fdsup://Directions/FactSet Auditing Viewer?action=AUDIT_VALUE&amp;DB=129&amp;ID1=07581110&amp;VALUEID=02001&amp;SDATE=2009&amp;PERIODTYPE=ANN_STD&amp;window=popup_no_bar&amp;width=385&amp;height=120&amp;START_MAXIMIZED=FALSE&amp;creator=factset&amp;display_string=Audit"}</definedName>
    <definedName name="_71__FDSAUDITLINK__" hidden="1">{"fdsup://Directions/FactSet Auditing Viewer?action=AUDIT_VALUE&amp;DB=129&amp;ID1=00826T10&amp;VALUEID=02001&amp;SDATE=2009&amp;PERIODTYPE=ANN_STD&amp;window=popup_no_bar&amp;width=385&amp;height=120&amp;START_MAXIMIZED=FALSE&amp;creator=factset&amp;display_string=Audit"}</definedName>
    <definedName name="_72__FDSAUDITLINK__" hidden="1">{"fdsup://Directions/FactSet Auditing Viewer?action=AUDIT_VALUE&amp;DB=129&amp;ID1=88355610&amp;VALUEID=02001&amp;SDATE=2009&amp;PERIODTYPE=ANN_STD&amp;window=popup_no_bar&amp;width=385&amp;height=120&amp;START_MAXIMIZED=FALSE&amp;creator=factset&amp;display_string=Audit"}</definedName>
    <definedName name="_73__FDSAUDITLINK__" hidden="1">{"fdsup://Directions/FactSet Auditing Viewer?action=AUDIT_VALUE&amp;DB=129&amp;ID1=53217V10&amp;VALUEID=02001&amp;SDATE=2009&amp;PERIODTYPE=ANN_STD&amp;window=popup_no_bar&amp;width=385&amp;height=120&amp;START_MAXIMIZED=FALSE&amp;creator=factset&amp;display_string=Audit"}</definedName>
    <definedName name="_74__FDSAUDITLINK__" hidden="1">{"fdsup://Directions/FactSet Auditing Viewer?action=AUDIT_VALUE&amp;DB=129&amp;ID1=45232710&amp;VALUEID=02001&amp;SDATE=2009&amp;PERIODTYPE=ANN_STD&amp;window=popup_no_bar&amp;width=385&amp;height=120&amp;START_MAXIMIZED=FALSE&amp;creator=factset&amp;display_string=Audit"}</definedName>
    <definedName name="_75__FDSAUDITLINK__" hidden="1">{"fdsup://Directions/FactSet Auditing Viewer?action=AUDIT_VALUE&amp;DB=129&amp;ID1=87422710&amp;VALUEID=02001&amp;SDATE=2009&amp;PERIODTYPE=ANN_STD&amp;window=popup_no_bar&amp;width=385&amp;height=120&amp;START_MAXIMIZED=FALSE&amp;creator=factset&amp;display_string=Audit"}</definedName>
    <definedName name="_76__FDSAUDITLINK__" hidden="1">{"fdsup://Directions/FactSet Auditing Viewer?action=AUDIT_VALUE&amp;DB=129&amp;ID1=41130710&amp;VALUEID=02001&amp;SDATE=2009&amp;PERIODTYPE=ANN_STD&amp;window=popup_no_bar&amp;width=385&amp;height=120&amp;START_MAXIMIZED=FALSE&amp;creator=factset&amp;display_string=Audit"}</definedName>
    <definedName name="_77__FDSAUDITLINK__" hidden="1">{"fdsup://Directions/FactSet Auditing Viewer?action=AUDIT_VALUE&amp;DB=129&amp;ID1=79084910&amp;VALUEID=02001&amp;SDATE=2009&amp;PERIODTYPE=ANN_STD&amp;window=popup_no_bar&amp;width=385&amp;height=120&amp;START_MAXIMIZED=FALSE&amp;creator=factset&amp;display_string=Audit"}</definedName>
    <definedName name="_78__FDSAUDITLINK__" hidden="1">{"fdsup://Directions/FactSet Auditing Viewer?action=AUDIT_VALUE&amp;DB=129&amp;ID1=98956P10&amp;VALUEID=02001&amp;SDATE=2009&amp;PERIODTYPE=ANN_STD&amp;window=popup_no_bar&amp;width=385&amp;height=120&amp;START_MAXIMIZED=FALSE&amp;creator=factset&amp;display_string=Audit"}</definedName>
    <definedName name="_79__FDSAUDITLINK__" hidden="1">{"fdsup://Directions/FactSet Auditing Viewer?action=AUDIT_VALUE&amp;DB=129&amp;ID1=58505510&amp;VALUEID=02001&amp;SDATE=2009&amp;PERIODTYPE=ANN_STD&amp;window=popup_no_bar&amp;width=385&amp;height=120&amp;START_MAXIMIZED=FALSE&amp;creator=factset&amp;display_string=Audit"}</definedName>
    <definedName name="_8__123Graph_ACHART_30" hidden="1">[2]Menu!$D$11:$M$11</definedName>
    <definedName name="_8__FDSAUDITLINK__" hidden="1">{"fdsup://Directions/FactSet Auditing Viewer?action=AUDIT_VALUE&amp;DB=129&amp;ID1=88355610&amp;VALUEID=02001&amp;SDATE=2009&amp;PERIODTYPE=ANN_STD&amp;window=popup_no_bar&amp;width=385&amp;height=120&amp;START_MAXIMIZED=FALSE&amp;creator=factset&amp;display_string=Audit"}</definedName>
    <definedName name="_80__FDSAUDITLINK__" hidden="1">{"fdsup://Directions/FactSet Auditing Viewer?action=AUDIT_VALUE&amp;DB=129&amp;ID1=45798520&amp;VALUEID=02001&amp;SDATE=2009&amp;PERIODTYPE=ANN_STD&amp;window=popup_no_bar&amp;width=385&amp;height=120&amp;START_MAXIMIZED=FALSE&amp;creator=factset&amp;display_string=Audit"}</definedName>
    <definedName name="_81__FDSAUDITLINK__" hidden="1">{"fdsup://Directions/FactSet Auditing Viewer?action=AUDIT_VALUE&amp;DB=129&amp;ID1=46120E60&amp;VALUEID=02001&amp;SDATE=2009&amp;PERIODTYPE=ANN_STD&amp;window=popup_no_bar&amp;width=385&amp;height=120&amp;START_MAXIMIZED=FALSE&amp;creator=factset&amp;display_string=Audit"}</definedName>
    <definedName name="_82__FDSAUDITLINK__" hidden="1">{"fdsup://Directions/FactSet Auditing Viewer?action=AUDIT_VALUE&amp;DB=129&amp;ID1=43644010&amp;VALUEID=02001&amp;SDATE=201004&amp;PERIODTYPE=QTR_STD&amp;window=popup_no_bar&amp;width=385&amp;height=120&amp;START_MAXIMIZED=FALSE&amp;creator=factset&amp;display_string=Audit"}</definedName>
    <definedName name="_83__FDSAUDITLINK__" hidden="1">{"fdsup://Directions/FactSet Auditing Viewer?action=AUDIT_VALUE&amp;DB=129&amp;ID1=40502410&amp;VALUEID=02001&amp;SDATE=2009&amp;PERIODTYPE=ANN_STD&amp;window=popup_no_bar&amp;width=385&amp;height=120&amp;START_MAXIMIZED=FALSE&amp;creator=factset&amp;display_string=Audit"}</definedName>
    <definedName name="_84__FDSAUDITLINK__" hidden="1">{"fdsup://Directions/FactSet Auditing Viewer?action=AUDIT_VALUE&amp;DB=129&amp;ID1=36866T10&amp;VALUEID=02001&amp;SDATE=2009&amp;PERIODTYPE=ANN_STD&amp;window=popup_no_bar&amp;width=385&amp;height=120&amp;START_MAXIMIZED=FALSE&amp;creator=factset&amp;display_string=Audit"}</definedName>
    <definedName name="_85__FDSAUDITLINK__" hidden="1">{"fdsup://Directions/FactSet Auditing Viewer?action=AUDIT_VALUE&amp;DB=129&amp;ID1=06738310&amp;VALUEID=02001&amp;SDATE=2009&amp;PERIODTYPE=ANN_STD&amp;window=popup_no_bar&amp;width=385&amp;height=120&amp;START_MAXIMIZED=FALSE&amp;creator=factset&amp;display_string=Audit"}</definedName>
    <definedName name="_86__FDSAUDITLINK__" hidden="1">{"fdsup://Directions/FactSet Auditing Viewer?action=AUDIT_VALUE&amp;DB=129&amp;ID1=28176E10&amp;VALUEID=02001&amp;SDATE=2009&amp;PERIODTYPE=ANN_STD&amp;window=popup_no_bar&amp;width=385&amp;height=120&amp;START_MAXIMIZED=FALSE&amp;creator=factset&amp;display_string=Audit"}</definedName>
    <definedName name="_87__FDSAUDITLINK__" hidden="1">{"fdsup://Directions/FactSet Auditing Viewer?action=AUDIT_VALUE&amp;DB=129&amp;ID1=10113710&amp;VALUEID=02001&amp;SDATE=2009&amp;PERIODTYPE=ANN_STD&amp;window=popup_no_bar&amp;width=385&amp;height=120&amp;START_MAXIMIZED=FALSE&amp;creator=factset&amp;display_string=Audit"}</definedName>
    <definedName name="_88__FDSAUDITLINK__" hidden="1">{"fdsup://Directions/FactSet Auditing Viewer?action=AUDIT_VALUE&amp;DB=129&amp;ID1=07581110&amp;VALUEID=02001&amp;SDATE=2009&amp;PERIODTYPE=ANN_STD&amp;window=popup_no_bar&amp;width=385&amp;height=120&amp;START_MAXIMIZED=FALSE&amp;creator=factset&amp;display_string=Audit"}</definedName>
    <definedName name="_89__FDSAUDITLINK__" hidden="1">{"fdsup://Directions/FactSet Auditing Viewer?action=AUDIT_VALUE&amp;DB=129&amp;ID1=07588710&amp;VALUEID=02001&amp;SDATE=2010&amp;PERIODTYPE=ANN_STD&amp;window=popup_no_bar&amp;width=385&amp;height=120&amp;START_MAXIMIZED=FALSE&amp;creator=factset&amp;display_string=Audit"}</definedName>
    <definedName name="_9__123Graph_ALIQUIDS" hidden="1">[3]P!$S$78:$AL$78</definedName>
    <definedName name="_9__FDSAUDITLINK__" hidden="1">{"fdsup://Directions/FactSet Auditing Viewer?action=AUDIT_VALUE&amp;DB=129&amp;ID1=53217V10&amp;VALUEID=02001&amp;SDATE=2009&amp;PERIODTYPE=ANN_STD&amp;window=popup_no_bar&amp;width=385&amp;height=120&amp;START_MAXIMIZED=FALSE&amp;creator=factset&amp;display_string=Audit"}</definedName>
    <definedName name="_90__FDSAUDITLINK__" hidden="1">{"fdsup://Directions/FactSet Auditing Viewer?action=AUDIT_VALUE&amp;DB=129&amp;ID1=02744M10&amp;VALUEID=02001&amp;SDATE=2009&amp;PERIODTYPE=ANN_STD&amp;window=popup_no_bar&amp;width=385&amp;height=120&amp;START_MAXIMIZED=FALSE&amp;creator=factset&amp;display_string=Audit"}</definedName>
    <definedName name="_91__FDSAUDITLINK__" hidden="1">{"fdsup://Directions/FactSet Auditing Viewer?action=AUDIT_VALUE&amp;DB=129&amp;ID1=47816010&amp;VALUEID=02001&amp;SDATE=2009&amp;PERIODTYPE=ANN_STD&amp;window=popup_no_bar&amp;width=385&amp;height=120&amp;START_MAXIMIZED=FALSE&amp;creator=factset&amp;display_string=Audit"}</definedName>
    <definedName name="_92__FDSAUDITLINK__" hidden="1">{"fdsup://Directions/FactSet Auditing Viewer?action=AUDIT_VALUE&amp;DB=129&amp;ID1=00365410&amp;VALUEID=02001&amp;SDATE=2009&amp;PERIODTYPE=ANN_STD&amp;window=popup_no_bar&amp;width=385&amp;height=120&amp;START_MAXIMIZED=FALSE&amp;creator=factset&amp;display_string=Audit"}</definedName>
    <definedName name="_93__FDSAUDITLINK__" hidden="1">{"fdsup://Directions/FactSet Auditing Viewer?action=AUDIT_VALUE&amp;DB=129&amp;ID1=43644010&amp;VALUEID=02001&amp;SDATE=201004&amp;PERIODTYPE=QTR_STD&amp;window=popup_no_bar&amp;width=385&amp;height=120&amp;START_MAXIMIZED=FALSE&amp;creator=factset&amp;display_string=Audit"}</definedName>
    <definedName name="_94__FDSAUDITLINK__" hidden="1">{"fdsup://Directions/FactSet Auditing Viewer?action=AUDIT_VALUE&amp;DB=129&amp;ID1=14170T10&amp;VALUEID=02001&amp;SDATE=2010&amp;PERIODTYPE=ANN_STD&amp;window=popup_no_bar&amp;width=385&amp;height=120&amp;START_MAXIMIZED=FALSE&amp;creator=factset&amp;display_string=Audit"}</definedName>
    <definedName name="_95__FDSAUDITLINK__" hidden="1">{"fdsup://Directions/FactSet Auditing Viewer?action=AUDIT_VALUE&amp;DB=129&amp;ID1=07181310&amp;VALUEID=02001&amp;SDATE=2009&amp;PERIODTYPE=ANN_STD&amp;window=popup_no_bar&amp;width=385&amp;height=120&amp;START_MAXIMIZED=FALSE&amp;creator=factset&amp;display_string=Audit"}</definedName>
    <definedName name="_96__FDSAUDITLINK__" hidden="1">{"fdsup://Directions/FactSet Auditing Viewer?action=AUDIT_VALUE&amp;DB=129&amp;ID1=00282410&amp;VALUEID=02001&amp;SDATE=2009&amp;PERIODTYPE=ANN_STD&amp;window=popup_no_bar&amp;width=385&amp;height=120&amp;START_MAXIMIZED=FALSE&amp;creator=factset&amp;display_string=Audit"}</definedName>
    <definedName name="_97__FDSAUDITLINK__" hidden="1">{"fdsup://Directions/FactSet Auditing Viewer?action=AUDIT_VALUE&amp;DB=129&amp;ID1=87422710&amp;VALUEID=02001&amp;SDATE=2009&amp;PERIODTYPE=ANN_STD&amp;window=popup_no_bar&amp;width=385&amp;height=120&amp;START_MAXIMIZED=FALSE&amp;creator=factset&amp;display_string=Audit"}</definedName>
    <definedName name="_98__FDSAUDITLINK__" hidden="1">{"fdsup://Directions/FactSet Auditing Viewer?action=AUDIT_VALUE&amp;DB=129&amp;ID1=41130710&amp;VALUEID=02001&amp;SDATE=2009&amp;PERIODTYPE=ANN_STD&amp;window=popup_no_bar&amp;width=385&amp;height=120&amp;START_MAXIMIZED=FALSE&amp;creator=factset&amp;display_string=Audit"}</definedName>
    <definedName name="_99__FDSAUDITLINK__" hidden="1">{"fdsup://Directions/FactSet Auditing Viewer?action=AUDIT_VALUE&amp;DB=129&amp;ID1=79084910&amp;VALUEID=02001&amp;SDATE=2009&amp;PERIODTYPE=ANN_STD&amp;window=popup_no_bar&amp;width=385&amp;height=120&amp;START_MAXIMIZED=FALSE&amp;creator=factset&amp;display_string=Audit"}</definedName>
    <definedName name="_a1" hidden="1">{"comp1",#N/A,FALSE,"COMPS";"footnotes",#N/A,FALSE,"COMPS"}</definedName>
    <definedName name="_aa1" hidden="1">{#N/A,#N/A,TRUE,"Pro Forma";#N/A,#N/A,TRUE,"PF_Bal";#N/A,#N/A,TRUE,"PF_INC";#N/A,#N/A,TRUE,"CBE";#N/A,#N/A,TRUE,"SWK"}</definedName>
    <definedName name="_aaa1" hidden="1">{"comp1",#N/A,FALSE,"COMPS";"footnotes",#N/A,FALSE,"COMPS"}</definedName>
    <definedName name="_aab1" hidden="1">{"comp1",#N/A,FALSE,"COMPS";"footnotes",#N/A,FALSE,"COMPS"}</definedName>
    <definedName name="_ab1" hidden="1">{"comp1",#N/A,FALSE,"COMPS";"footnotes",#N/A,FALSE,"COMPS"}</definedName>
    <definedName name="_ae1" hidden="1">{#N/A,#N/A,FALSE,"Calc";#N/A,#N/A,FALSE,"Sensitivity";#N/A,#N/A,FALSE,"LT Earn.Dil.";#N/A,#N/A,FALSE,"Dil. AVP"}</definedName>
    <definedName name="_aee1" hidden="1">{#N/A,#N/A,FALSE,"Calc";#N/A,#N/A,FALSE,"Sensitivity";#N/A,#N/A,FALSE,"LT Earn.Dil.";#N/A,#N/A,FALSE,"Dil. AVP"}</definedName>
    <definedName name="_af1" hidden="1">"c1455"</definedName>
    <definedName name="_af10" hidden="1">"c2141"</definedName>
    <definedName name="_af11" hidden="1">"c1382"</definedName>
    <definedName name="_af12" hidden="1">"c1385"</definedName>
    <definedName name="_af13" hidden="1">"c1435"</definedName>
    <definedName name="_af14" hidden="1">"c1436"</definedName>
    <definedName name="_af15" hidden="1">"c1424"</definedName>
    <definedName name="_af16" hidden="1">"c1345"</definedName>
    <definedName name="_af18" hidden="1">"c1438"</definedName>
    <definedName name="_af2" hidden="1">"c1352"</definedName>
    <definedName name="_af3" hidden="1">"c1353"</definedName>
    <definedName name="_af37" hidden="1">{"Client is",#N/A,FALSE,"Client"}</definedName>
    <definedName name="_af38" hidden="1">{TRUE,TRUE,-1.25,-15.5,456.75,279.75,FALSE,FALSE,TRUE,TRUE,0,1,18,1,199,6,3,4,TRUE,TRUE,3,TRUE,1,TRUE,100,"Swvu.cash.","ACwvu.cash.",1,FALSE,FALSE,0.511811023622047,0.511811023622047,0.511811023622047,0.511811023622047,1,"","",FALSE,FALSE,FALSE,FALSE,1,#N/A,1,1,#DIV/0!,FALSE,"Rwvu.cash.",#N/A,FALSE,FALSE}</definedName>
    <definedName name="_af39" hidden="1">{TRUE,TRUE,-1.25,-15.5,456.75,279.75,FALSE,FALSE,TRUE,TRUE,0,1,21,1,127,6,3,4,TRUE,TRUE,3,TRUE,1,TRUE,100,"Swvu.profits.","ACwvu.profits.",1,FALSE,FALSE,0.511811023622047,0.511811023622047,0.511811023622047,0.511811023622047,1,"","",FALSE,FALSE,FALSE,FALSE,1,#N/A,1,1,#DIV/0!,FALSE,"Rwvu.profits.",#N/A,FALSE,FALSE}</definedName>
    <definedName name="_af4" hidden="1">"c1354"</definedName>
    <definedName name="_af40" hidden="1">{TRUE,TRUE,-1.25,-15.5,456.75,279.75,FALSE,FALSE,TRUE,TRUE,0,1,8,1,4,6,3,4,TRUE,TRUE,3,TRUE,1,TRUE,100,"Swvu.turnover.","ACwvu.turnover.",1,FALSE,FALSE,0.511811023622047,0.511811023622047,0.511811023622047,0.511811023622047,1,"","",FALSE,FALSE,FALSE,FALSE,1,#N/A,1,1,#DIV/0!,FALSE,"Rwvu.turnover.",#N/A,FALSE,FALSE}</definedName>
    <definedName name="_af5" hidden="1">"c1411"</definedName>
    <definedName name="_af6" hidden="1">"c1431"</definedName>
    <definedName name="_af7" hidden="1">"c1433"</definedName>
    <definedName name="_af8" hidden="1">"c1434"</definedName>
    <definedName name="_af9" hidden="1">"c1432"</definedName>
    <definedName name="_am1" hidden="1">{#N/A,#N/A,TRUE,"Pro Forma";#N/A,#N/A,TRUE,"PF_Bal";#N/A,#N/A,TRUE,"PF_INC";#N/A,#N/A,TRUE,"CBE";#N/A,#N/A,TRUE,"SWK"}</definedName>
    <definedName name="_amm1" hidden="1">{#N/A,#N/A,TRUE,"Pro Forma";#N/A,#N/A,TRUE,"PF_Bal";#N/A,#N/A,TRUE,"PF_INC";#N/A,#N/A,TRUE,"CBE";#N/A,#N/A,TRUE,"SWK"}</definedName>
    <definedName name="_as1" hidden="1">{"comp1",#N/A,FALSE,"COMPS";"footnotes",#N/A,FALSE,"COMPS"}</definedName>
    <definedName name="_ass1" hidden="1">{"comp1",#N/A,FALSE,"COMPS";"footnotes",#N/A,FALSE,"COMPS"}</definedName>
    <definedName name="_bdm.02E29E7B1053433EA3CCCBE4E5141596.edm" hidden="1">[4]Sheet1!$1:$1048576</definedName>
    <definedName name="_bdm.1ED62A45DEF247ECA361049A600E2EA7.edm" hidden="1">[5]Comps!$1:$1048576</definedName>
    <definedName name="_bdm.2D2AE9F3DE2C4009BE1ADEF0D8291426.edm" hidden="1">'[5]Valuation metrics'!$1:$1048576</definedName>
    <definedName name="_bdm.6694A034F149482090D1C7073DD8E728.edm" hidden="1">[6]Sheet1!$1:$1048576</definedName>
    <definedName name="_bdm.D0F45DF5877447288FB1E0B1EA686B46.edm" hidden="1">[5]RC2!$1:$1048576</definedName>
    <definedName name="_CFN1" hidden="1">{"fdsup://directions/FAT Viewer?action=UPDATE&amp;creator=factset&amp;DYN_ARGS=TRUE&amp;DOC_NAME=FAT:FQL_AUDITING_CLIENT_TEMPLATE.FAT&amp;display_string=Audit&amp;VAR:KEY=WZAJSXWDSJ&amp;VAR:QUERY=RkZfU0hMRFJTX0VRKEFOTiwwKQ==&amp;WINDOW=FIRST_POPUP&amp;HEIGHT=450&amp;WIDTH=450&amp;START_MAXIMIZED=","FALSE&amp;VAR:CALENDAR=US&amp;VAR:SYMBOL=BDX&amp;VAR:INDEX=0"}</definedName>
    <definedName name="_f1" hidden="1">{"assumption cash",#N/A,TRUE,"Merger";"has gets cash",#N/A,TRUE,"Merger";"accretion dilution",#N/A,TRUE,"Merger";"comparison credit stats",#N/A,TRUE,"Merger";"pf credit stats",#N/A,TRUE,"Merger";"pf sheets",#N/A,TRUE,"Merger"}</definedName>
    <definedName name="_ik1" hidden="1">{"casespecific",#N/A,FALSE,"Assumptions"}</definedName>
    <definedName name="_Order1" hidden="1">255</definedName>
    <definedName name="_Order2" hidden="1">0</definedName>
    <definedName name="_rb1" hidden="1">{"comp1",#N/A,FALSE,"COMPS";"footnotes",#N/A,FALSE,"COMPS"}</definedName>
    <definedName name="_rb11" hidden="1">{"assumption cash",#N/A,TRUE,"Merger";"has gets cash",#N/A,TRUE,"Merger";"accretion dilution",#N/A,TRUE,"Merger";"comparison credit stats",#N/A,TRUE,"Merger";"pf credit stats",#N/A,TRUE,"Merger";"pf sheets",#N/A,TRUE,"Merger"}</definedName>
    <definedName name="_rb13" hidden="1">{"'Breakup 01 Euro'!$A$3:$I$30"}</definedName>
    <definedName name="_rb14" hidden="1">{"casespecific",#N/A,FALSE,"Assumptions"}</definedName>
    <definedName name="_rb15" hidden="1">"c1449"</definedName>
    <definedName name="_rb16" hidden="1">"c1343"</definedName>
    <definedName name="_rb17" hidden="1">"c1341"</definedName>
    <definedName name="_rb18" hidden="1">"c1340"</definedName>
    <definedName name="_rb19" hidden="1">"c1344"</definedName>
    <definedName name="_rb2" hidden="1">{#N/A,#N/A,TRUE,"Pro Forma";#N/A,#N/A,TRUE,"PF_Bal";#N/A,#N/A,TRUE,"PF_INC";#N/A,#N/A,TRUE,"CBE";#N/A,#N/A,TRUE,"SWK"}</definedName>
    <definedName name="_rb20" hidden="1">"c1342"</definedName>
    <definedName name="_rb21" hidden="1">"c1591"</definedName>
    <definedName name="_rb22" hidden="1">"c1346"</definedName>
    <definedName name="_rb23" hidden="1">"c2133"</definedName>
    <definedName name="_rb24" hidden="1">"c1349"</definedName>
    <definedName name="_rb25" hidden="1">"c1350"</definedName>
    <definedName name="_rb26" hidden="1">"c1458"</definedName>
    <definedName name="_rb27" hidden="1">"c116"</definedName>
    <definedName name="_rb28" hidden="1">"c1351"</definedName>
    <definedName name="_rb29" hidden="1">"c1355"</definedName>
    <definedName name="_rb3" hidden="1">{"comp1",#N/A,FALSE,"COMPS";"footnotes",#N/A,FALSE,"COMPS"}</definedName>
    <definedName name="_rb30" hidden="1">"c1357"</definedName>
    <definedName name="_rb31" hidden="1">"c1358"</definedName>
    <definedName name="_rb32" hidden="1">"c1359"</definedName>
    <definedName name="_rb33" hidden="1">"c1362"</definedName>
    <definedName name="_rb34" hidden="1">"c1363"</definedName>
    <definedName name="_rb35" hidden="1">"c1364"</definedName>
    <definedName name="_rb36" hidden="1">"c1365"</definedName>
    <definedName name="_rb37" hidden="1">"c1447"</definedName>
    <definedName name="_rb38" hidden="1">"c1356"</definedName>
    <definedName name="_rb39" hidden="1">"c1360"</definedName>
    <definedName name="_rb4" hidden="1">{#N/A,#N/A,FALSE,"Calc";#N/A,#N/A,FALSE,"Sensitivity";#N/A,#N/A,FALSE,"LT Earn.Dil.";#N/A,#N/A,FALSE,"Dil. AVP"}</definedName>
    <definedName name="_rb40" hidden="1">"c1361"</definedName>
    <definedName name="_rb41" hidden="1">"c1520"</definedName>
    <definedName name="_rb42" hidden="1">"c1367"</definedName>
    <definedName name="_rb43" hidden="1">"c1366"</definedName>
    <definedName name="_rb44" hidden="1">"c1369"</definedName>
    <definedName name="_rb45" hidden="1">"c1370"</definedName>
    <definedName name="_rb46" hidden="1">"c1371"</definedName>
    <definedName name="_rb47" hidden="1">"c1348"</definedName>
    <definedName name="_rb48" hidden="1">"c1451"</definedName>
    <definedName name="_rb49" hidden="1">"c1390"</definedName>
    <definedName name="_rb50" hidden="1">"c1428"</definedName>
    <definedName name="_rb51" hidden="1">"c1426"</definedName>
    <definedName name="_rb52" hidden="1">"c1427"</definedName>
    <definedName name="_rb53" hidden="1">"c1429"</definedName>
    <definedName name="_rb54" hidden="1">"c1897"</definedName>
    <definedName name="_rb55" hidden="1">"c1459"</definedName>
    <definedName name="_rb56" hidden="1">"c1405"</definedName>
    <definedName name="_rb57" hidden="1">"c1406"</definedName>
    <definedName name="_rb58" hidden="1">"c1376"</definedName>
    <definedName name="_rb59" hidden="1">"c1377"</definedName>
    <definedName name="_rb6" hidden="1">{#N/A,#N/A,TRUE,"Pro Forma";#N/A,#N/A,TRUE,"PF_Bal";#N/A,#N/A,TRUE,"PF_INC";#N/A,#N/A,TRUE,"CBE";#N/A,#N/A,TRUE,"SWK"}</definedName>
    <definedName name="_rb60" hidden="1">"c1380"</definedName>
    <definedName name="_rb61" hidden="1">"c1446"</definedName>
    <definedName name="_rb62" hidden="1">"c1378"</definedName>
    <definedName name="_rb63" hidden="1">"c1395"</definedName>
    <definedName name="_rb64" hidden="1">"c1396"</definedName>
    <definedName name="_rb65" hidden="1">"c1375"</definedName>
    <definedName name="_rb66" hidden="1">"c1407"</definedName>
    <definedName name="_rb67" hidden="1">"c1383"</definedName>
    <definedName name="_rb68" hidden="1">"c1393"</definedName>
    <definedName name="_rb69" hidden="1">"c1384"</definedName>
    <definedName name="_rb7" hidden="1">{"comp1",#N/A,FALSE,"COMPS";"footnotes",#N/A,FALSE,"COMPS"}</definedName>
    <definedName name="_rb70" hidden="1">"c1391"</definedName>
    <definedName name="_rb71" hidden="1">"c1386"</definedName>
    <definedName name="_rb72" hidden="1">"c1387"</definedName>
    <definedName name="_rb73" hidden="1">"c1388"</definedName>
    <definedName name="_rb74" hidden="1">"c1389"</definedName>
    <definedName name="_rb75" hidden="1">"c1437"</definedName>
    <definedName name="_rb76" hidden="1">"c1394"</definedName>
    <definedName name="_rb77" hidden="1">"c1368"</definedName>
    <definedName name="_rb78" hidden="1">"c1397"</definedName>
    <definedName name="_rb79" hidden="1">"c1398"</definedName>
    <definedName name="_Regression_Int" hidden="1">1</definedName>
    <definedName name="_rt1" hidden="1">"c1392"</definedName>
    <definedName name="_rt10" hidden="1">"c1409"</definedName>
    <definedName name="_rt11" hidden="1">"c1453"</definedName>
    <definedName name="_rt12" hidden="1">"c1410"</definedName>
    <definedName name="_rt14" hidden="1">"c2128"</definedName>
    <definedName name="_rt15" hidden="1">"c1457"</definedName>
    <definedName name="_rt16" hidden="1">"c1414"</definedName>
    <definedName name="_rt17" hidden="1">"c1416"</definedName>
    <definedName name="_rt18" hidden="1">"c1415"</definedName>
    <definedName name="_rt19" hidden="1">"c1418"</definedName>
    <definedName name="_rt2" hidden="1">"c1399"</definedName>
    <definedName name="_rt20" hidden="1">"c1412"</definedName>
    <definedName name="_rt21" hidden="1">"c1413"</definedName>
    <definedName name="_rt22" hidden="1">"c1452"</definedName>
    <definedName name="_rt24" hidden="1">"c1379"</definedName>
    <definedName name="_rt25" hidden="1">"c1402"</definedName>
    <definedName name="_rt26" hidden="1">"c1417"</definedName>
    <definedName name="_rt27" hidden="1">"c1419"</definedName>
    <definedName name="_rt28" hidden="1">"c1420"</definedName>
    <definedName name="_rt29" hidden="1">"c1421"</definedName>
    <definedName name="_rt3" hidden="1">"c1400"</definedName>
    <definedName name="_rt30" hidden="1">"c1422"</definedName>
    <definedName name="_rt31" hidden="1">"c1347"</definedName>
    <definedName name="_rt32" hidden="1">"c1425"</definedName>
    <definedName name="_rt4" hidden="1">"c1401"</definedName>
    <definedName name="_rt5" hidden="1">"c1423"</definedName>
    <definedName name="_rt6" hidden="1">"c1448"</definedName>
    <definedName name="_rt7" hidden="1">"c1403"</definedName>
    <definedName name="_rt8" hidden="1">"c1404"</definedName>
    <definedName name="_rt9" hidden="1">"c1408"</definedName>
    <definedName name="_t1" hidden="1">{"Client is",#N/A,FALSE,"Client"}</definedName>
    <definedName name="aaaaaa1" hidden="1">{#N/A,#N/A,TRUE,"Pro Forma";#N/A,#N/A,TRUE,"PF_Bal";#N/A,#N/A,TRUE,"PF_INC";#N/A,#N/A,TRUE,"CBE";#N/A,#N/A,TRUE,"SWK"}</definedName>
    <definedName name="abc"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dditionalInstructions">IndexInformation!$B$42</definedName>
    <definedName name="Address" localSheetId="0">ImportantDisclosures!$A$2:$A$2</definedName>
    <definedName name="adf" hidden="1">{#N/A,#N/A,TRUE,"Pro Forma";#N/A,#N/A,TRUE,"PF_Bal";#N/A,#N/A,TRUE,"PF_INC";#N/A,#N/A,TRUE,"CBE";#N/A,#N/A,TRUE,"SWK"}</definedName>
    <definedName name="af" hidden="1">"c1430"</definedName>
    <definedName name="ANA" localSheetId="10">ModPubIndex!$A$7</definedName>
    <definedName name="anscount" hidden="1">1</definedName>
    <definedName name="asdbdbvdfb" hidden="1">{0,#N/A,FALSE,0;0,#N/A,FALSE,0}</definedName>
    <definedName name="asdfbadffbf" hidden="1">{#VALUE!,#N/A,TRUE,0;#N/A,#N/A,TRUE,0;#N/A,#N/A,TRUE,0;#N/A,#N/A,TRUE,0;#N/A,#N/A,TRUE,0}</definedName>
    <definedName name="asdgasdgg" hidden="1">{0,#N/A,FALSE,0}</definedName>
    <definedName name="Authors" localSheetId="0">ImportantDisclosures!$A$7</definedName>
    <definedName name="Authors" localSheetId="9">IndexInformation!$B$18</definedName>
    <definedName name="BRO" localSheetId="10">ModPubIndex!$A$1</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FN" hidden="1">164</definedName>
    <definedName name="CopyrightStamp">ImportantDisclosures!$A$27</definedName>
    <definedName name="COU" localSheetId="10">ModPubIndex!$A$5</definedName>
    <definedName name="CQEnd" localSheetId="9">IndexInformation!$B$31</definedName>
    <definedName name="Currency" localSheetId="9">IndexInformation!$B$24</definedName>
    <definedName name="CurrentStockPrice" localSheetId="9">IndexInformation!$B$23</definedName>
    <definedName name="CurrQtrEPS" localSheetId="9">IndexInformation!$B$29</definedName>
    <definedName name="CurrYearEPS" localSheetId="9">IndexInformation!$B$11</definedName>
    <definedName name="CurrYearTotalRevenue" localSheetId="9">IndexInformation!$B$10</definedName>
    <definedName name="CurrYearTotalRevenueActual" localSheetId="9">IndexInformation!$B$32</definedName>
    <definedName name="CUSIP" localSheetId="9">IndexInformation!$B$20</definedName>
    <definedName name="CYEnd" localSheetId="9">IndexInformation!$B$30</definedName>
    <definedName name="d" hidden="1">{"comp1",#N/A,FALSE,"COMPS";"footnotes",#N/A,FALSE,"COMPS"}</definedName>
    <definedName name="Date" localSheetId="0">ImportantDisclosures!$A$8</definedName>
    <definedName name="Deleted" localSheetId="9">IndexInformation!$B$27</definedName>
    <definedName name="Description" localSheetId="9">IndexInformation!$B$7</definedName>
    <definedName name="df" hidden="1">{"comp1",#N/A,FALSE,"COMPS";"footnotes",#N/A,FALSE,"COMPS"}</definedName>
    <definedName name="dfbdfbdfbadfbd" hidden="1">{#VALUE!,#N/A,FALSE,0;#N/A,#N/A,FALSE,0;#N/A,#N/A,FALSE,0;#N/A,#N/A,FALSE,0}</definedName>
    <definedName name="dfbfdfbgdb" hidden="1">{0,#N/A,FALSE,0}</definedName>
    <definedName name="Discipline" localSheetId="9">IndexInformation!$B$3</definedName>
    <definedName name="DISCIPLINE" localSheetId="10">ModPubIndex!$A$12</definedName>
    <definedName name="DisclosuresText">ImportantDisclosures!$A$22</definedName>
    <definedName name="Distribution" localSheetId="9">IndexInformation!$B$26</definedName>
    <definedName name="DistTable" localSheetId="0">ImportantDisclosures!#REF!</definedName>
    <definedName name="DistTablePreamble" localSheetId="0">ImportantDisclosures!#REF!</definedName>
    <definedName name="DOCDAT" localSheetId="10">ModPubIndex!$A$2</definedName>
    <definedName name="DOCTIME" localSheetId="10">ModPubIndex!$A$3</definedName>
    <definedName name="DocType" localSheetId="9">IndexInformation!$B$5</definedName>
    <definedName name="EMAIL_ALERT" localSheetId="10">ModPubIndex!$A$10</definedName>
    <definedName name="EmailAlert" localSheetId="9">IndexInformation!$B$28</definedName>
    <definedName name="ev.Calculation" hidden="1">-4135</definedName>
    <definedName name="ev.Initialized" hidden="1">FALSE</definedName>
    <definedName name="fhsdfhsdfhsdfh" hidden="1">{#VALUE!,#N/A,TRUE,0;#N/A,#N/A,TRUE,0;#N/A,#N/A,TRUE,0;#N/A,#N/A,TRUE,0;#N/A,#N/A,TRUE,0}</definedName>
    <definedName name="FiveYearGrowthRate" localSheetId="9">IndexInformation!$B$16</definedName>
    <definedName name="FollowingYearEPS" localSheetId="9">IndexInformation!$B$15</definedName>
    <definedName name="FollowingYearTotalRevenue" localSheetId="9">IndexInformation!$B$14</definedName>
    <definedName name="FollowingYearTotalRevenueActual" localSheetId="9">IndexInformation!$B$34</definedName>
    <definedName name="gfngfngfndghnmgh" hidden="1">{0,#N/A,TRUE,0;0,#N/A,TRUE,0;0,#N/A,TRUE,0;0,#N/A,TRUE,0;0,#N/A,TRUE,0;0,#N/A,TRUE,0}</definedName>
    <definedName name="HL" localSheetId="10">ModPubIndex!$A$8</definedName>
    <definedName name="hn.ModelVersion" hidden="1">1</definedName>
    <definedName name="hn.NoUpload" hidden="1">0</definedName>
    <definedName name="HTML_CodePage" hidden="1">1252</definedName>
    <definedName name="HTML_Control" hidden="1">{"'Breakup 01 Euro'!$A$3:$I$30"}</definedName>
    <definedName name="HTML_Description" hidden="1">""</definedName>
    <definedName name="HTML_Email" hidden="1">""</definedName>
    <definedName name="HTML_Header" hidden="1">"Breakup 01 Euro"</definedName>
    <definedName name="HTML_LastUpdate" hidden="1">"27/02/2001"</definedName>
    <definedName name="HTML_LineAfter" hidden="1">FALSE</definedName>
    <definedName name="HTML_LineBefore" hidden="1">FALSE</definedName>
    <definedName name="HTML_Name" hidden="1">"jonasa"</definedName>
    <definedName name="HTML_OBDlg2" hidden="1">TRUE</definedName>
    <definedName name="HTML_OBDlg4" hidden="1">TRUE</definedName>
    <definedName name="HTML_OS" hidden="1">0</definedName>
    <definedName name="HTML_PathFile" hidden="1">"L:\AUTOS\XLDATA\Jonas\other\DCX_Sop.htm"</definedName>
    <definedName name="HTML_Title" hidden="1">"DAIC-INC"</definedName>
    <definedName name="IND" localSheetId="10">ModPubIndex!$A$9</definedName>
    <definedName name="Industry" localSheetId="0">ImportantDisclosures!$A$12</definedName>
    <definedName name="IndustryId">IndexInformation!$B$40</definedName>
    <definedName name="IndustryRating" localSheetId="0">ImportantDisclosures!$A$13</definedName>
    <definedName name="IQ" hidden="1">"c413"</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BS_PERIOD" hidden="1">"c13823"</definedName>
    <definedName name="IQ_ACCOUNT_CHANGE" hidden="1">"c413"</definedName>
    <definedName name="IQ_ACCOUNTING_FFIEC" hidden="1">"c13054"</definedName>
    <definedName name="IQ_ACCOUNTING_STANDARD" hidden="1">"c4539"</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"c7"</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"c39"</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"c16"</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"c1471"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DET_EST" hidden="1">"c12043"</definedName>
    <definedName name="IQ_ANALYST_DET_EST_THOM" hidden="1">"c12071"</definedName>
    <definedName name="IQ_ANALYST_EMAIL" hidden="1">"c13738"</definedName>
    <definedName name="IQ_ANALYST_NAME" hidden="1">"c13736"</definedName>
    <definedName name="IQ_ANALYST_NON_PER_DET_EST" hidden="1">"c12755"</definedName>
    <definedName name="IQ_ANALYST_NON_PER_DET_EST_THOM" hidden="1">"c12759"</definedName>
    <definedName name="IQ_ANALYST_PHONE" hidden="1">"c13737"</definedName>
    <definedName name="IQ_ANALYST_START_DATE" hidden="1">"c13740"</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"c65"</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UNUSED" hidden="1">"c7473"</definedName>
    <definedName name="IQ_BALANCE_GOODS_FC_UNUSED" hidden="1">"c7693"</definedName>
    <definedName name="IQ_BALANCE_GOODS_POP_FC_UNUSED" hidden="1">"c7913"</definedName>
    <definedName name="IQ_BALANCE_GOODS_POP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UNUSED" hidden="1">"c7253"</definedName>
    <definedName name="IQ_BALANCE_SERV_APR_FC_UNUSED" hidden="1">"c8355"</definedName>
    <definedName name="IQ_BALANCE_SERV_APR_UNUSED" hidden="1">"c7475"</definedName>
    <definedName name="IQ_BALANCE_SERV_FC_UNUSED" hidden="1">"c7695"</definedName>
    <definedName name="IQ_BALANCE_SERV_POP_FC_UNUSED" hidden="1">"c7915"</definedName>
    <definedName name="IQ_BALANCE_SERV_POP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UNUSED" hidden="1">"c7477"</definedName>
    <definedName name="IQ_BALANCE_TRADE_FC_UNUSED" hidden="1">"c7697"</definedName>
    <definedName name="IQ_BALANCE_TRADE_POP_FC_UNUSED" hidden="1">"c7917"</definedName>
    <definedName name="IQ_BALANCE_TRADE_POP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NCHMARK_YIELD" hidden="1">"c8955"</definedName>
    <definedName name="IQ_BETA" hidden="1">"c88"</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ID" hidden="1">"c13756"</definedName>
    <definedName name="IQ_BOARD_MEMBER_TITLE" hidden="1">"c97"</definedName>
    <definedName name="IQ_BOND_COUPON" hidden="1">"c2183"</definedName>
    <definedName name="IQ_BOND_COUPON_TYPE" hidden="1">"c2184"</definedName>
    <definedName name="IQ_BOND_LIST" hidden="1">"c13505"</definedName>
    <definedName name="IQ_BOND_PRICE" hidden="1">"c2162"</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UNUSED" hidden="1">"c7479"</definedName>
    <definedName name="IQ_BUDGET_BALANCE_FC_UNUSED" hidden="1">"c7699"</definedName>
    <definedName name="IQ_BUDGET_BALANCE_POP_FC_UNUSED" hidden="1">"c7919"</definedName>
    <definedName name="IQ_BUDGET_BALANCE_POP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YOY_FC_UNUSED" hidden="1">"c8139"</definedName>
    <definedName name="IQ_BUDGET_BALANCE_YOY_UNUSED" hidden="1">"c7259"</definedName>
    <definedName name="IQ_BUDGET_RECEIPTS_APR_FC_UNUSED" hidden="1">"c8361"</definedName>
    <definedName name="IQ_BUDGET_RECEIPTS_APR_UNUSED" hidden="1">"c7481"</definedName>
    <definedName name="IQ_BUDGET_RECEIPTS_FC_UNUSED" hidden="1">"c7701"</definedName>
    <definedName name="IQ_BUDGET_RECEIPTS_POP_FC_UNUSED" hidden="1">"c7921"</definedName>
    <definedName name="IQ_BUDGET_RECEIPTS_POP_UNUSED" hidden="1">"c7041"</definedName>
    <definedName name="IQ_BUDGET_RECEIPTS_UNUSED" hidden="1">"c6821"</definedName>
    <definedName name="IQ_BUDGET_RECEIPTS_YOY_FC_UNUSED" hidden="1">"c8141"</definedName>
    <definedName name="IQ_BUDGET_RECEIPTS_YOY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COMBINATIONS_FFIEC" hidden="1">"c12967"</definedName>
    <definedName name="IQ_BUSINESS_DESCRIPTION" hidden="1">"c322"</definedName>
    <definedName name="IQ_BV_ACT_OR_EST_CIQ" hidden="1">"c5068"</definedName>
    <definedName name="IQ_BV_EST" hidden="1">"c5624"</definedName>
    <definedName name="IQ_BV_HIGH_EST" hidden="1">"c5626"</definedName>
    <definedName name="IQ_BV_LOW_EST" hidden="1">"c5627"</definedName>
    <definedName name="IQ_BV_MEDIAN_EST" hidden="1">"c5625"</definedName>
    <definedName name="IQ_BV_NUM_EST" hidden="1">"c5628"</definedName>
    <definedName name="IQ_BV_OVER_SHARES" hidden="1">"c100"</definedName>
    <definedName name="IQ_BV_SHARE" hidden="1">"c100"</definedName>
    <definedName name="IQ_BV_SHARE_ACT_OR_EST" hidden="1">"c3587"</definedName>
    <definedName name="IQ_BV_SHARE_ACT_OR_EST_THOM" hidden="1">"c5312"</definedName>
    <definedName name="IQ_BV_SHARE_DET_EST" hidden="1">"c12047"</definedName>
    <definedName name="IQ_BV_SHARE_DET_EST_CURRENCY" hidden="1">"c12456"</definedName>
    <definedName name="IQ_BV_SHARE_DET_EST_CURRENCY_THOM" hidden="1">"c12476"</definedName>
    <definedName name="IQ_BV_SHARE_DET_EST_DATE" hidden="1">"c12200"</definedName>
    <definedName name="IQ_BV_SHARE_DET_EST_DATE_THOM" hidden="1">"c12225"</definedName>
    <definedName name="IQ_BV_SHARE_DET_EST_INCL" hidden="1">"c12339"</definedName>
    <definedName name="IQ_BV_SHARE_DET_EST_INCL_THOM" hidden="1">"c12359"</definedName>
    <definedName name="IQ_BV_SHARE_DET_EST_ORIGIN" hidden="1">"c12573"</definedName>
    <definedName name="IQ_BV_SHARE_DET_EST_ORIGIN_THOM" hidden="1">"c12595"</definedName>
    <definedName name="IQ_BV_SHARE_DET_EST_THOM" hidden="1">"c12075"</definedName>
    <definedName name="IQ_BV_SHARE_EST" hidden="1">"c3541"</definedName>
    <definedName name="IQ_BV_SHARE_EST_THOM" hidden="1">"c4020"</definedName>
    <definedName name="IQ_BV_SHARE_HIGH_EST" hidden="1">"c3542"</definedName>
    <definedName name="IQ_BV_SHARE_HIGH_EST_THOM" hidden="1">"c4022"</definedName>
    <definedName name="IQ_BV_SHARE_LOW_EST" hidden="1">"c3543"</definedName>
    <definedName name="IQ_BV_SHARE_LOW_EST_THOM" hidden="1">"c4023"</definedName>
    <definedName name="IQ_BV_SHARE_MEDIAN_EST" hidden="1">"c3544"</definedName>
    <definedName name="IQ_BV_SHARE_MEDIAN_EST_THOM" hidden="1">"c4021"</definedName>
    <definedName name="IQ_BV_SHARE_NUM_EST" hidden="1">"c3539"</definedName>
    <definedName name="IQ_BV_SHARE_NUM_EST_THOM" hidden="1">"c4024"</definedName>
    <definedName name="IQ_BV_SHARE_STDDEV_EST" hidden="1">"c3540"</definedName>
    <definedName name="IQ_BV_SHARE_STDDEV_EST_THOM" hidden="1">"c4025"</definedName>
    <definedName name="IQ_BV_STDDEV_EST" hidden="1">"c5629"</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THOM" hidden="1">"c6804"</definedName>
    <definedName name="IQ_CAL_Y" hidden="1">"c102"</definedName>
    <definedName name="IQ_CAL_Y_EST" hidden="1">"c6797"</definedName>
    <definedName name="IQ_CAL_Y_EST_CIQ" hidden="1">"c6809"</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THOM" hidden="1">"c5546"</definedName>
    <definedName name="IQ_CAPEX_BNK" hidden="1">"c110"</definedName>
    <definedName name="IQ_CAPEX_BR" hidden="1">"c111"</definedName>
    <definedName name="IQ_CAPEX_DET_EST" hidden="1">"c12048"</definedName>
    <definedName name="IQ_CAPEX_DET_EST_CURRENCY" hidden="1">"c12457"</definedName>
    <definedName name="IQ_CAPEX_DET_EST_CURRENCY_THOM" hidden="1">"c12477"</definedName>
    <definedName name="IQ_CAPEX_DET_EST_DATE" hidden="1">"c12201"</definedName>
    <definedName name="IQ_CAPEX_DET_EST_DATE_THOM" hidden="1">"c12226"</definedName>
    <definedName name="IQ_CAPEX_DET_EST_INCL" hidden="1">"c12340"</definedName>
    <definedName name="IQ_CAPEX_DET_EST_INCL_THOM" hidden="1">"c12360"</definedName>
    <definedName name="IQ_CAPEX_DET_EST_ORIGIN" hidden="1">"c12765"</definedName>
    <definedName name="IQ_CAPEX_DET_EST_ORIGIN_THOM" hidden="1">"c12596"</definedName>
    <definedName name="IQ_CAPEX_DET_EST_THOM" hidden="1">"c12076"</definedName>
    <definedName name="IQ_CAPEX_EST" hidden="1">"c3523"</definedName>
    <definedName name="IQ_CAPEX_EST_THOM" hidden="1">"c5502"</definedName>
    <definedName name="IQ_CAPEX_FIN" hidden="1">"c112"</definedName>
    <definedName name="IQ_CAPEX_HIGH_EST" hidden="1">"c3524"</definedName>
    <definedName name="IQ_CAPEX_HIGH_EST_THOM" hidden="1">"c5504"</definedName>
    <definedName name="IQ_CAPEX_INS" hidden="1">"c113"</definedName>
    <definedName name="IQ_CAPEX_LOW_EST" hidden="1">"c3525"</definedName>
    <definedName name="IQ_CAPEX_LOW_EST_THOM" hidden="1">"c5505"</definedName>
    <definedName name="IQ_CAPEX_MEDIAN_EST" hidden="1">"c3526"</definedName>
    <definedName name="IQ_CAPEX_MEDIAN_EST_THOM" hidden="1">"c5503"</definedName>
    <definedName name="IQ_CAPEX_NUM_EST" hidden="1">"c3521"</definedName>
    <definedName name="IQ_CAPEX_NUM_EST_THOM" hidden="1">"c5506"</definedName>
    <definedName name="IQ_CAPEX_STDDEV_EST" hidden="1">"c3522"</definedName>
    <definedName name="IQ_CAPEX_STDDEV_EST_THOM" hidden="1">"c5507"</definedName>
    <definedName name="IQ_CAPEX_UTI" hidden="1">"c114"</definedName>
    <definedName name="IQ_CAPITAL_LEASE" hidden="1">"c115"</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"c118"</definedName>
    <definedName name="IQ_CASH_ACQUIRE_CF" hidden="1">"c1630"</definedName>
    <definedName name="IQ_CASH_BALANCES_DUE_FFIEC" hidden="1">"c12773"</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"c118"</definedName>
    <definedName name="IQ_CASH_EPS_ACT_OR_EST" hidden="1">"c5638"</definedName>
    <definedName name="IQ_CASH_EPS_ACT_OR_EST_THOM" hidden="1">"c5646"</definedName>
    <definedName name="IQ_CASH_EPS_DET_EST_CURRENCY_THOM" hidden="1">"c12478"</definedName>
    <definedName name="IQ_CASH_EPS_DET_EST_DATE_THOM" hidden="1">"c12227"</definedName>
    <definedName name="IQ_CASH_EPS_DET_EST_INCL_THOM" hidden="1">"c12361"</definedName>
    <definedName name="IQ_CASH_EPS_DET_EST_ORIGIN_THOM" hidden="1">"c12597"</definedName>
    <definedName name="IQ_CASH_EPS_DET_EST_THOM" hidden="1">"c12077"</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EST" hidden="1">"c4153"</definedName>
    <definedName name="IQ_CASH_FLOW_HIGH_EST" hidden="1">"c4156"</definedName>
    <definedName name="IQ_CASH_FLOW_LOW_EST" hidden="1">"c4157"</definedName>
    <definedName name="IQ_CASH_FLOW_MEDIAN_EST" hidden="1">"c4158"</definedName>
    <definedName name="IQ_CASH_FLOW_NUM_EST" hidden="1">"c4159"</definedName>
    <definedName name="IQ_CASH_FLOW_STDDEV_EST" hidden="1">"c4160"</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EST" hidden="1">"c4163"</definedName>
    <definedName name="IQ_CASH_OPER_HIGH_EST" hidden="1">"c4166"</definedName>
    <definedName name="IQ_CASH_OPER_LOW_EST" hidden="1">"c4244"</definedName>
    <definedName name="IQ_CASH_OPER_MEDIAN_EST" hidden="1">"c4245"</definedName>
    <definedName name="IQ_CASH_OPER_NAME_AP" hidden="1">"c8926"</definedName>
    <definedName name="IQ_CASH_OPER_NAME_AP_ABS" hidden="1">"c8945"</definedName>
    <definedName name="IQ_CASH_OPER_NUM_EST" hidden="1">"c4246"</definedName>
    <definedName name="IQ_CASH_OPER_STDDEV_EST" hidden="1">"c4247"</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"c124"</definedName>
    <definedName name="IQ_CASH_ST_INVEST" hidden="1">"c124"</definedName>
    <definedName name="IQ_CASH_ST_INVEST_EST" hidden="1">"c4249"</definedName>
    <definedName name="IQ_CASH_ST_INVEST_HIGH_EST" hidden="1">"c4251"</definedName>
    <definedName name="IQ_CASH_ST_INVEST_LOW_EST" hidden="1">"c4252"</definedName>
    <definedName name="IQ_CASH_ST_INVEST_MEDIAN_EST" hidden="1">"c4253"</definedName>
    <definedName name="IQ_CASH_ST_INVEST_NUM_EST" hidden="1">"c4254"</definedName>
    <definedName name="IQ_CASH_ST_INVEST_STDDEV_EST" hidden="1">"c4255"</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ACT_OR_EST_THOM" hidden="1">"c5301"</definedName>
    <definedName name="IQ_CFPS_DET_EST" hidden="1">"c12049"</definedName>
    <definedName name="IQ_CFPS_DET_EST_CURRENCY" hidden="1">"c12458"</definedName>
    <definedName name="IQ_CFPS_DET_EST_CURRENCY_THOM" hidden="1">"c12479"</definedName>
    <definedName name="IQ_CFPS_DET_EST_DATE" hidden="1">"c12202"</definedName>
    <definedName name="IQ_CFPS_DET_EST_DATE_THOM" hidden="1">"c12228"</definedName>
    <definedName name="IQ_CFPS_DET_EST_INCL" hidden="1">"c12341"</definedName>
    <definedName name="IQ_CFPS_DET_EST_INCL_THOM" hidden="1">"c12362"</definedName>
    <definedName name="IQ_CFPS_DET_EST_ORIGIN" hidden="1">"c12575"</definedName>
    <definedName name="IQ_CFPS_DET_EST_ORIGIN_THOM" hidden="1">"c12598"</definedName>
    <definedName name="IQ_CFPS_DET_EST_THOM" hidden="1">"c12078"</definedName>
    <definedName name="IQ_CFPS_EST" hidden="1">"c1667"</definedName>
    <definedName name="IQ_CFPS_EST_THOM" hidden="1">"c4006"</definedName>
    <definedName name="IQ_CFPS_HIGH_EST" hidden="1">"c1669"</definedName>
    <definedName name="IQ_CFPS_HIGH_EST_THOM" hidden="1">"c4008"</definedName>
    <definedName name="IQ_CFPS_LOW_EST" hidden="1">"c1670"</definedName>
    <definedName name="IQ_CFPS_LOW_EST_THOM" hidden="1">"c4009"</definedName>
    <definedName name="IQ_CFPS_MEDIAN_EST" hidden="1">"c1668"</definedName>
    <definedName name="IQ_CFPS_MEDIAN_EST_THOM" hidden="1">"c4007"</definedName>
    <definedName name="IQ_CFPS_NUM_EST" hidden="1">"c1671"</definedName>
    <definedName name="IQ_CFPS_NUM_EST_THOM" hidden="1">"c4010"</definedName>
    <definedName name="IQ_CFPS_STDDEV_EST" hidden="1">"c1672"</definedName>
    <definedName name="IQ_CFPS_STDDEV_EST_THOM" hidden="1">"c4011"</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UNUSED" hidden="1">"c7620"</definedName>
    <definedName name="IQ_CHANGE_INVENT_REAL_FC_UNUSED" hidden="1">"c7840"</definedName>
    <definedName name="IQ_CHANGE_INVENT_REAL_POP_FC_UNUSED" hidden="1">"c8060"</definedName>
    <definedName name="IQ_CHANGE_INVENT_REAL_POP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MO_FDIC" hidden="1">"c6406"</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IND_LOANS_TOT_LOANS_FFIEC" hidden="1">"c13874"</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RECOV_FFIEC" hidden="1">"c13200"</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"c182"</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IB_ID_DET_EST" hidden="1">"c12045"</definedName>
    <definedName name="IQ_CONTRIB_ID_DET_EST_THOM" hidden="1">"c12073"</definedName>
    <definedName name="IQ_CONTRIB_ID_NON_PER_DET_EST" hidden="1">"c13824"</definedName>
    <definedName name="IQ_CONTRIB_ID_NON_PER_DET_EST_THOM" hidden="1">"c13826"</definedName>
    <definedName name="IQ_CONTRIB_NAME_DET_EST" hidden="1">"c12046"</definedName>
    <definedName name="IQ_CONTRIB_NAME_DET_EST_THOM" hidden="1">"c12074"</definedName>
    <definedName name="IQ_CONTRIB_NAME_NON_PER_DET_EST" hidden="1">"c12760"</definedName>
    <definedName name="IQ_CONTRIB_NAME_NON_PER_DET_EST_THOM" hidden="1">"c12764"</definedName>
    <definedName name="IQ_CONTRIB_REC_DET_EST" hidden="1">"c12051"</definedName>
    <definedName name="IQ_CONTRIB_REC_DET_EST_DATE" hidden="1">"c12204"</definedName>
    <definedName name="IQ_CONTRIB_REC_DET_EST_DATE_THOM" hidden="1">"c12230"</definedName>
    <definedName name="IQ_CONTRIB_REC_DET_EST_ORIGIN" hidden="1">"c12577"</definedName>
    <definedName name="IQ_CONTRIB_REC_DET_EST_ORIGIN_THOM" hidden="1">"c12600"</definedName>
    <definedName name="IQ_CONTRIB_REC_DET_EST_THOM" hidden="1">"c12080"</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P_GOODS_PRICE_INDEX_APR_FC_UNUSED" hidden="1">"c8381"</definedName>
    <definedName name="IQ_CORP_GOODS_PRICE_INDEX_APR_UNUSED" hidden="1">"c7501"</definedName>
    <definedName name="IQ_CORP_GOODS_PRICE_INDEX_FC_UNUSED" hidden="1">"c7721"</definedName>
    <definedName name="IQ_CORP_GOODS_PRICE_INDEX_POP_FC_UNUSED" hidden="1">"c7941"</definedName>
    <definedName name="IQ_CORP_GOODS_PRICE_INDEX_POP_UNUSED" hidden="1">"c7061"</definedName>
    <definedName name="IQ_CORP_GOODS_PRICE_INDEX_UNUSED" hidden="1">"c6841"</definedName>
    <definedName name="IQ_CORP_GOODS_PRICE_INDEX_YOY_FC_UNUSED" hidden="1">"c8161"</definedName>
    <definedName name="IQ_CORP_GOODS_PRICE_INDEX_YOY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"c226"</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UNUSED" hidden="1">"c7507"</definedName>
    <definedName name="IQ_CURR_ACCT_BALANCE_FC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TA_PROCESSING_EXP_FFIEC" hidden="1">"c13047"</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BT_1_5_INVEST_SECURITIES_FFIEC" hidden="1">"c13465"</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"c315"</definedName>
    <definedName name="IQ_DEFERRED_TAX_ASSETS_FFIEC" hidden="1">"c12843"</definedName>
    <definedName name="IQ_DEFERRED_TAX_ASSETS_T1_FFIEC" hidden="1">"c13141"</definedName>
    <definedName name="IQ_DEFERRED_TAX_LIAB_FFIEC" hidden="1">"c12870"</definedName>
    <definedName name="IQ_DEFERRED_TAXES" hidden="1">"c147"</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"c247"</definedName>
    <definedName name="IQ_DEPRE_AMORT_SUPPL" hidden="1">"c1593"</definedName>
    <definedName name="IQ_DEPRE_DEPLE" hidden="1">"c261"</definedName>
    <definedName name="IQ_DEPRE_SUPP" hidden="1">"c1443"</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"c322"</definedName>
    <definedName name="IQ_DEVELOP_LAND" hidden="1">"c323"</definedName>
    <definedName name="IQ_DIC" hidden="1">"c13834"</definedName>
    <definedName name="IQ_DIFF_LASTCLOSE_TARGET_PRICE" hidden="1">"c1854"</definedName>
    <definedName name="IQ_DIFF_LASTCLOSE_TARGET_PRICE_CIQ" hidden="1">"c4767"</definedName>
    <definedName name="IQ_DIFF_LASTCLOSE_TARGET_PRICE_THOM" hidden="1">"c5278"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"c333"</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EST" hidden="1">"c4277"</definedName>
    <definedName name="IQ_DISTRIBUTABLE_CASH_HIGH_EST" hidden="1">"c4280"</definedName>
    <definedName name="IQ_DISTRIBUTABLE_CASH_LOW_EST" hidden="1">"c4281"</definedName>
    <definedName name="IQ_DISTRIBUTABLE_CASH_MEDIAN_EST" hidden="1">"c4282"</definedName>
    <definedName name="IQ_DISTRIBUTABLE_CASH_NUM_EST" hidden="1">"c4283"</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EST" hidden="1">"c4285"</definedName>
    <definedName name="IQ_DISTRIBUTABLE_CASH_SHARE_HIGH_EST" hidden="1">"c4288"</definedName>
    <definedName name="IQ_DISTRIBUTABLE_CASH_SHARE_LOW_EST" hidden="1">"c4289"</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TDDEV_EST" hidden="1">"c4294"</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"c330"</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THOM" hidden="1">"c5302"</definedName>
    <definedName name="IQ_DPS_DET_EST" hidden="1">"c12052"</definedName>
    <definedName name="IQ_DPS_DET_EST_CURRENCY" hidden="1">"c12459"</definedName>
    <definedName name="IQ_DPS_DET_EST_CURRENCY_THOM" hidden="1">"c12480"</definedName>
    <definedName name="IQ_DPS_DET_EST_DATE" hidden="1">"c12205"</definedName>
    <definedName name="IQ_DPS_DET_EST_DATE_THOM" hidden="1">"c12231"</definedName>
    <definedName name="IQ_DPS_DET_EST_INCL" hidden="1">"c12342"</definedName>
    <definedName name="IQ_DPS_DET_EST_INCL_THOM" hidden="1">"c12363"</definedName>
    <definedName name="IQ_DPS_DET_EST_ORIGIN" hidden="1">"c12578"</definedName>
    <definedName name="IQ_DPS_DET_EST_ORIGIN_THOM" hidden="1">"c12601"</definedName>
    <definedName name="IQ_DPS_DET_EST_THOM" hidden="1">"c12081"</definedName>
    <definedName name="IQ_DPS_EST" hidden="1">"c1674"</definedName>
    <definedName name="IQ_DPS_EST_BOTTOM_UP" hidden="1">"c5493"</definedName>
    <definedName name="IQ_DPS_EST_THOM" hidden="1">"c4013"</definedName>
    <definedName name="IQ_DPS_HIGH_EST" hidden="1">"c1676"</definedName>
    <definedName name="IQ_DPS_HIGH_EST_THOM" hidden="1">"c4015"</definedName>
    <definedName name="IQ_DPS_LOW_EST" hidden="1">"c1677"</definedName>
    <definedName name="IQ_DPS_LOW_EST_THOM" hidden="1">"c4016"</definedName>
    <definedName name="IQ_DPS_MEDIAN_EST" hidden="1">"c1675"</definedName>
    <definedName name="IQ_DPS_MEDIAN_EST_THOM" hidden="1">"c4014"</definedName>
    <definedName name="IQ_DPS_NUM_EST" hidden="1">"c1678"</definedName>
    <definedName name="IQ_DPS_NUM_EST_THOM" hidden="1">"c4017"</definedName>
    <definedName name="IQ_DPS_STDDEV_EST" hidden="1">"c1679"</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CO_FFIEC" hidden="1">"c13032"</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THOM" hidden="1">"c5303"</definedName>
    <definedName name="IQ_EBIT_DET_EST" hidden="1">"c12053"</definedName>
    <definedName name="IQ_EBIT_DET_EST_CURRENCY" hidden="1">"c12460"</definedName>
    <definedName name="IQ_EBIT_DET_EST_CURRENCY_THOM" hidden="1">"c12481"</definedName>
    <definedName name="IQ_EBIT_DET_EST_DATE" hidden="1">"c12206"</definedName>
    <definedName name="IQ_EBIT_DET_EST_DATE_THOM" hidden="1">"c12232"</definedName>
    <definedName name="IQ_EBIT_DET_EST_INCL" hidden="1">"c12343"</definedName>
    <definedName name="IQ_EBIT_DET_EST_INCL_THOM" hidden="1">"c12364"</definedName>
    <definedName name="IQ_EBIT_DET_EST_ORIGIN" hidden="1">"c12579"</definedName>
    <definedName name="IQ_EBIT_DET_EST_ORIGIN_THOM" hidden="1">"c12602"</definedName>
    <definedName name="IQ_EBIT_DET_EST_THOM" hidden="1">"c12082"</definedName>
    <definedName name="IQ_EBIT_EQ_INC" hidden="1">"c3498"</definedName>
    <definedName name="IQ_EBIT_EQ_INC_EXCL_SBC" hidden="1">"c3502"</definedName>
    <definedName name="IQ_EBIT_EST" hidden="1">"c1681"</definedName>
    <definedName name="IQ_EBIT_EST_THOM" hidden="1">"c5105"</definedName>
    <definedName name="IQ_EBIT_EXCL_SBC" hidden="1">"c3082"</definedName>
    <definedName name="IQ_EBIT_GW_ACT_OR_EST" hidden="1">"c4306"</definedName>
    <definedName name="IQ_EBIT_GW_EST" hidden="1">"c4305"</definedName>
    <definedName name="IQ_EBIT_GW_HIGH_EST" hidden="1">"c4308"</definedName>
    <definedName name="IQ_EBIT_GW_LOW_EST" hidden="1">"c4309"</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THOM" hidden="1">"c5107"</definedName>
    <definedName name="IQ_EBIT_INT" hidden="1">"c360"</definedName>
    <definedName name="IQ_EBIT_LOW_EST" hidden="1">"c1684"</definedName>
    <definedName name="IQ_EBIT_LOW_EST_THOM" hidden="1">"c5108"</definedName>
    <definedName name="IQ_EBIT_MARGIN" hidden="1">"c359"</definedName>
    <definedName name="IQ_EBIT_MEDIAN_EST" hidden="1">"c1682"</definedName>
    <definedName name="IQ_EBIT_MEDIAN_EST_THOM" hidden="1">"c5106"</definedName>
    <definedName name="IQ_EBIT_NUM_EST" hidden="1">"c1685"</definedName>
    <definedName name="IQ_EBIT_NUM_EST_THOM" hidden="1">"c5109"</definedName>
    <definedName name="IQ_EBIT_OVER_IE" hidden="1">"c360"</definedName>
    <definedName name="IQ_EBIT_SBC_ACT_OR_EST" hidden="1">"c4316"</definedName>
    <definedName name="IQ_EBIT_SBC_ACT_OR_EST_CIQ" hidden="1">"c4841"</definedName>
    <definedName name="IQ_EBIT_SBC_EST" hidden="1">"c4315"</definedName>
    <definedName name="IQ_EBIT_SBC_GW_ACT_OR_EST" hidden="1">"c4320"</definedName>
    <definedName name="IQ_EBIT_SBC_GW_ACT_OR_EST_CIQ" hidden="1">"c4845"</definedName>
    <definedName name="IQ_EBIT_SBC_GW_EST" hidden="1">"c4319"</definedName>
    <definedName name="IQ_EBIT_SBC_GW_HIGH_EST" hidden="1">"c4322"</definedName>
    <definedName name="IQ_EBIT_SBC_GW_LOW_EST" hidden="1">"c4323"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LOW_EST" hidden="1">"c4329"</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THOM" hidden="1">"c5300"</definedName>
    <definedName name="IQ_EBITDA_CAPEX_INT" hidden="1">"c368"</definedName>
    <definedName name="IQ_EBITDA_CAPEX_OVER_TOTAL_IE" hidden="1">"c368"</definedName>
    <definedName name="IQ_EBITDA_DET_EST" hidden="1">"c12054"</definedName>
    <definedName name="IQ_EBITDA_DET_EST_CURRENCY" hidden="1">"c12461"</definedName>
    <definedName name="IQ_EBITDA_DET_EST_CURRENCY_THOM" hidden="1">"c12482"</definedName>
    <definedName name="IQ_EBITDA_DET_EST_DATE" hidden="1">"c12207"</definedName>
    <definedName name="IQ_EBITDA_DET_EST_DATE_THOM" hidden="1">"c12233"</definedName>
    <definedName name="IQ_EBITDA_DET_EST_INCL" hidden="1">"c12344"</definedName>
    <definedName name="IQ_EBITDA_DET_EST_INCL_THOM" hidden="1">"c12365"</definedName>
    <definedName name="IQ_EBITDA_DET_EST_ORIGIN" hidden="1">"c12580"</definedName>
    <definedName name="IQ_EBITDA_DET_EST_ORIGIN_THOM" hidden="1">"c12603"</definedName>
    <definedName name="IQ_EBITDA_DET_EST_THOM" hidden="1">"c12083"</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ST_THOM" hidden="1">"c3658"</definedName>
    <definedName name="IQ_EBITDA_EXCL_SBC" hidden="1">"c3081"</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"c373"</definedName>
    <definedName name="IQ_EBITDA_SBC_ACT_OR_EST" hidden="1">"c4337"</definedName>
    <definedName name="IQ_EBITDA_SBC_ACT_OR_EST_CIQ" hidden="1">"c4862"</definedName>
    <definedName name="IQ_EBITDA_SBC_EST" hidden="1">"c4336"</definedName>
    <definedName name="IQ_EBITDA_SBC_HIGH_EST" hidden="1">"c4339"</definedName>
    <definedName name="IQ_EBITDA_SBC_LOW_EST" hidden="1">"c4340"</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ACT_OR_EST_CIQ" hidden="1">"c4875"</definedName>
    <definedName name="IQ_EBT_SBC_EST" hidden="1">"c4349"</definedName>
    <definedName name="IQ_EBT_SBC_GW_ACT_OR_EST" hidden="1">"c4354"</definedName>
    <definedName name="IQ_EBT_SBC_GW_ACT_OR_EST_CIQ" hidden="1">"c4879"</definedName>
    <definedName name="IQ_EBT_SBC_GW_EST" hidden="1">"c4353"</definedName>
    <definedName name="IQ_EBT_SBC_GW_HIGH_EST" hidden="1">"c4356"</definedName>
    <definedName name="IQ_EBT_SBC_GW_LOW_EST" hidden="1">"c4357"</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LOW_EST" hidden="1">"c4363"</definedName>
    <definedName name="IQ_EBT_SBC_MEDIAN_EST" hidden="1">"c4364"</definedName>
    <definedName name="IQ_EBT_SBC_NUM_EST" hidden="1">"c4365"</definedName>
    <definedName name="IQ_EBT_SBC_STDDEV_EST" hidden="1">"c4366"</definedName>
    <definedName name="IQ_EBT_SUBTOTAL_AP" hidden="1">"c8982"</definedName>
    <definedName name="IQ_EBT_UTI" hidden="1">"c390"</definedName>
    <definedName name="IQ_ECO_METRIC_6825_UNUSED" hidden="1">"c6825"</definedName>
    <definedName name="IQ_ECO_METRIC_6839_UNUSED" hidden="1">"c6839"</definedName>
    <definedName name="IQ_ECO_METRIC_6896_UNUSED" hidden="1">"c6896"</definedName>
    <definedName name="IQ_ECO_METRIC_6897_UNUSED" hidden="1">"c6897"</definedName>
    <definedName name="IQ_ECO_METRIC_6927" hidden="1">"c6927"</definedName>
    <definedName name="IQ_ECO_METRIC_6988_UNUSED" hidden="1">"c6988"</definedName>
    <definedName name="IQ_ECO_METRIC_7045_UNUSED" hidden="1">"c7045"</definedName>
    <definedName name="IQ_ECO_METRIC_7059_UNUSED" hidden="1">"c7059"</definedName>
    <definedName name="IQ_ECO_METRIC_7116_UNUSED" hidden="1">"c7116"</definedName>
    <definedName name="IQ_ECO_METRIC_7117_UNUSED" hidden="1">"c7117"</definedName>
    <definedName name="IQ_ECO_METRIC_7147" hidden="1">"c7147"</definedName>
    <definedName name="IQ_ECO_METRIC_7208_UNUSED" hidden="1">"c7208"</definedName>
    <definedName name="IQ_ECO_METRIC_7265_UNUSED" hidden="1">"c7265"</definedName>
    <definedName name="IQ_ECO_METRIC_7279_UNUSED" hidden="1">"c7279"</definedName>
    <definedName name="IQ_ECO_METRIC_7336_UNUSED" hidden="1">"c7336"</definedName>
    <definedName name="IQ_ECO_METRIC_7337_UNUSED" hidden="1">"c7337"</definedName>
    <definedName name="IQ_ECO_METRIC_7367" hidden="1">"c7367"</definedName>
    <definedName name="IQ_ECO_METRIC_7428_UNUSED" hidden="1">"c7428"</definedName>
    <definedName name="IQ_ECO_METRIC_7556_UNUSED" hidden="1">"c7556"</definedName>
    <definedName name="IQ_ECO_METRIC_7557_UNUSED" hidden="1">"c7557"</definedName>
    <definedName name="IQ_ECO_METRIC_7587" hidden="1">"c7587"</definedName>
    <definedName name="IQ_ECO_METRIC_7648_UNUSED" hidden="1">"c7648"</definedName>
    <definedName name="IQ_ECO_METRIC_7704" hidden="1">"c7704"</definedName>
    <definedName name="IQ_ECO_METRIC_7705_UNUSED" hidden="1">"c7705"</definedName>
    <definedName name="IQ_ECO_METRIC_7706" hidden="1">"c7706"</definedName>
    <definedName name="IQ_ECO_METRIC_7718" hidden="1">"c7718"</definedName>
    <definedName name="IQ_ECO_METRIC_7719_UNUSED" hidden="1">"c7719"</definedName>
    <definedName name="IQ_ECO_METRIC_7776_UNUSED" hidden="1">"c7776"</definedName>
    <definedName name="IQ_ECO_METRIC_7777_UNUSED" hidden="1">"c7777"</definedName>
    <definedName name="IQ_ECO_METRIC_7807" hidden="1">"c7807"</definedName>
    <definedName name="IQ_ECO_METRIC_7811" hidden="1">"c7811"</definedName>
    <definedName name="IQ_ECO_METRIC_7868_UNUSED" hidden="1">"c7868"</definedName>
    <definedName name="IQ_ECO_METRIC_7873" hidden="1">"c7873"</definedName>
    <definedName name="IQ_ECO_METRIC_7924" hidden="1">"c7924"</definedName>
    <definedName name="IQ_ECO_METRIC_7925_UNUSED" hidden="1">"c7925"</definedName>
    <definedName name="IQ_ECO_METRIC_7926" hidden="1">"c7926"</definedName>
    <definedName name="IQ_ECO_METRIC_7938" hidden="1">"c7938"</definedName>
    <definedName name="IQ_ECO_METRIC_7939_UNUSED" hidden="1">"c7939"</definedName>
    <definedName name="IQ_ECO_METRIC_7996_UNUSED" hidden="1">"c7996"</definedName>
    <definedName name="IQ_ECO_METRIC_7997_UNUSED" hidden="1">"c7997"</definedName>
    <definedName name="IQ_ECO_METRIC_8027" hidden="1">"c8027"</definedName>
    <definedName name="IQ_ECO_METRIC_8031" hidden="1">"c8031"</definedName>
    <definedName name="IQ_ECO_METRIC_8088_UNUSED" hidden="1">"c8088"</definedName>
    <definedName name="IQ_ECO_METRIC_8093" hidden="1">"c8093"</definedName>
    <definedName name="IQ_ECO_METRIC_8144" hidden="1">"c8144"</definedName>
    <definedName name="IQ_ECO_METRIC_8145_UNUSED" hidden="1">"c8145"</definedName>
    <definedName name="IQ_ECO_METRIC_8146" hidden="1">"c8146"</definedName>
    <definedName name="IQ_ECO_METRIC_8158" hidden="1">"c8158"</definedName>
    <definedName name="IQ_ECO_METRIC_8159_UNUSED" hidden="1">"c8159"</definedName>
    <definedName name="IQ_ECO_METRIC_8216_UNUSED" hidden="1">"c8216"</definedName>
    <definedName name="IQ_ECO_METRIC_8217_UNUSED" hidden="1">"c8217"</definedName>
    <definedName name="IQ_ECO_METRIC_8247" hidden="1">"c8247"</definedName>
    <definedName name="IQ_ECO_METRIC_8251" hidden="1">"c8251"</definedName>
    <definedName name="IQ_ECO_METRIC_8308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7_UNUSED" hidden="1">"c8437"</definedName>
    <definedName name="IQ_ECO_METRIC_8467" hidden="1">"c8467"</definedName>
    <definedName name="IQ_ECO_METRIC_8471" hidden="1">"c8471"</definedName>
    <definedName name="IQ_ECO_METRIC_8528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NTERPRISE_VALUE" hidden="1">"c84"</definedName>
    <definedName name="IQ_ENTITLEMENT_DET_EST" hidden="1">"c12044"</definedName>
    <definedName name="IQ_ENTITLEMENT_DET_EST_THOM" hidden="1">"c12072"</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THOM" hidden="1">"c5298"</definedName>
    <definedName name="IQ_EPS_AP" hidden="1">"c8880"</definedName>
    <definedName name="IQ_EPS_AP_ABS" hidden="1">"c8899"</definedName>
    <definedName name="IQ_EPS_DET_EST" hidden="1">"c13571"</definedName>
    <definedName name="IQ_EPS_DET_EST_CURRENCY" hidden="1">"c13583"</definedName>
    <definedName name="IQ_EPS_DET_EST_CURRENCY_THOM" hidden="1">"c12484"</definedName>
    <definedName name="IQ_EPS_DET_EST_DATE" hidden="1">"c13575"</definedName>
    <definedName name="IQ_EPS_DET_EST_DATE_THOM" hidden="1">"c12235"</definedName>
    <definedName name="IQ_EPS_DET_EST_INCL" hidden="1">"c13587"</definedName>
    <definedName name="IQ_EPS_DET_EST_INCL_THOM" hidden="1">"c12367"</definedName>
    <definedName name="IQ_EPS_DET_EST_ORIGIN" hidden="1">"c13579"</definedName>
    <definedName name="IQ_EPS_DET_EST_ORIGIN_THOM" hidden="1">"c12605"</definedName>
    <definedName name="IQ_EPS_DET_EST_THOM" hidden="1">"c12085"</definedName>
    <definedName name="IQ_EPS_EST" hidden="1">"c399"</definedName>
    <definedName name="IQ_EPS_EST_BOTTOM_UP" hidden="1">"c5489"</definedName>
    <definedName name="IQ_EPS_EST_BOTTOM_UP_CIQ" hidden="1">"c12026"</definedName>
    <definedName name="IQ_EPS_EST_BOTTOM_UP_THOM" hidden="1">"c5647"</definedName>
    <definedName name="IQ_EPS_EST_CIQ" hidden="1">"c4994"</definedName>
    <definedName name="IQ_EPS_EST_REUT" hidden="1">"c5453"</definedName>
    <definedName name="IQ_EPS_EST_THOM" hidden="1">"c5290"</definedName>
    <definedName name="IQ_EPS_GW_ACT_OR_EST" hidden="1">"c2223"</definedName>
    <definedName name="IQ_EPS_GW_ACT_OR_EST_CIQ" hidden="1">"c5066"</definedName>
    <definedName name="IQ_EPS_GW_DET_EST" hidden="1">"c12056"</definedName>
    <definedName name="IQ_EPS_GW_DET_EST_CURRENCY" hidden="1">"c12463"</definedName>
    <definedName name="IQ_EPS_GW_DET_EST_CURRENCY_THOM" hidden="1">"c12485"</definedName>
    <definedName name="IQ_EPS_GW_DET_EST_DATE" hidden="1">"c12209"</definedName>
    <definedName name="IQ_EPS_GW_DET_EST_DATE_THOM" hidden="1">"c12236"</definedName>
    <definedName name="IQ_EPS_GW_DET_EST_INCL" hidden="1">"c12346"</definedName>
    <definedName name="IQ_EPS_GW_DET_EST_INCL_THOM" hidden="1">"c12368"</definedName>
    <definedName name="IQ_EPS_GW_DET_EST_ORIGIN" hidden="1">"c12582"</definedName>
    <definedName name="IQ_EPS_GW_DET_EST_ORIGIN_THOM" hidden="1">"c12606"</definedName>
    <definedName name="IQ_EPS_GW_DET_EST_THOM" hidden="1">"c12086"</definedName>
    <definedName name="IQ_EPS_GW_EST" hidden="1">"c1737"</definedName>
    <definedName name="IQ_EPS_GW_EST_BOTTOM_UP" hidden="1">"c5491"</definedName>
    <definedName name="IQ_EPS_GW_EST_BOTTOM_UP_CIQ" hidden="1">"c12028"</definedName>
    <definedName name="IQ_EPS_GW_EST_CIQ" hidden="1">"c4723"</definedName>
    <definedName name="IQ_EPS_GW_EST_THOM" hidden="1">"c5133"</definedName>
    <definedName name="IQ_EPS_GW_HIGH_EST" hidden="1">"c1739"</definedName>
    <definedName name="IQ_EPS_GW_HIGH_EST_CIQ" hidden="1">"c4725"</definedName>
    <definedName name="IQ_EPS_GW_HIGH_EST_THOM" hidden="1">"c5135"</definedName>
    <definedName name="IQ_EPS_GW_LOW_EST" hidden="1">"c1740"</definedName>
    <definedName name="IQ_EPS_GW_LOW_EST_CIQ" hidden="1">"c4726"</definedName>
    <definedName name="IQ_EPS_GW_LOW_EST_THOM" hidden="1">"c5136"</definedName>
    <definedName name="IQ_EPS_GW_MEDIAN_EST" hidden="1">"c1738"</definedName>
    <definedName name="IQ_EPS_GW_MEDIAN_EST_CIQ" hidden="1">"c4724"</definedName>
    <definedName name="IQ_EPS_GW_MEDIAN_EST_THOM" hidden="1">"c5134"</definedName>
    <definedName name="IQ_EPS_GW_NUM_EST" hidden="1">"c1741"</definedName>
    <definedName name="IQ_EPS_GW_NUM_EST_CIQ" hidden="1">"c4727"</definedName>
    <definedName name="IQ_EPS_GW_NUM_EST_THOM" hidden="1">"c5137"</definedName>
    <definedName name="IQ_EPS_GW_STDDEV_EST" hidden="1">"c1742"</definedName>
    <definedName name="IQ_EPS_GW_STDDEV_EST_CIQ" hidden="1">"c4728"</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RM" hidden="1">"c1902"</definedName>
    <definedName name="IQ_EPS_NORM_DET_EST" hidden="1">"c12058"</definedName>
    <definedName name="IQ_EPS_NORM_DET_EST_CURRENCY" hidden="1">"c12465"</definedName>
    <definedName name="IQ_EPS_NORM_DET_EST_DATE" hidden="1">"c12211"</definedName>
    <definedName name="IQ_EPS_NORM_DET_EST_INCL" hidden="1">"c12348"</definedName>
    <definedName name="IQ_EPS_NORM_DET_EST_ORIGIN" hidden="1">"c12583"</definedName>
    <definedName name="IQ_EPS_NORM_DET_EST_ORIGIN_THOM" hidden="1">"c12607"</definedName>
    <definedName name="IQ_EPS_NORM_EST" hidden="1">"c2226"</definedName>
    <definedName name="IQ_EPS_NORM_EST_BOTTOM_UP" hidden="1">"c5490"</definedName>
    <definedName name="IQ_EPS_NORM_EST_BOTTOM_UP_CIQ" hidden="1">"c12027"</definedName>
    <definedName name="IQ_EPS_NORM_EST_CIQ" hidden="1">"c4667"</definedName>
    <definedName name="IQ_EPS_NORM_HIGH_EST" hidden="1">"c2228"</definedName>
    <definedName name="IQ_EPS_NORM_HIGH_EST_CIQ" hidden="1">"c4669"</definedName>
    <definedName name="IQ_EPS_NORM_LOW_EST" hidden="1">"c2229"</definedName>
    <definedName name="IQ_EPS_NORM_LOW_EST_CIQ" hidden="1">"c4670"</definedName>
    <definedName name="IQ_EPS_NORM_MEDIAN_EST" hidden="1">"c2227"</definedName>
    <definedName name="IQ_EPS_NORM_MEDIAN_EST_CIQ" hidden="1">"c4668"</definedName>
    <definedName name="IQ_EPS_NORM_NUM_EST" hidden="1">"c2230"</definedName>
    <definedName name="IQ_EPS_NORM_NUM_EST_CIQ" hidden="1">"c4671"</definedName>
    <definedName name="IQ_EPS_NORM_STDDEV_EST" hidden="1">"c2231"</definedName>
    <definedName name="IQ_EPS_NORM_STDDEV_EST_CIQ" hidden="1">"c4672"</definedName>
    <definedName name="IQ_EPS_NUM_EST" hidden="1">"c402"</definedName>
    <definedName name="IQ_EPS_NUM_EST_CIQ" hidden="1">"c4992"</definedName>
    <definedName name="IQ_EPS_NUM_EST_REUT" hidden="1">"c5451"</definedName>
    <definedName name="IQ_EPS_NUM_EST_THOM" hidden="1">"c5288"</definedName>
    <definedName name="IQ_EPS_REPORT_ACT_OR_EST" hidden="1">"c2224"</definedName>
    <definedName name="IQ_EPS_REPORT_ACT_OR_EST_CIQ" hidden="1">"c5067"</definedName>
    <definedName name="IQ_EPS_REPORT_ACT_OR_EST_THOM" hidden="1">"c5307"</definedName>
    <definedName name="IQ_EPS_REPORTED_DET_EST" hidden="1">"c12057"</definedName>
    <definedName name="IQ_EPS_REPORTED_DET_EST_CURRENCY" hidden="1">"c12464"</definedName>
    <definedName name="IQ_EPS_REPORTED_DET_EST_CURRENCY_THOM" hidden="1">"c12486"</definedName>
    <definedName name="IQ_EPS_REPORTED_DET_EST_DATE" hidden="1">"c12210"</definedName>
    <definedName name="IQ_EPS_REPORTED_DET_EST_DATE_THOM" hidden="1">"c12237"</definedName>
    <definedName name="IQ_EPS_REPORTED_DET_EST_INCL" hidden="1">"c12347"</definedName>
    <definedName name="IQ_EPS_REPORTED_DET_EST_INCL_THOM" hidden="1">"c12369"</definedName>
    <definedName name="IQ_EPS_REPORTED_DET_EST_ORIGIN" hidden="1">"c12772"</definedName>
    <definedName name="IQ_EPS_REPORTED_DET_EST_ORIGIN_THOM" hidden="1">"c13511"</definedName>
    <definedName name="IQ_EPS_REPORTED_DET_EST_THOM" hidden="1">"c12087"</definedName>
    <definedName name="IQ_EPS_REPORTED_EST" hidden="1">"c1744"</definedName>
    <definedName name="IQ_EPS_REPORTED_EST_BOTTOM_UP" hidden="1">"c5492"</definedName>
    <definedName name="IQ_EPS_REPORTED_EST_BOTTOM_UP_CIQ" hidden="1">"c12029"</definedName>
    <definedName name="IQ_EPS_REPORTED_EST_CIQ" hidden="1">"c4730"</definedName>
    <definedName name="IQ_EPS_REPORTED_EST_THOM" hidden="1">"c5140"</definedName>
    <definedName name="IQ_EPS_REPORTED_HIGH_EST" hidden="1">"c1746"</definedName>
    <definedName name="IQ_EPS_REPORTED_HIGH_EST_CIQ" hidden="1">"c4732"</definedName>
    <definedName name="IQ_EPS_REPORTED_HIGH_EST_THOM" hidden="1">"c5142"</definedName>
    <definedName name="IQ_EPS_REPORTED_LOW_EST" hidden="1">"c1747"</definedName>
    <definedName name="IQ_EPS_REPORTED_LOW_EST_CIQ" hidden="1">"c4733"</definedName>
    <definedName name="IQ_EPS_REPORTED_LOW_EST_THOM" hidden="1">"c5143"</definedName>
    <definedName name="IQ_EPS_REPORTED_MEDIAN_EST" hidden="1">"c1745"</definedName>
    <definedName name="IQ_EPS_REPORTED_MEDIAN_EST_CIQ" hidden="1">"c4731"</definedName>
    <definedName name="IQ_EPS_REPORTED_MEDIAN_EST_THOM" hidden="1">"c5141"</definedName>
    <definedName name="IQ_EPS_REPORTED_NUM_EST" hidden="1">"c1748"</definedName>
    <definedName name="IQ_EPS_REPORTED_NUM_EST_CIQ" hidden="1">"c4734"</definedName>
    <definedName name="IQ_EPS_REPORTED_NUM_EST_THOM" hidden="1">"c5144"</definedName>
    <definedName name="IQ_EPS_REPORTED_STDDEV_EST" hidden="1">"c1749"</definedName>
    <definedName name="IQ_EPS_REPORTED_STDDEV_EST_CIQ" hidden="1">"c4735"</definedName>
    <definedName name="IQ_EPS_REPORTED_STDDEV_EST_THOM" hidden="1">"c5145"</definedName>
    <definedName name="IQ_EPS_SBC_ACT_OR_EST" hidden="1">"c4376"</definedName>
    <definedName name="IQ_EPS_SBC_ACT_OR_EST_CIQ" hidden="1">"c4901"</definedName>
    <definedName name="IQ_EPS_SBC_EST" hidden="1">"c4375"</definedName>
    <definedName name="IQ_EPS_SBC_GW_ACT_OR_EST" hidden="1">"c4380"</definedName>
    <definedName name="IQ_EPS_SBC_GW_ACT_OR_EST_CIQ" hidden="1">"c4905"</definedName>
    <definedName name="IQ_EPS_SBC_GW_EST" hidden="1">"c4379"</definedName>
    <definedName name="IQ_EPS_SBC_GW_HIGH_EST" hidden="1">"c4382"</definedName>
    <definedName name="IQ_EPS_SBC_GW_LOW_EST" hidden="1">"c4383"</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LOW_EST" hidden="1">"c4389"</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"c552"</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WITHOUT_FAIR_VALUES_FFIEC" hidden="1">"c12846"</definedName>
    <definedName name="IQ_EQUITY_SECURITY_EXPOSURES_FDIC" hidden="1">"c6664"</definedName>
    <definedName name="IQ_EQV_OVER_BV" hidden="1">"c1596"</definedName>
    <definedName name="IQ_EQV_OVER_LTM_PRETAX_INC" hidden="1">"c739"</definedName>
    <definedName name="IQ_ESOP_DEBT" hidden="1">"c1597"</definedName>
    <definedName name="IQ_ESOP_DEBT_GUARANTEED_FFIEC" hidden="1">"c12971"</definedName>
    <definedName name="IQ_ESOP_OVER_TOTAL" hidden="1">"c13768"</definedName>
    <definedName name="IQ_EST_ACT_BV" hidden="1">"c5630"</definedName>
    <definedName name="IQ_EST_ACT_BV_SHARE" hidden="1">"c3549"</definedName>
    <definedName name="IQ_EST_ACT_BV_SHARE_THOM" hidden="1">"c4026"</definedName>
    <definedName name="IQ_EST_ACT_CAPEX" hidden="1">"c3546"</definedName>
    <definedName name="IQ_EST_ACT_CAPEX_THOM" hidden="1">"c5508"</definedName>
    <definedName name="IQ_EST_ACT_CASH_EPS" hidden="1">"c5637"</definedName>
    <definedName name="IQ_EST_ACT_CASH_EPS_THOM" hidden="1">"c5645"</definedName>
    <definedName name="IQ_EST_ACT_CASH_FLOW" hidden="1">"c4394"</definedName>
    <definedName name="IQ_EST_ACT_CASH_OPER" hidden="1">"c4395"</definedName>
    <definedName name="IQ_EST_ACT_CFPS" hidden="1">"c1673"</definedName>
    <definedName name="IQ_EST_ACT_CFPS_THOM" hidden="1">"c4012"</definedName>
    <definedName name="IQ_EST_ACT_DISTRIBUTABLE_CASH" hidden="1">"c4396"</definedName>
    <definedName name="IQ_EST_ACT_DISTRIBUTABLE_CASH_SHARE" hidden="1">"c4397"</definedName>
    <definedName name="IQ_EST_ACT_DPS" hidden="1">"c1680"</definedName>
    <definedName name="IQ_EST_ACT_DPS_THOM" hidden="1">"c4019"</definedName>
    <definedName name="IQ_EST_ACT_EBIT" hidden="1">"c1687"</definedName>
    <definedName name="IQ_EST_ACT_EBIT_GW" hidden="1">"c4398"</definedName>
    <definedName name="IQ_EST_ACT_EBIT_SBC" hidden="1">"c4399"</definedName>
    <definedName name="IQ_EST_ACT_EBIT_SBC_GW" hidden="1">"c4400"</definedName>
    <definedName name="IQ_EST_ACT_EBIT_THOM" hidden="1">"c5111"</definedName>
    <definedName name="IQ_EST_ACT_EBITDA" hidden="1">"c1664"</definedName>
    <definedName name="IQ_EST_ACT_EBITDA_CIQ" hidden="1">"c3667"</definedName>
    <definedName name="IQ_EST_ACT_EBITDA_SBC" hidden="1">"c4401"</definedName>
    <definedName name="IQ_EST_ACT_EBITDA_THOM" hidden="1">"c3998"</definedName>
    <definedName name="IQ_EST_ACT_EBT_SBC" hidden="1">"c4402"</definedName>
    <definedName name="IQ_EST_ACT_EBT_SBC_GW" hidden="1">"c4403"</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THOM" hidden="1">"c5139"</definedName>
    <definedName name="IQ_EST_ACT_EPS_NORM" hidden="1">"c2232"</definedName>
    <definedName name="IQ_EST_ACT_EPS_NORM_CIQ" hidden="1">"c4673"</definedName>
    <definedName name="IQ_EST_ACT_EPS_REPORTED" hidden="1">"c1750"</definedName>
    <definedName name="IQ_EST_ACT_EPS_REPORTED_CIQ" hidden="1">"c4736"</definedName>
    <definedName name="IQ_EST_ACT_EPS_REPORTED_THOM" hidden="1">"c5146"</definedName>
    <definedName name="IQ_EST_ACT_EPS_SBC" hidden="1">"c4404"</definedName>
    <definedName name="IQ_EST_ACT_EPS_SBC_GW" hidden="1">"c4405"</definedName>
    <definedName name="IQ_EST_ACT_EPS_THOM" hidden="1">"c5294"</definedName>
    <definedName name="IQ_EST_ACT_FFO" hidden="1">"c4407"</definedName>
    <definedName name="IQ_EST_ACT_FFO_ADJ" hidden="1">"c4406"</definedName>
    <definedName name="IQ_EST_ACT_FFO_SHARE" hidden="1">"c1666"</definedName>
    <definedName name="IQ_EST_ACT_FFO_SHARE_THOM" hidden="1">"c4005"</definedName>
    <definedName name="IQ_EST_ACT_GROSS_MARGIN" hidden="1">"c5553"</definedName>
    <definedName name="IQ_EST_ACT_GROSS_MARGIN_THOM" hidden="1">"c5561"</definedName>
    <definedName name="IQ_EST_ACT_MAINT_CAPEX" hidden="1">"c4408"</definedName>
    <definedName name="IQ_EST_ACT_NAV" hidden="1">"c1757"</definedName>
    <definedName name="IQ_EST_ACT_NAV_SHARE" hidden="1">"c5608"</definedName>
    <definedName name="IQ_EST_ACT_NAV_THOM" hidden="1">"c5600"</definedName>
    <definedName name="IQ_EST_ACT_NET_DEBT" hidden="1">"c3545"</definedName>
    <definedName name="IQ_EST_ACT_NET_DEBT_THOM" hidden="1">"c4033"</definedName>
    <definedName name="IQ_EST_ACT_NI" hidden="1">"c1722"</definedName>
    <definedName name="IQ_EST_ACT_NI_GW" hidden="1">"c1729"</definedName>
    <definedName name="IQ_EST_ACT_NI_REPORTED" hidden="1">"c1736"</definedName>
    <definedName name="IQ_EST_ACT_NI_SBC" hidden="1">"c4409"</definedName>
    <definedName name="IQ_EST_ACT_NI_SBC_GW" hidden="1">"c4410"</definedName>
    <definedName name="IQ_EST_ACT_NI_THOM" hidden="1">"c5132"</definedName>
    <definedName name="IQ_EST_ACT_OPER_INC" hidden="1">"c1694"</definedName>
    <definedName name="IQ_EST_ACT_OPER_INC_THOM" hidden="1">"c5118"</definedName>
    <definedName name="IQ_EST_ACT_PRETAX_GW_INC" hidden="1">"c1708"</definedName>
    <definedName name="IQ_EST_ACT_PRETAX_INC" hidden="1">"c1701"</definedName>
    <definedName name="IQ_EST_ACT_PRETAX_INC_THOM" hidden="1">"c5125"</definedName>
    <definedName name="IQ_EST_ACT_PRETAX_REPORT_INC" hidden="1">"c1715"</definedName>
    <definedName name="IQ_EST_ACT_RECURRING_PROFIT" hidden="1">"c4411"</definedName>
    <definedName name="IQ_EST_ACT_RECURRING_PROFIT_SHARE" hidden="1">"c4412"</definedName>
    <definedName name="IQ_EST_ACT_RETURN_ASSETS" hidden="1">"c3547"</definedName>
    <definedName name="IQ_EST_ACT_RETURN_ASSETS_THOM" hidden="1">"c4040"</definedName>
    <definedName name="IQ_EST_ACT_RETURN_EQUITY" hidden="1">"c3548"</definedName>
    <definedName name="IQ_EST_ACT_RETURN_EQUITY_THOM" hidden="1">"c5287"</definedName>
    <definedName name="IQ_EST_ACT_REV" hidden="1">"c2113"</definedName>
    <definedName name="IQ_EST_ACT_REV_CIQ" hidden="1">"c3666"</definedName>
    <definedName name="IQ_EST_ACT_REV_THOM" hidden="1">"c3997"</definedName>
    <definedName name="IQ_EST_BV_SHARE_DIFF" hidden="1">"c4147"</definedName>
    <definedName name="IQ_EST_BV_SHARE_SURPRISE_PERCENT" hidden="1">"c4148"</definedName>
    <definedName name="IQ_EST_CAPEX_DIFF" hidden="1">"c4149"</definedName>
    <definedName name="IQ_EST_CAPEX_GROWTH_1YR" hidden="1">"c3588"</definedName>
    <definedName name="IQ_EST_CAPEX_GROWTH_1YR_THOM" hidden="1">"c5542"</definedName>
    <definedName name="IQ_EST_CAPEX_GROWTH_2YR" hidden="1">"c3589"</definedName>
    <definedName name="IQ_EST_CAPEX_GROWTH_2YR_THOM" hidden="1">"c5543"</definedName>
    <definedName name="IQ_EST_CAPEX_GROWTH_Q_1YR" hidden="1">"c3590"</definedName>
    <definedName name="IQ_EST_CAPEX_GROWTH_Q_1YR_THOM" hidden="1">"c5544"</definedName>
    <definedName name="IQ_EST_CAPEX_SEQ_GROWTH_Q" hidden="1">"c3591"</definedName>
    <definedName name="IQ_EST_CAPEX_SEQ_GROWTH_Q_THOM" hidden="1">"c5545"</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THOM" hidden="1">"c5188"</definedName>
    <definedName name="IQ_EST_CFPS_GROWTH_1YR" hidden="1">"c1774"</definedName>
    <definedName name="IQ_EST_CFPS_GROWTH_1YR_THOM" hidden="1">"c5174"</definedName>
    <definedName name="IQ_EST_CFPS_GROWTH_2YR" hidden="1">"c1775"</definedName>
    <definedName name="IQ_EST_CFPS_GROWTH_2YR_THOM" hidden="1">"c5175"</definedName>
    <definedName name="IQ_EST_CFPS_GROWTH_Q_1YR" hidden="1">"c1776"</definedName>
    <definedName name="IQ_EST_CFPS_GROWTH_Q_1YR_THOM" hidden="1">"c5176"</definedName>
    <definedName name="IQ_EST_CFPS_SEQ_GROWTH_Q" hidden="1">"c1777"</definedName>
    <definedName name="IQ_EST_CFPS_SEQ_GROWTH_Q_THOM" hidden="1">"c5177"</definedName>
    <definedName name="IQ_EST_CFPS_SURPRISE_PERCENT" hidden="1">"c1872"</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THOM" hidden="1">"c5190"</definedName>
    <definedName name="IQ_EST_DPS_GROWTH_1YR" hidden="1">"c1778"</definedName>
    <definedName name="IQ_EST_DPS_GROWTH_1YR_THOM" hidden="1">"c5178"</definedName>
    <definedName name="IQ_EST_DPS_GROWTH_2YR" hidden="1">"c1779"</definedName>
    <definedName name="IQ_EST_DPS_GROWTH_2YR_THOM" hidden="1">"c5179"</definedName>
    <definedName name="IQ_EST_DPS_GROWTH_Q_1YR" hidden="1">"c1780"</definedName>
    <definedName name="IQ_EST_DPS_GROWTH_Q_1YR_THOM" hidden="1">"c5180"</definedName>
    <definedName name="IQ_EST_DPS_SEQ_GROWTH_Q" hidden="1">"c1781"</definedName>
    <definedName name="IQ_EST_DPS_SEQ_GROWTH_Q_THOM" hidden="1">"c5181"</definedName>
    <definedName name="IQ_EST_DPS_SURPRISE_PERCENT" hidden="1">"c1874"</definedName>
    <definedName name="IQ_EST_DPS_SURPRISE_PERCENT_THOM" hidden="1">"c5191"</definedName>
    <definedName name="IQ_EST_EBIT_DIFF" hidden="1">"c1875"</definedName>
    <definedName name="IQ_EST_EBIT_DIFF_THOM" hidden="1">"c5192"</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THOM" hidden="1">"c5193"</definedName>
    <definedName name="IQ_EST_EBITDA_DIFF" hidden="1">"c1867"</definedName>
    <definedName name="IQ_EST_EBITDA_DIFF_CIQ" hidden="1">"c3719"</definedName>
    <definedName name="IQ_EST_EBITDA_DIFF_THOM" hidden="1">"c5184"</definedName>
    <definedName name="IQ_EST_EBITDA_GROWTH_1YR" hidden="1">"c1766"</definedName>
    <definedName name="IQ_EST_EBITDA_GROWTH_1YR_CIQ" hidden="1">"c3695"</definedName>
    <definedName name="IQ_EST_EBITDA_GROWTH_1YR_THOM" hidden="1">"c5161"</definedName>
    <definedName name="IQ_EST_EBITDA_GROWTH_2YR" hidden="1">"c1767"</definedName>
    <definedName name="IQ_EST_EBITDA_GROWTH_2YR_CIQ" hidden="1">"c3696"</definedName>
    <definedName name="IQ_EST_EBITDA_GROWTH_2YR_THOM" hidden="1">"c5162"</definedName>
    <definedName name="IQ_EST_EBITDA_GROWTH_Q_1YR" hidden="1">"c1768"</definedName>
    <definedName name="IQ_EST_EBITDA_GROWTH_Q_1YR_CIQ" hidden="1">"c3697"</definedName>
    <definedName name="IQ_EST_EBITDA_GROWTH_Q_1YR_THOM" hidden="1">"c5163"</definedName>
    <definedName name="IQ_EST_EBITDA_SBC_DIFF" hidden="1">"c4335"</definedName>
    <definedName name="IQ_EST_EBITDA_SBC_SURPRISE_PERCENT" hidden="1">"c4344"</definedName>
    <definedName name="IQ_EST_EBITDA_SEQ_GROWTH_Q" hidden="1">"c1769"</definedName>
    <definedName name="IQ_EST_EBITDA_SEQ_GROWTH_Q_CIQ" hidden="1">"c3698"</definedName>
    <definedName name="IQ_EST_EBITDA_SEQ_GROWTH_Q_THOM" hidden="1">"c5164"</definedName>
    <definedName name="IQ_EST_EBITDA_SURPRISE_PERCENT" hidden="1">"c1868"</definedName>
    <definedName name="IQ_EST_EBITDA_SURPRISE_PERCENT_CIQ" hidden="1">"c3720"</definedName>
    <definedName name="IQ_EST_EBITDA_SURPRISE_PERCENT_THOM" hidden="1">"c5185"</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CIQ" hidden="1">"c4999"</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CIQ" hidden="1">"c3689"</definedName>
    <definedName name="IQ_EST_EPS_GROWTH_2YR_THOM" hidden="1">"c5154"</definedName>
    <definedName name="IQ_EST_EPS_GROWTH_5YR" hidden="1">"c1655"</definedName>
    <definedName name="IQ_EST_EPS_GROWTH_5YR_BOTTOM_UP" hidden="1">"c5487"</definedName>
    <definedName name="IQ_EST_EPS_GROWTH_5YR_BOTTOM_UP_CIQ" hidden="1">"c12024"</definedName>
    <definedName name="IQ_EST_EPS_GROWTH_5YR_CIQ" hidden="1">"c3615"</definedName>
    <definedName name="IQ_EST_EPS_GROWTH_5YR_HIGH" hidden="1">"c1657"</definedName>
    <definedName name="IQ_EST_EPS_GROWTH_5YR_HIGH_CIQ" hidden="1">"c4663"</definedName>
    <definedName name="IQ_EST_EPS_GROWTH_5YR_HIGH_THOM" hidden="1">"c5101"</definedName>
    <definedName name="IQ_EST_EPS_GROWTH_5YR_LOW" hidden="1">"c1658"</definedName>
    <definedName name="IQ_EST_EPS_GROWTH_5YR_LOW_CIQ" hidden="1">"c4664"</definedName>
    <definedName name="IQ_EST_EPS_GROWTH_5YR_LOW_THOM" hidden="1">"c5102"</definedName>
    <definedName name="IQ_EST_EPS_GROWTH_5YR_MEDIAN" hidden="1">"c1656"</definedName>
    <definedName name="IQ_EST_EPS_GROWTH_5YR_MEDIAN_CIQ" hidden="1">"c5480"</definedName>
    <definedName name="IQ_EST_EPS_GROWTH_5YR_MEDIAN_THOM" hidden="1">"c5100"</definedName>
    <definedName name="IQ_EST_EPS_GROWTH_5YR_NUM" hidden="1">"c1659"</definedName>
    <definedName name="IQ_EST_EPS_GROWTH_5YR_NUM_CIQ" hidden="1">"c4665"</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THOM" hidden="1">"c5200"</definedName>
    <definedName name="IQ_EST_EPS_GW_SURPRISE_PERCENT" hidden="1">"c1892"</definedName>
    <definedName name="IQ_EST_EPS_GW_SURPRISE_PERCENT_CIQ" hidden="1">"c4762"</definedName>
    <definedName name="IQ_EST_EPS_GW_SURPRISE_PERCENT_THOM" hidden="1">"c5201"</definedName>
    <definedName name="IQ_EST_EPS_NORM_DIFF" hidden="1">"c2247"</definedName>
    <definedName name="IQ_EST_EPS_NORM_DIFF_CIQ" hidden="1">"c4745"</definedName>
    <definedName name="IQ_EST_EPS_NORM_SURPRISE_PERCENT" hidden="1">"c2248"</definedName>
    <definedName name="IQ_EST_EPS_NORM_SURPRISE_PERCENT_CIQ" hidden="1">"c4746"</definedName>
    <definedName name="IQ_EST_EPS_REPORT_DIFF" hidden="1">"c1893"</definedName>
    <definedName name="IQ_EST_EPS_REPORT_DIFF_CIQ" hidden="1">"c4763"</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THOM" hidden="1">"c5203"</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CIQ" hidden="1">"c3690"</definedName>
    <definedName name="IQ_EST_EPS_SEQ_GROWTH_Q_THOM" hidden="1">"c5156"</definedName>
    <definedName name="IQ_EST_EPS_SURPRISE_PERCENT" hidden="1">"c1635"</definedName>
    <definedName name="IQ_EST_EPS_SURPRISE_PERCENT_CIQ" hidden="1">"c5000"</definedName>
    <definedName name="IQ_EST_EPS_SURPRISE_PERCENT_THOM" hidden="1">"c5296"</definedName>
    <definedName name="IQ_EST_FAIR_VALUE_MORT_SERVICING_ASSETS_FFIEC" hidden="1">"c12956"</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"c4444"</definedName>
    <definedName name="IQ_EST_FFO_GROWTH_1YR" hidden="1">"c4425"</definedName>
    <definedName name="IQ_EST_FFO_GROWTH_1YR_THOM" hidden="1">"c5170"</definedName>
    <definedName name="IQ_EST_FFO_GROWTH_2YR" hidden="1">"c4426"</definedName>
    <definedName name="IQ_EST_FFO_GROWTH_2YR_THOM" hidden="1">"c5171"</definedName>
    <definedName name="IQ_EST_FFO_GROWTH_Q_1YR" hidden="1">"c4427"</definedName>
    <definedName name="IQ_EST_FFO_GROWTH_Q_1YR_THOM" hidden="1">"c5172"</definedName>
    <definedName name="IQ_EST_FFO_SEQ_GROWTH_Q" hidden="1">"c4428"</definedName>
    <definedName name="IQ_EST_FFO_SEQ_GROWTH_Q_THOM" hidden="1">"c5173"</definedName>
    <definedName name="IQ_EST_FFO_SHARE_DIFF" hidden="1">"c1869"</definedName>
    <definedName name="IQ_EST_FFO_SHARE_DIFF_THOM" hidden="1">"c5186"</definedName>
    <definedName name="IQ_EST_FFO_SHARE_GROWTH_1YR" hidden="1">"c1770"</definedName>
    <definedName name="IQ_EST_FFO_SHARE_GROWTH_2YR" hidden="1">"c1771"</definedName>
    <definedName name="IQ_EST_FFO_SHARE_GROWTH_Q_1YR" hidden="1">"c1772"</definedName>
    <definedName name="IQ_EST_FFO_SHARE_SEQ_GROWTH_Q" hidden="1">"c1773"</definedName>
    <definedName name="IQ_EST_FFO_SHARE_SURPRISE_PERCENT" hidden="1">"c1870"</definedName>
    <definedName name="IQ_EST_FFO_SHARE_SURPRISE_PERCENT_THOM" hidden="1">"c5187"</definedName>
    <definedName name="IQ_EST_FFO_SURPRISE_PERCENT" hidden="1">"c4453"</definedName>
    <definedName name="IQ_EST_FOOTNOTE" hidden="1">"c4540"</definedName>
    <definedName name="IQ_EST_FOOTNOTE_CIQ" hidden="1">"c12022"</definedName>
    <definedName name="IQ_EST_FOOTNOTE_THOM" hidden="1">"c5313"</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HARE_SURPRISE_PERCENT" hidden="1">"c1896"</definedName>
    <definedName name="IQ_EST_NAV_SURPRISE_PERCENT" hidden="1">"c12040"</definedName>
    <definedName name="IQ_EST_NET_DEBT_DIFF" hidden="1">"c4466"</definedName>
    <definedName name="IQ_EST_NET_DEBT_SURPRISE_PERCENT" hidden="1">"c4468"</definedName>
    <definedName name="IQ_EST_NEXT_EARNINGS_DATE" hidden="1">"c13591"</definedName>
    <definedName name="IQ_EST_NI_DIFF" hidden="1">"c1885"</definedName>
    <definedName name="IQ_EST_NI_DIFF_THOM" hidden="1">"c5198"</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THOM" hidden="1">"c5199"</definedName>
    <definedName name="IQ_EST_NUM_BUY" hidden="1">"c1759"</definedName>
    <definedName name="IQ_EST_NUM_HIGH_REC" hidden="1">"c5649"</definedName>
    <definedName name="IQ_EST_NUM_HIGH_REC_CIQ" hidden="1">"c3701"</definedName>
    <definedName name="IQ_EST_NUM_HIGH_REC_THOM" hidden="1">"c5166"</definedName>
    <definedName name="IQ_EST_NUM_HIGHEST_REC" hidden="1">"c5648"</definedName>
    <definedName name="IQ_EST_NUM_HIGHEST_REC_CIQ" hidden="1">"c3700"</definedName>
    <definedName name="IQ_EST_NUM_HIGHEST_REC_THOM" hidden="1">"c5165"</definedName>
    <definedName name="IQ_EST_NUM_HOLD" hidden="1">"c1761"</definedName>
    <definedName name="IQ_EST_NUM_LOW_REC" hidden="1">"c5651"</definedName>
    <definedName name="IQ_EST_NUM_LOW_REC_CIQ" hidden="1">"c3703"</definedName>
    <definedName name="IQ_EST_NUM_LOW_REC_THOM" hidden="1">"c5168"</definedName>
    <definedName name="IQ_EST_NUM_LOWEST_REC" hidden="1">"c5652"</definedName>
    <definedName name="IQ_EST_NUM_LOWEST_REC_CIQ" hidden="1">"c3704"</definedName>
    <definedName name="IQ_EST_NUM_LOWEST_REC_THOM" hidden="1">"c5169"</definedName>
    <definedName name="IQ_EST_NUM_NEUTRAL_REC" hidden="1">"c5650"</definedName>
    <definedName name="IQ_EST_NUM_NEUTRAL_REC_CIQ" hidden="1">"c3702"</definedName>
    <definedName name="IQ_EST_NUM_NEUTRAL_REC_THOM" hidden="1">"c5167"</definedName>
    <definedName name="IQ_EST_NUM_NO_OPINION" hidden="1">"c1758"</definedName>
    <definedName name="IQ_EST_NUM_NO_OPINION_CIQ" hidden="1">"c3699"</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DIFF_THOM" hidden="1">"c5194"</definedName>
    <definedName name="IQ_EST_OPER_INC_SURPRISE_PERCENT" hidden="1">"c1878"</definedName>
    <definedName name="IQ_EST_OPER_INC_SURPRISE_PERCENT_THOM" hidden="1">"c5195"</definedName>
    <definedName name="IQ_EST_PRE_TAX_DIFF" hidden="1">"c1879"</definedName>
    <definedName name="IQ_EST_PRE_TAX_DIFF_THOM" hidden="1">"c5196"</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PRE_TAX_SURPRISE_PERCENT_THOM" hidden="1">"c5197"</definedName>
    <definedName name="IQ_EST_RECURRING_PROFIT_SHARE_DIFF" hidden="1">"c4505"</definedName>
    <definedName name="IQ_EST_RECURRING_PROFIT_SHARE_SURPRISE_PERCENT" hidden="1">"c4515"</definedName>
    <definedName name="IQ_EST_REV_DIFF" hidden="1">"c1865"</definedName>
    <definedName name="IQ_EST_REV_DIFF_CIQ" hidden="1">"c3717"</definedName>
    <definedName name="IQ_EST_REV_DIFF_THOM" hidden="1">"c5182"</definedName>
    <definedName name="IQ_EST_REV_GROWTH_1YR" hidden="1">"c1638"</definedName>
    <definedName name="IQ_EST_REV_GROWTH_1YR_CIQ" hidden="1">"c3691"</definedName>
    <definedName name="IQ_EST_REV_GROWTH_1YR_THOM" hidden="1">"c5157"</definedName>
    <definedName name="IQ_EST_REV_GROWTH_2YR" hidden="1">"c1639"</definedName>
    <definedName name="IQ_EST_REV_GROWTH_2YR_CIQ" hidden="1">"c3692"</definedName>
    <definedName name="IQ_EST_REV_GROWTH_2YR_THOM" hidden="1">"c5158"</definedName>
    <definedName name="IQ_EST_REV_GROWTH_Q_1YR" hidden="1">"c1640"</definedName>
    <definedName name="IQ_EST_REV_GROWTH_Q_1YR_CIQ" hidden="1">"c3693"</definedName>
    <definedName name="IQ_EST_REV_GROWTH_Q_1YR_THOM" hidden="1">"c5159"</definedName>
    <definedName name="IQ_EST_REV_SEQ_GROWTH_Q" hidden="1">"c1765"</definedName>
    <definedName name="IQ_EST_REV_SEQ_GROWTH_Q_CIQ" hidden="1">"c3694"</definedName>
    <definedName name="IQ_EST_REV_SEQ_GROWTH_Q_THOM" hidden="1">"c5160"</definedName>
    <definedName name="IQ_EST_REV_SURPRISE_PERCENT" hidden="1">"c1866"</definedName>
    <definedName name="IQ_EST_REV_SURPRISE_PERCENT_CIQ" hidden="1">"c3718"</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"c1225"</definedName>
    <definedName name="IQ_EV_OVER_LTM_EBIT" hidden="1">"c1221"</definedName>
    <definedName name="IQ_EV_OVER_LTM_EBITDA" hidden="1">"c1223"</definedName>
    <definedName name="IQ_EV_OVER_LTM_REVENUE" hidden="1">"c1227"</definedName>
    <definedName name="IQ_EVAL_DATE" hidden="1">"c2180"</definedName>
    <definedName name="IQ_EVENT_DATE" hidden="1">"c13819"</definedName>
    <definedName name="IQ_EVENT_ID" hidden="1">"c13818"</definedName>
    <definedName name="IQ_EVENT_TIME" hidden="1">"c13820"</definedName>
    <definedName name="IQ_EVENT_TYPE" hidden="1">"c13821"</definedName>
    <definedName name="IQ_EXCHANGE" hidden="1">"c405"</definedName>
    <definedName name="IQ_EXCISE_TAXES_EXCL_SALES" hidden="1">"c5515"</definedName>
    <definedName name="IQ_EXCISE_TAXES_INCL_SALES" hidden="1">"c5514"</definedName>
    <definedName name="IQ_EXERCISE_PRICE" hidden="1">"c406"</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UNUSED" hidden="1">"c7632"</definedName>
    <definedName name="IQ_EXPORTS_GOODS_REAL_SAAR_FC_UNUSED" hidden="1">"c7852"</definedName>
    <definedName name="IQ_EXPORTS_GOODS_REAL_SAAR_POP" hidden="1">"c11931"</definedName>
    <definedName name="IQ_EXPORTS_GOODS_REAL_SAAR_POP_FC_UNUSED" hidden="1">"c8072"</definedName>
    <definedName name="IQ_EXPORTS_GOODS_REAL_SAAR_POP_UNUSED" hidden="1">"c7192"</definedName>
    <definedName name="IQ_EXPORTS_GOODS_REAL_SAAR_UNUSED" hidden="1">"c6972"</definedName>
    <definedName name="IQ_EXPORTS_GOODS_REAL_SAAR_YOY" hidden="1">"c11932"</definedName>
    <definedName name="IQ_EXPORTS_GOODS_REAL_SAAR_YOY_FC_UNUSED" hidden="1">"c8292"</definedName>
    <definedName name="IQ_EXPORTS_GOODS_REAL_SAAR_YOY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UNUSED" hidden="1">"c7636"</definedName>
    <definedName name="IQ_EXPORTS_SERVICES_REAL_SAAR_FC_UNUSED" hidden="1">"c7856"</definedName>
    <definedName name="IQ_EXPORTS_SERVICES_REAL_SAAR_POP" hidden="1">"c11935"</definedName>
    <definedName name="IQ_EXPORTS_SERVICES_REAL_SAAR_POP_FC_UNUSED" hidden="1">"c8076"</definedName>
    <definedName name="IQ_EXPORTS_SERVICES_REAL_SAAR_POP_UNUSED" hidden="1">"c7196"</definedName>
    <definedName name="IQ_EXPORTS_SERVICES_REAL_SAAR_UNUSED" hidden="1">"c6976"</definedName>
    <definedName name="IQ_EXPORTS_SERVICES_REAL_SAAR_YOY" hidden="1">"c11936"</definedName>
    <definedName name="IQ_EXPORTS_SERVICES_REAL_SAAR_YOY_FC_UNUSED" hidden="1">"c8296"</definedName>
    <definedName name="IQ_EXPORTS_SERVICES_REAL_SAAR_YOY_UNUSED" hidden="1">"c7416"</definedName>
    <definedName name="IQ_EXPORTS_SERVICES_REAL_YOY" hidden="1">"c7417"</definedName>
    <definedName name="IQ_EXPORTS_SERVICES_REAL_YOY_FC" hidden="1">"c8297"</definedName>
    <definedName name="IQ_EXPORTS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"c413"</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FDIC" hidden="1">"c6427"</definedName>
    <definedName name="IQ_FARM_LOANS_NET_FDIC" hidden="1">"c6316"</definedName>
    <definedName name="IQ_FARM_LOANS_TOT_LOANS_FFIEC" hidden="1">"c13870"</definedName>
    <definedName name="IQ_FARM_LOANS_TOTAL_LOANS_FOREIGN_FDIC" hidden="1">"c6450"</definedName>
    <definedName name="IQ_FARMLAND_LOANS_FDIC" hidden="1">"c6314"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FUNDS_SOLD" hidden="1">"c2256"</definedName>
    <definedName name="IQ_FEES_COMMISSIONS_BROKERAGE_FFIEC" hidden="1">"c13005"</definedName>
    <definedName name="IQ_FFO" hidden="1">"c1574"</definedName>
    <definedName name="IQ_FFO_ACT_OR_EST" hidden="1">"c4446"</definedName>
    <definedName name="IQ_FFO_ADJ_ACT_OR_EST" hidden="1">"c4435"</definedName>
    <definedName name="IQ_FFO_ADJ_ACT_OR_EST_CIQ" hidden="1">"c4960"</definedName>
    <definedName name="IQ_FFO_ADJ_EST" hidden="1">"c4434"</definedName>
    <definedName name="IQ_FFO_ADJ_HIGH_EST" hidden="1">"c4437"</definedName>
    <definedName name="IQ_FFO_ADJ_LOW_EST" hidden="1">"c4438"</definedName>
    <definedName name="IQ_FFO_ADJ_MEDIAN_EST" hidden="1">"c4439"</definedName>
    <definedName name="IQ_FFO_ADJ_NUM_EST" hidden="1">"c4440"</definedName>
    <definedName name="IQ_FFO_ADJ_STDDEV_EST" hidden="1">"c4441"</definedName>
    <definedName name="IQ_FFO_EST" hidden="1">"c4445"</definedName>
    <definedName name="IQ_FFO_HIGH_EST" hidden="1">"c4448"</definedName>
    <definedName name="IQ_FFO_LOW_EST" hidden="1">"c4449"</definedName>
    <definedName name="IQ_FFO_MEDIAN_EST" hidden="1">"c4450"</definedName>
    <definedName name="IQ_FFO_NUM_EST" hidden="1">"c4451"</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_EST" hidden="1">"c418"</definedName>
    <definedName name="IQ_FFO_SHARE_EST_DET_EST" hidden="1">"c12059"</definedName>
    <definedName name="IQ_FFO_SHARE_EST_DET_EST_CURRENCY" hidden="1">"c12466"</definedName>
    <definedName name="IQ_FFO_SHARE_EST_DET_EST_CURRENCY_THOM" hidden="1">"c12487"</definedName>
    <definedName name="IQ_FFO_SHARE_EST_DET_EST_DATE" hidden="1">"c12212"</definedName>
    <definedName name="IQ_FFO_SHARE_EST_DET_EST_DATE_THOM" hidden="1">"c12238"</definedName>
    <definedName name="IQ_FFO_SHARE_EST_DET_EST_INCL" hidden="1">"c12349"</definedName>
    <definedName name="IQ_FFO_SHARE_EST_DET_EST_INCL_THOM" hidden="1">"c12370"</definedName>
    <definedName name="IQ_FFO_SHARE_EST_DET_EST_ORIGIN" hidden="1">"c12722"</definedName>
    <definedName name="IQ_FFO_SHARE_EST_DET_EST_ORIGIN_THOM" hidden="1">"c12608"</definedName>
    <definedName name="IQ_FFO_SHARE_EST_DET_EST_THOM" hidden="1">"c12088"</definedName>
    <definedName name="IQ_FFO_SHARE_EST_THOM" hidden="1">"c3999"</definedName>
    <definedName name="IQ_FFO_SHARE_HIGH_EST" hidden="1">"c419"</definedName>
    <definedName name="IQ_FFO_SHARE_HIGH_EST_THOM" hidden="1">"c4001"</definedName>
    <definedName name="IQ_FFO_SHARE_LOW_EST" hidden="1">"c420"</definedName>
    <definedName name="IQ_FFO_SHARE_LOW_EST_THOM" hidden="1">"c4002"</definedName>
    <definedName name="IQ_FFO_SHARE_MEDIAN_EST" hidden="1">"c1665"</definedName>
    <definedName name="IQ_FFO_SHARE_MEDIAN_EST_THOM" hidden="1">"c4000"</definedName>
    <definedName name="IQ_FFO_SHARE_NUM_EST" hidden="1">"c421"</definedName>
    <definedName name="IQ_FFO_SHARE_NUM_EST_THOM" hidden="1">"c4003"</definedName>
    <definedName name="IQ_FFO_SHARE_STDDEV_EST" hidden="1">"c422"</definedName>
    <definedName name="IQ_FFO_SHARE_STDDEV_EST_THOM" hidden="1">"c4004"</definedName>
    <definedName name="IQ_FFO_STDDEV_EST" hidden="1">"c4452"</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"c893"</definedName>
    <definedName name="IQ_FINANCING_CASH_SUPPL" hidden="1">"c899"</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THOM" hidden="1">"c6802"</definedName>
    <definedName name="IQ_FISCAL_Y" hidden="1">"c441"</definedName>
    <definedName name="IQ_FISCAL_Y_EST" hidden="1">"c6795"</definedName>
    <definedName name="IQ_FISCAL_Y_EST_CIQ" hidden="1">"c6807"</definedName>
    <definedName name="IQ_FISCAL_Y_EST_THOM" hidden="1">"c6803"</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UNUSED" hidden="1">"c7530"</definedName>
    <definedName name="IQ_FIXED_INVEST_FC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UNUSED" hidden="1">"c7090"</definedName>
    <definedName name="IQ_FIXED_INVEST_REAL_APR_FC_UNUSED" hidden="1">"c8518"</definedName>
    <definedName name="IQ_FIXED_INVEST_REAL_APR_UNUSED" hidden="1">"c7638"</definedName>
    <definedName name="IQ_FIXED_INVEST_REAL_FC_UNUSED" hidden="1">"c7858"</definedName>
    <definedName name="IQ_FIXED_INVEST_REAL_POP_FC_UNUSED" hidden="1">"c8078"</definedName>
    <definedName name="IQ_FIXED_INVEST_REAL_POP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RANSACTION_ACCOUNTS_FDIC" hidden="1">"c6541"</definedName>
    <definedName name="IQ_FOREIGN_EXCHANGE" hidden="1">"c451"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L_REC_FFIEC" hidden="1">"c12892"</definedName>
    <definedName name="IQ_FOREIGN_LOANS" hidden="1">"c448"</definedName>
    <definedName name="IQ_FOREIGN_LOANS_LEASES_FOREIGN_FFIEC" hidden="1">"c13478"</definedName>
    <definedName name="IQ_FOUNDATION_OVER_TOTAL" hidden="1">"c13769"</definedName>
    <definedName name="IQ_FQ" hidden="1">500</definedName>
    <definedName name="IQ_FUEL" hidden="1">"c449"</definedName>
    <definedName name="IQ_FULL_TIME" hidden="1">"c450"</definedName>
    <definedName name="IQ_FULLY_INSURED_DEPOSITS_FDIC" hidden="1">"c6487"</definedName>
    <definedName name="IQ_FUND_FEE_INC_NON_INT_INC_FFIEC" hidden="1">"c13493"</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"c452"</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"c530"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"c192"</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_AVG_LOANS_FFIEC" hidden="1">"c13475"</definedName>
    <definedName name="IQ_GROSS_MARGIN" hidden="1">"c529"</definedName>
    <definedName name="IQ_GROSS_MARGIN_ACT_OR_EST" hidden="1">"c5554"</definedName>
    <definedName name="IQ_GROSS_MARGIN_ACT_OR_EST_THOM" hidden="1">"c5562"</definedName>
    <definedName name="IQ_GROSS_MARGIN_DET_EST_DATE_THOM" hidden="1">"c12239"</definedName>
    <definedName name="IQ_GROSS_MARGIN_DET_EST_INCL_THOM" hidden="1">"c12371"</definedName>
    <definedName name="IQ_GROSS_MARGIN_DET_EST_ORIGIN_THOM" hidden="1">"c12609"</definedName>
    <definedName name="IQ_GROSS_MARGIN_DET_EST_THOM" hidden="1">"c12089"</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OFIT" hidden="1">"c511"</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UNUSED" hidden="1">"c7542"</definedName>
    <definedName name="IQ_HOUSING_COMPLETIONS_SINGLE_FAM_FC_UNUSED" hidden="1">"c7762"</definedName>
    <definedName name="IQ_HOUSING_COMPLETIONS_SINGLE_FAM_POP_FC_UNUSED" hidden="1">"c7982"</definedName>
    <definedName name="IQ_HOUSING_COMPLETIONS_SINGLE_FAM_POP_UNUSED" hidden="1">"c7102"</definedName>
    <definedName name="IQ_HOUSING_COMPLETIONS_SINGLE_FAM_UNUSED" hidden="1">"c6882"</definedName>
    <definedName name="IQ_HOUSING_COMPLETIONS_SINGLE_FAM_YOY_FC_UNUSED" hidden="1">"c8202"</definedName>
    <definedName name="IQ_HOUSING_COMPLETIONS_SINGLE_FAM_YOY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UNUSED" hidden="1">"c7643"</definedName>
    <definedName name="IQ_IMPORTS_GOODS_REAL_SAAR_FC_UNUSED" hidden="1">"c7863"</definedName>
    <definedName name="IQ_IMPORTS_GOODS_REAL_SAAR_POP_FC_UNUSED" hidden="1">"c8083"</definedName>
    <definedName name="IQ_IMPORTS_GOODS_REAL_SAAR_POP_UNUSED" hidden="1">"c7203"</definedName>
    <definedName name="IQ_IMPORTS_GOODS_REAL_SAAR_UNUSED" hidden="1">"c6983"</definedName>
    <definedName name="IQ_IMPORTS_GOODS_REAL_SAAR_YOY_FC_UNUSED" hidden="1">"c8303"</definedName>
    <definedName name="IQ_IMPORTS_GOODS_REAL_SAAR_YOY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UNUSED" hidden="1">"c7549"</definedName>
    <definedName name="IQ_IMPORTS_GOODS_SERVICES_FC_UNUSED" hidden="1">"c7769"</definedName>
    <definedName name="IQ_IMPORTS_GOODS_SERVICES_POP_FC_UNUSED" hidden="1">"c7989"</definedName>
    <definedName name="IQ_IMPORTS_GOODS_SERVICES_POP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UNUSED" hidden="1">"c7644"</definedName>
    <definedName name="IQ_IMPORTS_GOODS_SERVICES_REAL_SAAR_FC_UNUSED" hidden="1">"c7864"</definedName>
    <definedName name="IQ_IMPORTS_GOODS_SERVICES_REAL_SAAR_POP" hidden="1">"c11959"</definedName>
    <definedName name="IQ_IMPORTS_GOODS_SERVICES_REAL_SAAR_POP_FC_UNUSED" hidden="1">"c8084"</definedName>
    <definedName name="IQ_IMPORTS_GOODS_SERVICES_REAL_SAAR_POP_UNUSED" hidden="1">"c7204"</definedName>
    <definedName name="IQ_IMPORTS_GOODS_SERVICES_REAL_SAAR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"c789"</definedName>
    <definedName name="IQ_INC_AVAIL_INCL" hidden="1">"c791"</definedName>
    <definedName name="IQ_INC_BEFORE_TAX" hidden="1">"c386"</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ES_FDIC" hidden="1">"c6582"</definedName>
    <definedName name="IQ_INCOME_TAXES_FFIEC" hidden="1">"c13030"</definedName>
    <definedName name="IQ_INCREASE_INT_INCOME_FFIEC" hidden="1">"c13063"</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SECURED_RE_DOM_FFIEC" hidden="1">"c12977"</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ANGIBLES_NET" hidden="1">"c907"</definedName>
    <definedName name="IQ_INTEREST_BEARING_BALANCES_FDIC" hidden="1">"c6371"</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NON" hidden="1">"c619"</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UNUSED" hidden="1">"c7563"</definedName>
    <definedName name="IQ_ISM_SERVICES_FC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UNUSED" hidden="1">"c7123"</definedName>
    <definedName name="IQ_ISM_SERVICES_UNUSED" hidden="1">"c6903"</definedName>
    <definedName name="IQ_ISM_SERVICES_YOY_FC_UNUSED" hidden="1">"c8223"</definedName>
    <definedName name="IQ_ISM_SERVICES_YOY_UNUSED" hidden="1">"c7343"</definedName>
    <definedName name="IQ_ISS_DEBT_NET" hidden="1">"c751"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_MONTHLY_FACTOR" hidden="1">"c8971"</definedName>
    <definedName name="IQ_LATEST_MONTHLY_FACTOR_DATE" hidden="1">"c8972"</definedName>
    <definedName name="IQ_LATESTK" hidden="1">1000</definedName>
    <definedName name="IQ_LATESTQ" hidden="1">500</definedName>
    <definedName name="IQ_LEAD_UNDERWRITER" hidden="1">"c8957"</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ASE_RECEIVABLES_FOREIGN_FFIEC" hidden="1">"c13483"</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"c656"</definedName>
    <definedName name="IQ_LOAN_LOSS_ALLOW_FDIC" hidden="1">"c6326"</definedName>
    <definedName name="IQ_LOAN_LOSS_ALLOWANCE_NON_PERF_ASSETS_FFIEC" hidden="1">"c13912"</definedName>
    <definedName name="IQ_LOAN_LOSS_ALLOWANCE_NONCURRENT_LOANS_FDIC" hidden="1">"c6740"</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GROWTH_DET_EST" hidden="1">"c12060"</definedName>
    <definedName name="IQ_LT_GROWTH_DET_EST_DATE" hidden="1">"c12213"</definedName>
    <definedName name="IQ_LT_GROWTH_DET_EST_DATE_THOM" hidden="1">"c12240"</definedName>
    <definedName name="IQ_LT_GROWTH_DET_EST_INCL" hidden="1">"c12350"</definedName>
    <definedName name="IQ_LT_GROWTH_DET_EST_INCL_THOM" hidden="1">"c12372"</definedName>
    <definedName name="IQ_LT_GROWTH_DET_EST_ORIGIN" hidden="1">"c12725"</definedName>
    <definedName name="IQ_LT_GROWTH_DET_EST_ORIGIN_THOM" hidden="1">"c12610"</definedName>
    <definedName name="IQ_LT_GROWTH_DET_EST_THOM" hidden="1">"c12090"</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"c1304"</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CAPEX_EST" hidden="1">"c4457"</definedName>
    <definedName name="IQ_MAINT_CAPEX_HIGH_EST" hidden="1">"c4460"</definedName>
    <definedName name="IQ_MAINT_CAPEX_LOW_EST" hidden="1">"c4461"</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UNUSED" hidden="1">"c7580"</definedName>
    <definedName name="IQ_MEDIAN_NEW_HOME_SALES_FC_UNUSED" hidden="1">"c7800"</definedName>
    <definedName name="IQ_MEDIAN_NEW_HOME_SALES_POP_FC_UNUSED" hidden="1">"c8020"</definedName>
    <definedName name="IQ_MEDIAN_NEW_HOME_SALES_POP_UNUSED" hidden="1">"c7140"</definedName>
    <definedName name="IQ_MEDIAN_NEW_HOME_SALES_UNUSED" hidden="1">"c6920"</definedName>
    <definedName name="IQ_MEDIAN_NEW_HOME_SALES_YOY_FC_UNUSED" hidden="1">"c8240"</definedName>
    <definedName name="IQ_MEDIAN_NEW_HOME_SALES_YOY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ASSETS_FFIEC" hidden="1">"c12838"</definedName>
    <definedName name="IQ_MORTGAGE_SERVICING_FDIC" hidden="1">"c6335"</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IDENTIAL_LOANS_FDIC" hidden="1">"c6311"</definedName>
    <definedName name="IQ_MUNICIPAL_INVEST_SECURITIES_FFIEC" hidden="1">"c13459"</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V_ACT_OR_EST_THOM" hidden="1">"c5607"</definedName>
    <definedName name="IQ_NAV_DET_EST_CURRENCY_THOM" hidden="1">"c12490"</definedName>
    <definedName name="IQ_NAV_DET_EST_DATE_THOM" hidden="1">"c12241"</definedName>
    <definedName name="IQ_NAV_DET_EST_INCL_THOM" hidden="1">"c12373"</definedName>
    <definedName name="IQ_NAV_DET_EST_ORIGIN_THOM" hidden="1">"c12707"</definedName>
    <definedName name="IQ_NAV_DET_EST_THOM" hidden="1">"c12091"</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SHARE_ACT_OR_EST" hidden="1">"c2225"</definedName>
    <definedName name="IQ_NAV_SHARE_DET_EST_ORIGIN" hidden="1">"c12585"</definedName>
    <definedName name="IQ_NAV_SHARE_DET_EST_ORIGIN_THOM" hidden="1">"c12611"</definedName>
    <definedName name="IQ_NAV_SHARE_EST" hidden="1">"c5609"</definedName>
    <definedName name="IQ_NAV_SHARE_HIGH_EST" hidden="1">"c5612"</definedName>
    <definedName name="IQ_NAV_SHARE_LOW_EST" hidden="1">"c5613"</definedName>
    <definedName name="IQ_NAV_SHARE_MEDIAN_EST" hidden="1">"c5610"</definedName>
    <definedName name="IQ_NAV_SHARE_NUM_EST" hidden="1">"c5614"</definedName>
    <definedName name="IQ_NAV_SHARE_STDDEV_EST" hidden="1">"c5611"</definedName>
    <definedName name="IQ_NAV_STDDEV_EST" hidden="1">"c1756"</definedName>
    <definedName name="IQ_NAV_STDDEV_EST_THOM" hidden="1">"c5603"</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THOM" hidden="1">"c5309"</definedName>
    <definedName name="IQ_NET_DEBT_DET_EST" hidden="1">"c12061"</definedName>
    <definedName name="IQ_NET_DEBT_DET_EST_CURRENCY" hidden="1">"c12468"</definedName>
    <definedName name="IQ_NET_DEBT_DET_EST_CURRENCY_THOM" hidden="1">"c12491"</definedName>
    <definedName name="IQ_NET_DEBT_DET_EST_DATE" hidden="1">"c12214"</definedName>
    <definedName name="IQ_NET_DEBT_DET_EST_DATE_THOM" hidden="1">"c12242"</definedName>
    <definedName name="IQ_NET_DEBT_DET_EST_INCL" hidden="1">"c12351"</definedName>
    <definedName name="IQ_NET_DEBT_DET_EST_INCL_THOM" hidden="1">"c12374"</definedName>
    <definedName name="IQ_NET_DEBT_DET_EST_ORIGIN" hidden="1">"c12586"</definedName>
    <definedName name="IQ_NET_DEBT_DET_EST_ORIGIN_THOM" hidden="1">"c12612"</definedName>
    <definedName name="IQ_NET_DEBT_DET_EST_THOM" hidden="1">"c12092"</definedName>
    <definedName name="IQ_NET_DEBT_EBITDA" hidden="1">"c750"</definedName>
    <definedName name="IQ_NET_DEBT_EBITDA_CAPEX" hidden="1">"c2949"</definedName>
    <definedName name="IQ_NET_DEBT_EST" hidden="1">"c3517"</definedName>
    <definedName name="IQ_NET_DEBT_EST_THOM" hidden="1">"c4027"</definedName>
    <definedName name="IQ_NET_DEBT_HIGH_EST" hidden="1">"c3518"</definedName>
    <definedName name="IQ_NET_DEBT_HIGH_EST_THOM" hidden="1">"c4029"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THOM" hidden="1">"c4030"</definedName>
    <definedName name="IQ_NET_DEBT_MEDIAN_EST" hidden="1">"c3520"</definedName>
    <definedName name="IQ_NET_DEBT_MEDIAN_EST_THOM" hidden="1">"c4028"</definedName>
    <definedName name="IQ_NET_DEBT_NUM_EST" hidden="1">"c3515"</definedName>
    <definedName name="IQ_NET_DEBT_NUM_EST_THOM" hidden="1">"c4031"</definedName>
    <definedName name="IQ_NET_DEBT_STDDEV_EST" hidden="1">"c3516"</definedName>
    <definedName name="IQ_NET_DEBT_STDDEV_EST_THOM" hidden="1">"c4032"</definedName>
    <definedName name="IQ_NET_EARNED" hidden="1">"c2734"</definedName>
    <definedName name="IQ_NET_FUNDS_PURCHASED_ASSETS_TOT_FFIEC" hidden="1">"c13448"</definedName>
    <definedName name="IQ_NET_INC" hidden="1">"c781"</definedName>
    <definedName name="IQ_NET_INC_BEFORE" hidden="1">"c344"</definedName>
    <definedName name="IQ_NET_INC_CF" hidden="1">"c793"</definedName>
    <definedName name="IQ_NET_INC_MARGIN" hidden="1">"c794"</definedName>
    <definedName name="IQ_NET_INCOME_FDIC" hidden="1">"c6587"</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DET_EST" hidden="1">"c12062"</definedName>
    <definedName name="IQ_NI_DET_EST_CURRENCY" hidden="1">"c12469"</definedName>
    <definedName name="IQ_NI_DET_EST_CURRENCY_THOM" hidden="1">"c12492"</definedName>
    <definedName name="IQ_NI_DET_EST_DATE" hidden="1">"c12215"</definedName>
    <definedName name="IQ_NI_DET_EST_DATE_THOM" hidden="1">"c12243"</definedName>
    <definedName name="IQ_NI_DET_EST_INCL" hidden="1">"c12352"</definedName>
    <definedName name="IQ_NI_DET_EST_INCL_THOM" hidden="1">"c12375"</definedName>
    <definedName name="IQ_NI_DET_EST_ORIGIN" hidden="1">"c12587"</definedName>
    <definedName name="IQ_NI_DET_EST_ORIGIN_THOM" hidden="1">"c12613"</definedName>
    <definedName name="IQ_NI_DET_EST_THOM" hidden="1">"c12093"</definedName>
    <definedName name="IQ_NI_EST" hidden="1">"c1716"</definedName>
    <definedName name="IQ_NI_EST_THOM" hidden="1">"c5126"</definedName>
    <definedName name="IQ_NI_FFIEC" hidden="1">"c13034"</definedName>
    <definedName name="IQ_NI_GW_DET_EST" hidden="1">"c12063"</definedName>
    <definedName name="IQ_NI_GW_DET_EST_CURRENCY" hidden="1">"c12470"</definedName>
    <definedName name="IQ_NI_GW_DET_EST_DATE" hidden="1">"c12216"</definedName>
    <definedName name="IQ_NI_GW_DET_EST_INCL" hidden="1">"c12353"</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HIGH_EST_THOM" hidden="1">"c5128"</definedName>
    <definedName name="IQ_NI_LOW_EST" hidden="1">"c1719"</definedName>
    <definedName name="IQ_NI_LOW_EST_THOM" hidden="1">"c5129"</definedName>
    <definedName name="IQ_NI_MARGIN" hidden="1">"c794"</definedName>
    <definedName name="IQ_NI_MEDIAN_EST" hidden="1">"c1717"</definedName>
    <definedName name="IQ_NI_MEDIAN_EST_THOM" hidden="1">"c5127"</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THOM" hidden="1">"c5130"</definedName>
    <definedName name="IQ_NI_REPORTED_DET_EST_ORIGIN" hidden="1">"c12588"</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ACT_OR_EST_CIQ" hidden="1">"c5012"</definedName>
    <definedName name="IQ_NI_SBC_EST" hidden="1">"c4473"</definedName>
    <definedName name="IQ_NI_SBC_GW_ACT_OR_EST" hidden="1">"c4478"</definedName>
    <definedName name="IQ_NI_SBC_GW_ACT_OR_EST_CIQ" hidden="1">"c5016"</definedName>
    <definedName name="IQ_NI_SBC_GW_EST" hidden="1">"c4477"</definedName>
    <definedName name="IQ_NI_SBC_GW_HIGH_EST" hidden="1">"c4480"</definedName>
    <definedName name="IQ_NI_SBC_GW_LOW_EST" hidden="1">"c4481"</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LOW_EST" hidden="1">"c4487"</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LOANS" hidden="1">"c796"</definedName>
    <definedName name="IQ_NON_CASH" hidden="1">"c797"</definedName>
    <definedName name="IQ_NON_CASH_ITEMS" hidden="1">"c797"</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FFIEC" hidden="1">"c13017"</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UNUSED" hidden="1">"c7588"</definedName>
    <definedName name="IQ_NONRES_FIXED_INVEST_PRIV_FC_UNUSED" hidden="1">"c7808"</definedName>
    <definedName name="IQ_NONRES_FIXED_INVEST_PRIV_POP_FC_UNUSED" hidden="1">"c8028"</definedName>
    <definedName name="IQ_NONRES_FIXED_INVEST_PRIV_POP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"c1176"</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ACT_OR_EST_THOM" hidden="1">"c5304"</definedName>
    <definedName name="IQ_OPER_INC_BR" hidden="1">"c850"</definedName>
    <definedName name="IQ_OPER_INC_DET_EST" hidden="1">"c12064"</definedName>
    <definedName name="IQ_OPER_INC_DET_EST_CURRENCY" hidden="1">"c12471"</definedName>
    <definedName name="IQ_OPER_INC_DET_EST_CURRENCY_THOM" hidden="1">"c12494"</definedName>
    <definedName name="IQ_OPER_INC_DET_EST_DATE" hidden="1">"c12217"</definedName>
    <definedName name="IQ_OPER_INC_DET_EST_DATE_THOM" hidden="1">"c12245"</definedName>
    <definedName name="IQ_OPER_INC_DET_EST_INCL" hidden="1">"c12354"</definedName>
    <definedName name="IQ_OPER_INC_DET_EST_INCL_THOM" hidden="1">"c12377"</definedName>
    <definedName name="IQ_OPER_INC_DET_EST_ORIGIN" hidden="1">"c12589"</definedName>
    <definedName name="IQ_OPER_INC_DET_EST_ORIGIN_THOM" hidden="1">"c12615"</definedName>
    <definedName name="IQ_OPER_INC_DET_EST_THOM" hidden="1">"c12095"</definedName>
    <definedName name="IQ_OPER_INC_EST" hidden="1">"c1688"</definedName>
    <definedName name="IQ_OPER_INC_EST_THOM" hidden="1">"c5112"</definedName>
    <definedName name="IQ_OPER_INC_FIN" hidden="1">"c851"</definedName>
    <definedName name="IQ_OPER_INC_HIGH_EST" hidden="1">"c1690"</definedName>
    <definedName name="IQ_OPER_INC_HIGH_EST_THOM" hidden="1">"c5114"</definedName>
    <definedName name="IQ_OPER_INC_INS" hidden="1">"c852"</definedName>
    <definedName name="IQ_OPER_INC_LOW_EST" hidden="1">"c1691"</definedName>
    <definedName name="IQ_OPER_INC_LOW_EST_THOM" hidden="1">"c5115"</definedName>
    <definedName name="IQ_OPER_INC_MARGIN" hidden="1">"c362"</definedName>
    <definedName name="IQ_OPER_INC_MEDIAN_EST" hidden="1">"c1689"</definedName>
    <definedName name="IQ_OPER_INC_MEDIAN_EST_THOM" hidden="1">"c5113"</definedName>
    <definedName name="IQ_OPER_INC_NUM_EST" hidden="1">"c1692"</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THOM" hidden="1">"c5117"</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FIEC" hidden="1">"c12862"</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"c868"</definedName>
    <definedName name="IQ_OTHER_CURRENT_LIAB" hidden="1">"c877"</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RIVATIVES_BENEFICIARY_FFIEC" hidden="1">"c13122"</definedName>
    <definedName name="IQ_OTHER_DERIVATIVES_GUARANTOR_FFIEC" hidden="1">"c13115"</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RADING_DOM_FFIEC" hidden="1">"c12936"</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NET" hidden="1">"c959"</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"c1010"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AX_EQUIVALENT_ADJUSTMENTS_FFIEC" hidden="1">"c13855"</definedName>
    <definedName name="IQ_OTHER_TRADING_ASSETS_FFIEC" hidden="1">"c12826"</definedName>
    <definedName name="IQ_OTHER_TRADING_ASSETS_TOTAL_FFIEC" hidden="1">"c12937"</definedName>
    <definedName name="IQ_OTHER_TRADING_LIABILITIES_FFIEC" hidden="1">"c12860"</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"c1022"</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"c8"</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EXCL_FWD_THOM" hidden="1">"c4056"</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G_FWD_THOM" hidden="1">"c4059"</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THOM" hidden="1">"c5277"</definedName>
    <definedName name="IQ_PERCENT_CHANGE_EST_CFPS_12MONTHS" hidden="1">"c1812"</definedName>
    <definedName name="IQ_PERCENT_CHANGE_EST_CFPS_12MONTHS_THOM" hidden="1">"c5234"</definedName>
    <definedName name="IQ_PERCENT_CHANGE_EST_CFPS_18MONTHS" hidden="1">"c1813"</definedName>
    <definedName name="IQ_PERCENT_CHANGE_EST_CFPS_18MONTHS_THOM" hidden="1">"c5235"</definedName>
    <definedName name="IQ_PERCENT_CHANGE_EST_CFPS_3MONTHS" hidden="1">"c1809"</definedName>
    <definedName name="IQ_PERCENT_CHANGE_EST_CFPS_3MONTHS_THOM" hidden="1">"c5231"</definedName>
    <definedName name="IQ_PERCENT_CHANGE_EST_CFPS_6MONTHS" hidden="1">"c1810"</definedName>
    <definedName name="IQ_PERCENT_CHANGE_EST_CFPS_6MONTHS_THOM" hidden="1">"c5232"</definedName>
    <definedName name="IQ_PERCENT_CHANGE_EST_CFPS_9MONTHS" hidden="1">"c1811"</definedName>
    <definedName name="IQ_PERCENT_CHANGE_EST_CFPS_9MONTHS_THOM" hidden="1">"c5233"</definedName>
    <definedName name="IQ_PERCENT_CHANGE_EST_CFPS_DAY" hidden="1">"c1806"</definedName>
    <definedName name="IQ_PERCENT_CHANGE_EST_CFPS_DAY_THOM" hidden="1">"c5229"</definedName>
    <definedName name="IQ_PERCENT_CHANGE_EST_CFPS_MONTH" hidden="1">"c1808"</definedName>
    <definedName name="IQ_PERCENT_CHANGE_EST_CFPS_MONTH_THOM" hidden="1">"c5230"</definedName>
    <definedName name="IQ_PERCENT_CHANGE_EST_CFPS_WEEK" hidden="1">"c1807"</definedName>
    <definedName name="IQ_PERCENT_CHANGE_EST_CFPS_WEEK_THOM" hidden="1">"c5272"</definedName>
    <definedName name="IQ_PERCENT_CHANGE_EST_DPS_12MONTHS" hidden="1">"c1820"</definedName>
    <definedName name="IQ_PERCENT_CHANGE_EST_DPS_12MONTHS_THOM" hidden="1">"c5241"</definedName>
    <definedName name="IQ_PERCENT_CHANGE_EST_DPS_18MONTHS" hidden="1">"c1821"</definedName>
    <definedName name="IQ_PERCENT_CHANGE_EST_DPS_18MONTHS_THOM" hidden="1">"c5242"</definedName>
    <definedName name="IQ_PERCENT_CHANGE_EST_DPS_3MONTHS" hidden="1">"c1817"</definedName>
    <definedName name="IQ_PERCENT_CHANGE_EST_DPS_3MONTHS_THOM" hidden="1">"c5238"</definedName>
    <definedName name="IQ_PERCENT_CHANGE_EST_DPS_6MONTHS" hidden="1">"c1818"</definedName>
    <definedName name="IQ_PERCENT_CHANGE_EST_DPS_6MONTHS_THOM" hidden="1">"c5239"</definedName>
    <definedName name="IQ_PERCENT_CHANGE_EST_DPS_9MONTHS" hidden="1">"c1819"</definedName>
    <definedName name="IQ_PERCENT_CHANGE_EST_DPS_9MONTHS_THOM" hidden="1">"c5240"</definedName>
    <definedName name="IQ_PERCENT_CHANGE_EST_DPS_DAY" hidden="1">"c1814"</definedName>
    <definedName name="IQ_PERCENT_CHANGE_EST_DPS_DAY_THOM" hidden="1">"c5236"</definedName>
    <definedName name="IQ_PERCENT_CHANGE_EST_DPS_MONTH" hidden="1">"c1816"</definedName>
    <definedName name="IQ_PERCENT_CHANGE_EST_DPS_MONTH_THOM" hidden="1">"c5237"</definedName>
    <definedName name="IQ_PERCENT_CHANGE_EST_DPS_WEEK" hidden="1">"c1815"</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THOM" hidden="1">"c5207"</definedName>
    <definedName name="IQ_PERCENT_CHANGE_EST_FFO_SHARE_12MONTHS" hidden="1">"c1828"</definedName>
    <definedName name="IQ_PERCENT_CHANGE_EST_FFO_SHARE_12MONTHS_THOM" hidden="1">"c5248"</definedName>
    <definedName name="IQ_PERCENT_CHANGE_EST_FFO_SHARE_18MONTHS" hidden="1">"c1829"</definedName>
    <definedName name="IQ_PERCENT_CHANGE_EST_FFO_SHARE_18MONTHS_THOM" hidden="1">"c5249"</definedName>
    <definedName name="IQ_PERCENT_CHANGE_EST_FFO_SHARE_3MONTHS" hidden="1">"c1825"</definedName>
    <definedName name="IQ_PERCENT_CHANGE_EST_FFO_SHARE_3MONTHS_THOM" hidden="1">"c5245"</definedName>
    <definedName name="IQ_PERCENT_CHANGE_EST_FFO_SHARE_6MONTHS" hidden="1">"c1826"</definedName>
    <definedName name="IQ_PERCENT_CHANGE_EST_FFO_SHARE_6MONTHS_THOM" hidden="1">"c5246"</definedName>
    <definedName name="IQ_PERCENT_CHANGE_EST_FFO_SHARE_9MONTHS" hidden="1">"c1827"</definedName>
    <definedName name="IQ_PERCENT_CHANGE_EST_FFO_SHARE_9MONTHS_THOM" hidden="1">"c5247"</definedName>
    <definedName name="IQ_PERCENT_CHANGE_EST_FFO_SHARE_DAY" hidden="1">"c1822"</definedName>
    <definedName name="IQ_PERCENT_CHANGE_EST_FFO_SHARE_DAY_THOM" hidden="1">"c5243"</definedName>
    <definedName name="IQ_PERCENT_CHANGE_EST_FFO_SHARE_MONTH" hidden="1">"c1824"</definedName>
    <definedName name="IQ_PERCENT_CHANGE_EST_FFO_SHARE_MONTH_THOM" hidden="1">"c5244"</definedName>
    <definedName name="IQ_PERCENT_CHANGE_EST_FFO_SHARE_WEEK" hidden="1">"c1823"</definedName>
    <definedName name="IQ_PERCENT_CHANGE_EST_FFO_SHARE_WEEK_THOM" hidden="1">"c5274"</definedName>
    <definedName name="IQ_PERCENT_CHANGE_EST_PRICE_TARGET_12MONTHS" hidden="1">"c1844"</definedName>
    <definedName name="IQ_PERCENT_CHANGE_EST_PRICE_TARGET_12MONTHS_CIQ" hidden="1">"c3783"</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THOM" hidden="1">"c5215"</definedName>
    <definedName name="IQ_PERCENT_INSURED_FDIC" hidden="1">"c6374"</definedName>
    <definedName name="IQ_PERFORMANCE_LOC_FOREIGN_GUARANTEES_FFIEC" hidden="1">"c13251"</definedName>
    <definedName name="IQ_PERIODDATE" hidden="1">"c1034"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"c1052"</definedName>
    <definedName name="IQ_PREF_STOCK_FFIEC" hidden="1">"c12875"</definedName>
    <definedName name="IQ_PREF_TOT" hidden="1">"c1044"</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"c1068"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DET_EST" hidden="1">"c12055"</definedName>
    <definedName name="IQ_PRETAX_INC_DET_EST_CURRENCY" hidden="1">"c12462"</definedName>
    <definedName name="IQ_PRETAX_INC_DET_EST_CURRENCY_THOM" hidden="1">"c12483"</definedName>
    <definedName name="IQ_PRETAX_INC_DET_EST_DATE" hidden="1">"c12208"</definedName>
    <definedName name="IQ_PRETAX_INC_DET_EST_DATE_THOM" hidden="1">"c12234"</definedName>
    <definedName name="IQ_PRETAX_INC_DET_EST_INCL" hidden="1">"c12345"</definedName>
    <definedName name="IQ_PRETAX_INC_DET_EST_INCL_THOM" hidden="1">"c12366"</definedName>
    <definedName name="IQ_PRETAX_INC_DET_EST_ORIGIN" hidden="1">"c12771"</definedName>
    <definedName name="IQ_PRETAX_INC_DET_EST_ORIGIN_THOM" hidden="1">"c12604"</definedName>
    <definedName name="IQ_PRETAX_INC_DET_EST_THOM" hidden="1">"c12084"</definedName>
    <definedName name="IQ_PRETAX_INC_EST" hidden="1">"c1695"</definedName>
    <definedName name="IQ_PRETAX_INC_EST_THOM" hidden="1">"c5119"</definedName>
    <definedName name="IQ_PRETAX_INC_HIGH_EST" hidden="1">"c1697"</definedName>
    <definedName name="IQ_PRETAX_INC_HIGH_EST_THOM" hidden="1">"c5121"</definedName>
    <definedName name="IQ_PRETAX_INC_LOW_EST" hidden="1">"c1698"</definedName>
    <definedName name="IQ_PRETAX_INC_LOW_EST_THOM" hidden="1">"c5122"</definedName>
    <definedName name="IQ_PRETAX_INC_MEDIAN_EST" hidden="1">"c1696"</definedName>
    <definedName name="IQ_PRETAX_INC_MEDIAN_EST_THOM" hidden="1">"c5120"</definedName>
    <definedName name="IQ_PRETAX_INC_NUM_EST" hidden="1">"c1699"</definedName>
    <definedName name="IQ_PRETAX_INC_NUM_EST_THOM" hidden="1">"c5123"</definedName>
    <definedName name="IQ_PRETAX_INC_STDDEV_EST" hidden="1">"c1700"</definedName>
    <definedName name="IQ_PRETAX_INC_STDDEV_EST_THOM" hidden="1">"c5124"</definedName>
    <definedName name="IQ_PRETAX_OPERATING_INC_AVG_ASSETS_FFIEC" hidden="1">"c13365"</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CFPS_FWD_THOM" hidden="1">"c4060"</definedName>
    <definedName name="IQ_PRICE_OVER_BVPS" hidden="1">"c1026"</definedName>
    <definedName name="IQ_PRICE_OVER_LTM_EPS" hidden="1">"c1029"</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 hidden="1">"c5486"</definedName>
    <definedName name="IQ_PRICE_TARGET_BOTTOM_UP_CIQ" hidden="1">"c12023"</definedName>
    <definedName name="IQ_PRICE_TARGET_CIQ" hidden="1">"c3613"</definedName>
    <definedName name="IQ_PRICE_TARGET_REUT" hidden="1">"c3631"</definedName>
    <definedName name="IQ_PRICE_TARGET_THOM" hidden="1">"c3649"</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ING_DATE" hidden="1">"c1613"</definedName>
    <definedName name="IQ_PRIMARY_EPS_TYPE" hidden="1">"c4498"</definedName>
    <definedName name="IQ_PRIMARY_INDUSTRY" hidden="1">"c1070"</definedName>
    <definedName name="IQ_PRINCIPAL_AMT" hidden="1">"c2157"</definedName>
    <definedName name="IQ_PRIVATE_CONST_TOTAL_APR_FC_UNUSED" hidden="1">"c8559"</definedName>
    <definedName name="IQ_PRIVATE_CONST_TOTAL_APR_UNUSED" hidden="1">"c7679"</definedName>
    <definedName name="IQ_PRIVATE_CONST_TOTAL_FC_UNUSED" hidden="1">"c7899"</definedName>
    <definedName name="IQ_PRIVATE_CONST_TOTAL_POP_FC_UNUSED" hidden="1">"c8119"</definedName>
    <definedName name="IQ_PRIVATE_CONST_TOTAL_POP_UNUSED" hidden="1">"c7239"</definedName>
    <definedName name="IQ_PRIVATE_CONST_TOTAL_UNUSED" hidden="1">"c7019"</definedName>
    <definedName name="IQ_PRIVATE_CONST_TOTAL_YOY_FC_UNUSED" hidden="1">"c8339"</definedName>
    <definedName name="IQ_PRIVATE_CONST_TOTAL_YOY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UNUSED" hidden="1">"c7655"</definedName>
    <definedName name="IQ_PRIVATE_RES_CONST_REAL_FC_UNUSED" hidden="1">"c7875"</definedName>
    <definedName name="IQ_PRIVATE_RES_CONST_REAL_POP_FC_UNUSED" hidden="1">"c8095"</definedName>
    <definedName name="IQ_PRIVATE_RES_CONST_REAL_POP_UNUSED" hidden="1">"c7215"</definedName>
    <definedName name="IQ_PRIVATE_RES_CONST_REAL_UNUSED" hidden="1">"c6995"</definedName>
    <definedName name="IQ_PRIVATE_RES_CONST_REAL_YOY_FC_UNUSED" hidden="1">"c8315"</definedName>
    <definedName name="IQ_PRIVATE_RES_CONST_REAL_YOY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"c795"</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ID" hidden="1">"c13755"</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ROVISION_LL_FFIEC" hidden="1">"c13019"</definedName>
    <definedName name="IQ_PROVISION_LOSSES_AVG_ASSETS_FFIEC" hidden="1">"c13362"</definedName>
    <definedName name="IQ_PROVISION_LOSSES_AVG_LOANS_FFIEC" hidden="1">"c13470"</definedName>
    <definedName name="IQ_PROVISION_LOSSES_NET_LOSSES_FFIEC" hidden="1">"c13471"</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UNUSED" hidden="1">"c7611"</definedName>
    <definedName name="IQ_PURCHASES_EQUIP_NONRES_SAAR_FC_UNUSED" hidden="1">"c7831"</definedName>
    <definedName name="IQ_PURCHASES_EQUIP_NONRES_SAAR_POP_FC_UNUSED" hidden="1">"c8051"</definedName>
    <definedName name="IQ_PURCHASES_EQUIP_NONRES_SAAR_POP_UNUSED" hidden="1">"c7171"</definedName>
    <definedName name="IQ_PURCHASES_EQUIP_NONRES_SAAR_UNUSED" hidden="1">"c6951"</definedName>
    <definedName name="IQ_PURCHASES_EQUIP_NONRES_SAAR_YOY_FC_UNUSED" hidden="1">"c8271"</definedName>
    <definedName name="IQ_PURCHASES_EQUIP_NONRES_SAAR_YOY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DEPR_AMORT" hidden="1">"c8750"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EST" hidden="1">"c4499"</definedName>
    <definedName name="IQ_RECURRING_PROFIT_HIGH_EST" hidden="1">"c4501"</definedName>
    <definedName name="IQ_RECURRING_PROFIT_LOW_EST" hidden="1">"c4502"</definedName>
    <definedName name="IQ_RECURRING_PROFIT_MEDIAN_EST" hidden="1">"c4503"</definedName>
    <definedName name="IQ_RECURRING_PROFIT_NUM_EST" hidden="1">"c4504"</definedName>
    <definedName name="IQ_RECURRING_PROFIT_SHARE_ACT_OR_EST" hidden="1">"c4508"</definedName>
    <definedName name="IQ_RECURRING_PROFIT_SHARE_ACT_OR_EST_CIQ" hidden="1">"c5046"</definedName>
    <definedName name="IQ_RECURRING_PROFIT_SHARE_EST" hidden="1">"c4506"</definedName>
    <definedName name="IQ_RECURRING_PROFIT_SHARE_HIGH_EST" hidden="1">"c4510"</definedName>
    <definedName name="IQ_RECURRING_PROFIT_SHARE_LOW_EST" hidden="1">"c4511"</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"c1059"</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REV" hidden="1">"c1101"</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UNUSED" hidden="1">"c7656"</definedName>
    <definedName name="IQ_RES_CONST_REAL_FC_UNUSED" hidden="1">"c7876"</definedName>
    <definedName name="IQ_RES_CONST_REAL_POP_FC_UNUSED" hidden="1">"c8096"</definedName>
    <definedName name="IQ_RES_CONST_REAL_POP_UNUSED" hidden="1">"c7216"</definedName>
    <definedName name="IQ_RES_CONST_REAL_SAAR_APR_FC_UNUSED" hidden="1">"c8537"</definedName>
    <definedName name="IQ_RES_CONST_REAL_SAAR_APR_UNUSED" hidden="1">"c7657"</definedName>
    <definedName name="IQ_RES_CONST_REAL_SAAR_FC_UNUSED" hidden="1">"c7877"</definedName>
    <definedName name="IQ_RES_CONST_REAL_SAAR_POP_FC_UNUSED" hidden="1">"c8097"</definedName>
    <definedName name="IQ_RES_CONST_REAL_SAAR_POP_UNUSED" hidden="1">"c7217"</definedName>
    <definedName name="IQ_RES_CONST_REAL_SAAR_UNUSED" hidden="1">"c6997"</definedName>
    <definedName name="IQ_RES_CONST_REAL_SAAR_YOY_FC_UNUSED" hidden="1">"c8317"</definedName>
    <definedName name="IQ_RES_CONST_REAL_SAAR_YOY_UNUSED" hidden="1">"c7437"</definedName>
    <definedName name="IQ_RES_CONST_REAL_UNUSED" hidden="1">"c6996"</definedName>
    <definedName name="IQ_RES_CONST_REAL_YOY_FC_UNUSED" hidden="1">"c8316"</definedName>
    <definedName name="IQ_RES_CONST_REAL_YOY_UNUSED" hidden="1">"c7436"</definedName>
    <definedName name="IQ_RES_CONST_SAAR_APR_FC_UNUSED" hidden="1">"c8540"</definedName>
    <definedName name="IQ_RES_CONST_SAAR_APR_UNUSED" hidden="1">"c7660"</definedName>
    <definedName name="IQ_RES_CONST_SAAR_FC_UNUSED" hidden="1">"c7880"</definedName>
    <definedName name="IQ_RES_CONST_SAAR_POP_FC_UNUSED" hidden="1">"c8100"</definedName>
    <definedName name="IQ_RES_CONST_SAAR_POP_UNUSED" hidden="1">"c7220"</definedName>
    <definedName name="IQ_RES_CONST_SAAR_UNUSED" hidden="1">"c7000"</definedName>
    <definedName name="IQ_RES_CONST_SAAR_YOY_FC_UNUSED" hidden="1">"c8320"</definedName>
    <definedName name="IQ_RES_CONST_SAAR_YOY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"c1090"</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"c2903"</definedName>
    <definedName name="IQ_RETAIL_ACQUIRED_OWNED_STORES" hidden="1">"c2895"</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"c1092"</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ACT_OR_EST" hidden="1">"c3585"</definedName>
    <definedName name="IQ_RETURN_ASSETS_ACT_OR_EST_THOM" hidden="1">"c5310"</definedName>
    <definedName name="IQ_RETURN_ASSETS_BANK" hidden="1">"c1114"</definedName>
    <definedName name="IQ_RETURN_ASSETS_BROK" hidden="1">"c1115"</definedName>
    <definedName name="IQ_RETURN_ASSETS_DET_EST" hidden="1">"c12066"</definedName>
    <definedName name="IQ_RETURN_ASSETS_DET_EST_DATE" hidden="1">"c12219"</definedName>
    <definedName name="IQ_RETURN_ASSETS_DET_EST_DATE_THOM" hidden="1">"c12247"</definedName>
    <definedName name="IQ_RETURN_ASSETS_DET_EST_INCL" hidden="1">"c12356"</definedName>
    <definedName name="IQ_RETURN_ASSETS_DET_EST_INCL_THOM" hidden="1">"c12379"</definedName>
    <definedName name="IQ_RETURN_ASSETS_DET_EST_ORIGIN" hidden="1">"c12591"</definedName>
    <definedName name="IQ_RETURN_ASSETS_DET_EST_ORIGIN_THOM" hidden="1">"c12617"</definedName>
    <definedName name="IQ_RETURN_ASSETS_DET_EST_THOM" hidden="1">"c12097"</definedName>
    <definedName name="IQ_RETURN_ASSETS_EST" hidden="1">"c3529"</definedName>
    <definedName name="IQ_RETURN_ASSETS_EST_THOM" hidden="1">"c4034"</definedName>
    <definedName name="IQ_RETURN_ASSETS_FDIC" hidden="1">"c6730"</definedName>
    <definedName name="IQ_RETURN_ASSETS_FS" hidden="1">"c1116"</definedName>
    <definedName name="IQ_RETURN_ASSETS_HIGH_EST" hidden="1">"c3530"</definedName>
    <definedName name="IQ_RETURN_ASSETS_HIGH_EST_THOM" hidden="1">"c4036"</definedName>
    <definedName name="IQ_RETURN_ASSETS_LOW_EST" hidden="1">"c3531"</definedName>
    <definedName name="IQ_RETURN_ASSETS_LOW_EST_THOM" hidden="1">"c4037"</definedName>
    <definedName name="IQ_RETURN_ASSETS_MEDIAN_EST" hidden="1">"c3532"</definedName>
    <definedName name="IQ_RETURN_ASSETS_MEDIAN_EST_THOM" hidden="1">"c4035"</definedName>
    <definedName name="IQ_RETURN_ASSETS_NUM_EST" hidden="1">"c3527"</definedName>
    <definedName name="IQ_RETURN_ASSETS_NUM_EST_THOM" hidden="1">"c4038"</definedName>
    <definedName name="IQ_RETURN_ASSETS_STDDEV_EST" hidden="1">"c3528"</definedName>
    <definedName name="IQ_RETURN_ASSETS_STDDEV_EST_THOM" hidden="1">"c4039"</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 hidden="1">"c3586"</definedName>
    <definedName name="IQ_RETURN_EQUITY_ACT_OR_EST_THOM" hidden="1">"c5311"</definedName>
    <definedName name="IQ_RETURN_EQUITY_BANK" hidden="1">"c1119"</definedName>
    <definedName name="IQ_RETURN_EQUITY_BROK" hidden="1">"c1120"</definedName>
    <definedName name="IQ_RETURN_EQUITY_DET_EST" hidden="1">"c12067"</definedName>
    <definedName name="IQ_RETURN_EQUITY_DET_EST_DATE" hidden="1">"c12220"</definedName>
    <definedName name="IQ_RETURN_EQUITY_DET_EST_DATE_THOM" hidden="1">"c12248"</definedName>
    <definedName name="IQ_RETURN_EQUITY_DET_EST_INCL" hidden="1">"c12357"</definedName>
    <definedName name="IQ_RETURN_EQUITY_DET_EST_INCL_THOM" hidden="1">"c12380"</definedName>
    <definedName name="IQ_RETURN_EQUITY_DET_EST_ORIGIN" hidden="1">"c12592"</definedName>
    <definedName name="IQ_RETURN_EQUITY_DET_EST_ORIGIN_THOM" hidden="1">"c12618"</definedName>
    <definedName name="IQ_RETURN_EQUITY_DET_EST_THOM" hidden="1">"c12098"</definedName>
    <definedName name="IQ_RETURN_EQUITY_EST" hidden="1">"c3535"</definedName>
    <definedName name="IQ_RETURN_EQUITY_EST_THOM" hidden="1">"c5479"</definedName>
    <definedName name="IQ_RETURN_EQUITY_FDIC" hidden="1">"c6732"</definedName>
    <definedName name="IQ_RETURN_EQUITY_FS" hidden="1">"c1121"</definedName>
    <definedName name="IQ_RETURN_EQUITY_HIGH_EST" hidden="1">"c3536"</definedName>
    <definedName name="IQ_RETURN_EQUITY_HIGH_EST_THOM" hidden="1">"c5283"</definedName>
    <definedName name="IQ_RETURN_EQUITY_LOW_EST" hidden="1">"c3537"</definedName>
    <definedName name="IQ_RETURN_EQUITY_LOW_EST_THOM" hidden="1">"c5284"</definedName>
    <definedName name="IQ_RETURN_EQUITY_MEDIAN_EST" hidden="1">"c3538"</definedName>
    <definedName name="IQ_RETURN_EQUITY_MEDIAN_EST_THOM" hidden="1">"c5282"</definedName>
    <definedName name="IQ_RETURN_EQUITY_NUM_EST" hidden="1">"c3533"</definedName>
    <definedName name="IQ_RETURN_EQUITY_NUM_EST_THOM" hidden="1">"c5285"</definedName>
    <definedName name="IQ_RETURN_EQUITY_STDDEV_EST" hidden="1">"c3534"</definedName>
    <definedName name="IQ_RETURN_EQUITY_STDDEV_EST_THOM" hidden="1">"c5286"</definedName>
    <definedName name="IQ_RETURN_INVESTMENT" hidden="1">"c1117"</definedName>
    <definedName name="IQ_REV" hidden="1">"c1122"</definedName>
    <definedName name="IQ_REV_AP" hidden="1">"c8873"</definedName>
    <definedName name="IQ_REV_AP_ABS" hidden="1">"c8892"</definedName>
    <definedName name="IQ_REV_BEFORE_LL" hidden="1">"c1123"</definedName>
    <definedName name="IQ_REV_DET_EST" hidden="1">"c12065"</definedName>
    <definedName name="IQ_REV_DET_EST_CURRENCY" hidden="1">"c12472"</definedName>
    <definedName name="IQ_REV_DET_EST_CURRENCY_THOM" hidden="1">"c12495"</definedName>
    <definedName name="IQ_REV_DET_EST_DATE" hidden="1">"c12218"</definedName>
    <definedName name="IQ_REV_DET_EST_DATE_THOM" hidden="1">"c12246"</definedName>
    <definedName name="IQ_REV_DET_EST_INCL" hidden="1">"c12355"</definedName>
    <definedName name="IQ_REV_DET_EST_INCL_THOM" hidden="1">"c12378"</definedName>
    <definedName name="IQ_REV_DET_EST_ORIGIN" hidden="1">"c12590"</definedName>
    <definedName name="IQ_REV_DET_EST_ORIGIN_THOM" hidden="1">"c12616"</definedName>
    <definedName name="IQ_REV_DET_EST_THOM" hidden="1">"c12096"</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ENUE" hidden="1">"c1122"</definedName>
    <definedName name="IQ_REVENUE_ACT_OR_EST" hidden="1">"c2214"</definedName>
    <definedName name="IQ_REVENUE_ACT_OR_EST_CIQ" hidden="1">"c5059"</definedName>
    <definedName name="IQ_REVENUE_ACT_OR_EST_THOM" hidden="1">"c5299"</definedName>
    <definedName name="IQ_REVENUE_BEFORE_LL_FFIEC" hidden="1">"c13018"</definedName>
    <definedName name="IQ_REVENUE_EST" hidden="1">"c1126"</definedName>
    <definedName name="IQ_REVENUE_EST_BOTTOM_UP" hidden="1">"c5488"</definedName>
    <definedName name="IQ_REVENUE_EST_BOTTOM_UP_CIQ" hidden="1">"c12025"</definedName>
    <definedName name="IQ_REVENUE_EST_CIQ" hidden="1">"c3616"</definedName>
    <definedName name="IQ_REVENUE_EST_REUT" hidden="1">"c3634"</definedName>
    <definedName name="IQ_REVENUE_EST_THOM" hidden="1">"c3652"</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ISION_DATE_" hidden="1">39244.4711574074</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Y" hidden="1">"c1130"</definedName>
    <definedName name="IQ_SALARY_FDIC" hidden="1">"c6576"</definedName>
    <definedName name="IQ_SALE_COMMON_GROSS_FFIEC" hidden="1">"c12963"</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"c83"</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POSITIONS_FFIEC" hidden="1">"c12859"</definedName>
    <definedName name="IQ_SHORT_TERM_INVEST" hidden="1">"c1197"</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_REC_DET_EST" hidden="1">"c12069"</definedName>
    <definedName name="IQ_STAND_REC_DET_EST_DATE" hidden="1">"c12222"</definedName>
    <definedName name="IQ_STAND_REC_DET_EST_DATE_THOM" hidden="1">"c12250"</definedName>
    <definedName name="IQ_STAND_REC_DET_EST_ORIGIN" hidden="1">"c12594"</definedName>
    <definedName name="IQ_STAND_REC_DET_EST_ORIGIN_THOM" hidden="1">"c12620"</definedName>
    <definedName name="IQ_STAND_REC_DET_EST_THOM" hidden="1">"c12100"</definedName>
    <definedName name="IQ_STAND_REC_NUM_DET_EST" hidden="1">"c12068"</definedName>
    <definedName name="IQ_STAND_REC_NUM_DET_EST_DATE" hidden="1">"c12221"</definedName>
    <definedName name="IQ_STAND_REC_NUM_DET_EST_DATE_THOM" hidden="1">"c12249"</definedName>
    <definedName name="IQ_STAND_REC_NUM_DET_EST_ORIGIN" hidden="1">"c12593"</definedName>
    <definedName name="IQ_STAND_REC_NUM_DET_EST_ORIGIN_THOM" hidden="1">"c12619"</definedName>
    <definedName name="IQ_STAND_REC_NUM_DET_EST_THOM" hidden="1">"c12099"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XPLORE_DRILL" hidden="1">"c13851"</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FIEC" hidden="1">"c12867"</definedName>
    <definedName name="IQ_SUB_NOTES_PAYABLE_UNCONSOLIDATED_TRUSTS_FFIEC" hidden="1">"c12868"</definedName>
    <definedName name="IQ_SUPPLIES_FFIEC" hidden="1">"c13050"</definedName>
    <definedName name="IQ_SURPLUS_FDIC" hidden="1">"c6351"</definedName>
    <definedName name="IQ_SURPLUS_FFIEC" hidden="1">"c12877"</definedName>
    <definedName name="IQ_SVA" hidden="1">"c1214"</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DET_EST" hidden="1">"c12070"</definedName>
    <definedName name="IQ_TARGET_PRICE_DET_EST_CURRENCY" hidden="1">"c12475"</definedName>
    <definedName name="IQ_TARGET_PRICE_DET_EST_CURRENCY_THOM" hidden="1">"c12498"</definedName>
    <definedName name="IQ_TARGET_PRICE_DET_EST_DATE" hidden="1">"c12223"</definedName>
    <definedName name="IQ_TARGET_PRICE_DET_EST_DATE_THOM" hidden="1">"c12251"</definedName>
    <definedName name="IQ_TARGET_PRICE_DET_EST_INCL" hidden="1">"c12358"</definedName>
    <definedName name="IQ_TARGET_PRICE_DET_EST_INCL_THOM" hidden="1">"c12381"</definedName>
    <definedName name="IQ_TARGET_PRICE_DET_EST_ORIGIN" hidden="1">"c12729"</definedName>
    <definedName name="IQ_TARGET_PRICE_DET_EST_ORIGIN_THOM" hidden="1">"c12621"</definedName>
    <definedName name="IQ_TARGET_PRICE_DET_EST_THOM" hidden="1">"c12101"</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ELECOM_FFIEC" hidden="1">"c13057"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DET_EST_CURRENCY_THOM" hidden="1">"c12499"</definedName>
    <definedName name="IQ_TEV_DET_EST_DATE_THOM" hidden="1">"c12252"</definedName>
    <definedName name="IQ_TEV_DET_EST_INCL_THOM" hidden="1">"c12382"</definedName>
    <definedName name="IQ_TEV_DET_EST_ORIGIN_THOM" hidden="1">"c12709"</definedName>
    <definedName name="IQ_TEV_DET_EST_THOM" hidden="1">"c12102"</definedName>
    <definedName name="IQ_TEV_EBIT" hidden="1">"c1220"</definedName>
    <definedName name="IQ_TEV_EBIT_AVG" hidden="1">"c1221"</definedName>
    <definedName name="IQ_TEV_EBIT_FWD" hidden="1">"c2238"</definedName>
    <definedName name="IQ_TEV_EBIT_FWD_THOM" hidden="1">"c4061"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BITDA_FWD_THOM" hidden="1">"c4057"</definedName>
    <definedName name="IQ_TEV_EMPLOYEE_AVG" hidden="1">"c1225"</definedName>
    <definedName name="IQ_TEV_EST" hidden="1">"c4526"</definedName>
    <definedName name="IQ_TEV_EST_THOM" hidden="1">"c5529"</definedName>
    <definedName name="IQ_TEV_HIGH_EST" hidden="1">"c4527"</definedName>
    <definedName name="IQ_TEV_HIGH_EST_THOM" hidden="1">"c5530"</definedName>
    <definedName name="IQ_TEV_LOW_EST" hidden="1">"c4528"</definedName>
    <definedName name="IQ_TEV_LOW_EST_THOM" hidden="1">"c5531"</definedName>
    <definedName name="IQ_TEV_MEDIAN_EST" hidden="1">"c4529"</definedName>
    <definedName name="IQ_TEV_MEDIAN_EST_THOM" hidden="1">"c5532"</definedName>
    <definedName name="IQ_TEV_NUM_EST" hidden="1">"c4530"</definedName>
    <definedName name="IQ_TEV_NUM_EST_THOM" hidden="1">"c5533"</definedName>
    <definedName name="IQ_TEV_STDDEV_EST" hidden="1">"c4531"</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DIC" hidden="1">"c6339"</definedName>
    <definedName name="IQ_TOTAL_ASSETS_FFIEC" hidden="1">"c12849"</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"c1266"</definedName>
    <definedName name="IQ_TOTAL_CASH_FINAN" hidden="1">"c119"</definedName>
    <definedName name="IQ_TOTAL_CASH_INVEST" hidden="1">"c121"</definedName>
    <definedName name="IQ_TOTAL_CASH_OPER" hidden="1">"c122"</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"c1022"</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HIGH_EST" hidden="1">"c4534"</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MEDIAN_EST" hidden="1">"c4536"</definedName>
    <definedName name="IQ_TOTAL_DEBT_NON_CURRENT" hidden="1">"c6191"</definedName>
    <definedName name="IQ_TOTAL_DEBT_NUM_EST" hidden="1">"c4537"</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POSITS" hidden="1">"c1265"</definedName>
    <definedName name="IQ_TOTAL_DEPOSITS_FDIC" hidden="1">"c6342"</definedName>
    <definedName name="IQ_TOTAL_DEPOSITS_FFIEC" hidden="1">"c13623"</definedName>
    <definedName name="IQ_TOTAL_DIV_PAID_CF" hidden="1">"c1266"</definedName>
    <definedName name="IQ_TOTAL_EMPLOYEE" hidden="1">"c1522"</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INT_EXPENSE_FFIEC" hidden="1">"c13000"</definedName>
    <definedName name="IQ_TOTAL_INT_INCOME_FFIEC" hidden="1">"c12989"</definedName>
    <definedName name="IQ_TOTAL_INTEREST_EXP" hidden="1">"c591"</definedName>
    <definedName name="IQ_TOTAL_INVENTORY" hidden="1">"c622"</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"c1279"</definedName>
    <definedName name="IQ_TOTAL_LIAB_TOTAL_ASSETS" hidden="1">"c1283"</definedName>
    <definedName name="IQ_TOTAL_LIABILITIES_EQUITY_FFIEC" hidden="1">"c12882"</definedName>
    <definedName name="IQ_TOTAL_LIABILITIES_FDIC" hidden="1">"c6348"</definedName>
    <definedName name="IQ_TOTAL_LIABILITIES_FFIEC" hidden="1">"c12873"</definedName>
    <definedName name="IQ_TOTAL_LL_REC_DOM_FFIEC" hidden="1">"c12917"</definedName>
    <definedName name="IQ_TOTAL_LL_REC_FFIEC" hidden="1">"c12898"</definedName>
    <definedName name="IQ_TOTAL_LOANS" hidden="1">"c5653"</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"c1294"</definedName>
    <definedName name="IQ_TOTAL_REVENUE_FFIEC" hidden="1">"c13020"</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"c1177"</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TRADING_ASSETS_FFIEC" hidden="1">"c12939"</definedName>
    <definedName name="IQ_TOTAL_TRADING_LIAB_DOM_FFIEC" hidden="1">"c12944"</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"c40"</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OPERATING_INC_FFIEC" hidden="1">"c13385"</definedName>
    <definedName name="IQ_TRADING_REVENUE_FFIEC" hidden="1">"c13004"</definedName>
    <definedName name="IQ_TRANS_ACCTS_TOT_DEPOSITS_FFIEC" hidden="1">"c13904"</definedName>
    <definedName name="IQ_TRANSACTION_ACCOUNTS_FDIC" hidden="1">"c6544"</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"c1311"</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KeepVersions" localSheetId="9">IndexInformation!$B$8</definedName>
    <definedName name="LanguageCode">IndexInformation!$B$38</definedName>
    <definedName name="LastCell" localSheetId="0">ImportantDisclosures!$A$22</definedName>
    <definedName name="limcount" hidden="1">1</definedName>
    <definedName name="Linking_1">IS!$A$5:$CM$57</definedName>
    <definedName name="Linking_10">[7]BBB!$L$37</definedName>
    <definedName name="Linking_11">[7]BBB!$N$37</definedName>
    <definedName name="Linking_12">[7]BBB!$P$37</definedName>
    <definedName name="Linking_13">[7]BBB!$L$41</definedName>
    <definedName name="Linking_14">[7]BBB!$N$41</definedName>
    <definedName name="Linking_15">[7]BBB!$P$41</definedName>
    <definedName name="Linking_16">[7]Variance!$A$12:$I$41</definedName>
    <definedName name="Linking_17">[7]Guidance!$A$5:$I$19</definedName>
    <definedName name="Linking_18">'[7]Model Changes'!$A$7:$G$57</definedName>
    <definedName name="Linking_19">'[7]EPS Preview'!$A$8:$E$33</definedName>
    <definedName name="Linking_2">BDX!$A$5:$CM$74</definedName>
    <definedName name="Linking_3">BS!$A$5:$CM$53</definedName>
    <definedName name="Linking_4">CFS!$A$5:$CM$59</definedName>
    <definedName name="Linking_5">[7]BBB!$L$31</definedName>
    <definedName name="Linking_6">[7]BBB!$P$31</definedName>
    <definedName name="Linking_7">[7]BBB!$L$34</definedName>
    <definedName name="Linking_8">[7]BBB!$N$34</definedName>
    <definedName name="Linking_9">[7]BBB!$P$34</definedName>
    <definedName name="Linking_Range_52">[7]BBB!$K$30:$Q$42</definedName>
    <definedName name="MacroVersion" localSheetId="9">IndexInformation!$B$1</definedName>
    <definedName name="ModelPrice" localSheetId="0">ImportantDisclosures!$A$14</definedName>
    <definedName name="Multiplier" localSheetId="9">IndexInformation!$B$35</definedName>
    <definedName name="newname10" hidden="1">{"comp1",#N/A,FALSE,"COMPS";"footnotes",#N/A,FALSE,"COMPS"}</definedName>
    <definedName name="newname11" hidden="1">{#N/A,#N/A,TRUE,"Pro Forma";#N/A,#N/A,TRUE,"PF_Bal";#N/A,#N/A,TRUE,"PF_INC";#N/A,#N/A,TRUE,"CBE";#N/A,#N/A,TRUE,"SWK"}</definedName>
    <definedName name="newname12" hidden="1">{"comp1",#N/A,FALSE,"COMPS";"footnotes",#N/A,FALSE,"COMPS"}</definedName>
    <definedName name="newname13" hidden="1">{#N/A,#N/A,FALSE,"Calc";#N/A,#N/A,FALSE,"Sensitivity";#N/A,#N/A,FALSE,"LT Earn.Dil.";#N/A,#N/A,FALSE,"Dil. AVP"}</definedName>
    <definedName name="newname15" hidden="1">{#N/A,#N/A,TRUE,"Pro Forma";#N/A,#N/A,TRUE,"PF_Bal";#N/A,#N/A,TRUE,"PF_INC";#N/A,#N/A,TRUE,"CBE";#N/A,#N/A,TRUE,"SWK"}</definedName>
    <definedName name="newname17" hidden="1">{"comp1",#N/A,FALSE,"COMPS";"footnotes",#N/A,FALSE,"COMPS"}</definedName>
    <definedName name="newname21" hidden="1">{"assumption cash",#N/A,TRUE,"Merger";"has gets cash",#N/A,TRUE,"Merger";"accretion dilution",#N/A,TRUE,"Merger";"comparison credit stats",#N/A,TRUE,"Merger";"pf credit stats",#N/A,TRUE,"Merger";"pf sheets",#N/A,TRUE,"Merger"}</definedName>
    <definedName name="newname23" hidden="1">{"'Breakup 01 Euro'!$A$3:$I$30"}</definedName>
    <definedName name="newname24" hidden="1">{"casespecific",#N/A,FALSE,"Assumptions"}</definedName>
    <definedName name="newname25" hidden="1">39244.4711574074</definedName>
    <definedName name="newname44" hidden="1">{"Client is",#N/A,FALSE,"Client"}</definedName>
    <definedName name="newname45" hidden="1">{TRUE,TRUE,-1.25,-15.5,456.75,279.75,FALSE,FALSE,TRUE,TRUE,0,1,18,1,199,6,3,4,TRUE,TRUE,3,TRUE,1,TRUE,100,"Swvu.cash.","ACwvu.cash.",1,FALSE,FALSE,0.511811023622047,0.511811023622047,0.511811023622047,0.511811023622047,1,"","",FALSE,FALSE,FALSE,FALSE,1,#N/A,1,1,#DIV/0!,FALSE,"Rwvu.cash.",#N/A,FALSE,FALSE}</definedName>
    <definedName name="newname46" hidden="1">{TRUE,TRUE,-1.25,-15.5,456.75,279.75,FALSE,FALSE,TRUE,TRUE,0,1,21,1,127,6,3,4,TRUE,TRUE,3,TRUE,1,TRUE,100,"Swvu.profits.","ACwvu.profits.",1,FALSE,FALSE,0.511811023622047,0.511811023622047,0.511811023622047,0.511811023622047,1,"","",FALSE,FALSE,FALSE,FALSE,1,#N/A,1,1,#DIV/0!,FALSE,"Rwvu.profits.",#N/A,FALSE,FALSE}</definedName>
    <definedName name="newname47" hidden="1">{TRUE,TRUE,-1.25,-15.5,456.75,279.75,FALSE,FALSE,TRUE,TRUE,0,1,8,1,4,6,3,4,TRUE,TRUE,3,TRUE,1,TRUE,100,"Swvu.turnover.","ACwvu.turnover.",1,FALSE,FALSE,0.511811023622047,0.511811023622047,0.511811023622047,0.511811023622047,1,"","",FALSE,FALSE,FALSE,FALSE,1,#N/A,1,1,#DIV/0!,FALSE,"Rwvu.turnover.",#N/A,FALSE,FALSE}</definedName>
    <definedName name="NextYearEPS" localSheetId="9">IndexInformation!$B$13</definedName>
    <definedName name="NextYearTotalRevenue" localSheetId="9">IndexInformation!$B$12</definedName>
    <definedName name="NextYearTotalRevenueActual" localSheetId="9">IndexInformation!$B$33</definedName>
    <definedName name="nfnhjsfnhsfns" hidden="1">{0,#N/A,FALSE,0;0,#N/A,FALSE,0}</definedName>
    <definedName name="nghmg" hidden="1">{0,#N/A,FALSE,0;0,#N/A,FALSE,0}</definedName>
    <definedName name="nmnmm" hidden="1">{#N/A,#N/A,FALSE,"Index";"Stmts_Qtrs",#N/A,FALSE,"Summary";"Stmts_24 mo",#N/A,FALSE,"Summary";"Summary_24",#N/A,FALSE,"Revenue";"Month_24",#N/A,FALSE,"Engineering";"Month_24",#N/A,FALSE,"Marketing";"Month_24",#N/A,FALSE,"G &amp; A";"Month_24",#N/A,FALSE,"Manufacturing"}</definedName>
    <definedName name="nmnmm1" hidden="1">{#N/A,#N/A,FALSE,"Index";"Stmts_Qtrs",#N/A,FALSE,"Summary";"Stmts_24 mo",#N/A,FALSE,"Summary";"Summary_24",#N/A,FALSE,"Revenue";"Month_24",#N/A,FALSE,"Engineering";"Month_24",#N/A,FALSE,"Marketing";"Month_24",#N/A,FALSE,"G &amp; A";"Month_24",#N/A,FALSE,"Manufacturing"}</definedName>
    <definedName name="ObjectType">IndexInformation!$B$37</definedName>
    <definedName name="PANA" localSheetId="10">ModPubIndex!$A$11</definedName>
    <definedName name="PathName" localSheetId="9">IndexInformation!$B$25</definedName>
    <definedName name="print1" hidden="1">{#N/A,#N/A,FALSE,"Index";"Stmts_Qtrs",#N/A,FALSE,"Summary";"Stmts_24 mo",#N/A,FALSE,"Summary";"Summary_24",#N/A,FALSE,"Revenue";"Month_24",#N/A,FALSE,"Engineering";"Month_24",#N/A,FALSE,"Marketing";"Month_24",#N/A,FALSE,"G &amp; A";"Month_24",#N/A,FALSE,"Manufacturing"}</definedName>
    <definedName name="PRODUCT" localSheetId="10">ModPubIndex!$A$6</definedName>
    <definedName name="PSYM" localSheetId="10">ModPubIndex!$A$4</definedName>
    <definedName name="PUB_FileID" hidden="1">"L10003787.xls"</definedName>
    <definedName name="PUB_UserID" hidden="1">"MAYERX"</definedName>
    <definedName name="PublishDate" localSheetId="9">IndexInformation!$B$2</definedName>
    <definedName name="Rating" localSheetId="9">IndexInformation!$B$9</definedName>
    <definedName name="RatingsDefined" localSheetId="0">ImportantDisclosures!$A$21</definedName>
    <definedName name="RatingsDefs" localSheetId="0">ImportantDisclosures!#REF!</definedName>
    <definedName name="RegACDisclosure" localSheetId="0">ImportantDisclosures!#REF!</definedName>
    <definedName name="RepairedName0157" hidden="1">"iQShowAnnual"</definedName>
    <definedName name="RepairedName0174" hidden="1">"iQShowAnnual"</definedName>
    <definedName name="RepairedName0514" hidden="1">"iQShowAnnual"</definedName>
    <definedName name="RepairedName0679" hidden="1">"iQShowAnnual"</definedName>
    <definedName name="RepairedName1535" hidden="1">"iQShowAnnual"</definedName>
    <definedName name="ResearchTopic" localSheetId="9">IndexInformation!$B$4</definedName>
    <definedName name="RIC" localSheetId="9">IndexInformation!$B$21</definedName>
    <definedName name="SECSettlement" localSheetId="0">ImportantDisclosures!#REF!</definedName>
    <definedName name="SEDOL" localSheetId="9">IndexInformation!$B$22</definedName>
    <definedName name="sencount" hidden="1">2</definedName>
    <definedName name="SourceDefined" localSheetId="0">ImportantDisclosures!$A$19</definedName>
    <definedName name="StockRating" localSheetId="0">ImportantDisclosures!$A$11</definedName>
    <definedName name="SubjectCode" localSheetId="9">IndexInformation!$B$6</definedName>
    <definedName name="SubmitterUserId">IndexInformation!$B$39</definedName>
    <definedName name="SUPPRESSED" localSheetId="10">ModPubIndex!$A$13</definedName>
    <definedName name="TargetPrice" localSheetId="0">ImportantDisclosures!$A$15</definedName>
    <definedName name="TemplateRegion">IndexInformation!$B$36</definedName>
    <definedName name="Ticker" localSheetId="0">ImportantDisclosures!$A$10</definedName>
    <definedName name="TickerRegion">IndexInformation!$B$41</definedName>
    <definedName name="Tickers" localSheetId="9">IndexInformation!$B$19</definedName>
    <definedName name="UpdateReason" localSheetId="9">IndexInformation!$B$17</definedName>
    <definedName name="USRegDisclosures" localSheetId="0">ImportantDisclosures!#REF!</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Executive._.Summary." hidden="1">{#N/A,#N/A,FALSE,"ES Cover";#N/A,#N/A,FALSE,"ES Index ";#N/A,#N/A,FALSE,"ES 2-1-1  Net Eff Mbrs 2001";#N/A,#N/A,FALSE,"ES 2-1-2  Net Eff  Mbrs 2000";#N/A,#N/A,FALSE,"ES 2-2 Mbr Sales Plan vs Proj";#N/A,#N/A,FALSE,"ES 3_Top 5 IFP States Carriers";#N/A,#N/A,FALSE,"ES 4 Top 5 SBG States Carriers";#N/A,#N/A,FALSE,"ES 5 New Top Bottom 5 Summary";#N/A,#N/A,FALSE,"ES 6 Daily Avg";#N/A,#N/A,FALSE,"ES 7  Vol Graph";#N/A,#N/A,FALSE,"ES 8  ClosRatio by Carr";#N/A,#N/A,FALSE,"ES 9  ClosRatio by State";#N/A,#N/A,FALSE,"ES 10  Apps Ret CA OofS";#N/A,#N/A,FALSE,"ES 11 CLosRatioStateCarr Mont";#N/A,#N/A,FALSE,"ES 12  CarrierPerStateNov";#N/A,#N/A,FALSE,"ES 13 CarrierPerStateYTD";#N/A,#N/A,FALSE,"ES 14 Analytics";#N/A,#N/A,FALSE,"ES 15 Total Calls Graph";#N/A,#N/A,FALSE,"ES 16 Within 30 Sec ";#N/A,#N/A,FALSE,"ES 17 Emails";#N/A,#N/A,FALSE,"ES 18 Chat Graph"}</definedName>
    <definedName name="wrn.Graphs." hidden="1">{#N/A,#N/A,FALSE,"1-1 Vol Graph";#N/A,#N/A,FALSE,"1-2 Approve App Graph";#N/A,#N/A,FALSE,"6-1 Email Graph";#N/A,#N/A,FALSE,"6-2 Chat Graph";#N/A,#N/A,FALSE,"6-3 Abandoned Graph";#N/A,#N/A,FALSE,"6-4 30sec Graph";#N/A,#N/A,FALSE,"6_5TotalCalls"}</definedName>
    <definedName name="wrn.Industry.xls." hidden="1">{#N/A,#N/A,FALSE,"Earnings";#N/A,#N/A,FALSE,"Overview";#N/A,#N/A,FALSE,"Summary";#N/A,#N/A,FALSE,"Summary II";#N/A,#N/A,FALSE,"R&amp;D";#N/A,#N/A,FALSE,"R&amp;D Forecast";#N/A,#N/A,FALSE,"Tax Adj";#N/A,#N/A,FALSE,"Goodwill";#N/A,#N/A,FALSE,"FX ";#N/A,#N/A,FALSE,"Consolidation";#N/A,#N/A,FALSE,"Provisions"}</definedName>
    <definedName name="wrn.NOVARTIS._.MODELS." hidden="1">{"QTRINC",#N/A,FALSE,"US FORMAT - P&amp;L";"MARGIN",#N/A,FALSE,"US FORMAT-MARGIN";"SALES1",#N/A,FALSE,"US FORMAT - SALES";"SALES2",#N/A,FALSE,"US FORMAT - SALES";"SALES3",#N/A,FALSE,"US FORMAT - SALES";"SALES4",#N/A,FALSE,"US FORMAT - SALES";"SALES5",#N/A,FALSE,"US FORMAT - SALES"}</definedName>
    <definedName name="wrn.Print._.24." hidden="1">{#N/A,#N/A,FALSE,"Index";"Stmts_Qtrs",#N/A,FALSE,"Summary";"Stmts_24 mo",#N/A,FALSE,"Summary";"Summary_24",#N/A,FALSE,"Revenue";"Month_24",#N/A,FALSE,"Engineering";"Month_24",#N/A,FALSE,"Marketing";"Month_24",#N/A,FALSE,"G &amp; A";"Month_24",#N/A,FALSE,"Manufacturing"}</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Reg._.Printer." hidden="1">{#N/A,#N/A,FALSE,"1-3-0 Sales Summary_Volume";#N/A,#N/A,FALSE,"1-3-1 Mon Appr Chgs";#N/A,#N/A,FALSE,"1-3-3 4 Sent to Carrier";#N/A,#N/A,FALSE,"1-3-5 6 Submitted";#N/A,#N/A,FALSE,"1-3-7, 8  ClosRatio by Carr";#N/A,#N/A,FALSE,"1-3-9 % Sub Sent to Carrl";#N/A,#N/A,FALSE,"1-4 Sales Summary_Lag";#N/A,#N/A,FALSE,"1-4-1 Apps Ret CA OofS";#N/A,#N/A,FALSE,"2-1 ClosRatio by State";#N/A,#N/A,FALSE,"2-2 ClosRatio by Carrier";#N/A,#N/A,FALSE,"2-3-1 CLosRatioStateCarr YTD";#N/A,#N/A,FALSE,"2-3-2 CLosRatioStateCarr June";#N/A,#N/A,FALSE,"2-4 ClosRatioStatCarrier99";#N/A,#N/A,FALSE,"2-5#CarrierPerState00";#N/A,#N/A,FALSE,"2-6#CarrierPerState99";#N/A,#N/A,FALSE,"2-7 StateClosRatio";#N/A,#N/A,FALSE,"2-8 CarrierClosRatio";#N/A,#N/A,FALSE,"3  Sales and Persistency";#N/A,#N/A,FALSE,"4-1 Summary Lag Report";#N/A,#N/A,FALSE,"4-2 Detail Lag Report";#N/A,#N/A,FALSE,"4-3 Lag Analysis";#N/A,#N/A,FALSE,"5-1 SBG"}</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s>
  <calcPr calcId="145621" iterate="1"/>
  <fileRecoveryPr repairLoad="1"/>
</workbook>
</file>

<file path=xl/calcChain.xml><?xml version="1.0" encoding="utf-8"?>
<calcChain xmlns="http://schemas.openxmlformats.org/spreadsheetml/2006/main">
  <c r="BQ113" i="7" l="1"/>
  <c r="BM113" i="7"/>
  <c r="BQ109" i="7"/>
  <c r="BM109" i="7"/>
  <c r="BM107" i="7"/>
  <c r="BN105" i="7"/>
  <c r="BN103" i="7"/>
  <c r="BN104" i="7" s="1"/>
  <c r="BN102" i="7"/>
  <c r="BQ102" i="7" s="1"/>
  <c r="BR102" i="7" s="1"/>
  <c r="BS102" i="7" s="1"/>
  <c r="BT102" i="7" s="1"/>
  <c r="BW102" i="7" s="1"/>
  <c r="BX102" i="7" s="1"/>
  <c r="BY102" i="7" s="1"/>
  <c r="BZ102" i="7" s="1"/>
  <c r="CC102" i="7" s="1"/>
  <c r="CD102" i="7" s="1"/>
  <c r="CE102" i="7" s="1"/>
  <c r="BN101" i="7"/>
  <c r="BN107" i="7" s="1"/>
  <c r="BM104" i="7"/>
  <c r="BM114" i="7" s="1"/>
  <c r="BQ105" i="7"/>
  <c r="BQ103" i="7"/>
  <c r="BQ104" i="7" s="1"/>
  <c r="BR104" i="7" s="1"/>
  <c r="BS104" i="7" s="1"/>
  <c r="BT104" i="7" s="1"/>
  <c r="BW104" i="7" s="1"/>
  <c r="BX104" i="7" s="1"/>
  <c r="BY104" i="7" s="1"/>
  <c r="BZ104" i="7" s="1"/>
  <c r="CC104" i="7" s="1"/>
  <c r="CD104" i="7" s="1"/>
  <c r="CE104" i="7" s="1"/>
  <c r="BR101" i="7"/>
  <c r="BQ101" i="7"/>
  <c r="B99" i="7"/>
  <c r="BQ99" i="7"/>
  <c r="BQ98" i="7"/>
  <c r="BK98" i="7"/>
  <c r="BK99" i="7" s="1"/>
  <c r="BE99" i="7"/>
  <c r="BE98" i="7"/>
  <c r="AY98" i="7"/>
  <c r="AY99" i="7" s="1"/>
  <c r="AS98" i="7"/>
  <c r="AS99" i="7" s="1"/>
  <c r="AR98" i="7"/>
  <c r="AQ98" i="7"/>
  <c r="AQ99" i="7" s="1"/>
  <c r="AM98" i="7"/>
  <c r="AM99" i="7" s="1"/>
  <c r="AL98" i="7"/>
  <c r="AK98" i="7"/>
  <c r="AK99" i="7" s="1"/>
  <c r="AG98" i="7"/>
  <c r="AG99" i="7" s="1"/>
  <c r="AF98" i="7"/>
  <c r="AF99" i="7" s="1"/>
  <c r="AE98" i="7"/>
  <c r="AE99" i="7" s="1"/>
  <c r="AA98" i="7"/>
  <c r="AA99" i="7" s="1"/>
  <c r="Z98" i="7"/>
  <c r="Z99" i="7" s="1"/>
  <c r="U98" i="7"/>
  <c r="U99" i="7" s="1"/>
  <c r="T98" i="7"/>
  <c r="T99" i="7" s="1"/>
  <c r="O98" i="7"/>
  <c r="O99" i="7" s="1"/>
  <c r="N98" i="7"/>
  <c r="N99" i="7" s="1"/>
  <c r="I98" i="7"/>
  <c r="I99" i="7" s="1"/>
  <c r="H98" i="7"/>
  <c r="H99" i="7" s="1"/>
  <c r="C98" i="7"/>
  <c r="C99" i="7" s="1"/>
  <c r="BT96" i="7"/>
  <c r="BS96" i="7"/>
  <c r="BR96" i="7"/>
  <c r="BQ96" i="7"/>
  <c r="BM96" i="7"/>
  <c r="BH96" i="7"/>
  <c r="BG96" i="7"/>
  <c r="BF96" i="7"/>
  <c r="BB96" i="7"/>
  <c r="BA96" i="7"/>
  <c r="AZ96" i="7"/>
  <c r="AY96" i="7"/>
  <c r="AU96" i="7"/>
  <c r="AT96" i="7"/>
  <c r="AS96" i="7"/>
  <c r="AP96" i="7"/>
  <c r="AO96" i="7"/>
  <c r="AN96" i="7"/>
  <c r="AM96" i="7"/>
  <c r="AJ96" i="7"/>
  <c r="AI96" i="7"/>
  <c r="AH96" i="7"/>
  <c r="AG96" i="7"/>
  <c r="AD96" i="7"/>
  <c r="AC96" i="7"/>
  <c r="AB96" i="7"/>
  <c r="AA96" i="7"/>
  <c r="AE96" i="7" s="1"/>
  <c r="AE95" i="7" s="1"/>
  <c r="X96" i="7"/>
  <c r="W96" i="7"/>
  <c r="V96" i="7"/>
  <c r="U96" i="7"/>
  <c r="Y96" i="7" s="1"/>
  <c r="Y95" i="7" s="1"/>
  <c r="R96" i="7"/>
  <c r="Q96" i="7"/>
  <c r="P96" i="7"/>
  <c r="O96" i="7"/>
  <c r="BI94" i="7"/>
  <c r="BC94" i="7"/>
  <c r="AQ94" i="7"/>
  <c r="AK94" i="7"/>
  <c r="AE94" i="7"/>
  <c r="Y94" i="7"/>
  <c r="S94" i="7"/>
  <c r="CL96" i="7"/>
  <c r="CK96" i="7"/>
  <c r="CJ96" i="7"/>
  <c r="CI96" i="7"/>
  <c r="CF96" i="7"/>
  <c r="CE96" i="7"/>
  <c r="CD96" i="7"/>
  <c r="CC96" i="7"/>
  <c r="BZ96" i="7"/>
  <c r="BY96" i="7"/>
  <c r="BX96" i="7"/>
  <c r="BW96" i="7"/>
  <c r="BN94" i="7"/>
  <c r="BN96" i="7" s="1"/>
  <c r="BL94" i="7"/>
  <c r="BK94" i="7"/>
  <c r="BK96" i="7" s="1"/>
  <c r="BE94" i="7"/>
  <c r="BE96" i="7" s="1"/>
  <c r="BB94" i="7"/>
  <c r="AV94" i="7"/>
  <c r="CM91" i="7"/>
  <c r="CM89" i="7"/>
  <c r="CG91" i="7"/>
  <c r="BU91" i="7"/>
  <c r="BO89" i="7"/>
  <c r="BX91" i="7"/>
  <c r="BY91" i="7" s="1"/>
  <c r="BZ91" i="7" s="1"/>
  <c r="BQ90" i="7"/>
  <c r="BN90" i="7"/>
  <c r="BN88" i="7" s="1"/>
  <c r="BN85" i="7" s="1"/>
  <c r="BN86" i="7" s="1"/>
  <c r="BN78" i="7" s="1"/>
  <c r="BN79" i="7" s="1"/>
  <c r="BO79" i="7" s="1"/>
  <c r="BM90" i="7"/>
  <c r="BH90" i="7"/>
  <c r="BG90" i="7"/>
  <c r="BF90" i="7"/>
  <c r="BE90" i="7"/>
  <c r="AZ91" i="7"/>
  <c r="BB90" i="7"/>
  <c r="BA90" i="7"/>
  <c r="AZ90" i="7"/>
  <c r="AY90" i="7"/>
  <c r="BC90" i="7" s="1"/>
  <c r="AU90" i="7"/>
  <c r="AT90" i="7"/>
  <c r="AS90" i="7"/>
  <c r="AO91" i="7"/>
  <c r="AP90" i="7"/>
  <c r="AO90" i="7"/>
  <c r="AN90" i="7"/>
  <c r="AM90" i="7"/>
  <c r="AJ90" i="7"/>
  <c r="AI90" i="7"/>
  <c r="AH90" i="7"/>
  <c r="AG90" i="7"/>
  <c r="AK90" i="7" s="1"/>
  <c r="AD90" i="7"/>
  <c r="AC90" i="7"/>
  <c r="AB90" i="7"/>
  <c r="AA90" i="7"/>
  <c r="X90" i="7"/>
  <c r="W90" i="7"/>
  <c r="V90" i="7"/>
  <c r="U90" i="7"/>
  <c r="R90" i="7"/>
  <c r="Q90" i="7"/>
  <c r="P90" i="7"/>
  <c r="O90" i="7"/>
  <c r="CA89" i="7"/>
  <c r="BQ88" i="7"/>
  <c r="BQ89" i="7" s="1"/>
  <c r="BU89" i="7" s="1"/>
  <c r="BI89" i="7"/>
  <c r="BC89" i="7"/>
  <c r="AW89" i="7"/>
  <c r="AQ89" i="7"/>
  <c r="AK89" i="7"/>
  <c r="AE89" i="7"/>
  <c r="Y89" i="7"/>
  <c r="S89" i="7"/>
  <c r="BM88" i="7"/>
  <c r="BL88" i="7"/>
  <c r="BK88" i="7"/>
  <c r="BO88" i="7" s="1"/>
  <c r="BH88" i="7"/>
  <c r="BH91" i="7" s="1"/>
  <c r="BG88" i="7"/>
  <c r="BF88" i="7"/>
  <c r="BF91" i="7" s="1"/>
  <c r="BE88" i="7"/>
  <c r="BI88" i="7" s="1"/>
  <c r="BA88" i="7"/>
  <c r="BA91" i="7" s="1"/>
  <c r="AZ88" i="7"/>
  <c r="AU88" i="7"/>
  <c r="AU91" i="7" s="1"/>
  <c r="AT88" i="7"/>
  <c r="AS88" i="7"/>
  <c r="AS91" i="7" s="1"/>
  <c r="AP88" i="7"/>
  <c r="AO88" i="7"/>
  <c r="AN88" i="7"/>
  <c r="AN91" i="7" s="1"/>
  <c r="AM88" i="7"/>
  <c r="AI88" i="7"/>
  <c r="AI91" i="7" s="1"/>
  <c r="AH88" i="7"/>
  <c r="AH91" i="7" s="1"/>
  <c r="AC88" i="7"/>
  <c r="AC91" i="7" s="1"/>
  <c r="AB88" i="7"/>
  <c r="AA88" i="7"/>
  <c r="AA91" i="7" s="1"/>
  <c r="X88" i="7"/>
  <c r="X91" i="7" s="1"/>
  <c r="W88" i="7"/>
  <c r="W91" i="7" s="1"/>
  <c r="V88" i="7"/>
  <c r="V91" i="7" s="1"/>
  <c r="U88" i="7"/>
  <c r="R88" i="7"/>
  <c r="R91" i="7" s="1"/>
  <c r="Q88" i="7"/>
  <c r="Q91" i="7" s="1"/>
  <c r="P88" i="7"/>
  <c r="P91" i="7" s="1"/>
  <c r="BM86" i="7"/>
  <c r="BL86" i="7"/>
  <c r="BK86" i="7"/>
  <c r="BH86" i="7"/>
  <c r="BG86" i="7"/>
  <c r="BF86" i="7"/>
  <c r="BA86" i="7"/>
  <c r="AZ86" i="7"/>
  <c r="AV86" i="7"/>
  <c r="AU86" i="7"/>
  <c r="AT86" i="7"/>
  <c r="AS86" i="7"/>
  <c r="AP86" i="7"/>
  <c r="AO86" i="7"/>
  <c r="AN86" i="7"/>
  <c r="AM86" i="7"/>
  <c r="AJ86" i="7"/>
  <c r="AI86" i="7"/>
  <c r="AH86" i="7"/>
  <c r="AG86" i="7"/>
  <c r="AD86" i="7"/>
  <c r="AC86" i="7"/>
  <c r="AB86" i="7"/>
  <c r="AA86" i="7"/>
  <c r="Y86" i="7"/>
  <c r="X86" i="7"/>
  <c r="W86" i="7"/>
  <c r="V86" i="7"/>
  <c r="U86" i="7"/>
  <c r="S86" i="7"/>
  <c r="R86" i="7"/>
  <c r="Q86" i="7"/>
  <c r="P86" i="7"/>
  <c r="O86" i="7"/>
  <c r="BI85" i="7"/>
  <c r="BC85" i="7"/>
  <c r="BB85" i="7"/>
  <c r="AV85" i="7"/>
  <c r="AY86" i="7" s="1"/>
  <c r="AQ85" i="7"/>
  <c r="AK85" i="7"/>
  <c r="AJ85" i="7"/>
  <c r="AJ88" i="7" s="1"/>
  <c r="AJ91" i="7" s="1"/>
  <c r="AE85" i="7"/>
  <c r="AD85" i="7"/>
  <c r="AD88" i="7" s="1"/>
  <c r="Y85" i="7"/>
  <c r="S85" i="7"/>
  <c r="BQ82" i="7"/>
  <c r="BQ81" i="7"/>
  <c r="BM82" i="7"/>
  <c r="BL82" i="7"/>
  <c r="BK82" i="7"/>
  <c r="AK82" i="7"/>
  <c r="AI82" i="7"/>
  <c r="AH82" i="7"/>
  <c r="AG82" i="7"/>
  <c r="AE82" i="7"/>
  <c r="AC82" i="7"/>
  <c r="AB82" i="7"/>
  <c r="AA82" i="7"/>
  <c r="Y82" i="7"/>
  <c r="W82" i="7"/>
  <c r="V82" i="7"/>
  <c r="U82" i="7"/>
  <c r="S82" i="7"/>
  <c r="Q82" i="7"/>
  <c r="P82" i="7"/>
  <c r="O82" i="7"/>
  <c r="CK82" i="7"/>
  <c r="CL82" i="7" s="1"/>
  <c r="CJ82" i="7"/>
  <c r="CD82" i="7"/>
  <c r="CE82" i="7" s="1"/>
  <c r="CF82" i="7" s="1"/>
  <c r="BM81" i="7"/>
  <c r="BL81" i="7"/>
  <c r="BK81" i="7"/>
  <c r="BI82" i="7"/>
  <c r="BG82" i="7"/>
  <c r="BF82" i="7"/>
  <c r="BE82" i="7"/>
  <c r="BI81" i="7"/>
  <c r="BG81" i="7"/>
  <c r="BF81" i="7"/>
  <c r="BE81" i="7"/>
  <c r="BC82" i="7"/>
  <c r="BA82" i="7"/>
  <c r="AZ82" i="7"/>
  <c r="AY82" i="7"/>
  <c r="BC81" i="7"/>
  <c r="BA81" i="7"/>
  <c r="AZ81" i="7"/>
  <c r="AY81" i="7"/>
  <c r="AU82" i="7"/>
  <c r="AS82" i="7"/>
  <c r="AV81" i="7"/>
  <c r="AS81" i="7"/>
  <c r="AO82" i="7"/>
  <c r="AN82" i="7"/>
  <c r="AM82" i="7"/>
  <c r="AO81" i="7"/>
  <c r="AN81" i="7"/>
  <c r="AM81" i="7"/>
  <c r="AK81" i="7"/>
  <c r="AI81" i="7"/>
  <c r="AH81" i="7"/>
  <c r="AG81" i="7"/>
  <c r="AE81" i="7"/>
  <c r="AC81" i="7"/>
  <c r="AB81" i="7"/>
  <c r="AA81" i="7"/>
  <c r="Y81" i="7"/>
  <c r="W81" i="7"/>
  <c r="V81" i="7"/>
  <c r="U81" i="7"/>
  <c r="S81" i="7"/>
  <c r="Q81" i="7"/>
  <c r="P81" i="7"/>
  <c r="O81" i="7"/>
  <c r="BH79" i="7"/>
  <c r="BH78" i="7"/>
  <c r="BH82" i="7" s="1"/>
  <c r="BB79" i="7"/>
  <c r="BB78" i="7"/>
  <c r="BB81" i="7" s="1"/>
  <c r="AV79" i="7"/>
  <c r="AV82" i="7" s="1"/>
  <c r="AU79" i="7"/>
  <c r="AU81" i="7" s="1"/>
  <c r="AT79" i="7"/>
  <c r="AT82" i="7" s="1"/>
  <c r="AS79" i="7"/>
  <c r="AW79" i="7" s="1"/>
  <c r="AW82" i="7" s="1"/>
  <c r="AP79" i="7"/>
  <c r="AP82" i="7" s="1"/>
  <c r="AJ79" i="7"/>
  <c r="AJ82" i="7" s="1"/>
  <c r="AD79" i="7"/>
  <c r="AD82" i="7" s="1"/>
  <c r="X79" i="7"/>
  <c r="X82" i="7" s="1"/>
  <c r="R79" i="7"/>
  <c r="R82" i="7" s="1"/>
  <c r="BX82" i="7"/>
  <c r="BY82" i="7" s="1"/>
  <c r="AW78" i="7"/>
  <c r="AQ78" i="7"/>
  <c r="BQ74" i="7"/>
  <c r="BQ75" i="7" s="1"/>
  <c r="BK74" i="7"/>
  <c r="BK75" i="7" s="1"/>
  <c r="BE74" i="7"/>
  <c r="BE75" i="7" s="1"/>
  <c r="AY74" i="7"/>
  <c r="AY75" i="7" s="1"/>
  <c r="AS74" i="7"/>
  <c r="AS75" i="7" s="1"/>
  <c r="AQ74" i="7"/>
  <c r="AM74" i="7"/>
  <c r="AM75" i="7" s="1"/>
  <c r="AK74" i="7"/>
  <c r="AG74" i="7"/>
  <c r="AG75" i="7" s="1"/>
  <c r="AE74" i="7"/>
  <c r="AA74" i="7"/>
  <c r="AA75" i="7" s="1"/>
  <c r="U74" i="7"/>
  <c r="U75" i="7" s="1"/>
  <c r="O74" i="7"/>
  <c r="O75" i="7" s="1"/>
  <c r="I74" i="7"/>
  <c r="I75" i="7" s="1"/>
  <c r="C74" i="7"/>
  <c r="C75" i="7" s="1"/>
  <c r="BO69" i="7"/>
  <c r="BO70" i="7" s="1"/>
  <c r="BI69" i="7"/>
  <c r="BC69" i="7"/>
  <c r="AW69" i="7"/>
  <c r="AW70" i="7" s="1"/>
  <c r="AQ69" i="7"/>
  <c r="AQ68" i="7"/>
  <c r="AK69" i="7"/>
  <c r="AK68" i="7"/>
  <c r="AE69" i="7"/>
  <c r="AE68" i="7"/>
  <c r="Y69" i="7"/>
  <c r="S69" i="7"/>
  <c r="CI70" i="7"/>
  <c r="CC70" i="7"/>
  <c r="BW70" i="7"/>
  <c r="BQ70" i="7"/>
  <c r="BN70" i="7"/>
  <c r="BM70" i="7"/>
  <c r="BL70" i="7"/>
  <c r="BK70" i="7"/>
  <c r="BH70" i="7"/>
  <c r="BG70" i="7"/>
  <c r="BF70" i="7"/>
  <c r="BE70" i="7"/>
  <c r="BB70" i="7"/>
  <c r="BA70" i="7"/>
  <c r="AZ70" i="7"/>
  <c r="AY70" i="7"/>
  <c r="AV70" i="7"/>
  <c r="AU70" i="7"/>
  <c r="AT70" i="7"/>
  <c r="AS70" i="7"/>
  <c r="AP70" i="7"/>
  <c r="AO70" i="7"/>
  <c r="AN70" i="7"/>
  <c r="AM70" i="7"/>
  <c r="AJ70" i="7"/>
  <c r="AI70" i="7"/>
  <c r="AH70" i="7"/>
  <c r="AG70" i="7"/>
  <c r="AD70" i="7"/>
  <c r="AC70" i="7"/>
  <c r="AB70" i="7"/>
  <c r="AA70" i="7"/>
  <c r="X70" i="7"/>
  <c r="W70" i="7"/>
  <c r="V70" i="7"/>
  <c r="U70" i="7"/>
  <c r="R70" i="7"/>
  <c r="Q70" i="7"/>
  <c r="P70" i="7"/>
  <c r="L70" i="7"/>
  <c r="K70" i="7"/>
  <c r="J69" i="7"/>
  <c r="D69" i="7"/>
  <c r="G69" i="7" s="1"/>
  <c r="CJ69" i="7"/>
  <c r="CD69" i="7"/>
  <c r="CD70" i="7" s="1"/>
  <c r="BX69" i="7"/>
  <c r="BY69" i="7" s="1"/>
  <c r="BZ69" i="7" s="1"/>
  <c r="BR69" i="7"/>
  <c r="BX70" i="7" s="1"/>
  <c r="BQ68" i="7"/>
  <c r="BK68" i="7"/>
  <c r="BE68" i="7"/>
  <c r="AY68" i="7"/>
  <c r="AS68" i="7"/>
  <c r="AM68" i="7"/>
  <c r="AG68" i="7"/>
  <c r="AA68" i="7"/>
  <c r="U68" i="7"/>
  <c r="O68" i="7"/>
  <c r="I68" i="7"/>
  <c r="C68" i="7"/>
  <c r="B68" i="7"/>
  <c r="BO65" i="7"/>
  <c r="BI65" i="7"/>
  <c r="AY65" i="7"/>
  <c r="BQ107" i="7" l="1"/>
  <c r="BS69" i="7"/>
  <c r="BY70" i="7" s="1"/>
  <c r="Y70" i="7"/>
  <c r="AK70" i="7"/>
  <c r="BC70" i="7"/>
  <c r="BB82" i="7"/>
  <c r="BH81" i="7"/>
  <c r="CA96" i="7"/>
  <c r="CM96" i="7"/>
  <c r="BR107" i="7"/>
  <c r="BR103" i="7"/>
  <c r="BS103" i="7" s="1"/>
  <c r="BT103" i="7" s="1"/>
  <c r="BW103" i="7" s="1"/>
  <c r="BX103" i="7" s="1"/>
  <c r="BY103" i="7" s="1"/>
  <c r="BZ103" i="7" s="1"/>
  <c r="CC103" i="7" s="1"/>
  <c r="CD103" i="7" s="1"/>
  <c r="CE103" i="7" s="1"/>
  <c r="BR70" i="7"/>
  <c r="BI70" i="7"/>
  <c r="AE86" i="7"/>
  <c r="AW86" i="7"/>
  <c r="BQ86" i="7"/>
  <c r="Y88" i="7"/>
  <c r="BG91" i="7"/>
  <c r="S90" i="7"/>
  <c r="Y90" i="7"/>
  <c r="BI90" i="7"/>
  <c r="AE70" i="7"/>
  <c r="AQ70" i="7"/>
  <c r="BO85" i="7"/>
  <c r="AB91" i="7"/>
  <c r="AM91" i="7"/>
  <c r="AQ91" i="7" s="1"/>
  <c r="AQ88" i="7"/>
  <c r="AP91" i="7"/>
  <c r="BM91" i="7"/>
  <c r="BC96" i="7"/>
  <c r="BC95" i="7" s="1"/>
  <c r="BU96" i="7"/>
  <c r="BC65" i="7"/>
  <c r="CK69" i="7"/>
  <c r="CA69" i="7"/>
  <c r="CJ70" i="7"/>
  <c r="BO82" i="7"/>
  <c r="BZ82" i="7"/>
  <c r="BS70" i="7"/>
  <c r="M69" i="7"/>
  <c r="M70" i="7" s="1"/>
  <c r="J70" i="7"/>
  <c r="CE69" i="7"/>
  <c r="AQ79" i="7"/>
  <c r="AQ82" i="7" s="1"/>
  <c r="AP81" i="7"/>
  <c r="AQ81" i="7" s="1"/>
  <c r="AT81" i="7"/>
  <c r="AW81" i="7" s="1"/>
  <c r="BN81" i="7"/>
  <c r="BO81" i="7" s="1"/>
  <c r="AD91" i="7"/>
  <c r="BO86" i="7"/>
  <c r="AG88" i="7"/>
  <c r="AT91" i="7"/>
  <c r="AQ90" i="7"/>
  <c r="BE91" i="7"/>
  <c r="AV88" i="7"/>
  <c r="AW85" i="7"/>
  <c r="AE91" i="7"/>
  <c r="AV96" i="7"/>
  <c r="AW96" i="7" s="1"/>
  <c r="AW94" i="7"/>
  <c r="AV90" i="7"/>
  <c r="AW90" i="7" s="1"/>
  <c r="BL96" i="7"/>
  <c r="BL90" i="7"/>
  <c r="BN113" i="7"/>
  <c r="BN109" i="7"/>
  <c r="BE86" i="7"/>
  <c r="BI86" i="7" s="1"/>
  <c r="BB88" i="7"/>
  <c r="BB91" i="7" s="1"/>
  <c r="AY88" i="7"/>
  <c r="BL91" i="7"/>
  <c r="AE88" i="7"/>
  <c r="AE90" i="7"/>
  <c r="BO78" i="7"/>
  <c r="AK86" i="7"/>
  <c r="AQ86" i="7"/>
  <c r="BB86" i="7"/>
  <c r="BC86" i="7" s="1"/>
  <c r="AW88" i="7"/>
  <c r="U91" i="7"/>
  <c r="Y91" i="7" s="1"/>
  <c r="CA91" i="7"/>
  <c r="BI96" i="7"/>
  <c r="BI95" i="7" s="1"/>
  <c r="BO94" i="7"/>
  <c r="BO96" i="7"/>
  <c r="CG96" i="7"/>
  <c r="S96" i="7"/>
  <c r="S95" i="7" s="1"/>
  <c r="BK90" i="7"/>
  <c r="BK91" i="7" s="1"/>
  <c r="AK96" i="7"/>
  <c r="AK95" i="7" s="1"/>
  <c r="AQ96" i="7"/>
  <c r="AQ95" i="7" s="1"/>
  <c r="BQ114" i="7"/>
  <c r="BN114" i="7"/>
  <c r="BS101" i="7"/>
  <c r="BR65" i="7"/>
  <c r="X58" i="7"/>
  <c r="P58" i="7"/>
  <c r="G58" i="7"/>
  <c r="CM55" i="7"/>
  <c r="CG55" i="7"/>
  <c r="CA55" i="7"/>
  <c r="BU55" i="7"/>
  <c r="BL55" i="7"/>
  <c r="BF55" i="7"/>
  <c r="AZ55" i="7"/>
  <c r="AT55" i="7"/>
  <c r="AQ55" i="7"/>
  <c r="AN55" i="7"/>
  <c r="AH55" i="7"/>
  <c r="AC55" i="7"/>
  <c r="AB55" i="7"/>
  <c r="V55" i="7"/>
  <c r="Q55" i="7"/>
  <c r="P55" i="7"/>
  <c r="K55" i="7"/>
  <c r="J55" i="7"/>
  <c r="D55" i="7"/>
  <c r="CM53" i="7"/>
  <c r="CM52" i="7"/>
  <c r="CM51" i="7"/>
  <c r="CG53" i="7"/>
  <c r="CG52" i="7"/>
  <c r="CG51" i="7"/>
  <c r="CA53" i="7"/>
  <c r="CA52" i="7"/>
  <c r="CA51" i="7"/>
  <c r="BU53" i="7"/>
  <c r="BU52" i="7"/>
  <c r="BU51" i="7"/>
  <c r="BO53" i="7"/>
  <c r="BO52" i="7"/>
  <c r="BO51" i="7"/>
  <c r="BI53" i="7"/>
  <c r="BI52" i="7"/>
  <c r="BI51" i="7"/>
  <c r="BC53" i="7"/>
  <c r="BC52" i="7"/>
  <c r="BC51" i="7"/>
  <c r="AW53" i="7"/>
  <c r="AP53" i="7"/>
  <c r="AJ53" i="7"/>
  <c r="AD53" i="7"/>
  <c r="AT52" i="7"/>
  <c r="AT51" i="7"/>
  <c r="AN52" i="7"/>
  <c r="AN51" i="7"/>
  <c r="AH52" i="7"/>
  <c r="AI51" i="7"/>
  <c r="AH51" i="7"/>
  <c r="AB52" i="7"/>
  <c r="AC51" i="7"/>
  <c r="AB51" i="7"/>
  <c r="V53" i="7"/>
  <c r="W52" i="7"/>
  <c r="V52" i="7"/>
  <c r="W51" i="7"/>
  <c r="V51" i="7"/>
  <c r="P53" i="7"/>
  <c r="P52" i="7"/>
  <c r="Q51" i="7"/>
  <c r="P51" i="7"/>
  <c r="J53" i="7"/>
  <c r="K52" i="7"/>
  <c r="J52" i="7"/>
  <c r="J51" i="7"/>
  <c r="D53" i="7"/>
  <c r="E52" i="7"/>
  <c r="D52" i="7"/>
  <c r="D51" i="7"/>
  <c r="BQ48" i="7"/>
  <c r="BK48" i="7"/>
  <c r="BE48" i="7"/>
  <c r="AY48" i="7"/>
  <c r="AS48" i="7"/>
  <c r="AQ48" i="7"/>
  <c r="AM48" i="7"/>
  <c r="AK48" i="7"/>
  <c r="AG48" i="7"/>
  <c r="AE48" i="7"/>
  <c r="AA48" i="7"/>
  <c r="U48" i="7"/>
  <c r="O48" i="7"/>
  <c r="I48" i="7"/>
  <c r="C48" i="7"/>
  <c r="CM47" i="7"/>
  <c r="CM45" i="7"/>
  <c r="CM44" i="7"/>
  <c r="CM43" i="7"/>
  <c r="CG47" i="7"/>
  <c r="CG45" i="7"/>
  <c r="CG44" i="7"/>
  <c r="CG43" i="7"/>
  <c r="CA47" i="7"/>
  <c r="CA45" i="7"/>
  <c r="CA44" i="7"/>
  <c r="CA43" i="7"/>
  <c r="BU47" i="7"/>
  <c r="BU45" i="7"/>
  <c r="BU44" i="7"/>
  <c r="BU43" i="7"/>
  <c r="BL47" i="7"/>
  <c r="BL46" i="7"/>
  <c r="BM45" i="7"/>
  <c r="BG47" i="7"/>
  <c r="BF47" i="7"/>
  <c r="BF46" i="7"/>
  <c r="BG45" i="7"/>
  <c r="BF45" i="7"/>
  <c r="AZ47" i="7"/>
  <c r="BA46" i="7"/>
  <c r="AZ46" i="7"/>
  <c r="AZ45" i="7"/>
  <c r="BL44" i="7"/>
  <c r="BL43" i="7"/>
  <c r="BL42" i="7"/>
  <c r="BL41" i="7"/>
  <c r="BI44" i="7"/>
  <c r="BI42" i="7"/>
  <c r="BC44" i="7"/>
  <c r="AT47" i="7"/>
  <c r="AU46" i="7"/>
  <c r="AT46" i="7"/>
  <c r="AT45" i="7"/>
  <c r="AU44" i="7"/>
  <c r="AT44" i="7"/>
  <c r="BF43" i="7"/>
  <c r="AU43" i="7"/>
  <c r="AT43" i="7"/>
  <c r="AT42" i="7"/>
  <c r="BF41" i="7"/>
  <c r="AZ43" i="7"/>
  <c r="AZ42" i="7"/>
  <c r="AZ41" i="7"/>
  <c r="AT41" i="7"/>
  <c r="AN47" i="7"/>
  <c r="AN46" i="7"/>
  <c r="AO45" i="7"/>
  <c r="AN45" i="7"/>
  <c r="AN44" i="7"/>
  <c r="AN43" i="7"/>
  <c r="AN42" i="7"/>
  <c r="AO41" i="7"/>
  <c r="AN41" i="7"/>
  <c r="AH47" i="7"/>
  <c r="AH46" i="7"/>
  <c r="AH45" i="7"/>
  <c r="AH44" i="7"/>
  <c r="AH43" i="7"/>
  <c r="AH42" i="7"/>
  <c r="AH41" i="7"/>
  <c r="AB47" i="7"/>
  <c r="AB46" i="7"/>
  <c r="AB45" i="7"/>
  <c r="AB44" i="7"/>
  <c r="AC43" i="7"/>
  <c r="AB43" i="7"/>
  <c r="AB42" i="7"/>
  <c r="AB41" i="7"/>
  <c r="V47" i="7"/>
  <c r="V46" i="7"/>
  <c r="V45" i="7"/>
  <c r="V44" i="7"/>
  <c r="V43" i="7"/>
  <c r="V42" i="7"/>
  <c r="V41" i="7"/>
  <c r="P47" i="7"/>
  <c r="P46" i="7"/>
  <c r="P45" i="7"/>
  <c r="P44" i="7"/>
  <c r="P43" i="7"/>
  <c r="P42" i="7"/>
  <c r="P41" i="7"/>
  <c r="J47" i="7"/>
  <c r="J46" i="7"/>
  <c r="J45" i="7"/>
  <c r="J44" i="7"/>
  <c r="J43" i="7"/>
  <c r="K42" i="7"/>
  <c r="J42" i="7"/>
  <c r="J41" i="7"/>
  <c r="D47" i="7"/>
  <c r="E46" i="7"/>
  <c r="D46" i="7"/>
  <c r="D45" i="7"/>
  <c r="D44" i="7"/>
  <c r="D43" i="7"/>
  <c r="D42" i="7"/>
  <c r="E41" i="7"/>
  <c r="D41" i="7"/>
  <c r="BQ38" i="7"/>
  <c r="BK38" i="7"/>
  <c r="BE38" i="7"/>
  <c r="AY38" i="7"/>
  <c r="AS38" i="7"/>
  <c r="AQ38" i="7"/>
  <c r="AK38" i="7"/>
  <c r="AG38" i="7"/>
  <c r="AA38" i="7"/>
  <c r="U38" i="7"/>
  <c r="O38" i="7"/>
  <c r="I38" i="7"/>
  <c r="C38" i="7"/>
  <c r="CM37" i="7"/>
  <c r="CM36" i="7"/>
  <c r="CM35" i="7"/>
  <c r="CG37" i="7"/>
  <c r="CG36" i="7"/>
  <c r="CG35" i="7"/>
  <c r="CA37" i="7"/>
  <c r="CA36" i="7"/>
  <c r="CA35" i="7"/>
  <c r="BU37" i="7"/>
  <c r="BU36" i="7"/>
  <c r="BU35" i="7"/>
  <c r="BF37" i="7"/>
  <c r="AZ37" i="7"/>
  <c r="AT37" i="7"/>
  <c r="AM37" i="7"/>
  <c r="AN37" i="7" s="1"/>
  <c r="AI37" i="7"/>
  <c r="AH37" i="7"/>
  <c r="AB37" i="7"/>
  <c r="K37" i="7"/>
  <c r="J37" i="7"/>
  <c r="BI36" i="7"/>
  <c r="BI35" i="7"/>
  <c r="BC36" i="7"/>
  <c r="AW36" i="7"/>
  <c r="AP36" i="7"/>
  <c r="AJ36" i="7"/>
  <c r="AJ35" i="7"/>
  <c r="AD36" i="7"/>
  <c r="BL37" i="7"/>
  <c r="BL36" i="7"/>
  <c r="BL35" i="7"/>
  <c r="AZ35" i="7"/>
  <c r="AT35" i="7"/>
  <c r="AO35" i="7"/>
  <c r="AN35" i="7"/>
  <c r="AH35" i="7"/>
  <c r="AI35" i="7" s="1"/>
  <c r="AB35" i="7"/>
  <c r="V37" i="7"/>
  <c r="V36" i="7"/>
  <c r="W35" i="7"/>
  <c r="V35" i="7"/>
  <c r="P37" i="7"/>
  <c r="P36" i="7"/>
  <c r="P35" i="7"/>
  <c r="K36" i="7"/>
  <c r="K35" i="7"/>
  <c r="D37" i="7"/>
  <c r="D36" i="7"/>
  <c r="D35" i="7"/>
  <c r="AE33" i="7"/>
  <c r="AE32" i="7"/>
  <c r="AE38" i="7" s="1"/>
  <c r="Y33" i="7"/>
  <c r="S33" i="7"/>
  <c r="M33" i="7"/>
  <c r="CM32" i="7"/>
  <c r="CM31" i="7"/>
  <c r="CG32" i="7"/>
  <c r="CG31" i="7"/>
  <c r="CA32" i="7"/>
  <c r="CA31" i="7"/>
  <c r="BU32" i="7"/>
  <c r="BU31" i="7"/>
  <c r="BL32" i="7"/>
  <c r="BO31" i="7"/>
  <c r="CI30" i="7"/>
  <c r="CC30" i="7"/>
  <c r="BW30" i="7"/>
  <c r="BT30" i="7"/>
  <c r="BS30" i="7"/>
  <c r="BR30" i="7"/>
  <c r="BL30" i="7"/>
  <c r="BG32" i="7"/>
  <c r="BF32" i="7"/>
  <c r="BF31" i="7"/>
  <c r="BF30" i="7"/>
  <c r="AZ32" i="7"/>
  <c r="AZ31" i="7"/>
  <c r="AZ30" i="7"/>
  <c r="AT32" i="7"/>
  <c r="AT31" i="7"/>
  <c r="AT30" i="7"/>
  <c r="AN32" i="7"/>
  <c r="AN31" i="7"/>
  <c r="AO30" i="7"/>
  <c r="AN30" i="7"/>
  <c r="AH32" i="7"/>
  <c r="AH31" i="7"/>
  <c r="AH30" i="7"/>
  <c r="AB32" i="7"/>
  <c r="AC31" i="7"/>
  <c r="AB31" i="7"/>
  <c r="AB30" i="7"/>
  <c r="V32" i="7"/>
  <c r="V31" i="7"/>
  <c r="V30" i="7"/>
  <c r="Q32" i="7"/>
  <c r="P32" i="7"/>
  <c r="P31" i="7"/>
  <c r="R30" i="7"/>
  <c r="Q30" i="7"/>
  <c r="P30" i="7"/>
  <c r="J32" i="7"/>
  <c r="J31" i="7"/>
  <c r="J30" i="7"/>
  <c r="D32" i="7"/>
  <c r="D31" i="7"/>
  <c r="D30" i="7"/>
  <c r="BE27" i="7"/>
  <c r="AY27" i="7"/>
  <c r="AS27" i="7"/>
  <c r="AM27" i="7"/>
  <c r="AG27" i="7"/>
  <c r="AA27" i="7"/>
  <c r="U27" i="7"/>
  <c r="O27" i="7"/>
  <c r="I27" i="7"/>
  <c r="C27" i="7"/>
  <c r="CM26" i="7"/>
  <c r="CM25" i="7"/>
  <c r="CM18" i="7"/>
  <c r="CM17" i="7"/>
  <c r="CG26" i="7"/>
  <c r="CG25" i="7"/>
  <c r="CG18" i="7"/>
  <c r="CG17" i="7"/>
  <c r="CA26" i="7"/>
  <c r="CA25" i="7"/>
  <c r="CA18" i="7"/>
  <c r="CA17" i="7"/>
  <c r="BU26" i="7"/>
  <c r="BU25" i="7"/>
  <c r="BU18" i="7"/>
  <c r="BU17" i="7"/>
  <c r="BQ26" i="7"/>
  <c r="BK26" i="7"/>
  <c r="BL25" i="7"/>
  <c r="BF26" i="7"/>
  <c r="BF25" i="7"/>
  <c r="AZ26" i="7"/>
  <c r="AZ25" i="7"/>
  <c r="AT26" i="7"/>
  <c r="AT25" i="7"/>
  <c r="AN26" i="7"/>
  <c r="AN25" i="7"/>
  <c r="AI26" i="7"/>
  <c r="AH26" i="7"/>
  <c r="AH25" i="7"/>
  <c r="AB26" i="7"/>
  <c r="AB25" i="7"/>
  <c r="V26" i="7"/>
  <c r="V25" i="7"/>
  <c r="P26" i="7"/>
  <c r="P25" i="7"/>
  <c r="J26" i="7"/>
  <c r="J25" i="7"/>
  <c r="D26" i="7"/>
  <c r="D25" i="7"/>
  <c r="BO24" i="7"/>
  <c r="BO23" i="7"/>
  <c r="BO22" i="7"/>
  <c r="BO21" i="7"/>
  <c r="BO20" i="7"/>
  <c r="BO18" i="7"/>
  <c r="BO15" i="7"/>
  <c r="BI24" i="7"/>
  <c r="BI23" i="7"/>
  <c r="BI22" i="7"/>
  <c r="BI21" i="7"/>
  <c r="BI20" i="7"/>
  <c r="BI18" i="7"/>
  <c r="BI15" i="7"/>
  <c r="BC24" i="7"/>
  <c r="BC23" i="7"/>
  <c r="BC22" i="7"/>
  <c r="BC21" i="7"/>
  <c r="BC20" i="7"/>
  <c r="BC18" i="7"/>
  <c r="BC15" i="7"/>
  <c r="BL19" i="7"/>
  <c r="BF19" i="7"/>
  <c r="AZ19" i="7"/>
  <c r="AT19" i="7"/>
  <c r="AQ19" i="7"/>
  <c r="AN19" i="7"/>
  <c r="AK19" i="7"/>
  <c r="AH19" i="7"/>
  <c r="AE19" i="7"/>
  <c r="AB19" i="7"/>
  <c r="AW18" i="7"/>
  <c r="AP18" i="7"/>
  <c r="AJ18" i="7"/>
  <c r="AD18" i="7"/>
  <c r="BL17" i="7"/>
  <c r="BL16" i="7"/>
  <c r="BF17" i="7"/>
  <c r="BF16" i="7"/>
  <c r="AZ17" i="7"/>
  <c r="AZ16" i="7"/>
  <c r="Y19" i="7"/>
  <c r="V19" i="7"/>
  <c r="V18" i="7"/>
  <c r="V17" i="7"/>
  <c r="V16" i="7"/>
  <c r="P19" i="7"/>
  <c r="P18" i="7"/>
  <c r="P17" i="7"/>
  <c r="P16" i="7"/>
  <c r="J19" i="7"/>
  <c r="J18" i="7"/>
  <c r="J17" i="7"/>
  <c r="J16" i="7"/>
  <c r="D19" i="7"/>
  <c r="D18" i="7"/>
  <c r="D17" i="7"/>
  <c r="D16" i="7"/>
  <c r="CL15" i="7"/>
  <c r="CK15" i="7"/>
  <c r="CJ15" i="7"/>
  <c r="CI15" i="7"/>
  <c r="CF15" i="7"/>
  <c r="CE15" i="7"/>
  <c r="CD15" i="7"/>
  <c r="CC15" i="7"/>
  <c r="BZ15" i="7"/>
  <c r="BY15" i="7"/>
  <c r="BX15" i="7"/>
  <c r="BW15" i="7"/>
  <c r="BT15" i="7"/>
  <c r="BS15" i="7"/>
  <c r="BR15" i="7"/>
  <c r="AT17" i="7"/>
  <c r="AT16" i="7"/>
  <c r="AV15" i="7"/>
  <c r="AU15" i="7"/>
  <c r="AT15" i="7"/>
  <c r="AS15" i="7"/>
  <c r="AN17" i="7"/>
  <c r="AN16" i="7"/>
  <c r="AP15" i="7"/>
  <c r="AO15" i="7"/>
  <c r="AN15" i="7"/>
  <c r="AM15" i="7"/>
  <c r="AH17" i="7"/>
  <c r="AH16" i="7"/>
  <c r="AJ15" i="7"/>
  <c r="AI15" i="7"/>
  <c r="AH15" i="7"/>
  <c r="AG15" i="7"/>
  <c r="AB17" i="7"/>
  <c r="AB16" i="7"/>
  <c r="AD15" i="7"/>
  <c r="AC15" i="7"/>
  <c r="AB15" i="7"/>
  <c r="AA15" i="7"/>
  <c r="X15" i="7"/>
  <c r="W15" i="7"/>
  <c r="V15" i="7"/>
  <c r="U15" i="7"/>
  <c r="R15" i="7"/>
  <c r="Q15" i="7"/>
  <c r="P15" i="7"/>
  <c r="O15" i="7"/>
  <c r="L15" i="7"/>
  <c r="K15" i="7"/>
  <c r="J15" i="7"/>
  <c r="I15" i="7"/>
  <c r="F15" i="7"/>
  <c r="E15" i="7"/>
  <c r="D15" i="7"/>
  <c r="C15" i="7"/>
  <c r="AV13" i="7"/>
  <c r="AP13" i="7"/>
  <c r="AJ13" i="7"/>
  <c r="AD13" i="7"/>
  <c r="L13" i="7"/>
  <c r="K13" i="7"/>
  <c r="J13" i="7"/>
  <c r="I13" i="7"/>
  <c r="F13" i="7"/>
  <c r="E13" i="7"/>
  <c r="D13" i="7"/>
  <c r="C13" i="7"/>
  <c r="BQ11" i="7"/>
  <c r="BQ27" i="7" s="1"/>
  <c r="BQ10" i="7"/>
  <c r="BK12" i="7"/>
  <c r="BE12" i="7"/>
  <c r="AY12" i="7"/>
  <c r="AW12" i="7"/>
  <c r="AS12" i="7"/>
  <c r="AQ12" i="7"/>
  <c r="AK12" i="7"/>
  <c r="AG12" i="7"/>
  <c r="AE12" i="7"/>
  <c r="BN13" i="7"/>
  <c r="BL11" i="7"/>
  <c r="BK10" i="7"/>
  <c r="BH13" i="7"/>
  <c r="BG11" i="7"/>
  <c r="BF11" i="7"/>
  <c r="BE10" i="7"/>
  <c r="AZ13" i="7"/>
  <c r="AZ11" i="7"/>
  <c r="AY10" i="7"/>
  <c r="AS10" i="7"/>
  <c r="AQ10" i="7"/>
  <c r="AM10" i="7"/>
  <c r="AK10" i="7"/>
  <c r="AG10" i="7"/>
  <c r="AE10" i="7"/>
  <c r="AA10" i="7"/>
  <c r="U10" i="7"/>
  <c r="I10" i="7"/>
  <c r="C10" i="7"/>
  <c r="BO9" i="7"/>
  <c r="BI9" i="7"/>
  <c r="BC9" i="7"/>
  <c r="BM8" i="7"/>
  <c r="BL8" i="7"/>
  <c r="BF8" i="7"/>
  <c r="AZ8" i="7"/>
  <c r="AT11" i="7"/>
  <c r="AT9" i="7"/>
  <c r="AT8" i="7"/>
  <c r="AO11" i="7"/>
  <c r="AN11" i="7"/>
  <c r="AN9" i="7"/>
  <c r="AN8" i="7"/>
  <c r="AH11" i="7"/>
  <c r="AH9" i="7"/>
  <c r="AH8" i="7"/>
  <c r="AC11" i="7"/>
  <c r="AB11" i="7"/>
  <c r="AB9" i="7"/>
  <c r="AB8" i="7"/>
  <c r="X13" i="7"/>
  <c r="V11" i="7"/>
  <c r="V9" i="7"/>
  <c r="V8" i="7"/>
  <c r="R13" i="7"/>
  <c r="P11" i="7"/>
  <c r="P9" i="7"/>
  <c r="P8" i="7"/>
  <c r="J11" i="7"/>
  <c r="J9" i="7"/>
  <c r="J8" i="7"/>
  <c r="D11" i="7"/>
  <c r="D9" i="7"/>
  <c r="D8" i="7"/>
  <c r="F6" i="7"/>
  <c r="E6" i="7"/>
  <c r="D6" i="7"/>
  <c r="C6" i="7"/>
  <c r="C5" i="7"/>
  <c r="A1" i="7"/>
  <c r="BF157" i="6"/>
  <c r="BF156" i="6"/>
  <c r="BF158" i="6" s="1"/>
  <c r="BF153" i="6"/>
  <c r="BF154" i="6" s="1"/>
  <c r="CJ151" i="6"/>
  <c r="CK151" i="6" s="1"/>
  <c r="CL151" i="6" s="1"/>
  <c r="CD151" i="6"/>
  <c r="CE151" i="6" s="1"/>
  <c r="CF151" i="6" s="1"/>
  <c r="BX151" i="6"/>
  <c r="BY151" i="6" s="1"/>
  <c r="BZ151" i="6" s="1"/>
  <c r="BS151" i="6"/>
  <c r="BT151" i="6" s="1"/>
  <c r="BE149" i="6"/>
  <c r="AJ149" i="6"/>
  <c r="BQ149" i="6"/>
  <c r="BQ157" i="6" s="1"/>
  <c r="BR147" i="6"/>
  <c r="BN149" i="6"/>
  <c r="BQ147" i="6" s="1"/>
  <c r="BM149" i="6"/>
  <c r="BL149" i="6"/>
  <c r="BK149" i="6"/>
  <c r="BK157" i="6" s="1"/>
  <c r="BM147" i="6"/>
  <c r="BH149" i="6"/>
  <c r="BG149" i="6"/>
  <c r="BG157" i="6" s="1"/>
  <c r="BG147" i="6"/>
  <c r="BG148" i="6" s="1"/>
  <c r="BB149" i="6"/>
  <c r="BA149" i="6"/>
  <c r="BA157" i="6" s="1"/>
  <c r="AZ149" i="6"/>
  <c r="AZ157" i="6" s="1"/>
  <c r="AY149" i="6"/>
  <c r="BB147" i="6"/>
  <c r="BA147" i="6"/>
  <c r="BA148" i="6" s="1"/>
  <c r="AV149" i="6"/>
  <c r="AU149" i="6"/>
  <c r="AU157" i="6" s="1"/>
  <c r="AT149" i="6"/>
  <c r="AT157" i="6" s="1"/>
  <c r="AS149" i="6"/>
  <c r="AS157" i="6" s="1"/>
  <c r="AU147" i="6"/>
  <c r="AT147" i="6"/>
  <c r="AT148" i="6" s="1"/>
  <c r="AP149" i="6"/>
  <c r="AP157" i="6" s="1"/>
  <c r="AO149" i="6"/>
  <c r="AN149" i="6"/>
  <c r="AN157" i="6" s="1"/>
  <c r="AM149" i="6"/>
  <c r="AM157" i="6" s="1"/>
  <c r="AN147" i="6"/>
  <c r="AM147" i="6"/>
  <c r="AM148" i="6" s="1"/>
  <c r="BQ145" i="6"/>
  <c r="BE145" i="6"/>
  <c r="BE143" i="6"/>
  <c r="BI143" i="6" s="1"/>
  <c r="AJ145" i="6"/>
  <c r="AM143" i="6" s="1"/>
  <c r="AQ143" i="6" s="1"/>
  <c r="CM144" i="6"/>
  <c r="CG144" i="6"/>
  <c r="CA144" i="6"/>
  <c r="BF143" i="6"/>
  <c r="BN145" i="6"/>
  <c r="BQ143" i="6" s="1"/>
  <c r="BM145" i="6"/>
  <c r="BL145" i="6"/>
  <c r="BK145" i="6"/>
  <c r="BN143" i="6"/>
  <c r="BM143" i="6"/>
  <c r="BH145" i="6"/>
  <c r="BG145" i="6"/>
  <c r="BH143" i="6" s="1"/>
  <c r="BG143" i="6"/>
  <c r="BG144" i="6" s="1"/>
  <c r="BB145" i="6"/>
  <c r="BA145" i="6"/>
  <c r="BA153" i="6" s="1"/>
  <c r="BA154" i="6" s="1"/>
  <c r="AZ145" i="6"/>
  <c r="AY145" i="6"/>
  <c r="BB143" i="6"/>
  <c r="BA143" i="6"/>
  <c r="AV145" i="6"/>
  <c r="AU145" i="6"/>
  <c r="AT145" i="6"/>
  <c r="AS145" i="6"/>
  <c r="AU143" i="6"/>
  <c r="AT143" i="6"/>
  <c r="AP145" i="6"/>
  <c r="AS143" i="6" s="1"/>
  <c r="AS144" i="6" s="1"/>
  <c r="AO145" i="6"/>
  <c r="AN145" i="6"/>
  <c r="AM145" i="6"/>
  <c r="AN143" i="6"/>
  <c r="BQ140" i="6"/>
  <c r="BQ141" i="6" s="1"/>
  <c r="BM140" i="6"/>
  <c r="BM141" i="6" s="1"/>
  <c r="BK140" i="6"/>
  <c r="BK141" i="6" s="1"/>
  <c r="BH141" i="6"/>
  <c r="BH140" i="6"/>
  <c r="BG140" i="6"/>
  <c r="BG141" i="6" s="1"/>
  <c r="BF140" i="6"/>
  <c r="BF141" i="6" s="1"/>
  <c r="BE140" i="6"/>
  <c r="BE141" i="6" s="1"/>
  <c r="BB140" i="6"/>
  <c r="BB141" i="6" s="1"/>
  <c r="AZ140" i="6"/>
  <c r="AZ141" i="6" s="1"/>
  <c r="AY140" i="6"/>
  <c r="AY141" i="6" s="1"/>
  <c r="AV140" i="6"/>
  <c r="AV141" i="6" s="1"/>
  <c r="AU140" i="6"/>
  <c r="AU141" i="6" s="1"/>
  <c r="AT140" i="6"/>
  <c r="AT141" i="6" s="1"/>
  <c r="AS140" i="6"/>
  <c r="AS141" i="6" s="1"/>
  <c r="AP140" i="6"/>
  <c r="AP141" i="6" s="1"/>
  <c r="AO140" i="6"/>
  <c r="AO141" i="6" s="1"/>
  <c r="AN140" i="6"/>
  <c r="AN141" i="6" s="1"/>
  <c r="AM140" i="6"/>
  <c r="AM141" i="6" s="1"/>
  <c r="CJ138" i="6"/>
  <c r="CK138" i="6" s="1"/>
  <c r="CL138" i="6" s="1"/>
  <c r="CD138" i="6"/>
  <c r="CE138" i="6" s="1"/>
  <c r="CF138" i="6" s="1"/>
  <c r="BX138" i="6"/>
  <c r="BY138" i="6" s="1"/>
  <c r="BZ138" i="6" s="1"/>
  <c r="BS138" i="6"/>
  <c r="BT138" i="6" s="1"/>
  <c r="BL136" i="6"/>
  <c r="BL134" i="6"/>
  <c r="BK134" i="6"/>
  <c r="BO134" i="6" s="1"/>
  <c r="BR134" i="6"/>
  <c r="BN136" i="6"/>
  <c r="BN157" i="6" s="1"/>
  <c r="BN134" i="6"/>
  <c r="BN135" i="6" s="1"/>
  <c r="BH135" i="6"/>
  <c r="BH134" i="6"/>
  <c r="BG134" i="6"/>
  <c r="BG135" i="6" s="1"/>
  <c r="BF134" i="6"/>
  <c r="BF135" i="6" s="1"/>
  <c r="BE134" i="6"/>
  <c r="BI134" i="6" s="1"/>
  <c r="BB134" i="6"/>
  <c r="BB135" i="6" s="1"/>
  <c r="BA134" i="6"/>
  <c r="BA135" i="6" s="1"/>
  <c r="AZ134" i="6"/>
  <c r="AZ135" i="6" s="1"/>
  <c r="AY134" i="6"/>
  <c r="BC134" i="6" s="1"/>
  <c r="AV134" i="6"/>
  <c r="AV135" i="6" s="1"/>
  <c r="AU134" i="6"/>
  <c r="AU135" i="6" s="1"/>
  <c r="AT134" i="6"/>
  <c r="AT135" i="6" s="1"/>
  <c r="AS134" i="6"/>
  <c r="AS135" i="6" s="1"/>
  <c r="AP134" i="6"/>
  <c r="AP135" i="6" s="1"/>
  <c r="AO134" i="6"/>
  <c r="AO135" i="6" s="1"/>
  <c r="AN134" i="6"/>
  <c r="AN135" i="6" s="1"/>
  <c r="AM134" i="6"/>
  <c r="AQ134" i="6" s="1"/>
  <c r="BA132" i="6"/>
  <c r="BA130" i="6"/>
  <c r="BA131" i="6" s="1"/>
  <c r="CM131" i="6"/>
  <c r="CG131" i="6"/>
  <c r="CA131" i="6"/>
  <c r="BQ130" i="6"/>
  <c r="BQ131" i="6" s="1"/>
  <c r="BU131" i="6" s="1"/>
  <c r="BB130" i="6"/>
  <c r="BR130" i="6"/>
  <c r="BR135" i="6" s="1"/>
  <c r="BN130" i="6"/>
  <c r="BM130" i="6"/>
  <c r="BM131" i="6" s="1"/>
  <c r="BL130" i="6"/>
  <c r="BK130" i="6"/>
  <c r="BO130" i="6" s="1"/>
  <c r="BH130" i="6"/>
  <c r="BH131" i="6" s="1"/>
  <c r="BG130" i="6"/>
  <c r="BF130" i="6"/>
  <c r="BF131" i="6" s="1"/>
  <c r="BE130" i="6"/>
  <c r="BE131" i="6" s="1"/>
  <c r="AZ130" i="6"/>
  <c r="AZ131" i="6" s="1"/>
  <c r="AY130" i="6"/>
  <c r="AY131" i="6" s="1"/>
  <c r="AV130" i="6"/>
  <c r="AU130" i="6"/>
  <c r="AT130" i="6"/>
  <c r="AS130" i="6"/>
  <c r="AW130" i="6" s="1"/>
  <c r="AP130" i="6"/>
  <c r="AP131" i="6" s="1"/>
  <c r="AO130" i="6"/>
  <c r="AO131" i="6" s="1"/>
  <c r="AN130" i="6"/>
  <c r="AM130" i="6"/>
  <c r="AM131" i="6" s="1"/>
  <c r="BQ127" i="6"/>
  <c r="BQ128" i="6" s="1"/>
  <c r="BM127" i="6"/>
  <c r="BM128" i="6" s="1"/>
  <c r="BL127" i="6"/>
  <c r="BL128" i="6" s="1"/>
  <c r="BK127" i="6"/>
  <c r="BK128" i="6" s="1"/>
  <c r="BH127" i="6"/>
  <c r="BH128" i="6" s="1"/>
  <c r="BG127" i="6"/>
  <c r="BG128" i="6" s="1"/>
  <c r="BF127" i="6"/>
  <c r="BF128" i="6" s="1"/>
  <c r="BE127" i="6"/>
  <c r="BE128" i="6" s="1"/>
  <c r="BB127" i="6"/>
  <c r="BB128" i="6" s="1"/>
  <c r="BA127" i="6"/>
  <c r="BA128" i="6" s="1"/>
  <c r="AZ127" i="6"/>
  <c r="AZ128" i="6" s="1"/>
  <c r="CJ125" i="6"/>
  <c r="CK125" i="6" s="1"/>
  <c r="CL125" i="6" s="1"/>
  <c r="CD125" i="6"/>
  <c r="CE125" i="6" s="1"/>
  <c r="CF125" i="6" s="1"/>
  <c r="BX125" i="6"/>
  <c r="BY125" i="6" s="1"/>
  <c r="BZ125" i="6" s="1"/>
  <c r="BS125" i="6"/>
  <c r="BT125" i="6" s="1"/>
  <c r="BC121" i="6"/>
  <c r="BR121" i="6"/>
  <c r="BN123" i="6"/>
  <c r="BN121" i="6"/>
  <c r="BM121" i="6"/>
  <c r="BM122" i="6" s="1"/>
  <c r="BL121" i="6"/>
  <c r="BL122" i="6" s="1"/>
  <c r="BK121" i="6"/>
  <c r="BO121" i="6" s="1"/>
  <c r="BH121" i="6"/>
  <c r="BH122" i="6" s="1"/>
  <c r="BG121" i="6"/>
  <c r="BG122" i="6" s="1"/>
  <c r="BF121" i="6"/>
  <c r="BF122" i="6" s="1"/>
  <c r="BE121" i="6"/>
  <c r="BE122" i="6" s="1"/>
  <c r="BB121" i="6"/>
  <c r="BB122" i="6" s="1"/>
  <c r="BA121" i="6"/>
  <c r="BA122" i="6" s="1"/>
  <c r="AZ121" i="6"/>
  <c r="AZ122" i="6" s="1"/>
  <c r="BC117" i="6"/>
  <c r="CM118" i="6"/>
  <c r="CG118" i="6"/>
  <c r="CA118" i="6"/>
  <c r="BQ117" i="6"/>
  <c r="BQ118" i="6" s="1"/>
  <c r="BU118" i="6" s="1"/>
  <c r="BR117" i="6"/>
  <c r="BR122" i="6" s="1"/>
  <c r="BR14" i="7" s="1"/>
  <c r="BN117" i="6"/>
  <c r="BN118" i="6" s="1"/>
  <c r="BM117" i="6"/>
  <c r="BL117" i="6"/>
  <c r="BL125" i="6" s="1"/>
  <c r="BK117" i="6"/>
  <c r="BO117" i="6" s="1"/>
  <c r="BH117" i="6"/>
  <c r="BG117" i="6"/>
  <c r="BF117" i="6"/>
  <c r="BE117" i="6"/>
  <c r="BB117" i="6"/>
  <c r="BA117" i="6"/>
  <c r="BA118" i="6" s="1"/>
  <c r="AZ117" i="6"/>
  <c r="AZ118" i="6" s="1"/>
  <c r="BQ114" i="6"/>
  <c r="BM114" i="6"/>
  <c r="BL114" i="6"/>
  <c r="BL115" i="6" s="1"/>
  <c r="BK114" i="6"/>
  <c r="BK115" i="6" s="1"/>
  <c r="BH114" i="6"/>
  <c r="BH115" i="6" s="1"/>
  <c r="BG114" i="6"/>
  <c r="BG115" i="6" s="1"/>
  <c r="BF114" i="6"/>
  <c r="BF115" i="6" s="1"/>
  <c r="BE114" i="6"/>
  <c r="BE115" i="6" s="1"/>
  <c r="BB114" i="6"/>
  <c r="BB115" i="6" s="1"/>
  <c r="BA114" i="6"/>
  <c r="BA115" i="6" s="1"/>
  <c r="AZ114" i="6"/>
  <c r="AZ115" i="6" s="1"/>
  <c r="AY114" i="6"/>
  <c r="AY115" i="6" s="1"/>
  <c r="AV114" i="6"/>
  <c r="AU114" i="6"/>
  <c r="AU115" i="6" s="1"/>
  <c r="AT114" i="6"/>
  <c r="AT115" i="6" s="1"/>
  <c r="AS114" i="6"/>
  <c r="AS115" i="6" s="1"/>
  <c r="AP114" i="6"/>
  <c r="AP115" i="6" s="1"/>
  <c r="AO114" i="6"/>
  <c r="AO115" i="6" s="1"/>
  <c r="AN114" i="6"/>
  <c r="AN115" i="6" s="1"/>
  <c r="AM114" i="6"/>
  <c r="AM115" i="6" s="1"/>
  <c r="AJ114" i="6"/>
  <c r="AI114" i="6"/>
  <c r="AI115" i="6" s="1"/>
  <c r="AH114" i="6"/>
  <c r="AH115" i="6" s="1"/>
  <c r="AG114" i="6"/>
  <c r="AG115" i="6" s="1"/>
  <c r="AD114" i="6"/>
  <c r="AE114" i="6" s="1"/>
  <c r="AC114" i="6"/>
  <c r="AC115" i="6" s="1"/>
  <c r="AB114" i="6"/>
  <c r="AB115" i="6" s="1"/>
  <c r="AA114" i="6"/>
  <c r="AA115" i="6" s="1"/>
  <c r="X114" i="6"/>
  <c r="W114" i="6"/>
  <c r="W115" i="6" s="1"/>
  <c r="V114" i="6"/>
  <c r="V115" i="6" s="1"/>
  <c r="U114" i="6"/>
  <c r="U115" i="6" s="1"/>
  <c r="R114" i="6"/>
  <c r="S114" i="6" s="1"/>
  <c r="Q114" i="6"/>
  <c r="Q115" i="6" s="1"/>
  <c r="P114" i="6"/>
  <c r="P115" i="6" s="1"/>
  <c r="O114" i="6"/>
  <c r="O115" i="6" s="1"/>
  <c r="L114" i="6"/>
  <c r="J114" i="6"/>
  <c r="J115" i="6" s="1"/>
  <c r="F114" i="6"/>
  <c r="F115" i="6" s="1"/>
  <c r="E114" i="6"/>
  <c r="E115" i="6" s="1"/>
  <c r="D114" i="6"/>
  <c r="D115" i="6" s="1"/>
  <c r="C114" i="6"/>
  <c r="C115" i="6" s="1"/>
  <c r="CJ112" i="6"/>
  <c r="CK112" i="6" s="1"/>
  <c r="CL112" i="6" s="1"/>
  <c r="CD112" i="6"/>
  <c r="CE112" i="6" s="1"/>
  <c r="CF112" i="6" s="1"/>
  <c r="BX112" i="6"/>
  <c r="BY112" i="6" s="1"/>
  <c r="BZ112" i="6" s="1"/>
  <c r="BR112" i="6"/>
  <c r="BS112" i="6" s="1"/>
  <c r="BT112" i="6" s="1"/>
  <c r="BI109" i="6"/>
  <c r="BC109" i="6"/>
  <c r="AW109" i="6"/>
  <c r="G106" i="6"/>
  <c r="CM108" i="6"/>
  <c r="CG108" i="6"/>
  <c r="CA108" i="6"/>
  <c r="BR106" i="6"/>
  <c r="BN109" i="6"/>
  <c r="BN114" i="6" s="1"/>
  <c r="BN115" i="6" s="1"/>
  <c r="BN106" i="6"/>
  <c r="BK107" i="6"/>
  <c r="BK112" i="6" s="1"/>
  <c r="BM106" i="6"/>
  <c r="BL106" i="6"/>
  <c r="BK106" i="6"/>
  <c r="BE107" i="6"/>
  <c r="BE112" i="6" s="1"/>
  <c r="BH106" i="6"/>
  <c r="BG106" i="6"/>
  <c r="BF106" i="6"/>
  <c r="BE106" i="6"/>
  <c r="BE108" i="6" s="1"/>
  <c r="AY107" i="6"/>
  <c r="AY112" i="6" s="1"/>
  <c r="BB106" i="6"/>
  <c r="BA106" i="6"/>
  <c r="AZ106" i="6"/>
  <c r="AY106" i="6"/>
  <c r="AY108" i="6" s="1"/>
  <c r="AS107" i="6"/>
  <c r="AS112" i="6" s="1"/>
  <c r="AV106" i="6"/>
  <c r="AU106" i="6"/>
  <c r="AT106" i="6"/>
  <c r="AS106" i="6"/>
  <c r="AS108" i="6" s="1"/>
  <c r="AP106" i="6"/>
  <c r="AO106" i="6"/>
  <c r="AN106" i="6"/>
  <c r="AM106" i="6"/>
  <c r="AQ106" i="6" s="1"/>
  <c r="AJ106" i="6"/>
  <c r="AI106" i="6"/>
  <c r="AH106" i="6"/>
  <c r="AG106" i="6"/>
  <c r="AD106" i="6"/>
  <c r="AC106" i="6"/>
  <c r="AB106" i="6"/>
  <c r="AA106" i="6"/>
  <c r="X106" i="6"/>
  <c r="W106" i="6"/>
  <c r="V106" i="6"/>
  <c r="U106" i="6"/>
  <c r="R106" i="6"/>
  <c r="Q106" i="6"/>
  <c r="P106" i="6"/>
  <c r="O106" i="6"/>
  <c r="L106" i="6"/>
  <c r="K106" i="6"/>
  <c r="J106" i="6"/>
  <c r="I106" i="6"/>
  <c r="M106" i="6" s="1"/>
  <c r="F106" i="6"/>
  <c r="E106" i="6"/>
  <c r="D106" i="6"/>
  <c r="AK103" i="6"/>
  <c r="C104" i="6"/>
  <c r="D101" i="6" s="1"/>
  <c r="D104" i="6" s="1"/>
  <c r="CM103" i="6"/>
  <c r="CG103" i="6"/>
  <c r="CA103" i="6"/>
  <c r="BQ102" i="6"/>
  <c r="BQ111" i="6" s="1"/>
  <c r="BQ101" i="6"/>
  <c r="AE103" i="6"/>
  <c r="Y103" i="6"/>
  <c r="S103" i="6"/>
  <c r="M103" i="6"/>
  <c r="G103" i="6"/>
  <c r="G101" i="6"/>
  <c r="D102" i="6"/>
  <c r="D111" i="6" s="1"/>
  <c r="C102" i="6"/>
  <c r="C111" i="6" s="1"/>
  <c r="CJ102" i="6"/>
  <c r="CJ30" i="7" s="1"/>
  <c r="CD102" i="6"/>
  <c r="CD30" i="7" s="1"/>
  <c r="BX102" i="6"/>
  <c r="BX30" i="7" s="1"/>
  <c r="BR101" i="6"/>
  <c r="BL102" i="6"/>
  <c r="BL111" i="6" s="1"/>
  <c r="BK102" i="6"/>
  <c r="BK111" i="6" s="1"/>
  <c r="BN101" i="6"/>
  <c r="BM101" i="6"/>
  <c r="BL101" i="6"/>
  <c r="BL103" i="6" s="1"/>
  <c r="BK101" i="6"/>
  <c r="BK103" i="6" s="1"/>
  <c r="BF102" i="6"/>
  <c r="BF111" i="6" s="1"/>
  <c r="BE102" i="6"/>
  <c r="BE111" i="6" s="1"/>
  <c r="BH101" i="6"/>
  <c r="BG101" i="6"/>
  <c r="BF101" i="6"/>
  <c r="BF103" i="6" s="1"/>
  <c r="BE101" i="6"/>
  <c r="BE103" i="6" s="1"/>
  <c r="AZ102" i="6"/>
  <c r="AZ111" i="6" s="1"/>
  <c r="AY102" i="6"/>
  <c r="AY111" i="6" s="1"/>
  <c r="BB101" i="6"/>
  <c r="BA101" i="6"/>
  <c r="AZ101" i="6"/>
  <c r="AZ103" i="6" s="1"/>
  <c r="AY101" i="6"/>
  <c r="AY103" i="6" s="1"/>
  <c r="AT102" i="6"/>
  <c r="AT111" i="6" s="1"/>
  <c r="AS102" i="6"/>
  <c r="AS111" i="6" s="1"/>
  <c r="AV101" i="6"/>
  <c r="AU101" i="6"/>
  <c r="AT101" i="6"/>
  <c r="AT103" i="6" s="1"/>
  <c r="AS101" i="6"/>
  <c r="AS103" i="6" s="1"/>
  <c r="AO102" i="6"/>
  <c r="AN102" i="6"/>
  <c r="AN111" i="6" s="1"/>
  <c r="AM102" i="6"/>
  <c r="AM111" i="6" s="1"/>
  <c r="AP101" i="6"/>
  <c r="AO101" i="6"/>
  <c r="AN101" i="6"/>
  <c r="AN103" i="6" s="1"/>
  <c r="AM101" i="6"/>
  <c r="AM103" i="6" s="1"/>
  <c r="AH102" i="6"/>
  <c r="AH111" i="6" s="1"/>
  <c r="AG102" i="6"/>
  <c r="AG111" i="6" s="1"/>
  <c r="AB102" i="6"/>
  <c r="AB111" i="6" s="1"/>
  <c r="AA102" i="6"/>
  <c r="AA111" i="6" s="1"/>
  <c r="V102" i="6"/>
  <c r="V111" i="6" s="1"/>
  <c r="U102" i="6"/>
  <c r="U111" i="6" s="1"/>
  <c r="R102" i="6"/>
  <c r="R111" i="6" s="1"/>
  <c r="Q102" i="6"/>
  <c r="P102" i="6"/>
  <c r="P111" i="6" s="1"/>
  <c r="O102" i="6"/>
  <c r="O111" i="6" s="1"/>
  <c r="J102" i="6"/>
  <c r="J111" i="6" s="1"/>
  <c r="I102" i="6"/>
  <c r="I111" i="6" s="1"/>
  <c r="BB99" i="6"/>
  <c r="BA99" i="6"/>
  <c r="BB96" i="6" s="1"/>
  <c r="AZ99" i="6"/>
  <c r="AZ97" i="6"/>
  <c r="CL98" i="6"/>
  <c r="CK98" i="6"/>
  <c r="CJ98" i="6"/>
  <c r="CI98" i="6"/>
  <c r="CF98" i="6"/>
  <c r="CE98" i="6"/>
  <c r="CD98" i="6"/>
  <c r="CC98" i="6"/>
  <c r="BZ98" i="6"/>
  <c r="BY98" i="6"/>
  <c r="BX98" i="6"/>
  <c r="BW98" i="6"/>
  <c r="BQ99" i="6"/>
  <c r="BR96" i="6" s="1"/>
  <c r="BT98" i="6"/>
  <c r="BS98" i="6"/>
  <c r="BR98" i="6"/>
  <c r="BQ97" i="6"/>
  <c r="BQ95" i="6"/>
  <c r="BR92" i="6" s="1"/>
  <c r="BR95" i="6" s="1"/>
  <c r="AZ95" i="6"/>
  <c r="CM94" i="6"/>
  <c r="CM93" i="6"/>
  <c r="CG94" i="6"/>
  <c r="CG93" i="6"/>
  <c r="CA94" i="6"/>
  <c r="CA93" i="6"/>
  <c r="BU93" i="6"/>
  <c r="BN99" i="6"/>
  <c r="BQ96" i="6" s="1"/>
  <c r="BM99" i="6"/>
  <c r="BN96" i="6" s="1"/>
  <c r="BL99" i="6"/>
  <c r="BK99" i="6"/>
  <c r="BL96" i="6" s="1"/>
  <c r="BN97" i="6"/>
  <c r="BM97" i="6"/>
  <c r="BL97" i="6"/>
  <c r="BK97" i="6"/>
  <c r="BN95" i="6"/>
  <c r="BQ92" i="6" s="1"/>
  <c r="BM95" i="6"/>
  <c r="BL95" i="6"/>
  <c r="BK95" i="6"/>
  <c r="BH99" i="6"/>
  <c r="BG99" i="6"/>
  <c r="BH96" i="6" s="1"/>
  <c r="BF99" i="6"/>
  <c r="BG96" i="6" s="1"/>
  <c r="BG98" i="6" s="1"/>
  <c r="BE99" i="6"/>
  <c r="BF96" i="6" s="1"/>
  <c r="BH97" i="6"/>
  <c r="BG97" i="6"/>
  <c r="BF97" i="6"/>
  <c r="BE97" i="6"/>
  <c r="BE96" i="6"/>
  <c r="BI96" i="6" s="1"/>
  <c r="BH95" i="6"/>
  <c r="BG95" i="6"/>
  <c r="BF95" i="6"/>
  <c r="BG92" i="6" s="1"/>
  <c r="BG94" i="6" s="1"/>
  <c r="BE95" i="6"/>
  <c r="BF92" i="6" s="1"/>
  <c r="BB97" i="6"/>
  <c r="BA97" i="6"/>
  <c r="BC96" i="6"/>
  <c r="BA96" i="6"/>
  <c r="BB95" i="6"/>
  <c r="BA95" i="6"/>
  <c r="BO93" i="6"/>
  <c r="BI93" i="6"/>
  <c r="BC92" i="6"/>
  <c r="AZ93" i="6"/>
  <c r="BC93" i="6" s="1"/>
  <c r="BN92" i="6"/>
  <c r="BL92" i="6"/>
  <c r="BH92" i="6"/>
  <c r="BA92" i="6"/>
  <c r="CL88" i="6"/>
  <c r="CK88" i="6"/>
  <c r="CJ88" i="6"/>
  <c r="CI88" i="6"/>
  <c r="CL87" i="6"/>
  <c r="CK87" i="6"/>
  <c r="CJ87" i="6"/>
  <c r="CI87" i="6"/>
  <c r="CL86" i="6"/>
  <c r="CK86" i="6"/>
  <c r="CJ86" i="6"/>
  <c r="CI86" i="6"/>
  <c r="CF88" i="6"/>
  <c r="CF83" i="6" s="1"/>
  <c r="CL83" i="6" s="1"/>
  <c r="CE88" i="6"/>
  <c r="CD88" i="6"/>
  <c r="CC88" i="6"/>
  <c r="CC83" i="6" s="1"/>
  <c r="CI83" i="6" s="1"/>
  <c r="CF87" i="6"/>
  <c r="CF82" i="6" s="1"/>
  <c r="CL82" i="6" s="1"/>
  <c r="CE87" i="6"/>
  <c r="CE82" i="6" s="1"/>
  <c r="CD87" i="6"/>
  <c r="CC87" i="6"/>
  <c r="CC82" i="6" s="1"/>
  <c r="CI82" i="6" s="1"/>
  <c r="CF86" i="6"/>
  <c r="CF81" i="6" s="1"/>
  <c r="CE86" i="6"/>
  <c r="CD86" i="6"/>
  <c r="CC86" i="6"/>
  <c r="CC81" i="6" s="1"/>
  <c r="BZ88" i="6"/>
  <c r="BY88" i="6"/>
  <c r="BX88" i="6"/>
  <c r="BZ87" i="6"/>
  <c r="BY87" i="6"/>
  <c r="BX87" i="6"/>
  <c r="BZ86" i="6"/>
  <c r="BY86" i="6"/>
  <c r="BX86" i="6"/>
  <c r="BZ84" i="6"/>
  <c r="BY84" i="6"/>
  <c r="BX84" i="6"/>
  <c r="BW84" i="6"/>
  <c r="BT84" i="6"/>
  <c r="BS84" i="6"/>
  <c r="BR84" i="6"/>
  <c r="BQ81" i="6"/>
  <c r="BW86" i="6" s="1"/>
  <c r="CE83" i="6"/>
  <c r="CK83" i="6" s="1"/>
  <c r="CD83" i="6"/>
  <c r="CJ83" i="6" s="1"/>
  <c r="CD82" i="6"/>
  <c r="CJ82" i="6" s="1"/>
  <c r="CE81" i="6"/>
  <c r="CK81" i="6" s="1"/>
  <c r="CD81" i="6"/>
  <c r="CJ81" i="6" s="1"/>
  <c r="BN83" i="6"/>
  <c r="BT88" i="6" s="1"/>
  <c r="BN81" i="6"/>
  <c r="BM81" i="6"/>
  <c r="BL81" i="6"/>
  <c r="BR86" i="6" s="1"/>
  <c r="BK81" i="6"/>
  <c r="BF83" i="6"/>
  <c r="BH81" i="6"/>
  <c r="BG81" i="6"/>
  <c r="BF81" i="6"/>
  <c r="BE81" i="6"/>
  <c r="AY82" i="6"/>
  <c r="BB81" i="6"/>
  <c r="BA81" i="6"/>
  <c r="AZ81" i="6"/>
  <c r="AY81" i="6"/>
  <c r="AV81" i="6"/>
  <c r="AU81" i="6"/>
  <c r="AT81" i="6"/>
  <c r="AS81" i="6"/>
  <c r="AP81" i="6"/>
  <c r="AO81" i="6"/>
  <c r="AN81" i="6"/>
  <c r="AM81" i="6"/>
  <c r="AI82" i="6"/>
  <c r="AH82" i="6"/>
  <c r="AG82" i="6"/>
  <c r="AJ81" i="6"/>
  <c r="AI81" i="6"/>
  <c r="AH81" i="6"/>
  <c r="AG81" i="6"/>
  <c r="AC82" i="6"/>
  <c r="AB82" i="6"/>
  <c r="AA82" i="6"/>
  <c r="AD81" i="6"/>
  <c r="AC81" i="6"/>
  <c r="AB81" i="6"/>
  <c r="AA81" i="6"/>
  <c r="V82" i="6"/>
  <c r="U82" i="6"/>
  <c r="X81" i="6"/>
  <c r="W81" i="6"/>
  <c r="V81" i="6"/>
  <c r="U81" i="6"/>
  <c r="P82" i="6"/>
  <c r="O82" i="6"/>
  <c r="R81" i="6"/>
  <c r="Q81" i="6"/>
  <c r="P81" i="6"/>
  <c r="O81" i="6"/>
  <c r="K82" i="6"/>
  <c r="J82" i="6"/>
  <c r="I82" i="6"/>
  <c r="L81" i="6"/>
  <c r="K81" i="6"/>
  <c r="J81" i="6"/>
  <c r="I81" i="6"/>
  <c r="E82" i="6"/>
  <c r="D82" i="6"/>
  <c r="C82" i="6"/>
  <c r="F81" i="6"/>
  <c r="E81" i="6"/>
  <c r="D81" i="6"/>
  <c r="C81" i="6"/>
  <c r="BG65" i="6"/>
  <c r="BE65" i="6"/>
  <c r="BQ57" i="6"/>
  <c r="BN57" i="6"/>
  <c r="BM57" i="6"/>
  <c r="BL57" i="6"/>
  <c r="BK57" i="6"/>
  <c r="BH57" i="6"/>
  <c r="BG57" i="6"/>
  <c r="BF57" i="6"/>
  <c r="BE57" i="6"/>
  <c r="BB57" i="6"/>
  <c r="BA57" i="6"/>
  <c r="AZ57" i="6"/>
  <c r="AY57" i="6"/>
  <c r="AV57" i="6"/>
  <c r="AU57" i="6"/>
  <c r="AT57" i="6"/>
  <c r="AS57" i="6"/>
  <c r="AP57" i="6"/>
  <c r="AO57" i="6"/>
  <c r="AN57" i="6"/>
  <c r="AM57" i="6"/>
  <c r="AJ57" i="6"/>
  <c r="AI57" i="6"/>
  <c r="AH57" i="6"/>
  <c r="AG57" i="6"/>
  <c r="AD57" i="6"/>
  <c r="AC57" i="6"/>
  <c r="AB57" i="6"/>
  <c r="AA57" i="6"/>
  <c r="X58" i="6"/>
  <c r="X57" i="6"/>
  <c r="W57" i="6"/>
  <c r="V57" i="6"/>
  <c r="U57" i="6"/>
  <c r="R57" i="6"/>
  <c r="Q57" i="6"/>
  <c r="P57" i="6"/>
  <c r="O57" i="6"/>
  <c r="L57" i="6"/>
  <c r="K57" i="6"/>
  <c r="J57" i="6"/>
  <c r="I57" i="6"/>
  <c r="F57" i="6"/>
  <c r="E57" i="6"/>
  <c r="D57" i="6"/>
  <c r="C57" i="6"/>
  <c r="B53" i="6"/>
  <c r="B54" i="6" s="1"/>
  <c r="BQ51" i="6"/>
  <c r="BN51" i="6"/>
  <c r="BM51" i="6"/>
  <c r="BL51" i="6"/>
  <c r="BK51" i="6"/>
  <c r="BH51" i="6"/>
  <c r="BG51" i="6"/>
  <c r="BF51" i="6"/>
  <c r="BE51" i="6"/>
  <c r="BB51" i="6"/>
  <c r="BA51" i="6"/>
  <c r="AZ51" i="6"/>
  <c r="AY51" i="6"/>
  <c r="AV51" i="6"/>
  <c r="AU51" i="6"/>
  <c r="AT51" i="6"/>
  <c r="AS51" i="6"/>
  <c r="AP51" i="6"/>
  <c r="AO51" i="6"/>
  <c r="AN51" i="6"/>
  <c r="AM51" i="6"/>
  <c r="AJ51" i="6"/>
  <c r="AI51" i="6"/>
  <c r="AH51" i="6"/>
  <c r="AG51" i="6"/>
  <c r="AD51" i="6"/>
  <c r="AC51" i="6"/>
  <c r="AB51" i="6"/>
  <c r="AA51" i="6"/>
  <c r="X51" i="6"/>
  <c r="W51" i="6"/>
  <c r="V51" i="6"/>
  <c r="U51" i="6"/>
  <c r="R51" i="6"/>
  <c r="Q51" i="6"/>
  <c r="P51" i="6"/>
  <c r="O51" i="6"/>
  <c r="L51" i="6"/>
  <c r="K51" i="6"/>
  <c r="J51" i="6"/>
  <c r="I51" i="6"/>
  <c r="F51" i="6"/>
  <c r="E51" i="6"/>
  <c r="D51" i="6"/>
  <c r="C51" i="6"/>
  <c r="BO50" i="6"/>
  <c r="BO49" i="6"/>
  <c r="BO48" i="6"/>
  <c r="BO47" i="6"/>
  <c r="BO46" i="6"/>
  <c r="BO45" i="6"/>
  <c r="BO44" i="6"/>
  <c r="BI50" i="6"/>
  <c r="BI49" i="6"/>
  <c r="BI48" i="6"/>
  <c r="BI47" i="6"/>
  <c r="BI46" i="6"/>
  <c r="BI45" i="6"/>
  <c r="BC50" i="6"/>
  <c r="BC49" i="6"/>
  <c r="BC48" i="6"/>
  <c r="BC47" i="6"/>
  <c r="BC46" i="6"/>
  <c r="BC45" i="6"/>
  <c r="AW50" i="6"/>
  <c r="AW49" i="6"/>
  <c r="AW48" i="6"/>
  <c r="AW47" i="6"/>
  <c r="AW46" i="6"/>
  <c r="AW45" i="6"/>
  <c r="AQ50" i="6"/>
  <c r="AQ49" i="6"/>
  <c r="AQ48" i="6"/>
  <c r="AQ47" i="6"/>
  <c r="AQ46" i="6"/>
  <c r="AQ45" i="6"/>
  <c r="AK50" i="6"/>
  <c r="AK49" i="6"/>
  <c r="AK48" i="6"/>
  <c r="AK47" i="6"/>
  <c r="AK46" i="6"/>
  <c r="AK45" i="6"/>
  <c r="AE50" i="6"/>
  <c r="AE49" i="6"/>
  <c r="AE48" i="6"/>
  <c r="AE47" i="6"/>
  <c r="AE46" i="6"/>
  <c r="AE45" i="6"/>
  <c r="Y50" i="6"/>
  <c r="Y49" i="6"/>
  <c r="Y48" i="6"/>
  <c r="Y47" i="6"/>
  <c r="Y46" i="6"/>
  <c r="Y45" i="6"/>
  <c r="S50" i="6"/>
  <c r="S49" i="6"/>
  <c r="S48" i="6"/>
  <c r="S47" i="6"/>
  <c r="S46" i="6"/>
  <c r="S45" i="6"/>
  <c r="M50" i="6"/>
  <c r="M49" i="6"/>
  <c r="M48" i="6"/>
  <c r="M47" i="6"/>
  <c r="M46" i="6"/>
  <c r="M45" i="6"/>
  <c r="G50" i="6"/>
  <c r="G49" i="6"/>
  <c r="G48" i="6"/>
  <c r="G47" i="6"/>
  <c r="G46" i="6"/>
  <c r="G45" i="6"/>
  <c r="BA46" i="6"/>
  <c r="BR50" i="6"/>
  <c r="BR49" i="6"/>
  <c r="BR48" i="6"/>
  <c r="BR45" i="6"/>
  <c r="BR44" i="6"/>
  <c r="BS44" i="6" s="1"/>
  <c r="BT44" i="6" s="1"/>
  <c r="BN41" i="6"/>
  <c r="BK41" i="6"/>
  <c r="BI41" i="6"/>
  <c r="BI40" i="6"/>
  <c r="BI39" i="6"/>
  <c r="BI38" i="6"/>
  <c r="BC41" i="6"/>
  <c r="BC40" i="6"/>
  <c r="BC39" i="6"/>
  <c r="BC38" i="6"/>
  <c r="AW41" i="6"/>
  <c r="AW40" i="6"/>
  <c r="AW39" i="6"/>
  <c r="AW38" i="6"/>
  <c r="AQ41" i="6"/>
  <c r="AQ40" i="6"/>
  <c r="AQ39" i="6"/>
  <c r="AQ38" i="6"/>
  <c r="AK41" i="6"/>
  <c r="AK40" i="6"/>
  <c r="AK39" i="6"/>
  <c r="AK38" i="6"/>
  <c r="AE41" i="6"/>
  <c r="AE40" i="6"/>
  <c r="AE39" i="6"/>
  <c r="AE38" i="6"/>
  <c r="Y41" i="6"/>
  <c r="Y40" i="6"/>
  <c r="Y39" i="6"/>
  <c r="Y38" i="6"/>
  <c r="S41" i="6"/>
  <c r="S40" i="6"/>
  <c r="S39" i="6"/>
  <c r="S38" i="6"/>
  <c r="M41" i="6"/>
  <c r="M40" i="6"/>
  <c r="M39" i="6"/>
  <c r="M38" i="6"/>
  <c r="G41" i="6"/>
  <c r="G40" i="6"/>
  <c r="G39" i="6"/>
  <c r="G38" i="6"/>
  <c r="BO40" i="6"/>
  <c r="BO39" i="6"/>
  <c r="BO38" i="6"/>
  <c r="BM40" i="6"/>
  <c r="BG39" i="6"/>
  <c r="BR41" i="6"/>
  <c r="BR40" i="6"/>
  <c r="BR39" i="6"/>
  <c r="BQ36" i="6"/>
  <c r="BM36" i="6"/>
  <c r="BL36" i="6"/>
  <c r="BK36" i="6"/>
  <c r="BG36" i="6"/>
  <c r="BE36" i="6"/>
  <c r="BA36" i="6"/>
  <c r="AZ36" i="6"/>
  <c r="AY36" i="6"/>
  <c r="AU36" i="6"/>
  <c r="AU42" i="6" s="1"/>
  <c r="AT36" i="6"/>
  <c r="AS36" i="6"/>
  <c r="AO36" i="6"/>
  <c r="AN36" i="6"/>
  <c r="AM36" i="6"/>
  <c r="AI36" i="6"/>
  <c r="AH36" i="6"/>
  <c r="AG36" i="6"/>
  <c r="AC36" i="6"/>
  <c r="AC42" i="6" s="1"/>
  <c r="AB36" i="6"/>
  <c r="AA36" i="6"/>
  <c r="V36" i="6"/>
  <c r="U36" i="6"/>
  <c r="Q36" i="6"/>
  <c r="P36" i="6"/>
  <c r="O36" i="6"/>
  <c r="K36" i="6"/>
  <c r="J36" i="6"/>
  <c r="I36" i="6"/>
  <c r="E36" i="6"/>
  <c r="D36" i="6"/>
  <c r="C36" i="6"/>
  <c r="BH35" i="6"/>
  <c r="AK35" i="6"/>
  <c r="AK34" i="6"/>
  <c r="AK33" i="6"/>
  <c r="AK32" i="6"/>
  <c r="AK30" i="6"/>
  <c r="AE35" i="6"/>
  <c r="AE34" i="6"/>
  <c r="AE33" i="6"/>
  <c r="AE32" i="6"/>
  <c r="AE30" i="6"/>
  <c r="Y35" i="6"/>
  <c r="Y34" i="6"/>
  <c r="Y33" i="6"/>
  <c r="Y32" i="6"/>
  <c r="Y30" i="6"/>
  <c r="S35" i="6"/>
  <c r="S34" i="6"/>
  <c r="S33" i="6"/>
  <c r="S32" i="6"/>
  <c r="S30" i="6"/>
  <c r="M35" i="6"/>
  <c r="M34" i="6"/>
  <c r="M33" i="6"/>
  <c r="M32" i="6"/>
  <c r="M30" i="6"/>
  <c r="G35" i="6"/>
  <c r="G34" i="6"/>
  <c r="G33" i="6"/>
  <c r="G32" i="6"/>
  <c r="G30" i="6"/>
  <c r="BN31" i="6"/>
  <c r="BH31" i="6"/>
  <c r="BG31" i="6"/>
  <c r="BF31" i="6"/>
  <c r="BF82" i="6" s="1"/>
  <c r="BB31" i="6"/>
  <c r="AV31" i="6"/>
  <c r="AP31" i="6"/>
  <c r="AJ31" i="6"/>
  <c r="AD31" i="6"/>
  <c r="X31" i="6"/>
  <c r="W31" i="6"/>
  <c r="R31" i="6"/>
  <c r="Q31" i="6"/>
  <c r="Q82" i="6" s="1"/>
  <c r="Q87" i="6" s="1"/>
  <c r="L31" i="6"/>
  <c r="F31" i="6"/>
  <c r="BO30" i="6"/>
  <c r="BI30" i="6"/>
  <c r="BC30" i="6"/>
  <c r="AW30" i="6"/>
  <c r="AQ30" i="6"/>
  <c r="BO26" i="6"/>
  <c r="BO25" i="6"/>
  <c r="BO24" i="6"/>
  <c r="BO23" i="6"/>
  <c r="BO22" i="6"/>
  <c r="BO21" i="6"/>
  <c r="BO20" i="6"/>
  <c r="BO19" i="6"/>
  <c r="BM26" i="6"/>
  <c r="BL26" i="6"/>
  <c r="BI26" i="6"/>
  <c r="BI25" i="6"/>
  <c r="BI24" i="6"/>
  <c r="BI23" i="6"/>
  <c r="BI22" i="6"/>
  <c r="BI21" i="6"/>
  <c r="BI20" i="6"/>
  <c r="BI19" i="6"/>
  <c r="BG26" i="6"/>
  <c r="BC26" i="6"/>
  <c r="BC25" i="6"/>
  <c r="BC24" i="6"/>
  <c r="BC23" i="6"/>
  <c r="BC22" i="6"/>
  <c r="BC21" i="6"/>
  <c r="BC20" i="6"/>
  <c r="BC19" i="6"/>
  <c r="AW26" i="6"/>
  <c r="AW25" i="6"/>
  <c r="AW24" i="6"/>
  <c r="AW23" i="6"/>
  <c r="AQ26" i="6"/>
  <c r="AQ25" i="6"/>
  <c r="AQ24" i="6"/>
  <c r="AQ23" i="6"/>
  <c r="AK26" i="6"/>
  <c r="AK25" i="6"/>
  <c r="AK24" i="6"/>
  <c r="AK23" i="6"/>
  <c r="AE26" i="6"/>
  <c r="AE25" i="6"/>
  <c r="AE24" i="6"/>
  <c r="AE23" i="6"/>
  <c r="Y26" i="6"/>
  <c r="Y25" i="6"/>
  <c r="Y24" i="6"/>
  <c r="Y23" i="6"/>
  <c r="S26" i="6"/>
  <c r="S25" i="6"/>
  <c r="S24" i="6"/>
  <c r="S23" i="6"/>
  <c r="M26" i="6"/>
  <c r="M25" i="6"/>
  <c r="M24" i="6"/>
  <c r="M23" i="6"/>
  <c r="G26" i="6"/>
  <c r="G25" i="6"/>
  <c r="G24" i="6"/>
  <c r="G23" i="6"/>
  <c r="BB21" i="6"/>
  <c r="AZ21" i="6"/>
  <c r="AW21" i="6"/>
  <c r="AQ21" i="6"/>
  <c r="AK21" i="6"/>
  <c r="AE21" i="6"/>
  <c r="Y21" i="6"/>
  <c r="S21" i="6"/>
  <c r="M21" i="6"/>
  <c r="G21" i="6"/>
  <c r="BR26" i="6"/>
  <c r="BR25" i="6"/>
  <c r="BR21" i="6"/>
  <c r="BQ19" i="6"/>
  <c r="BM19" i="6"/>
  <c r="BM115" i="6" s="1"/>
  <c r="AV19" i="6"/>
  <c r="AQ19" i="6"/>
  <c r="AK19" i="6"/>
  <c r="AE19" i="6"/>
  <c r="Y19" i="6"/>
  <c r="S19" i="6"/>
  <c r="M19" i="6"/>
  <c r="K19" i="6"/>
  <c r="I19" i="6"/>
  <c r="G19" i="6"/>
  <c r="BN17" i="6"/>
  <c r="BG17" i="6"/>
  <c r="BE17" i="6"/>
  <c r="BB17" i="6"/>
  <c r="AV17" i="6"/>
  <c r="BQ16" i="6"/>
  <c r="BO16" i="6"/>
  <c r="BN16" i="6"/>
  <c r="BK16" i="6"/>
  <c r="BK17" i="6" s="1"/>
  <c r="BH16" i="6"/>
  <c r="BG16" i="6"/>
  <c r="BF16" i="6"/>
  <c r="BF65" i="6" s="1"/>
  <c r="BC16" i="6"/>
  <c r="AW16" i="6"/>
  <c r="AQ16" i="6"/>
  <c r="AJ16" i="6"/>
  <c r="AK16" i="6" s="1"/>
  <c r="AI16" i="6"/>
  <c r="AE16" i="6"/>
  <c r="AE15" i="6"/>
  <c r="AE14" i="6"/>
  <c r="AE13" i="6"/>
  <c r="Y16" i="6"/>
  <c r="Y15" i="6"/>
  <c r="Y14" i="6"/>
  <c r="Y13" i="6"/>
  <c r="W16" i="6"/>
  <c r="S16" i="6"/>
  <c r="S15" i="6"/>
  <c r="S14" i="6"/>
  <c r="S13" i="6"/>
  <c r="Q16" i="6"/>
  <c r="M16" i="6"/>
  <c r="M15" i="6"/>
  <c r="M14" i="6"/>
  <c r="M13" i="6"/>
  <c r="G16" i="6"/>
  <c r="G15" i="6"/>
  <c r="G14" i="6"/>
  <c r="G13" i="6"/>
  <c r="BI15" i="6"/>
  <c r="BI14" i="6"/>
  <c r="BI13" i="6"/>
  <c r="BI12" i="6"/>
  <c r="BI11" i="6"/>
  <c r="BI10" i="6"/>
  <c r="BI9" i="6"/>
  <c r="BI8" i="6"/>
  <c r="AK15" i="6"/>
  <c r="AK14" i="6"/>
  <c r="AK13" i="6"/>
  <c r="BO12" i="6"/>
  <c r="BO11" i="6"/>
  <c r="BO10" i="6"/>
  <c r="BO9" i="6"/>
  <c r="BO8" i="6"/>
  <c r="BL12" i="6"/>
  <c r="BL17" i="6" s="1"/>
  <c r="BC12" i="6"/>
  <c r="BC11" i="6"/>
  <c r="BC10" i="6"/>
  <c r="BC9" i="6"/>
  <c r="BC8" i="6"/>
  <c r="BA12" i="6"/>
  <c r="AZ12" i="6"/>
  <c r="AY12" i="6"/>
  <c r="AW12" i="6"/>
  <c r="AU12" i="6"/>
  <c r="AT12" i="6"/>
  <c r="AS12" i="6"/>
  <c r="AP12" i="6"/>
  <c r="AO12" i="6"/>
  <c r="AN12" i="6"/>
  <c r="AM12" i="6"/>
  <c r="AJ12" i="6"/>
  <c r="AI12" i="6"/>
  <c r="AH12" i="6"/>
  <c r="AG12" i="6"/>
  <c r="AG65" i="6" s="1"/>
  <c r="AD12" i="6"/>
  <c r="AC12" i="6"/>
  <c r="AB12" i="6"/>
  <c r="AA12" i="6"/>
  <c r="AA17" i="6" s="1"/>
  <c r="X12" i="6"/>
  <c r="W12" i="6"/>
  <c r="V12" i="6"/>
  <c r="U12" i="6"/>
  <c r="U17" i="6" s="1"/>
  <c r="R12" i="6"/>
  <c r="Q12" i="6"/>
  <c r="P12" i="6"/>
  <c r="O12" i="6"/>
  <c r="L12" i="6"/>
  <c r="K12" i="6"/>
  <c r="J12" i="6"/>
  <c r="I12" i="6"/>
  <c r="I65" i="6" s="1"/>
  <c r="F12" i="6"/>
  <c r="E12" i="6"/>
  <c r="D12" i="6"/>
  <c r="C12" i="6"/>
  <c r="AW10" i="6"/>
  <c r="AW9" i="6"/>
  <c r="AW8" i="6"/>
  <c r="AQ10" i="6"/>
  <c r="AQ9" i="6"/>
  <c r="AQ8" i="6"/>
  <c r="AK10" i="6"/>
  <c r="AK9" i="6"/>
  <c r="AK8" i="6"/>
  <c r="AE10" i="6"/>
  <c r="AE9" i="6"/>
  <c r="AE8" i="6"/>
  <c r="Y10" i="6"/>
  <c r="Y9" i="6"/>
  <c r="Y8" i="6"/>
  <c r="S10" i="6"/>
  <c r="S9" i="6"/>
  <c r="S8" i="6"/>
  <c r="M10" i="6"/>
  <c r="M9" i="6"/>
  <c r="M8" i="6"/>
  <c r="G10" i="6"/>
  <c r="G9" i="6"/>
  <c r="G8" i="6"/>
  <c r="BM9" i="6"/>
  <c r="BM58" i="6" s="1"/>
  <c r="BR9" i="6"/>
  <c r="BQ8" i="6"/>
  <c r="F6" i="6"/>
  <c r="E6" i="6"/>
  <c r="D6" i="6"/>
  <c r="C6" i="6"/>
  <c r="C5" i="6"/>
  <c r="A1" i="6"/>
  <c r="BH63" i="4"/>
  <c r="BG63" i="4"/>
  <c r="BF63" i="4"/>
  <c r="BE63" i="4"/>
  <c r="BQ63" i="4"/>
  <c r="BQ59" i="4"/>
  <c r="BN67" i="4"/>
  <c r="BM67" i="4"/>
  <c r="BN63" i="4"/>
  <c r="BM63" i="4"/>
  <c r="BL63" i="4"/>
  <c r="BK63" i="4"/>
  <c r="BN59" i="4"/>
  <c r="BT61" i="4" s="1"/>
  <c r="BM59" i="4"/>
  <c r="BM69" i="4" s="1"/>
  <c r="BM52" i="3" s="1"/>
  <c r="BL59" i="4"/>
  <c r="BK59" i="4"/>
  <c r="BQ61" i="4" s="1"/>
  <c r="BH59" i="4"/>
  <c r="BH69" i="4" s="1"/>
  <c r="BG59" i="4"/>
  <c r="BF59" i="4"/>
  <c r="BF69" i="4" s="1"/>
  <c r="BE59" i="4"/>
  <c r="BE69" i="4" s="1"/>
  <c r="BQ52" i="4"/>
  <c r="BW56" i="4" s="1"/>
  <c r="BH52" i="4"/>
  <c r="BN56" i="4" s="1"/>
  <c r="BG52" i="4"/>
  <c r="BM56" i="4" s="1"/>
  <c r="BF52" i="4"/>
  <c r="BE52" i="4"/>
  <c r="CJ51" i="4"/>
  <c r="CK51" i="4" s="1"/>
  <c r="CL51" i="4" s="1"/>
  <c r="CL49" i="4" s="1"/>
  <c r="CD51" i="4"/>
  <c r="CE51" i="4" s="1"/>
  <c r="CF51" i="4" s="1"/>
  <c r="CF49" i="4" s="1"/>
  <c r="BX51" i="4"/>
  <c r="BY51" i="4" s="1"/>
  <c r="BZ51" i="4" s="1"/>
  <c r="BZ49" i="4" s="1"/>
  <c r="BZ47" i="4" s="1"/>
  <c r="BQ51" i="4"/>
  <c r="BN52" i="4"/>
  <c r="BT56" i="4" s="1"/>
  <c r="BM52" i="4"/>
  <c r="BS56" i="4" s="1"/>
  <c r="BL52" i="4"/>
  <c r="BL53" i="4" s="1"/>
  <c r="BK52" i="4"/>
  <c r="BN51" i="4"/>
  <c r="BM51" i="4"/>
  <c r="BO46" i="4"/>
  <c r="BU50" i="4" s="1"/>
  <c r="BO42" i="4"/>
  <c r="BU44" i="4" s="1"/>
  <c r="BL50" i="4"/>
  <c r="BL51" i="4" s="1"/>
  <c r="BK50" i="4"/>
  <c r="BK67" i="4" s="1"/>
  <c r="BQ47" i="4"/>
  <c r="BQ48" i="4" s="1"/>
  <c r="BN47" i="4"/>
  <c r="BN48" i="4" s="1"/>
  <c r="BN54" i="4" s="1"/>
  <c r="BM47" i="4"/>
  <c r="BM48" i="4" s="1"/>
  <c r="BM54" i="4" s="1"/>
  <c r="BL47" i="4"/>
  <c r="BL48" i="4" s="1"/>
  <c r="BL54" i="4" s="1"/>
  <c r="BL55" i="4" s="1"/>
  <c r="BK47" i="4"/>
  <c r="BK48" i="4" s="1"/>
  <c r="CK49" i="4"/>
  <c r="CJ49" i="4"/>
  <c r="CI49" i="4"/>
  <c r="CJ47" i="4"/>
  <c r="CI47" i="4"/>
  <c r="CE49" i="4"/>
  <c r="CD49" i="4"/>
  <c r="CC49" i="4"/>
  <c r="CE47" i="4"/>
  <c r="BY49" i="4"/>
  <c r="BX49" i="4"/>
  <c r="BW49" i="4"/>
  <c r="BW47" i="4"/>
  <c r="BW46" i="4" s="1"/>
  <c r="BT49" i="4"/>
  <c r="BS49" i="4"/>
  <c r="BR49" i="4"/>
  <c r="BT54" i="4"/>
  <c r="BS54" i="4"/>
  <c r="BR54" i="4"/>
  <c r="BR47" i="4"/>
  <c r="BR46" i="4" s="1"/>
  <c r="BI46" i="4"/>
  <c r="BO47" i="4" s="1"/>
  <c r="CJ45" i="4"/>
  <c r="CK45" i="4" s="1"/>
  <c r="CD45" i="4"/>
  <c r="CE45" i="4" s="1"/>
  <c r="CE43" i="4" s="1"/>
  <c r="BX45" i="4"/>
  <c r="BY45" i="4" s="1"/>
  <c r="BZ45" i="4" s="1"/>
  <c r="BZ43" i="4" s="1"/>
  <c r="BL44" i="4"/>
  <c r="BK44" i="4"/>
  <c r="BK61" i="4" s="1"/>
  <c r="BK73" i="4" s="1"/>
  <c r="BT43" i="4"/>
  <c r="BS43" i="4"/>
  <c r="BR43" i="4"/>
  <c r="BQ43" i="4"/>
  <c r="BQ45" i="4" s="1"/>
  <c r="BN43" i="4"/>
  <c r="BN45" i="4" s="1"/>
  <c r="BM43" i="4"/>
  <c r="BM45" i="4" s="1"/>
  <c r="BL43" i="4"/>
  <c r="BL45" i="4" s="1"/>
  <c r="BK43" i="4"/>
  <c r="BK45" i="4" s="1"/>
  <c r="CJ43" i="4"/>
  <c r="CI43" i="4"/>
  <c r="CD43" i="4"/>
  <c r="CC43" i="4"/>
  <c r="BX43" i="4"/>
  <c r="BW43" i="4"/>
  <c r="BW42" i="4" s="1"/>
  <c r="CC42" i="4" s="1"/>
  <c r="CI42" i="4" s="1"/>
  <c r="BT42" i="4"/>
  <c r="BS42" i="4"/>
  <c r="BR42" i="4"/>
  <c r="BI42" i="4"/>
  <c r="BO44" i="4" s="1"/>
  <c r="BQ35" i="4"/>
  <c r="BW39" i="4" s="1"/>
  <c r="BH35" i="4"/>
  <c r="BG35" i="4"/>
  <c r="BF35" i="4"/>
  <c r="BL39" i="4" s="1"/>
  <c r="BE35" i="4"/>
  <c r="BK39" i="4" s="1"/>
  <c r="CJ34" i="4"/>
  <c r="CK34" i="4" s="1"/>
  <c r="CD34" i="4"/>
  <c r="CE34" i="4" s="1"/>
  <c r="BY34" i="4"/>
  <c r="BZ34" i="4" s="1"/>
  <c r="BZ32" i="4" s="1"/>
  <c r="BZ30" i="4" s="1"/>
  <c r="BX34" i="4"/>
  <c r="BQ34" i="4"/>
  <c r="BN39" i="4"/>
  <c r="BM39" i="4"/>
  <c r="BN35" i="4"/>
  <c r="BN36" i="4" s="1"/>
  <c r="BM35" i="4"/>
  <c r="BS39" i="4" s="1"/>
  <c r="BL35" i="4"/>
  <c r="BR39" i="4" s="1"/>
  <c r="BK35" i="4"/>
  <c r="BQ39" i="4" s="1"/>
  <c r="BN34" i="4"/>
  <c r="BM34" i="4"/>
  <c r="BL34" i="4"/>
  <c r="BK34" i="4"/>
  <c r="BO29" i="4"/>
  <c r="BO25" i="4"/>
  <c r="BQ30" i="4"/>
  <c r="BQ31" i="4" s="1"/>
  <c r="BN30" i="4"/>
  <c r="BN31" i="4" s="1"/>
  <c r="BN37" i="4" s="1"/>
  <c r="BM30" i="4"/>
  <c r="BM31" i="4" s="1"/>
  <c r="BM37" i="4" s="1"/>
  <c r="BL30" i="4"/>
  <c r="BL31" i="4" s="1"/>
  <c r="BL37" i="4" s="1"/>
  <c r="BK30" i="4"/>
  <c r="BK31" i="4" s="1"/>
  <c r="CJ32" i="4"/>
  <c r="CJ30" i="4" s="1"/>
  <c r="CI32" i="4"/>
  <c r="CD32" i="4"/>
  <c r="CC32" i="4"/>
  <c r="BY32" i="4"/>
  <c r="BX32" i="4"/>
  <c r="BW32" i="4"/>
  <c r="BY30" i="4"/>
  <c r="BW37" i="4"/>
  <c r="BT32" i="4"/>
  <c r="BT30" i="4" s="1"/>
  <c r="BT29" i="4" s="1"/>
  <c r="BS32" i="4"/>
  <c r="BR32" i="4"/>
  <c r="BT37" i="4"/>
  <c r="BR37" i="4"/>
  <c r="BI29" i="4"/>
  <c r="BO33" i="4" s="1"/>
  <c r="CJ28" i="4"/>
  <c r="CK28" i="4" s="1"/>
  <c r="CD28" i="4"/>
  <c r="CE28" i="4" s="1"/>
  <c r="BX28" i="4"/>
  <c r="BY28" i="4" s="1"/>
  <c r="BY26" i="4" s="1"/>
  <c r="BT26" i="4"/>
  <c r="BS26" i="4"/>
  <c r="BR26" i="4"/>
  <c r="BQ26" i="4"/>
  <c r="BQ28" i="4" s="1"/>
  <c r="BN26" i="4"/>
  <c r="BN28" i="4" s="1"/>
  <c r="BM26" i="4"/>
  <c r="BM28" i="4" s="1"/>
  <c r="BL26" i="4"/>
  <c r="BL28" i="4" s="1"/>
  <c r="BK26" i="4"/>
  <c r="BK28" i="4" s="1"/>
  <c r="CI26" i="4"/>
  <c r="CC26" i="4"/>
  <c r="BW26" i="4"/>
  <c r="BW25" i="4" s="1"/>
  <c r="BT25" i="4"/>
  <c r="BS25" i="4"/>
  <c r="BR25" i="4"/>
  <c r="BI25" i="4"/>
  <c r="BO27" i="4" s="1"/>
  <c r="BQ18" i="4"/>
  <c r="BW22" i="4" s="1"/>
  <c r="BH18" i="4"/>
  <c r="BG18" i="4"/>
  <c r="BM22" i="4" s="1"/>
  <c r="BF18" i="4"/>
  <c r="BE18" i="4"/>
  <c r="BK22" i="4" s="1"/>
  <c r="CJ17" i="4"/>
  <c r="CK17" i="4" s="1"/>
  <c r="CD17" i="4"/>
  <c r="CE17" i="4" s="1"/>
  <c r="BY17" i="4"/>
  <c r="BZ17" i="4" s="1"/>
  <c r="BZ15" i="4" s="1"/>
  <c r="BZ13" i="4" s="1"/>
  <c r="BX17" i="4"/>
  <c r="BQ17" i="4"/>
  <c r="BN22" i="4"/>
  <c r="BL22" i="4"/>
  <c r="BN18" i="4"/>
  <c r="BN19" i="4" s="1"/>
  <c r="BM18" i="4"/>
  <c r="BS22" i="4" s="1"/>
  <c r="BL18" i="4"/>
  <c r="BR22" i="4" s="1"/>
  <c r="BK18" i="4"/>
  <c r="BN17" i="4"/>
  <c r="BM17" i="4"/>
  <c r="BL17" i="4"/>
  <c r="BK17" i="4"/>
  <c r="BO12" i="4"/>
  <c r="BU16" i="4" s="1"/>
  <c r="BO8" i="4"/>
  <c r="BQ13" i="4"/>
  <c r="BQ14" i="4" s="1"/>
  <c r="BN13" i="4"/>
  <c r="BN14" i="4" s="1"/>
  <c r="BN65" i="4" s="1"/>
  <c r="BN71" i="4" s="1"/>
  <c r="BM13" i="4"/>
  <c r="BM14" i="4" s="1"/>
  <c r="BL13" i="4"/>
  <c r="BL14" i="4" s="1"/>
  <c r="BK13" i="4"/>
  <c r="BK14" i="4" s="1"/>
  <c r="CJ15" i="4"/>
  <c r="CI15" i="4"/>
  <c r="CD15" i="4"/>
  <c r="CC15" i="4"/>
  <c r="BX15" i="4"/>
  <c r="BW15" i="4"/>
  <c r="BT15" i="4"/>
  <c r="BS15" i="4"/>
  <c r="BR15" i="4"/>
  <c r="BR13" i="4" s="1"/>
  <c r="BR12" i="4" s="1"/>
  <c r="BI12" i="4"/>
  <c r="BO16" i="4" s="1"/>
  <c r="CK11" i="4"/>
  <c r="CL11" i="4" s="1"/>
  <c r="CL9" i="4" s="1"/>
  <c r="CJ11" i="4"/>
  <c r="CD11" i="4"/>
  <c r="CD9" i="4" s="1"/>
  <c r="BX11" i="4"/>
  <c r="BY11" i="4" s="1"/>
  <c r="BZ11" i="4" s="1"/>
  <c r="BZ9" i="4" s="1"/>
  <c r="BT9" i="4"/>
  <c r="BS9" i="4"/>
  <c r="BS8" i="4" s="1"/>
  <c r="BR9" i="4"/>
  <c r="BR8" i="4" s="1"/>
  <c r="BQ9" i="4"/>
  <c r="BQ11" i="4" s="1"/>
  <c r="BN9" i="4"/>
  <c r="BN11" i="4" s="1"/>
  <c r="BM9" i="4"/>
  <c r="BM11" i="4" s="1"/>
  <c r="BL9" i="4"/>
  <c r="BL11" i="4" s="1"/>
  <c r="BK9" i="4"/>
  <c r="BK11" i="4" s="1"/>
  <c r="CJ9" i="4"/>
  <c r="CI9" i="4"/>
  <c r="CC9" i="4"/>
  <c r="BX9" i="4"/>
  <c r="BW9" i="4"/>
  <c r="BW8" i="4" s="1"/>
  <c r="BT8" i="4"/>
  <c r="BI8" i="4"/>
  <c r="BO10" i="4" s="1"/>
  <c r="J6" i="4"/>
  <c r="P6" i="4" s="1"/>
  <c r="I6" i="4"/>
  <c r="I5" i="4"/>
  <c r="O5" i="4" s="1"/>
  <c r="G5" i="4"/>
  <c r="A1" i="4"/>
  <c r="F63" i="2"/>
  <c r="E63" i="2"/>
  <c r="D63" i="2"/>
  <c r="C63" i="2"/>
  <c r="G63" i="2" s="1"/>
  <c r="BQ63" i="2"/>
  <c r="BQ59" i="2"/>
  <c r="BN63" i="2"/>
  <c r="BM63" i="2"/>
  <c r="BL63" i="2"/>
  <c r="BK63" i="2"/>
  <c r="BN59" i="2"/>
  <c r="BT61" i="2" s="1"/>
  <c r="BM59" i="2"/>
  <c r="BS61" i="2" s="1"/>
  <c r="BL59" i="2"/>
  <c r="BK59" i="2"/>
  <c r="BH63" i="2"/>
  <c r="BG63" i="2"/>
  <c r="BF63" i="2"/>
  <c r="BE63" i="2"/>
  <c r="BH59" i="2"/>
  <c r="BG59" i="2"/>
  <c r="BG69" i="2" s="1"/>
  <c r="BF59" i="2"/>
  <c r="BF69" i="2" s="1"/>
  <c r="BE59" i="2"/>
  <c r="BB63" i="2"/>
  <c r="BH67" i="2" s="1"/>
  <c r="BA63" i="2"/>
  <c r="BG67" i="2" s="1"/>
  <c r="AZ63" i="2"/>
  <c r="BF67" i="2" s="1"/>
  <c r="AY63" i="2"/>
  <c r="BB59" i="2"/>
  <c r="BA59" i="2"/>
  <c r="BG61" i="2" s="1"/>
  <c r="AZ59" i="2"/>
  <c r="AZ69" i="2" s="1"/>
  <c r="AY59" i="2"/>
  <c r="AV63" i="2"/>
  <c r="AU63" i="2"/>
  <c r="BA67" i="2" s="1"/>
  <c r="AT63" i="2"/>
  <c r="AS63" i="2"/>
  <c r="AY65" i="2" s="1"/>
  <c r="AV59" i="2"/>
  <c r="BB61" i="2" s="1"/>
  <c r="AU59" i="2"/>
  <c r="BA61" i="2" s="1"/>
  <c r="AT59" i="2"/>
  <c r="AT69" i="2" s="1"/>
  <c r="AS59" i="2"/>
  <c r="AY61" i="2" s="1"/>
  <c r="AP63" i="2"/>
  <c r="AO63" i="2"/>
  <c r="AU67" i="2" s="1"/>
  <c r="AN63" i="2"/>
  <c r="AT65" i="2" s="1"/>
  <c r="AM63" i="2"/>
  <c r="AS65" i="2" s="1"/>
  <c r="AP59" i="2"/>
  <c r="AV61" i="2" s="1"/>
  <c r="AO59" i="2"/>
  <c r="AU61" i="2" s="1"/>
  <c r="AN59" i="2"/>
  <c r="AT61" i="2" s="1"/>
  <c r="AM59" i="2"/>
  <c r="AS61" i="2" s="1"/>
  <c r="AJ63" i="2"/>
  <c r="AP65" i="2" s="1"/>
  <c r="AI63" i="2"/>
  <c r="AJ59" i="2"/>
  <c r="AJ69" i="2" s="1"/>
  <c r="AI59" i="2"/>
  <c r="X63" i="2"/>
  <c r="AD65" i="2" s="1"/>
  <c r="W63" i="2"/>
  <c r="AC65" i="2" s="1"/>
  <c r="V63" i="2"/>
  <c r="AB65" i="2" s="1"/>
  <c r="U63" i="2"/>
  <c r="X59" i="2"/>
  <c r="AD61" i="2" s="1"/>
  <c r="W59" i="2"/>
  <c r="V59" i="2"/>
  <c r="AB61" i="2" s="1"/>
  <c r="U59" i="2"/>
  <c r="R63" i="2"/>
  <c r="X67" i="2" s="1"/>
  <c r="Q63" i="2"/>
  <c r="W65" i="2" s="1"/>
  <c r="P63" i="2"/>
  <c r="V67" i="2" s="1"/>
  <c r="O63" i="2"/>
  <c r="R59" i="2"/>
  <c r="Q59" i="2"/>
  <c r="Q69" i="2" s="1"/>
  <c r="P59" i="2"/>
  <c r="V61" i="2" s="1"/>
  <c r="O59" i="2"/>
  <c r="L67" i="2"/>
  <c r="K67" i="2"/>
  <c r="J67" i="2"/>
  <c r="I67" i="2"/>
  <c r="L65" i="2"/>
  <c r="K65" i="2"/>
  <c r="J65" i="2"/>
  <c r="I65" i="2"/>
  <c r="J64" i="2"/>
  <c r="J66" i="2" s="1"/>
  <c r="J68" i="2" s="1"/>
  <c r="L63" i="2"/>
  <c r="R67" i="2" s="1"/>
  <c r="K63" i="2"/>
  <c r="K64" i="2" s="1"/>
  <c r="K66" i="2" s="1"/>
  <c r="K68" i="2" s="1"/>
  <c r="J63" i="2"/>
  <c r="P67" i="2" s="1"/>
  <c r="I63" i="2"/>
  <c r="I64" i="2" s="1"/>
  <c r="I66" i="2" s="1"/>
  <c r="L59" i="2"/>
  <c r="R61" i="2" s="1"/>
  <c r="K59" i="2"/>
  <c r="J59" i="2"/>
  <c r="P61" i="2" s="1"/>
  <c r="I59" i="2"/>
  <c r="F59" i="2"/>
  <c r="E59" i="2"/>
  <c r="E69" i="2" s="1"/>
  <c r="D59" i="2"/>
  <c r="C59" i="2"/>
  <c r="C69" i="2" s="1"/>
  <c r="BQ52" i="2"/>
  <c r="BW56" i="2" s="1"/>
  <c r="F52" i="2"/>
  <c r="E52" i="2"/>
  <c r="D52" i="2"/>
  <c r="C52" i="2"/>
  <c r="CJ51" i="2"/>
  <c r="CK51" i="2" s="1"/>
  <c r="CL51" i="2" s="1"/>
  <c r="CL49" i="2" s="1"/>
  <c r="CD51" i="2"/>
  <c r="CE51" i="2" s="1"/>
  <c r="CF51" i="2" s="1"/>
  <c r="BX51" i="2"/>
  <c r="BY51" i="2" s="1"/>
  <c r="BZ51" i="2" s="1"/>
  <c r="BZ49" i="2" s="1"/>
  <c r="BQ51" i="2"/>
  <c r="BN52" i="2"/>
  <c r="BM52" i="2"/>
  <c r="BS56" i="2" s="1"/>
  <c r="BL52" i="2"/>
  <c r="BK52" i="2"/>
  <c r="BQ56" i="2" s="1"/>
  <c r="BN51" i="2"/>
  <c r="BM51" i="2"/>
  <c r="BL51" i="2"/>
  <c r="BK51" i="2"/>
  <c r="BH52" i="2"/>
  <c r="BG52" i="2"/>
  <c r="BM56" i="2" s="1"/>
  <c r="BF52" i="2"/>
  <c r="BL56" i="2" s="1"/>
  <c r="BE52" i="2"/>
  <c r="BB52" i="2"/>
  <c r="BA52" i="2"/>
  <c r="AZ52" i="2"/>
  <c r="BF56" i="2" s="1"/>
  <c r="AY52" i="2"/>
  <c r="BE56" i="2" s="1"/>
  <c r="AV52" i="2"/>
  <c r="AU52" i="2"/>
  <c r="BA56" i="2" s="1"/>
  <c r="AT52" i="2"/>
  <c r="AZ54" i="2" s="1"/>
  <c r="AS52" i="2"/>
  <c r="AY56" i="2" s="1"/>
  <c r="AP52" i="2"/>
  <c r="AV56" i="2" s="1"/>
  <c r="AO52" i="2"/>
  <c r="AN52" i="2"/>
  <c r="AT54" i="2" s="1"/>
  <c r="AM52" i="2"/>
  <c r="AS54" i="2" s="1"/>
  <c r="AJ52" i="2"/>
  <c r="AP53" i="2" s="1"/>
  <c r="AI52" i="2"/>
  <c r="AO56" i="2" s="1"/>
  <c r="X52" i="2"/>
  <c r="W52" i="2"/>
  <c r="V52" i="2"/>
  <c r="U52" i="2"/>
  <c r="R52" i="2"/>
  <c r="Q52" i="2"/>
  <c r="W56" i="2" s="1"/>
  <c r="P52" i="2"/>
  <c r="V53" i="2" s="1"/>
  <c r="O52" i="2"/>
  <c r="S52" i="2" s="1"/>
  <c r="L56" i="2"/>
  <c r="K56" i="2"/>
  <c r="J56" i="2"/>
  <c r="I56" i="2"/>
  <c r="L54" i="2"/>
  <c r="K54" i="2"/>
  <c r="J54" i="2"/>
  <c r="I54" i="2"/>
  <c r="L52" i="2"/>
  <c r="R56" i="2" s="1"/>
  <c r="K52" i="2"/>
  <c r="J52" i="2"/>
  <c r="P56" i="2" s="1"/>
  <c r="I52" i="2"/>
  <c r="O53" i="2" s="1"/>
  <c r="BO46" i="2"/>
  <c r="BU50" i="2" s="1"/>
  <c r="BO42" i="2"/>
  <c r="BU44" i="2" s="1"/>
  <c r="BI46" i="2"/>
  <c r="BI42" i="2"/>
  <c r="BC46" i="2"/>
  <c r="BI50" i="2" s="1"/>
  <c r="BC42" i="2"/>
  <c r="BI44" i="2" s="1"/>
  <c r="AW46" i="2"/>
  <c r="AW44" i="2"/>
  <c r="AW42" i="2"/>
  <c r="AQ46" i="2"/>
  <c r="AW48" i="2" s="1"/>
  <c r="AQ42" i="2"/>
  <c r="M50" i="2"/>
  <c r="AD54" i="2"/>
  <c r="AC54" i="2"/>
  <c r="AB54" i="2"/>
  <c r="AA54" i="2"/>
  <c r="AD50" i="2"/>
  <c r="AC50" i="2"/>
  <c r="AC67" i="2" s="1"/>
  <c r="AB50" i="2"/>
  <c r="AB67" i="2" s="1"/>
  <c r="AA50" i="2"/>
  <c r="AA67" i="2" s="1"/>
  <c r="BQ47" i="2"/>
  <c r="BQ48" i="2" s="1"/>
  <c r="BN47" i="2"/>
  <c r="BN48" i="2" s="1"/>
  <c r="BN54" i="2" s="1"/>
  <c r="BM47" i="2"/>
  <c r="BM48" i="2" s="1"/>
  <c r="BM54" i="2" s="1"/>
  <c r="BL47" i="2"/>
  <c r="BL48" i="2" s="1"/>
  <c r="BL54" i="2" s="1"/>
  <c r="BK47" i="2"/>
  <c r="BK48" i="2" s="1"/>
  <c r="BH48" i="2"/>
  <c r="BH54" i="2" s="1"/>
  <c r="BG48" i="2"/>
  <c r="BG54" i="2" s="1"/>
  <c r="BF48" i="2"/>
  <c r="BF54" i="2" s="1"/>
  <c r="BE48" i="2"/>
  <c r="BH47" i="2"/>
  <c r="BH49" i="2" s="1"/>
  <c r="BH51" i="2" s="1"/>
  <c r="BG47" i="2"/>
  <c r="BG49" i="2" s="1"/>
  <c r="BG51" i="2" s="1"/>
  <c r="BF47" i="2"/>
  <c r="BF49" i="2" s="1"/>
  <c r="BF51" i="2" s="1"/>
  <c r="BE47" i="2"/>
  <c r="BE49" i="2" s="1"/>
  <c r="BE51" i="2" s="1"/>
  <c r="BB48" i="2"/>
  <c r="BB54" i="2" s="1"/>
  <c r="BA48" i="2"/>
  <c r="BA54" i="2" s="1"/>
  <c r="BB47" i="2"/>
  <c r="BB49" i="2" s="1"/>
  <c r="BB51" i="2" s="1"/>
  <c r="BA47" i="2"/>
  <c r="AZ47" i="2"/>
  <c r="AZ49" i="2" s="1"/>
  <c r="AZ51" i="2" s="1"/>
  <c r="AY47" i="2"/>
  <c r="AY49" i="2" s="1"/>
  <c r="AY51" i="2" s="1"/>
  <c r="AV47" i="2"/>
  <c r="AV49" i="2" s="1"/>
  <c r="AV51" i="2" s="1"/>
  <c r="AU47" i="2"/>
  <c r="AU49" i="2" s="1"/>
  <c r="AU51" i="2" s="1"/>
  <c r="AT47" i="2"/>
  <c r="AT49" i="2" s="1"/>
  <c r="AT51" i="2" s="1"/>
  <c r="AS47" i="2"/>
  <c r="AS49" i="2" s="1"/>
  <c r="AS51" i="2" s="1"/>
  <c r="AP47" i="2"/>
  <c r="AP49" i="2" s="1"/>
  <c r="AP51" i="2" s="1"/>
  <c r="AO47" i="2"/>
  <c r="AO49" i="2" s="1"/>
  <c r="AO51" i="2" s="1"/>
  <c r="AI47" i="2"/>
  <c r="AI49" i="2" s="1"/>
  <c r="AI51" i="2" s="1"/>
  <c r="X47" i="2"/>
  <c r="X49" i="2" s="1"/>
  <c r="X51" i="2" s="1"/>
  <c r="W47" i="2"/>
  <c r="W49" i="2" s="1"/>
  <c r="W51" i="2" s="1"/>
  <c r="V47" i="2"/>
  <c r="V49" i="2" s="1"/>
  <c r="V51" i="2" s="1"/>
  <c r="U47" i="2"/>
  <c r="U49" i="2" s="1"/>
  <c r="U51" i="2" s="1"/>
  <c r="R47" i="2"/>
  <c r="R49" i="2" s="1"/>
  <c r="R51" i="2" s="1"/>
  <c r="Q47" i="2"/>
  <c r="Q49" i="2" s="1"/>
  <c r="Q51" i="2" s="1"/>
  <c r="P47" i="2"/>
  <c r="P49" i="2" s="1"/>
  <c r="P51" i="2" s="1"/>
  <c r="O47" i="2"/>
  <c r="O49" i="2" s="1"/>
  <c r="O51" i="2" s="1"/>
  <c r="L47" i="2"/>
  <c r="L49" i="2" s="1"/>
  <c r="L51" i="2" s="1"/>
  <c r="K47" i="2"/>
  <c r="K49" i="2" s="1"/>
  <c r="K51" i="2" s="1"/>
  <c r="J47" i="2"/>
  <c r="J49" i="2" s="1"/>
  <c r="J51" i="2" s="1"/>
  <c r="I47" i="2"/>
  <c r="I49" i="2" s="1"/>
  <c r="I51" i="2" s="1"/>
  <c r="CK49" i="2"/>
  <c r="CJ49" i="2"/>
  <c r="CI49" i="2"/>
  <c r="CK47" i="2"/>
  <c r="CI47" i="2"/>
  <c r="CF49" i="2"/>
  <c r="CE49" i="2"/>
  <c r="CD49" i="2"/>
  <c r="CC49" i="2"/>
  <c r="CD47" i="2"/>
  <c r="CF47" i="2"/>
  <c r="CE47" i="2"/>
  <c r="CC47" i="2"/>
  <c r="BY49" i="2"/>
  <c r="BX49" i="2"/>
  <c r="BW49" i="2"/>
  <c r="BW54" i="2"/>
  <c r="BY47" i="2"/>
  <c r="BT49" i="2"/>
  <c r="BS49" i="2"/>
  <c r="BR49" i="2"/>
  <c r="BT54" i="2"/>
  <c r="BS54" i="2"/>
  <c r="BR54" i="2"/>
  <c r="BT47" i="2"/>
  <c r="BT46" i="2" s="1"/>
  <c r="BS47" i="2"/>
  <c r="BS46" i="2" s="1"/>
  <c r="BY46" i="2" s="1"/>
  <c r="AH46" i="2"/>
  <c r="AG46" i="2"/>
  <c r="AK46" i="2" s="1"/>
  <c r="Y46" i="2"/>
  <c r="AE50" i="2" s="1"/>
  <c r="Y42" i="2"/>
  <c r="S46" i="2"/>
  <c r="Y50" i="2" s="1"/>
  <c r="S42" i="2"/>
  <c r="Y44" i="2" s="1"/>
  <c r="M46" i="2"/>
  <c r="M44" i="2"/>
  <c r="M42" i="2"/>
  <c r="M43" i="2" s="1"/>
  <c r="CJ45" i="2"/>
  <c r="CJ43" i="2" s="1"/>
  <c r="CD45" i="2"/>
  <c r="CE45" i="2" s="1"/>
  <c r="BX45" i="2"/>
  <c r="BY45" i="2" s="1"/>
  <c r="AD46" i="2"/>
  <c r="AC46" i="2"/>
  <c r="AB46" i="2"/>
  <c r="AA46" i="2"/>
  <c r="AG47" i="2" s="1"/>
  <c r="AG49" i="2" s="1"/>
  <c r="AG51" i="2" s="1"/>
  <c r="BT43" i="2"/>
  <c r="BS43" i="2"/>
  <c r="BR43" i="2"/>
  <c r="BQ43" i="2"/>
  <c r="BQ45" i="2" s="1"/>
  <c r="BN43" i="2"/>
  <c r="BN45" i="2" s="1"/>
  <c r="BM43" i="2"/>
  <c r="BM45" i="2" s="1"/>
  <c r="BL43" i="2"/>
  <c r="BL45" i="2" s="1"/>
  <c r="BK43" i="2"/>
  <c r="BK45" i="2" s="1"/>
  <c r="BH43" i="2"/>
  <c r="BH45" i="2" s="1"/>
  <c r="BG43" i="2"/>
  <c r="BG45" i="2" s="1"/>
  <c r="BF43" i="2"/>
  <c r="BF45" i="2" s="1"/>
  <c r="BE43" i="2"/>
  <c r="BE45" i="2" s="1"/>
  <c r="BB43" i="2"/>
  <c r="BB45" i="2" s="1"/>
  <c r="BA43" i="2"/>
  <c r="BA45" i="2" s="1"/>
  <c r="AZ43" i="2"/>
  <c r="AZ45" i="2" s="1"/>
  <c r="AY43" i="2"/>
  <c r="AY45" i="2" s="1"/>
  <c r="AV43" i="2"/>
  <c r="AV45" i="2" s="1"/>
  <c r="AU43" i="2"/>
  <c r="AU45" i="2" s="1"/>
  <c r="AT43" i="2"/>
  <c r="AT45" i="2" s="1"/>
  <c r="AS43" i="2"/>
  <c r="AS45" i="2" s="1"/>
  <c r="AP43" i="2"/>
  <c r="AP45" i="2" s="1"/>
  <c r="AO43" i="2"/>
  <c r="AO45" i="2" s="1"/>
  <c r="AM43" i="2"/>
  <c r="AM45" i="2" s="1"/>
  <c r="AJ43" i="2"/>
  <c r="AJ45" i="2" s="1"/>
  <c r="AG43" i="2"/>
  <c r="AG45" i="2" s="1"/>
  <c r="X43" i="2"/>
  <c r="X45" i="2" s="1"/>
  <c r="W43" i="2"/>
  <c r="W45" i="2" s="1"/>
  <c r="V43" i="2"/>
  <c r="V45" i="2" s="1"/>
  <c r="U43" i="2"/>
  <c r="U45" i="2" s="1"/>
  <c r="R43" i="2"/>
  <c r="R45" i="2" s="1"/>
  <c r="Q43" i="2"/>
  <c r="Q45" i="2" s="1"/>
  <c r="P43" i="2"/>
  <c r="P45" i="2" s="1"/>
  <c r="O43" i="2"/>
  <c r="O45" i="2" s="1"/>
  <c r="L43" i="2"/>
  <c r="L45" i="2" s="1"/>
  <c r="K43" i="2"/>
  <c r="K45" i="2" s="1"/>
  <c r="J43" i="2"/>
  <c r="J45" i="2" s="1"/>
  <c r="I43" i="2"/>
  <c r="I45" i="2" s="1"/>
  <c r="CI43" i="2"/>
  <c r="CC43" i="2"/>
  <c r="BX43" i="2"/>
  <c r="BW43" i="2"/>
  <c r="BW42" i="2"/>
  <c r="BT42" i="2"/>
  <c r="BS42" i="2"/>
  <c r="BR42" i="2"/>
  <c r="AH42" i="2"/>
  <c r="AG42" i="2"/>
  <c r="AK42" i="2" s="1"/>
  <c r="AD42" i="2"/>
  <c r="AC42" i="2"/>
  <c r="AC52" i="2" s="1"/>
  <c r="AB42" i="2"/>
  <c r="AB52" i="2" s="1"/>
  <c r="AB53" i="2" s="1"/>
  <c r="AB55" i="2" s="1"/>
  <c r="AA42" i="2"/>
  <c r="AA52" i="2" s="1"/>
  <c r="G38" i="2"/>
  <c r="F38" i="2"/>
  <c r="E38" i="2"/>
  <c r="D38" i="2"/>
  <c r="C38" i="2"/>
  <c r="AQ29" i="2"/>
  <c r="AQ25" i="2"/>
  <c r="AQ26" i="2" s="1"/>
  <c r="AQ28" i="2" s="1"/>
  <c r="AK29" i="2"/>
  <c r="AQ31" i="2" s="1"/>
  <c r="AK25" i="2"/>
  <c r="AQ27" i="2" s="1"/>
  <c r="AE29" i="2"/>
  <c r="AK33" i="2" s="1"/>
  <c r="AE25" i="2"/>
  <c r="AK27" i="2" s="1"/>
  <c r="BQ35" i="2"/>
  <c r="BW39" i="2" s="1"/>
  <c r="F35" i="2"/>
  <c r="L39" i="2" s="1"/>
  <c r="E35" i="2"/>
  <c r="K39" i="2" s="1"/>
  <c r="D35" i="2"/>
  <c r="J39" i="2" s="1"/>
  <c r="C35" i="2"/>
  <c r="CJ34" i="2"/>
  <c r="CK34" i="2" s="1"/>
  <c r="CL34" i="2" s="1"/>
  <c r="CD34" i="2"/>
  <c r="CE34" i="2" s="1"/>
  <c r="CF34" i="2" s="1"/>
  <c r="BX34" i="2"/>
  <c r="BY34" i="2" s="1"/>
  <c r="BZ34" i="2" s="1"/>
  <c r="BQ34" i="2"/>
  <c r="BK39" i="2"/>
  <c r="BN35" i="2"/>
  <c r="BM35" i="2"/>
  <c r="BS39" i="2" s="1"/>
  <c r="BL35" i="2"/>
  <c r="BK35" i="2"/>
  <c r="BN34" i="2"/>
  <c r="BM34" i="2"/>
  <c r="BL34" i="2"/>
  <c r="BK34" i="2"/>
  <c r="BH39" i="2"/>
  <c r="BH35" i="2"/>
  <c r="BG35" i="2"/>
  <c r="BM39" i="2" s="1"/>
  <c r="BF35" i="2"/>
  <c r="BL39" i="2" s="1"/>
  <c r="BE35" i="2"/>
  <c r="BB35" i="2"/>
  <c r="BA35" i="2"/>
  <c r="AZ35" i="2"/>
  <c r="BF39" i="2" s="1"/>
  <c r="AY35" i="2"/>
  <c r="BE39" i="2" s="1"/>
  <c r="AV35" i="2"/>
  <c r="AU35" i="2"/>
  <c r="AT35" i="2"/>
  <c r="AZ37" i="2" s="1"/>
  <c r="AS35" i="2"/>
  <c r="AY37" i="2" s="1"/>
  <c r="AP35" i="2"/>
  <c r="AV39" i="2" s="1"/>
  <c r="AO35" i="2"/>
  <c r="AU39" i="2" s="1"/>
  <c r="AN35" i="2"/>
  <c r="AM35" i="2"/>
  <c r="AJ35" i="2"/>
  <c r="AP39" i="2" s="1"/>
  <c r="AI35" i="2"/>
  <c r="AO39" i="2" s="1"/>
  <c r="AH35" i="2"/>
  <c r="AG35" i="2"/>
  <c r="AD35" i="2"/>
  <c r="AJ39" i="2" s="1"/>
  <c r="AC35" i="2"/>
  <c r="AI39" i="2" s="1"/>
  <c r="AB35" i="2"/>
  <c r="AA35" i="2"/>
  <c r="X35" i="2"/>
  <c r="AD39" i="2" s="1"/>
  <c r="W35" i="2"/>
  <c r="V35" i="2"/>
  <c r="AB39" i="2" s="1"/>
  <c r="U35" i="2"/>
  <c r="AA39" i="2" s="1"/>
  <c r="R35" i="2"/>
  <c r="X39" i="2" s="1"/>
  <c r="Q35" i="2"/>
  <c r="W39" i="2" s="1"/>
  <c r="P35" i="2"/>
  <c r="O35" i="2"/>
  <c r="U39" i="2" s="1"/>
  <c r="L36" i="2"/>
  <c r="L38" i="2" s="1"/>
  <c r="L40" i="2" s="1"/>
  <c r="L35" i="2"/>
  <c r="R39" i="2" s="1"/>
  <c r="K35" i="2"/>
  <c r="Q39" i="2" s="1"/>
  <c r="J35" i="2"/>
  <c r="P39" i="2" s="1"/>
  <c r="I35" i="2"/>
  <c r="BO29" i="2"/>
  <c r="BU33" i="2" s="1"/>
  <c r="BO25" i="2"/>
  <c r="BU27" i="2" s="1"/>
  <c r="BI29" i="2"/>
  <c r="BO33" i="2" s="1"/>
  <c r="BI25" i="2"/>
  <c r="BO27" i="2" s="1"/>
  <c r="BC29" i="2"/>
  <c r="BI33" i="2" s="1"/>
  <c r="BC25" i="2"/>
  <c r="AW33" i="2"/>
  <c r="AW31" i="2"/>
  <c r="AW29" i="2"/>
  <c r="BC33" i="2" s="1"/>
  <c r="AW27" i="2"/>
  <c r="AW25" i="2"/>
  <c r="AW26" i="2" s="1"/>
  <c r="M33" i="2"/>
  <c r="G32" i="2"/>
  <c r="F32" i="2"/>
  <c r="E32" i="2"/>
  <c r="D32" i="2"/>
  <c r="C32" i="2"/>
  <c r="BQ30" i="2"/>
  <c r="BQ31" i="2" s="1"/>
  <c r="BN30" i="2"/>
  <c r="BM30" i="2"/>
  <c r="BM31" i="2" s="1"/>
  <c r="BM37" i="2" s="1"/>
  <c r="BL30" i="2"/>
  <c r="BL31" i="2" s="1"/>
  <c r="BL37" i="2" s="1"/>
  <c r="BK30" i="2"/>
  <c r="BK31" i="2" s="1"/>
  <c r="BH31" i="2"/>
  <c r="BH37" i="2" s="1"/>
  <c r="BG31" i="2"/>
  <c r="BF31" i="2"/>
  <c r="BF37" i="2" s="1"/>
  <c r="BE31" i="2"/>
  <c r="BH30" i="2"/>
  <c r="BH32" i="2" s="1"/>
  <c r="BH34" i="2" s="1"/>
  <c r="BG30" i="2"/>
  <c r="BG32" i="2" s="1"/>
  <c r="BG34" i="2" s="1"/>
  <c r="BF30" i="2"/>
  <c r="BF32" i="2" s="1"/>
  <c r="BF34" i="2" s="1"/>
  <c r="BE30" i="2"/>
  <c r="BE32" i="2" s="1"/>
  <c r="BE34" i="2" s="1"/>
  <c r="BB31" i="2"/>
  <c r="BB37" i="2" s="1"/>
  <c r="BA31" i="2"/>
  <c r="BA37" i="2" s="1"/>
  <c r="BB30" i="2"/>
  <c r="BA30" i="2"/>
  <c r="BA32" i="2" s="1"/>
  <c r="BA34" i="2" s="1"/>
  <c r="AZ30" i="2"/>
  <c r="AZ32" i="2" s="1"/>
  <c r="AZ34" i="2" s="1"/>
  <c r="AY30" i="2"/>
  <c r="AY32" i="2" s="1"/>
  <c r="AY34" i="2" s="1"/>
  <c r="AV30" i="2"/>
  <c r="AV32" i="2" s="1"/>
  <c r="AV34" i="2" s="1"/>
  <c r="AU30" i="2"/>
  <c r="AU32" i="2" s="1"/>
  <c r="AU34" i="2" s="1"/>
  <c r="AT30" i="2"/>
  <c r="AT32" i="2" s="1"/>
  <c r="AT34" i="2" s="1"/>
  <c r="AS30" i="2"/>
  <c r="AS32" i="2" s="1"/>
  <c r="AS34" i="2" s="1"/>
  <c r="AP30" i="2"/>
  <c r="AP32" i="2" s="1"/>
  <c r="AP34" i="2" s="1"/>
  <c r="AO30" i="2"/>
  <c r="AO32" i="2" s="1"/>
  <c r="AO34" i="2" s="1"/>
  <c r="AN30" i="2"/>
  <c r="AN32" i="2" s="1"/>
  <c r="AN34" i="2" s="1"/>
  <c r="AM30" i="2"/>
  <c r="AM32" i="2" s="1"/>
  <c r="AM34" i="2" s="1"/>
  <c r="AJ30" i="2"/>
  <c r="AJ32" i="2" s="1"/>
  <c r="AJ34" i="2" s="1"/>
  <c r="AI30" i="2"/>
  <c r="AI32" i="2" s="1"/>
  <c r="AI34" i="2" s="1"/>
  <c r="AH30" i="2"/>
  <c r="AH32" i="2" s="1"/>
  <c r="AH34" i="2" s="1"/>
  <c r="AG30" i="2"/>
  <c r="AG32" i="2" s="1"/>
  <c r="AG34" i="2" s="1"/>
  <c r="AD30" i="2"/>
  <c r="AD32" i="2" s="1"/>
  <c r="AD34" i="2" s="1"/>
  <c r="AC30" i="2"/>
  <c r="AC32" i="2" s="1"/>
  <c r="AC34" i="2" s="1"/>
  <c r="AB30" i="2"/>
  <c r="AB32" i="2" s="1"/>
  <c r="AB34" i="2" s="1"/>
  <c r="AA30" i="2"/>
  <c r="AA32" i="2" s="1"/>
  <c r="AA34" i="2" s="1"/>
  <c r="X30" i="2"/>
  <c r="X32" i="2" s="1"/>
  <c r="X34" i="2" s="1"/>
  <c r="W30" i="2"/>
  <c r="W32" i="2" s="1"/>
  <c r="W34" i="2" s="1"/>
  <c r="V30" i="2"/>
  <c r="V32" i="2" s="1"/>
  <c r="V34" i="2" s="1"/>
  <c r="U30" i="2"/>
  <c r="U32" i="2" s="1"/>
  <c r="U34" i="2" s="1"/>
  <c r="R30" i="2"/>
  <c r="R32" i="2" s="1"/>
  <c r="R34" i="2" s="1"/>
  <c r="Q30" i="2"/>
  <c r="Q32" i="2" s="1"/>
  <c r="Q34" i="2" s="1"/>
  <c r="P30" i="2"/>
  <c r="P32" i="2" s="1"/>
  <c r="P34" i="2" s="1"/>
  <c r="O30" i="2"/>
  <c r="O32" i="2" s="1"/>
  <c r="O34" i="2" s="1"/>
  <c r="L30" i="2"/>
  <c r="L32" i="2" s="1"/>
  <c r="L34" i="2" s="1"/>
  <c r="K30" i="2"/>
  <c r="K32" i="2" s="1"/>
  <c r="K34" i="2" s="1"/>
  <c r="J30" i="2"/>
  <c r="J32" i="2" s="1"/>
  <c r="J34" i="2" s="1"/>
  <c r="I30" i="2"/>
  <c r="I32" i="2" s="1"/>
  <c r="I34" i="2" s="1"/>
  <c r="CL32" i="2"/>
  <c r="CK32" i="2"/>
  <c r="CJ32" i="2"/>
  <c r="CI32" i="2"/>
  <c r="CJ30" i="2"/>
  <c r="CL30" i="2"/>
  <c r="CK30" i="2"/>
  <c r="CI30" i="2"/>
  <c r="CF32" i="2"/>
  <c r="CE32" i="2"/>
  <c r="CD32" i="2"/>
  <c r="CC32" i="2"/>
  <c r="CF30" i="2"/>
  <c r="CE30" i="2"/>
  <c r="CD30" i="2"/>
  <c r="CC30" i="2"/>
  <c r="BZ32" i="2"/>
  <c r="BY32" i="2"/>
  <c r="BX32" i="2"/>
  <c r="BW32" i="2"/>
  <c r="BZ30" i="2"/>
  <c r="BY30" i="2"/>
  <c r="BX30" i="2"/>
  <c r="BW30" i="2"/>
  <c r="BW29" i="2" s="1"/>
  <c r="BT32" i="2"/>
  <c r="BS32" i="2"/>
  <c r="BS30" i="2" s="1"/>
  <c r="BS29" i="2" s="1"/>
  <c r="BY29" i="2" s="1"/>
  <c r="CE29" i="2" s="1"/>
  <c r="CK29" i="2" s="1"/>
  <c r="BR32" i="2"/>
  <c r="BT37" i="2"/>
  <c r="BS37" i="2"/>
  <c r="BR37" i="2"/>
  <c r="Y29" i="2"/>
  <c r="Y25" i="2"/>
  <c r="Y26" i="2" s="1"/>
  <c r="S29" i="2"/>
  <c r="Y30" i="2" s="1"/>
  <c r="Y32" i="2" s="1"/>
  <c r="S25" i="2"/>
  <c r="M29" i="2"/>
  <c r="M27" i="2"/>
  <c r="M25" i="2"/>
  <c r="M26" i="2" s="1"/>
  <c r="CJ28" i="2"/>
  <c r="CK28" i="2" s="1"/>
  <c r="CD28" i="2"/>
  <c r="CE28" i="2" s="1"/>
  <c r="BX28" i="2"/>
  <c r="BY28" i="2" s="1"/>
  <c r="BT26" i="2"/>
  <c r="BT25" i="2" s="1"/>
  <c r="BS26" i="2"/>
  <c r="BR26" i="2"/>
  <c r="BQ26" i="2"/>
  <c r="BQ28" i="2" s="1"/>
  <c r="BN26" i="2"/>
  <c r="BM26" i="2"/>
  <c r="BM28" i="2" s="1"/>
  <c r="BL26" i="2"/>
  <c r="BL28" i="2" s="1"/>
  <c r="BK26" i="2"/>
  <c r="BK28" i="2" s="1"/>
  <c r="BH26" i="2"/>
  <c r="BH28" i="2" s="1"/>
  <c r="BG26" i="2"/>
  <c r="BG28" i="2" s="1"/>
  <c r="BF26" i="2"/>
  <c r="BF28" i="2" s="1"/>
  <c r="BE26" i="2"/>
  <c r="BE28" i="2" s="1"/>
  <c r="BB26" i="2"/>
  <c r="BB28" i="2" s="1"/>
  <c r="BA26" i="2"/>
  <c r="BA28" i="2" s="1"/>
  <c r="AZ26" i="2"/>
  <c r="AZ28" i="2" s="1"/>
  <c r="AY26" i="2"/>
  <c r="AY28" i="2" s="1"/>
  <c r="AV26" i="2"/>
  <c r="AV28" i="2" s="1"/>
  <c r="AU26" i="2"/>
  <c r="AU28" i="2" s="1"/>
  <c r="AT26" i="2"/>
  <c r="AT28" i="2" s="1"/>
  <c r="AS26" i="2"/>
  <c r="AS28" i="2" s="1"/>
  <c r="AP26" i="2"/>
  <c r="AP28" i="2" s="1"/>
  <c r="AO26" i="2"/>
  <c r="AO28" i="2" s="1"/>
  <c r="AN26" i="2"/>
  <c r="AN28" i="2" s="1"/>
  <c r="AM26" i="2"/>
  <c r="AM28" i="2" s="1"/>
  <c r="AJ26" i="2"/>
  <c r="AJ28" i="2" s="1"/>
  <c r="AI26" i="2"/>
  <c r="AI28" i="2" s="1"/>
  <c r="AH26" i="2"/>
  <c r="AH28" i="2" s="1"/>
  <c r="AG26" i="2"/>
  <c r="AG28" i="2" s="1"/>
  <c r="AD26" i="2"/>
  <c r="AD28" i="2" s="1"/>
  <c r="AC26" i="2"/>
  <c r="AC28" i="2" s="1"/>
  <c r="AB26" i="2"/>
  <c r="AB28" i="2" s="1"/>
  <c r="AA26" i="2"/>
  <c r="AA28" i="2" s="1"/>
  <c r="X26" i="2"/>
  <c r="X28" i="2" s="1"/>
  <c r="W26" i="2"/>
  <c r="W28" i="2" s="1"/>
  <c r="V26" i="2"/>
  <c r="V28" i="2" s="1"/>
  <c r="U26" i="2"/>
  <c r="U28" i="2" s="1"/>
  <c r="R26" i="2"/>
  <c r="R28" i="2" s="1"/>
  <c r="Q26" i="2"/>
  <c r="Q28" i="2" s="1"/>
  <c r="P26" i="2"/>
  <c r="P28" i="2" s="1"/>
  <c r="O26" i="2"/>
  <c r="O28" i="2" s="1"/>
  <c r="L26" i="2"/>
  <c r="L28" i="2" s="1"/>
  <c r="K26" i="2"/>
  <c r="K28" i="2" s="1"/>
  <c r="J26" i="2"/>
  <c r="J28" i="2" s="1"/>
  <c r="I26" i="2"/>
  <c r="I28" i="2" s="1"/>
  <c r="CJ26" i="2"/>
  <c r="CI26" i="2"/>
  <c r="CD26" i="2"/>
  <c r="CC26" i="2"/>
  <c r="BW26" i="2"/>
  <c r="BW25" i="2" s="1"/>
  <c r="BS25" i="2"/>
  <c r="BR25" i="2"/>
  <c r="G21" i="2"/>
  <c r="G23" i="2" s="1"/>
  <c r="F21" i="2"/>
  <c r="F23" i="2" s="1"/>
  <c r="E21" i="2"/>
  <c r="E23" i="2" s="1"/>
  <c r="D21" i="2"/>
  <c r="D23" i="2" s="1"/>
  <c r="C21" i="2"/>
  <c r="C23" i="2" s="1"/>
  <c r="AQ12" i="2"/>
  <c r="AQ10" i="2"/>
  <c r="AQ8" i="2"/>
  <c r="AQ9" i="2" s="1"/>
  <c r="AK12" i="2"/>
  <c r="AK8" i="2"/>
  <c r="AE12" i="2"/>
  <c r="AK16" i="2" s="1"/>
  <c r="AE8" i="2"/>
  <c r="AK10" i="2" s="1"/>
  <c r="BQ18" i="2"/>
  <c r="BW22" i="2" s="1"/>
  <c r="CJ17" i="2"/>
  <c r="CK17" i="2" s="1"/>
  <c r="CD17" i="2"/>
  <c r="CE17" i="2" s="1"/>
  <c r="BX17" i="2"/>
  <c r="BY17" i="2" s="1"/>
  <c r="BQ17" i="2"/>
  <c r="BN18" i="2"/>
  <c r="BT22" i="2" s="1"/>
  <c r="BM18" i="2"/>
  <c r="BS22" i="2" s="1"/>
  <c r="BL18" i="2"/>
  <c r="BR22" i="2" s="1"/>
  <c r="BK18" i="2"/>
  <c r="BQ22" i="2" s="1"/>
  <c r="BN17" i="2"/>
  <c r="BM17" i="2"/>
  <c r="BL17" i="2"/>
  <c r="BK17" i="2"/>
  <c r="BH22" i="2"/>
  <c r="BH18" i="2"/>
  <c r="BH19" i="2" s="1"/>
  <c r="BG18" i="2"/>
  <c r="BF18" i="2"/>
  <c r="BL22" i="2" s="1"/>
  <c r="BE18" i="2"/>
  <c r="BK22" i="2" s="1"/>
  <c r="BA22" i="2"/>
  <c r="AZ22" i="2"/>
  <c r="BB18" i="2"/>
  <c r="BA18" i="2"/>
  <c r="AZ18" i="2"/>
  <c r="AY18" i="2"/>
  <c r="AV18" i="2"/>
  <c r="AT19" i="2"/>
  <c r="AT21" i="2" s="1"/>
  <c r="AU18" i="2"/>
  <c r="AU19" i="2" s="1"/>
  <c r="AU21" i="2" s="1"/>
  <c r="AU23" i="2" s="1"/>
  <c r="AT18" i="2"/>
  <c r="AZ20" i="2" s="1"/>
  <c r="AS18" i="2"/>
  <c r="AP18" i="2"/>
  <c r="AV22" i="2" s="1"/>
  <c r="AO18" i="2"/>
  <c r="AU22" i="2" s="1"/>
  <c r="AN18" i="2"/>
  <c r="AT22" i="2" s="1"/>
  <c r="AM18" i="2"/>
  <c r="AJ18" i="2"/>
  <c r="AP22" i="2" s="1"/>
  <c r="AI18" i="2"/>
  <c r="AH18" i="2"/>
  <c r="AG18" i="2"/>
  <c r="AM22" i="2" s="1"/>
  <c r="AD18" i="2"/>
  <c r="AJ22" i="2" s="1"/>
  <c r="AC18" i="2"/>
  <c r="AI22" i="2" s="1"/>
  <c r="AB18" i="2"/>
  <c r="AA18" i="2"/>
  <c r="X18" i="2"/>
  <c r="AD22" i="2" s="1"/>
  <c r="W18" i="2"/>
  <c r="AC22" i="2" s="1"/>
  <c r="V18" i="2"/>
  <c r="U18" i="2"/>
  <c r="AA22" i="2" s="1"/>
  <c r="R18" i="2"/>
  <c r="X22" i="2" s="1"/>
  <c r="Q18" i="2"/>
  <c r="W22" i="2" s="1"/>
  <c r="P18" i="2"/>
  <c r="V22" i="2" s="1"/>
  <c r="O18" i="2"/>
  <c r="L18" i="2"/>
  <c r="R22" i="2" s="1"/>
  <c r="K18" i="2"/>
  <c r="Q22" i="2" s="1"/>
  <c r="J18" i="2"/>
  <c r="P22" i="2" s="1"/>
  <c r="I18" i="2"/>
  <c r="F18" i="2"/>
  <c r="L22" i="2" s="1"/>
  <c r="E18" i="2"/>
  <c r="K22" i="2" s="1"/>
  <c r="D18" i="2"/>
  <c r="J22" i="2" s="1"/>
  <c r="C18" i="2"/>
  <c r="I22" i="2" s="1"/>
  <c r="BO12" i="2"/>
  <c r="BO13" i="2" s="1"/>
  <c r="BO8" i="2"/>
  <c r="BU10" i="2" s="1"/>
  <c r="BI12" i="2"/>
  <c r="BI8" i="2"/>
  <c r="BC12" i="2"/>
  <c r="BC8" i="2"/>
  <c r="BI10" i="2" s="1"/>
  <c r="AW14" i="2"/>
  <c r="AW12" i="2"/>
  <c r="BC16" i="2" s="1"/>
  <c r="AW10" i="2"/>
  <c r="AW8" i="2"/>
  <c r="AW9" i="2" s="1"/>
  <c r="M16" i="2"/>
  <c r="G15" i="2"/>
  <c r="G17" i="2" s="1"/>
  <c r="F15" i="2"/>
  <c r="F17" i="2" s="1"/>
  <c r="E15" i="2"/>
  <c r="E17" i="2" s="1"/>
  <c r="D15" i="2"/>
  <c r="D17" i="2" s="1"/>
  <c r="C15" i="2"/>
  <c r="C17" i="2" s="1"/>
  <c r="BQ13" i="2"/>
  <c r="BQ14" i="2" s="1"/>
  <c r="BN13" i="2"/>
  <c r="BM13" i="2"/>
  <c r="BM14" i="2" s="1"/>
  <c r="BL13" i="2"/>
  <c r="BL14" i="2" s="1"/>
  <c r="BK13" i="2"/>
  <c r="BK14" i="2" s="1"/>
  <c r="BH14" i="2"/>
  <c r="BG14" i="2"/>
  <c r="BF14" i="2"/>
  <c r="BF65" i="2" s="1"/>
  <c r="BF71" i="2" s="1"/>
  <c r="BE14" i="2"/>
  <c r="BE65" i="2" s="1"/>
  <c r="BH13" i="2"/>
  <c r="BH15" i="2" s="1"/>
  <c r="BH17" i="2" s="1"/>
  <c r="BG13" i="2"/>
  <c r="BG15" i="2" s="1"/>
  <c r="BG17" i="2" s="1"/>
  <c r="BF13" i="2"/>
  <c r="BF15" i="2" s="1"/>
  <c r="BF17" i="2" s="1"/>
  <c r="BE13" i="2"/>
  <c r="BE15" i="2" s="1"/>
  <c r="BE17" i="2" s="1"/>
  <c r="BB14" i="2"/>
  <c r="BB65" i="2" s="1"/>
  <c r="BA14" i="2"/>
  <c r="BB13" i="2"/>
  <c r="BA13" i="2"/>
  <c r="AZ13" i="2"/>
  <c r="AZ15" i="2" s="1"/>
  <c r="AZ17" i="2" s="1"/>
  <c r="AY13" i="2"/>
  <c r="AY15" i="2" s="1"/>
  <c r="AY17" i="2" s="1"/>
  <c r="AV13" i="2"/>
  <c r="AV15" i="2" s="1"/>
  <c r="AV17" i="2" s="1"/>
  <c r="AU13" i="2"/>
  <c r="AU15" i="2" s="1"/>
  <c r="AU17" i="2" s="1"/>
  <c r="AT13" i="2"/>
  <c r="AT15" i="2" s="1"/>
  <c r="AT17" i="2" s="1"/>
  <c r="AS13" i="2"/>
  <c r="AS15" i="2" s="1"/>
  <c r="AS17" i="2" s="1"/>
  <c r="AP13" i="2"/>
  <c r="AP15" i="2" s="1"/>
  <c r="AP17" i="2" s="1"/>
  <c r="AO13" i="2"/>
  <c r="AO15" i="2" s="1"/>
  <c r="AO17" i="2" s="1"/>
  <c r="AN13" i="2"/>
  <c r="AN15" i="2" s="1"/>
  <c r="AN17" i="2" s="1"/>
  <c r="AM13" i="2"/>
  <c r="AM15" i="2" s="1"/>
  <c r="AM17" i="2" s="1"/>
  <c r="AJ13" i="2"/>
  <c r="AJ15" i="2" s="1"/>
  <c r="AJ17" i="2" s="1"/>
  <c r="AI13" i="2"/>
  <c r="AI15" i="2" s="1"/>
  <c r="AI17" i="2" s="1"/>
  <c r="AH13" i="2"/>
  <c r="AH15" i="2" s="1"/>
  <c r="AH17" i="2" s="1"/>
  <c r="AG13" i="2"/>
  <c r="AG15" i="2" s="1"/>
  <c r="AG17" i="2" s="1"/>
  <c r="AD13" i="2"/>
  <c r="AD15" i="2" s="1"/>
  <c r="AD17" i="2" s="1"/>
  <c r="AC13" i="2"/>
  <c r="AC15" i="2" s="1"/>
  <c r="AC17" i="2" s="1"/>
  <c r="AB13" i="2"/>
  <c r="AB15" i="2" s="1"/>
  <c r="AB17" i="2" s="1"/>
  <c r="AA13" i="2"/>
  <c r="AA15" i="2" s="1"/>
  <c r="AA17" i="2" s="1"/>
  <c r="X13" i="2"/>
  <c r="X15" i="2" s="1"/>
  <c r="X17" i="2" s="1"/>
  <c r="W13" i="2"/>
  <c r="W15" i="2" s="1"/>
  <c r="W17" i="2" s="1"/>
  <c r="V13" i="2"/>
  <c r="V15" i="2" s="1"/>
  <c r="V17" i="2" s="1"/>
  <c r="U13" i="2"/>
  <c r="U15" i="2" s="1"/>
  <c r="U17" i="2" s="1"/>
  <c r="R13" i="2"/>
  <c r="R15" i="2" s="1"/>
  <c r="R17" i="2" s="1"/>
  <c r="Q13" i="2"/>
  <c r="Q15" i="2" s="1"/>
  <c r="Q17" i="2" s="1"/>
  <c r="P13" i="2"/>
  <c r="P15" i="2" s="1"/>
  <c r="P17" i="2" s="1"/>
  <c r="O13" i="2"/>
  <c r="O15" i="2" s="1"/>
  <c r="O17" i="2" s="1"/>
  <c r="L13" i="2"/>
  <c r="L15" i="2" s="1"/>
  <c r="L17" i="2" s="1"/>
  <c r="K13" i="2"/>
  <c r="K15" i="2" s="1"/>
  <c r="K17" i="2" s="1"/>
  <c r="J13" i="2"/>
  <c r="J15" i="2" s="1"/>
  <c r="J17" i="2" s="1"/>
  <c r="I13" i="2"/>
  <c r="I15" i="2" s="1"/>
  <c r="I17" i="2" s="1"/>
  <c r="CJ15" i="2"/>
  <c r="CI15" i="2"/>
  <c r="CD15" i="2"/>
  <c r="CC15" i="2"/>
  <c r="BX15" i="2"/>
  <c r="BW15" i="2"/>
  <c r="BX13" i="2"/>
  <c r="BT15" i="2"/>
  <c r="BS15" i="2"/>
  <c r="BR15" i="2"/>
  <c r="BR13" i="2" s="1"/>
  <c r="BR12" i="2" s="1"/>
  <c r="BS13" i="2"/>
  <c r="BS12" i="2" s="1"/>
  <c r="Y12" i="2"/>
  <c r="Y8" i="2"/>
  <c r="AE10" i="2" s="1"/>
  <c r="S12" i="2"/>
  <c r="Y16" i="2" s="1"/>
  <c r="S8" i="2"/>
  <c r="Y10" i="2" s="1"/>
  <c r="M12" i="2"/>
  <c r="S13" i="2" s="1"/>
  <c r="S15" i="2" s="1"/>
  <c r="M10" i="2"/>
  <c r="M8" i="2"/>
  <c r="M9" i="2" s="1"/>
  <c r="M11" i="2" s="1"/>
  <c r="CJ11" i="2"/>
  <c r="CJ9" i="2" s="1"/>
  <c r="CD11" i="2"/>
  <c r="CE11" i="2" s="1"/>
  <c r="BX11" i="2"/>
  <c r="BX9" i="2" s="1"/>
  <c r="W11" i="2"/>
  <c r="G11" i="2"/>
  <c r="F11" i="2"/>
  <c r="E11" i="2"/>
  <c r="D11" i="2"/>
  <c r="C11" i="2"/>
  <c r="BT9" i="2"/>
  <c r="BS9" i="2"/>
  <c r="BR9" i="2"/>
  <c r="BR8" i="2" s="1"/>
  <c r="BQ9" i="2"/>
  <c r="BQ11" i="2" s="1"/>
  <c r="BN9" i="2"/>
  <c r="BM9" i="2"/>
  <c r="BM11" i="2" s="1"/>
  <c r="BL9" i="2"/>
  <c r="BL11" i="2" s="1"/>
  <c r="BK9" i="2"/>
  <c r="BK11" i="2" s="1"/>
  <c r="BH9" i="2"/>
  <c r="BH11" i="2" s="1"/>
  <c r="BG9" i="2"/>
  <c r="BG11" i="2" s="1"/>
  <c r="BF9" i="2"/>
  <c r="BF11" i="2" s="1"/>
  <c r="BE9" i="2"/>
  <c r="BE11" i="2" s="1"/>
  <c r="BB9" i="2"/>
  <c r="BB11" i="2" s="1"/>
  <c r="BA9" i="2"/>
  <c r="BA11" i="2" s="1"/>
  <c r="AZ9" i="2"/>
  <c r="AZ11" i="2" s="1"/>
  <c r="AY9" i="2"/>
  <c r="AY11" i="2" s="1"/>
  <c r="AV9" i="2"/>
  <c r="AV11" i="2" s="1"/>
  <c r="AU9" i="2"/>
  <c r="AU11" i="2" s="1"/>
  <c r="AT9" i="2"/>
  <c r="AT11" i="2" s="1"/>
  <c r="AS9" i="2"/>
  <c r="AS11" i="2" s="1"/>
  <c r="AP9" i="2"/>
  <c r="AP11" i="2" s="1"/>
  <c r="AO9" i="2"/>
  <c r="AO11" i="2" s="1"/>
  <c r="AN9" i="2"/>
  <c r="AN11" i="2" s="1"/>
  <c r="AM9" i="2"/>
  <c r="AM11" i="2" s="1"/>
  <c r="AJ9" i="2"/>
  <c r="AJ11" i="2" s="1"/>
  <c r="AI9" i="2"/>
  <c r="AI11" i="2" s="1"/>
  <c r="AH9" i="2"/>
  <c r="AH11" i="2" s="1"/>
  <c r="AG9" i="2"/>
  <c r="AG11" i="2" s="1"/>
  <c r="AD9" i="2"/>
  <c r="AD11" i="2" s="1"/>
  <c r="AC9" i="2"/>
  <c r="AC11" i="2" s="1"/>
  <c r="AB9" i="2"/>
  <c r="AB11" i="2" s="1"/>
  <c r="AA9" i="2"/>
  <c r="AA11" i="2" s="1"/>
  <c r="X9" i="2"/>
  <c r="X11" i="2" s="1"/>
  <c r="W9" i="2"/>
  <c r="V9" i="2"/>
  <c r="V11" i="2" s="1"/>
  <c r="U9" i="2"/>
  <c r="U11" i="2" s="1"/>
  <c r="R9" i="2"/>
  <c r="R11" i="2" s="1"/>
  <c r="Q9" i="2"/>
  <c r="Q11" i="2" s="1"/>
  <c r="P9" i="2"/>
  <c r="P11" i="2" s="1"/>
  <c r="O9" i="2"/>
  <c r="O11" i="2" s="1"/>
  <c r="L9" i="2"/>
  <c r="L11" i="2" s="1"/>
  <c r="K9" i="2"/>
  <c r="K11" i="2" s="1"/>
  <c r="J9" i="2"/>
  <c r="J11" i="2" s="1"/>
  <c r="I9" i="2"/>
  <c r="I11" i="2" s="1"/>
  <c r="CI9" i="2"/>
  <c r="CD9" i="2"/>
  <c r="CC9" i="2"/>
  <c r="BW9" i="2"/>
  <c r="BW8" i="2" s="1"/>
  <c r="BT8" i="2"/>
  <c r="BS8" i="2"/>
  <c r="J6" i="2"/>
  <c r="K6" i="2" s="1"/>
  <c r="L6" i="2" s="1"/>
  <c r="O6" i="2" s="1"/>
  <c r="I6" i="2"/>
  <c r="I5" i="2"/>
  <c r="M5" i="2" s="1"/>
  <c r="G5" i="2"/>
  <c r="A1" i="2"/>
  <c r="BH80" i="1"/>
  <c r="BG80" i="1"/>
  <c r="BF80" i="1"/>
  <c r="BE80" i="1"/>
  <c r="BQ80" i="1"/>
  <c r="BQ76" i="1"/>
  <c r="BN84" i="1"/>
  <c r="BM84" i="1"/>
  <c r="BL84" i="1"/>
  <c r="BK84" i="1"/>
  <c r="BN80" i="1"/>
  <c r="BN81" i="1" s="1"/>
  <c r="BM80" i="1"/>
  <c r="BL80" i="1"/>
  <c r="BK80" i="1"/>
  <c r="BN76" i="1"/>
  <c r="BT78" i="1" s="1"/>
  <c r="BM76" i="1"/>
  <c r="BS78" i="1" s="1"/>
  <c r="BL76" i="1"/>
  <c r="BR78" i="1" s="1"/>
  <c r="BK76" i="1"/>
  <c r="BH76" i="1"/>
  <c r="BH86" i="1" s="1"/>
  <c r="BG76" i="1"/>
  <c r="BG86" i="1" s="1"/>
  <c r="BF76" i="1"/>
  <c r="BE76" i="1"/>
  <c r="BE86" i="1" s="1"/>
  <c r="L73" i="1"/>
  <c r="K73" i="1"/>
  <c r="J73" i="1"/>
  <c r="I73" i="1"/>
  <c r="AQ63" i="1"/>
  <c r="AQ59" i="1"/>
  <c r="AQ60" i="1" s="1"/>
  <c r="AK63" i="1"/>
  <c r="AQ67" i="1" s="1"/>
  <c r="AK59" i="1"/>
  <c r="AQ61" i="1" s="1"/>
  <c r="AE63" i="1"/>
  <c r="AE59" i="1"/>
  <c r="AK61" i="1" s="1"/>
  <c r="BQ69" i="1"/>
  <c r="BW73" i="1" s="1"/>
  <c r="CJ68" i="1"/>
  <c r="CK68" i="1" s="1"/>
  <c r="CE68" i="1"/>
  <c r="CD68" i="1"/>
  <c r="BX68" i="1"/>
  <c r="BY68" i="1" s="1"/>
  <c r="BQ68" i="1"/>
  <c r="BN69" i="1"/>
  <c r="BM69" i="1"/>
  <c r="BL69" i="1"/>
  <c r="BK69" i="1"/>
  <c r="BQ73" i="1" s="1"/>
  <c r="BN68" i="1"/>
  <c r="BM68" i="1"/>
  <c r="BL68" i="1"/>
  <c r="BK68" i="1"/>
  <c r="BE73" i="1"/>
  <c r="BH69" i="1"/>
  <c r="BN73" i="1" s="1"/>
  <c r="BG69" i="1"/>
  <c r="BG70" i="1" s="1"/>
  <c r="BF69" i="1"/>
  <c r="BE69" i="1"/>
  <c r="BK73" i="1" s="1"/>
  <c r="AY73" i="1"/>
  <c r="BB69" i="1"/>
  <c r="BH73" i="1" s="1"/>
  <c r="BA69" i="1"/>
  <c r="BG73" i="1" s="1"/>
  <c r="AZ69" i="1"/>
  <c r="BF73" i="1" s="1"/>
  <c r="AY69" i="1"/>
  <c r="AV70" i="1"/>
  <c r="AV69" i="1"/>
  <c r="BB73" i="1" s="1"/>
  <c r="AS70" i="1"/>
  <c r="AS72" i="1" s="1"/>
  <c r="AU69" i="1"/>
  <c r="AT69" i="1"/>
  <c r="AZ73" i="1" s="1"/>
  <c r="AS69" i="1"/>
  <c r="AY71" i="1" s="1"/>
  <c r="AP69" i="1"/>
  <c r="AV71" i="1" s="1"/>
  <c r="AO69" i="1"/>
  <c r="AN69" i="1"/>
  <c r="AM69" i="1"/>
  <c r="AS73" i="1" s="1"/>
  <c r="AJ69" i="1"/>
  <c r="AP73" i="1" s="1"/>
  <c r="AI69" i="1"/>
  <c r="AH69" i="1"/>
  <c r="AN73" i="1" s="1"/>
  <c r="AG69" i="1"/>
  <c r="AD69" i="1"/>
  <c r="AJ73" i="1" s="1"/>
  <c r="AC69" i="1"/>
  <c r="AI73" i="1" s="1"/>
  <c r="AB69" i="1"/>
  <c r="AH73" i="1" s="1"/>
  <c r="AA69" i="1"/>
  <c r="X69" i="1"/>
  <c r="AD73" i="1" s="1"/>
  <c r="W69" i="1"/>
  <c r="AC73" i="1" s="1"/>
  <c r="V69" i="1"/>
  <c r="U69" i="1"/>
  <c r="U70" i="1" s="1"/>
  <c r="U72" i="1" s="1"/>
  <c r="R70" i="1"/>
  <c r="R72" i="1" s="1"/>
  <c r="R69" i="1"/>
  <c r="X73" i="1" s="1"/>
  <c r="Q69" i="1"/>
  <c r="W73" i="1" s="1"/>
  <c r="P69" i="1"/>
  <c r="V73" i="1" s="1"/>
  <c r="O69" i="1"/>
  <c r="J70" i="1"/>
  <c r="J72" i="1" s="1"/>
  <c r="L69" i="1"/>
  <c r="K69" i="1"/>
  <c r="Q73" i="1" s="1"/>
  <c r="J69" i="1"/>
  <c r="P73" i="1" s="1"/>
  <c r="I69" i="1"/>
  <c r="O73" i="1" s="1"/>
  <c r="BO63" i="1"/>
  <c r="BO59" i="1"/>
  <c r="BI67" i="1"/>
  <c r="BI63" i="1"/>
  <c r="BO67" i="1" s="1"/>
  <c r="BI60" i="1"/>
  <c r="BI59" i="1"/>
  <c r="BO61" i="1" s="1"/>
  <c r="BC63" i="1"/>
  <c r="BC59" i="1"/>
  <c r="BI61" i="1" s="1"/>
  <c r="AW67" i="1"/>
  <c r="AW65" i="1"/>
  <c r="AW63" i="1"/>
  <c r="BC67" i="1" s="1"/>
  <c r="AW61" i="1"/>
  <c r="AW59" i="1"/>
  <c r="AW60" i="1" s="1"/>
  <c r="M67" i="1"/>
  <c r="BQ64" i="1"/>
  <c r="BQ65" i="1" s="1"/>
  <c r="BN64" i="1"/>
  <c r="BN65" i="1" s="1"/>
  <c r="BN71" i="1" s="1"/>
  <c r="BM64" i="1"/>
  <c r="BM65" i="1" s="1"/>
  <c r="BM71" i="1" s="1"/>
  <c r="BL64" i="1"/>
  <c r="BL65" i="1" s="1"/>
  <c r="BL71" i="1" s="1"/>
  <c r="BK64" i="1"/>
  <c r="BK65" i="1" s="1"/>
  <c r="BH66" i="1"/>
  <c r="BH68" i="1" s="1"/>
  <c r="BH65" i="1"/>
  <c r="BH71" i="1" s="1"/>
  <c r="BG65" i="1"/>
  <c r="BG71" i="1" s="1"/>
  <c r="BG72" i="1" s="1"/>
  <c r="BG74" i="1" s="1"/>
  <c r="BF65" i="1"/>
  <c r="BF71" i="1" s="1"/>
  <c r="BE65" i="1"/>
  <c r="BE71" i="1" s="1"/>
  <c r="BH64" i="1"/>
  <c r="BG64" i="1"/>
  <c r="BG66" i="1" s="1"/>
  <c r="BG68" i="1" s="1"/>
  <c r="BF64" i="1"/>
  <c r="BF66" i="1" s="1"/>
  <c r="BF68" i="1" s="1"/>
  <c r="BE64" i="1"/>
  <c r="BE66" i="1" s="1"/>
  <c r="BE68" i="1" s="1"/>
  <c r="BB65" i="1"/>
  <c r="BB71" i="1" s="1"/>
  <c r="BA65" i="1"/>
  <c r="BA71" i="1" s="1"/>
  <c r="BB64" i="1"/>
  <c r="BB66" i="1" s="1"/>
  <c r="BB68" i="1" s="1"/>
  <c r="BA64" i="1"/>
  <c r="BA66" i="1" s="1"/>
  <c r="BA68" i="1" s="1"/>
  <c r="AZ64" i="1"/>
  <c r="AZ66" i="1" s="1"/>
  <c r="AZ68" i="1" s="1"/>
  <c r="AY64" i="1"/>
  <c r="AY66" i="1" s="1"/>
  <c r="AV64" i="1"/>
  <c r="AV66" i="1" s="1"/>
  <c r="AV68" i="1" s="1"/>
  <c r="AU64" i="1"/>
  <c r="AU66" i="1" s="1"/>
  <c r="AU68" i="1" s="1"/>
  <c r="AT64" i="1"/>
  <c r="AT66" i="1" s="1"/>
  <c r="AT68" i="1" s="1"/>
  <c r="AS64" i="1"/>
  <c r="AS66" i="1" s="1"/>
  <c r="AS68" i="1" s="1"/>
  <c r="AP64" i="1"/>
  <c r="AP66" i="1" s="1"/>
  <c r="AP68" i="1" s="1"/>
  <c r="AO64" i="1"/>
  <c r="AO66" i="1" s="1"/>
  <c r="AO68" i="1" s="1"/>
  <c r="AN64" i="1"/>
  <c r="AN66" i="1" s="1"/>
  <c r="AN68" i="1" s="1"/>
  <c r="AM64" i="1"/>
  <c r="AM66" i="1" s="1"/>
  <c r="AJ64" i="1"/>
  <c r="AJ66" i="1" s="1"/>
  <c r="AJ68" i="1" s="1"/>
  <c r="AI64" i="1"/>
  <c r="AI66" i="1" s="1"/>
  <c r="AI68" i="1" s="1"/>
  <c r="AH64" i="1"/>
  <c r="AH66" i="1" s="1"/>
  <c r="AH68" i="1" s="1"/>
  <c r="AG64" i="1"/>
  <c r="AG66" i="1" s="1"/>
  <c r="AD64" i="1"/>
  <c r="AD66" i="1" s="1"/>
  <c r="AD68" i="1" s="1"/>
  <c r="AC64" i="1"/>
  <c r="AC66" i="1" s="1"/>
  <c r="AC68" i="1" s="1"/>
  <c r="AB64" i="1"/>
  <c r="AB66" i="1" s="1"/>
  <c r="AB68" i="1" s="1"/>
  <c r="AA64" i="1"/>
  <c r="AA66" i="1" s="1"/>
  <c r="X64" i="1"/>
  <c r="X66" i="1" s="1"/>
  <c r="X68" i="1" s="1"/>
  <c r="W64" i="1"/>
  <c r="W66" i="1" s="1"/>
  <c r="W68" i="1" s="1"/>
  <c r="V64" i="1"/>
  <c r="V66" i="1" s="1"/>
  <c r="V68" i="1" s="1"/>
  <c r="U64" i="1"/>
  <c r="U66" i="1" s="1"/>
  <c r="U68" i="1" s="1"/>
  <c r="R64" i="1"/>
  <c r="R66" i="1" s="1"/>
  <c r="R68" i="1" s="1"/>
  <c r="Q64" i="1"/>
  <c r="Q66" i="1" s="1"/>
  <c r="Q68" i="1" s="1"/>
  <c r="P64" i="1"/>
  <c r="P66" i="1" s="1"/>
  <c r="P68" i="1" s="1"/>
  <c r="O64" i="1"/>
  <c r="O66" i="1" s="1"/>
  <c r="O68" i="1" s="1"/>
  <c r="L64" i="1"/>
  <c r="L66" i="1" s="1"/>
  <c r="L68" i="1" s="1"/>
  <c r="K64" i="1"/>
  <c r="K66" i="1" s="1"/>
  <c r="K68" i="1" s="1"/>
  <c r="J64" i="1"/>
  <c r="J66" i="1" s="1"/>
  <c r="J68" i="1" s="1"/>
  <c r="I64" i="1"/>
  <c r="I66" i="1" s="1"/>
  <c r="I68" i="1" s="1"/>
  <c r="CJ66" i="1"/>
  <c r="CI66" i="1"/>
  <c r="CJ64" i="1"/>
  <c r="CI64" i="1"/>
  <c r="CD66" i="1"/>
  <c r="CC66" i="1"/>
  <c r="CD64" i="1"/>
  <c r="CC64" i="1"/>
  <c r="BX66" i="1"/>
  <c r="BW66" i="1"/>
  <c r="BX64" i="1"/>
  <c r="BW64" i="1"/>
  <c r="BW63" i="1" s="1"/>
  <c r="BT66" i="1"/>
  <c r="BS66" i="1"/>
  <c r="BR66" i="1"/>
  <c r="BS71" i="1"/>
  <c r="Y63" i="1"/>
  <c r="Y61" i="1"/>
  <c r="Y59" i="1"/>
  <c r="AE61" i="1" s="1"/>
  <c r="S63" i="1"/>
  <c r="Y67" i="1" s="1"/>
  <c r="S59" i="1"/>
  <c r="M63" i="1"/>
  <c r="S67" i="1" s="1"/>
  <c r="M61" i="1"/>
  <c r="M59" i="1"/>
  <c r="M60" i="1" s="1"/>
  <c r="CJ62" i="1"/>
  <c r="CK62" i="1" s="1"/>
  <c r="CE62" i="1"/>
  <c r="CF62" i="1" s="1"/>
  <c r="CF60" i="1" s="1"/>
  <c r="CD62" i="1"/>
  <c r="BX62" i="1"/>
  <c r="BY62" i="1" s="1"/>
  <c r="BZ62" i="1" s="1"/>
  <c r="BZ60" i="1" s="1"/>
  <c r="BT60" i="1"/>
  <c r="BS60" i="1"/>
  <c r="BR60" i="1"/>
  <c r="BQ60" i="1"/>
  <c r="BQ62" i="1" s="1"/>
  <c r="BN60" i="1"/>
  <c r="BN62" i="1" s="1"/>
  <c r="BM60" i="1"/>
  <c r="BM62" i="1" s="1"/>
  <c r="BL60" i="1"/>
  <c r="BL62" i="1" s="1"/>
  <c r="BK60" i="1"/>
  <c r="BK62" i="1" s="1"/>
  <c r="BH60" i="1"/>
  <c r="BH62" i="1" s="1"/>
  <c r="BG60" i="1"/>
  <c r="BG62" i="1" s="1"/>
  <c r="BF60" i="1"/>
  <c r="BF62" i="1" s="1"/>
  <c r="BE60" i="1"/>
  <c r="BE62" i="1" s="1"/>
  <c r="BB60" i="1"/>
  <c r="BB62" i="1" s="1"/>
  <c r="BB74" i="1" s="1"/>
  <c r="BA60" i="1"/>
  <c r="BA62" i="1" s="1"/>
  <c r="AZ60" i="1"/>
  <c r="AZ62" i="1" s="1"/>
  <c r="AY60" i="1"/>
  <c r="AY62" i="1" s="1"/>
  <c r="AV60" i="1"/>
  <c r="AV62" i="1" s="1"/>
  <c r="AV74" i="1" s="1"/>
  <c r="AU60" i="1"/>
  <c r="AU62" i="1" s="1"/>
  <c r="AT60" i="1"/>
  <c r="AT62" i="1" s="1"/>
  <c r="AS60" i="1"/>
  <c r="AS62" i="1" s="1"/>
  <c r="AP60" i="1"/>
  <c r="AP62" i="1" s="1"/>
  <c r="AP74" i="1" s="1"/>
  <c r="AO60" i="1"/>
  <c r="AO62" i="1" s="1"/>
  <c r="AN60" i="1"/>
  <c r="AN62" i="1" s="1"/>
  <c r="AN74" i="1" s="1"/>
  <c r="AM60" i="1"/>
  <c r="AM62" i="1" s="1"/>
  <c r="AJ60" i="1"/>
  <c r="AJ62" i="1" s="1"/>
  <c r="AJ74" i="1" s="1"/>
  <c r="AI60" i="1"/>
  <c r="AI62" i="1" s="1"/>
  <c r="AH60" i="1"/>
  <c r="AH62" i="1" s="1"/>
  <c r="AG60" i="1"/>
  <c r="AG62" i="1" s="1"/>
  <c r="AD60" i="1"/>
  <c r="AD62" i="1" s="1"/>
  <c r="AC60" i="1"/>
  <c r="AC62" i="1" s="1"/>
  <c r="AB60" i="1"/>
  <c r="AB62" i="1" s="1"/>
  <c r="AA60" i="1"/>
  <c r="AA62" i="1" s="1"/>
  <c r="X60" i="1"/>
  <c r="X62" i="1" s="1"/>
  <c r="X74" i="1" s="1"/>
  <c r="W60" i="1"/>
  <c r="W62" i="1" s="1"/>
  <c r="V60" i="1"/>
  <c r="V62" i="1" s="1"/>
  <c r="U60" i="1"/>
  <c r="U62" i="1" s="1"/>
  <c r="R60" i="1"/>
  <c r="R62" i="1" s="1"/>
  <c r="R74" i="1" s="1"/>
  <c r="Q60" i="1"/>
  <c r="Q62" i="1" s="1"/>
  <c r="P60" i="1"/>
  <c r="P62" i="1" s="1"/>
  <c r="P74" i="1" s="1"/>
  <c r="O60" i="1"/>
  <c r="O62" i="1" s="1"/>
  <c r="L60" i="1"/>
  <c r="L62" i="1" s="1"/>
  <c r="K60" i="1"/>
  <c r="K62" i="1" s="1"/>
  <c r="J60" i="1"/>
  <c r="J62" i="1" s="1"/>
  <c r="I60" i="1"/>
  <c r="I62" i="1" s="1"/>
  <c r="CJ60" i="1"/>
  <c r="CI60" i="1"/>
  <c r="CE60" i="1"/>
  <c r="CD60" i="1"/>
  <c r="CC60" i="1"/>
  <c r="BY60" i="1"/>
  <c r="BW60" i="1"/>
  <c r="BW59" i="1"/>
  <c r="BT59" i="1"/>
  <c r="BS59" i="1"/>
  <c r="BR59" i="1"/>
  <c r="L56" i="1"/>
  <c r="K56" i="1"/>
  <c r="J56" i="1"/>
  <c r="I56" i="1"/>
  <c r="M56" i="1" s="1"/>
  <c r="AQ46" i="1"/>
  <c r="AQ42" i="1"/>
  <c r="AK46" i="1"/>
  <c r="AK42" i="1"/>
  <c r="AE46" i="1"/>
  <c r="AK48" i="1" s="1"/>
  <c r="AE42" i="1"/>
  <c r="BQ52" i="1"/>
  <c r="CJ51" i="1"/>
  <c r="CD51" i="1"/>
  <c r="BX51" i="1"/>
  <c r="BQ51" i="1"/>
  <c r="BN52" i="1"/>
  <c r="BT56" i="1" s="1"/>
  <c r="BM52" i="1"/>
  <c r="BS56" i="1" s="1"/>
  <c r="BL52" i="1"/>
  <c r="BK52" i="1"/>
  <c r="BQ56" i="1" s="1"/>
  <c r="BN51" i="1"/>
  <c r="BM51" i="1"/>
  <c r="BL51" i="1"/>
  <c r="BK51" i="1"/>
  <c r="BG56" i="1"/>
  <c r="BH52" i="1"/>
  <c r="BN56" i="1" s="1"/>
  <c r="BG52" i="1"/>
  <c r="BM56" i="1" s="1"/>
  <c r="BF52" i="1"/>
  <c r="BE52" i="1"/>
  <c r="BB52" i="1"/>
  <c r="BH53" i="1" s="1"/>
  <c r="BA52" i="1"/>
  <c r="AZ52" i="1"/>
  <c r="BF56" i="1" s="1"/>
  <c r="AY52" i="1"/>
  <c r="AV52" i="1"/>
  <c r="BB56" i="1" s="1"/>
  <c r="AU52" i="1"/>
  <c r="AT52" i="1"/>
  <c r="AZ56" i="1" s="1"/>
  <c r="AS52" i="1"/>
  <c r="AY56" i="1" s="1"/>
  <c r="AP52" i="1"/>
  <c r="AV54" i="1" s="1"/>
  <c r="AO52" i="1"/>
  <c r="AN52" i="1"/>
  <c r="AN53" i="1" s="1"/>
  <c r="AN55" i="1" s="1"/>
  <c r="AM52" i="1"/>
  <c r="AS56" i="1" s="1"/>
  <c r="AJ52" i="1"/>
  <c r="AP56" i="1" s="1"/>
  <c r="AI52" i="1"/>
  <c r="AO56" i="1" s="1"/>
  <c r="AH52" i="1"/>
  <c r="AH53" i="1" s="1"/>
  <c r="AH55" i="1" s="1"/>
  <c r="AG52" i="1"/>
  <c r="AB53" i="1"/>
  <c r="AB55" i="1" s="1"/>
  <c r="AD52" i="1"/>
  <c r="AJ56" i="1" s="1"/>
  <c r="AC52" i="1"/>
  <c r="AI56" i="1" s="1"/>
  <c r="AB52" i="1"/>
  <c r="AH56" i="1" s="1"/>
  <c r="AA52" i="1"/>
  <c r="AG56" i="1" s="1"/>
  <c r="X52" i="1"/>
  <c r="W52" i="1"/>
  <c r="AC56" i="1" s="1"/>
  <c r="V52" i="1"/>
  <c r="AB56" i="1" s="1"/>
  <c r="U52" i="1"/>
  <c r="AA56" i="1" s="1"/>
  <c r="L53" i="1"/>
  <c r="L55" i="1" s="1"/>
  <c r="L52" i="1"/>
  <c r="K52" i="1"/>
  <c r="K53" i="1" s="1"/>
  <c r="K55" i="1" s="1"/>
  <c r="J52" i="1"/>
  <c r="J53" i="1" s="1"/>
  <c r="J55" i="1" s="1"/>
  <c r="I52" i="1"/>
  <c r="BO46" i="1"/>
  <c r="BO42" i="1"/>
  <c r="BU44" i="1" s="1"/>
  <c r="BI50" i="1"/>
  <c r="BI46" i="1"/>
  <c r="BO50" i="1" s="1"/>
  <c r="BI42" i="1"/>
  <c r="BO44" i="1" s="1"/>
  <c r="BC47" i="1"/>
  <c r="BC46" i="1"/>
  <c r="BC42" i="1"/>
  <c r="BI44" i="1" s="1"/>
  <c r="AW50" i="1"/>
  <c r="AW48" i="1"/>
  <c r="AW46" i="1"/>
  <c r="AW44" i="1"/>
  <c r="AW42" i="1"/>
  <c r="M50" i="1"/>
  <c r="R52" i="1"/>
  <c r="X56" i="1" s="1"/>
  <c r="Q52" i="1"/>
  <c r="P52" i="1"/>
  <c r="V56" i="1" s="1"/>
  <c r="O52" i="1"/>
  <c r="R50" i="1"/>
  <c r="Q50" i="1"/>
  <c r="P50" i="1"/>
  <c r="O50" i="1"/>
  <c r="O49" i="1"/>
  <c r="BQ48" i="1"/>
  <c r="BQ54" i="1" s="1"/>
  <c r="BQ47" i="1"/>
  <c r="BN47" i="1"/>
  <c r="BN48" i="1" s="1"/>
  <c r="BM47" i="1"/>
  <c r="BM48" i="1" s="1"/>
  <c r="BM54" i="1" s="1"/>
  <c r="BL47" i="1"/>
  <c r="BL48" i="1" s="1"/>
  <c r="BL54" i="1" s="1"/>
  <c r="BK47" i="1"/>
  <c r="BK48" i="1" s="1"/>
  <c r="BH49" i="1"/>
  <c r="BH51" i="1" s="1"/>
  <c r="BH48" i="1"/>
  <c r="BH54" i="1" s="1"/>
  <c r="BG48" i="1"/>
  <c r="BF48" i="1"/>
  <c r="BF54" i="1" s="1"/>
  <c r="BE48" i="1"/>
  <c r="BH47" i="1"/>
  <c r="BG47" i="1"/>
  <c r="BG49" i="1" s="1"/>
  <c r="BG51" i="1" s="1"/>
  <c r="BF47" i="1"/>
  <c r="BF49" i="1" s="1"/>
  <c r="BF51" i="1" s="1"/>
  <c r="BE47" i="1"/>
  <c r="BE49" i="1" s="1"/>
  <c r="BE51" i="1" s="1"/>
  <c r="BB48" i="1"/>
  <c r="BB54" i="1" s="1"/>
  <c r="BA48" i="1"/>
  <c r="BB47" i="1"/>
  <c r="BB49" i="1" s="1"/>
  <c r="BB51" i="1" s="1"/>
  <c r="BA47" i="1"/>
  <c r="AZ47" i="1"/>
  <c r="AZ49" i="1" s="1"/>
  <c r="AZ51" i="1" s="1"/>
  <c r="AY47" i="1"/>
  <c r="AY49" i="1" s="1"/>
  <c r="AV47" i="1"/>
  <c r="AV49" i="1" s="1"/>
  <c r="AV51" i="1" s="1"/>
  <c r="AU47" i="1"/>
  <c r="AU49" i="1" s="1"/>
  <c r="AU51" i="1" s="1"/>
  <c r="AT47" i="1"/>
  <c r="AT49" i="1" s="1"/>
  <c r="AT51" i="1" s="1"/>
  <c r="AS47" i="1"/>
  <c r="AS49" i="1" s="1"/>
  <c r="AP47" i="1"/>
  <c r="AP49" i="1" s="1"/>
  <c r="AP51" i="1" s="1"/>
  <c r="AO47" i="1"/>
  <c r="AO49" i="1" s="1"/>
  <c r="AO51" i="1" s="1"/>
  <c r="AN47" i="1"/>
  <c r="AN49" i="1" s="1"/>
  <c r="AN51" i="1" s="1"/>
  <c r="AM47" i="1"/>
  <c r="AM49" i="1" s="1"/>
  <c r="AJ47" i="1"/>
  <c r="AJ49" i="1" s="1"/>
  <c r="AJ51" i="1" s="1"/>
  <c r="AI47" i="1"/>
  <c r="AI49" i="1" s="1"/>
  <c r="AI51" i="1" s="1"/>
  <c r="AH47" i="1"/>
  <c r="AH49" i="1" s="1"/>
  <c r="AH51" i="1" s="1"/>
  <c r="AG47" i="1"/>
  <c r="AG49" i="1" s="1"/>
  <c r="AD47" i="1"/>
  <c r="AD49" i="1" s="1"/>
  <c r="AD51" i="1" s="1"/>
  <c r="AC47" i="1"/>
  <c r="AC49" i="1" s="1"/>
  <c r="AC51" i="1" s="1"/>
  <c r="AB47" i="1"/>
  <c r="AB49" i="1" s="1"/>
  <c r="AB51" i="1" s="1"/>
  <c r="AA47" i="1"/>
  <c r="AA49" i="1" s="1"/>
  <c r="X47" i="1"/>
  <c r="X49" i="1" s="1"/>
  <c r="X51" i="1" s="1"/>
  <c r="W47" i="1"/>
  <c r="W49" i="1" s="1"/>
  <c r="W51" i="1" s="1"/>
  <c r="V47" i="1"/>
  <c r="V49" i="1" s="1"/>
  <c r="V51" i="1" s="1"/>
  <c r="U47" i="1"/>
  <c r="U49" i="1" s="1"/>
  <c r="U51" i="1" s="1"/>
  <c r="R47" i="1"/>
  <c r="R49" i="1" s="1"/>
  <c r="R51" i="1" s="1"/>
  <c r="Q47" i="1"/>
  <c r="Q49" i="1" s="1"/>
  <c r="Q51" i="1" s="1"/>
  <c r="P47" i="1"/>
  <c r="P49" i="1" s="1"/>
  <c r="P51" i="1" s="1"/>
  <c r="O47" i="1"/>
  <c r="M47" i="1"/>
  <c r="M49" i="1" s="1"/>
  <c r="L47" i="1"/>
  <c r="L49" i="1" s="1"/>
  <c r="L51" i="1" s="1"/>
  <c r="K47" i="1"/>
  <c r="K49" i="1" s="1"/>
  <c r="K51" i="1" s="1"/>
  <c r="J47" i="1"/>
  <c r="J49" i="1" s="1"/>
  <c r="J51" i="1" s="1"/>
  <c r="I47" i="1"/>
  <c r="I49" i="1" s="1"/>
  <c r="I51" i="1" s="1"/>
  <c r="CI49" i="1"/>
  <c r="CC49" i="1"/>
  <c r="CC47" i="1"/>
  <c r="BW49" i="1"/>
  <c r="BW47" i="1"/>
  <c r="BW46" i="1" s="1"/>
  <c r="CC46" i="1" s="1"/>
  <c r="BT49" i="1"/>
  <c r="BS49" i="1"/>
  <c r="BR49" i="1"/>
  <c r="BS54" i="1"/>
  <c r="BR54" i="1"/>
  <c r="Y46" i="1"/>
  <c r="Y42" i="1"/>
  <c r="AE44" i="1" s="1"/>
  <c r="S46" i="1"/>
  <c r="S42" i="1"/>
  <c r="Y44" i="1" s="1"/>
  <c r="M46" i="1"/>
  <c r="M44" i="1"/>
  <c r="M42" i="1"/>
  <c r="M43" i="1" s="1"/>
  <c r="CJ45" i="1"/>
  <c r="CK45" i="1" s="1"/>
  <c r="CE45" i="1"/>
  <c r="CD45" i="1"/>
  <c r="BX45" i="1"/>
  <c r="BY45" i="1" s="1"/>
  <c r="BY43" i="1" s="1"/>
  <c r="BQ45" i="1"/>
  <c r="BH45" i="1"/>
  <c r="AT45" i="1"/>
  <c r="V45" i="1"/>
  <c r="BT43" i="1"/>
  <c r="BT42" i="1" s="1"/>
  <c r="BS43" i="1"/>
  <c r="BS42" i="1" s="1"/>
  <c r="BR43" i="1"/>
  <c r="BQ43" i="1"/>
  <c r="BN43" i="1"/>
  <c r="BN45" i="1" s="1"/>
  <c r="BM43" i="1"/>
  <c r="BM45" i="1" s="1"/>
  <c r="BL43" i="1"/>
  <c r="BL45" i="1" s="1"/>
  <c r="BK43" i="1"/>
  <c r="BK45" i="1" s="1"/>
  <c r="BH43" i="1"/>
  <c r="BG43" i="1"/>
  <c r="BG45" i="1" s="1"/>
  <c r="BF43" i="1"/>
  <c r="BF45" i="1" s="1"/>
  <c r="BE43" i="1"/>
  <c r="BE45" i="1" s="1"/>
  <c r="BB43" i="1"/>
  <c r="BB45" i="1" s="1"/>
  <c r="BA43" i="1"/>
  <c r="BA45" i="1" s="1"/>
  <c r="AZ43" i="1"/>
  <c r="AZ45" i="1" s="1"/>
  <c r="AZ57" i="1" s="1"/>
  <c r="AY43" i="1"/>
  <c r="AY45" i="1" s="1"/>
  <c r="AV43" i="1"/>
  <c r="AV45" i="1" s="1"/>
  <c r="AU43" i="1"/>
  <c r="AU45" i="1" s="1"/>
  <c r="AT43" i="1"/>
  <c r="AS43" i="1"/>
  <c r="AS45" i="1" s="1"/>
  <c r="AP43" i="1"/>
  <c r="AP45" i="1" s="1"/>
  <c r="AO43" i="1"/>
  <c r="AO45" i="1" s="1"/>
  <c r="AN43" i="1"/>
  <c r="AN45" i="1" s="1"/>
  <c r="AN57" i="1" s="1"/>
  <c r="AM43" i="1"/>
  <c r="AM45" i="1" s="1"/>
  <c r="AJ43" i="1"/>
  <c r="AJ45" i="1" s="1"/>
  <c r="AJ57" i="1" s="1"/>
  <c r="AI43" i="1"/>
  <c r="AI45" i="1" s="1"/>
  <c r="AH43" i="1"/>
  <c r="AH45" i="1" s="1"/>
  <c r="AH57" i="1" s="1"/>
  <c r="AG43" i="1"/>
  <c r="AG45" i="1" s="1"/>
  <c r="AD43" i="1"/>
  <c r="AD45" i="1" s="1"/>
  <c r="AD57" i="1" s="1"/>
  <c r="AC43" i="1"/>
  <c r="AC45" i="1" s="1"/>
  <c r="AB43" i="1"/>
  <c r="AB45" i="1" s="1"/>
  <c r="AA43" i="1"/>
  <c r="AA45" i="1" s="1"/>
  <c r="X43" i="1"/>
  <c r="X45" i="1" s="1"/>
  <c r="W43" i="1"/>
  <c r="W45" i="1" s="1"/>
  <c r="V43" i="1"/>
  <c r="U43" i="1"/>
  <c r="U45" i="1" s="1"/>
  <c r="R44" i="1"/>
  <c r="Q44" i="1"/>
  <c r="Q56" i="1" s="1"/>
  <c r="P44" i="1"/>
  <c r="P56" i="1" s="1"/>
  <c r="O44" i="1"/>
  <c r="R43" i="1"/>
  <c r="R45" i="1" s="1"/>
  <c r="Q43" i="1"/>
  <c r="Q45" i="1" s="1"/>
  <c r="Q57" i="1" s="1"/>
  <c r="P43" i="1"/>
  <c r="P45" i="1" s="1"/>
  <c r="P57" i="1" s="1"/>
  <c r="O43" i="1"/>
  <c r="O45" i="1" s="1"/>
  <c r="L43" i="1"/>
  <c r="L45" i="1" s="1"/>
  <c r="K43" i="1"/>
  <c r="K45" i="1" s="1"/>
  <c r="K57" i="1" s="1"/>
  <c r="J43" i="1"/>
  <c r="J45" i="1" s="1"/>
  <c r="I43" i="1"/>
  <c r="I45" i="1" s="1"/>
  <c r="CJ43" i="1"/>
  <c r="CI43" i="1"/>
  <c r="CD43" i="1"/>
  <c r="CC43" i="1"/>
  <c r="BX43" i="1"/>
  <c r="BW43" i="1"/>
  <c r="BW42" i="1" s="1"/>
  <c r="BR42" i="1"/>
  <c r="AJ36" i="1"/>
  <c r="AI36" i="1"/>
  <c r="AH36" i="1"/>
  <c r="AG36" i="1"/>
  <c r="AD36" i="1"/>
  <c r="AC36" i="1"/>
  <c r="AB36" i="1"/>
  <c r="AA36" i="1"/>
  <c r="BQ35" i="1"/>
  <c r="BB35" i="1"/>
  <c r="BB36" i="1" s="1"/>
  <c r="BA35" i="1"/>
  <c r="AZ35" i="1"/>
  <c r="AY35" i="1"/>
  <c r="AY36" i="1" s="1"/>
  <c r="AO36" i="1"/>
  <c r="AP35" i="1"/>
  <c r="AO35" i="1"/>
  <c r="AN35" i="1"/>
  <c r="AN36" i="1" s="1"/>
  <c r="AM35" i="1"/>
  <c r="AM36" i="1" s="1"/>
  <c r="AK35" i="1"/>
  <c r="AK36" i="1" s="1"/>
  <c r="AE35" i="1"/>
  <c r="AE36" i="1" s="1"/>
  <c r="Y35" i="1"/>
  <c r="CL34" i="1"/>
  <c r="CL32" i="1" s="1"/>
  <c r="CJ34" i="1"/>
  <c r="CK34" i="1" s="1"/>
  <c r="CK32" i="1" s="1"/>
  <c r="CD34" i="1"/>
  <c r="CE34" i="1" s="1"/>
  <c r="CE32" i="1" s="1"/>
  <c r="CE30" i="1" s="1"/>
  <c r="BZ34" i="1"/>
  <c r="BZ32" i="1" s="1"/>
  <c r="BX34" i="1"/>
  <c r="BY34" i="1" s="1"/>
  <c r="BY32" i="1" s="1"/>
  <c r="BQ34" i="1"/>
  <c r="BK39" i="1"/>
  <c r="BN35" i="1"/>
  <c r="BM35" i="1"/>
  <c r="BS39" i="1" s="1"/>
  <c r="BL35" i="1"/>
  <c r="BL36" i="1" s="1"/>
  <c r="BK35" i="1"/>
  <c r="BK36" i="1" s="1"/>
  <c r="BN34" i="1"/>
  <c r="BM34" i="1"/>
  <c r="BL34" i="1"/>
  <c r="BK34" i="1"/>
  <c r="BG39" i="1"/>
  <c r="BE39" i="1"/>
  <c r="BH35" i="1"/>
  <c r="BH36" i="1" s="1"/>
  <c r="BG35" i="1"/>
  <c r="BF35" i="1"/>
  <c r="BL39" i="1" s="1"/>
  <c r="BE35" i="1"/>
  <c r="AU39" i="1"/>
  <c r="AT39" i="1"/>
  <c r="AV37" i="1"/>
  <c r="AU37" i="1"/>
  <c r="AT37" i="1"/>
  <c r="AS37" i="1"/>
  <c r="AV35" i="1"/>
  <c r="AV36" i="1" s="1"/>
  <c r="AV38" i="1" s="1"/>
  <c r="AU35" i="1"/>
  <c r="AT35" i="1"/>
  <c r="AS35" i="1"/>
  <c r="AY39" i="1" s="1"/>
  <c r="BO29" i="1"/>
  <c r="BU33" i="1" s="1"/>
  <c r="BO27" i="1"/>
  <c r="BO25" i="1"/>
  <c r="BU27" i="1" s="1"/>
  <c r="BI29" i="1"/>
  <c r="BI25" i="1"/>
  <c r="AW29" i="1"/>
  <c r="AW25" i="1"/>
  <c r="BQ30" i="1"/>
  <c r="BQ31" i="1" s="1"/>
  <c r="BN31" i="1"/>
  <c r="BN37" i="1" s="1"/>
  <c r="BN30" i="1"/>
  <c r="BM30" i="1"/>
  <c r="BM31" i="1" s="1"/>
  <c r="BM37" i="1" s="1"/>
  <c r="BL30" i="1"/>
  <c r="BL31" i="1" s="1"/>
  <c r="BL37" i="1" s="1"/>
  <c r="BK30" i="1"/>
  <c r="BK31" i="1" s="1"/>
  <c r="BK37" i="1" s="1"/>
  <c r="BH31" i="1"/>
  <c r="BH37" i="1" s="1"/>
  <c r="BG31" i="1"/>
  <c r="BF31" i="1"/>
  <c r="BF37" i="1" s="1"/>
  <c r="BE31" i="1"/>
  <c r="BE37" i="1" s="1"/>
  <c r="BH30" i="1"/>
  <c r="BH32" i="1" s="1"/>
  <c r="BH34" i="1" s="1"/>
  <c r="BG30" i="1"/>
  <c r="BG32" i="1" s="1"/>
  <c r="BG34" i="1" s="1"/>
  <c r="BF30" i="1"/>
  <c r="BF32" i="1" s="1"/>
  <c r="BF34" i="1" s="1"/>
  <c r="BE30" i="1"/>
  <c r="BE32" i="1" s="1"/>
  <c r="BE34" i="1" s="1"/>
  <c r="BB31" i="1"/>
  <c r="BB37" i="1" s="1"/>
  <c r="BA31" i="1"/>
  <c r="BA37" i="1" s="1"/>
  <c r="BB30" i="1"/>
  <c r="BA30" i="1"/>
  <c r="AZ30" i="1"/>
  <c r="AZ32" i="1" s="1"/>
  <c r="AZ34" i="1" s="1"/>
  <c r="AY30" i="1"/>
  <c r="AY32" i="1" s="1"/>
  <c r="AY34" i="1" s="1"/>
  <c r="AV30" i="1"/>
  <c r="AV32" i="1" s="1"/>
  <c r="AV34" i="1" s="1"/>
  <c r="AU30" i="1"/>
  <c r="AU32" i="1" s="1"/>
  <c r="AU34" i="1" s="1"/>
  <c r="AT30" i="1"/>
  <c r="AT32" i="1" s="1"/>
  <c r="AT34" i="1" s="1"/>
  <c r="AS30" i="1"/>
  <c r="AS32" i="1" s="1"/>
  <c r="CJ32" i="1"/>
  <c r="CI32" i="1"/>
  <c r="CD32" i="1"/>
  <c r="CC32" i="1"/>
  <c r="BX32" i="1"/>
  <c r="BW32" i="1"/>
  <c r="BX30" i="1"/>
  <c r="BW30" i="1"/>
  <c r="BW29" i="1" s="1"/>
  <c r="BT32" i="1"/>
  <c r="BS32" i="1"/>
  <c r="BR32" i="1"/>
  <c r="BT37" i="1"/>
  <c r="BS30" i="1"/>
  <c r="BS29" i="1" s="1"/>
  <c r="BR37" i="1"/>
  <c r="BT30" i="1"/>
  <c r="BT29" i="1" s="1"/>
  <c r="BC29" i="1"/>
  <c r="BI33" i="1" s="1"/>
  <c r="AQ29" i="1"/>
  <c r="AW31" i="1" s="1"/>
  <c r="CJ28" i="1"/>
  <c r="CK28" i="1" s="1"/>
  <c r="CD28" i="1"/>
  <c r="BX28" i="1"/>
  <c r="BK28" i="1"/>
  <c r="AV28" i="1"/>
  <c r="BT26" i="1"/>
  <c r="BS26" i="1"/>
  <c r="BR26" i="1"/>
  <c r="BR25" i="1" s="1"/>
  <c r="BU25" i="1" s="1"/>
  <c r="BQ26" i="1"/>
  <c r="BQ28" i="1" s="1"/>
  <c r="BN26" i="1"/>
  <c r="BM26" i="1"/>
  <c r="BM28" i="1" s="1"/>
  <c r="BL26" i="1"/>
  <c r="BL28" i="1" s="1"/>
  <c r="BK26" i="1"/>
  <c r="BH26" i="1"/>
  <c r="BH28" i="1" s="1"/>
  <c r="BG26" i="1"/>
  <c r="BG28" i="1" s="1"/>
  <c r="BF26" i="1"/>
  <c r="BF28" i="1" s="1"/>
  <c r="BB26" i="1"/>
  <c r="BB28" i="1" s="1"/>
  <c r="BA26" i="1"/>
  <c r="BA28" i="1" s="1"/>
  <c r="AZ26" i="1"/>
  <c r="AZ28" i="1" s="1"/>
  <c r="AY26" i="1"/>
  <c r="AY28" i="1" s="1"/>
  <c r="AV26" i="1"/>
  <c r="AU26" i="1"/>
  <c r="AU28" i="1" s="1"/>
  <c r="AT26" i="1"/>
  <c r="AT28" i="1" s="1"/>
  <c r="AS26" i="1"/>
  <c r="AS28" i="1" s="1"/>
  <c r="CJ26" i="1"/>
  <c r="CI26" i="1"/>
  <c r="CC26" i="1"/>
  <c r="BW26" i="1"/>
  <c r="BW25" i="1" s="1"/>
  <c r="BT25" i="1"/>
  <c r="BS25" i="1"/>
  <c r="BC25" i="1"/>
  <c r="BI27" i="1" s="1"/>
  <c r="AQ25" i="1"/>
  <c r="AW27" i="1" s="1"/>
  <c r="BW22" i="1"/>
  <c r="BS22" i="1"/>
  <c r="BQ18" i="1"/>
  <c r="BH18" i="1"/>
  <c r="BG18" i="1"/>
  <c r="BF18" i="1"/>
  <c r="BE18" i="1"/>
  <c r="F18" i="1"/>
  <c r="L20" i="1" s="1"/>
  <c r="E18" i="1"/>
  <c r="D18" i="1"/>
  <c r="C18" i="1"/>
  <c r="CJ17" i="1"/>
  <c r="CK17" i="1" s="1"/>
  <c r="CK15" i="1" s="1"/>
  <c r="CK13" i="1" s="1"/>
  <c r="CD17" i="1"/>
  <c r="CE17" i="1" s="1"/>
  <c r="CF17" i="1" s="1"/>
  <c r="CF15" i="1" s="1"/>
  <c r="BX17" i="1"/>
  <c r="BY17" i="1" s="1"/>
  <c r="BZ17" i="1" s="1"/>
  <c r="BZ15" i="1" s="1"/>
  <c r="BQ17" i="1"/>
  <c r="BN22" i="1"/>
  <c r="BM22" i="1"/>
  <c r="BL22" i="1"/>
  <c r="BM19" i="1"/>
  <c r="BN18" i="1"/>
  <c r="BM18" i="1"/>
  <c r="BL18" i="1"/>
  <c r="BK18" i="1"/>
  <c r="BO18" i="1" s="1"/>
  <c r="BN17" i="1"/>
  <c r="BM17" i="1"/>
  <c r="BL17" i="1"/>
  <c r="BK17" i="1"/>
  <c r="BA22" i="1"/>
  <c r="BB19" i="1"/>
  <c r="BB18" i="1"/>
  <c r="BA18" i="1"/>
  <c r="AZ18" i="1"/>
  <c r="AY18" i="1"/>
  <c r="AY19" i="1" s="1"/>
  <c r="AV22" i="1"/>
  <c r="AT20" i="1"/>
  <c r="AV18" i="1"/>
  <c r="AU18" i="1"/>
  <c r="AT18" i="1"/>
  <c r="AZ19" i="1" s="1"/>
  <c r="AS18" i="1"/>
  <c r="AY22" i="1" s="1"/>
  <c r="AO20" i="1"/>
  <c r="AP18" i="1"/>
  <c r="AV20" i="1" s="1"/>
  <c r="AO18" i="1"/>
  <c r="AU19" i="1" s="1"/>
  <c r="AN18" i="1"/>
  <c r="AT22" i="1" s="1"/>
  <c r="AM18" i="1"/>
  <c r="AB22" i="1"/>
  <c r="AD18" i="1"/>
  <c r="AC18" i="1"/>
  <c r="AI22" i="1" s="1"/>
  <c r="AB18" i="1"/>
  <c r="AB19" i="1" s="1"/>
  <c r="AA18" i="1"/>
  <c r="U22" i="1"/>
  <c r="X18" i="1"/>
  <c r="AD20" i="1" s="1"/>
  <c r="W18" i="1"/>
  <c r="V18" i="1"/>
  <c r="AB20" i="1" s="1"/>
  <c r="U18" i="1"/>
  <c r="L22" i="1"/>
  <c r="J22" i="1"/>
  <c r="J20" i="1"/>
  <c r="K19" i="1"/>
  <c r="L18" i="1"/>
  <c r="K18" i="1"/>
  <c r="J18" i="1"/>
  <c r="J19" i="1" s="1"/>
  <c r="I18" i="1"/>
  <c r="I19" i="1" s="1"/>
  <c r="BO12" i="1"/>
  <c r="BU16" i="1" s="1"/>
  <c r="BO8" i="1"/>
  <c r="BC13" i="1"/>
  <c r="BC12" i="1"/>
  <c r="BC8" i="1"/>
  <c r="AW14" i="1"/>
  <c r="AW12" i="1"/>
  <c r="AW8" i="1"/>
  <c r="BC9" i="1" s="1"/>
  <c r="AQ16" i="1"/>
  <c r="AQ12" i="1"/>
  <c r="AW16" i="1" s="1"/>
  <c r="AQ8" i="1"/>
  <c r="AW10" i="1" s="1"/>
  <c r="M16" i="1"/>
  <c r="AV15" i="1"/>
  <c r="AV17" i="1" s="1"/>
  <c r="AJ20" i="1"/>
  <c r="AH20" i="1"/>
  <c r="AG20" i="1"/>
  <c r="AI19" i="1"/>
  <c r="AJ18" i="1"/>
  <c r="AI18" i="1"/>
  <c r="AO22" i="1" s="1"/>
  <c r="AH18" i="1"/>
  <c r="AG18" i="1"/>
  <c r="AM22" i="1" s="1"/>
  <c r="AJ16" i="1"/>
  <c r="AJ22" i="1" s="1"/>
  <c r="AI16" i="1"/>
  <c r="AH16" i="1"/>
  <c r="AH22" i="1" s="1"/>
  <c r="AG16" i="1"/>
  <c r="AG22" i="1" s="1"/>
  <c r="AD16" i="1"/>
  <c r="AD15" i="1"/>
  <c r="AD17" i="1" s="1"/>
  <c r="R20" i="1"/>
  <c r="Q20" i="1"/>
  <c r="P20" i="1"/>
  <c r="O20" i="1"/>
  <c r="R18" i="1"/>
  <c r="Q18" i="1"/>
  <c r="Q19" i="1" s="1"/>
  <c r="Q21" i="1" s="1"/>
  <c r="P18" i="1"/>
  <c r="V19" i="1" s="1"/>
  <c r="O18" i="1"/>
  <c r="U20" i="1" s="1"/>
  <c r="R16" i="1"/>
  <c r="R22" i="1" s="1"/>
  <c r="Q16" i="1"/>
  <c r="Q22" i="1" s="1"/>
  <c r="P16" i="1"/>
  <c r="O16" i="1"/>
  <c r="O22" i="1" s="1"/>
  <c r="O15" i="1"/>
  <c r="O17" i="1" s="1"/>
  <c r="BQ13" i="1"/>
  <c r="BQ14" i="1" s="1"/>
  <c r="BQ82" i="1" s="1"/>
  <c r="AK13" i="1"/>
  <c r="AK12" i="1"/>
  <c r="AQ14" i="1" s="1"/>
  <c r="AK8" i="1"/>
  <c r="AQ10" i="1" s="1"/>
  <c r="AE12" i="1"/>
  <c r="AE8" i="1"/>
  <c r="BN13" i="1"/>
  <c r="BN14" i="1" s="1"/>
  <c r="BN82" i="1" s="1"/>
  <c r="BN88" i="1" s="1"/>
  <c r="BM13" i="1"/>
  <c r="BM14" i="1" s="1"/>
  <c r="BL13" i="1"/>
  <c r="BL14" i="1" s="1"/>
  <c r="BK13" i="1"/>
  <c r="BK14" i="1" s="1"/>
  <c r="BB14" i="1"/>
  <c r="BB20" i="1" s="1"/>
  <c r="BA14" i="1"/>
  <c r="BA20" i="1" s="1"/>
  <c r="BB13" i="1"/>
  <c r="BB15" i="1" s="1"/>
  <c r="BB17" i="1" s="1"/>
  <c r="BA13" i="1"/>
  <c r="AZ13" i="1"/>
  <c r="AZ15" i="1" s="1"/>
  <c r="AZ17" i="1" s="1"/>
  <c r="AY13" i="1"/>
  <c r="AY15" i="1" s="1"/>
  <c r="AY17" i="1" s="1"/>
  <c r="AV13" i="1"/>
  <c r="AU13" i="1"/>
  <c r="AU15" i="1" s="1"/>
  <c r="AU17" i="1" s="1"/>
  <c r="AT13" i="1"/>
  <c r="AT15" i="1" s="1"/>
  <c r="AT17" i="1" s="1"/>
  <c r="AS13" i="1"/>
  <c r="AS15" i="1" s="1"/>
  <c r="AP13" i="1"/>
  <c r="AP15" i="1" s="1"/>
  <c r="AP17" i="1" s="1"/>
  <c r="AO13" i="1"/>
  <c r="AO15" i="1" s="1"/>
  <c r="AO17" i="1" s="1"/>
  <c r="AN13" i="1"/>
  <c r="AN15" i="1" s="1"/>
  <c r="AN17" i="1" s="1"/>
  <c r="AM13" i="1"/>
  <c r="AM15" i="1" s="1"/>
  <c r="AM17" i="1" s="1"/>
  <c r="AJ13" i="1"/>
  <c r="AJ15" i="1" s="1"/>
  <c r="AI13" i="1"/>
  <c r="AI15" i="1" s="1"/>
  <c r="AI17" i="1" s="1"/>
  <c r="AH13" i="1"/>
  <c r="AH15" i="1" s="1"/>
  <c r="AH17" i="1" s="1"/>
  <c r="AG13" i="1"/>
  <c r="AG15" i="1" s="1"/>
  <c r="AG17" i="1" s="1"/>
  <c r="AD13" i="1"/>
  <c r="AC13" i="1"/>
  <c r="AC15" i="1" s="1"/>
  <c r="AC17" i="1" s="1"/>
  <c r="AB13" i="1"/>
  <c r="AB15" i="1" s="1"/>
  <c r="AB17" i="1" s="1"/>
  <c r="AA13" i="1"/>
  <c r="AA15" i="1" s="1"/>
  <c r="X13" i="1"/>
  <c r="X15" i="1" s="1"/>
  <c r="X17" i="1" s="1"/>
  <c r="W13" i="1"/>
  <c r="W15" i="1" s="1"/>
  <c r="W17" i="1" s="1"/>
  <c r="V13" i="1"/>
  <c r="V15" i="1" s="1"/>
  <c r="V17" i="1" s="1"/>
  <c r="U13" i="1"/>
  <c r="U15" i="1" s="1"/>
  <c r="U17" i="1" s="1"/>
  <c r="R13" i="1"/>
  <c r="R15" i="1" s="1"/>
  <c r="Q13" i="1"/>
  <c r="Q15" i="1" s="1"/>
  <c r="Q17" i="1" s="1"/>
  <c r="P13" i="1"/>
  <c r="P15" i="1" s="1"/>
  <c r="P17" i="1" s="1"/>
  <c r="O13" i="1"/>
  <c r="L13" i="1"/>
  <c r="L15" i="1" s="1"/>
  <c r="L17" i="1" s="1"/>
  <c r="K13" i="1"/>
  <c r="K15" i="1" s="1"/>
  <c r="K17" i="1" s="1"/>
  <c r="J13" i="1"/>
  <c r="J15" i="1" s="1"/>
  <c r="J17" i="1" s="1"/>
  <c r="I13" i="1"/>
  <c r="I15" i="1" s="1"/>
  <c r="I17" i="1" s="1"/>
  <c r="M17" i="1" s="1"/>
  <c r="CJ15" i="1"/>
  <c r="CI15" i="1"/>
  <c r="CE15" i="1"/>
  <c r="CD15" i="1"/>
  <c r="CC15" i="1"/>
  <c r="CE13" i="1"/>
  <c r="CD13" i="1"/>
  <c r="BY15" i="1"/>
  <c r="BX15" i="1"/>
  <c r="BW15" i="1"/>
  <c r="BX13" i="1"/>
  <c r="BW13" i="1"/>
  <c r="BW12" i="1" s="1"/>
  <c r="BT15" i="1"/>
  <c r="BS15" i="1"/>
  <c r="BR15" i="1"/>
  <c r="BT13" i="1"/>
  <c r="BT12" i="1" s="1"/>
  <c r="BI12" i="1"/>
  <c r="BO16" i="1" s="1"/>
  <c r="Y12" i="1"/>
  <c r="AE14" i="1" s="1"/>
  <c r="Y8" i="1"/>
  <c r="Y9" i="1" s="1"/>
  <c r="S12" i="1"/>
  <c r="Y16" i="1" s="1"/>
  <c r="S8" i="1"/>
  <c r="Y10" i="1" s="1"/>
  <c r="M12" i="1"/>
  <c r="S16" i="1" s="1"/>
  <c r="M10" i="1"/>
  <c r="M9" i="1"/>
  <c r="M8" i="1"/>
  <c r="CJ11" i="1"/>
  <c r="CK11" i="1" s="1"/>
  <c r="CE11" i="1"/>
  <c r="CF11" i="1" s="1"/>
  <c r="CF9" i="1" s="1"/>
  <c r="CD11" i="1"/>
  <c r="BX11" i="1"/>
  <c r="BY11" i="1" s="1"/>
  <c r="BZ11" i="1" s="1"/>
  <c r="BZ9" i="1" s="1"/>
  <c r="BQ11" i="1"/>
  <c r="AN11" i="1"/>
  <c r="AA11" i="1"/>
  <c r="AD10" i="1"/>
  <c r="AD9" i="1"/>
  <c r="BT9" i="1"/>
  <c r="BT8" i="1" s="1"/>
  <c r="BT97" i="6" s="1"/>
  <c r="BS9" i="1"/>
  <c r="BR9" i="1"/>
  <c r="BR8" i="1" s="1"/>
  <c r="BR97" i="6" s="1"/>
  <c r="BQ9" i="1"/>
  <c r="BN9" i="1"/>
  <c r="BM9" i="1"/>
  <c r="BM11" i="1" s="1"/>
  <c r="BL9" i="1"/>
  <c r="BL11" i="1" s="1"/>
  <c r="BK9" i="1"/>
  <c r="BK11" i="1" s="1"/>
  <c r="BB9" i="1"/>
  <c r="BB11" i="1" s="1"/>
  <c r="BA9" i="1"/>
  <c r="BA11" i="1" s="1"/>
  <c r="AZ9" i="1"/>
  <c r="AZ11" i="1" s="1"/>
  <c r="AY9" i="1"/>
  <c r="AY11" i="1" s="1"/>
  <c r="AV9" i="1"/>
  <c r="AV11" i="1" s="1"/>
  <c r="AU9" i="1"/>
  <c r="AU11" i="1" s="1"/>
  <c r="AT9" i="1"/>
  <c r="AT11" i="1" s="1"/>
  <c r="AS9" i="1"/>
  <c r="AS11" i="1" s="1"/>
  <c r="AP9" i="1"/>
  <c r="AP11" i="1" s="1"/>
  <c r="AO9" i="1"/>
  <c r="AO11" i="1" s="1"/>
  <c r="AN9" i="1"/>
  <c r="AM9" i="1"/>
  <c r="AM11" i="1" s="1"/>
  <c r="AQ11" i="1" s="1"/>
  <c r="AJ10" i="1"/>
  <c r="AI10" i="1"/>
  <c r="AH10" i="1"/>
  <c r="AG10" i="1"/>
  <c r="AJ9" i="1"/>
  <c r="AJ11" i="1" s="1"/>
  <c r="AI9" i="1"/>
  <c r="AI11" i="1" s="1"/>
  <c r="AH9" i="1"/>
  <c r="AH11" i="1" s="1"/>
  <c r="AG9" i="1"/>
  <c r="AG11" i="1" s="1"/>
  <c r="AC9" i="1"/>
  <c r="AC11" i="1" s="1"/>
  <c r="AB9" i="1"/>
  <c r="AB11" i="1" s="1"/>
  <c r="AA9" i="1"/>
  <c r="X9" i="1"/>
  <c r="X11" i="1" s="1"/>
  <c r="W9" i="1"/>
  <c r="W11" i="1" s="1"/>
  <c r="V9" i="1"/>
  <c r="V11" i="1" s="1"/>
  <c r="U9" i="1"/>
  <c r="U11" i="1" s="1"/>
  <c r="R10" i="1"/>
  <c r="Q10" i="1"/>
  <c r="P10" i="1"/>
  <c r="O10" i="1"/>
  <c r="R9" i="1"/>
  <c r="R11" i="1" s="1"/>
  <c r="Q9" i="1"/>
  <c r="Q11" i="1" s="1"/>
  <c r="P9" i="1"/>
  <c r="P11" i="1" s="1"/>
  <c r="O9" i="1"/>
  <c r="O11" i="1" s="1"/>
  <c r="L9" i="1"/>
  <c r="L11" i="1" s="1"/>
  <c r="K9" i="1"/>
  <c r="K11" i="1" s="1"/>
  <c r="J9" i="1"/>
  <c r="J11" i="1" s="1"/>
  <c r="I9" i="1"/>
  <c r="I11" i="1" s="1"/>
  <c r="CI9" i="1"/>
  <c r="CE9" i="1"/>
  <c r="CD9" i="1"/>
  <c r="CC9" i="1"/>
  <c r="BY9" i="1"/>
  <c r="BW9" i="1"/>
  <c r="BW8" i="1" s="1"/>
  <c r="BW97" i="6" s="1"/>
  <c r="BS8" i="1"/>
  <c r="BS97" i="6" s="1"/>
  <c r="BS22" i="7" s="1"/>
  <c r="BI8" i="1"/>
  <c r="BO10" i="1" s="1"/>
  <c r="K6" i="1"/>
  <c r="L6" i="1" s="1"/>
  <c r="O6" i="1" s="1"/>
  <c r="J6" i="1"/>
  <c r="P6" i="1" s="1"/>
  <c r="I6" i="1"/>
  <c r="O5" i="1"/>
  <c r="U5" i="1" s="1"/>
  <c r="I5" i="1"/>
  <c r="M5" i="1" s="1"/>
  <c r="G5" i="1"/>
  <c r="A1" i="1"/>
  <c r="BQ98" i="3"/>
  <c r="BN98" i="3"/>
  <c r="BM98" i="3"/>
  <c r="BL98" i="3"/>
  <c r="BK98" i="3"/>
  <c r="BO97" i="3"/>
  <c r="BI97" i="3"/>
  <c r="BO85" i="3"/>
  <c r="BO81" i="3"/>
  <c r="BO77" i="3"/>
  <c r="BQ86" i="3"/>
  <c r="BQ87" i="3" s="1"/>
  <c r="BN86" i="3"/>
  <c r="BN87" i="3" s="1"/>
  <c r="BM86" i="3"/>
  <c r="BM87" i="3" s="1"/>
  <c r="BL86" i="3"/>
  <c r="BL87" i="3" s="1"/>
  <c r="BK86" i="3"/>
  <c r="BK87" i="3" s="1"/>
  <c r="BI85" i="3"/>
  <c r="BQ82" i="3"/>
  <c r="BQ83" i="3" s="1"/>
  <c r="BN82" i="3"/>
  <c r="BN83" i="3" s="1"/>
  <c r="BM82" i="3"/>
  <c r="BM83" i="3" s="1"/>
  <c r="BL82" i="3"/>
  <c r="BL83" i="3" s="1"/>
  <c r="BK82" i="3"/>
  <c r="BK83" i="3" s="1"/>
  <c r="BI81" i="3"/>
  <c r="BQ78" i="3"/>
  <c r="BQ79" i="3" s="1"/>
  <c r="BN78" i="3"/>
  <c r="BN79" i="3" s="1"/>
  <c r="BM78" i="3"/>
  <c r="BM79" i="3" s="1"/>
  <c r="BL78" i="3"/>
  <c r="BL79" i="3" s="1"/>
  <c r="BK78" i="3"/>
  <c r="BK79" i="3" s="1"/>
  <c r="BI77" i="3"/>
  <c r="BH52" i="3"/>
  <c r="BF52" i="3"/>
  <c r="BE52" i="3"/>
  <c r="BH46" i="3"/>
  <c r="BG46" i="3"/>
  <c r="BF46" i="3"/>
  <c r="BE46" i="3"/>
  <c r="BQ46" i="3"/>
  <c r="BT44" i="3"/>
  <c r="BQ44" i="3"/>
  <c r="BQ42" i="3"/>
  <c r="BK56" i="3"/>
  <c r="BN54" i="3"/>
  <c r="BN50" i="3"/>
  <c r="BM50" i="3"/>
  <c r="BK50" i="3"/>
  <c r="BN48" i="3"/>
  <c r="BN46" i="3"/>
  <c r="BM46" i="3"/>
  <c r="BL46" i="3"/>
  <c r="BK46" i="3"/>
  <c r="BK44" i="3"/>
  <c r="BN42" i="3"/>
  <c r="BM42" i="3"/>
  <c r="BL42" i="3"/>
  <c r="BK42" i="3"/>
  <c r="BH42" i="3"/>
  <c r="BG42" i="3"/>
  <c r="BF42" i="3"/>
  <c r="BE42" i="3"/>
  <c r="BQ29" i="3"/>
  <c r="BT27" i="3"/>
  <c r="BS27" i="3"/>
  <c r="BQ25" i="3"/>
  <c r="BN29" i="3"/>
  <c r="BM29" i="3"/>
  <c r="BL29" i="3"/>
  <c r="BK29" i="3"/>
  <c r="BN25" i="3"/>
  <c r="BM25" i="3"/>
  <c r="BL25" i="3"/>
  <c r="BK25" i="3"/>
  <c r="BF37" i="3"/>
  <c r="BF35" i="3"/>
  <c r="BH33" i="3"/>
  <c r="BG33" i="3"/>
  <c r="BF33" i="3"/>
  <c r="BF31" i="3"/>
  <c r="BE31" i="3"/>
  <c r="BH29" i="3"/>
  <c r="BG29" i="3"/>
  <c r="BF29" i="3"/>
  <c r="BE29" i="3"/>
  <c r="BH25" i="3"/>
  <c r="BG25" i="3"/>
  <c r="BF25" i="3"/>
  <c r="BE25" i="3"/>
  <c r="AZ35" i="3"/>
  <c r="BA33" i="3"/>
  <c r="BB31" i="3"/>
  <c r="AY31" i="3"/>
  <c r="BB29" i="3"/>
  <c r="BA29" i="3"/>
  <c r="AZ29" i="3"/>
  <c r="AY29" i="3"/>
  <c r="BB27" i="3"/>
  <c r="BA27" i="3"/>
  <c r="AY27" i="3"/>
  <c r="BB25" i="3"/>
  <c r="BA25" i="3"/>
  <c r="AZ25" i="3"/>
  <c r="AY25" i="3"/>
  <c r="AT35" i="3"/>
  <c r="AU33" i="3"/>
  <c r="AT31" i="3"/>
  <c r="AS31" i="3"/>
  <c r="AV29" i="3"/>
  <c r="AU29" i="3"/>
  <c r="AT29" i="3"/>
  <c r="AS29" i="3"/>
  <c r="AV27" i="3"/>
  <c r="AU27" i="3"/>
  <c r="AT27" i="3"/>
  <c r="AS27" i="3"/>
  <c r="AV25" i="3"/>
  <c r="AU25" i="3"/>
  <c r="AT25" i="3"/>
  <c r="AS25" i="3"/>
  <c r="AP31" i="3"/>
  <c r="AP29" i="3"/>
  <c r="AO29" i="3"/>
  <c r="AN29" i="3"/>
  <c r="AM29" i="3"/>
  <c r="AP25" i="3"/>
  <c r="AO25" i="3"/>
  <c r="AN25" i="3"/>
  <c r="AM25" i="3"/>
  <c r="AJ35" i="3"/>
  <c r="AJ29" i="3"/>
  <c r="AI29" i="3"/>
  <c r="AJ25" i="3"/>
  <c r="AI25" i="3"/>
  <c r="AC33" i="3"/>
  <c r="AB33" i="3"/>
  <c r="AA33" i="3"/>
  <c r="AD31" i="3"/>
  <c r="AC31" i="3"/>
  <c r="AB31" i="3"/>
  <c r="AD27" i="3"/>
  <c r="AB27" i="3"/>
  <c r="X33" i="3"/>
  <c r="V33" i="3"/>
  <c r="W31" i="3"/>
  <c r="X29" i="3"/>
  <c r="W29" i="3"/>
  <c r="V29" i="3"/>
  <c r="U29" i="3"/>
  <c r="V27" i="3"/>
  <c r="X25" i="3"/>
  <c r="W25" i="3"/>
  <c r="V25" i="3"/>
  <c r="U25" i="3"/>
  <c r="Q35" i="3"/>
  <c r="R33" i="3"/>
  <c r="P33" i="3"/>
  <c r="R29" i="3"/>
  <c r="Q29" i="3"/>
  <c r="P29" i="3"/>
  <c r="O29" i="3"/>
  <c r="R27" i="3"/>
  <c r="P27" i="3"/>
  <c r="R25" i="3"/>
  <c r="Q25" i="3"/>
  <c r="P25" i="3"/>
  <c r="O25" i="3"/>
  <c r="K34" i="3"/>
  <c r="J34" i="3"/>
  <c r="L33" i="3"/>
  <c r="K33" i="3"/>
  <c r="J33" i="3"/>
  <c r="I33" i="3"/>
  <c r="K32" i="3"/>
  <c r="J32" i="3"/>
  <c r="I32" i="3"/>
  <c r="L31" i="3"/>
  <c r="K31" i="3"/>
  <c r="J31" i="3"/>
  <c r="I31" i="3"/>
  <c r="K30" i="3"/>
  <c r="J30" i="3"/>
  <c r="I30" i="3"/>
  <c r="L29" i="3"/>
  <c r="K29" i="3"/>
  <c r="J29" i="3"/>
  <c r="I29" i="3"/>
  <c r="L25" i="3"/>
  <c r="K25" i="3"/>
  <c r="J25" i="3"/>
  <c r="I25" i="3"/>
  <c r="BH18" i="3"/>
  <c r="BG18" i="3"/>
  <c r="BE18" i="3"/>
  <c r="BH12" i="3"/>
  <c r="BH63" i="3" s="1"/>
  <c r="BG12" i="3"/>
  <c r="BG63" i="3" s="1"/>
  <c r="BF12" i="3"/>
  <c r="BF63" i="3" s="1"/>
  <c r="BE12" i="3"/>
  <c r="BE63" i="3" s="1"/>
  <c r="BQ14" i="3"/>
  <c r="BQ12" i="3"/>
  <c r="BT10" i="3"/>
  <c r="BS10" i="3"/>
  <c r="BR10" i="3"/>
  <c r="BQ8" i="3"/>
  <c r="BN20" i="3"/>
  <c r="BN16" i="3"/>
  <c r="BM16" i="3"/>
  <c r="BL16" i="3"/>
  <c r="BK16" i="3"/>
  <c r="BN14" i="3"/>
  <c r="BN13" i="3"/>
  <c r="BN12" i="3"/>
  <c r="BM12" i="3"/>
  <c r="BM63" i="3" s="1"/>
  <c r="BL12" i="3"/>
  <c r="BL63" i="3" s="1"/>
  <c r="BK12" i="3"/>
  <c r="BK63" i="3" s="1"/>
  <c r="BN8" i="3"/>
  <c r="BN59" i="3" s="1"/>
  <c r="BM8" i="3"/>
  <c r="BL8" i="3"/>
  <c r="BL59" i="3" s="1"/>
  <c r="BK8" i="3"/>
  <c r="BK59" i="3" s="1"/>
  <c r="BH8" i="3"/>
  <c r="BH59" i="3" s="1"/>
  <c r="BG8" i="3"/>
  <c r="BG59" i="3" s="1"/>
  <c r="BF8" i="3"/>
  <c r="BF59" i="3" s="1"/>
  <c r="BE8" i="3"/>
  <c r="BE59" i="3" s="1"/>
  <c r="J6" i="3"/>
  <c r="P6" i="3" s="1"/>
  <c r="I6" i="3"/>
  <c r="I5" i="3"/>
  <c r="O5" i="3" s="1"/>
  <c r="G5" i="3"/>
  <c r="A1" i="3"/>
  <c r="X122" i="5"/>
  <c r="R122" i="5"/>
  <c r="BQ122" i="5"/>
  <c r="BO122" i="5"/>
  <c r="BN122" i="5"/>
  <c r="BM122" i="5"/>
  <c r="BL122" i="5"/>
  <c r="BK122" i="5"/>
  <c r="BI122" i="5"/>
  <c r="BH122" i="5"/>
  <c r="BG122" i="5"/>
  <c r="BF122" i="5"/>
  <c r="BE122" i="5"/>
  <c r="BC122" i="5"/>
  <c r="BB122" i="5"/>
  <c r="BA122" i="5"/>
  <c r="AZ122" i="5"/>
  <c r="AY122" i="5"/>
  <c r="AW122" i="5"/>
  <c r="AV122" i="5"/>
  <c r="AU122" i="5"/>
  <c r="AT122" i="5"/>
  <c r="AS122" i="5"/>
  <c r="AQ122" i="5"/>
  <c r="AP122" i="5"/>
  <c r="AO122" i="5"/>
  <c r="AN122" i="5"/>
  <c r="AM122" i="5"/>
  <c r="AK122" i="5"/>
  <c r="AJ122" i="5"/>
  <c r="AI122" i="5"/>
  <c r="AH122" i="5"/>
  <c r="AG122" i="5"/>
  <c r="AE122" i="5"/>
  <c r="AD122" i="5"/>
  <c r="AC122" i="5"/>
  <c r="G122" i="5"/>
  <c r="F122" i="5"/>
  <c r="BQ119" i="5"/>
  <c r="BO119" i="5"/>
  <c r="BN119" i="5"/>
  <c r="BM119" i="5"/>
  <c r="BL119" i="5"/>
  <c r="BK119" i="5"/>
  <c r="BI119" i="5"/>
  <c r="BH119" i="5"/>
  <c r="BG119" i="5"/>
  <c r="BF119" i="5"/>
  <c r="BE119" i="5"/>
  <c r="BC119" i="5"/>
  <c r="BB119" i="5"/>
  <c r="BA119" i="5"/>
  <c r="AZ119" i="5"/>
  <c r="AY119" i="5"/>
  <c r="AW119" i="5"/>
  <c r="AV119" i="5"/>
  <c r="AU119" i="5"/>
  <c r="AT119" i="5"/>
  <c r="AS119" i="5"/>
  <c r="X119" i="5"/>
  <c r="W119" i="5"/>
  <c r="V119" i="5"/>
  <c r="U119" i="5"/>
  <c r="R119" i="5"/>
  <c r="Q119" i="5"/>
  <c r="P119" i="5"/>
  <c r="O119" i="5"/>
  <c r="CI118" i="5"/>
  <c r="CJ118" i="5" s="1"/>
  <c r="CK118" i="5" s="1"/>
  <c r="CL118" i="5" s="1"/>
  <c r="CC118" i="5"/>
  <c r="CD118" i="5" s="1"/>
  <c r="CE118" i="5" s="1"/>
  <c r="CF118" i="5" s="1"/>
  <c r="BW118" i="5"/>
  <c r="BX118" i="5" s="1"/>
  <c r="BY118" i="5" s="1"/>
  <c r="BZ118" i="5" s="1"/>
  <c r="BQ118" i="5"/>
  <c r="BR118" i="5" s="1"/>
  <c r="BS118" i="5" s="1"/>
  <c r="BT118" i="5" s="1"/>
  <c r="BK118" i="5"/>
  <c r="BL118" i="5" s="1"/>
  <c r="BM118" i="5" s="1"/>
  <c r="BN118" i="5" s="1"/>
  <c r="BE118" i="5"/>
  <c r="BF118" i="5" s="1"/>
  <c r="BG118" i="5" s="1"/>
  <c r="BH118" i="5" s="1"/>
  <c r="AY118" i="5"/>
  <c r="AZ118" i="5" s="1"/>
  <c r="BA118" i="5" s="1"/>
  <c r="BB118" i="5" s="1"/>
  <c r="AS118" i="5"/>
  <c r="AT118" i="5" s="1"/>
  <c r="AU118" i="5" s="1"/>
  <c r="AV118" i="5" s="1"/>
  <c r="AQ119" i="5"/>
  <c r="AP119" i="5"/>
  <c r="AO119" i="5"/>
  <c r="AN119" i="5"/>
  <c r="AM119" i="5"/>
  <c r="AQ118" i="5"/>
  <c r="AM118" i="5"/>
  <c r="AN118" i="5" s="1"/>
  <c r="AO118" i="5" s="1"/>
  <c r="AP118" i="5" s="1"/>
  <c r="AK119" i="5"/>
  <c r="AJ119" i="5"/>
  <c r="AI119" i="5"/>
  <c r="AH119" i="5"/>
  <c r="AG119" i="5"/>
  <c r="AK118" i="5"/>
  <c r="AG118" i="5" s="1"/>
  <c r="AH118" i="5" s="1"/>
  <c r="AI118" i="5" s="1"/>
  <c r="AJ118" i="5" s="1"/>
  <c r="AE119" i="5"/>
  <c r="AD119" i="5"/>
  <c r="AC119" i="5"/>
  <c r="AB119" i="5"/>
  <c r="AA119" i="5"/>
  <c r="AE118" i="5"/>
  <c r="AA118" i="5" s="1"/>
  <c r="AB118" i="5" s="1"/>
  <c r="AC118" i="5" s="1"/>
  <c r="AD118" i="5" s="1"/>
  <c r="Y118" i="5"/>
  <c r="U118" i="5"/>
  <c r="V118" i="5" s="1"/>
  <c r="W118" i="5" s="1"/>
  <c r="X118" i="5" s="1"/>
  <c r="S118" i="5"/>
  <c r="O118" i="5"/>
  <c r="P118" i="5" s="1"/>
  <c r="Q118" i="5" s="1"/>
  <c r="R118" i="5" s="1"/>
  <c r="M118" i="5"/>
  <c r="I118" i="5" s="1"/>
  <c r="J118" i="5" s="1"/>
  <c r="K118" i="5" s="1"/>
  <c r="L118" i="5" s="1"/>
  <c r="G118" i="5"/>
  <c r="C118" i="5" s="1"/>
  <c r="D118" i="5" s="1"/>
  <c r="E118" i="5" s="1"/>
  <c r="F118" i="5" s="1"/>
  <c r="AV105" i="5"/>
  <c r="AV104" i="5"/>
  <c r="AV103" i="5"/>
  <c r="X105" i="5"/>
  <c r="X104" i="5"/>
  <c r="X103" i="5"/>
  <c r="R105" i="5"/>
  <c r="R104" i="5"/>
  <c r="R103" i="5"/>
  <c r="BH104" i="5"/>
  <c r="BH103" i="5"/>
  <c r="BB104" i="5"/>
  <c r="BB103" i="5"/>
  <c r="BV100" i="5"/>
  <c r="BO98" i="5"/>
  <c r="BO95" i="5"/>
  <c r="BO93" i="5"/>
  <c r="BO92" i="5"/>
  <c r="BO91" i="5"/>
  <c r="BO90" i="5"/>
  <c r="BO89" i="5"/>
  <c r="BI95" i="5"/>
  <c r="BI94" i="5"/>
  <c r="BI93" i="5"/>
  <c r="BI91" i="5"/>
  <c r="BI90" i="5"/>
  <c r="BI89" i="5"/>
  <c r="BF98" i="5"/>
  <c r="BE98" i="5"/>
  <c r="BI98" i="5" s="1"/>
  <c r="BB98" i="5"/>
  <c r="BA98" i="5"/>
  <c r="AZ98" i="5"/>
  <c r="AY98" i="5"/>
  <c r="BC98" i="5" s="1"/>
  <c r="AV98" i="5"/>
  <c r="AU98" i="5"/>
  <c r="AT98" i="5"/>
  <c r="AS98" i="5"/>
  <c r="AP98" i="5"/>
  <c r="AO98" i="5"/>
  <c r="AN98" i="5"/>
  <c r="AM98" i="5"/>
  <c r="AK98" i="5"/>
  <c r="AJ98" i="5"/>
  <c r="AD98" i="5"/>
  <c r="AE98" i="5" s="1"/>
  <c r="Y98" i="5"/>
  <c r="Y97" i="5"/>
  <c r="S98" i="5"/>
  <c r="S97" i="5"/>
  <c r="M98" i="5"/>
  <c r="M97" i="5"/>
  <c r="G98" i="5"/>
  <c r="CM97" i="5"/>
  <c r="CM95" i="5"/>
  <c r="CM94" i="5"/>
  <c r="CM93" i="5"/>
  <c r="CM92" i="5"/>
  <c r="CM91" i="5"/>
  <c r="CM90" i="5"/>
  <c r="CM89" i="5"/>
  <c r="CG97" i="5"/>
  <c r="CG95" i="5"/>
  <c r="CG94" i="5"/>
  <c r="CG93" i="5"/>
  <c r="CG92" i="5"/>
  <c r="CG91" i="5"/>
  <c r="CG90" i="5"/>
  <c r="CG89" i="5"/>
  <c r="CA97" i="5"/>
  <c r="CA95" i="5"/>
  <c r="CA94" i="5"/>
  <c r="CA93" i="5"/>
  <c r="CA92" i="5"/>
  <c r="CA91" i="5"/>
  <c r="CA90" i="5"/>
  <c r="CA89" i="5"/>
  <c r="BU95" i="5"/>
  <c r="BU93" i="5"/>
  <c r="BU92" i="5"/>
  <c r="BU91" i="5"/>
  <c r="BU90" i="5"/>
  <c r="BU89" i="5"/>
  <c r="BQ97" i="5"/>
  <c r="BU97" i="5" s="1"/>
  <c r="BN97" i="5"/>
  <c r="BM97" i="5"/>
  <c r="BL97" i="5"/>
  <c r="BK97" i="5"/>
  <c r="BG97" i="5"/>
  <c r="BI97" i="5" s="1"/>
  <c r="BC97" i="5"/>
  <c r="BC96" i="5"/>
  <c r="BC95" i="5"/>
  <c r="BC91" i="5"/>
  <c r="BC90" i="5"/>
  <c r="BC89" i="5"/>
  <c r="AW97" i="5"/>
  <c r="AW96" i="5"/>
  <c r="AW95" i="5"/>
  <c r="AW94" i="5"/>
  <c r="AW93" i="5"/>
  <c r="AW92" i="5"/>
  <c r="AW91" i="5"/>
  <c r="AW90" i="5"/>
  <c r="AW89" i="5"/>
  <c r="AQ97" i="5"/>
  <c r="AQ96" i="5"/>
  <c r="AQ95" i="5"/>
  <c r="AQ94" i="5"/>
  <c r="AQ93" i="5"/>
  <c r="AQ92" i="5"/>
  <c r="AQ91" i="5"/>
  <c r="AQ90" i="5"/>
  <c r="AQ89" i="5"/>
  <c r="AK97" i="5"/>
  <c r="AE97" i="5"/>
  <c r="F97" i="5"/>
  <c r="G97" i="5" s="1"/>
  <c r="BM96" i="5"/>
  <c r="BO96" i="5" s="1"/>
  <c r="BH96" i="5"/>
  <c r="BF96" i="5"/>
  <c r="AK95" i="5"/>
  <c r="AK94" i="5"/>
  <c r="AK93" i="5"/>
  <c r="AK92" i="5"/>
  <c r="AK91" i="5"/>
  <c r="AK90" i="5"/>
  <c r="AK89" i="5"/>
  <c r="AE95" i="5"/>
  <c r="AE94" i="5"/>
  <c r="AE93" i="5"/>
  <c r="AE92" i="5"/>
  <c r="AE91" i="5"/>
  <c r="AE90" i="5"/>
  <c r="AE89" i="5"/>
  <c r="Y95" i="5"/>
  <c r="Y94" i="5"/>
  <c r="Y93" i="5"/>
  <c r="Y92" i="5"/>
  <c r="Y91" i="5"/>
  <c r="Y90" i="5"/>
  <c r="Y89" i="5"/>
  <c r="S95" i="5"/>
  <c r="S94" i="5"/>
  <c r="S93" i="5"/>
  <c r="S92" i="5"/>
  <c r="S91" i="5"/>
  <c r="S90" i="5"/>
  <c r="S89" i="5"/>
  <c r="M95" i="5"/>
  <c r="M94" i="5"/>
  <c r="M93" i="5"/>
  <c r="M92" i="5"/>
  <c r="M91" i="5"/>
  <c r="M90" i="5"/>
  <c r="M89" i="5"/>
  <c r="BQ94" i="5"/>
  <c r="BU94" i="5" s="1"/>
  <c r="BN94" i="5"/>
  <c r="BM94" i="5"/>
  <c r="BK94" i="5"/>
  <c r="BB94" i="5"/>
  <c r="BA94" i="5"/>
  <c r="BB93" i="5"/>
  <c r="BA93" i="5"/>
  <c r="BE92" i="5"/>
  <c r="BI92" i="5" s="1"/>
  <c r="BA92" i="5"/>
  <c r="BC92" i="5" s="1"/>
  <c r="G89" i="5"/>
  <c r="L75" i="5"/>
  <c r="K75" i="5"/>
  <c r="J75" i="5"/>
  <c r="I75" i="5"/>
  <c r="BO60" i="5"/>
  <c r="BI68" i="5"/>
  <c r="BI63" i="5"/>
  <c r="BI62" i="5"/>
  <c r="BI60" i="5"/>
  <c r="BC60" i="5"/>
  <c r="AW68" i="5"/>
  <c r="AW60" i="5"/>
  <c r="AQ68" i="5"/>
  <c r="AQ63" i="5"/>
  <c r="AQ60" i="5"/>
  <c r="AK60" i="5"/>
  <c r="AE62" i="5"/>
  <c r="AE60" i="5"/>
  <c r="Y68" i="5"/>
  <c r="Y63" i="5"/>
  <c r="Y62" i="5"/>
  <c r="Y60" i="5"/>
  <c r="S68" i="5"/>
  <c r="S63" i="5"/>
  <c r="S62" i="5"/>
  <c r="S60" i="5"/>
  <c r="M68" i="5"/>
  <c r="M63" i="5"/>
  <c r="M62" i="5"/>
  <c r="M60" i="5"/>
  <c r="G68" i="5"/>
  <c r="G63" i="5"/>
  <c r="G60" i="5"/>
  <c r="BQ57" i="5"/>
  <c r="BQ51" i="5"/>
  <c r="BQ48" i="5"/>
  <c r="BN57" i="5"/>
  <c r="BM57" i="5"/>
  <c r="BL57" i="5"/>
  <c r="BK57" i="5"/>
  <c r="BN51" i="5"/>
  <c r="BL51" i="5"/>
  <c r="BK51" i="5"/>
  <c r="BN50" i="5"/>
  <c r="BM50" i="5"/>
  <c r="BL50" i="5"/>
  <c r="BK50" i="5"/>
  <c r="BN48" i="5"/>
  <c r="BM48" i="5"/>
  <c r="BL48" i="5"/>
  <c r="BK48" i="5"/>
  <c r="BH57" i="5"/>
  <c r="BG57" i="5"/>
  <c r="BF57" i="5"/>
  <c r="BE57" i="5"/>
  <c r="BH51" i="5"/>
  <c r="BF51" i="5"/>
  <c r="BE51" i="5"/>
  <c r="BF50" i="5"/>
  <c r="BE50" i="5"/>
  <c r="BH48" i="5"/>
  <c r="BG48" i="5"/>
  <c r="BF48" i="5"/>
  <c r="BE48" i="5"/>
  <c r="BC57" i="5"/>
  <c r="BB57" i="5"/>
  <c r="BA57" i="5"/>
  <c r="AZ57" i="5"/>
  <c r="AY57" i="5"/>
  <c r="BB51" i="5"/>
  <c r="AY51" i="5"/>
  <c r="BB48" i="5"/>
  <c r="BA48" i="5"/>
  <c r="AZ48" i="5"/>
  <c r="AY48" i="5"/>
  <c r="AV57" i="5"/>
  <c r="AU57" i="5"/>
  <c r="AT57" i="5"/>
  <c r="AS57" i="5"/>
  <c r="AV51" i="5"/>
  <c r="AU51" i="5"/>
  <c r="AS51" i="5"/>
  <c r="AV48" i="5"/>
  <c r="AU48" i="5"/>
  <c r="AT48" i="5"/>
  <c r="AS48" i="5"/>
  <c r="AP57" i="5"/>
  <c r="AO57" i="5"/>
  <c r="AN57" i="5"/>
  <c r="AM57" i="5"/>
  <c r="AO51" i="5"/>
  <c r="AN51" i="5"/>
  <c r="AM51" i="5"/>
  <c r="AM50" i="5"/>
  <c r="AP48" i="5"/>
  <c r="AO48" i="5"/>
  <c r="AN48" i="5"/>
  <c r="AM48" i="5"/>
  <c r="AJ57" i="5"/>
  <c r="AI57" i="5"/>
  <c r="AH57" i="5"/>
  <c r="AG57" i="5"/>
  <c r="AI51" i="5"/>
  <c r="AH51" i="5"/>
  <c r="AG51" i="5"/>
  <c r="AI50" i="5"/>
  <c r="AH50" i="5"/>
  <c r="AG50" i="5"/>
  <c r="AJ48" i="5"/>
  <c r="AI48" i="5"/>
  <c r="AH48" i="5"/>
  <c r="AG48" i="5"/>
  <c r="AD57" i="5"/>
  <c r="AC57" i="5"/>
  <c r="AB57" i="5"/>
  <c r="AA57" i="5"/>
  <c r="AC51" i="5"/>
  <c r="AB51" i="5"/>
  <c r="AA51" i="5"/>
  <c r="AD50" i="5"/>
  <c r="AC50" i="5"/>
  <c r="AB50" i="5"/>
  <c r="AA50" i="5"/>
  <c r="AD48" i="5"/>
  <c r="AC48" i="5"/>
  <c r="AB48" i="5"/>
  <c r="AA48" i="5"/>
  <c r="Y57" i="5"/>
  <c r="X57" i="5"/>
  <c r="W57" i="5"/>
  <c r="V57" i="5"/>
  <c r="U57" i="5"/>
  <c r="X51" i="5"/>
  <c r="W51" i="5"/>
  <c r="V51" i="5"/>
  <c r="U51" i="5"/>
  <c r="X50" i="5"/>
  <c r="W50" i="5"/>
  <c r="V50" i="5"/>
  <c r="U50" i="5"/>
  <c r="X48" i="5"/>
  <c r="W48" i="5"/>
  <c r="V48" i="5"/>
  <c r="U48" i="5"/>
  <c r="S57" i="5"/>
  <c r="R57" i="5"/>
  <c r="Q57" i="5"/>
  <c r="P57" i="5"/>
  <c r="O57" i="5"/>
  <c r="R51" i="5"/>
  <c r="Q51" i="5"/>
  <c r="P51" i="5"/>
  <c r="O51" i="5"/>
  <c r="R50" i="5"/>
  <c r="Q50" i="5"/>
  <c r="P50" i="5"/>
  <c r="R48" i="5"/>
  <c r="Q48" i="5"/>
  <c r="P48" i="5"/>
  <c r="O48" i="5"/>
  <c r="M57" i="5"/>
  <c r="L57" i="5"/>
  <c r="K57" i="5"/>
  <c r="J57" i="5"/>
  <c r="I57" i="5"/>
  <c r="L51" i="5"/>
  <c r="K51" i="5"/>
  <c r="J51" i="5"/>
  <c r="I51" i="5"/>
  <c r="L50" i="5"/>
  <c r="K50" i="5"/>
  <c r="J50" i="5"/>
  <c r="M48" i="5"/>
  <c r="L48" i="5"/>
  <c r="K48" i="5"/>
  <c r="J48" i="5"/>
  <c r="I48" i="5"/>
  <c r="CF41" i="5"/>
  <c r="CE41" i="5"/>
  <c r="CD41" i="5"/>
  <c r="CC41" i="5"/>
  <c r="BQ41" i="5"/>
  <c r="BN41" i="5"/>
  <c r="BL41" i="5"/>
  <c r="BK41" i="5"/>
  <c r="BH41" i="5"/>
  <c r="BG41" i="5"/>
  <c r="BF41" i="5"/>
  <c r="BE41" i="5"/>
  <c r="BB41" i="5"/>
  <c r="AZ41" i="5"/>
  <c r="AY41" i="5"/>
  <c r="AV41" i="5"/>
  <c r="AU41" i="5"/>
  <c r="AS41" i="5"/>
  <c r="AP41" i="5"/>
  <c r="AO41" i="5"/>
  <c r="AN41" i="5"/>
  <c r="AM41" i="5"/>
  <c r="AM40" i="5"/>
  <c r="AM38" i="5"/>
  <c r="CF39" i="5"/>
  <c r="CE39" i="5"/>
  <c r="CD39" i="5"/>
  <c r="CC39" i="5"/>
  <c r="CF37" i="5"/>
  <c r="CE37" i="5"/>
  <c r="CD37" i="5"/>
  <c r="CC37" i="5"/>
  <c r="BN38" i="5"/>
  <c r="BM38" i="5"/>
  <c r="BL38" i="5"/>
  <c r="BK38" i="5"/>
  <c r="BH38" i="5"/>
  <c r="BG38" i="5"/>
  <c r="BF38" i="5"/>
  <c r="BE38" i="5"/>
  <c r="AZ38" i="5"/>
  <c r="AY38" i="5"/>
  <c r="AV38" i="5"/>
  <c r="AU38" i="5"/>
  <c r="AI41" i="5"/>
  <c r="AH41" i="5"/>
  <c r="AG41" i="5"/>
  <c r="AJ40" i="5"/>
  <c r="AI40" i="5"/>
  <c r="AH40" i="5"/>
  <c r="AG40" i="5"/>
  <c r="AI38" i="5"/>
  <c r="AH38" i="5"/>
  <c r="AG38" i="5"/>
  <c r="AC41" i="5"/>
  <c r="AB41" i="5"/>
  <c r="AA41" i="5"/>
  <c r="AD40" i="5"/>
  <c r="AC40" i="5"/>
  <c r="AB40" i="5"/>
  <c r="AA40" i="5"/>
  <c r="AD38" i="5"/>
  <c r="AC38" i="5"/>
  <c r="AB38" i="5"/>
  <c r="AA38" i="5"/>
  <c r="X41" i="5"/>
  <c r="W41" i="5"/>
  <c r="V41" i="5"/>
  <c r="U41" i="5"/>
  <c r="X40" i="5"/>
  <c r="W40" i="5"/>
  <c r="V40" i="5"/>
  <c r="U40" i="5"/>
  <c r="X38" i="5"/>
  <c r="W38" i="5"/>
  <c r="V38" i="5"/>
  <c r="U38" i="5"/>
  <c r="R41" i="5"/>
  <c r="Q41" i="5"/>
  <c r="P41" i="5"/>
  <c r="O41" i="5"/>
  <c r="R40" i="5"/>
  <c r="Q40" i="5"/>
  <c r="P40" i="5"/>
  <c r="O40" i="5"/>
  <c r="R38" i="5"/>
  <c r="Q38" i="5"/>
  <c r="P38" i="5"/>
  <c r="O38" i="5"/>
  <c r="L41" i="5"/>
  <c r="K41" i="5"/>
  <c r="J41" i="5"/>
  <c r="I41" i="5"/>
  <c r="L40" i="5"/>
  <c r="K40" i="5"/>
  <c r="J40" i="5"/>
  <c r="I40" i="5"/>
  <c r="L38" i="5"/>
  <c r="K38" i="5"/>
  <c r="J38" i="5"/>
  <c r="F41" i="5"/>
  <c r="E41" i="5"/>
  <c r="D41" i="5"/>
  <c r="C41" i="5"/>
  <c r="F40" i="5"/>
  <c r="E40" i="5"/>
  <c r="D40" i="5"/>
  <c r="C40" i="5"/>
  <c r="F38" i="5"/>
  <c r="E38" i="5"/>
  <c r="D38" i="5"/>
  <c r="C38" i="5"/>
  <c r="BO33" i="5"/>
  <c r="BI33" i="5"/>
  <c r="AQ33" i="5"/>
  <c r="AK33" i="5"/>
  <c r="AE33" i="5"/>
  <c r="CG28" i="5"/>
  <c r="CG27" i="5"/>
  <c r="CG22" i="5"/>
  <c r="CL29" i="5"/>
  <c r="CK29" i="5"/>
  <c r="CJ29" i="5"/>
  <c r="CI29" i="5"/>
  <c r="CF29" i="5"/>
  <c r="CE29" i="5"/>
  <c r="CD29" i="5"/>
  <c r="CC29" i="5"/>
  <c r="BZ29" i="5"/>
  <c r="BY29" i="5"/>
  <c r="BX29" i="5"/>
  <c r="BW29" i="5"/>
  <c r="BT29" i="5"/>
  <c r="BS29" i="5"/>
  <c r="BR29" i="5"/>
  <c r="BQ29" i="5"/>
  <c r="BN29" i="5"/>
  <c r="BM29" i="5"/>
  <c r="BL29" i="5"/>
  <c r="BK29" i="5"/>
  <c r="BH29" i="5"/>
  <c r="BG29" i="5"/>
  <c r="BF29" i="5"/>
  <c r="BE29" i="5"/>
  <c r="BB29" i="5"/>
  <c r="BA29" i="5"/>
  <c r="AZ29" i="5"/>
  <c r="AY29" i="5"/>
  <c r="AV29" i="5"/>
  <c r="AU29" i="5"/>
  <c r="AT29" i="5"/>
  <c r="AS29" i="5"/>
  <c r="AP29" i="5"/>
  <c r="AN29" i="5"/>
  <c r="AH29" i="5"/>
  <c r="AG29" i="5"/>
  <c r="AD29" i="5"/>
  <c r="AC29" i="5"/>
  <c r="AB29" i="5"/>
  <c r="AA29" i="5"/>
  <c r="W29" i="5"/>
  <c r="V29" i="5"/>
  <c r="U29" i="5"/>
  <c r="R29" i="5"/>
  <c r="Q29" i="5"/>
  <c r="P29" i="5"/>
  <c r="O29" i="5"/>
  <c r="L29" i="5"/>
  <c r="K29" i="5"/>
  <c r="J29" i="5"/>
  <c r="I29" i="5"/>
  <c r="F29" i="5"/>
  <c r="E29" i="5"/>
  <c r="D29" i="5"/>
  <c r="C29" i="5"/>
  <c r="CM28" i="5"/>
  <c r="CM27" i="5"/>
  <c r="CM22" i="5"/>
  <c r="CA28" i="5"/>
  <c r="CA27" i="5"/>
  <c r="CA22" i="5"/>
  <c r="BU28" i="5"/>
  <c r="BU27" i="5"/>
  <c r="BO28" i="5"/>
  <c r="BO27" i="5"/>
  <c r="BO24" i="5"/>
  <c r="BO22" i="5"/>
  <c r="BO12" i="5"/>
  <c r="BO7" i="5"/>
  <c r="BI28" i="5"/>
  <c r="BI27" i="5"/>
  <c r="BI24" i="5"/>
  <c r="BI22" i="5"/>
  <c r="BI21" i="5"/>
  <c r="BI15" i="5"/>
  <c r="BI12" i="5"/>
  <c r="BI7" i="5"/>
  <c r="BC28" i="5"/>
  <c r="BC27" i="5"/>
  <c r="BC22" i="5"/>
  <c r="BC21" i="5"/>
  <c r="BC7" i="5"/>
  <c r="AW28" i="5"/>
  <c r="AW27" i="5"/>
  <c r="AW24" i="5"/>
  <c r="AW21" i="5"/>
  <c r="AW20" i="5"/>
  <c r="AW8" i="5"/>
  <c r="AW7" i="5"/>
  <c r="AQ28" i="5"/>
  <c r="AQ24" i="5"/>
  <c r="AQ22" i="5"/>
  <c r="AQ21" i="5"/>
  <c r="AQ20" i="5"/>
  <c r="AQ15" i="5"/>
  <c r="AQ8" i="5"/>
  <c r="AQ7" i="5"/>
  <c r="AK28" i="5"/>
  <c r="AK22" i="5"/>
  <c r="AK21" i="5"/>
  <c r="AK20" i="5"/>
  <c r="AK14" i="5"/>
  <c r="AE28" i="5"/>
  <c r="AE27" i="5"/>
  <c r="AE22" i="5"/>
  <c r="AE21" i="5"/>
  <c r="AE20" i="5"/>
  <c r="AE14" i="5"/>
  <c r="AE12" i="5"/>
  <c r="Y28" i="5"/>
  <c r="Y24" i="5"/>
  <c r="Y22" i="5"/>
  <c r="Y21" i="5"/>
  <c r="Y20" i="5"/>
  <c r="Y15" i="5"/>
  <c r="Y14" i="5"/>
  <c r="Y12" i="5"/>
  <c r="Y10" i="5"/>
  <c r="S28" i="5"/>
  <c r="S27" i="5"/>
  <c r="S24" i="5"/>
  <c r="S21" i="5"/>
  <c r="S20" i="5"/>
  <c r="S15" i="5"/>
  <c r="S14" i="5"/>
  <c r="S12" i="5"/>
  <c r="S10" i="5"/>
  <c r="M28" i="5"/>
  <c r="M27" i="5"/>
  <c r="M24" i="5"/>
  <c r="M21" i="5"/>
  <c r="M20" i="5"/>
  <c r="M15" i="5"/>
  <c r="M14" i="5"/>
  <c r="M10" i="5"/>
  <c r="G28" i="5"/>
  <c r="G27" i="5"/>
  <c r="G24" i="5"/>
  <c r="G22" i="5"/>
  <c r="G21" i="5"/>
  <c r="G20" i="5"/>
  <c r="G15" i="5"/>
  <c r="G14" i="5"/>
  <c r="G12" i="5"/>
  <c r="G10" i="5"/>
  <c r="AO27" i="5"/>
  <c r="AM27" i="5"/>
  <c r="X27" i="5"/>
  <c r="BQ24" i="5"/>
  <c r="BQ22" i="5"/>
  <c r="AJ27" i="5"/>
  <c r="AI27" i="5"/>
  <c r="AJ24" i="5"/>
  <c r="AD24" i="5"/>
  <c r="CJ25" i="5"/>
  <c r="CD25" i="5"/>
  <c r="BX25" i="5"/>
  <c r="BB24" i="5"/>
  <c r="BA24" i="5"/>
  <c r="AT22" i="5"/>
  <c r="R22" i="5"/>
  <c r="Q22" i="5"/>
  <c r="L22" i="5"/>
  <c r="BM21" i="5"/>
  <c r="BM20" i="5"/>
  <c r="BM15" i="5"/>
  <c r="BM14" i="5"/>
  <c r="BQ20" i="5"/>
  <c r="BQ19" i="5"/>
  <c r="BN20" i="5"/>
  <c r="BN16" i="5"/>
  <c r="BL20" i="5"/>
  <c r="BL16" i="5"/>
  <c r="BH20" i="5"/>
  <c r="BH16" i="5"/>
  <c r="BE20" i="5"/>
  <c r="BE19" i="5"/>
  <c r="BE16" i="5"/>
  <c r="BK19" i="5"/>
  <c r="BK16" i="5"/>
  <c r="BG19" i="5"/>
  <c r="BF19" i="5"/>
  <c r="BG16" i="5"/>
  <c r="BF16" i="5"/>
  <c r="BB20" i="5"/>
  <c r="BA20" i="5"/>
  <c r="AZ19" i="5"/>
  <c r="AY19" i="5"/>
  <c r="AZ16" i="5"/>
  <c r="AY16" i="5"/>
  <c r="AV19" i="5"/>
  <c r="AU19" i="5"/>
  <c r="AT19" i="5"/>
  <c r="AS19" i="5"/>
  <c r="AV16" i="5"/>
  <c r="AU16" i="5"/>
  <c r="AP19" i="5"/>
  <c r="AO19" i="5"/>
  <c r="AN19" i="5"/>
  <c r="AM19" i="5"/>
  <c r="AM16" i="5"/>
  <c r="AJ19" i="5"/>
  <c r="AI19" i="5"/>
  <c r="AH19" i="5"/>
  <c r="AG19" i="5"/>
  <c r="AI16" i="5"/>
  <c r="AH16" i="5"/>
  <c r="AG16" i="5"/>
  <c r="AD19" i="5"/>
  <c r="AC19" i="5"/>
  <c r="AB19" i="5"/>
  <c r="AA19" i="5"/>
  <c r="AC16" i="5"/>
  <c r="AB16" i="5"/>
  <c r="AA16" i="5"/>
  <c r="X19" i="5"/>
  <c r="W19" i="5"/>
  <c r="V19" i="5"/>
  <c r="U19" i="5"/>
  <c r="X16" i="5"/>
  <c r="W16" i="5"/>
  <c r="V16" i="5"/>
  <c r="U16" i="5"/>
  <c r="R19" i="5"/>
  <c r="Q19" i="5"/>
  <c r="P19" i="5"/>
  <c r="O19" i="5"/>
  <c r="R16" i="5"/>
  <c r="Q16" i="5"/>
  <c r="P16" i="5"/>
  <c r="O16" i="5"/>
  <c r="L19" i="5"/>
  <c r="K19" i="5"/>
  <c r="J19" i="5"/>
  <c r="I19" i="5"/>
  <c r="L16" i="5"/>
  <c r="K16" i="5"/>
  <c r="J16" i="5"/>
  <c r="F19" i="5"/>
  <c r="E19" i="5"/>
  <c r="D19" i="5"/>
  <c r="C19" i="5"/>
  <c r="F16" i="5"/>
  <c r="E16" i="5"/>
  <c r="D16" i="5"/>
  <c r="C16" i="5"/>
  <c r="BA15" i="5"/>
  <c r="BA14" i="5"/>
  <c r="BA12" i="5"/>
  <c r="BA10" i="5"/>
  <c r="AT15" i="5"/>
  <c r="AT14" i="5"/>
  <c r="AT12" i="5"/>
  <c r="AT9" i="5"/>
  <c r="AT10" i="5" s="1"/>
  <c r="AJ15" i="5"/>
  <c r="AD15" i="5"/>
  <c r="BQ14" i="5"/>
  <c r="BQ12" i="5"/>
  <c r="BQ10" i="5"/>
  <c r="BQ9" i="5"/>
  <c r="BN14" i="5"/>
  <c r="BB14" i="5"/>
  <c r="BB12" i="5"/>
  <c r="BB10" i="5"/>
  <c r="AS14" i="5"/>
  <c r="AS12" i="5"/>
  <c r="AS9" i="5"/>
  <c r="AS10" i="5" s="1"/>
  <c r="BL14" i="5"/>
  <c r="BK14" i="5"/>
  <c r="BH14" i="5"/>
  <c r="BG14" i="5"/>
  <c r="BF14" i="5"/>
  <c r="BE14" i="5"/>
  <c r="BH13" i="5"/>
  <c r="BG13" i="5"/>
  <c r="BF13" i="5"/>
  <c r="BE13" i="5"/>
  <c r="AZ14" i="5"/>
  <c r="AY14" i="5"/>
  <c r="AV14" i="5"/>
  <c r="AU14" i="5"/>
  <c r="AM13" i="5"/>
  <c r="AI13" i="5"/>
  <c r="AH13" i="5"/>
  <c r="AG13" i="5"/>
  <c r="AD13" i="5"/>
  <c r="AC13" i="5"/>
  <c r="AB13" i="5"/>
  <c r="AA13" i="5"/>
  <c r="X13" i="5"/>
  <c r="W13" i="5"/>
  <c r="V13" i="5"/>
  <c r="U13" i="5"/>
  <c r="R13" i="5"/>
  <c r="Q13" i="5"/>
  <c r="P13" i="5"/>
  <c r="O13" i="5"/>
  <c r="L13" i="5"/>
  <c r="K13" i="5"/>
  <c r="J13" i="5"/>
  <c r="F13" i="5"/>
  <c r="E13" i="5"/>
  <c r="D13" i="5"/>
  <c r="C13" i="5"/>
  <c r="AJ12" i="5"/>
  <c r="AJ10" i="5"/>
  <c r="I12" i="5"/>
  <c r="I11" i="5"/>
  <c r="BN11" i="5"/>
  <c r="BF11" i="5"/>
  <c r="AY11" i="5"/>
  <c r="AM9" i="5"/>
  <c r="AM10" i="5" s="1"/>
  <c r="AI11" i="5"/>
  <c r="AH11" i="5"/>
  <c r="AG11" i="5"/>
  <c r="AD11" i="5"/>
  <c r="AC11" i="5"/>
  <c r="AB11" i="5"/>
  <c r="AA11" i="5"/>
  <c r="X11" i="5"/>
  <c r="W11" i="5"/>
  <c r="V11" i="5"/>
  <c r="U11" i="5"/>
  <c r="R11" i="5"/>
  <c r="Q11" i="5"/>
  <c r="P11" i="5"/>
  <c r="O11" i="5"/>
  <c r="L11" i="5"/>
  <c r="K11" i="5"/>
  <c r="J11" i="5"/>
  <c r="F11" i="5"/>
  <c r="E11" i="5"/>
  <c r="D11" i="5"/>
  <c r="C11" i="5"/>
  <c r="BM10" i="5"/>
  <c r="BM83" i="6" s="1"/>
  <c r="BL10" i="5"/>
  <c r="BK10" i="5"/>
  <c r="BE10" i="5"/>
  <c r="BE9" i="5"/>
  <c r="BE8" i="5" s="1"/>
  <c r="AZ10" i="5"/>
  <c r="AZ9" i="5"/>
  <c r="BF9" i="5"/>
  <c r="BF8" i="5" s="1"/>
  <c r="AY9" i="5"/>
  <c r="AY8" i="5" s="1"/>
  <c r="AV9" i="5"/>
  <c r="AV10" i="5" s="1"/>
  <c r="AU9" i="5"/>
  <c r="AU10" i="5" s="1"/>
  <c r="AP14" i="5"/>
  <c r="AO14" i="5"/>
  <c r="AN14" i="5"/>
  <c r="AP12" i="5"/>
  <c r="AO12" i="5"/>
  <c r="AN12" i="5"/>
  <c r="AP9" i="5"/>
  <c r="AP10" i="5" s="1"/>
  <c r="AO9" i="5"/>
  <c r="AO10" i="5" s="1"/>
  <c r="AN9" i="5"/>
  <c r="AN10" i="5" s="1"/>
  <c r="AN82" i="6" s="1"/>
  <c r="BN9" i="5"/>
  <c r="BN8" i="5" s="1"/>
  <c r="BM9" i="5"/>
  <c r="BL9" i="5"/>
  <c r="BL8" i="5" s="1"/>
  <c r="BK9" i="5"/>
  <c r="BH10" i="5"/>
  <c r="BH83" i="6" s="1"/>
  <c r="BG10" i="5"/>
  <c r="BH9" i="5"/>
  <c r="BG9" i="5"/>
  <c r="BG8" i="5" s="1"/>
  <c r="AK7" i="5"/>
  <c r="AE7" i="5"/>
  <c r="Y7" i="5"/>
  <c r="S7" i="5"/>
  <c r="J6" i="5"/>
  <c r="I6" i="5"/>
  <c r="I5" i="5"/>
  <c r="G5" i="5"/>
  <c r="G5" i="6" s="1"/>
  <c r="CC30" i="1" l="1"/>
  <c r="CC47" i="4"/>
  <c r="BT82" i="1"/>
  <c r="BT14" i="3" s="1"/>
  <c r="BY13" i="1"/>
  <c r="BZ13" i="1"/>
  <c r="BY30" i="1"/>
  <c r="BY29" i="1" s="1"/>
  <c r="CE29" i="1" s="1"/>
  <c r="CK29" i="1" s="1"/>
  <c r="CL30" i="1"/>
  <c r="BS47" i="1"/>
  <c r="BS46" i="1" s="1"/>
  <c r="BW13" i="2"/>
  <c r="BW12" i="2" s="1"/>
  <c r="CI13" i="2"/>
  <c r="BT30" i="2"/>
  <c r="BT29" i="2" s="1"/>
  <c r="BZ29" i="2" s="1"/>
  <c r="CF29" i="2" s="1"/>
  <c r="CL29" i="2" s="1"/>
  <c r="BX47" i="2"/>
  <c r="BZ47" i="2"/>
  <c r="CC13" i="4"/>
  <c r="CC30" i="4"/>
  <c r="BX47" i="4"/>
  <c r="CD47" i="4"/>
  <c r="CF47" i="4"/>
  <c r="CC13" i="1"/>
  <c r="BU48" i="1"/>
  <c r="BX13" i="4"/>
  <c r="CJ13" i="4"/>
  <c r="BR13" i="1"/>
  <c r="BR12" i="1" s="1"/>
  <c r="CF13" i="1"/>
  <c r="BZ30" i="1"/>
  <c r="BW37" i="1"/>
  <c r="BR64" i="1"/>
  <c r="BR63" i="1" s="1"/>
  <c r="BR65" i="2"/>
  <c r="BR31" i="3" s="1"/>
  <c r="CJ13" i="2"/>
  <c r="BW47" i="2"/>
  <c r="BW46" i="2" s="1"/>
  <c r="CJ47" i="2"/>
  <c r="BT13" i="4"/>
  <c r="BT12" i="4" s="1"/>
  <c r="CD13" i="4"/>
  <c r="BW30" i="4"/>
  <c r="BW29" i="4" s="1"/>
  <c r="CD30" i="4"/>
  <c r="BT47" i="4"/>
  <c r="BT46" i="4" s="1"/>
  <c r="BZ46" i="4" s="1"/>
  <c r="CF46" i="4" s="1"/>
  <c r="CL46" i="4" s="1"/>
  <c r="BY47" i="4"/>
  <c r="CL47" i="4"/>
  <c r="CK30" i="1"/>
  <c r="CD13" i="2"/>
  <c r="BW82" i="1"/>
  <c r="BW14" i="3" s="1"/>
  <c r="CI13" i="1"/>
  <c r="CJ30" i="1"/>
  <c r="CI47" i="1"/>
  <c r="BS64" i="1"/>
  <c r="BS63" i="1" s="1"/>
  <c r="BT13" i="2"/>
  <c r="BT12" i="2" s="1"/>
  <c r="CC13" i="2"/>
  <c r="BR30" i="2"/>
  <c r="BR29" i="2" s="1"/>
  <c r="BR47" i="2"/>
  <c r="BR46" i="2" s="1"/>
  <c r="CL47" i="2"/>
  <c r="BW13" i="4"/>
  <c r="BW12" i="4" s="1"/>
  <c r="CI13" i="4"/>
  <c r="BS30" i="4"/>
  <c r="BS29" i="4" s="1"/>
  <c r="BS35" i="4" s="1"/>
  <c r="BS36" i="4" s="1"/>
  <c r="BX30" i="4"/>
  <c r="CI30" i="4"/>
  <c r="CK47" i="4"/>
  <c r="BQ103" i="6"/>
  <c r="BU103" i="6" s="1"/>
  <c r="AG107" i="6"/>
  <c r="AG108" i="6" s="1"/>
  <c r="E9" i="7"/>
  <c r="K11" i="7"/>
  <c r="P12" i="7"/>
  <c r="AB12" i="7"/>
  <c r="AH10" i="7"/>
  <c r="AN12" i="7"/>
  <c r="AT10" i="7"/>
  <c r="AZ10" i="7"/>
  <c r="BH11" i="7"/>
  <c r="BF12" i="7"/>
  <c r="U12" i="7"/>
  <c r="AA12" i="7"/>
  <c r="AB74" i="7"/>
  <c r="AB75" i="7" s="1"/>
  <c r="AI17" i="7"/>
  <c r="AT74" i="7"/>
  <c r="E19" i="7"/>
  <c r="K19" i="7"/>
  <c r="Q19" i="7"/>
  <c r="W19" i="7"/>
  <c r="BF74" i="7"/>
  <c r="BA19" i="7"/>
  <c r="K26" i="7"/>
  <c r="W26" i="7"/>
  <c r="E31" i="7"/>
  <c r="W32" i="7"/>
  <c r="AD31" i="7"/>
  <c r="AI30" i="7"/>
  <c r="AO32" i="7"/>
  <c r="BA32" i="7"/>
  <c r="BH32" i="7"/>
  <c r="E36" i="7"/>
  <c r="W37" i="7"/>
  <c r="BM35" i="7"/>
  <c r="Q45" i="7"/>
  <c r="W42" i="7"/>
  <c r="AI42" i="7"/>
  <c r="AI45" i="7"/>
  <c r="AP41" i="7"/>
  <c r="BA43" i="7"/>
  <c r="AW43" i="7"/>
  <c r="F52" i="7"/>
  <c r="L52" i="7"/>
  <c r="R51" i="7"/>
  <c r="X52" i="7"/>
  <c r="AJ51" i="7"/>
  <c r="AO52" i="7"/>
  <c r="R55" i="7"/>
  <c r="BO95" i="7"/>
  <c r="BI91" i="7"/>
  <c r="E11" i="7"/>
  <c r="S13" i="7"/>
  <c r="Y13" i="7"/>
  <c r="AD11" i="7"/>
  <c r="AH12" i="7"/>
  <c r="AP11" i="7"/>
  <c r="AT12" i="7"/>
  <c r="BG12" i="7"/>
  <c r="AM12" i="7"/>
  <c r="AN74" i="7"/>
  <c r="AN75" i="7" s="1"/>
  <c r="AU17" i="7"/>
  <c r="D74" i="7"/>
  <c r="D75" i="7" s="1"/>
  <c r="J74" i="7"/>
  <c r="J75" i="7" s="1"/>
  <c r="P74" i="7"/>
  <c r="P75" i="7" s="1"/>
  <c r="V74" i="7"/>
  <c r="V75" i="7" s="1"/>
  <c r="AE18" i="7"/>
  <c r="AC19" i="7"/>
  <c r="AO19" i="7"/>
  <c r="E25" i="7"/>
  <c r="Q25" i="7"/>
  <c r="AC25" i="7"/>
  <c r="AJ26" i="7"/>
  <c r="E32" i="7"/>
  <c r="S30" i="7"/>
  <c r="W30" i="7"/>
  <c r="AP30" i="7"/>
  <c r="BM30" i="7"/>
  <c r="BM32" i="7"/>
  <c r="E37" i="7"/>
  <c r="P38" i="7"/>
  <c r="AU35" i="7"/>
  <c r="L37" i="7"/>
  <c r="AO37" i="7"/>
  <c r="BA37" i="7"/>
  <c r="W43" i="7"/>
  <c r="W47" i="7"/>
  <c r="AD43" i="7"/>
  <c r="AI43" i="7"/>
  <c r="AO42" i="7"/>
  <c r="AP45" i="7"/>
  <c r="BF48" i="7"/>
  <c r="BM47" i="7"/>
  <c r="AD51" i="7"/>
  <c r="AI52" i="7"/>
  <c r="AD55" i="7"/>
  <c r="AO55" i="7"/>
  <c r="BU102" i="6"/>
  <c r="BK108" i="6"/>
  <c r="Q9" i="7"/>
  <c r="BO13" i="7"/>
  <c r="AC17" i="7"/>
  <c r="E17" i="7"/>
  <c r="K17" i="7"/>
  <c r="Q17" i="7"/>
  <c r="W17" i="7"/>
  <c r="AZ74" i="7"/>
  <c r="BG17" i="7"/>
  <c r="AK18" i="7"/>
  <c r="E26" i="7"/>
  <c r="Q26" i="7"/>
  <c r="AC26" i="7"/>
  <c r="AO25" i="7"/>
  <c r="I62" i="7"/>
  <c r="K30" i="7"/>
  <c r="K32" i="7"/>
  <c r="Q31" i="7"/>
  <c r="AC30" i="7"/>
  <c r="AC32" i="7"/>
  <c r="AI31" i="7"/>
  <c r="AO31" i="7"/>
  <c r="AU30" i="7"/>
  <c r="F37" i="7"/>
  <c r="W36" i="7"/>
  <c r="AC37" i="7"/>
  <c r="AU37" i="7"/>
  <c r="BG37" i="7"/>
  <c r="Q47" i="7"/>
  <c r="AC41" i="7"/>
  <c r="AC44" i="7"/>
  <c r="AC47" i="7"/>
  <c r="AI47" i="7"/>
  <c r="AO43" i="7"/>
  <c r="AO46" i="7"/>
  <c r="BA41" i="7"/>
  <c r="AU45" i="7"/>
  <c r="AU47" i="7"/>
  <c r="BL48" i="7"/>
  <c r="E51" i="7"/>
  <c r="E53" i="7"/>
  <c r="X51" i="7"/>
  <c r="W53" i="7"/>
  <c r="AC52" i="7"/>
  <c r="AU51" i="7"/>
  <c r="L55" i="7"/>
  <c r="W55" i="7"/>
  <c r="AP55" i="7"/>
  <c r="BS49" i="6"/>
  <c r="K9" i="7"/>
  <c r="P10" i="7"/>
  <c r="AB10" i="7"/>
  <c r="AI9" i="7"/>
  <c r="AN10" i="7"/>
  <c r="BI13" i="7"/>
  <c r="O12" i="7"/>
  <c r="AH74" i="7"/>
  <c r="AH75" i="7" s="1"/>
  <c r="AO17" i="7"/>
  <c r="E18" i="7"/>
  <c r="K18" i="7"/>
  <c r="Q18" i="7"/>
  <c r="W18" i="7"/>
  <c r="BL74" i="7"/>
  <c r="AQ18" i="7"/>
  <c r="AI19" i="7"/>
  <c r="AU19" i="7"/>
  <c r="BM19" i="7"/>
  <c r="K25" i="7"/>
  <c r="W25" i="7"/>
  <c r="AI25" i="7"/>
  <c r="AO26" i="7"/>
  <c r="E30" i="7"/>
  <c r="L30" i="7"/>
  <c r="W31" i="7"/>
  <c r="AI32" i="7"/>
  <c r="AU31" i="7"/>
  <c r="BA31" i="7"/>
  <c r="L35" i="7"/>
  <c r="Q35" i="7"/>
  <c r="X36" i="7"/>
  <c r="AN38" i="7"/>
  <c r="BA35" i="7"/>
  <c r="BM37" i="7"/>
  <c r="AV37" i="7"/>
  <c r="E42" i="7"/>
  <c r="E45" i="7"/>
  <c r="K43" i="7"/>
  <c r="W41" i="7"/>
  <c r="W45" i="7"/>
  <c r="AC42" i="7"/>
  <c r="AC45" i="7"/>
  <c r="AH48" i="7"/>
  <c r="AI44" i="7"/>
  <c r="AN48" i="7"/>
  <c r="AO47" i="7"/>
  <c r="AZ48" i="7"/>
  <c r="AU42" i="7"/>
  <c r="BA45" i="7"/>
  <c r="BA47" i="7"/>
  <c r="BG46" i="7"/>
  <c r="BO45" i="7"/>
  <c r="Q53" i="7"/>
  <c r="X53" i="7"/>
  <c r="AO51" i="7"/>
  <c r="AU52" i="7"/>
  <c r="E55" i="7"/>
  <c r="X55" i="7"/>
  <c r="AI55" i="7"/>
  <c r="BS65" i="7"/>
  <c r="S70" i="7"/>
  <c r="BT69" i="7"/>
  <c r="BZ70" i="7" s="1"/>
  <c r="BR11" i="6"/>
  <c r="BS92" i="6"/>
  <c r="BS95" i="6" s="1"/>
  <c r="BT92" i="6" s="1"/>
  <c r="BT95" i="6" s="1"/>
  <c r="BW92" i="6" s="1"/>
  <c r="BT22" i="7"/>
  <c r="BF94" i="6"/>
  <c r="AU138" i="6"/>
  <c r="BE125" i="6"/>
  <c r="BL118" i="6"/>
  <c r="BW22" i="7"/>
  <c r="BI130" i="6"/>
  <c r="BH65" i="6"/>
  <c r="AN144" i="6"/>
  <c r="BR22" i="7"/>
  <c r="L17" i="6"/>
  <c r="BE42" i="6"/>
  <c r="BG138" i="6"/>
  <c r="BU92" i="6"/>
  <c r="BQ94" i="6"/>
  <c r="BU94" i="6" s="1"/>
  <c r="C17" i="6"/>
  <c r="AD17" i="6"/>
  <c r="AD27" i="6" s="1"/>
  <c r="BS45" i="6"/>
  <c r="J58" i="6"/>
  <c r="BR107" i="6"/>
  <c r="BR109" i="6" s="1"/>
  <c r="BS106" i="6" s="1"/>
  <c r="CK102" i="6"/>
  <c r="CK30" i="7" s="1"/>
  <c r="CK38" i="7" s="1"/>
  <c r="BU101" i="6"/>
  <c r="BU104" i="6" s="1"/>
  <c r="BU117" i="6"/>
  <c r="BK122" i="6"/>
  <c r="BK125" i="6" s="1"/>
  <c r="BA138" i="6"/>
  <c r="BF138" i="6"/>
  <c r="AE106" i="6"/>
  <c r="BS11" i="6"/>
  <c r="AY17" i="6"/>
  <c r="AB42" i="6"/>
  <c r="BO51" i="6"/>
  <c r="AO58" i="6"/>
  <c r="BN94" i="6"/>
  <c r="BO106" i="6"/>
  <c r="BF125" i="6"/>
  <c r="BU130" i="6"/>
  <c r="BU132" i="6" s="1"/>
  <c r="BT11" i="6"/>
  <c r="BQ115" i="6"/>
  <c r="AV58" i="6"/>
  <c r="BC106" i="6"/>
  <c r="AZ138" i="6"/>
  <c r="BX38" i="7"/>
  <c r="CI81" i="6"/>
  <c r="CI84" i="6" s="1"/>
  <c r="CC84" i="6"/>
  <c r="CD38" i="7"/>
  <c r="CJ38" i="7"/>
  <c r="M81" i="6"/>
  <c r="D83" i="6"/>
  <c r="D84" i="6" s="1"/>
  <c r="AT17" i="6"/>
  <c r="BC17" i="6"/>
  <c r="BG76" i="6"/>
  <c r="AQ57" i="6"/>
  <c r="BO57" i="6"/>
  <c r="AD82" i="6"/>
  <c r="BN82" i="6"/>
  <c r="G31" i="6"/>
  <c r="AE31" i="6"/>
  <c r="C42" i="6"/>
  <c r="I78" i="6"/>
  <c r="V77" i="6"/>
  <c r="AD36" i="6"/>
  <c r="AJ36" i="6"/>
  <c r="AJ78" i="6" s="1"/>
  <c r="BS39" i="6"/>
  <c r="Y57" i="6"/>
  <c r="AW57" i="6"/>
  <c r="BK42" i="6"/>
  <c r="I42" i="6"/>
  <c r="I53" i="6" s="1"/>
  <c r="AM42" i="6"/>
  <c r="BT45" i="6"/>
  <c r="BT49" i="6"/>
  <c r="M51" i="6"/>
  <c r="C53" i="6"/>
  <c r="C58" i="6"/>
  <c r="AD58" i="6"/>
  <c r="AN73" i="6"/>
  <c r="AW101" i="6"/>
  <c r="BR104" i="6"/>
  <c r="AD115" i="6"/>
  <c r="AQ130" i="6"/>
  <c r="BB144" i="6"/>
  <c r="BB148" i="6"/>
  <c r="BR12" i="7"/>
  <c r="CC38" i="7"/>
  <c r="Q83" i="6"/>
  <c r="S12" i="6"/>
  <c r="W17" i="6"/>
  <c r="AW17" i="6"/>
  <c r="P17" i="6"/>
  <c r="P27" i="6" s="1"/>
  <c r="BL76" i="6"/>
  <c r="AE115" i="6"/>
  <c r="BS25" i="6"/>
  <c r="R82" i="6"/>
  <c r="Y31" i="6"/>
  <c r="Q42" i="6"/>
  <c r="AA42" i="6"/>
  <c r="AG78" i="6"/>
  <c r="AT42" i="6"/>
  <c r="BA77" i="6"/>
  <c r="BS40" i="6"/>
  <c r="BO41" i="6"/>
  <c r="J42" i="6"/>
  <c r="J53" i="6" s="1"/>
  <c r="AC72" i="6"/>
  <c r="AU72" i="6"/>
  <c r="G51" i="6"/>
  <c r="S51" i="6"/>
  <c r="AE51" i="6"/>
  <c r="AK51" i="6"/>
  <c r="AQ51" i="6"/>
  <c r="BC51" i="6"/>
  <c r="BI51" i="6"/>
  <c r="D58" i="6"/>
  <c r="AA58" i="6"/>
  <c r="BB58" i="6"/>
  <c r="BL73" i="6"/>
  <c r="CE84" i="6"/>
  <c r="CA98" i="6"/>
  <c r="CM98" i="6"/>
  <c r="BC101" i="6"/>
  <c r="AK106" i="6"/>
  <c r="G114" i="6"/>
  <c r="G115" i="6" s="1"/>
  <c r="BA125" i="6"/>
  <c r="AU144" i="6"/>
  <c r="BE144" i="6"/>
  <c r="BR38" i="7"/>
  <c r="BS9" i="6"/>
  <c r="G12" i="6"/>
  <c r="AE12" i="6"/>
  <c r="AI17" i="6"/>
  <c r="U76" i="6"/>
  <c r="AN17" i="6"/>
  <c r="BS26" i="6"/>
  <c r="BC57" i="6"/>
  <c r="F82" i="6"/>
  <c r="S31" i="6"/>
  <c r="R36" i="6"/>
  <c r="R77" i="6" s="1"/>
  <c r="AU78" i="6"/>
  <c r="BS41" i="6"/>
  <c r="D42" i="6"/>
  <c r="O42" i="6"/>
  <c r="O53" i="6" s="1"/>
  <c r="AG42" i="6"/>
  <c r="AZ42" i="6"/>
  <c r="BS48" i="6"/>
  <c r="BS50" i="6"/>
  <c r="E58" i="6"/>
  <c r="I58" i="6"/>
  <c r="AY58" i="6"/>
  <c r="Q65" i="6"/>
  <c r="I77" i="6"/>
  <c r="BU95" i="6"/>
  <c r="AO103" i="6"/>
  <c r="BI101" i="6"/>
  <c r="S106" i="6"/>
  <c r="R115" i="6"/>
  <c r="BI117" i="6"/>
  <c r="BG131" i="6"/>
  <c r="BI131" i="6" s="1"/>
  <c r="BI132" i="6" s="1"/>
  <c r="AP138" i="6"/>
  <c r="BK135" i="6"/>
  <c r="BS38" i="7"/>
  <c r="BU30" i="7"/>
  <c r="BU38" i="7" s="1"/>
  <c r="I83" i="6"/>
  <c r="I84" i="6" s="1"/>
  <c r="O83" i="6"/>
  <c r="U83" i="6"/>
  <c r="AA83" i="6"/>
  <c r="AA84" i="6" s="1"/>
  <c r="AG83" i="6"/>
  <c r="AG88" i="6" s="1"/>
  <c r="AM17" i="6"/>
  <c r="BL65" i="6"/>
  <c r="AK12" i="6"/>
  <c r="G17" i="6"/>
  <c r="Y12" i="6"/>
  <c r="BN65" i="6"/>
  <c r="K17" i="6"/>
  <c r="V17" i="6"/>
  <c r="AS17" i="6"/>
  <c r="BE76" i="6"/>
  <c r="S115" i="6"/>
  <c r="BS21" i="6"/>
  <c r="BG27" i="6"/>
  <c r="L82" i="6"/>
  <c r="X82" i="6"/>
  <c r="M31" i="6"/>
  <c r="S57" i="6"/>
  <c r="AK31" i="6"/>
  <c r="F36" i="6"/>
  <c r="AC77" i="6"/>
  <c r="AO42" i="6"/>
  <c r="AY42" i="6"/>
  <c r="BQ42" i="6"/>
  <c r="E42" i="6"/>
  <c r="AH42" i="6"/>
  <c r="BA42" i="6"/>
  <c r="Y51" i="6"/>
  <c r="AW51" i="6"/>
  <c r="AC53" i="6"/>
  <c r="AH53" i="6"/>
  <c r="F58" i="6"/>
  <c r="Q58" i="6"/>
  <c r="AG58" i="6"/>
  <c r="AH58" i="6"/>
  <c r="BE58" i="6"/>
  <c r="BF58" i="6"/>
  <c r="X65" i="6"/>
  <c r="P73" i="6"/>
  <c r="AC78" i="6"/>
  <c r="BC97" i="6"/>
  <c r="AQ101" i="6"/>
  <c r="BO101" i="6"/>
  <c r="Y106" i="6"/>
  <c r="AW106" i="6"/>
  <c r="BI106" i="6"/>
  <c r="BR119" i="6"/>
  <c r="BI121" i="6"/>
  <c r="BN138" i="6"/>
  <c r="AW134" i="6"/>
  <c r="BT38" i="7"/>
  <c r="CL34" i="4"/>
  <c r="CL32" i="4" s="1"/>
  <c r="CL30" i="4" s="1"/>
  <c r="CK32" i="4"/>
  <c r="CK30" i="4" s="1"/>
  <c r="BN64" i="4"/>
  <c r="BN47" i="3" s="1"/>
  <c r="BY15" i="4"/>
  <c r="BY13" i="4" s="1"/>
  <c r="CD26" i="4"/>
  <c r="S5" i="4"/>
  <c r="U5" i="4"/>
  <c r="AA5" i="4" s="1"/>
  <c r="BO18" i="4"/>
  <c r="BK19" i="4"/>
  <c r="BQ22" i="4"/>
  <c r="BO30" i="4"/>
  <c r="BT39" i="4"/>
  <c r="BR56" i="4"/>
  <c r="BN60" i="4"/>
  <c r="BS67" i="4"/>
  <c r="BS50" i="3" s="1"/>
  <c r="BL67" i="4"/>
  <c r="BL50" i="3" s="1"/>
  <c r="BN69" i="4"/>
  <c r="BT67" i="4"/>
  <c r="BT50" i="3" s="1"/>
  <c r="BT22" i="4"/>
  <c r="BO26" i="4"/>
  <c r="BO28" i="4" s="1"/>
  <c r="CF45" i="4"/>
  <c r="CF43" i="4" s="1"/>
  <c r="BN61" i="4"/>
  <c r="BI63" i="4"/>
  <c r="M5" i="4"/>
  <c r="CC8" i="4"/>
  <c r="BK36" i="4"/>
  <c r="BK51" i="4"/>
  <c r="BK64" i="4"/>
  <c r="BK47" i="3" s="1"/>
  <c r="BS61" i="4"/>
  <c r="K6" i="4"/>
  <c r="L6" i="4" s="1"/>
  <c r="O6" i="4" s="1"/>
  <c r="BN38" i="4"/>
  <c r="BN40" i="4" s="1"/>
  <c r="BU33" i="4"/>
  <c r="BK60" i="4"/>
  <c r="BK43" i="3" s="1"/>
  <c r="BQ64" i="4"/>
  <c r="BQ47" i="3" s="1"/>
  <c r="AI19" i="2"/>
  <c r="AI21" i="2" s="1"/>
  <c r="BC30" i="2"/>
  <c r="AN36" i="2"/>
  <c r="AN38" i="2" s="1"/>
  <c r="S51" i="2"/>
  <c r="BC47" i="2"/>
  <c r="R60" i="2"/>
  <c r="BC13" i="2"/>
  <c r="BC26" i="2"/>
  <c r="AU36" i="2"/>
  <c r="AU38" i="2" s="1"/>
  <c r="M45" i="2"/>
  <c r="AW50" i="2"/>
  <c r="BH53" i="2"/>
  <c r="AY60" i="2"/>
  <c r="AY64" i="2"/>
  <c r="BE60" i="2"/>
  <c r="BE26" i="3" s="1"/>
  <c r="BK60" i="2"/>
  <c r="BK26" i="3" s="1"/>
  <c r="AW13" i="2"/>
  <c r="AQ18" i="2"/>
  <c r="BA19" i="2"/>
  <c r="BC27" i="2"/>
  <c r="BH36" i="2"/>
  <c r="BH38" i="2" s="1"/>
  <c r="BH40" i="2" s="1"/>
  <c r="AK26" i="2"/>
  <c r="CE46" i="2"/>
  <c r="CK46" i="2" s="1"/>
  <c r="BB15" i="2"/>
  <c r="BB17" i="2" s="1"/>
  <c r="AW11" i="2"/>
  <c r="AK13" i="2"/>
  <c r="S26" i="2"/>
  <c r="I61" i="2"/>
  <c r="I27" i="3" s="1"/>
  <c r="K71" i="2"/>
  <c r="K37" i="3" s="1"/>
  <c r="BG64" i="2"/>
  <c r="BG30" i="3" s="1"/>
  <c r="CF28" i="2"/>
  <c r="CF26" i="2" s="1"/>
  <c r="CE26" i="2"/>
  <c r="BG27" i="3"/>
  <c r="BG35" i="3"/>
  <c r="BN11" i="2"/>
  <c r="M13" i="2"/>
  <c r="M15" i="2" s="1"/>
  <c r="M17" i="2" s="1"/>
  <c r="BN14" i="2"/>
  <c r="BO14" i="2" s="1"/>
  <c r="BO15" i="2" s="1"/>
  <c r="S16" i="2"/>
  <c r="BI9" i="2"/>
  <c r="BI11" i="2" s="1"/>
  <c r="U19" i="2"/>
  <c r="U21" i="2" s="1"/>
  <c r="AI23" i="2"/>
  <c r="BC18" i="2"/>
  <c r="BG22" i="2"/>
  <c r="BN22" i="2"/>
  <c r="AK9" i="2"/>
  <c r="AK11" i="2" s="1"/>
  <c r="AK14" i="2"/>
  <c r="AK15" i="2" s="1"/>
  <c r="AK17" i="2" s="1"/>
  <c r="AQ14" i="2"/>
  <c r="BN28" i="2"/>
  <c r="Y27" i="2"/>
  <c r="Y28" i="2" s="1"/>
  <c r="BN31" i="2"/>
  <c r="BN37" i="2" s="1"/>
  <c r="BI26" i="2"/>
  <c r="BA36" i="2"/>
  <c r="BA38" i="2" s="1"/>
  <c r="BA39" i="2"/>
  <c r="BL36" i="2"/>
  <c r="BL38" i="2" s="1"/>
  <c r="BL40" i="2" s="1"/>
  <c r="BN39" i="2"/>
  <c r="AK28" i="2"/>
  <c r="AK31" i="2"/>
  <c r="AQ33" i="2"/>
  <c r="S44" i="2"/>
  <c r="BZ46" i="2"/>
  <c r="CF46" i="2" s="1"/>
  <c r="CL46" i="2" s="1"/>
  <c r="BC43" i="2"/>
  <c r="J53" i="2"/>
  <c r="J55" i="2" s="1"/>
  <c r="J57" i="2" s="1"/>
  <c r="P54" i="2"/>
  <c r="U53" i="2"/>
  <c r="U54" i="2"/>
  <c r="AO53" i="2"/>
  <c r="AV54" i="2"/>
  <c r="BA53" i="2"/>
  <c r="BG56" i="2"/>
  <c r="BN53" i="2"/>
  <c r="R69" i="2"/>
  <c r="X60" i="2"/>
  <c r="X65" i="2"/>
  <c r="AP71" i="2"/>
  <c r="AP37" i="3" s="1"/>
  <c r="AS60" i="2"/>
  <c r="AU64" i="2"/>
  <c r="AU30" i="3" s="1"/>
  <c r="BK67" i="2"/>
  <c r="BK33" i="3" s="1"/>
  <c r="BE64" i="2"/>
  <c r="BE30" i="3" s="1"/>
  <c r="BL69" i="2"/>
  <c r="BL35" i="3" s="1"/>
  <c r="BM60" i="2"/>
  <c r="BS67" i="2"/>
  <c r="BS33" i="3" s="1"/>
  <c r="BM69" i="2"/>
  <c r="CK11" i="2"/>
  <c r="BC10" i="2"/>
  <c r="AA19" i="2"/>
  <c r="AA21" i="2" s="1"/>
  <c r="AA23" i="2" s="1"/>
  <c r="AD19" i="2"/>
  <c r="AD21" i="2" s="1"/>
  <c r="AQ11" i="2"/>
  <c r="AQ16" i="2"/>
  <c r="M28" i="2"/>
  <c r="BI31" i="2"/>
  <c r="AW28" i="2"/>
  <c r="BI27" i="2"/>
  <c r="AD36" i="2"/>
  <c r="AD38" i="2" s="1"/>
  <c r="AD40" i="2" s="1"/>
  <c r="AV37" i="2"/>
  <c r="BF36" i="2"/>
  <c r="CK45" i="2"/>
  <c r="CL45" i="2" s="1"/>
  <c r="CL43" i="2" s="1"/>
  <c r="BA49" i="2"/>
  <c r="BA51" i="2" s="1"/>
  <c r="BI51" i="2"/>
  <c r="AB56" i="2"/>
  <c r="AB57" i="2" s="1"/>
  <c r="L53" i="2"/>
  <c r="L55" i="2" s="1"/>
  <c r="L57" i="2" s="1"/>
  <c r="R54" i="2"/>
  <c r="W54" i="2"/>
  <c r="AT56" i="2"/>
  <c r="G52" i="2"/>
  <c r="M56" i="2" s="1"/>
  <c r="I60" i="2"/>
  <c r="L60" i="2"/>
  <c r="L26" i="3" s="1"/>
  <c r="L64" i="2"/>
  <c r="P60" i="2"/>
  <c r="P64" i="2"/>
  <c r="P30" i="3" s="1"/>
  <c r="X61" i="2"/>
  <c r="X69" i="2"/>
  <c r="AO60" i="2"/>
  <c r="AO26" i="3" s="1"/>
  <c r="AP64" i="2"/>
  <c r="AP30" i="3" s="1"/>
  <c r="AU60" i="2"/>
  <c r="AS69" i="2"/>
  <c r="BB64" i="2"/>
  <c r="BB30" i="3" s="1"/>
  <c r="BM61" i="2"/>
  <c r="BM27" i="3" s="1"/>
  <c r="BT67" i="2"/>
  <c r="BT33" i="3" s="1"/>
  <c r="P6" i="2"/>
  <c r="Q6" i="2" s="1"/>
  <c r="R6" i="2" s="1"/>
  <c r="U6" i="2" s="1"/>
  <c r="BY11" i="2"/>
  <c r="BZ11" i="2" s="1"/>
  <c r="BZ9" i="2" s="1"/>
  <c r="S9" i="2"/>
  <c r="AB19" i="2"/>
  <c r="AB21" i="2" s="1"/>
  <c r="BE20" i="2"/>
  <c r="BU16" i="2"/>
  <c r="BB32" i="2"/>
  <c r="BB34" i="2" s="1"/>
  <c r="AJ36" i="2"/>
  <c r="AJ38" i="2" s="1"/>
  <c r="AJ40" i="2" s="1"/>
  <c r="AY36" i="2"/>
  <c r="BT39" i="2"/>
  <c r="BR39" i="2"/>
  <c r="Y43" i="2"/>
  <c r="W53" i="2"/>
  <c r="W55" i="2" s="1"/>
  <c r="W57" i="2" s="1"/>
  <c r="U56" i="2"/>
  <c r="AO54" i="2"/>
  <c r="BH55" i="2"/>
  <c r="BL53" i="2"/>
  <c r="BN56" i="2"/>
  <c r="I71" i="2"/>
  <c r="I37" i="3" s="1"/>
  <c r="R64" i="2"/>
  <c r="V64" i="2"/>
  <c r="V30" i="3" s="1"/>
  <c r="AP67" i="2"/>
  <c r="AP33" i="3" s="1"/>
  <c r="AZ70" i="2"/>
  <c r="AZ36" i="3" s="1"/>
  <c r="BB60" i="2"/>
  <c r="AY67" i="2"/>
  <c r="AY33" i="3" s="1"/>
  <c r="BG60" i="2"/>
  <c r="BM67" i="2"/>
  <c r="BM33" i="3" s="1"/>
  <c r="BM67" i="3" s="1"/>
  <c r="BQ67" i="2"/>
  <c r="BQ33" i="3" s="1"/>
  <c r="BK64" i="2"/>
  <c r="BK30" i="3" s="1"/>
  <c r="BA15" i="2"/>
  <c r="BA17" i="2" s="1"/>
  <c r="AC19" i="2"/>
  <c r="AC21" i="2" s="1"/>
  <c r="AC23" i="2" s="1"/>
  <c r="AH19" i="2"/>
  <c r="AH21" i="2" s="1"/>
  <c r="BB19" i="2"/>
  <c r="BE22" i="2"/>
  <c r="AQ13" i="2"/>
  <c r="AQ15" i="2" s="1"/>
  <c r="AQ17" i="2" s="1"/>
  <c r="AO22" i="2"/>
  <c r="BX26" i="2"/>
  <c r="BX25" i="2" s="1"/>
  <c r="S30" i="2"/>
  <c r="S32" i="2" s="1"/>
  <c r="BI30" i="2"/>
  <c r="K36" i="2"/>
  <c r="K38" i="2" s="1"/>
  <c r="K40" i="2" s="1"/>
  <c r="AH36" i="2"/>
  <c r="AH38" i="2" s="1"/>
  <c r="AP36" i="2"/>
  <c r="AP38" i="2" s="1"/>
  <c r="AP40" i="2" s="1"/>
  <c r="AK30" i="2"/>
  <c r="AK32" i="2" s="1"/>
  <c r="AK34" i="2" s="1"/>
  <c r="AQ30" i="2"/>
  <c r="S43" i="2"/>
  <c r="S45" i="2" s="1"/>
  <c r="Q53" i="2"/>
  <c r="AV53" i="2"/>
  <c r="AV55" i="2" s="1"/>
  <c r="AV57" i="2" s="1"/>
  <c r="BE53" i="2"/>
  <c r="BT56" i="2"/>
  <c r="K60" i="2"/>
  <c r="K61" i="2"/>
  <c r="I73" i="2"/>
  <c r="I39" i="3" s="1"/>
  <c r="L69" i="2"/>
  <c r="L35" i="3" s="1"/>
  <c r="R65" i="2"/>
  <c r="V60" i="2"/>
  <c r="X64" i="2"/>
  <c r="AM69" i="2"/>
  <c r="AM35" i="3" s="1"/>
  <c r="AS64" i="2"/>
  <c r="BA69" i="2"/>
  <c r="BA35" i="3" s="1"/>
  <c r="BM64" i="2"/>
  <c r="BM30" i="3" s="1"/>
  <c r="BU22" i="7"/>
  <c r="CL62" i="1"/>
  <c r="CL60" i="1" s="1"/>
  <c r="CK60" i="1"/>
  <c r="CL28" i="1"/>
  <c r="CL26" i="1" s="1"/>
  <c r="CK26" i="1"/>
  <c r="M11" i="1"/>
  <c r="Q23" i="1"/>
  <c r="AI21" i="1"/>
  <c r="AI23" i="1" s="1"/>
  <c r="BN11" i="1"/>
  <c r="AG19" i="1"/>
  <c r="AG21" i="1" s="1"/>
  <c r="AG23" i="1" s="1"/>
  <c r="AI20" i="1"/>
  <c r="AQ13" i="1"/>
  <c r="AC19" i="1"/>
  <c r="W20" i="1"/>
  <c r="AB21" i="1"/>
  <c r="AM20" i="1"/>
  <c r="AW26" i="1"/>
  <c r="BK38" i="1"/>
  <c r="BK40" i="1" s="1"/>
  <c r="BR39" i="1"/>
  <c r="BB39" i="1"/>
  <c r="O51" i="1"/>
  <c r="AO53" i="1"/>
  <c r="AO55" i="1" s="1"/>
  <c r="BE54" i="1"/>
  <c r="AZ54" i="1"/>
  <c r="BF53" i="1"/>
  <c r="V74" i="1"/>
  <c r="AB74" i="1"/>
  <c r="AZ74" i="1"/>
  <c r="M68" i="1"/>
  <c r="M64" i="1"/>
  <c r="M66" i="1" s="1"/>
  <c r="BF72" i="1"/>
  <c r="BF74" i="1" s="1"/>
  <c r="K70" i="1"/>
  <c r="K72" i="1" s="1"/>
  <c r="BF70" i="1"/>
  <c r="BT73" i="1"/>
  <c r="AK60" i="1"/>
  <c r="AQ65" i="1"/>
  <c r="BN77" i="1"/>
  <c r="BR84" i="1"/>
  <c r="BR16" i="3" s="1"/>
  <c r="BB98" i="6"/>
  <c r="BI97" i="6"/>
  <c r="BE98" i="6"/>
  <c r="BH98" i="6"/>
  <c r="BR99" i="6"/>
  <c r="BA98" i="6"/>
  <c r="BC98" i="6" s="1"/>
  <c r="BC99" i="6" s="1"/>
  <c r="AE9" i="1"/>
  <c r="BB21" i="1"/>
  <c r="BK19" i="1"/>
  <c r="AW30" i="1"/>
  <c r="L57" i="1"/>
  <c r="AC57" i="1"/>
  <c r="AU57" i="1"/>
  <c r="BF55" i="1"/>
  <c r="BF57" i="1" s="1"/>
  <c r="S50" i="1"/>
  <c r="BI43" i="1"/>
  <c r="BI45" i="1" s="1"/>
  <c r="BN54" i="1"/>
  <c r="Q74" i="1"/>
  <c r="BC65" i="1"/>
  <c r="BM73" i="1"/>
  <c r="AA73" i="1"/>
  <c r="BM78" i="1"/>
  <c r="BS84" i="1"/>
  <c r="BS16" i="3" s="1"/>
  <c r="BL86" i="1"/>
  <c r="BL18" i="3" s="1"/>
  <c r="BI80" i="1"/>
  <c r="BF98" i="6"/>
  <c r="BU97" i="6"/>
  <c r="S10" i="1"/>
  <c r="AD11" i="1"/>
  <c r="R17" i="1"/>
  <c r="BL82" i="1"/>
  <c r="BL14" i="3" s="1"/>
  <c r="O19" i="1"/>
  <c r="O21" i="1" s="1"/>
  <c r="O23" i="1" s="1"/>
  <c r="AD22" i="1"/>
  <c r="AQ9" i="1"/>
  <c r="W22" i="1"/>
  <c r="AD19" i="1"/>
  <c r="AY20" i="1"/>
  <c r="AY21" i="1" s="1"/>
  <c r="AY23" i="1" s="1"/>
  <c r="BQ19" i="1"/>
  <c r="BH38" i="1"/>
  <c r="BH40" i="1" s="1"/>
  <c r="AW33" i="1"/>
  <c r="BF36" i="1"/>
  <c r="BF38" i="1" s="1"/>
  <c r="BS37" i="1"/>
  <c r="S44" i="1"/>
  <c r="AP57" i="1"/>
  <c r="BB57" i="1"/>
  <c r="Y51" i="1"/>
  <c r="R53" i="1"/>
  <c r="R55" i="1" s="1"/>
  <c r="BL56" i="1"/>
  <c r="AU56" i="1"/>
  <c r="Y60" i="1"/>
  <c r="BI64" i="1"/>
  <c r="AY70" i="1"/>
  <c r="AY72" i="1" s="1"/>
  <c r="BB70" i="1"/>
  <c r="AV73" i="1"/>
  <c r="BN78" i="1"/>
  <c r="BN10" i="3" s="1"/>
  <c r="BT84" i="1"/>
  <c r="BT16" i="3" s="1"/>
  <c r="BM86" i="1"/>
  <c r="BO97" i="6"/>
  <c r="AW15" i="1"/>
  <c r="P22" i="1"/>
  <c r="L19" i="1"/>
  <c r="L21" i="1" s="1"/>
  <c r="L23" i="1" s="1"/>
  <c r="AE18" i="1"/>
  <c r="AN19" i="1"/>
  <c r="BA19" i="1"/>
  <c r="BQ22" i="1"/>
  <c r="BN28" i="1"/>
  <c r="BA32" i="1"/>
  <c r="BA34" i="1" s="1"/>
  <c r="BI26" i="1"/>
  <c r="BI28" i="1" s="1"/>
  <c r="AS36" i="1"/>
  <c r="AS38" i="1" s="1"/>
  <c r="BH39" i="1"/>
  <c r="BC35" i="1"/>
  <c r="BQ39" i="1"/>
  <c r="J57" i="1"/>
  <c r="V57" i="1"/>
  <c r="AQ52" i="1"/>
  <c r="AV53" i="1"/>
  <c r="BH55" i="1"/>
  <c r="BE56" i="1"/>
  <c r="S61" i="1"/>
  <c r="BC61" i="1"/>
  <c r="BI62" i="1"/>
  <c r="AZ70" i="1"/>
  <c r="AZ71" i="1"/>
  <c r="AQ64" i="1"/>
  <c r="BM77" i="1"/>
  <c r="BM81" i="1"/>
  <c r="BM13" i="3" s="1"/>
  <c r="BQ59" i="3"/>
  <c r="BQ63" i="3"/>
  <c r="BO98" i="3"/>
  <c r="BO86" i="3"/>
  <c r="AQ98" i="5"/>
  <c r="AN13" i="5"/>
  <c r="BC93" i="5"/>
  <c r="CL39" i="5"/>
  <c r="CK41" i="5"/>
  <c r="BC94" i="5"/>
  <c r="BI96" i="5"/>
  <c r="AW98" i="5"/>
  <c r="BG11" i="5"/>
  <c r="AZ8" i="5"/>
  <c r="BB11" i="5"/>
  <c r="BQ8" i="5"/>
  <c r="BA11" i="5"/>
  <c r="BM13" i="5"/>
  <c r="BO21" i="5"/>
  <c r="AW22" i="5"/>
  <c r="X29" i="5"/>
  <c r="BE82" i="6"/>
  <c r="BE87" i="6" s="1"/>
  <c r="BK83" i="6"/>
  <c r="BH11" i="5"/>
  <c r="AN16" i="5"/>
  <c r="AZ11" i="5"/>
  <c r="BK11" i="5"/>
  <c r="BH19" i="5"/>
  <c r="BN19" i="5"/>
  <c r="M22" i="5"/>
  <c r="AJ29" i="5"/>
  <c r="AJ82" i="6"/>
  <c r="AZ82" i="6"/>
  <c r="BF87" i="6" s="1"/>
  <c r="BE83" i="6"/>
  <c r="BK82" i="6"/>
  <c r="BQ82" i="6"/>
  <c r="BM11" i="5"/>
  <c r="BL11" i="5"/>
  <c r="AJ11" i="5"/>
  <c r="AS16" i="5"/>
  <c r="BQ11" i="5"/>
  <c r="AP16" i="5"/>
  <c r="BB19" i="5"/>
  <c r="S22" i="5"/>
  <c r="AE68" i="5"/>
  <c r="BU22" i="5"/>
  <c r="BO94" i="5"/>
  <c r="BG82" i="6"/>
  <c r="BA82" i="6"/>
  <c r="BL82" i="6"/>
  <c r="BR87" i="6" s="1"/>
  <c r="BQ83" i="6"/>
  <c r="BW88" i="6" s="1"/>
  <c r="BH8" i="5"/>
  <c r="BE11" i="5"/>
  <c r="BI20" i="5"/>
  <c r="BO20" i="5"/>
  <c r="BO68" i="5"/>
  <c r="BB83" i="6"/>
  <c r="BH88" i="6" s="1"/>
  <c r="BG83" i="6"/>
  <c r="BM82" i="6"/>
  <c r="K6" i="5"/>
  <c r="O5" i="5"/>
  <c r="AP13" i="5"/>
  <c r="C37" i="5"/>
  <c r="P17" i="5"/>
  <c r="AB17" i="5"/>
  <c r="F39" i="5"/>
  <c r="AU13" i="5"/>
  <c r="BO14" i="5"/>
  <c r="BN13" i="5"/>
  <c r="R17" i="5"/>
  <c r="X52" i="5"/>
  <c r="AE19" i="5"/>
  <c r="BL52" i="5"/>
  <c r="CK25" i="5"/>
  <c r="G38" i="5"/>
  <c r="G19" i="5"/>
  <c r="S29" i="5"/>
  <c r="AE29" i="5"/>
  <c r="AW29" i="5"/>
  <c r="BC29" i="5"/>
  <c r="BI29" i="5"/>
  <c r="BO29" i="5"/>
  <c r="BU29" i="5"/>
  <c r="CA29" i="5"/>
  <c r="CG29" i="5"/>
  <c r="CM29" i="5"/>
  <c r="AK57" i="5"/>
  <c r="CK39" i="5"/>
  <c r="J6" i="6"/>
  <c r="AE81" i="6"/>
  <c r="BZ9" i="7"/>
  <c r="CE9" i="7"/>
  <c r="CJ9" i="7"/>
  <c r="D37" i="5"/>
  <c r="BF17" i="5"/>
  <c r="C39" i="5"/>
  <c r="AV13" i="5"/>
  <c r="BL13" i="5"/>
  <c r="P52" i="5"/>
  <c r="S19" i="5"/>
  <c r="AQ19" i="5"/>
  <c r="BY25" i="5"/>
  <c r="G40" i="5"/>
  <c r="CJ39" i="5"/>
  <c r="CL41" i="5"/>
  <c r="G83" i="6"/>
  <c r="G5" i="7"/>
  <c r="BR9" i="7"/>
  <c r="BW9" i="7"/>
  <c r="CF9" i="7"/>
  <c r="CK9" i="7"/>
  <c r="AQ75" i="7"/>
  <c r="AN52" i="5"/>
  <c r="E37" i="5"/>
  <c r="D39" i="5"/>
  <c r="BC14" i="5"/>
  <c r="AB52" i="5"/>
  <c r="AO29" i="5"/>
  <c r="G41" i="5"/>
  <c r="BI57" i="5"/>
  <c r="CI41" i="5"/>
  <c r="I5" i="7"/>
  <c r="I6" i="7"/>
  <c r="BS9" i="7"/>
  <c r="BX9" i="7"/>
  <c r="CC9" i="7"/>
  <c r="CL9" i="7"/>
  <c r="AE75" i="7"/>
  <c r="G59" i="5"/>
  <c r="AO13" i="5"/>
  <c r="F37" i="5"/>
  <c r="O17" i="5"/>
  <c r="AA17" i="5"/>
  <c r="E39" i="5"/>
  <c r="AZ13" i="5"/>
  <c r="G11" i="5"/>
  <c r="G29" i="5"/>
  <c r="M29" i="5"/>
  <c r="AE57" i="5"/>
  <c r="CJ41" i="5"/>
  <c r="I5" i="6"/>
  <c r="I6" i="6"/>
  <c r="AK81" i="6"/>
  <c r="J6" i="7"/>
  <c r="BT9" i="7"/>
  <c r="BY9" i="7"/>
  <c r="CD9" i="7"/>
  <c r="CI9" i="7"/>
  <c r="AK75" i="7"/>
  <c r="K6" i="3"/>
  <c r="L6" i="3" s="1"/>
  <c r="O6" i="3" s="1"/>
  <c r="BG69" i="3"/>
  <c r="BO83" i="3"/>
  <c r="BO78" i="3"/>
  <c r="BH69" i="3"/>
  <c r="BO82" i="3"/>
  <c r="BM64" i="3"/>
  <c r="BF69" i="3"/>
  <c r="CI39" i="5"/>
  <c r="O87" i="6"/>
  <c r="AH87" i="6"/>
  <c r="BO9" i="5"/>
  <c r="W86" i="6"/>
  <c r="I86" i="6"/>
  <c r="P86" i="6"/>
  <c r="V87" i="6"/>
  <c r="AG86" i="6"/>
  <c r="AN86" i="6"/>
  <c r="AU86" i="6"/>
  <c r="BA86" i="6"/>
  <c r="AO86" i="6"/>
  <c r="BM86" i="6"/>
  <c r="AY86" i="6"/>
  <c r="AU11" i="5"/>
  <c r="AU82" i="6"/>
  <c r="AM11" i="5"/>
  <c r="AM82" i="6"/>
  <c r="AM87" i="6" s="1"/>
  <c r="AO11" i="5"/>
  <c r="AT11" i="5"/>
  <c r="AO83" i="6"/>
  <c r="S83" i="6"/>
  <c r="X87" i="6"/>
  <c r="K86" i="6"/>
  <c r="K87" i="6"/>
  <c r="AG87" i="6"/>
  <c r="BS86" i="6"/>
  <c r="AN11" i="5"/>
  <c r="AS11" i="5"/>
  <c r="O86" i="6"/>
  <c r="AA86" i="6"/>
  <c r="AA87" i="6"/>
  <c r="AH86" i="6"/>
  <c r="AN87" i="6"/>
  <c r="AO82" i="6"/>
  <c r="BE86" i="6"/>
  <c r="CG9" i="7"/>
  <c r="BK8" i="5"/>
  <c r="M40" i="5"/>
  <c r="BU11" i="6"/>
  <c r="Y83" i="6"/>
  <c r="I87" i="6"/>
  <c r="P87" i="6"/>
  <c r="AB86" i="6"/>
  <c r="AB87" i="6"/>
  <c r="AI87" i="6"/>
  <c r="AS86" i="6"/>
  <c r="AS82" i="6"/>
  <c r="BF86" i="6"/>
  <c r="AP11" i="5"/>
  <c r="Y50" i="5"/>
  <c r="J86" i="6"/>
  <c r="J87" i="6"/>
  <c r="Q86" i="6"/>
  <c r="U86" i="6"/>
  <c r="U87" i="6"/>
  <c r="AC86" i="6"/>
  <c r="AM86" i="6"/>
  <c r="AT82" i="6"/>
  <c r="AT87" i="6" s="1"/>
  <c r="AI86" i="6"/>
  <c r="BR41" i="7"/>
  <c r="R9" i="7"/>
  <c r="AV11" i="5"/>
  <c r="AV83" i="6"/>
  <c r="V27" i="7"/>
  <c r="W8" i="7"/>
  <c r="BM10" i="7"/>
  <c r="BA13" i="7"/>
  <c r="BM11" i="7"/>
  <c r="BL12" i="7"/>
  <c r="AO12" i="7"/>
  <c r="F17" i="7"/>
  <c r="L17" i="7"/>
  <c r="R17" i="7"/>
  <c r="X17" i="7"/>
  <c r="F26" i="7"/>
  <c r="S26" i="7"/>
  <c r="R26" i="7"/>
  <c r="AO38" i="7"/>
  <c r="BN35" i="7"/>
  <c r="AI38" i="7"/>
  <c r="E101" i="6"/>
  <c r="D27" i="7"/>
  <c r="E8" i="7"/>
  <c r="F9" i="7"/>
  <c r="J27" i="7"/>
  <c r="K8" i="7"/>
  <c r="L9" i="7"/>
  <c r="P27" i="7"/>
  <c r="Q8" i="7"/>
  <c r="W11" i="7"/>
  <c r="AC9" i="7"/>
  <c r="AH27" i="7"/>
  <c r="AI8" i="7"/>
  <c r="AO9" i="7"/>
  <c r="AT27" i="7"/>
  <c r="AU8" i="7"/>
  <c r="BF10" i="7"/>
  <c r="BF27" i="7"/>
  <c r="BN8" i="7"/>
  <c r="BN11" i="7"/>
  <c r="G18" i="7"/>
  <c r="F18" i="7"/>
  <c r="M18" i="7"/>
  <c r="L18" i="7"/>
  <c r="S18" i="7"/>
  <c r="R18" i="7"/>
  <c r="Y18" i="7"/>
  <c r="X18" i="7"/>
  <c r="M25" i="7"/>
  <c r="L25" i="7"/>
  <c r="Y25" i="7"/>
  <c r="X25" i="7"/>
  <c r="F8" i="7"/>
  <c r="G9" i="7"/>
  <c r="L8" i="7"/>
  <c r="M9" i="7"/>
  <c r="Q11" i="7"/>
  <c r="W9" i="7"/>
  <c r="X8" i="7"/>
  <c r="X11" i="7"/>
  <c r="AI11" i="7"/>
  <c r="AU11" i="7"/>
  <c r="BG8" i="7"/>
  <c r="CM9" i="7"/>
  <c r="BA11" i="7"/>
  <c r="V12" i="7"/>
  <c r="BQ62" i="7"/>
  <c r="BQ57" i="7"/>
  <c r="F19" i="7"/>
  <c r="L19" i="7"/>
  <c r="R19" i="7"/>
  <c r="L26" i="7"/>
  <c r="Y26" i="7"/>
  <c r="X26" i="7"/>
  <c r="AV82" i="6"/>
  <c r="G8" i="7"/>
  <c r="D10" i="7"/>
  <c r="F11" i="7"/>
  <c r="J10" i="7"/>
  <c r="L11" i="7"/>
  <c r="R11" i="7"/>
  <c r="V10" i="7"/>
  <c r="AB27" i="7"/>
  <c r="AC8" i="7"/>
  <c r="AN27" i="7"/>
  <c r="AO8" i="7"/>
  <c r="AU9" i="7"/>
  <c r="AZ27" i="7"/>
  <c r="BA8" i="7"/>
  <c r="BL10" i="7"/>
  <c r="BO8" i="7"/>
  <c r="AZ12" i="7"/>
  <c r="AC12" i="7"/>
  <c r="F25" i="7"/>
  <c r="R25" i="7"/>
  <c r="BN30" i="7"/>
  <c r="BO30" i="7" s="1"/>
  <c r="BQ12" i="7"/>
  <c r="AI16" i="7"/>
  <c r="AU16" i="7"/>
  <c r="AV17" i="7"/>
  <c r="E16" i="7"/>
  <c r="K16" i="7"/>
  <c r="Q16" i="7"/>
  <c r="W16" i="7"/>
  <c r="BA16" i="7"/>
  <c r="BM16" i="7"/>
  <c r="AD19" i="7"/>
  <c r="AJ19" i="7"/>
  <c r="AP19" i="7"/>
  <c r="AV19" i="7"/>
  <c r="BB19" i="7"/>
  <c r="C62" i="7"/>
  <c r="C57" i="7"/>
  <c r="AA62" i="7"/>
  <c r="AA57" i="7"/>
  <c r="AY62" i="7"/>
  <c r="AY57" i="7"/>
  <c r="BE57" i="7"/>
  <c r="BE62" i="7"/>
  <c r="F30" i="7"/>
  <c r="R32" i="7"/>
  <c r="X30" i="7"/>
  <c r="BI32" i="7"/>
  <c r="Q36" i="7"/>
  <c r="Y36" i="7"/>
  <c r="AV35" i="7"/>
  <c r="AP35" i="7"/>
  <c r="M37" i="7"/>
  <c r="AJ37" i="7"/>
  <c r="BB37" i="7"/>
  <c r="F42" i="7"/>
  <c r="E43" i="7"/>
  <c r="D98" i="7"/>
  <c r="D68" i="7"/>
  <c r="F46" i="7"/>
  <c r="E47" i="7"/>
  <c r="L43" i="7"/>
  <c r="K44" i="7"/>
  <c r="BF75" i="7"/>
  <c r="BC19" i="7"/>
  <c r="AG62" i="7"/>
  <c r="AG57" i="7"/>
  <c r="Y30" i="7"/>
  <c r="AZ38" i="7"/>
  <c r="BB35" i="7"/>
  <c r="CI38" i="7"/>
  <c r="D48" i="7"/>
  <c r="F41" i="7"/>
  <c r="F45" i="7"/>
  <c r="E98" i="7"/>
  <c r="E68" i="7"/>
  <c r="L42" i="7"/>
  <c r="J98" i="7"/>
  <c r="J68" i="7"/>
  <c r="K46" i="7"/>
  <c r="Q41" i="7"/>
  <c r="P48" i="7"/>
  <c r="Q43" i="7"/>
  <c r="AD41" i="7"/>
  <c r="AD44" i="7"/>
  <c r="AO98" i="7"/>
  <c r="AO68" i="7"/>
  <c r="AP46" i="7"/>
  <c r="AC16" i="7"/>
  <c r="AO16" i="7"/>
  <c r="BG16" i="7"/>
  <c r="BG19" i="7"/>
  <c r="AU25" i="7"/>
  <c r="AU26" i="7"/>
  <c r="BA25" i="7"/>
  <c r="BA26" i="7"/>
  <c r="BG25" i="7"/>
  <c r="BG26" i="7"/>
  <c r="BM25" i="7"/>
  <c r="BN25" i="7" s="1"/>
  <c r="BL26" i="7"/>
  <c r="BK27" i="7"/>
  <c r="O57" i="7"/>
  <c r="O62" i="7"/>
  <c r="AM62" i="7"/>
  <c r="AM57" i="7"/>
  <c r="F32" i="7"/>
  <c r="L32" i="7"/>
  <c r="BA30" i="7"/>
  <c r="BG31" i="7"/>
  <c r="W38" i="7"/>
  <c r="AB38" i="7"/>
  <c r="J38" i="7"/>
  <c r="V38" i="7"/>
  <c r="AH38" i="7"/>
  <c r="AM38" i="7"/>
  <c r="BW38" i="7"/>
  <c r="D99" i="7"/>
  <c r="J48" i="7"/>
  <c r="AT75" i="7"/>
  <c r="AZ75" i="7"/>
  <c r="BA17" i="7"/>
  <c r="BH16" i="7"/>
  <c r="BL75" i="7"/>
  <c r="BM17" i="7"/>
  <c r="BH19" i="7"/>
  <c r="U57" i="7"/>
  <c r="U62" i="7"/>
  <c r="AS62" i="7"/>
  <c r="AS57" i="7"/>
  <c r="F31" i="7"/>
  <c r="G32" i="7"/>
  <c r="K31" i="7"/>
  <c r="R31" i="7"/>
  <c r="AU32" i="7"/>
  <c r="BB30" i="7"/>
  <c r="BG30" i="7"/>
  <c r="D38" i="7"/>
  <c r="E35" i="7"/>
  <c r="F36" i="7"/>
  <c r="G37" i="7"/>
  <c r="L36" i="7"/>
  <c r="Q37" i="7"/>
  <c r="X35" i="7"/>
  <c r="AC35" i="7"/>
  <c r="BO35" i="7"/>
  <c r="BM36" i="7"/>
  <c r="BN37" i="7"/>
  <c r="BH37" i="7"/>
  <c r="AT38" i="7"/>
  <c r="BF38" i="7"/>
  <c r="BL38" i="7"/>
  <c r="F43" i="7"/>
  <c r="E44" i="7"/>
  <c r="K41" i="7"/>
  <c r="J99" i="7"/>
  <c r="L44" i="7"/>
  <c r="K45" i="7"/>
  <c r="K47" i="7"/>
  <c r="L47" i="7"/>
  <c r="Q42" i="7"/>
  <c r="Q44" i="7"/>
  <c r="R45" i="7"/>
  <c r="R47" i="7"/>
  <c r="X41" i="7"/>
  <c r="X42" i="7"/>
  <c r="X43" i="7"/>
  <c r="X45" i="7"/>
  <c r="X47" i="7"/>
  <c r="AI41" i="7"/>
  <c r="BA42" i="7"/>
  <c r="BB43" i="7"/>
  <c r="AT98" i="7"/>
  <c r="AT99" i="7" s="1"/>
  <c r="AT68" i="7"/>
  <c r="BN41" i="7"/>
  <c r="AZ98" i="7"/>
  <c r="AZ99" i="7" s="1"/>
  <c r="AZ68" i="7"/>
  <c r="BF98" i="7"/>
  <c r="BF99" i="7" s="1"/>
  <c r="BF68" i="7"/>
  <c r="BM41" i="7"/>
  <c r="BN47" i="7"/>
  <c r="K51" i="7"/>
  <c r="S51" i="7"/>
  <c r="Q52" i="7"/>
  <c r="Y52" i="7"/>
  <c r="AW52" i="7"/>
  <c r="S55" i="7"/>
  <c r="BA55" i="7"/>
  <c r="BM55" i="7"/>
  <c r="AB98" i="7"/>
  <c r="AB68" i="7"/>
  <c r="AU99" i="7"/>
  <c r="AU98" i="7"/>
  <c r="AU68" i="7"/>
  <c r="BA98" i="7"/>
  <c r="BA99" i="7" s="1"/>
  <c r="BA68" i="7"/>
  <c r="BG98" i="7"/>
  <c r="BG68" i="7"/>
  <c r="BG99" i="7"/>
  <c r="BM42" i="7"/>
  <c r="V48" i="7"/>
  <c r="AT48" i="7"/>
  <c r="Y51" i="7"/>
  <c r="M55" i="7"/>
  <c r="P98" i="7"/>
  <c r="P99" i="7" s="1"/>
  <c r="P68" i="7"/>
  <c r="V99" i="7"/>
  <c r="V98" i="7"/>
  <c r="V68" i="7"/>
  <c r="AC46" i="7"/>
  <c r="AJ44" i="7"/>
  <c r="AH98" i="7"/>
  <c r="AH99" i="7" s="1"/>
  <c r="AH68" i="7"/>
  <c r="AO44" i="7"/>
  <c r="AU41" i="7"/>
  <c r="BB41" i="7"/>
  <c r="BG41" i="7"/>
  <c r="BG43" i="7"/>
  <c r="AV44" i="7"/>
  <c r="AV45" i="7"/>
  <c r="AV46" i="7"/>
  <c r="AV47" i="7"/>
  <c r="BC43" i="7"/>
  <c r="BB45" i="7"/>
  <c r="BB46" i="7"/>
  <c r="BB47" i="7"/>
  <c r="BH45" i="7"/>
  <c r="BH46" i="7"/>
  <c r="BH47" i="7"/>
  <c r="BM43" i="7"/>
  <c r="BL98" i="7"/>
  <c r="BL68" i="7"/>
  <c r="AB48" i="7"/>
  <c r="M52" i="7"/>
  <c r="K53" i="7"/>
  <c r="AU55" i="7"/>
  <c r="BG55" i="7"/>
  <c r="Q46" i="7"/>
  <c r="W44" i="7"/>
  <c r="W46" i="7"/>
  <c r="AB99" i="7"/>
  <c r="AI46" i="7"/>
  <c r="AN98" i="7"/>
  <c r="AN99" i="7" s="1"/>
  <c r="AN68" i="7"/>
  <c r="AW44" i="7"/>
  <c r="BL99" i="7"/>
  <c r="BC46" i="7"/>
  <c r="BI46" i="7"/>
  <c r="BI47" i="7"/>
  <c r="BM44" i="7"/>
  <c r="BM46" i="7"/>
  <c r="F55" i="7"/>
  <c r="BR105" i="7"/>
  <c r="BR114" i="7" s="1"/>
  <c r="BR95" i="7"/>
  <c r="BR94" i="7" s="1"/>
  <c r="BO90" i="7"/>
  <c r="AV91" i="7"/>
  <c r="AW91" i="7" s="1"/>
  <c r="AK88" i="7"/>
  <c r="AG91" i="7"/>
  <c r="AK91" i="7" s="1"/>
  <c r="BU69" i="7"/>
  <c r="BU70" i="7" s="1"/>
  <c r="BS105" i="7"/>
  <c r="BS114" i="7" s="1"/>
  <c r="BS95" i="7"/>
  <c r="BS94" i="7" s="1"/>
  <c r="BS90" i="7" s="1"/>
  <c r="BS88" i="7" s="1"/>
  <c r="BO91" i="7"/>
  <c r="CA70" i="7"/>
  <c r="CL69" i="7"/>
  <c r="CK70" i="7"/>
  <c r="BT65" i="7"/>
  <c r="BS107" i="7"/>
  <c r="BT101" i="7"/>
  <c r="CE70" i="7"/>
  <c r="CF69" i="7"/>
  <c r="BU65" i="7"/>
  <c r="AY91" i="7"/>
  <c r="BC91" i="7" s="1"/>
  <c r="BC88" i="7"/>
  <c r="AW95" i="7"/>
  <c r="BT70" i="7"/>
  <c r="AT76" i="6"/>
  <c r="AT27" i="6"/>
  <c r="Y58" i="6"/>
  <c r="BM59" i="6"/>
  <c r="AI27" i="6"/>
  <c r="U27" i="6"/>
  <c r="F78" i="6"/>
  <c r="AB53" i="6"/>
  <c r="X59" i="6"/>
  <c r="BF59" i="6"/>
  <c r="S81" i="6"/>
  <c r="AQ81" i="6"/>
  <c r="AM76" i="6"/>
  <c r="AM27" i="6"/>
  <c r="M12" i="6"/>
  <c r="M65" i="6" s="1"/>
  <c r="S17" i="6"/>
  <c r="Q17" i="6"/>
  <c r="AA76" i="6"/>
  <c r="AA27" i="6"/>
  <c r="AJ17" i="6"/>
  <c r="BH17" i="6"/>
  <c r="BB27" i="6"/>
  <c r="BI57" i="6"/>
  <c r="W36" i="6"/>
  <c r="W82" i="6"/>
  <c r="AP82" i="6"/>
  <c r="AP87" i="6" s="1"/>
  <c r="AP36" i="6"/>
  <c r="AQ31" i="6"/>
  <c r="M57" i="6"/>
  <c r="AK57" i="6"/>
  <c r="K78" i="6"/>
  <c r="K77" i="6"/>
  <c r="K42" i="6"/>
  <c r="BG77" i="6"/>
  <c r="BG78" i="6"/>
  <c r="BG42" i="6"/>
  <c r="AB72" i="6"/>
  <c r="AZ72" i="6"/>
  <c r="BW45" i="6"/>
  <c r="D53" i="6"/>
  <c r="AG53" i="6"/>
  <c r="AT53" i="6"/>
  <c r="U73" i="6"/>
  <c r="U58" i="6"/>
  <c r="AB73" i="6"/>
  <c r="AB58" i="6"/>
  <c r="AI73" i="6"/>
  <c r="AI58" i="6"/>
  <c r="AP73" i="6"/>
  <c r="AP58" i="6"/>
  <c r="BB59" i="6"/>
  <c r="AZ65" i="6"/>
  <c r="AZ17" i="6"/>
  <c r="AZ83" i="6"/>
  <c r="AZ84" i="6" s="1"/>
  <c r="BC81" i="6"/>
  <c r="BO73" i="6"/>
  <c r="BO58" i="6"/>
  <c r="BH82" i="6"/>
  <c r="BN87" i="6" s="1"/>
  <c r="BH36" i="6"/>
  <c r="BI31" i="6"/>
  <c r="AK36" i="6"/>
  <c r="AN78" i="6"/>
  <c r="AN42" i="6"/>
  <c r="AN77" i="6"/>
  <c r="BE53" i="6"/>
  <c r="K73" i="6"/>
  <c r="K58" i="6"/>
  <c r="G81" i="6"/>
  <c r="M86" i="6" s="1"/>
  <c r="E83" i="6"/>
  <c r="E84" i="6" s="1"/>
  <c r="E65" i="6"/>
  <c r="E17" i="6"/>
  <c r="K83" i="6"/>
  <c r="K65" i="6"/>
  <c r="Q84" i="6"/>
  <c r="W83" i="6"/>
  <c r="W65" i="6"/>
  <c r="AC83" i="6"/>
  <c r="AC65" i="6"/>
  <c r="AC17" i="6"/>
  <c r="AI83" i="6"/>
  <c r="AI65" i="6"/>
  <c r="AU83" i="6"/>
  <c r="AU17" i="6"/>
  <c r="AU65" i="6"/>
  <c r="BA83" i="6"/>
  <c r="BA65" i="6"/>
  <c r="BA17" i="6"/>
  <c r="BI16" i="6"/>
  <c r="BQ65" i="6"/>
  <c r="BQ17" i="6"/>
  <c r="L27" i="6"/>
  <c r="V76" i="6"/>
  <c r="V27" i="6"/>
  <c r="AE17" i="6"/>
  <c r="AO17" i="6"/>
  <c r="BL27" i="6"/>
  <c r="BB82" i="6"/>
  <c r="BC31" i="6"/>
  <c r="AE36" i="6"/>
  <c r="P42" i="6"/>
  <c r="P53" i="6" s="1"/>
  <c r="P77" i="6"/>
  <c r="AI78" i="6"/>
  <c r="AI77" i="6"/>
  <c r="AI42" i="6"/>
  <c r="BB36" i="6"/>
  <c r="BL78" i="6"/>
  <c r="BL77" i="6"/>
  <c r="BL42" i="6"/>
  <c r="BE72" i="6"/>
  <c r="AY59" i="6"/>
  <c r="BQ73" i="6"/>
  <c r="BQ58" i="6"/>
  <c r="AO65" i="6"/>
  <c r="AT83" i="6"/>
  <c r="AT84" i="6" s="1"/>
  <c r="AT65" i="6"/>
  <c r="BO17" i="6"/>
  <c r="AN27" i="6"/>
  <c r="AQ73" i="6"/>
  <c r="M82" i="6"/>
  <c r="M36" i="6"/>
  <c r="M78" i="6" s="1"/>
  <c r="U78" i="6"/>
  <c r="U77" i="6"/>
  <c r="U42" i="6"/>
  <c r="R73" i="6"/>
  <c r="R58" i="6"/>
  <c r="BQ77" i="6"/>
  <c r="BQ78" i="6"/>
  <c r="BM78" i="6"/>
  <c r="BM77" i="6"/>
  <c r="BM17" i="6"/>
  <c r="Y81" i="6"/>
  <c r="AK78" i="6"/>
  <c r="AK77" i="6"/>
  <c r="AW81" i="6"/>
  <c r="F83" i="6"/>
  <c r="F65" i="6"/>
  <c r="L83" i="6"/>
  <c r="L84" i="6" s="1"/>
  <c r="L65" i="6"/>
  <c r="R83" i="6"/>
  <c r="R17" i="6"/>
  <c r="R65" i="6"/>
  <c r="X83" i="6"/>
  <c r="X17" i="6"/>
  <c r="AD83" i="6"/>
  <c r="AD84" i="6" s="1"/>
  <c r="AD65" i="6"/>
  <c r="AJ83" i="6"/>
  <c r="AJ65" i="6"/>
  <c r="AP83" i="6"/>
  <c r="AP65" i="6"/>
  <c r="AP17" i="6"/>
  <c r="AQ12" i="6"/>
  <c r="AK17" i="6"/>
  <c r="BK76" i="6"/>
  <c r="BK27" i="6"/>
  <c r="F17" i="6"/>
  <c r="AY76" i="6"/>
  <c r="K27" i="6"/>
  <c r="BC73" i="6"/>
  <c r="G57" i="6"/>
  <c r="AE57" i="6"/>
  <c r="AD78" i="6"/>
  <c r="AD77" i="6"/>
  <c r="AD42" i="6"/>
  <c r="AS78" i="6"/>
  <c r="AS77" i="6"/>
  <c r="AS42" i="6"/>
  <c r="BM42" i="6"/>
  <c r="BU44" i="6"/>
  <c r="AO53" i="6"/>
  <c r="AU53" i="6"/>
  <c r="J59" i="6"/>
  <c r="AG59" i="6"/>
  <c r="AS73" i="6"/>
  <c r="AS58" i="6"/>
  <c r="AZ73" i="6"/>
  <c r="AZ58" i="6"/>
  <c r="BC58" i="6"/>
  <c r="BG73" i="6"/>
  <c r="BG58" i="6"/>
  <c r="BN73" i="6"/>
  <c r="BN58" i="6"/>
  <c r="P78" i="6"/>
  <c r="J83" i="6"/>
  <c r="J65" i="6"/>
  <c r="P83" i="6"/>
  <c r="P84" i="6" s="1"/>
  <c r="P65" i="6"/>
  <c r="V83" i="6"/>
  <c r="V65" i="6"/>
  <c r="AB83" i="6"/>
  <c r="AB84" i="6" s="1"/>
  <c r="AB65" i="6"/>
  <c r="AH83" i="6"/>
  <c r="AH65" i="6"/>
  <c r="AN83" i="6"/>
  <c r="AN84" i="6" s="1"/>
  <c r="AN65" i="6"/>
  <c r="AS83" i="6"/>
  <c r="AS65" i="6"/>
  <c r="AY83" i="6"/>
  <c r="AY65" i="6"/>
  <c r="BI81" i="6"/>
  <c r="J17" i="6"/>
  <c r="O17" i="6"/>
  <c r="AH17" i="6"/>
  <c r="BF17" i="6"/>
  <c r="AV27" i="6"/>
  <c r="AW31" i="6"/>
  <c r="BG87" i="6"/>
  <c r="BG84" i="6"/>
  <c r="BO31" i="6"/>
  <c r="E77" i="6"/>
  <c r="E78" i="6"/>
  <c r="J78" i="6"/>
  <c r="J77" i="6"/>
  <c r="O77" i="6"/>
  <c r="O78" i="6"/>
  <c r="X36" i="6"/>
  <c r="AH77" i="6"/>
  <c r="AH78" i="6"/>
  <c r="AM77" i="6"/>
  <c r="AM78" i="6"/>
  <c r="AV36" i="6"/>
  <c r="BF36" i="6"/>
  <c r="BK77" i="6"/>
  <c r="BK78" i="6"/>
  <c r="V42" i="6"/>
  <c r="AJ42" i="6"/>
  <c r="Q53" i="6"/>
  <c r="U53" i="6"/>
  <c r="BA53" i="6"/>
  <c r="BM53" i="6"/>
  <c r="J73" i="6"/>
  <c r="Q73" i="6"/>
  <c r="P58" i="6"/>
  <c r="W58" i="6"/>
  <c r="AA73" i="6"/>
  <c r="AH73" i="6"/>
  <c r="AO73" i="6"/>
  <c r="AN58" i="6"/>
  <c r="AU58" i="6"/>
  <c r="AY73" i="6"/>
  <c r="BF73" i="6"/>
  <c r="BM73" i="6"/>
  <c r="BL58" i="6"/>
  <c r="O65" i="6"/>
  <c r="X73" i="6"/>
  <c r="AV73" i="6"/>
  <c r="BA78" i="6"/>
  <c r="I114" i="6"/>
  <c r="I115" i="6" s="1"/>
  <c r="AV115" i="6"/>
  <c r="AV65" i="6"/>
  <c r="BB65" i="6"/>
  <c r="L87" i="6"/>
  <c r="C78" i="6"/>
  <c r="C77" i="6"/>
  <c r="L36" i="6"/>
  <c r="Q78" i="6"/>
  <c r="Q77" i="6"/>
  <c r="AA77" i="6"/>
  <c r="AA78" i="6"/>
  <c r="AO77" i="6"/>
  <c r="AO78" i="6"/>
  <c r="AT77" i="6"/>
  <c r="AT78" i="6"/>
  <c r="AY78" i="6"/>
  <c r="AY77" i="6"/>
  <c r="AM53" i="6"/>
  <c r="BK53" i="6"/>
  <c r="O73" i="6"/>
  <c r="V73" i="6"/>
  <c r="AC73" i="6"/>
  <c r="AM73" i="6"/>
  <c r="AT73" i="6"/>
  <c r="BA73" i="6"/>
  <c r="BK73" i="6"/>
  <c r="AA65" i="6"/>
  <c r="BM65" i="6"/>
  <c r="L73" i="6"/>
  <c r="AJ73" i="6"/>
  <c r="BH73" i="6"/>
  <c r="AG77" i="6"/>
  <c r="AU77" i="6"/>
  <c r="BB86" i="6"/>
  <c r="BB84" i="6"/>
  <c r="BL83" i="6"/>
  <c r="CF84" i="6"/>
  <c r="CL81" i="6"/>
  <c r="BH94" i="6"/>
  <c r="BK92" i="6"/>
  <c r="L115" i="6"/>
  <c r="M114" i="6"/>
  <c r="M115" i="6" s="1"/>
  <c r="C83" i="6"/>
  <c r="C84" i="6" s="1"/>
  <c r="C65" i="6"/>
  <c r="U84" i="6"/>
  <c r="AG84" i="6"/>
  <c r="AM83" i="6"/>
  <c r="AM65" i="6"/>
  <c r="BO81" i="6"/>
  <c r="BO65" i="6"/>
  <c r="BK65" i="6"/>
  <c r="D17" i="6"/>
  <c r="I17" i="6"/>
  <c r="AB17" i="6"/>
  <c r="AG17" i="6"/>
  <c r="K114" i="6"/>
  <c r="K115" i="6" s="1"/>
  <c r="AW19" i="6"/>
  <c r="BE27" i="6"/>
  <c r="BN27" i="6"/>
  <c r="BL87" i="6"/>
  <c r="BT87" i="6"/>
  <c r="D78" i="6"/>
  <c r="D77" i="6"/>
  <c r="AB78" i="6"/>
  <c r="AB77" i="6"/>
  <c r="AZ77" i="6"/>
  <c r="AZ78" i="6"/>
  <c r="BE78" i="6"/>
  <c r="BE77" i="6"/>
  <c r="BN36" i="6"/>
  <c r="AN53" i="6"/>
  <c r="BL53" i="6"/>
  <c r="I73" i="6"/>
  <c r="L58" i="6"/>
  <c r="O58" i="6"/>
  <c r="W73" i="6"/>
  <c r="V58" i="6"/>
  <c r="AD73" i="6"/>
  <c r="AC58" i="6"/>
  <c r="AG73" i="6"/>
  <c r="AJ58" i="6"/>
  <c r="AM58" i="6"/>
  <c r="AU73" i="6"/>
  <c r="AT58" i="6"/>
  <c r="BB73" i="6"/>
  <c r="BA58" i="6"/>
  <c r="BE73" i="6"/>
  <c r="BH58" i="6"/>
  <c r="BK58" i="6"/>
  <c r="U65" i="6"/>
  <c r="AK65" i="6"/>
  <c r="D65" i="6"/>
  <c r="V78" i="6"/>
  <c r="O84" i="6"/>
  <c r="BG88" i="6"/>
  <c r="AK86" i="6"/>
  <c r="R86" i="6"/>
  <c r="V84" i="6"/>
  <c r="AP86" i="6"/>
  <c r="BH86" i="6"/>
  <c r="BH84" i="6"/>
  <c r="BN86" i="6"/>
  <c r="BT86" i="6"/>
  <c r="BN84" i="6"/>
  <c r="CK82" i="6"/>
  <c r="AD86" i="6"/>
  <c r="BL98" i="6"/>
  <c r="BM96" i="6"/>
  <c r="BM98" i="6" s="1"/>
  <c r="L86" i="6"/>
  <c r="X86" i="6"/>
  <c r="AJ86" i="6"/>
  <c r="AV86" i="6"/>
  <c r="BW95" i="6"/>
  <c r="CA92" i="6"/>
  <c r="CA95" i="6" s="1"/>
  <c r="AO87" i="6"/>
  <c r="BM87" i="6"/>
  <c r="BM84" i="6"/>
  <c r="CJ84" i="6"/>
  <c r="BS87" i="6"/>
  <c r="BL94" i="6"/>
  <c r="BM92" i="6"/>
  <c r="BM94" i="6" s="1"/>
  <c r="Q111" i="6"/>
  <c r="S102" i="6"/>
  <c r="S111" i="6" s="1"/>
  <c r="BG86" i="6"/>
  <c r="V86" i="6"/>
  <c r="AT86" i="6"/>
  <c r="BN88" i="6"/>
  <c r="BA94" i="6"/>
  <c r="BB92" i="6"/>
  <c r="BB94" i="6" s="1"/>
  <c r="BK96" i="6"/>
  <c r="AO111" i="6"/>
  <c r="CE102" i="6"/>
  <c r="CE30" i="7" s="1"/>
  <c r="J84" i="6"/>
  <c r="AH84" i="6"/>
  <c r="BF84" i="6"/>
  <c r="BK86" i="6"/>
  <c r="BM88" i="6"/>
  <c r="BS88" i="6"/>
  <c r="CD84" i="6"/>
  <c r="BQ86" i="6"/>
  <c r="BL86" i="6"/>
  <c r="BN98" i="6"/>
  <c r="CG98" i="6"/>
  <c r="BR114" i="6"/>
  <c r="BR19" i="6" s="1"/>
  <c r="BS101" i="6"/>
  <c r="AZ86" i="6"/>
  <c r="AY87" i="6"/>
  <c r="BQ87" i="6"/>
  <c r="BW87" i="6"/>
  <c r="BQ84" i="6"/>
  <c r="BQ98" i="6"/>
  <c r="BU98" i="6" s="1"/>
  <c r="BU96" i="6"/>
  <c r="BE92" i="6"/>
  <c r="BY102" i="6"/>
  <c r="BY30" i="7" s="1"/>
  <c r="BO109" i="6"/>
  <c r="X115" i="6"/>
  <c r="Y114" i="6"/>
  <c r="Y115" i="6" s="1"/>
  <c r="AJ115" i="6"/>
  <c r="AK114" i="6"/>
  <c r="AK115" i="6" s="1"/>
  <c r="BE118" i="6"/>
  <c r="BU119" i="6"/>
  <c r="BC122" i="6"/>
  <c r="BC123" i="6" s="1"/>
  <c r="AZ125" i="6"/>
  <c r="BN127" i="6"/>
  <c r="BN128" i="6" s="1"/>
  <c r="BN122" i="6"/>
  <c r="BN125" i="6" s="1"/>
  <c r="BQ121" i="6"/>
  <c r="BQ106" i="6"/>
  <c r="BB125" i="6"/>
  <c r="BB118" i="6"/>
  <c r="BC118" i="6" s="1"/>
  <c r="BC119" i="6" s="1"/>
  <c r="BF118" i="6"/>
  <c r="BM125" i="6"/>
  <c r="BM118" i="6"/>
  <c r="BI122" i="6"/>
  <c r="BI125" i="6" s="1"/>
  <c r="AV138" i="6"/>
  <c r="BA156" i="6"/>
  <c r="BA158" i="6" s="1"/>
  <c r="BA140" i="6"/>
  <c r="BA141" i="6" s="1"/>
  <c r="BR136" i="6"/>
  <c r="AO153" i="6"/>
  <c r="AO154" i="6" s="1"/>
  <c r="AO156" i="6"/>
  <c r="AP143" i="6"/>
  <c r="BG125" i="6"/>
  <c r="BG118" i="6"/>
  <c r="BR123" i="6"/>
  <c r="BS121" i="6" s="1"/>
  <c r="AO138" i="6"/>
  <c r="AU131" i="6"/>
  <c r="BK138" i="6"/>
  <c r="AW135" i="6"/>
  <c r="AW138" i="6" s="1"/>
  <c r="AM151" i="6"/>
  <c r="AM144" i="6"/>
  <c r="BU147" i="6"/>
  <c r="BQ148" i="6"/>
  <c r="BQ151" i="6" s="1"/>
  <c r="BH125" i="6"/>
  <c r="BK118" i="6"/>
  <c r="BS117" i="6"/>
  <c r="BI123" i="6"/>
  <c r="AV131" i="6"/>
  <c r="BH138" i="6"/>
  <c r="BN131" i="6"/>
  <c r="BU143" i="6"/>
  <c r="BB138" i="6"/>
  <c r="BB131" i="6"/>
  <c r="BC131" i="6" s="1"/>
  <c r="BH118" i="6"/>
  <c r="AN138" i="6"/>
  <c r="AN131" i="6"/>
  <c r="AQ131" i="6" s="1"/>
  <c r="AQ132" i="6" s="1"/>
  <c r="AT138" i="6"/>
  <c r="AT131" i="6"/>
  <c r="BL131" i="6"/>
  <c r="BR132" i="6"/>
  <c r="BL157" i="6"/>
  <c r="BL140" i="6"/>
  <c r="BL141" i="6" s="1"/>
  <c r="BL135" i="6"/>
  <c r="BL138" i="6" s="1"/>
  <c r="BM134" i="6"/>
  <c r="BM135" i="6" s="1"/>
  <c r="BM138" i="6" s="1"/>
  <c r="AT151" i="6"/>
  <c r="AT144" i="6"/>
  <c r="BA151" i="6"/>
  <c r="BA144" i="6"/>
  <c r="BM144" i="6"/>
  <c r="BQ153" i="6"/>
  <c r="BQ154" i="6" s="1"/>
  <c r="BQ156" i="6"/>
  <c r="BQ158" i="6" s="1"/>
  <c r="BR143" i="6"/>
  <c r="BQ144" i="6"/>
  <c r="BU144" i="6" s="1"/>
  <c r="AV157" i="6"/>
  <c r="AY147" i="6"/>
  <c r="BC147" i="6" s="1"/>
  <c r="AY157" i="6"/>
  <c r="AZ147" i="6"/>
  <c r="AZ148" i="6" s="1"/>
  <c r="BH157" i="6"/>
  <c r="BK147" i="6"/>
  <c r="BO147" i="6" s="1"/>
  <c r="AS138" i="6"/>
  <c r="AS131" i="6"/>
  <c r="BK131" i="6"/>
  <c r="BC130" i="6"/>
  <c r="AM135" i="6"/>
  <c r="AY135" i="6"/>
  <c r="BC135" i="6" s="1"/>
  <c r="BC136" i="6" s="1"/>
  <c r="BE135" i="6"/>
  <c r="BI135" i="6" s="1"/>
  <c r="BI136" i="6" s="1"/>
  <c r="BQ134" i="6"/>
  <c r="BN140" i="6"/>
  <c r="BN141" i="6" s="1"/>
  <c r="AW143" i="6"/>
  <c r="AV153" i="6"/>
  <c r="AV154" i="6" s="1"/>
  <c r="AV156" i="6"/>
  <c r="AY143" i="6"/>
  <c r="AY156" i="6"/>
  <c r="AY153" i="6"/>
  <c r="AY154" i="6" s="1"/>
  <c r="AZ143" i="6"/>
  <c r="BH156" i="6"/>
  <c r="BH153" i="6"/>
  <c r="BH154" i="6" s="1"/>
  <c r="BH144" i="6"/>
  <c r="BK143" i="6"/>
  <c r="BK156" i="6"/>
  <c r="BK158" i="6" s="1"/>
  <c r="BK153" i="6"/>
  <c r="BK154" i="6" s="1"/>
  <c r="BL143" i="6"/>
  <c r="BF144" i="6"/>
  <c r="BI144" i="6" s="1"/>
  <c r="BI145" i="6" s="1"/>
  <c r="AQ147" i="6"/>
  <c r="AO157" i="6"/>
  <c r="AP147" i="6"/>
  <c r="AP148" i="6" s="1"/>
  <c r="AO143" i="6"/>
  <c r="AM156" i="6"/>
  <c r="AM158" i="6" s="1"/>
  <c r="AM153" i="6"/>
  <c r="AM154" i="6" s="1"/>
  <c r="AV143" i="6"/>
  <c r="AV144" i="6" s="1"/>
  <c r="AT153" i="6"/>
  <c r="AT154" i="6" s="1"/>
  <c r="AT156" i="6"/>
  <c r="AT158" i="6" s="1"/>
  <c r="BN144" i="6"/>
  <c r="BM153" i="6"/>
  <c r="BM154" i="6" s="1"/>
  <c r="BM156" i="6"/>
  <c r="AO147" i="6"/>
  <c r="AO148" i="6" s="1"/>
  <c r="AN148" i="6"/>
  <c r="AV147" i="6"/>
  <c r="AV148" i="6" s="1"/>
  <c r="AU148" i="6"/>
  <c r="AU151" i="6" s="1"/>
  <c r="BH147" i="6"/>
  <c r="BH148" i="6" s="1"/>
  <c r="BH151" i="6" s="1"/>
  <c r="AN156" i="6"/>
  <c r="AN158" i="6" s="1"/>
  <c r="AN153" i="6"/>
  <c r="AN154" i="6" s="1"/>
  <c r="AU156" i="6"/>
  <c r="AU158" i="6" s="1"/>
  <c r="AU153" i="6"/>
  <c r="AU154" i="6" s="1"/>
  <c r="BB156" i="6"/>
  <c r="BB153" i="6"/>
  <c r="BB154" i="6" s="1"/>
  <c r="BG156" i="6"/>
  <c r="BG158" i="6" s="1"/>
  <c r="BG153" i="6"/>
  <c r="BG154" i="6" s="1"/>
  <c r="BN153" i="6"/>
  <c r="BN154" i="6" s="1"/>
  <c r="BN156" i="6"/>
  <c r="BN158" i="6" s="1"/>
  <c r="BE156" i="6"/>
  <c r="BE153" i="6"/>
  <c r="BE154" i="6" s="1"/>
  <c r="AS147" i="6"/>
  <c r="BE147" i="6"/>
  <c r="BI147" i="6" s="1"/>
  <c r="BB157" i="6"/>
  <c r="BL147" i="6"/>
  <c r="BL148" i="6" s="1"/>
  <c r="BM148" i="6"/>
  <c r="BM151" i="6" s="1"/>
  <c r="BN147" i="6"/>
  <c r="BN148" i="6" s="1"/>
  <c r="BN151" i="6" s="1"/>
  <c r="BM157" i="6"/>
  <c r="AN151" i="6"/>
  <c r="AP153" i="6"/>
  <c r="AP154" i="6" s="1"/>
  <c r="AP156" i="6"/>
  <c r="AP158" i="6" s="1"/>
  <c r="AS153" i="6"/>
  <c r="AS154" i="6" s="1"/>
  <c r="AS156" i="6"/>
  <c r="AS158" i="6" s="1"/>
  <c r="BB151" i="6"/>
  <c r="AZ156" i="6"/>
  <c r="AZ158" i="6" s="1"/>
  <c r="AZ153" i="6"/>
  <c r="AZ154" i="6" s="1"/>
  <c r="BG151" i="6"/>
  <c r="BL156" i="6"/>
  <c r="BL153" i="6"/>
  <c r="BL154" i="6" s="1"/>
  <c r="BE157" i="6"/>
  <c r="BF147" i="6"/>
  <c r="BF148" i="6" s="1"/>
  <c r="BF151" i="6" s="1"/>
  <c r="BN63" i="3"/>
  <c r="BR59" i="4"/>
  <c r="BX61" i="4" s="1"/>
  <c r="BR18" i="4"/>
  <c r="BR19" i="4" s="1"/>
  <c r="BU8" i="4"/>
  <c r="BX8" i="4"/>
  <c r="BX12" i="4"/>
  <c r="BM59" i="3"/>
  <c r="Q6" i="4"/>
  <c r="R6" i="4" s="1"/>
  <c r="U6" i="4" s="1"/>
  <c r="V6" i="4"/>
  <c r="CI8" i="4"/>
  <c r="BS59" i="4"/>
  <c r="BY61" i="4" s="1"/>
  <c r="BT63" i="4"/>
  <c r="BZ12" i="4"/>
  <c r="AE5" i="4"/>
  <c r="AG5" i="4"/>
  <c r="Y5" i="4"/>
  <c r="BY9" i="4"/>
  <c r="BY8" i="4" s="1"/>
  <c r="CK9" i="4"/>
  <c r="CE11" i="4"/>
  <c r="BK65" i="4"/>
  <c r="BK20" i="4"/>
  <c r="BO14" i="4"/>
  <c r="BQ65" i="4"/>
  <c r="BQ20" i="4"/>
  <c r="BU14" i="4"/>
  <c r="CE15" i="4"/>
  <c r="CE13" i="4" s="1"/>
  <c r="CF17" i="4"/>
  <c r="CF15" i="4" s="1"/>
  <c r="CF13" i="4" s="1"/>
  <c r="CK26" i="4"/>
  <c r="CL28" i="4"/>
  <c r="CL26" i="4" s="1"/>
  <c r="BX20" i="4"/>
  <c r="BL65" i="4"/>
  <c r="BL20" i="4"/>
  <c r="CK15" i="4"/>
  <c r="CK13" i="4" s="1"/>
  <c r="CL17" i="4"/>
  <c r="CL15" i="4" s="1"/>
  <c r="CL13" i="4" s="1"/>
  <c r="BW35" i="4"/>
  <c r="CC37" i="4" s="1"/>
  <c r="CC25" i="4"/>
  <c r="BR65" i="4"/>
  <c r="BR20" i="4"/>
  <c r="BS13" i="4"/>
  <c r="BS12" i="4" s="1"/>
  <c r="BM65" i="4"/>
  <c r="BM20" i="4"/>
  <c r="BZ29" i="4"/>
  <c r="CE32" i="4"/>
  <c r="CE30" i="4" s="1"/>
  <c r="CF34" i="4"/>
  <c r="CF32" i="4" s="1"/>
  <c r="CF30" i="4" s="1"/>
  <c r="BW59" i="4"/>
  <c r="BW18" i="4"/>
  <c r="CC20" i="4" s="1"/>
  <c r="BS65" i="4"/>
  <c r="BS20" i="4"/>
  <c r="BZ65" i="4"/>
  <c r="BK21" i="4"/>
  <c r="BK23" i="4" s="1"/>
  <c r="CC29" i="4"/>
  <c r="BK37" i="4"/>
  <c r="BK38" i="4" s="1"/>
  <c r="BK40" i="4" s="1"/>
  <c r="BO31" i="4"/>
  <c r="BO32" i="4" s="1"/>
  <c r="BO34" i="4" s="1"/>
  <c r="BQ37" i="4"/>
  <c r="BU31" i="4"/>
  <c r="BT59" i="4"/>
  <c r="BZ61" i="4" s="1"/>
  <c r="BZ8" i="4"/>
  <c r="BT65" i="4"/>
  <c r="BW63" i="4"/>
  <c r="BW65" i="4"/>
  <c r="CC12" i="4"/>
  <c r="BO13" i="4"/>
  <c r="BO15" i="4" s="1"/>
  <c r="BO17" i="4" s="1"/>
  <c r="BT18" i="4"/>
  <c r="BT19" i="4" s="1"/>
  <c r="BT20" i="4"/>
  <c r="BW20" i="4"/>
  <c r="BX26" i="4"/>
  <c r="BX25" i="4" s="1"/>
  <c r="CJ26" i="4"/>
  <c r="BT35" i="4"/>
  <c r="BT36" i="4" s="1"/>
  <c r="BT38" i="4" s="1"/>
  <c r="BT40" i="4" s="1"/>
  <c r="BR52" i="4"/>
  <c r="BR53" i="4" s="1"/>
  <c r="BR55" i="4" s="1"/>
  <c r="BR57" i="4" s="1"/>
  <c r="BK54" i="4"/>
  <c r="BO48" i="4"/>
  <c r="BU48" i="4"/>
  <c r="BQ54" i="4"/>
  <c r="BO9" i="4"/>
  <c r="BO11" i="4" s="1"/>
  <c r="BI18" i="4"/>
  <c r="BO19" i="4" s="1"/>
  <c r="CF28" i="4"/>
  <c r="CF26" i="4" s="1"/>
  <c r="CE26" i="4"/>
  <c r="BO35" i="4"/>
  <c r="BU25" i="4"/>
  <c r="BI35" i="4"/>
  <c r="BO39" i="4" s="1"/>
  <c r="CL45" i="4"/>
  <c r="CL43" i="4" s="1"/>
  <c r="CK43" i="4"/>
  <c r="BL19" i="4"/>
  <c r="BL21" i="4" s="1"/>
  <c r="BL23" i="4" s="1"/>
  <c r="BU10" i="4"/>
  <c r="BQ19" i="4"/>
  <c r="BQ21" i="4" s="1"/>
  <c r="BQ23" i="4" s="1"/>
  <c r="BR30" i="4"/>
  <c r="BR29" i="4" s="1"/>
  <c r="BL36" i="4"/>
  <c r="BL38" i="4" s="1"/>
  <c r="BL40" i="4" s="1"/>
  <c r="BU27" i="4"/>
  <c r="BQ36" i="4"/>
  <c r="BQ38" i="4" s="1"/>
  <c r="BQ40" i="4" s="1"/>
  <c r="BO49" i="4"/>
  <c r="BM19" i="4"/>
  <c r="BM21" i="4" s="1"/>
  <c r="BM23" i="4" s="1"/>
  <c r="BN20" i="4"/>
  <c r="BN21" i="4" s="1"/>
  <c r="BN23" i="4" s="1"/>
  <c r="BZ28" i="4"/>
  <c r="BZ26" i="4" s="1"/>
  <c r="BZ25" i="4" s="1"/>
  <c r="BM36" i="4"/>
  <c r="BM38" i="4" s="1"/>
  <c r="BM40" i="4" s="1"/>
  <c r="BS37" i="4"/>
  <c r="BW52" i="4"/>
  <c r="CC54" i="4" s="1"/>
  <c r="BX46" i="4"/>
  <c r="CD46" i="4" s="1"/>
  <c r="CJ46" i="4" s="1"/>
  <c r="BY25" i="4"/>
  <c r="BY43" i="4"/>
  <c r="BY42" i="4" s="1"/>
  <c r="BX54" i="4"/>
  <c r="BO67" i="4"/>
  <c r="BO50" i="3" s="1"/>
  <c r="BO50" i="4"/>
  <c r="BM53" i="4"/>
  <c r="BM55" i="4" s="1"/>
  <c r="BM57" i="4" s="1"/>
  <c r="BI52" i="4"/>
  <c r="BT52" i="4"/>
  <c r="BT53" i="4" s="1"/>
  <c r="BT55" i="4" s="1"/>
  <c r="BT57" i="4" s="1"/>
  <c r="BZ42" i="4"/>
  <c r="BN53" i="4"/>
  <c r="BN55" i="4" s="1"/>
  <c r="BN57" i="4" s="1"/>
  <c r="BU42" i="4"/>
  <c r="BK62" i="4"/>
  <c r="BK45" i="3" s="1"/>
  <c r="BL60" i="4"/>
  <c r="BR61" i="4"/>
  <c r="BL69" i="4"/>
  <c r="BO63" i="4"/>
  <c r="BK66" i="4"/>
  <c r="BQ66" i="4"/>
  <c r="BX56" i="4"/>
  <c r="BX42" i="4"/>
  <c r="BL56" i="4"/>
  <c r="BL57" i="4" s="1"/>
  <c r="BL61" i="4"/>
  <c r="BS47" i="4"/>
  <c r="BS46" i="4" s="1"/>
  <c r="BU46" i="4" s="1"/>
  <c r="CA48" i="4" s="1"/>
  <c r="BW54" i="4"/>
  <c r="CC46" i="4"/>
  <c r="BO43" i="4"/>
  <c r="BO45" i="4" s="1"/>
  <c r="BK53" i="4"/>
  <c r="BK55" i="4" s="1"/>
  <c r="BQ56" i="4"/>
  <c r="BO52" i="4"/>
  <c r="BK56" i="4"/>
  <c r="BQ53" i="4"/>
  <c r="BQ55" i="4" s="1"/>
  <c r="BG69" i="4"/>
  <c r="BM61" i="4"/>
  <c r="BM60" i="4"/>
  <c r="BR67" i="4"/>
  <c r="BR50" i="3" s="1"/>
  <c r="BL64" i="4"/>
  <c r="BN66" i="4"/>
  <c r="BQ60" i="4"/>
  <c r="BW61" i="4"/>
  <c r="BQ69" i="4"/>
  <c r="BU59" i="4"/>
  <c r="BI69" i="4"/>
  <c r="BI52" i="3" s="1"/>
  <c r="BI59" i="4"/>
  <c r="BI42" i="3" s="1"/>
  <c r="BT73" i="4"/>
  <c r="BT56" i="3" s="1"/>
  <c r="BM64" i="4"/>
  <c r="BQ67" i="4"/>
  <c r="BQ50" i="3" s="1"/>
  <c r="BU61" i="4"/>
  <c r="BU44" i="3" s="1"/>
  <c r="BO59" i="4"/>
  <c r="BW67" i="4"/>
  <c r="BK69" i="4"/>
  <c r="BL64" i="3"/>
  <c r="CF11" i="2"/>
  <c r="CF9" i="2" s="1"/>
  <c r="CE9" i="2"/>
  <c r="BS63" i="2"/>
  <c r="BM65" i="2"/>
  <c r="BM20" i="2"/>
  <c r="BR63" i="2"/>
  <c r="BU12" i="2"/>
  <c r="BX12" i="2"/>
  <c r="BW63" i="2"/>
  <c r="CC12" i="2"/>
  <c r="BN65" i="2"/>
  <c r="BK67" i="3"/>
  <c r="BR59" i="2"/>
  <c r="BX61" i="2"/>
  <c r="BU8" i="2"/>
  <c r="BR18" i="2"/>
  <c r="BR19" i="2" s="1"/>
  <c r="BX8" i="2"/>
  <c r="O5" i="2"/>
  <c r="S17" i="2"/>
  <c r="BS65" i="2"/>
  <c r="BS20" i="2"/>
  <c r="BX65" i="2"/>
  <c r="BH65" i="2"/>
  <c r="BH20" i="2"/>
  <c r="BL65" i="2"/>
  <c r="BL20" i="2"/>
  <c r="BC9" i="2"/>
  <c r="BC11" i="2" s="1"/>
  <c r="K19" i="2"/>
  <c r="K21" i="2" s="1"/>
  <c r="K23" i="2" s="1"/>
  <c r="R19" i="2"/>
  <c r="R21" i="2" s="1"/>
  <c r="R23" i="2" s="1"/>
  <c r="AV20" i="2"/>
  <c r="BB20" i="2"/>
  <c r="BZ17" i="2"/>
  <c r="BZ15" i="2" s="1"/>
  <c r="BZ13" i="2" s="1"/>
  <c r="BY15" i="2"/>
  <c r="BY13" i="2" s="1"/>
  <c r="BY12" i="2" s="1"/>
  <c r="BS35" i="2"/>
  <c r="BS36" i="2" s="1"/>
  <c r="BS38" i="2" s="1"/>
  <c r="BS40" i="2" s="1"/>
  <c r="BU29" i="2"/>
  <c r="BX29" i="2"/>
  <c r="CD29" i="2" s="1"/>
  <c r="CJ29" i="2" s="1"/>
  <c r="BI32" i="2"/>
  <c r="BI34" i="2" s="1"/>
  <c r="V6" i="2"/>
  <c r="BS59" i="2"/>
  <c r="BY61" i="2"/>
  <c r="BS18" i="2"/>
  <c r="BS19" i="2" s="1"/>
  <c r="BS21" i="2" s="1"/>
  <c r="BS23" i="2" s="1"/>
  <c r="BY9" i="2"/>
  <c r="BY8" i="2" s="1"/>
  <c r="AE16" i="2"/>
  <c r="AE14" i="2"/>
  <c r="Y13" i="2"/>
  <c r="Y15" i="2" s="1"/>
  <c r="Y17" i="2" s="1"/>
  <c r="BT65" i="2"/>
  <c r="BT20" i="2"/>
  <c r="BQ65" i="2"/>
  <c r="BU14" i="2"/>
  <c r="BQ20" i="2"/>
  <c r="AW15" i="2"/>
  <c r="BI16" i="2"/>
  <c r="L19" i="2"/>
  <c r="L21" i="2" s="1"/>
  <c r="L23" i="2" s="1"/>
  <c r="AD23" i="2"/>
  <c r="AW20" i="2"/>
  <c r="AP19" i="2"/>
  <c r="AP21" i="2" s="1"/>
  <c r="AP23" i="2" s="1"/>
  <c r="AT23" i="2"/>
  <c r="BG19" i="2"/>
  <c r="BM19" i="2"/>
  <c r="BM21" i="2" s="1"/>
  <c r="BM22" i="2"/>
  <c r="CF17" i="2"/>
  <c r="CF15" i="2" s="1"/>
  <c r="CF13" i="2" s="1"/>
  <c r="CE15" i="2"/>
  <c r="CE13" i="2" s="1"/>
  <c r="CK26" i="2"/>
  <c r="CL28" i="2"/>
  <c r="CL26" i="2" s="1"/>
  <c r="BT59" i="2"/>
  <c r="BZ61" i="2" s="1"/>
  <c r="BT18" i="2"/>
  <c r="BT19" i="2" s="1"/>
  <c r="BT21" i="2" s="1"/>
  <c r="BT23" i="2" s="1"/>
  <c r="BZ8" i="2"/>
  <c r="BT63" i="2"/>
  <c r="BZ20" i="2"/>
  <c r="AY20" i="2"/>
  <c r="AW18" i="2"/>
  <c r="AW19" i="2" s="1"/>
  <c r="AW21" i="2" s="1"/>
  <c r="AY22" i="2"/>
  <c r="AS19" i="2"/>
  <c r="AS21" i="2" s="1"/>
  <c r="AY19" i="2"/>
  <c r="AY21" i="2" s="1"/>
  <c r="BH21" i="2"/>
  <c r="BH23" i="2" s="1"/>
  <c r="CL17" i="2"/>
  <c r="CL15" i="2" s="1"/>
  <c r="CL13" i="2" s="1"/>
  <c r="CK15" i="2"/>
  <c r="CK13" i="2" s="1"/>
  <c r="AE9" i="2"/>
  <c r="AE11" i="2" s="1"/>
  <c r="BZ28" i="2"/>
  <c r="BZ26" i="2" s="1"/>
  <c r="BY26" i="2"/>
  <c r="BY25" i="2" s="1"/>
  <c r="BY37" i="2"/>
  <c r="BK37" i="2"/>
  <c r="BO31" i="2"/>
  <c r="BU31" i="2"/>
  <c r="BQ37" i="2"/>
  <c r="S10" i="2"/>
  <c r="S11" i="2" s="1"/>
  <c r="Y9" i="2"/>
  <c r="Y11" i="2" s="1"/>
  <c r="BZ12" i="2"/>
  <c r="BW65" i="2"/>
  <c r="BW20" i="2"/>
  <c r="CC65" i="2"/>
  <c r="BA65" i="2"/>
  <c r="BC14" i="2"/>
  <c r="BC15" i="2" s="1"/>
  <c r="BC17" i="2" s="1"/>
  <c r="BA20" i="2"/>
  <c r="BA21" i="2" s="1"/>
  <c r="BA23" i="2" s="1"/>
  <c r="BG65" i="2"/>
  <c r="BG20" i="2"/>
  <c r="BK65" i="2"/>
  <c r="BK20" i="2"/>
  <c r="BO16" i="2"/>
  <c r="BI13" i="2"/>
  <c r="BO10" i="2"/>
  <c r="O22" i="2"/>
  <c r="I19" i="2"/>
  <c r="I21" i="2" s="1"/>
  <c r="I23" i="2" s="1"/>
  <c r="M18" i="2"/>
  <c r="U22" i="2"/>
  <c r="O19" i="2"/>
  <c r="O21" i="2" s="1"/>
  <c r="O23" i="2" s="1"/>
  <c r="S18" i="2"/>
  <c r="AB22" i="2"/>
  <c r="AB23" i="2" s="1"/>
  <c r="V19" i="2"/>
  <c r="V21" i="2" s="1"/>
  <c r="V23" i="2" s="1"/>
  <c r="AJ19" i="2"/>
  <c r="AJ21" i="2" s="1"/>
  <c r="AJ23" i="2" s="1"/>
  <c r="BB22" i="2"/>
  <c r="AV19" i="2"/>
  <c r="AV21" i="2" s="1"/>
  <c r="AV23" i="2" s="1"/>
  <c r="BF20" i="2"/>
  <c r="BI20" i="2" s="1"/>
  <c r="AZ19" i="2"/>
  <c r="AZ21" i="2" s="1"/>
  <c r="AZ23" i="2" s="1"/>
  <c r="BF19" i="2"/>
  <c r="BF21" i="2" s="1"/>
  <c r="BF22" i="2"/>
  <c r="BI22" i="2" s="1"/>
  <c r="BI18" i="2"/>
  <c r="CC61" i="2"/>
  <c r="BW59" i="2"/>
  <c r="CC8" i="2"/>
  <c r="BY65" i="2"/>
  <c r="AW16" i="2"/>
  <c r="BI14" i="2"/>
  <c r="BO9" i="2"/>
  <c r="BO11" i="2" s="1"/>
  <c r="G18" i="2"/>
  <c r="M22" i="2" s="1"/>
  <c r="J19" i="2"/>
  <c r="J21" i="2" s="1"/>
  <c r="J23" i="2" s="1"/>
  <c r="Q19" i="2"/>
  <c r="Q21" i="2" s="1"/>
  <c r="Q23" i="2" s="1"/>
  <c r="Y18" i="2"/>
  <c r="Y19" i="2" s="1"/>
  <c r="Y21" i="2" s="1"/>
  <c r="X19" i="2"/>
  <c r="X21" i="2" s="1"/>
  <c r="X23" i="2" s="1"/>
  <c r="AO19" i="2"/>
  <c r="AO21" i="2" s="1"/>
  <c r="AO23" i="2" s="1"/>
  <c r="BE19" i="2"/>
  <c r="BE21" i="2" s="1"/>
  <c r="BE23" i="2" s="1"/>
  <c r="BL19" i="2"/>
  <c r="BL21" i="2" s="1"/>
  <c r="BL23" i="2" s="1"/>
  <c r="BQ19" i="2"/>
  <c r="BQ21" i="2" s="1"/>
  <c r="BQ23" i="2" s="1"/>
  <c r="AE13" i="2"/>
  <c r="AE15" i="2" s="1"/>
  <c r="AE17" i="2" s="1"/>
  <c r="AG22" i="2"/>
  <c r="AN22" i="2"/>
  <c r="CC25" i="2"/>
  <c r="AE27" i="2"/>
  <c r="AE26" i="2"/>
  <c r="AE31" i="2"/>
  <c r="AE30" i="2"/>
  <c r="AE32" i="2" s="1"/>
  <c r="AE34" i="2" s="1"/>
  <c r="AE33" i="2"/>
  <c r="BG37" i="2"/>
  <c r="S33" i="2"/>
  <c r="S34" i="2" s="1"/>
  <c r="AW30" i="2"/>
  <c r="AW32" i="2" s="1"/>
  <c r="AW34" i="2" s="1"/>
  <c r="R36" i="2"/>
  <c r="R38" i="2" s="1"/>
  <c r="R40" i="2" s="1"/>
  <c r="U36" i="2"/>
  <c r="U38" i="2" s="1"/>
  <c r="U40" i="2" s="1"/>
  <c r="AY39" i="2"/>
  <c r="AS36" i="2"/>
  <c r="AS38" i="2" s="1"/>
  <c r="AU40" i="2"/>
  <c r="AZ36" i="2"/>
  <c r="AZ38" i="2" s="1"/>
  <c r="BG36" i="2"/>
  <c r="BK36" i="2"/>
  <c r="BK38" i="2" s="1"/>
  <c r="BK40" i="2" s="1"/>
  <c r="BQ36" i="2"/>
  <c r="BQ38" i="2" s="1"/>
  <c r="BQ40" i="2" s="1"/>
  <c r="BQ39" i="2"/>
  <c r="BO35" i="2"/>
  <c r="BW35" i="2"/>
  <c r="CC37" i="2" s="1"/>
  <c r="AQ32" i="2"/>
  <c r="AA53" i="2"/>
  <c r="AA55" i="2" s="1"/>
  <c r="AQ44" i="2"/>
  <c r="AQ43" i="2"/>
  <c r="CF45" i="2"/>
  <c r="CF43" i="2" s="1"/>
  <c r="CE43" i="2"/>
  <c r="BC51" i="2"/>
  <c r="BW18" i="2"/>
  <c r="CC22" i="2" s="1"/>
  <c r="AE18" i="2"/>
  <c r="AE19" i="2" s="1"/>
  <c r="AH22" i="2"/>
  <c r="AH23" i="2" s="1"/>
  <c r="BR35" i="2"/>
  <c r="BR36" i="2" s="1"/>
  <c r="BR38" i="2" s="1"/>
  <c r="BR40" i="2" s="1"/>
  <c r="BU25" i="2"/>
  <c r="S27" i="2"/>
  <c r="S28" i="2" s="1"/>
  <c r="BW37" i="2"/>
  <c r="CA31" i="2"/>
  <c r="CC29" i="2"/>
  <c r="M30" i="2"/>
  <c r="M32" i="2" s="1"/>
  <c r="M34" i="2" s="1"/>
  <c r="I36" i="2"/>
  <c r="I38" i="2" s="1"/>
  <c r="O39" i="2"/>
  <c r="M35" i="2"/>
  <c r="V36" i="2"/>
  <c r="V38" i="2" s="1"/>
  <c r="AE35" i="2"/>
  <c r="AG39" i="2"/>
  <c r="AA36" i="2"/>
  <c r="AA38" i="2" s="1"/>
  <c r="AA40" i="2" s="1"/>
  <c r="AK35" i="2"/>
  <c r="AM39" i="2"/>
  <c r="AG36" i="2"/>
  <c r="AG38" i="2" s="1"/>
  <c r="AG40" i="2" s="1"/>
  <c r="AS39" i="2"/>
  <c r="AQ35" i="2"/>
  <c r="AM36" i="2"/>
  <c r="AM38" i="2" s="1"/>
  <c r="AM40" i="2" s="1"/>
  <c r="BB39" i="2"/>
  <c r="AV36" i="2"/>
  <c r="AV38" i="2" s="1"/>
  <c r="AV40" i="2" s="1"/>
  <c r="BE37" i="2"/>
  <c r="BM36" i="2"/>
  <c r="BM38" i="2" s="1"/>
  <c r="BM40" i="2" s="1"/>
  <c r="AQ50" i="2"/>
  <c r="AQ48" i="2"/>
  <c r="AQ47" i="2"/>
  <c r="BU46" i="2"/>
  <c r="BX46" i="2"/>
  <c r="CD46" i="2" s="1"/>
  <c r="CJ46" i="2" s="1"/>
  <c r="AG19" i="2"/>
  <c r="AG21" i="2" s="1"/>
  <c r="AG23" i="2" s="1"/>
  <c r="AM19" i="2"/>
  <c r="AM21" i="2" s="1"/>
  <c r="AM23" i="2" s="1"/>
  <c r="BO18" i="2"/>
  <c r="BO19" i="2" s="1"/>
  <c r="BN19" i="2"/>
  <c r="BR20" i="2"/>
  <c r="AK18" i="2"/>
  <c r="AS22" i="2"/>
  <c r="AW22" i="2" s="1"/>
  <c r="BY39" i="2"/>
  <c r="Y33" i="2"/>
  <c r="Y34" i="2" s="1"/>
  <c r="BC31" i="2"/>
  <c r="BC32" i="2" s="1"/>
  <c r="BC34" i="2" s="1"/>
  <c r="S35" i="2"/>
  <c r="S36" i="2" s="1"/>
  <c r="S38" i="2" s="1"/>
  <c r="W36" i="2"/>
  <c r="W38" i="2" s="1"/>
  <c r="W40" i="2" s="1"/>
  <c r="AC39" i="2"/>
  <c r="AB36" i="2"/>
  <c r="AB38" i="2" s="1"/>
  <c r="AB40" i="2" s="1"/>
  <c r="AW35" i="2"/>
  <c r="BB36" i="2"/>
  <c r="BB38" i="2" s="1"/>
  <c r="BB40" i="2" s="1"/>
  <c r="BN36" i="2"/>
  <c r="AI53" i="2"/>
  <c r="AC53" i="2"/>
  <c r="AC55" i="2" s="1"/>
  <c r="BK54" i="2"/>
  <c r="BO48" i="2"/>
  <c r="P19" i="2"/>
  <c r="P21" i="2" s="1"/>
  <c r="P23" i="2" s="1"/>
  <c r="W19" i="2"/>
  <c r="W21" i="2" s="1"/>
  <c r="W23" i="2" s="1"/>
  <c r="AN19" i="2"/>
  <c r="AN21" i="2" s="1"/>
  <c r="AN23" i="2" s="1"/>
  <c r="BK19" i="2"/>
  <c r="BK21" i="2" s="1"/>
  <c r="BK23" i="2" s="1"/>
  <c r="BT35" i="2"/>
  <c r="BT36" i="2" s="1"/>
  <c r="BT38" i="2" s="1"/>
  <c r="BT40" i="2" s="1"/>
  <c r="BZ25" i="2"/>
  <c r="BO26" i="2"/>
  <c r="BO28" i="2" s="1"/>
  <c r="BO30" i="2"/>
  <c r="BO32" i="2" s="1"/>
  <c r="BO34" i="2" s="1"/>
  <c r="P36" i="2"/>
  <c r="P38" i="2" s="1"/>
  <c r="P40" i="2" s="1"/>
  <c r="V39" i="2"/>
  <c r="O36" i="2"/>
  <c r="O38" i="2" s="1"/>
  <c r="O40" i="2" s="1"/>
  <c r="AT36" i="2"/>
  <c r="AT38" i="2" s="1"/>
  <c r="AY38" i="2"/>
  <c r="AY40" i="2" s="1"/>
  <c r="AZ39" i="2"/>
  <c r="BI35" i="2"/>
  <c r="BF38" i="2"/>
  <c r="BF40" i="2" s="1"/>
  <c r="BG39" i="2"/>
  <c r="G35" i="2"/>
  <c r="BZ45" i="2"/>
  <c r="BZ43" i="2" s="1"/>
  <c r="BY43" i="2"/>
  <c r="BY42" i="2" s="1"/>
  <c r="Y45" i="2"/>
  <c r="J36" i="2"/>
  <c r="J38" i="2" s="1"/>
  <c r="J40" i="2" s="1"/>
  <c r="Q36" i="2"/>
  <c r="Q38" i="2" s="1"/>
  <c r="Q40" i="2" s="1"/>
  <c r="Y35" i="2"/>
  <c r="Y36" i="2" s="1"/>
  <c r="Y38" i="2" s="1"/>
  <c r="X36" i="2"/>
  <c r="X38" i="2" s="1"/>
  <c r="X40" i="2" s="1"/>
  <c r="AC36" i="2"/>
  <c r="AC38" i="2" s="1"/>
  <c r="AI36" i="2"/>
  <c r="AI38" i="2" s="1"/>
  <c r="AI40" i="2" s="1"/>
  <c r="AO36" i="2"/>
  <c r="AO38" i="2" s="1"/>
  <c r="AO40" i="2" s="1"/>
  <c r="BC35" i="2"/>
  <c r="BC36" i="2" s="1"/>
  <c r="BE36" i="2"/>
  <c r="BE38" i="2" s="1"/>
  <c r="BE40" i="2" s="1"/>
  <c r="AT39" i="2"/>
  <c r="AJ61" i="2"/>
  <c r="AD59" i="2"/>
  <c r="AD52" i="2"/>
  <c r="AD53" i="2" s="1"/>
  <c r="AD55" i="2" s="1"/>
  <c r="AD43" i="2"/>
  <c r="AD45" i="2" s="1"/>
  <c r="BS52" i="2"/>
  <c r="BS53" i="2" s="1"/>
  <c r="BS55" i="2" s="1"/>
  <c r="BS57" i="2" s="1"/>
  <c r="CK43" i="2"/>
  <c r="AI43" i="2"/>
  <c r="AI45" i="2" s="1"/>
  <c r="AC63" i="2"/>
  <c r="AI64" i="2" s="1"/>
  <c r="AI54" i="2"/>
  <c r="AC47" i="2"/>
  <c r="AC49" i="2" s="1"/>
  <c r="AC51" i="2" s="1"/>
  <c r="S50" i="2"/>
  <c r="M47" i="2"/>
  <c r="M49" i="2" s="1"/>
  <c r="AH63" i="2"/>
  <c r="AN65" i="2" s="1"/>
  <c r="AN47" i="2"/>
  <c r="AN49" i="2" s="1"/>
  <c r="AN51" i="2" s="1"/>
  <c r="AH47" i="2"/>
  <c r="AH49" i="2" s="1"/>
  <c r="AH51" i="2" s="1"/>
  <c r="Y47" i="2"/>
  <c r="Y49" i="2" s="1"/>
  <c r="AM47" i="2"/>
  <c r="AM49" i="2" s="1"/>
  <c r="AM51" i="2" s="1"/>
  <c r="AE48" i="2"/>
  <c r="AA56" i="2"/>
  <c r="BO47" i="2"/>
  <c r="BO50" i="2"/>
  <c r="BI47" i="2"/>
  <c r="Q54" i="2"/>
  <c r="Q55" i="2" s="1"/>
  <c r="Q57" i="2" s="1"/>
  <c r="K53" i="2"/>
  <c r="K55" i="2" s="1"/>
  <c r="K57" i="2" s="1"/>
  <c r="Q56" i="2"/>
  <c r="M54" i="2"/>
  <c r="X54" i="2"/>
  <c r="R53" i="2"/>
  <c r="R55" i="2" s="1"/>
  <c r="R57" i="2" s="1"/>
  <c r="X53" i="2"/>
  <c r="X56" i="2"/>
  <c r="BE55" i="2"/>
  <c r="BE57" i="2" s="1"/>
  <c r="W71" i="2"/>
  <c r="W37" i="3" s="1"/>
  <c r="I39" i="2"/>
  <c r="M39" i="2" s="1"/>
  <c r="AN39" i="2"/>
  <c r="AN40" i="2" s="1"/>
  <c r="AA59" i="2"/>
  <c r="AG61" i="2" s="1"/>
  <c r="AG56" i="2"/>
  <c r="AA43" i="2"/>
  <c r="AA45" i="2" s="1"/>
  <c r="AG59" i="2"/>
  <c r="AM56" i="2"/>
  <c r="AG52" i="2"/>
  <c r="BT52" i="2"/>
  <c r="BT53" i="2" s="1"/>
  <c r="BT55" i="2" s="1"/>
  <c r="BZ42" i="2"/>
  <c r="AD63" i="2"/>
  <c r="AJ67" i="2" s="1"/>
  <c r="AJ33" i="3" s="1"/>
  <c r="AJ54" i="2"/>
  <c r="AD47" i="2"/>
  <c r="AD49" i="2" s="1"/>
  <c r="AD51" i="2" s="1"/>
  <c r="BI48" i="2"/>
  <c r="BE54" i="2"/>
  <c r="AE44" i="2"/>
  <c r="Y51" i="2"/>
  <c r="BC48" i="2"/>
  <c r="BC49" i="2" s="1"/>
  <c r="BC50" i="2"/>
  <c r="AW47" i="2"/>
  <c r="AW49" i="2" s="1"/>
  <c r="BA55" i="2"/>
  <c r="BA57" i="2" s="1"/>
  <c r="BN55" i="2"/>
  <c r="BN57" i="2" s="1"/>
  <c r="AH39" i="2"/>
  <c r="AH40" i="2" s="1"/>
  <c r="AB59" i="2"/>
  <c r="AH61" i="2" s="1"/>
  <c r="AH56" i="2"/>
  <c r="AB43" i="2"/>
  <c r="AB45" i="2" s="1"/>
  <c r="AH59" i="2"/>
  <c r="AN61" i="2" s="1"/>
  <c r="AH52" i="2"/>
  <c r="AN54" i="2" s="1"/>
  <c r="AN56" i="2"/>
  <c r="BW52" i="2"/>
  <c r="CC56" i="2" s="1"/>
  <c r="CC42" i="2"/>
  <c r="AA63" i="2"/>
  <c r="AG67" i="2" s="1"/>
  <c r="AG54" i="2"/>
  <c r="AA47" i="2"/>
  <c r="AA49" i="2" s="1"/>
  <c r="AA51" i="2" s="1"/>
  <c r="AE46" i="2"/>
  <c r="AE47" i="2" s="1"/>
  <c r="BU48" i="2"/>
  <c r="BQ54" i="2"/>
  <c r="AC56" i="2"/>
  <c r="AW51" i="2"/>
  <c r="BO43" i="2"/>
  <c r="BI43" i="2"/>
  <c r="BI45" i="2" s="1"/>
  <c r="BO44" i="2"/>
  <c r="AC59" i="2"/>
  <c r="AI61" i="2" s="1"/>
  <c r="AI56" i="2"/>
  <c r="AC43" i="2"/>
  <c r="AC45" i="2" s="1"/>
  <c r="BU42" i="2"/>
  <c r="BR52" i="2"/>
  <c r="BR53" i="2" s="1"/>
  <c r="BR55" i="2" s="1"/>
  <c r="BX42" i="2"/>
  <c r="CD43" i="2"/>
  <c r="AH43" i="2"/>
  <c r="AH45" i="2" s="1"/>
  <c r="AN43" i="2"/>
  <c r="AN45" i="2" s="1"/>
  <c r="AH67" i="2"/>
  <c r="AH33" i="3" s="1"/>
  <c r="AB63" i="2"/>
  <c r="AH65" i="2" s="1"/>
  <c r="AH54" i="2"/>
  <c r="AB47" i="2"/>
  <c r="AB49" i="2" s="1"/>
  <c r="AB51" i="2" s="1"/>
  <c r="AG63" i="2"/>
  <c r="AM65" i="2" s="1"/>
  <c r="AM54" i="2"/>
  <c r="S47" i="2"/>
  <c r="S49" i="2" s="1"/>
  <c r="AJ47" i="2"/>
  <c r="AJ49" i="2" s="1"/>
  <c r="AJ51" i="2" s="1"/>
  <c r="AE42" i="2"/>
  <c r="AE43" i="2" s="1"/>
  <c r="M51" i="2"/>
  <c r="AD67" i="2"/>
  <c r="AD56" i="2"/>
  <c r="AK48" i="2"/>
  <c r="BC44" i="2"/>
  <c r="AW43" i="2"/>
  <c r="AW45" i="2" s="1"/>
  <c r="BL55" i="2"/>
  <c r="BL57" i="2" s="1"/>
  <c r="CC46" i="2"/>
  <c r="I53" i="2"/>
  <c r="I55" i="2" s="1"/>
  <c r="I57" i="2" s="1"/>
  <c r="P53" i="2"/>
  <c r="P55" i="2" s="1"/>
  <c r="P57" i="2" s="1"/>
  <c r="O54" i="2"/>
  <c r="O55" i="2" s="1"/>
  <c r="V54" i="2"/>
  <c r="Y54" i="2" s="1"/>
  <c r="AJ53" i="2"/>
  <c r="AJ55" i="2" s="1"/>
  <c r="AM53" i="2"/>
  <c r="AP54" i="2"/>
  <c r="AP55" i="2" s="1"/>
  <c r="AP57" i="2" s="1"/>
  <c r="AU53" i="2"/>
  <c r="AT53" i="2"/>
  <c r="AT55" i="2" s="1"/>
  <c r="AU54" i="2"/>
  <c r="AU56" i="2"/>
  <c r="BB56" i="2"/>
  <c r="BQ53" i="2"/>
  <c r="BR56" i="2"/>
  <c r="D69" i="2"/>
  <c r="J71" i="2" s="1"/>
  <c r="J37" i="3" s="1"/>
  <c r="J61" i="2"/>
  <c r="J60" i="2"/>
  <c r="I69" i="2"/>
  <c r="U61" i="2"/>
  <c r="O60" i="2"/>
  <c r="S59" i="2"/>
  <c r="Q61" i="2"/>
  <c r="O65" i="2"/>
  <c r="Y52" i="2"/>
  <c r="BB53" i="2"/>
  <c r="BB55" i="2" s="1"/>
  <c r="BI52" i="2"/>
  <c r="BO52" i="2"/>
  <c r="BO53" i="2" s="1"/>
  <c r="BK56" i="2"/>
  <c r="M67" i="2"/>
  <c r="M33" i="3" s="1"/>
  <c r="K69" i="2"/>
  <c r="U65" i="2"/>
  <c r="O64" i="2"/>
  <c r="U67" i="2"/>
  <c r="S63" i="2"/>
  <c r="Q65" i="2"/>
  <c r="AC61" i="2"/>
  <c r="W69" i="2"/>
  <c r="W60" i="2"/>
  <c r="AA65" i="2"/>
  <c r="U64" i="2"/>
  <c r="Y63" i="2"/>
  <c r="O56" i="2"/>
  <c r="V56" i="2"/>
  <c r="Y56" i="2" s="1"/>
  <c r="AP56" i="2"/>
  <c r="AW52" i="2"/>
  <c r="AW53" i="2" s="1"/>
  <c r="AS56" i="2"/>
  <c r="BC52" i="2"/>
  <c r="AY53" i="2"/>
  <c r="AY54" i="2"/>
  <c r="BC54" i="2" s="1"/>
  <c r="AZ56" i="2"/>
  <c r="BF53" i="2"/>
  <c r="BF55" i="2" s="1"/>
  <c r="BF57" i="2" s="1"/>
  <c r="BK53" i="2"/>
  <c r="BK55" i="2" s="1"/>
  <c r="F69" i="2"/>
  <c r="L61" i="2"/>
  <c r="M65" i="2"/>
  <c r="M31" i="3" s="1"/>
  <c r="Q60" i="2"/>
  <c r="O67" i="2"/>
  <c r="W61" i="2"/>
  <c r="M52" i="2"/>
  <c r="M53" i="2" s="1"/>
  <c r="M55" i="2" s="1"/>
  <c r="M57" i="2" s="1"/>
  <c r="AQ52" i="2"/>
  <c r="AS53" i="2"/>
  <c r="AS55" i="2" s="1"/>
  <c r="AZ53" i="2"/>
  <c r="AZ55" i="2" s="1"/>
  <c r="BG53" i="2"/>
  <c r="BG55" i="2" s="1"/>
  <c r="BH56" i="2"/>
  <c r="BH57" i="2" s="1"/>
  <c r="BM53" i="2"/>
  <c r="BM55" i="2" s="1"/>
  <c r="BM57" i="2" s="1"/>
  <c r="M59" i="2"/>
  <c r="I68" i="2"/>
  <c r="I34" i="3" s="1"/>
  <c r="M63" i="2"/>
  <c r="O61" i="2"/>
  <c r="W67" i="2"/>
  <c r="W33" i="3" s="1"/>
  <c r="Q64" i="2"/>
  <c r="Q67" i="2"/>
  <c r="Q33" i="3" s="1"/>
  <c r="O69" i="2"/>
  <c r="AA61" i="2"/>
  <c r="U69" i="2"/>
  <c r="U60" i="2"/>
  <c r="Y59" i="2"/>
  <c r="AC71" i="2"/>
  <c r="AC37" i="3" s="1"/>
  <c r="G59" i="2"/>
  <c r="J69" i="2"/>
  <c r="P73" i="2" s="1"/>
  <c r="P39" i="3" s="1"/>
  <c r="P65" i="2"/>
  <c r="P66" i="2" s="1"/>
  <c r="P69" i="2"/>
  <c r="W64" i="2"/>
  <c r="V65" i="2"/>
  <c r="V69" i="2"/>
  <c r="AP61" i="2"/>
  <c r="AV60" i="2"/>
  <c r="BB67" i="2"/>
  <c r="BB33" i="3" s="1"/>
  <c r="AV64" i="2"/>
  <c r="AV69" i="2"/>
  <c r="BC63" i="2"/>
  <c r="BI65" i="2" s="1"/>
  <c r="BI31" i="3" s="1"/>
  <c r="BH64" i="2"/>
  <c r="BM66" i="2"/>
  <c r="AO67" i="2"/>
  <c r="AO33" i="3" s="1"/>
  <c r="AO65" i="2"/>
  <c r="AN60" i="2"/>
  <c r="AN64" i="2"/>
  <c r="AO64" i="2"/>
  <c r="AV65" i="2"/>
  <c r="AT67" i="2"/>
  <c r="AT33" i="3" s="1"/>
  <c r="BB66" i="2"/>
  <c r="BH60" i="2"/>
  <c r="BE66" i="2"/>
  <c r="BL70" i="2"/>
  <c r="AO61" i="2"/>
  <c r="AI69" i="2"/>
  <c r="AI60" i="2"/>
  <c r="AJ64" i="2"/>
  <c r="AN69" i="2"/>
  <c r="AZ61" i="2"/>
  <c r="AT60" i="2"/>
  <c r="AZ67" i="2"/>
  <c r="AZ33" i="3" s="1"/>
  <c r="AZ65" i="2"/>
  <c r="AT64" i="2"/>
  <c r="AV67" i="2"/>
  <c r="AV33" i="3" s="1"/>
  <c r="BG66" i="2"/>
  <c r="AJ60" i="2"/>
  <c r="AP60" i="2"/>
  <c r="AP66" i="2"/>
  <c r="AP69" i="2"/>
  <c r="AT70" i="2"/>
  <c r="BH61" i="2"/>
  <c r="BB69" i="2"/>
  <c r="BF70" i="2"/>
  <c r="BK66" i="2"/>
  <c r="AQ59" i="2"/>
  <c r="AQ63" i="2"/>
  <c r="AO69" i="2"/>
  <c r="AU73" i="2" s="1"/>
  <c r="AU39" i="3" s="1"/>
  <c r="AY73" i="2"/>
  <c r="AW59" i="2"/>
  <c r="AW63" i="2"/>
  <c r="AU65" i="2"/>
  <c r="AS67" i="2"/>
  <c r="AU69" i="2"/>
  <c r="BA70" i="2" s="1"/>
  <c r="BA60" i="2"/>
  <c r="BA64" i="2"/>
  <c r="BK61" i="2"/>
  <c r="BK62" i="2" s="1"/>
  <c r="BK28" i="3" s="1"/>
  <c r="BE69" i="2"/>
  <c r="BI59" i="2"/>
  <c r="BI63" i="2"/>
  <c r="BE67" i="2"/>
  <c r="BE33" i="3" s="1"/>
  <c r="BN67" i="2"/>
  <c r="BN33" i="3" s="1"/>
  <c r="BN69" i="2"/>
  <c r="BT73" i="2" s="1"/>
  <c r="BT39" i="3" s="1"/>
  <c r="BU59" i="2"/>
  <c r="BF60" i="2"/>
  <c r="BF61" i="2"/>
  <c r="BF64" i="2"/>
  <c r="BG70" i="2"/>
  <c r="BN60" i="2"/>
  <c r="BN61" i="2"/>
  <c r="BN64" i="2"/>
  <c r="BE61" i="2"/>
  <c r="AY69" i="2"/>
  <c r="BE71" i="2" s="1"/>
  <c r="BC59" i="2"/>
  <c r="BH69" i="2"/>
  <c r="BQ61" i="2"/>
  <c r="BK69" i="2"/>
  <c r="BO59" i="2"/>
  <c r="BO63" i="2"/>
  <c r="AZ60" i="2"/>
  <c r="AZ64" i="2"/>
  <c r="BR61" i="2"/>
  <c r="BL60" i="2"/>
  <c r="BL61" i="2"/>
  <c r="BR67" i="2"/>
  <c r="BR33" i="3" s="1"/>
  <c r="BL64" i="2"/>
  <c r="BL67" i="2"/>
  <c r="BL33" i="3" s="1"/>
  <c r="BL67" i="3" s="1"/>
  <c r="BQ64" i="2"/>
  <c r="BW67" i="2"/>
  <c r="BQ60" i="2"/>
  <c r="BW61" i="2"/>
  <c r="BQ69" i="2"/>
  <c r="AA5" i="1"/>
  <c r="Y5" i="1"/>
  <c r="AK11" i="1"/>
  <c r="CK9" i="1"/>
  <c r="CL11" i="1"/>
  <c r="CL9" i="1" s="1"/>
  <c r="BK82" i="1"/>
  <c r="BK20" i="1"/>
  <c r="BK21" i="1" s="1"/>
  <c r="BO14" i="1"/>
  <c r="S17" i="1"/>
  <c r="S11" i="1"/>
  <c r="Y11" i="1"/>
  <c r="BR76" i="1"/>
  <c r="BX78" i="1" s="1"/>
  <c r="BR18" i="1"/>
  <c r="BX22" i="1" s="1"/>
  <c r="BU8" i="1"/>
  <c r="AK49" i="1"/>
  <c r="AG51" i="1"/>
  <c r="AK51" i="1" s="1"/>
  <c r="Q6" i="1"/>
  <c r="R6" i="1" s="1"/>
  <c r="U6" i="1" s="1"/>
  <c r="V6" i="1"/>
  <c r="BM82" i="1"/>
  <c r="BM20" i="1"/>
  <c r="BM21" i="1" s="1"/>
  <c r="BM23" i="1" s="1"/>
  <c r="BT76" i="1"/>
  <c r="BZ78" i="1" s="1"/>
  <c r="BT18" i="1"/>
  <c r="BT19" i="1" s="1"/>
  <c r="BZ8" i="1"/>
  <c r="BZ97" i="6" s="1"/>
  <c r="BZ22" i="7" s="1"/>
  <c r="BZ12" i="1"/>
  <c r="BX9" i="1"/>
  <c r="BX8" i="1" s="1"/>
  <c r="BX97" i="6" s="1"/>
  <c r="BX22" i="7" s="1"/>
  <c r="CJ9" i="1"/>
  <c r="AW11" i="1"/>
  <c r="BS82" i="1"/>
  <c r="BS13" i="1"/>
  <c r="BS12" i="1" s="1"/>
  <c r="BS18" i="1" s="1"/>
  <c r="BS19" i="1" s="1"/>
  <c r="S13" i="1"/>
  <c r="S15" i="1" s="1"/>
  <c r="AJ17" i="1"/>
  <c r="AK17" i="1" s="1"/>
  <c r="V22" i="1"/>
  <c r="P19" i="1"/>
  <c r="P21" i="1" s="1"/>
  <c r="P23" i="1" s="1"/>
  <c r="V20" i="1"/>
  <c r="V21" i="1" s="1"/>
  <c r="V23" i="1" s="1"/>
  <c r="AK22" i="1"/>
  <c r="AN20" i="1"/>
  <c r="AN21" i="1" s="1"/>
  <c r="AH19" i="1"/>
  <c r="AH21" i="1" s="1"/>
  <c r="AH23" i="1" s="1"/>
  <c r="AN22" i="1"/>
  <c r="AQ15" i="1"/>
  <c r="BC14" i="1"/>
  <c r="BC15" i="1" s="1"/>
  <c r="BC17" i="1" s="1"/>
  <c r="BC16" i="1"/>
  <c r="AW13" i="1"/>
  <c r="AD21" i="1"/>
  <c r="AD23" i="1" s="1"/>
  <c r="AS22" i="1"/>
  <c r="AS20" i="1"/>
  <c r="AM19" i="1"/>
  <c r="AM21" i="1" s="1"/>
  <c r="AM23" i="1" s="1"/>
  <c r="AQ18" i="1"/>
  <c r="AW18" i="1"/>
  <c r="BC20" i="1" s="1"/>
  <c r="AS19" i="1"/>
  <c r="AS21" i="1" s="1"/>
  <c r="BT22" i="1"/>
  <c r="BN19" i="1"/>
  <c r="BL20" i="1"/>
  <c r="BI18" i="1"/>
  <c r="BO19" i="1" s="1"/>
  <c r="BW20" i="1"/>
  <c r="CD30" i="1"/>
  <c r="AU36" i="1"/>
  <c r="AU38" i="1" s="1"/>
  <c r="AU40" i="1" s="1"/>
  <c r="BA39" i="1"/>
  <c r="BA36" i="1"/>
  <c r="BA38" i="1" s="1"/>
  <c r="BA40" i="1" s="1"/>
  <c r="CI46" i="1"/>
  <c r="AW43" i="1"/>
  <c r="BC44" i="1"/>
  <c r="BC43" i="1"/>
  <c r="BY78" i="1"/>
  <c r="BS76" i="1"/>
  <c r="BY8" i="1"/>
  <c r="BY97" i="6" s="1"/>
  <c r="BY22" i="7" s="1"/>
  <c r="Y13" i="1"/>
  <c r="Y15" i="1" s="1"/>
  <c r="AE16" i="1"/>
  <c r="Y17" i="1"/>
  <c r="AE15" i="1"/>
  <c r="AQ17" i="1"/>
  <c r="BO9" i="1"/>
  <c r="BO11" i="1" s="1"/>
  <c r="AA20" i="1"/>
  <c r="U19" i="1"/>
  <c r="U21" i="1" s="1"/>
  <c r="U23" i="1" s="1"/>
  <c r="AA22" i="1"/>
  <c r="Y18" i="1"/>
  <c r="AE19" i="1" s="1"/>
  <c r="AK20" i="1"/>
  <c r="AA19" i="1"/>
  <c r="AA21" i="1" s="1"/>
  <c r="AS17" i="1"/>
  <c r="AW17" i="1" s="1"/>
  <c r="AZ22" i="1"/>
  <c r="AZ20" i="1"/>
  <c r="AZ21" i="1" s="1"/>
  <c r="AZ23" i="1" s="1"/>
  <c r="AT19" i="1"/>
  <c r="AT21" i="1" s="1"/>
  <c r="AT23" i="1" s="1"/>
  <c r="BA21" i="1"/>
  <c r="BA23" i="1" s="1"/>
  <c r="BN20" i="1"/>
  <c r="BU10" i="1"/>
  <c r="K20" i="1"/>
  <c r="K21" i="1" s="1"/>
  <c r="K22" i="1"/>
  <c r="BQ20" i="1"/>
  <c r="BO31" i="1"/>
  <c r="AE49" i="1"/>
  <c r="AA51" i="1"/>
  <c r="AE51" i="1" s="1"/>
  <c r="AQ49" i="1"/>
  <c r="AM51" i="1"/>
  <c r="AQ51" i="1" s="1"/>
  <c r="AS51" i="1"/>
  <c r="AW51" i="1" s="1"/>
  <c r="AW49" i="1"/>
  <c r="BC49" i="1"/>
  <c r="AY51" i="1"/>
  <c r="BA54" i="1"/>
  <c r="BA49" i="1"/>
  <c r="BA51" i="1" s="1"/>
  <c r="BA57" i="1" s="1"/>
  <c r="BC48" i="1"/>
  <c r="BG54" i="1"/>
  <c r="BI48" i="1"/>
  <c r="S5" i="1"/>
  <c r="AK10" i="1"/>
  <c r="AE11" i="1"/>
  <c r="BX12" i="1"/>
  <c r="AE10" i="1"/>
  <c r="AK9" i="1"/>
  <c r="X20" i="1"/>
  <c r="X22" i="1"/>
  <c r="R19" i="1"/>
  <c r="R21" i="1" s="1"/>
  <c r="R23" i="1" s="1"/>
  <c r="AP22" i="1"/>
  <c r="AP20" i="1"/>
  <c r="AJ19" i="1"/>
  <c r="AJ21" i="1" s="1"/>
  <c r="AJ23" i="1" s="1"/>
  <c r="BC10" i="1"/>
  <c r="BC11" i="1" s="1"/>
  <c r="AW9" i="1"/>
  <c r="M18" i="1"/>
  <c r="S22" i="1" s="1"/>
  <c r="AA17" i="1"/>
  <c r="AE17" i="1" s="1"/>
  <c r="AB23" i="1"/>
  <c r="AU20" i="1"/>
  <c r="AU21" i="1" s="1"/>
  <c r="AU23" i="1" s="1"/>
  <c r="AO19" i="1"/>
  <c r="AO21" i="1" s="1"/>
  <c r="AO23" i="1" s="1"/>
  <c r="AU22" i="1"/>
  <c r="AP19" i="1"/>
  <c r="BL19" i="1"/>
  <c r="BL21" i="1" s="1"/>
  <c r="BL23" i="1" s="1"/>
  <c r="BR22" i="1"/>
  <c r="BU22" i="1" s="1"/>
  <c r="CL17" i="1"/>
  <c r="CL15" i="1" s="1"/>
  <c r="CL13" i="1" s="1"/>
  <c r="BS20" i="1"/>
  <c r="BM39" i="1"/>
  <c r="BG36" i="1"/>
  <c r="BU26" i="1"/>
  <c r="BU28" i="1" s="1"/>
  <c r="CA27" i="1"/>
  <c r="AA57" i="1"/>
  <c r="AE45" i="1"/>
  <c r="AG57" i="1"/>
  <c r="AK45" i="1"/>
  <c r="AM57" i="1"/>
  <c r="AQ45" i="1"/>
  <c r="AY57" i="1"/>
  <c r="BC45" i="1"/>
  <c r="M45" i="1"/>
  <c r="CF45" i="1"/>
  <c r="CF43" i="1" s="1"/>
  <c r="CE43" i="1"/>
  <c r="BW76" i="1"/>
  <c r="CC78" i="1"/>
  <c r="CC8" i="1"/>
  <c r="CC97" i="6" s="1"/>
  <c r="S9" i="1"/>
  <c r="BR82" i="1"/>
  <c r="BR20" i="1"/>
  <c r="CJ13" i="1"/>
  <c r="BA15" i="1"/>
  <c r="BA17" i="1" s="1"/>
  <c r="AK16" i="1"/>
  <c r="AK14" i="1"/>
  <c r="AE13" i="1"/>
  <c r="S18" i="1"/>
  <c r="AK15" i="1"/>
  <c r="AK18" i="1"/>
  <c r="BO13" i="1"/>
  <c r="BO15" i="1" s="1"/>
  <c r="BO17" i="1" s="1"/>
  <c r="J21" i="1"/>
  <c r="J23" i="1" s="1"/>
  <c r="AC22" i="1"/>
  <c r="AC20" i="1"/>
  <c r="AC21" i="1" s="1"/>
  <c r="AC23" i="1" s="1"/>
  <c r="W19" i="1"/>
  <c r="W21" i="1" s="1"/>
  <c r="W23" i="1" s="1"/>
  <c r="X19" i="1"/>
  <c r="X21" i="1" s="1"/>
  <c r="X23" i="1" s="1"/>
  <c r="AV19" i="1"/>
  <c r="AV21" i="1" s="1"/>
  <c r="AV23" i="1" s="1"/>
  <c r="BB22" i="1"/>
  <c r="BB23" i="1" s="1"/>
  <c r="BC18" i="1"/>
  <c r="BC19" i="1" s="1"/>
  <c r="BU14" i="1"/>
  <c r="I22" i="1"/>
  <c r="M22" i="1" s="1"/>
  <c r="I20" i="1"/>
  <c r="I21" i="1" s="1"/>
  <c r="I23" i="1" s="1"/>
  <c r="G18" i="1"/>
  <c r="BW18" i="1"/>
  <c r="CC20" i="1" s="1"/>
  <c r="CD26" i="1"/>
  <c r="CE28" i="1"/>
  <c r="CC29" i="1"/>
  <c r="BM36" i="1"/>
  <c r="BM38" i="1" s="1"/>
  <c r="BA56" i="1"/>
  <c r="AU53" i="1"/>
  <c r="AU55" i="1" s="1"/>
  <c r="BA53" i="1"/>
  <c r="BA55" i="1" s="1"/>
  <c r="CC84" i="1"/>
  <c r="BW80" i="1"/>
  <c r="CC12" i="1"/>
  <c r="M13" i="1"/>
  <c r="M15" i="1" s="1"/>
  <c r="BK22" i="1"/>
  <c r="BO22" i="1" s="1"/>
  <c r="BT20" i="1"/>
  <c r="BW35" i="1"/>
  <c r="CC37" i="1" s="1"/>
  <c r="AW28" i="1"/>
  <c r="BY28" i="1"/>
  <c r="BX26" i="1"/>
  <c r="CI30" i="1"/>
  <c r="BG37" i="1"/>
  <c r="BI37" i="1" s="1"/>
  <c r="BI31" i="1"/>
  <c r="BO30" i="1"/>
  <c r="BO32" i="1" s="1"/>
  <c r="AZ39" i="1"/>
  <c r="AZ37" i="1"/>
  <c r="AT36" i="1"/>
  <c r="AT38" i="1" s="1"/>
  <c r="AT40" i="1" s="1"/>
  <c r="BN36" i="1"/>
  <c r="BN38" i="1" s="1"/>
  <c r="BT39" i="1"/>
  <c r="AV39" i="1"/>
  <c r="AV40" i="1" s="1"/>
  <c r="AP36" i="1"/>
  <c r="S45" i="1"/>
  <c r="O57" i="1"/>
  <c r="R57" i="1"/>
  <c r="X57" i="1"/>
  <c r="AV57" i="1"/>
  <c r="AB57" i="1"/>
  <c r="S47" i="1"/>
  <c r="S49" i="1" s="1"/>
  <c r="Y50" i="1"/>
  <c r="M51" i="1"/>
  <c r="AI70" i="1"/>
  <c r="AI72" i="1" s="1"/>
  <c r="AO73" i="1"/>
  <c r="BS35" i="1"/>
  <c r="BS36" i="1" s="1"/>
  <c r="BS38" i="1" s="1"/>
  <c r="BS40" i="1" s="1"/>
  <c r="BQ37" i="1"/>
  <c r="BU31" i="1"/>
  <c r="BO33" i="1"/>
  <c r="BI30" i="1"/>
  <c r="BI32" i="1" s="1"/>
  <c r="BI34" i="1" s="1"/>
  <c r="BL38" i="1"/>
  <c r="BL40" i="1" s="1"/>
  <c r="BN39" i="1"/>
  <c r="BW39" i="1"/>
  <c r="BQ36" i="1"/>
  <c r="BQ38" i="1" s="1"/>
  <c r="BQ40" i="1" s="1"/>
  <c r="U57" i="1"/>
  <c r="Y45" i="1"/>
  <c r="AS57" i="1"/>
  <c r="AW45" i="1"/>
  <c r="CK43" i="1"/>
  <c r="CL45" i="1"/>
  <c r="CL43" i="1" s="1"/>
  <c r="AE48" i="1"/>
  <c r="AE50" i="1"/>
  <c r="Y47" i="1"/>
  <c r="Y49" i="1" s="1"/>
  <c r="BT35" i="1"/>
  <c r="BT36" i="1" s="1"/>
  <c r="BT38" i="1" s="1"/>
  <c r="BT40" i="1" s="1"/>
  <c r="BZ29" i="1"/>
  <c r="BB32" i="1"/>
  <c r="BB34" i="1" s="1"/>
  <c r="AS34" i="1"/>
  <c r="AW34" i="1" s="1"/>
  <c r="AW32" i="1"/>
  <c r="BI35" i="1"/>
  <c r="BI36" i="1" s="1"/>
  <c r="CF34" i="1"/>
  <c r="CF32" i="1" s="1"/>
  <c r="CF30" i="1" s="1"/>
  <c r="AZ36" i="1"/>
  <c r="BF39" i="1"/>
  <c r="BF40" i="1" s="1"/>
  <c r="BB38" i="1"/>
  <c r="BB40" i="1" s="1"/>
  <c r="BW52" i="1"/>
  <c r="CC56" i="1" s="1"/>
  <c r="CC42" i="1"/>
  <c r="BW56" i="1"/>
  <c r="BQ53" i="1"/>
  <c r="BQ55" i="1" s="1"/>
  <c r="BQ57" i="1" s="1"/>
  <c r="BU59" i="1"/>
  <c r="BR69" i="1"/>
  <c r="BX73" i="1" s="1"/>
  <c r="BX25" i="1"/>
  <c r="BR30" i="1"/>
  <c r="BR29" i="1" s="1"/>
  <c r="BO26" i="1"/>
  <c r="BO28" i="1" s="1"/>
  <c r="AW35" i="1"/>
  <c r="AS39" i="1"/>
  <c r="AS40" i="1" s="1"/>
  <c r="BE36" i="1"/>
  <c r="BE38" i="1" s="1"/>
  <c r="BE40" i="1" s="1"/>
  <c r="W57" i="1"/>
  <c r="AI57" i="1"/>
  <c r="AO57" i="1"/>
  <c r="BR47" i="1"/>
  <c r="BR46" i="1" s="1"/>
  <c r="BR52" i="1" s="1"/>
  <c r="BT54" i="1"/>
  <c r="BT47" i="1"/>
  <c r="BT46" i="1" s="1"/>
  <c r="W56" i="1"/>
  <c r="Q53" i="1"/>
  <c r="Q55" i="1" s="1"/>
  <c r="P53" i="1"/>
  <c r="P55" i="1" s="1"/>
  <c r="BC50" i="1"/>
  <c r="AW47" i="1"/>
  <c r="BI47" i="1"/>
  <c r="BI49" i="1" s="1"/>
  <c r="BI51" i="1" s="1"/>
  <c r="BO43" i="1"/>
  <c r="BO45" i="1" s="1"/>
  <c r="AV55" i="1"/>
  <c r="BL53" i="1"/>
  <c r="BL55" i="1" s="1"/>
  <c r="BL57" i="1" s="1"/>
  <c r="BR56" i="1"/>
  <c r="CK51" i="1"/>
  <c r="CJ49" i="1"/>
  <c r="CJ47" i="1" s="1"/>
  <c r="BW54" i="1"/>
  <c r="BZ68" i="1"/>
  <c r="BZ66" i="1" s="1"/>
  <c r="BZ64" i="1" s="1"/>
  <c r="BY66" i="1"/>
  <c r="BY64" i="1" s="1"/>
  <c r="BO35" i="1"/>
  <c r="AQ35" i="1"/>
  <c r="BU42" i="1"/>
  <c r="BX42" i="1"/>
  <c r="R56" i="1"/>
  <c r="I57" i="1"/>
  <c r="M57" i="1" s="1"/>
  <c r="AT57" i="1"/>
  <c r="BK54" i="1"/>
  <c r="BO48" i="1"/>
  <c r="S51" i="1"/>
  <c r="U56" i="1"/>
  <c r="U53" i="1"/>
  <c r="U55" i="1" s="1"/>
  <c r="S52" i="1"/>
  <c r="S53" i="1" s="1"/>
  <c r="S55" i="1" s="1"/>
  <c r="BU50" i="1"/>
  <c r="BU51" i="1"/>
  <c r="AD56" i="1"/>
  <c r="X53" i="1"/>
  <c r="X55" i="1" s="1"/>
  <c r="AT56" i="1"/>
  <c r="AT53" i="1"/>
  <c r="AT55" i="1" s="1"/>
  <c r="BB53" i="1"/>
  <c r="BB55" i="1" s="1"/>
  <c r="BH56" i="1"/>
  <c r="BH57" i="1" s="1"/>
  <c r="BY51" i="1"/>
  <c r="BX49" i="1"/>
  <c r="BX47" i="1" s="1"/>
  <c r="AK44" i="1"/>
  <c r="AE43" i="1"/>
  <c r="AN56" i="1"/>
  <c r="CC63" i="1"/>
  <c r="BR73" i="1"/>
  <c r="BL70" i="1"/>
  <c r="BL72" i="1" s="1"/>
  <c r="CC25" i="1"/>
  <c r="AY37" i="1"/>
  <c r="AY38" i="1" s="1"/>
  <c r="AY40" i="1" s="1"/>
  <c r="O56" i="1"/>
  <c r="BZ45" i="1"/>
  <c r="BZ43" i="1" s="1"/>
  <c r="BZ42" i="1" s="1"/>
  <c r="S43" i="1"/>
  <c r="Y43" i="1"/>
  <c r="O53" i="1"/>
  <c r="O55" i="1" s="1"/>
  <c r="BU45" i="1"/>
  <c r="BO47" i="1"/>
  <c r="M52" i="1"/>
  <c r="M53" i="1" s="1"/>
  <c r="M55" i="1" s="1"/>
  <c r="W53" i="1"/>
  <c r="W55" i="1" s="1"/>
  <c r="BE53" i="1"/>
  <c r="BE55" i="1" s="1"/>
  <c r="BE57" i="1" s="1"/>
  <c r="BK56" i="1"/>
  <c r="BI52" i="1"/>
  <c r="BO52" i="1"/>
  <c r="BU54" i="1" s="1"/>
  <c r="BK53" i="1"/>
  <c r="BK55" i="1" s="1"/>
  <c r="BK57" i="1" s="1"/>
  <c r="CE51" i="1"/>
  <c r="CD49" i="1"/>
  <c r="CD47" i="1" s="1"/>
  <c r="J74" i="1"/>
  <c r="M62" i="1"/>
  <c r="AH74" i="1"/>
  <c r="AT74" i="1"/>
  <c r="AW62" i="1"/>
  <c r="BY42" i="1"/>
  <c r="I53" i="1"/>
  <c r="I55" i="1" s="1"/>
  <c r="V53" i="1"/>
  <c r="V55" i="1" s="1"/>
  <c r="AE52" i="1"/>
  <c r="AA53" i="1"/>
  <c r="AA55" i="1" s="1"/>
  <c r="AM56" i="1"/>
  <c r="AK52" i="1"/>
  <c r="AK53" i="1" s="1"/>
  <c r="AG53" i="1"/>
  <c r="AG55" i="1" s="1"/>
  <c r="AM53" i="1"/>
  <c r="AM55" i="1" s="1"/>
  <c r="AW52" i="1"/>
  <c r="AW53" i="1" s="1"/>
  <c r="AW54" i="1"/>
  <c r="AZ53" i="1"/>
  <c r="AZ55" i="1" s="1"/>
  <c r="AY54" i="1"/>
  <c r="BG53" i="1"/>
  <c r="BG55" i="1" s="1"/>
  <c r="BG57" i="1" s="1"/>
  <c r="BN53" i="1"/>
  <c r="BN55" i="1" s="1"/>
  <c r="BN57" i="1" s="1"/>
  <c r="AE47" i="1"/>
  <c r="AK43" i="1"/>
  <c r="AQ43" i="1"/>
  <c r="AK50" i="1"/>
  <c r="AQ44" i="1"/>
  <c r="BX60" i="1"/>
  <c r="BX59" i="1" s="1"/>
  <c r="I74" i="1"/>
  <c r="O74" i="1"/>
  <c r="S62" i="1"/>
  <c r="U74" i="1"/>
  <c r="Y62" i="1"/>
  <c r="AE62" i="1"/>
  <c r="AK62" i="1"/>
  <c r="AQ62" i="1"/>
  <c r="AS74" i="1"/>
  <c r="BC62" i="1"/>
  <c r="BY63" i="1"/>
  <c r="Y68" i="1"/>
  <c r="R73" i="1"/>
  <c r="L70" i="1"/>
  <c r="L72" i="1" s="1"/>
  <c r="U73" i="1"/>
  <c r="O70" i="1"/>
  <c r="O72" i="1" s="1"/>
  <c r="S69" i="1"/>
  <c r="AB73" i="1"/>
  <c r="V70" i="1"/>
  <c r="V72" i="1" s="1"/>
  <c r="BB72" i="1"/>
  <c r="CL68" i="1"/>
  <c r="CL66" i="1" s="1"/>
  <c r="CL64" i="1" s="1"/>
  <c r="CK66" i="1"/>
  <c r="CK64" i="1" s="1"/>
  <c r="Y52" i="1"/>
  <c r="AC53" i="1"/>
  <c r="AC55" i="1" s="1"/>
  <c r="AI53" i="1"/>
  <c r="AI55" i="1" s="1"/>
  <c r="AS53" i="1"/>
  <c r="AS55" i="1" s="1"/>
  <c r="BC52" i="1"/>
  <c r="AQ50" i="1"/>
  <c r="AK47" i="1"/>
  <c r="AQ47" i="1"/>
  <c r="AV56" i="1"/>
  <c r="AW56" i="1" s="1"/>
  <c r="BS69" i="1"/>
  <c r="BS70" i="1" s="1"/>
  <c r="BS72" i="1" s="1"/>
  <c r="BY59" i="1"/>
  <c r="K74" i="1"/>
  <c r="W74" i="1"/>
  <c r="AC74" i="1"/>
  <c r="AI74" i="1"/>
  <c r="AO74" i="1"/>
  <c r="AU74" i="1"/>
  <c r="BA74" i="1"/>
  <c r="BW71" i="1"/>
  <c r="BK71" i="1"/>
  <c r="BO65" i="1"/>
  <c r="AW66" i="1"/>
  <c r="BU62" i="1"/>
  <c r="BU61" i="1"/>
  <c r="BO60" i="1"/>
  <c r="BO62" i="1" s="1"/>
  <c r="AU73" i="1"/>
  <c r="AO70" i="1"/>
  <c r="AO72" i="1" s="1"/>
  <c r="AD53" i="1"/>
  <c r="AD55" i="1" s="1"/>
  <c r="AJ53" i="1"/>
  <c r="AJ55" i="1" s="1"/>
  <c r="AP53" i="1"/>
  <c r="AP55" i="1" s="1"/>
  <c r="AY53" i="1"/>
  <c r="AY55" i="1" s="1"/>
  <c r="BM53" i="1"/>
  <c r="BM55" i="1" s="1"/>
  <c r="BM57" i="1" s="1"/>
  <c r="BS52" i="1"/>
  <c r="BS53" i="1" s="1"/>
  <c r="BS55" i="1" s="1"/>
  <c r="BS57" i="1" s="1"/>
  <c r="AQ48" i="1"/>
  <c r="L74" i="1"/>
  <c r="AD74" i="1"/>
  <c r="BX63" i="1"/>
  <c r="CD63" i="1" s="1"/>
  <c r="CJ63" i="1" s="1"/>
  <c r="BT71" i="1"/>
  <c r="BT64" i="1"/>
  <c r="BT63" i="1" s="1"/>
  <c r="BZ63" i="1" s="1"/>
  <c r="S68" i="1"/>
  <c r="AE66" i="1"/>
  <c r="AA68" i="1"/>
  <c r="AE68" i="1" s="1"/>
  <c r="AG68" i="1"/>
  <c r="AK68" i="1" s="1"/>
  <c r="AK66" i="1"/>
  <c r="AM68" i="1"/>
  <c r="AQ68" i="1" s="1"/>
  <c r="AQ66" i="1"/>
  <c r="AW68" i="1"/>
  <c r="BC66" i="1"/>
  <c r="AY68" i="1"/>
  <c r="BC68" i="1" s="1"/>
  <c r="BQ71" i="1"/>
  <c r="BU65" i="1"/>
  <c r="BU68" i="1"/>
  <c r="BU67" i="1"/>
  <c r="BO64" i="1"/>
  <c r="BO66" i="1" s="1"/>
  <c r="BO68" i="1" s="1"/>
  <c r="BA73" i="1"/>
  <c r="AU70" i="1"/>
  <c r="AU72" i="1" s="1"/>
  <c r="BA70" i="1"/>
  <c r="BA72" i="1" s="1"/>
  <c r="CF68" i="1"/>
  <c r="CF66" i="1" s="1"/>
  <c r="CF64" i="1" s="1"/>
  <c r="CE66" i="1"/>
  <c r="CE64" i="1" s="1"/>
  <c r="AK65" i="1"/>
  <c r="AK67" i="1"/>
  <c r="AE64" i="1"/>
  <c r="AK64" i="1"/>
  <c r="BF86" i="1"/>
  <c r="BI86" i="1" s="1"/>
  <c r="BL78" i="1"/>
  <c r="BW69" i="1"/>
  <c r="CC59" i="1"/>
  <c r="S60" i="1"/>
  <c r="AE67" i="1"/>
  <c r="AE65" i="1"/>
  <c r="BC60" i="1"/>
  <c r="BC64" i="1"/>
  <c r="Q70" i="1"/>
  <c r="Q72" i="1" s="1"/>
  <c r="Y69" i="1"/>
  <c r="Y70" i="1" s="1"/>
  <c r="Y72" i="1" s="1"/>
  <c r="X70" i="1"/>
  <c r="X72" i="1" s="1"/>
  <c r="AC70" i="1"/>
  <c r="AC72" i="1" s="1"/>
  <c r="AT73" i="1"/>
  <c r="AT70" i="1"/>
  <c r="AT72" i="1" s="1"/>
  <c r="BH70" i="1"/>
  <c r="BH72" i="1" s="1"/>
  <c r="BH74" i="1" s="1"/>
  <c r="BO69" i="1"/>
  <c r="BK70" i="1"/>
  <c r="BK72" i="1" s="1"/>
  <c r="BK74" i="1" s="1"/>
  <c r="BL73" i="1"/>
  <c r="M73" i="1"/>
  <c r="S64" i="1"/>
  <c r="S66" i="1" s="1"/>
  <c r="BI65" i="1"/>
  <c r="BI66" i="1" s="1"/>
  <c r="BI68" i="1" s="1"/>
  <c r="S73" i="1"/>
  <c r="M69" i="1"/>
  <c r="M70" i="1" s="1"/>
  <c r="M72" i="1" s="1"/>
  <c r="AE69" i="1"/>
  <c r="AG73" i="1"/>
  <c r="AA70" i="1"/>
  <c r="AA72" i="1" s="1"/>
  <c r="AV72" i="1"/>
  <c r="BI69" i="1"/>
  <c r="BO73" i="1" s="1"/>
  <c r="BS73" i="1"/>
  <c r="BM70" i="1"/>
  <c r="BM72" i="1" s="1"/>
  <c r="BM74" i="1" s="1"/>
  <c r="BT69" i="1"/>
  <c r="BT70" i="1" s="1"/>
  <c r="BT72" i="1" s="1"/>
  <c r="BT74" i="1" s="1"/>
  <c r="BZ59" i="1"/>
  <c r="BR71" i="1"/>
  <c r="Y64" i="1"/>
  <c r="Y66" i="1" s="1"/>
  <c r="AW64" i="1"/>
  <c r="I70" i="1"/>
  <c r="I72" i="1" s="1"/>
  <c r="P70" i="1"/>
  <c r="P72" i="1" s="1"/>
  <c r="W70" i="1"/>
  <c r="W72" i="1" s="1"/>
  <c r="AB70" i="1"/>
  <c r="AB72" i="1" s="1"/>
  <c r="AH70" i="1"/>
  <c r="AH72" i="1" s="1"/>
  <c r="AN70" i="1"/>
  <c r="AN72" i="1" s="1"/>
  <c r="BC69" i="1"/>
  <c r="BE70" i="1"/>
  <c r="BE72" i="1" s="1"/>
  <c r="BE74" i="1" s="1"/>
  <c r="BQ70" i="1"/>
  <c r="BQ72" i="1" s="1"/>
  <c r="BQ74" i="1" s="1"/>
  <c r="AD70" i="1"/>
  <c r="AD72" i="1" s="1"/>
  <c r="AJ70" i="1"/>
  <c r="AJ72" i="1" s="1"/>
  <c r="AP70" i="1"/>
  <c r="AP72" i="1" s="1"/>
  <c r="AE60" i="1"/>
  <c r="BM83" i="1"/>
  <c r="AM73" i="1"/>
  <c r="AQ73" i="1" s="1"/>
  <c r="AK69" i="1"/>
  <c r="AQ71" i="1" s="1"/>
  <c r="AG70" i="1"/>
  <c r="AG72" i="1" s="1"/>
  <c r="AM70" i="1"/>
  <c r="AM72" i="1" s="1"/>
  <c r="AW69" i="1"/>
  <c r="BN70" i="1"/>
  <c r="BN72" i="1" s="1"/>
  <c r="BN74" i="1" s="1"/>
  <c r="AQ69" i="1"/>
  <c r="BK77" i="1"/>
  <c r="BQ78" i="1"/>
  <c r="BK86" i="1"/>
  <c r="BQ88" i="1" s="1"/>
  <c r="BO76" i="1"/>
  <c r="BN83" i="1"/>
  <c r="BK81" i="1"/>
  <c r="BQ84" i="1"/>
  <c r="BQ16" i="3" s="1"/>
  <c r="BQ67" i="3" s="1"/>
  <c r="BO80" i="1"/>
  <c r="BL77" i="1"/>
  <c r="BK78" i="1"/>
  <c r="BL81" i="1"/>
  <c r="BI76" i="1"/>
  <c r="BQ81" i="1"/>
  <c r="BW84" i="1"/>
  <c r="BN90" i="1"/>
  <c r="BN22" i="3" s="1"/>
  <c r="BN86" i="1"/>
  <c r="BQ77" i="1"/>
  <c r="BW78" i="1"/>
  <c r="BQ86" i="1"/>
  <c r="U5" i="3"/>
  <c r="S5" i="3"/>
  <c r="Q6" i="3"/>
  <c r="R6" i="3" s="1"/>
  <c r="U6" i="3" s="1"/>
  <c r="V6" i="3"/>
  <c r="M5" i="3"/>
  <c r="BK60" i="3"/>
  <c r="BO59" i="3"/>
  <c r="BK69" i="3"/>
  <c r="BO8" i="3"/>
  <c r="BK64" i="3"/>
  <c r="BO63" i="3"/>
  <c r="BO12" i="3"/>
  <c r="BO16" i="3"/>
  <c r="BL69" i="3"/>
  <c r="BL60" i="3"/>
  <c r="BQ64" i="3"/>
  <c r="BR67" i="3"/>
  <c r="BN93" i="3"/>
  <c r="BN92" i="3"/>
  <c r="BN91" i="3"/>
  <c r="BM69" i="3"/>
  <c r="BM60" i="3"/>
  <c r="BQ69" i="3"/>
  <c r="BQ60" i="3"/>
  <c r="BS67" i="3"/>
  <c r="BE69" i="3"/>
  <c r="BI59" i="3"/>
  <c r="BI8" i="3"/>
  <c r="BN69" i="3"/>
  <c r="BN60" i="3"/>
  <c r="BT61" i="3"/>
  <c r="BT67" i="3"/>
  <c r="BI63" i="3"/>
  <c r="BI12" i="3"/>
  <c r="BO79" i="3"/>
  <c r="BO80" i="3" s="1"/>
  <c r="BO87" i="3"/>
  <c r="BO88" i="3" s="1"/>
  <c r="BO84" i="3"/>
  <c r="AZ39" i="5"/>
  <c r="AS52" i="5"/>
  <c r="BG49" i="5"/>
  <c r="BG37" i="5"/>
  <c r="BG17" i="5"/>
  <c r="AO49" i="5"/>
  <c r="AO37" i="5"/>
  <c r="AO17" i="5"/>
  <c r="AO39" i="5"/>
  <c r="AZ37" i="5"/>
  <c r="AZ17" i="5"/>
  <c r="BF114" i="5" s="1"/>
  <c r="BF42" i="5"/>
  <c r="BF43" i="5"/>
  <c r="BF18" i="5"/>
  <c r="BF23" i="5"/>
  <c r="AV39" i="5"/>
  <c r="BL39" i="5"/>
  <c r="BH49" i="5"/>
  <c r="BH37" i="5"/>
  <c r="BH17" i="5"/>
  <c r="AN49" i="5"/>
  <c r="AN37" i="5"/>
  <c r="AN17" i="5"/>
  <c r="AP39" i="5"/>
  <c r="BI8" i="5"/>
  <c r="BM49" i="5"/>
  <c r="BM37" i="5"/>
  <c r="BM17" i="5"/>
  <c r="O42" i="5"/>
  <c r="O18" i="5"/>
  <c r="O23" i="5"/>
  <c r="AA42" i="5"/>
  <c r="AA18" i="5"/>
  <c r="AA23" i="5"/>
  <c r="AK61" i="5"/>
  <c r="AM49" i="5"/>
  <c r="AM37" i="5"/>
  <c r="AQ11" i="5"/>
  <c r="AM17" i="5"/>
  <c r="BN39" i="5"/>
  <c r="AJ49" i="5"/>
  <c r="AJ37" i="5"/>
  <c r="AJ17" i="5"/>
  <c r="BB37" i="5"/>
  <c r="BB17" i="5"/>
  <c r="P42" i="5"/>
  <c r="P23" i="5"/>
  <c r="P18" i="5"/>
  <c r="AU39" i="5"/>
  <c r="S5" i="5"/>
  <c r="U5" i="5"/>
  <c r="AB42" i="5"/>
  <c r="AB23" i="5"/>
  <c r="AB18" i="5"/>
  <c r="M5" i="5"/>
  <c r="U75" i="5"/>
  <c r="X75" i="5"/>
  <c r="V75" i="5"/>
  <c r="W75" i="5"/>
  <c r="Y48" i="5"/>
  <c r="AP50" i="5"/>
  <c r="AV50" i="5"/>
  <c r="AP38" i="5"/>
  <c r="AQ14" i="5"/>
  <c r="L49" i="5"/>
  <c r="L37" i="5"/>
  <c r="R49" i="5"/>
  <c r="R37" i="5"/>
  <c r="X49" i="5"/>
  <c r="X37" i="5"/>
  <c r="AD49" i="5"/>
  <c r="AD37" i="5"/>
  <c r="AQ9" i="5"/>
  <c r="BN49" i="5"/>
  <c r="BN37" i="5"/>
  <c r="BN17" i="5"/>
  <c r="K39" i="5"/>
  <c r="Q39" i="5"/>
  <c r="W39" i="5"/>
  <c r="AC39" i="5"/>
  <c r="AI39" i="5"/>
  <c r="BF39" i="5"/>
  <c r="AW14" i="5"/>
  <c r="E17" i="5"/>
  <c r="L17" i="5"/>
  <c r="M19" i="5"/>
  <c r="M64" i="5"/>
  <c r="X17" i="5"/>
  <c r="Y19" i="5"/>
  <c r="Y64" i="5"/>
  <c r="AA52" i="5"/>
  <c r="AK19" i="5"/>
  <c r="AM52" i="5"/>
  <c r="AV52" i="5"/>
  <c r="BC20" i="5"/>
  <c r="BA19" i="5"/>
  <c r="BI19" i="5"/>
  <c r="BL19" i="5"/>
  <c r="BO63" i="5"/>
  <c r="BM51" i="5"/>
  <c r="BM41" i="5"/>
  <c r="BO15" i="5"/>
  <c r="BM16" i="5"/>
  <c r="CE25" i="5"/>
  <c r="AM29" i="5"/>
  <c r="AQ27" i="5"/>
  <c r="G13" i="5"/>
  <c r="S38" i="5"/>
  <c r="AE40" i="5"/>
  <c r="AQ10" i="5"/>
  <c r="AA75" i="5"/>
  <c r="AD75" i="5"/>
  <c r="AC75" i="5"/>
  <c r="AB75" i="5"/>
  <c r="AE48" i="5"/>
  <c r="AP49" i="5"/>
  <c r="AP37" i="5"/>
  <c r="AN39" i="5"/>
  <c r="BI9" i="5"/>
  <c r="M61" i="5"/>
  <c r="O49" i="5"/>
  <c r="O37" i="5"/>
  <c r="S61" i="5"/>
  <c r="U49" i="5"/>
  <c r="U37" i="5"/>
  <c r="Y11" i="5"/>
  <c r="Y61" i="5"/>
  <c r="AA49" i="5"/>
  <c r="AA37" i="5"/>
  <c r="AE11" i="5"/>
  <c r="AE61" i="5"/>
  <c r="AG49" i="5"/>
  <c r="AK11" i="5"/>
  <c r="AG37" i="5"/>
  <c r="BC61" i="5"/>
  <c r="BE49" i="5"/>
  <c r="BI11" i="5"/>
  <c r="BE77" i="5" s="1"/>
  <c r="BE37" i="5"/>
  <c r="BI61" i="5"/>
  <c r="BK49" i="5"/>
  <c r="BK37" i="5"/>
  <c r="BO11" i="5"/>
  <c r="BM77" i="5" s="1"/>
  <c r="G61" i="5"/>
  <c r="I49" i="5"/>
  <c r="I37" i="5"/>
  <c r="M11" i="5"/>
  <c r="AK62" i="5"/>
  <c r="AJ50" i="5"/>
  <c r="AJ38" i="5"/>
  <c r="AK12" i="5"/>
  <c r="L39" i="5"/>
  <c r="R39" i="5"/>
  <c r="X39" i="5"/>
  <c r="AD39" i="5"/>
  <c r="AJ13" i="5"/>
  <c r="BG39" i="5"/>
  <c r="BB50" i="5"/>
  <c r="BH50" i="5"/>
  <c r="BB38" i="5"/>
  <c r="BO61" i="5"/>
  <c r="BQ49" i="5"/>
  <c r="BQ37" i="5"/>
  <c r="AE63" i="5"/>
  <c r="AD51" i="5"/>
  <c r="AD41" i="5"/>
  <c r="AE15" i="5"/>
  <c r="AZ51" i="5"/>
  <c r="AW63" i="5"/>
  <c r="AT51" i="5"/>
  <c r="AW15" i="5"/>
  <c r="AT41" i="5"/>
  <c r="BA37" i="5"/>
  <c r="BA17" i="5"/>
  <c r="BG51" i="5"/>
  <c r="BC63" i="5"/>
  <c r="BA51" i="5"/>
  <c r="BA41" i="5"/>
  <c r="BC15" i="5"/>
  <c r="F17" i="5"/>
  <c r="L52" i="5"/>
  <c r="AJ16" i="5"/>
  <c r="AP17" i="5"/>
  <c r="BC24" i="5"/>
  <c r="AK68" i="5"/>
  <c r="AK24" i="5"/>
  <c r="AI29" i="5"/>
  <c r="AK27" i="5"/>
  <c r="S40" i="5"/>
  <c r="AG75" i="5"/>
  <c r="AJ75" i="5"/>
  <c r="AI75" i="5"/>
  <c r="AH75" i="5"/>
  <c r="AK48" i="5"/>
  <c r="AK10" i="5"/>
  <c r="AN50" i="5"/>
  <c r="AN38" i="5"/>
  <c r="AQ12" i="5"/>
  <c r="J77" i="5"/>
  <c r="J49" i="5"/>
  <c r="J37" i="5"/>
  <c r="P49" i="5"/>
  <c r="P37" i="5"/>
  <c r="V77" i="5"/>
  <c r="V49" i="5"/>
  <c r="V37" i="5"/>
  <c r="AB49" i="5"/>
  <c r="AB37" i="5"/>
  <c r="AH77" i="5"/>
  <c r="AH49" i="5"/>
  <c r="AH37" i="5"/>
  <c r="BF77" i="5"/>
  <c r="BF49" i="5"/>
  <c r="BF37" i="5"/>
  <c r="BL77" i="5"/>
  <c r="BL49" i="5"/>
  <c r="BL37" i="5"/>
  <c r="G62" i="5"/>
  <c r="O50" i="5"/>
  <c r="I50" i="5"/>
  <c r="I38" i="5"/>
  <c r="M12" i="5"/>
  <c r="I13" i="5"/>
  <c r="S13" i="5"/>
  <c r="O39" i="5"/>
  <c r="U39" i="5"/>
  <c r="Y13" i="5"/>
  <c r="AA39" i="5"/>
  <c r="AE13" i="5"/>
  <c r="AG39" i="5"/>
  <c r="AK13" i="5"/>
  <c r="AM39" i="5"/>
  <c r="AQ13" i="5"/>
  <c r="BH39" i="5"/>
  <c r="AQ62" i="5"/>
  <c r="AS50" i="5"/>
  <c r="AY50" i="5"/>
  <c r="AW12" i="5"/>
  <c r="AS38" i="5"/>
  <c r="BB13" i="5"/>
  <c r="BQ50" i="5"/>
  <c r="BO62" i="5"/>
  <c r="BQ38" i="5"/>
  <c r="BQ16" i="5"/>
  <c r="AK63" i="5"/>
  <c r="AP51" i="5"/>
  <c r="AJ51" i="5"/>
  <c r="AK15" i="5"/>
  <c r="AJ41" i="5"/>
  <c r="AW62" i="5"/>
  <c r="AT50" i="5"/>
  <c r="AZ50" i="5"/>
  <c r="AT38" i="5"/>
  <c r="BC62" i="5"/>
  <c r="BA50" i="5"/>
  <c r="BG50" i="5"/>
  <c r="BA38" i="5"/>
  <c r="BC12" i="5"/>
  <c r="C17" i="5"/>
  <c r="I16" i="5"/>
  <c r="I17" i="5"/>
  <c r="O114" i="5" s="1"/>
  <c r="R114" i="5"/>
  <c r="R53" i="5"/>
  <c r="R42" i="5"/>
  <c r="R43" i="5"/>
  <c r="S64" i="5"/>
  <c r="U52" i="5"/>
  <c r="U17" i="5"/>
  <c r="AD17" i="5"/>
  <c r="AG52" i="5"/>
  <c r="AG17" i="5"/>
  <c r="AP52" i="5"/>
  <c r="AT16" i="5"/>
  <c r="BA16" i="5"/>
  <c r="BK17" i="5"/>
  <c r="BE17" i="5"/>
  <c r="BN52" i="5"/>
  <c r="BQ17" i="5"/>
  <c r="BM39" i="5"/>
  <c r="R23" i="5"/>
  <c r="P81" i="5"/>
  <c r="R81" i="5"/>
  <c r="Q81" i="5"/>
  <c r="O81" i="5"/>
  <c r="S51" i="5"/>
  <c r="S41" i="5"/>
  <c r="AK40" i="5"/>
  <c r="P6" i="5"/>
  <c r="O75" i="5"/>
  <c r="P75" i="5"/>
  <c r="AH76" i="5" s="1"/>
  <c r="Q75" i="5"/>
  <c r="R75" i="5"/>
  <c r="AJ76" i="5" s="1"/>
  <c r="S48" i="5"/>
  <c r="BM8" i="5"/>
  <c r="BO8" i="5" s="1"/>
  <c r="AU50" i="5"/>
  <c r="AO50" i="5"/>
  <c r="AO38" i="5"/>
  <c r="AO16" i="5"/>
  <c r="K49" i="5"/>
  <c r="K37" i="5"/>
  <c r="K17" i="5"/>
  <c r="Q49" i="5"/>
  <c r="Q37" i="5"/>
  <c r="Q17" i="5"/>
  <c r="W77" i="5"/>
  <c r="W49" i="5"/>
  <c r="W37" i="5"/>
  <c r="W17" i="5"/>
  <c r="AC49" i="5"/>
  <c r="AC37" i="5"/>
  <c r="AC17" i="5"/>
  <c r="AI49" i="5"/>
  <c r="AI37" i="5"/>
  <c r="AI17" i="5"/>
  <c r="AY37" i="5"/>
  <c r="BC11" i="5"/>
  <c r="AY17" i="5"/>
  <c r="J39" i="5"/>
  <c r="P39" i="5"/>
  <c r="V39" i="5"/>
  <c r="AB79" i="5"/>
  <c r="AB39" i="5"/>
  <c r="AH39" i="5"/>
  <c r="AY13" i="5"/>
  <c r="BE39" i="5"/>
  <c r="BI13" i="5"/>
  <c r="BE79" i="5" s="1"/>
  <c r="BI14" i="5"/>
  <c r="BK13" i="5"/>
  <c r="AW9" i="5"/>
  <c r="AS13" i="5"/>
  <c r="BQ13" i="5"/>
  <c r="AT13" i="5"/>
  <c r="BA13" i="5"/>
  <c r="D17" i="5"/>
  <c r="J52" i="5"/>
  <c r="J17" i="5"/>
  <c r="R52" i="5"/>
  <c r="V52" i="5"/>
  <c r="V17" i="5"/>
  <c r="AD16" i="5"/>
  <c r="AH52" i="5"/>
  <c r="AH17" i="5"/>
  <c r="AW19" i="5"/>
  <c r="AY52" i="5"/>
  <c r="AW64" i="5"/>
  <c r="BB16" i="5"/>
  <c r="BG52" i="5"/>
  <c r="BL17" i="5"/>
  <c r="BM19" i="5"/>
  <c r="G17" i="5"/>
  <c r="S11" i="5"/>
  <c r="K52" i="5"/>
  <c r="Q52" i="5"/>
  <c r="W52" i="5"/>
  <c r="AC52" i="5"/>
  <c r="AI52" i="5"/>
  <c r="AU52" i="5"/>
  <c r="BF52" i="5"/>
  <c r="BK52" i="5"/>
  <c r="BI64" i="5"/>
  <c r="BE52" i="5"/>
  <c r="BC68" i="5"/>
  <c r="G16" i="5"/>
  <c r="U81" i="5"/>
  <c r="X81" i="5"/>
  <c r="V81" i="5"/>
  <c r="W81" i="5"/>
  <c r="Y51" i="5"/>
  <c r="Y27" i="5"/>
  <c r="AE50" i="5"/>
  <c r="AE24" i="5"/>
  <c r="AN75" i="5"/>
  <c r="AP75" i="5"/>
  <c r="AO75" i="5"/>
  <c r="AM75" i="5"/>
  <c r="AQ48" i="5"/>
  <c r="AN81" i="5"/>
  <c r="AO81" i="5"/>
  <c r="AM81" i="5"/>
  <c r="AP81" i="5"/>
  <c r="AQ41" i="5"/>
  <c r="AZ75" i="5"/>
  <c r="BB75" i="5"/>
  <c r="BA75" i="5"/>
  <c r="AY75" i="5"/>
  <c r="BC48" i="5"/>
  <c r="BK75" i="5"/>
  <c r="BL75" i="5"/>
  <c r="BN75" i="5"/>
  <c r="BM75" i="5"/>
  <c r="BO48" i="5"/>
  <c r="AQ57" i="5"/>
  <c r="AW57" i="5"/>
  <c r="Y16" i="5"/>
  <c r="BO50" i="5"/>
  <c r="BO38" i="5"/>
  <c r="BO16" i="5"/>
  <c r="J81" i="5"/>
  <c r="L81" i="5"/>
  <c r="K81" i="5"/>
  <c r="I81" i="5"/>
  <c r="M51" i="5"/>
  <c r="S50" i="5"/>
  <c r="S16" i="5"/>
  <c r="AT75" i="5"/>
  <c r="AV75" i="5"/>
  <c r="AU75" i="5"/>
  <c r="AS75" i="5"/>
  <c r="AW48" i="5"/>
  <c r="BF75" i="5"/>
  <c r="BH75" i="5"/>
  <c r="BG75" i="5"/>
  <c r="BE75" i="5"/>
  <c r="BI48" i="5"/>
  <c r="BE81" i="5"/>
  <c r="BF81" i="5"/>
  <c r="BH81" i="5"/>
  <c r="BG81" i="5"/>
  <c r="BI51" i="5"/>
  <c r="BI41" i="5"/>
  <c r="M41" i="5"/>
  <c r="Y38" i="5"/>
  <c r="Y40" i="5"/>
  <c r="BI50" i="5"/>
  <c r="BI38" i="5"/>
  <c r="BI16" i="5"/>
  <c r="Y41" i="5"/>
  <c r="AE38" i="5"/>
  <c r="BO57" i="5"/>
  <c r="AB76" i="5"/>
  <c r="AC76" i="5"/>
  <c r="AD76" i="5"/>
  <c r="AA76" i="5"/>
  <c r="V76" i="5"/>
  <c r="U76" i="5"/>
  <c r="BO97" i="5"/>
  <c r="BZ56" i="2" l="1"/>
  <c r="BY29" i="4"/>
  <c r="CC54" i="2"/>
  <c r="BU18" i="2"/>
  <c r="BZ22" i="2"/>
  <c r="CC54" i="1"/>
  <c r="BU12" i="1"/>
  <c r="CA14" i="1" s="1"/>
  <c r="BX20" i="1"/>
  <c r="CA46" i="2"/>
  <c r="CG50" i="2" s="1"/>
  <c r="BX22" i="4"/>
  <c r="L53" i="7"/>
  <c r="BI45" i="7"/>
  <c r="AU48" i="7"/>
  <c r="Y47" i="7"/>
  <c r="L45" i="7"/>
  <c r="G36" i="7"/>
  <c r="BG102" i="6"/>
  <c r="BG103" i="6" s="1"/>
  <c r="G31" i="7"/>
  <c r="BH74" i="7"/>
  <c r="BH75" i="7" s="1"/>
  <c r="R52" i="7"/>
  <c r="E48" i="7"/>
  <c r="BH26" i="7"/>
  <c r="AV26" i="7"/>
  <c r="BC37" i="7"/>
  <c r="S32" i="7"/>
  <c r="C59" i="7"/>
  <c r="AW19" i="7"/>
  <c r="G25" i="7"/>
  <c r="AC107" i="6"/>
  <c r="M26" i="7"/>
  <c r="M19" i="7"/>
  <c r="BQ63" i="7"/>
  <c r="BN12" i="7"/>
  <c r="Y17" i="7"/>
  <c r="BL107" i="6"/>
  <c r="S9" i="7"/>
  <c r="AP47" i="7"/>
  <c r="AV31" i="7"/>
  <c r="M30" i="7"/>
  <c r="L102" i="6"/>
  <c r="L111" i="6" s="1"/>
  <c r="AP26" i="7"/>
  <c r="AP17" i="7"/>
  <c r="AJ9" i="7"/>
  <c r="AW42" i="7"/>
  <c r="AD47" i="7"/>
  <c r="AD37" i="7"/>
  <c r="I63" i="7"/>
  <c r="AD26" i="7"/>
  <c r="Y55" i="7"/>
  <c r="AJ43" i="7"/>
  <c r="BN32" i="7"/>
  <c r="AP102" i="6"/>
  <c r="AE27" i="7"/>
  <c r="BG107" i="6"/>
  <c r="AP12" i="7"/>
  <c r="AD12" i="7"/>
  <c r="AW51" i="7"/>
  <c r="G52" i="7"/>
  <c r="AJ45" i="7"/>
  <c r="BH12" i="7"/>
  <c r="AN107" i="6"/>
  <c r="BH43" i="7"/>
  <c r="BN55" i="7"/>
  <c r="BB42" i="7"/>
  <c r="Y45" i="7"/>
  <c r="S47" i="7"/>
  <c r="R42" i="7"/>
  <c r="S31" i="7"/>
  <c r="BB17" i="7"/>
  <c r="L41" i="7"/>
  <c r="AV25" i="7"/>
  <c r="M43" i="7"/>
  <c r="AY63" i="7"/>
  <c r="C63" i="7"/>
  <c r="AZ107" i="6"/>
  <c r="AZ112" i="6" s="1"/>
  <c r="M11" i="7"/>
  <c r="BH25" i="7"/>
  <c r="V107" i="6"/>
  <c r="V108" i="6" s="1"/>
  <c r="G26" i="7"/>
  <c r="G17" i="7"/>
  <c r="BM12" i="7"/>
  <c r="AP51" i="7"/>
  <c r="AD42" i="7"/>
  <c r="M35" i="7"/>
  <c r="AQ27" i="7"/>
  <c r="F53" i="7"/>
  <c r="AP43" i="7"/>
  <c r="AP31" i="7"/>
  <c r="AD30" i="7"/>
  <c r="AC102" i="6"/>
  <c r="BB32" i="7"/>
  <c r="AJ30" i="7"/>
  <c r="AI102" i="6"/>
  <c r="X32" i="7"/>
  <c r="X19" i="7"/>
  <c r="U107" i="6"/>
  <c r="U108" i="6" s="1"/>
  <c r="P107" i="6"/>
  <c r="P108" i="6" s="1"/>
  <c r="X46" i="7"/>
  <c r="AV55" i="7"/>
  <c r="BG48" i="7"/>
  <c r="BC42" i="7"/>
  <c r="BB55" i="7"/>
  <c r="BO47" i="7"/>
  <c r="Y43" i="7"/>
  <c r="S45" i="7"/>
  <c r="M47" i="7"/>
  <c r="BO37" i="7"/>
  <c r="M36" i="7"/>
  <c r="BB102" i="6"/>
  <c r="BB111" i="6" s="1"/>
  <c r="L31" i="7"/>
  <c r="AS63" i="7"/>
  <c r="BA102" i="6"/>
  <c r="AM63" i="7"/>
  <c r="BL27" i="7"/>
  <c r="BI19" i="7"/>
  <c r="G45" i="7"/>
  <c r="AG63" i="7"/>
  <c r="F47" i="7"/>
  <c r="G43" i="7"/>
  <c r="R36" i="7"/>
  <c r="BE63" i="7"/>
  <c r="BI25" i="7"/>
  <c r="AW17" i="7"/>
  <c r="M44" i="7"/>
  <c r="S25" i="7"/>
  <c r="AV9" i="7"/>
  <c r="S19" i="7"/>
  <c r="G19" i="7"/>
  <c r="BA12" i="7"/>
  <c r="BH8" i="7"/>
  <c r="AD9" i="7"/>
  <c r="S17" i="7"/>
  <c r="BO12" i="7"/>
  <c r="BA9" i="5"/>
  <c r="BA8" i="5" s="1"/>
  <c r="BB31" i="7"/>
  <c r="AJ32" i="7"/>
  <c r="E102" i="6"/>
  <c r="E111" i="6" s="1"/>
  <c r="AJ25" i="7"/>
  <c r="AD52" i="7"/>
  <c r="F51" i="7"/>
  <c r="AJ31" i="7"/>
  <c r="K102" i="6"/>
  <c r="AP25" i="7"/>
  <c r="AK27" i="7"/>
  <c r="AD17" i="7"/>
  <c r="AJ52" i="7"/>
  <c r="Y53" i="7"/>
  <c r="AP42" i="7"/>
  <c r="AP37" i="7"/>
  <c r="BM102" i="6"/>
  <c r="W102" i="6"/>
  <c r="W111" i="6" s="1"/>
  <c r="AD25" i="7"/>
  <c r="AM107" i="6"/>
  <c r="AT107" i="6"/>
  <c r="AH107" i="6"/>
  <c r="AH108" i="6" s="1"/>
  <c r="AP52" i="7"/>
  <c r="AJ42" i="7"/>
  <c r="X37" i="7"/>
  <c r="X38" i="7" s="1"/>
  <c r="BF107" i="6"/>
  <c r="AW45" i="7"/>
  <c r="BN42" i="7"/>
  <c r="Y42" i="7"/>
  <c r="AW47" i="7"/>
  <c r="BN36" i="7"/>
  <c r="AV32" i="7"/>
  <c r="U63" i="7"/>
  <c r="M32" i="7"/>
  <c r="O63" i="7"/>
  <c r="BO25" i="7"/>
  <c r="BG74" i="7"/>
  <c r="BG75" i="7" s="1"/>
  <c r="AC48" i="7"/>
  <c r="L46" i="7"/>
  <c r="M42" i="7"/>
  <c r="G41" i="7"/>
  <c r="BC45" i="7"/>
  <c r="G42" i="7"/>
  <c r="X102" i="6"/>
  <c r="X111" i="6" s="1"/>
  <c r="AA63" i="7"/>
  <c r="BN102" i="6"/>
  <c r="BN111" i="6" s="1"/>
  <c r="G11" i="7"/>
  <c r="X12" i="7"/>
  <c r="AP9" i="7"/>
  <c r="W12" i="7"/>
  <c r="M17" i="7"/>
  <c r="AO107" i="6"/>
  <c r="AJ55" i="7"/>
  <c r="R53" i="7"/>
  <c r="AD45" i="7"/>
  <c r="X31" i="7"/>
  <c r="BN19" i="7"/>
  <c r="O107" i="6"/>
  <c r="O108" i="6" s="1"/>
  <c r="AJ47" i="7"/>
  <c r="AV30" i="7"/>
  <c r="AU102" i="6"/>
  <c r="AD32" i="7"/>
  <c r="BH17" i="7"/>
  <c r="R35" i="7"/>
  <c r="AP32" i="7"/>
  <c r="AJ17" i="7"/>
  <c r="AA107" i="6"/>
  <c r="AA108" i="6" s="1"/>
  <c r="AB107" i="6"/>
  <c r="AB108" i="6" s="1"/>
  <c r="AW37" i="7"/>
  <c r="AA88" i="6"/>
  <c r="R87" i="6"/>
  <c r="AJ87" i="6"/>
  <c r="BA87" i="6"/>
  <c r="BK148" i="6"/>
  <c r="CL102" i="6"/>
  <c r="CL30" i="7" s="1"/>
  <c r="CM30" i="7" s="1"/>
  <c r="BI65" i="6"/>
  <c r="R84" i="6"/>
  <c r="AH59" i="6"/>
  <c r="W27" i="6"/>
  <c r="S36" i="6"/>
  <c r="S65" i="6"/>
  <c r="S58" i="6"/>
  <c r="Y73" i="6"/>
  <c r="AD87" i="6"/>
  <c r="J88" i="6"/>
  <c r="X84" i="6"/>
  <c r="M77" i="6"/>
  <c r="G36" i="6"/>
  <c r="W76" i="6"/>
  <c r="S82" i="6"/>
  <c r="S84" i="6" s="1"/>
  <c r="F42" i="6"/>
  <c r="S73" i="6"/>
  <c r="AW58" i="6"/>
  <c r="BC27" i="6"/>
  <c r="AV88" i="6"/>
  <c r="BK87" i="6"/>
  <c r="BM158" i="6"/>
  <c r="BH158" i="6"/>
  <c r="BC127" i="6"/>
  <c r="BC128" i="6" s="1"/>
  <c r="BF88" i="6"/>
  <c r="AY27" i="6"/>
  <c r="AQ58" i="6"/>
  <c r="G82" i="6"/>
  <c r="F77" i="6"/>
  <c r="AW73" i="6"/>
  <c r="BE84" i="6"/>
  <c r="BK88" i="6"/>
  <c r="AY158" i="6"/>
  <c r="BB88" i="6"/>
  <c r="R78" i="6"/>
  <c r="U88" i="6"/>
  <c r="BL84" i="6"/>
  <c r="BE88" i="6"/>
  <c r="BE59" i="6"/>
  <c r="AZ53" i="6"/>
  <c r="C76" i="6"/>
  <c r="M17" i="6"/>
  <c r="I59" i="6"/>
  <c r="AO59" i="6"/>
  <c r="Y82" i="6"/>
  <c r="BK84" i="6"/>
  <c r="AD76" i="6"/>
  <c r="BB158" i="6"/>
  <c r="AW144" i="6"/>
  <c r="O88" i="6"/>
  <c r="AY53" i="6"/>
  <c r="Y36" i="6"/>
  <c r="G65" i="6"/>
  <c r="AA53" i="6"/>
  <c r="AI76" i="6"/>
  <c r="BQ88" i="6"/>
  <c r="AA59" i="6"/>
  <c r="AY72" i="6"/>
  <c r="F84" i="6"/>
  <c r="Y65" i="6"/>
  <c r="Q59" i="6"/>
  <c r="C27" i="6"/>
  <c r="AV59" i="6"/>
  <c r="AA72" i="6"/>
  <c r="G27" i="6"/>
  <c r="AV84" i="6"/>
  <c r="P54" i="6"/>
  <c r="BO122" i="6"/>
  <c r="BO123" i="6" s="1"/>
  <c r="BY38" i="7"/>
  <c r="CE38" i="7"/>
  <c r="BL54" i="6"/>
  <c r="AW65" i="6"/>
  <c r="AS72" i="6"/>
  <c r="AJ88" i="6"/>
  <c r="G42" i="6"/>
  <c r="BI17" i="6"/>
  <c r="AT54" i="6"/>
  <c r="BX45" i="6"/>
  <c r="M83" i="6"/>
  <c r="M88" i="6" s="1"/>
  <c r="F59" i="6"/>
  <c r="BA72" i="6"/>
  <c r="BQ72" i="6"/>
  <c r="AO72" i="6"/>
  <c r="BT21" i="6"/>
  <c r="BQ53" i="6"/>
  <c r="BT48" i="6"/>
  <c r="D59" i="6"/>
  <c r="Q72" i="6"/>
  <c r="BT25" i="6"/>
  <c r="BU49" i="6"/>
  <c r="BW49" i="6"/>
  <c r="I72" i="6"/>
  <c r="BT39" i="6"/>
  <c r="AQ148" i="6"/>
  <c r="AQ151" i="6" s="1"/>
  <c r="AN54" i="6"/>
  <c r="AM54" i="6"/>
  <c r="AV76" i="6"/>
  <c r="BM72" i="6"/>
  <c r="G58" i="6"/>
  <c r="M42" i="6"/>
  <c r="AK42" i="6"/>
  <c r="AH72" i="6"/>
  <c r="K76" i="6"/>
  <c r="E59" i="6"/>
  <c r="R42" i="6"/>
  <c r="BT26" i="6"/>
  <c r="AD59" i="6"/>
  <c r="AJ77" i="6"/>
  <c r="CL38" i="7"/>
  <c r="BR115" i="6"/>
  <c r="BN76" i="6"/>
  <c r="U54" i="6"/>
  <c r="Y42" i="6"/>
  <c r="U72" i="6"/>
  <c r="BL72" i="6"/>
  <c r="P72" i="6"/>
  <c r="S42" i="6"/>
  <c r="E53" i="6"/>
  <c r="AG72" i="6"/>
  <c r="BT41" i="6"/>
  <c r="AN76" i="6"/>
  <c r="BT9" i="6"/>
  <c r="J72" i="6"/>
  <c r="BT40" i="6"/>
  <c r="AT72" i="6"/>
  <c r="AE65" i="6"/>
  <c r="Y17" i="6"/>
  <c r="Y76" i="6" s="1"/>
  <c r="C59" i="6"/>
  <c r="BU45" i="6"/>
  <c r="BK72" i="6"/>
  <c r="AE42" i="6"/>
  <c r="AE53" i="6" s="1"/>
  <c r="C54" i="6"/>
  <c r="AN72" i="6"/>
  <c r="AS76" i="6"/>
  <c r="AS27" i="6"/>
  <c r="BT50" i="6"/>
  <c r="O72" i="6"/>
  <c r="P76" i="6"/>
  <c r="AM72" i="6"/>
  <c r="BZ39" i="4"/>
  <c r="BO53" i="4"/>
  <c r="CA42" i="4"/>
  <c r="BS38" i="4"/>
  <c r="BS40" i="4" s="1"/>
  <c r="BO36" i="4"/>
  <c r="CC65" i="4"/>
  <c r="CC67" i="4"/>
  <c r="CC50" i="3" s="1"/>
  <c r="BZ20" i="4"/>
  <c r="BS73" i="4"/>
  <c r="BS56" i="3" s="1"/>
  <c r="BS44" i="3"/>
  <c r="BI46" i="3"/>
  <c r="CC56" i="4"/>
  <c r="BT21" i="4"/>
  <c r="BT23" i="4" s="1"/>
  <c r="BN73" i="4"/>
  <c r="BN56" i="3" s="1"/>
  <c r="BN44" i="3"/>
  <c r="BO51" i="4"/>
  <c r="BZ67" i="4"/>
  <c r="BZ50" i="3" s="1"/>
  <c r="BN70" i="4"/>
  <c r="BN52" i="3"/>
  <c r="BN62" i="4"/>
  <c r="BN45" i="3" s="1"/>
  <c r="BN43" i="3"/>
  <c r="BU22" i="4"/>
  <c r="AW69" i="2"/>
  <c r="BA40" i="2"/>
  <c r="AK50" i="2"/>
  <c r="AY66" i="2"/>
  <c r="AY32" i="3" s="1"/>
  <c r="AY30" i="3"/>
  <c r="R62" i="2"/>
  <c r="R28" i="3" s="1"/>
  <c r="R26" i="3"/>
  <c r="M19" i="2"/>
  <c r="M21" i="2" s="1"/>
  <c r="BZ65" i="2"/>
  <c r="BO17" i="2"/>
  <c r="AY62" i="2"/>
  <c r="AY28" i="3" s="1"/>
  <c r="AY26" i="3"/>
  <c r="AU55" i="2"/>
  <c r="AU57" i="2" s="1"/>
  <c r="AQ49" i="2"/>
  <c r="BC28" i="2"/>
  <c r="CA25" i="2"/>
  <c r="CA26" i="2" s="1"/>
  <c r="BN38" i="2"/>
  <c r="X70" i="2"/>
  <c r="X36" i="3" s="1"/>
  <c r="X35" i="3"/>
  <c r="BM70" i="2"/>
  <c r="BM36" i="3" s="1"/>
  <c r="BM35" i="3"/>
  <c r="BS73" i="2"/>
  <c r="BS39" i="3" s="1"/>
  <c r="M61" i="2"/>
  <c r="M27" i="3" s="1"/>
  <c r="BG57" i="2"/>
  <c r="BU52" i="2"/>
  <c r="AT57" i="2"/>
  <c r="CA47" i="2"/>
  <c r="BO49" i="2"/>
  <c r="BO51" i="2" s="1"/>
  <c r="AQ51" i="2"/>
  <c r="AI67" i="2"/>
  <c r="AI33" i="3" s="1"/>
  <c r="AQ34" i="2"/>
  <c r="AK20" i="2"/>
  <c r="BX20" i="2"/>
  <c r="BN20" i="2"/>
  <c r="AS66" i="2"/>
  <c r="AS32" i="3" s="1"/>
  <c r="AS30" i="3"/>
  <c r="R71" i="2"/>
  <c r="R37" i="3" s="1"/>
  <c r="R31" i="3"/>
  <c r="K62" i="2"/>
  <c r="K28" i="3" s="1"/>
  <c r="K26" i="3"/>
  <c r="BB62" i="2"/>
  <c r="BB28" i="3" s="1"/>
  <c r="BB26" i="3"/>
  <c r="R66" i="2"/>
  <c r="R30" i="3"/>
  <c r="P62" i="2"/>
  <c r="P28" i="3" s="1"/>
  <c r="P26" i="3"/>
  <c r="CL11" i="2"/>
  <c r="CL9" i="2" s="1"/>
  <c r="CK9" i="2"/>
  <c r="BM62" i="2"/>
  <c r="BM28" i="3" s="1"/>
  <c r="BM26" i="3"/>
  <c r="X71" i="2"/>
  <c r="X31" i="3"/>
  <c r="AO55" i="2"/>
  <c r="AO57" i="2" s="1"/>
  <c r="BI28" i="2"/>
  <c r="BG73" i="2"/>
  <c r="BG39" i="3" s="1"/>
  <c r="AS71" i="2"/>
  <c r="AS37" i="3" s="1"/>
  <c r="L66" i="2"/>
  <c r="L30" i="3"/>
  <c r="X62" i="2"/>
  <c r="X28" i="3" s="1"/>
  <c r="X26" i="3"/>
  <c r="BA73" i="2"/>
  <c r="BA39" i="3" s="1"/>
  <c r="L70" i="2"/>
  <c r="BI53" i="2"/>
  <c r="O57" i="2"/>
  <c r="BC45" i="2"/>
  <c r="BY54" i="2"/>
  <c r="BR57" i="2"/>
  <c r="BT57" i="2"/>
  <c r="CG48" i="2"/>
  <c r="AT40" i="2"/>
  <c r="CA29" i="2"/>
  <c r="CA30" i="2" s="1"/>
  <c r="CA32" i="2" s="1"/>
  <c r="BX37" i="2"/>
  <c r="AK36" i="2"/>
  <c r="BX39" i="2"/>
  <c r="BF23" i="2"/>
  <c r="S19" i="2"/>
  <c r="S21" i="2" s="1"/>
  <c r="X66" i="2"/>
  <c r="X30" i="3"/>
  <c r="BG62" i="2"/>
  <c r="BG28" i="3" s="1"/>
  <c r="BG26" i="3"/>
  <c r="AU62" i="2"/>
  <c r="AU28" i="3" s="1"/>
  <c r="AU26" i="3"/>
  <c r="X73" i="2"/>
  <c r="X39" i="3" s="1"/>
  <c r="X27" i="3"/>
  <c r="AS62" i="2"/>
  <c r="AS28" i="3" s="1"/>
  <c r="AS26" i="3"/>
  <c r="R70" i="2"/>
  <c r="R35" i="3"/>
  <c r="U55" i="2"/>
  <c r="U57" i="2" s="1"/>
  <c r="BM73" i="2"/>
  <c r="BM39" i="3" s="1"/>
  <c r="R73" i="2"/>
  <c r="R39" i="3" s="1"/>
  <c r="AY68" i="2"/>
  <c r="AY34" i="3" s="1"/>
  <c r="AS70" i="2"/>
  <c r="AS35" i="3"/>
  <c r="BC65" i="2"/>
  <c r="BC31" i="3" s="1"/>
  <c r="AW65" i="2"/>
  <c r="AW31" i="3" s="1"/>
  <c r="BK57" i="2"/>
  <c r="BZ54" i="2"/>
  <c r="AC40" i="2"/>
  <c r="BU35" i="2"/>
  <c r="BU36" i="2" s="1"/>
  <c r="AW36" i="2"/>
  <c r="AY23" i="2"/>
  <c r="BZ67" i="2"/>
  <c r="BZ33" i="3" s="1"/>
  <c r="BB21" i="2"/>
  <c r="BB23" i="2" s="1"/>
  <c r="V62" i="2"/>
  <c r="V28" i="3" s="1"/>
  <c r="V26" i="3"/>
  <c r="K73" i="2"/>
  <c r="K39" i="3" s="1"/>
  <c r="K27" i="3"/>
  <c r="I62" i="2"/>
  <c r="I28" i="3" s="1"/>
  <c r="I26" i="3"/>
  <c r="BR71" i="2"/>
  <c r="BR37" i="3" s="1"/>
  <c r="AY71" i="2"/>
  <c r="AY37" i="3" s="1"/>
  <c r="AD71" i="2"/>
  <c r="AD37" i="3" s="1"/>
  <c r="BY73" i="1"/>
  <c r="AY74" i="1"/>
  <c r="BR80" i="1"/>
  <c r="BO34" i="1"/>
  <c r="BY37" i="1"/>
  <c r="CA97" i="6"/>
  <c r="K23" i="1"/>
  <c r="AA23" i="1"/>
  <c r="AS23" i="1"/>
  <c r="AW20" i="1"/>
  <c r="BZ20" i="1"/>
  <c r="BZ22" i="1"/>
  <c r="BM90" i="1"/>
  <c r="BM22" i="3" s="1"/>
  <c r="BM10" i="3"/>
  <c r="BI98" i="6"/>
  <c r="BI99" i="6" s="1"/>
  <c r="BO70" i="1"/>
  <c r="Y73" i="1"/>
  <c r="AW55" i="1"/>
  <c r="CC82" i="1"/>
  <c r="CC14" i="3" s="1"/>
  <c r="AN23" i="1"/>
  <c r="AZ72" i="1"/>
  <c r="BO84" i="1"/>
  <c r="BS90" i="1"/>
  <c r="BS22" i="3" s="1"/>
  <c r="BN79" i="1"/>
  <c r="BN11" i="3" s="1"/>
  <c r="BN9" i="3"/>
  <c r="BO77" i="1"/>
  <c r="AQ70" i="1"/>
  <c r="AQ72" i="1" s="1"/>
  <c r="BY71" i="1"/>
  <c r="AG74" i="1"/>
  <c r="AQ54" i="1"/>
  <c r="BO49" i="1"/>
  <c r="BO51" i="1" s="1"/>
  <c r="Y56" i="1"/>
  <c r="CA42" i="1"/>
  <c r="BZ39" i="1"/>
  <c r="CC39" i="1"/>
  <c r="BC21" i="1"/>
  <c r="CC22" i="7"/>
  <c r="BS21" i="1"/>
  <c r="BS23" i="1" s="1"/>
  <c r="BU99" i="6"/>
  <c r="BM79" i="1"/>
  <c r="BM11" i="3" s="1"/>
  <c r="BM9" i="3"/>
  <c r="BM87" i="1"/>
  <c r="BM19" i="3" s="1"/>
  <c r="BM18" i="3"/>
  <c r="BS96" i="6"/>
  <c r="BS99" i="6" s="1"/>
  <c r="BR20" i="6"/>
  <c r="BR90" i="1"/>
  <c r="BR22" i="3" s="1"/>
  <c r="CA22" i="7"/>
  <c r="BN67" i="3"/>
  <c r="AO84" i="6"/>
  <c r="BL76" i="5"/>
  <c r="BM76" i="5"/>
  <c r="BC19" i="5"/>
  <c r="BE76" i="5"/>
  <c r="BL69" i="6"/>
  <c r="AD52" i="5"/>
  <c r="J69" i="6"/>
  <c r="AY69" i="6"/>
  <c r="K69" i="6"/>
  <c r="AT52" i="5"/>
  <c r="AE64" i="5"/>
  <c r="AK39" i="5"/>
  <c r="AU76" i="5"/>
  <c r="AQ29" i="5"/>
  <c r="X69" i="6"/>
  <c r="BN69" i="6"/>
  <c r="BB69" i="6"/>
  <c r="BU9" i="7"/>
  <c r="BZ25" i="5"/>
  <c r="CL25" i="5"/>
  <c r="R69" i="6"/>
  <c r="BO40" i="5"/>
  <c r="P69" i="6"/>
  <c r="AB53" i="5"/>
  <c r="V69" i="6"/>
  <c r="BI40" i="5"/>
  <c r="W69" i="6"/>
  <c r="Q69" i="6"/>
  <c r="P6" i="7"/>
  <c r="P6" i="6"/>
  <c r="BE69" i="6"/>
  <c r="AD69" i="6"/>
  <c r="I69" i="6"/>
  <c r="AQ39" i="5"/>
  <c r="AE16" i="5"/>
  <c r="AW40" i="5"/>
  <c r="AQ40" i="5"/>
  <c r="BM69" i="6"/>
  <c r="AZ69" i="6"/>
  <c r="G37" i="5"/>
  <c r="AA69" i="6"/>
  <c r="AK83" i="6"/>
  <c r="BH76" i="5"/>
  <c r="Y29" i="5"/>
  <c r="BB52" i="5"/>
  <c r="AH69" i="6"/>
  <c r="BI39" i="5"/>
  <c r="AC69" i="6"/>
  <c r="BK69" i="6"/>
  <c r="AG69" i="6"/>
  <c r="U69" i="6"/>
  <c r="AQ51" i="5"/>
  <c r="AG79" i="5"/>
  <c r="BA69" i="6"/>
  <c r="AB77" i="5"/>
  <c r="CF25" i="5"/>
  <c r="M59" i="5"/>
  <c r="M5" i="7"/>
  <c r="M5" i="6"/>
  <c r="U5" i="6"/>
  <c r="U5" i="7"/>
  <c r="AJ69" i="6"/>
  <c r="AA43" i="5"/>
  <c r="BH69" i="6"/>
  <c r="BG77" i="5"/>
  <c r="BF69" i="6"/>
  <c r="AB69" i="6"/>
  <c r="BS76" i="5"/>
  <c r="BC64" i="5"/>
  <c r="BO19" i="5"/>
  <c r="AI69" i="6"/>
  <c r="AO52" i="5"/>
  <c r="BQ69" i="6"/>
  <c r="BA52" i="5"/>
  <c r="AM79" i="5"/>
  <c r="AE39" i="5"/>
  <c r="AG77" i="5"/>
  <c r="AN79" i="5"/>
  <c r="AK29" i="5"/>
  <c r="G39" i="5"/>
  <c r="BM52" i="5"/>
  <c r="AK64" i="5"/>
  <c r="L69" i="6"/>
  <c r="BN77" i="5"/>
  <c r="S59" i="5"/>
  <c r="S5" i="6"/>
  <c r="S5" i="7"/>
  <c r="AA114" i="5"/>
  <c r="O43" i="5"/>
  <c r="BF53" i="5"/>
  <c r="BG69" i="6"/>
  <c r="AK82" i="6"/>
  <c r="AS87" i="6"/>
  <c r="CA9" i="7"/>
  <c r="O69" i="6"/>
  <c r="BC40" i="5"/>
  <c r="O5" i="6"/>
  <c r="O5" i="7"/>
  <c r="L6" i="5"/>
  <c r="K6" i="6"/>
  <c r="K6" i="7"/>
  <c r="BI69" i="3"/>
  <c r="BN70" i="3"/>
  <c r="BN64" i="3"/>
  <c r="BM70" i="3"/>
  <c r="BM91" i="3"/>
  <c r="AJ84" i="6"/>
  <c r="Y88" i="6"/>
  <c r="AQ61" i="5"/>
  <c r="AT17" i="5"/>
  <c r="AT69" i="6" s="1"/>
  <c r="AU37" i="5"/>
  <c r="M87" i="6"/>
  <c r="AY49" i="5"/>
  <c r="AT37" i="5"/>
  <c r="AS17" i="5"/>
  <c r="AU49" i="5"/>
  <c r="BA49" i="5"/>
  <c r="AT49" i="5"/>
  <c r="AS37" i="5"/>
  <c r="AZ49" i="5"/>
  <c r="AO88" i="6"/>
  <c r="AS49" i="5"/>
  <c r="AU17" i="5"/>
  <c r="AP84" i="6"/>
  <c r="R88" i="6"/>
  <c r="AU87" i="6"/>
  <c r="Y52" i="5"/>
  <c r="S39" i="5"/>
  <c r="AB68" i="6"/>
  <c r="AA68" i="6"/>
  <c r="BF68" i="6"/>
  <c r="AO69" i="6"/>
  <c r="AH88" i="6"/>
  <c r="V88" i="6"/>
  <c r="AZ87" i="6"/>
  <c r="Y39" i="5"/>
  <c r="AP69" i="6"/>
  <c r="O70" i="6"/>
  <c r="O68" i="6"/>
  <c r="AA71" i="6"/>
  <c r="AS64" i="7"/>
  <c r="AY64" i="7"/>
  <c r="C64" i="7"/>
  <c r="AE52" i="5"/>
  <c r="P68" i="6"/>
  <c r="AS69" i="6"/>
  <c r="AM69" i="6"/>
  <c r="AT88" i="6"/>
  <c r="AQ82" i="6"/>
  <c r="U64" i="7"/>
  <c r="AM64" i="7"/>
  <c r="AG64" i="7"/>
  <c r="BE64" i="7"/>
  <c r="X77" i="5"/>
  <c r="AN77" i="5"/>
  <c r="AN69" i="6"/>
  <c r="AA70" i="6"/>
  <c r="O64" i="7"/>
  <c r="AA64" i="7"/>
  <c r="BQ64" i="7"/>
  <c r="AV37" i="5"/>
  <c r="BS41" i="7"/>
  <c r="X98" i="7"/>
  <c r="X68" i="7"/>
  <c r="BL57" i="7"/>
  <c r="BL62" i="7"/>
  <c r="L48" i="7"/>
  <c r="BN17" i="7"/>
  <c r="L38" i="7"/>
  <c r="AB62" i="7"/>
  <c r="AB57" i="7"/>
  <c r="BC35" i="7"/>
  <c r="BB26" i="7"/>
  <c r="AI27" i="7"/>
  <c r="AJ8" i="7"/>
  <c r="AI10" i="7"/>
  <c r="Q27" i="7"/>
  <c r="Q10" i="7"/>
  <c r="Y8" i="7"/>
  <c r="BB49" i="5"/>
  <c r="AV49" i="5"/>
  <c r="AV87" i="6"/>
  <c r="AQ83" i="6"/>
  <c r="AQ88" i="6" s="1"/>
  <c r="BT107" i="7"/>
  <c r="BU107" i="7" s="1"/>
  <c r="BW101" i="7"/>
  <c r="BM98" i="7"/>
  <c r="BM68" i="7"/>
  <c r="BC47" i="7"/>
  <c r="BH41" i="7"/>
  <c r="BI41" i="7" s="1"/>
  <c r="BH55" i="7"/>
  <c r="BN43" i="7"/>
  <c r="AV98" i="7"/>
  <c r="AV68" i="7"/>
  <c r="AO99" i="7"/>
  <c r="AP44" i="7"/>
  <c r="AC98" i="7"/>
  <c r="AC99" i="7" s="1"/>
  <c r="AC68" i="7"/>
  <c r="AD46" i="7"/>
  <c r="M53" i="7"/>
  <c r="AV41" i="7"/>
  <c r="R44" i="7"/>
  <c r="E99" i="7"/>
  <c r="AC38" i="7"/>
  <c r="AD35" i="7"/>
  <c r="E38" i="7"/>
  <c r="BH31" i="7"/>
  <c r="BO36" i="7"/>
  <c r="M31" i="7"/>
  <c r="AW32" i="7"/>
  <c r="BK62" i="7"/>
  <c r="BK57" i="7"/>
  <c r="AD48" i="7"/>
  <c r="R43" i="7"/>
  <c r="Q48" i="7"/>
  <c r="L51" i="7"/>
  <c r="AW35" i="7"/>
  <c r="AV38" i="7"/>
  <c r="BI26" i="7"/>
  <c r="AW26" i="7"/>
  <c r="BA74" i="7"/>
  <c r="BB16" i="7"/>
  <c r="E74" i="7"/>
  <c r="E75" i="7" s="1"/>
  <c r="G16" i="7"/>
  <c r="F16" i="7"/>
  <c r="BQ107" i="6"/>
  <c r="Q38" i="7"/>
  <c r="AC108" i="6"/>
  <c r="AZ62" i="7"/>
  <c r="AZ57" i="7"/>
  <c r="AC27" i="7"/>
  <c r="AD8" i="7"/>
  <c r="AC10" i="7"/>
  <c r="R8" i="7"/>
  <c r="BN103" i="6"/>
  <c r="P70" i="6"/>
  <c r="S44" i="7"/>
  <c r="BG38" i="7"/>
  <c r="AV11" i="7"/>
  <c r="AU12" i="7"/>
  <c r="BB103" i="6"/>
  <c r="BM26" i="7"/>
  <c r="BN10" i="7"/>
  <c r="E27" i="7"/>
  <c r="E10" i="7"/>
  <c r="S42" i="7"/>
  <c r="W27" i="7"/>
  <c r="W10" i="7"/>
  <c r="BM99" i="7"/>
  <c r="BO55" i="7"/>
  <c r="L98" i="7"/>
  <c r="L68" i="7"/>
  <c r="L10" i="7"/>
  <c r="BC17" i="7"/>
  <c r="BH27" i="7"/>
  <c r="BH10" i="7"/>
  <c r="D57" i="7"/>
  <c r="D62" i="7"/>
  <c r="AW11" i="5"/>
  <c r="AV17" i="5"/>
  <c r="BB114" i="5" s="1"/>
  <c r="BB87" i="6"/>
  <c r="AB70" i="6"/>
  <c r="BF71" i="6"/>
  <c r="CL70" i="7"/>
  <c r="CM69" i="7"/>
  <c r="BN44" i="7"/>
  <c r="AW46" i="7"/>
  <c r="BB98" i="7"/>
  <c r="BB68" i="7"/>
  <c r="BB48" i="7"/>
  <c r="BM48" i="7"/>
  <c r="BO41" i="7"/>
  <c r="W48" i="7"/>
  <c r="K48" i="7"/>
  <c r="K38" i="7"/>
  <c r="AC74" i="7"/>
  <c r="AC75" i="7" s="1"/>
  <c r="AD16" i="7"/>
  <c r="BA48" i="7"/>
  <c r="R41" i="7"/>
  <c r="K98" i="7"/>
  <c r="K68" i="7"/>
  <c r="M46" i="7"/>
  <c r="BI74" i="7"/>
  <c r="BI75" i="7" s="1"/>
  <c r="BO42" i="7"/>
  <c r="BC41" i="7"/>
  <c r="F98" i="7"/>
  <c r="F68" i="7"/>
  <c r="G46" i="7"/>
  <c r="BN26" i="7"/>
  <c r="BI16" i="7"/>
  <c r="BM74" i="7"/>
  <c r="BN16" i="7"/>
  <c r="Q74" i="7"/>
  <c r="Q75" i="7" s="1"/>
  <c r="S16" i="7"/>
  <c r="R16" i="7"/>
  <c r="AU74" i="7"/>
  <c r="AV16" i="7"/>
  <c r="F35" i="7"/>
  <c r="AP8" i="7"/>
  <c r="AO27" i="7"/>
  <c r="AO10" i="7"/>
  <c r="G27" i="7"/>
  <c r="G10" i="7"/>
  <c r="M41" i="7"/>
  <c r="R37" i="7"/>
  <c r="BB11" i="7"/>
  <c r="AW9" i="7"/>
  <c r="Y102" i="6"/>
  <c r="Y111" i="6" s="1"/>
  <c r="BF57" i="7"/>
  <c r="BF62" i="7"/>
  <c r="AT62" i="7"/>
  <c r="AT57" i="7"/>
  <c r="AH62" i="7"/>
  <c r="AH57" i="7"/>
  <c r="S8" i="7"/>
  <c r="J62" i="7"/>
  <c r="J57" i="7"/>
  <c r="BN38" i="7"/>
  <c r="BB25" i="7"/>
  <c r="V62" i="7"/>
  <c r="V57" i="7"/>
  <c r="Y11" i="7"/>
  <c r="CF70" i="7"/>
  <c r="BR90" i="7"/>
  <c r="BC98" i="7"/>
  <c r="BC68" i="7"/>
  <c r="W98" i="7"/>
  <c r="W99" i="7" s="1"/>
  <c r="W68" i="7"/>
  <c r="Y46" i="7"/>
  <c r="BN48" i="7"/>
  <c r="AJ41" i="7"/>
  <c r="AI48" i="7"/>
  <c r="AO74" i="7"/>
  <c r="AO75" i="7" s="1"/>
  <c r="AP16" i="7"/>
  <c r="W74" i="7"/>
  <c r="W75" i="7" s="1"/>
  <c r="Y16" i="7"/>
  <c r="X16" i="7"/>
  <c r="BH30" i="7"/>
  <c r="G47" i="7"/>
  <c r="AU27" i="7"/>
  <c r="AU10" i="7"/>
  <c r="K27" i="7"/>
  <c r="K10" i="7"/>
  <c r="BM38" i="7"/>
  <c r="AW61" i="5"/>
  <c r="BG111" i="6"/>
  <c r="BF70" i="6"/>
  <c r="BT105" i="7"/>
  <c r="BT114" i="7" s="1"/>
  <c r="BT95" i="7"/>
  <c r="BT94" i="7" s="1"/>
  <c r="BT90" i="7" s="1"/>
  <c r="BT88" i="7" s="1"/>
  <c r="BW65" i="7"/>
  <c r="CG69" i="7"/>
  <c r="CG70" i="7" s="1"/>
  <c r="BI98" i="7"/>
  <c r="BI68" i="7"/>
  <c r="AI98" i="7"/>
  <c r="AI99" i="7" s="1"/>
  <c r="AI68" i="7"/>
  <c r="AJ46" i="7"/>
  <c r="Q98" i="7"/>
  <c r="Q99" i="7" s="1"/>
  <c r="Q68" i="7"/>
  <c r="AW55" i="7"/>
  <c r="BH98" i="7"/>
  <c r="BH99" i="7" s="1"/>
  <c r="BH68" i="7"/>
  <c r="AO48" i="7"/>
  <c r="BC55" i="7"/>
  <c r="R46" i="7"/>
  <c r="AU38" i="7"/>
  <c r="BO44" i="7"/>
  <c r="F44" i="7"/>
  <c r="BN46" i="7"/>
  <c r="AP98" i="7"/>
  <c r="AP68" i="7"/>
  <c r="X44" i="7"/>
  <c r="Y35" i="7"/>
  <c r="BC30" i="7"/>
  <c r="K99" i="7"/>
  <c r="BI37" i="7"/>
  <c r="G30" i="7"/>
  <c r="F102" i="6"/>
  <c r="K74" i="7"/>
  <c r="K75" i="7" s="1"/>
  <c r="L16" i="7"/>
  <c r="AI74" i="7"/>
  <c r="AI75" i="7" s="1"/>
  <c r="AJ16" i="7"/>
  <c r="BA38" i="7"/>
  <c r="BO10" i="7"/>
  <c r="BA27" i="7"/>
  <c r="BA10" i="7"/>
  <c r="BB8" i="7"/>
  <c r="AN62" i="7"/>
  <c r="AN57" i="7"/>
  <c r="R12" i="7"/>
  <c r="R18" i="5"/>
  <c r="M8" i="7"/>
  <c r="AZ108" i="6"/>
  <c r="Y41" i="7"/>
  <c r="BG27" i="7"/>
  <c r="BG10" i="7"/>
  <c r="AJ11" i="7"/>
  <c r="AI12" i="7"/>
  <c r="Q12" i="7"/>
  <c r="S11" i="7"/>
  <c r="F27" i="7"/>
  <c r="F10" i="7"/>
  <c r="AV8" i="7"/>
  <c r="P57" i="7"/>
  <c r="P62" i="7"/>
  <c r="G44" i="7"/>
  <c r="BL112" i="6"/>
  <c r="BL108" i="6"/>
  <c r="BB13" i="7"/>
  <c r="BM27" i="7"/>
  <c r="X9" i="7"/>
  <c r="BL158" i="6"/>
  <c r="BE158" i="6"/>
  <c r="AV158" i="6"/>
  <c r="AQ135" i="6"/>
  <c r="AM138" i="6"/>
  <c r="AW131" i="6"/>
  <c r="AW132" i="6" s="1"/>
  <c r="BO135" i="6"/>
  <c r="AW136" i="6"/>
  <c r="BU145" i="6"/>
  <c r="BU156" i="6" s="1"/>
  <c r="BI156" i="6"/>
  <c r="BI140" i="6"/>
  <c r="BI141" i="6" s="1"/>
  <c r="BO118" i="6"/>
  <c r="BO119" i="6" s="1"/>
  <c r="BC125" i="6"/>
  <c r="AP151" i="6"/>
  <c r="AP144" i="6"/>
  <c r="BS134" i="6"/>
  <c r="BR127" i="6"/>
  <c r="BR22" i="6" s="1"/>
  <c r="BQ108" i="6"/>
  <c r="BU108" i="6" s="1"/>
  <c r="BU106" i="6"/>
  <c r="BI92" i="6"/>
  <c r="BE94" i="6"/>
  <c r="BI94" i="6" s="1"/>
  <c r="BK98" i="6"/>
  <c r="BO98" i="6" s="1"/>
  <c r="BO96" i="6"/>
  <c r="CK84" i="6"/>
  <c r="AT59" i="6"/>
  <c r="L59" i="6"/>
  <c r="AB76" i="6"/>
  <c r="AB27" i="6"/>
  <c r="BO92" i="6"/>
  <c r="BK94" i="6"/>
  <c r="BO94" i="6" s="1"/>
  <c r="BL88" i="6"/>
  <c r="BR88" i="6"/>
  <c r="BK54" i="6"/>
  <c r="L77" i="6"/>
  <c r="L78" i="6"/>
  <c r="L42" i="6"/>
  <c r="W59" i="6"/>
  <c r="AS53" i="6"/>
  <c r="V72" i="6"/>
  <c r="V53" i="6"/>
  <c r="AV77" i="6"/>
  <c r="AV78" i="6"/>
  <c r="AV42" i="6"/>
  <c r="AW36" i="6"/>
  <c r="BF76" i="6"/>
  <c r="BF27" i="6"/>
  <c r="J76" i="6"/>
  <c r="J27" i="6"/>
  <c r="AY88" i="6"/>
  <c r="AY84" i="6"/>
  <c r="AN88" i="6"/>
  <c r="AB88" i="6"/>
  <c r="P88" i="6"/>
  <c r="BN59" i="6"/>
  <c r="BW44" i="6"/>
  <c r="F76" i="6"/>
  <c r="F27" i="6"/>
  <c r="AP88" i="6"/>
  <c r="AD88" i="6"/>
  <c r="R76" i="6"/>
  <c r="R27" i="6"/>
  <c r="Y53" i="6"/>
  <c r="AO76" i="6"/>
  <c r="AO27" i="6"/>
  <c r="M76" i="6"/>
  <c r="M27" i="6"/>
  <c r="AU88" i="6"/>
  <c r="AU84" i="6"/>
  <c r="AI84" i="6"/>
  <c r="AI88" i="6"/>
  <c r="BC86" i="6"/>
  <c r="AB71" i="6"/>
  <c r="AB59" i="6"/>
  <c r="K72" i="6"/>
  <c r="K53" i="6"/>
  <c r="AP78" i="6"/>
  <c r="AP77" i="6"/>
  <c r="AQ36" i="6"/>
  <c r="AP42" i="6"/>
  <c r="AJ76" i="6"/>
  <c r="AJ27" i="6"/>
  <c r="AQ17" i="6"/>
  <c r="AE77" i="6"/>
  <c r="G77" i="6"/>
  <c r="Y59" i="6"/>
  <c r="AO151" i="6"/>
  <c r="BU134" i="6"/>
  <c r="BQ135" i="6"/>
  <c r="BC138" i="6"/>
  <c r="BC132" i="6"/>
  <c r="BR148" i="6"/>
  <c r="BR145" i="6"/>
  <c r="BE148" i="6"/>
  <c r="AO144" i="6"/>
  <c r="AQ144" i="6" s="1"/>
  <c r="AQ145" i="6" s="1"/>
  <c r="BI138" i="6"/>
  <c r="BS104" i="6"/>
  <c r="BS107" i="6"/>
  <c r="BS12" i="7" s="1"/>
  <c r="BK59" i="6"/>
  <c r="BA59" i="6"/>
  <c r="V59" i="6"/>
  <c r="I76" i="6"/>
  <c r="I27" i="6"/>
  <c r="BO86" i="6"/>
  <c r="AU59" i="6"/>
  <c r="P71" i="6"/>
  <c r="P59" i="6"/>
  <c r="X77" i="6"/>
  <c r="X78" i="6"/>
  <c r="X42" i="6"/>
  <c r="AD72" i="6"/>
  <c r="AD53" i="6"/>
  <c r="AE73" i="6"/>
  <c r="AE58" i="6"/>
  <c r="X76" i="6"/>
  <c r="X27" i="6"/>
  <c r="AE27" i="6"/>
  <c r="AE76" i="6"/>
  <c r="L76" i="6"/>
  <c r="BQ76" i="6"/>
  <c r="BQ27" i="6"/>
  <c r="BA84" i="6"/>
  <c r="BA88" i="6"/>
  <c r="AC76" i="6"/>
  <c r="AC27" i="6"/>
  <c r="W88" i="6"/>
  <c r="W84" i="6"/>
  <c r="K84" i="6"/>
  <c r="K88" i="6"/>
  <c r="AZ88" i="6"/>
  <c r="AI59" i="6"/>
  <c r="S87" i="6"/>
  <c r="S76" i="6"/>
  <c r="S27" i="6"/>
  <c r="AQ65" i="6"/>
  <c r="AW59" i="6"/>
  <c r="AW27" i="6"/>
  <c r="AW147" i="6"/>
  <c r="AS148" i="6"/>
  <c r="AQ149" i="6"/>
  <c r="BL151" i="6"/>
  <c r="BL144" i="6"/>
  <c r="BK151" i="6"/>
  <c r="BO143" i="6"/>
  <c r="AZ151" i="6"/>
  <c r="AZ144" i="6"/>
  <c r="BC143" i="6"/>
  <c r="AW145" i="6"/>
  <c r="BO131" i="6"/>
  <c r="BO132" i="6" s="1"/>
  <c r="BE138" i="6"/>
  <c r="AO158" i="6"/>
  <c r="BQ122" i="6"/>
  <c r="BU121" i="6"/>
  <c r="BI118" i="6"/>
  <c r="BI119" i="6" s="1"/>
  <c r="BI127" i="6" s="1"/>
  <c r="BI128" i="6" s="1"/>
  <c r="BO125" i="6"/>
  <c r="BH59" i="6"/>
  <c r="AM59" i="6"/>
  <c r="AC59" i="6"/>
  <c r="D76" i="6"/>
  <c r="D27" i="6"/>
  <c r="CL84" i="6"/>
  <c r="AN59" i="6"/>
  <c r="AH76" i="6"/>
  <c r="AH27" i="6"/>
  <c r="BI86" i="6"/>
  <c r="AS88" i="6"/>
  <c r="AS84" i="6"/>
  <c r="BC59" i="6"/>
  <c r="AS59" i="6"/>
  <c r="AO54" i="6"/>
  <c r="I54" i="6"/>
  <c r="AP76" i="6"/>
  <c r="AP27" i="6"/>
  <c r="X88" i="6"/>
  <c r="BM76" i="6"/>
  <c r="BM27" i="6"/>
  <c r="R59" i="6"/>
  <c r="BB78" i="6"/>
  <c r="BB77" i="6"/>
  <c r="BB42" i="6"/>
  <c r="BC36" i="6"/>
  <c r="Q88" i="6"/>
  <c r="E76" i="6"/>
  <c r="E27" i="6"/>
  <c r="K59" i="6"/>
  <c r="BE54" i="6"/>
  <c r="BH77" i="6"/>
  <c r="BI36" i="6"/>
  <c r="BH42" i="6"/>
  <c r="BH78" i="6"/>
  <c r="BO59" i="6"/>
  <c r="AZ76" i="6"/>
  <c r="AZ27" i="6"/>
  <c r="AP59" i="6"/>
  <c r="AA54" i="6"/>
  <c r="M73" i="6"/>
  <c r="M58" i="6"/>
  <c r="W87" i="6"/>
  <c r="AC87" i="6"/>
  <c r="BI73" i="6"/>
  <c r="BI58" i="6"/>
  <c r="BH76" i="6"/>
  <c r="BH27" i="6"/>
  <c r="AQ86" i="6"/>
  <c r="S86" i="6"/>
  <c r="AB54" i="6"/>
  <c r="BO148" i="6"/>
  <c r="BO149" i="6" s="1"/>
  <c r="BK144" i="6"/>
  <c r="BO144" i="6" s="1"/>
  <c r="AY144" i="6"/>
  <c r="BC144" i="6" s="1"/>
  <c r="AY138" i="6"/>
  <c r="AY148" i="6"/>
  <c r="BC148" i="6" s="1"/>
  <c r="BC149" i="6" s="1"/>
  <c r="BC157" i="6" s="1"/>
  <c r="BR156" i="6"/>
  <c r="BR140" i="6"/>
  <c r="BR23" i="6" s="1"/>
  <c r="BS130" i="6"/>
  <c r="BS119" i="6"/>
  <c r="BS122" i="6"/>
  <c r="BZ102" i="6"/>
  <c r="BZ30" i="7" s="1"/>
  <c r="CF102" i="6"/>
  <c r="CF30" i="7" s="1"/>
  <c r="CG30" i="7" s="1"/>
  <c r="BC94" i="6"/>
  <c r="BC95" i="6" s="1"/>
  <c r="BX92" i="6"/>
  <c r="BX95" i="6" s="1"/>
  <c r="BW11" i="6"/>
  <c r="AJ59" i="6"/>
  <c r="O71" i="6"/>
  <c r="O59" i="6"/>
  <c r="BN77" i="6"/>
  <c r="BN78" i="6"/>
  <c r="BO36" i="6"/>
  <c r="BN42" i="6"/>
  <c r="AG76" i="6"/>
  <c r="AG27" i="6"/>
  <c r="AM88" i="6"/>
  <c r="AM84" i="6"/>
  <c r="I88" i="6"/>
  <c r="BL59" i="6"/>
  <c r="AJ72" i="6"/>
  <c r="AJ53" i="6"/>
  <c r="BF78" i="6"/>
  <c r="BF77" i="6"/>
  <c r="BF42" i="6"/>
  <c r="O76" i="6"/>
  <c r="O27" i="6"/>
  <c r="BG59" i="6"/>
  <c r="AZ59" i="6"/>
  <c r="AK76" i="6"/>
  <c r="AK27" i="6"/>
  <c r="L88" i="6"/>
  <c r="AW86" i="6"/>
  <c r="Y86" i="6"/>
  <c r="Y84" i="6"/>
  <c r="BO27" i="6"/>
  <c r="BQ59" i="6"/>
  <c r="AI72" i="6"/>
  <c r="AI53" i="6"/>
  <c r="BA76" i="6"/>
  <c r="BA27" i="6"/>
  <c r="AU76" i="6"/>
  <c r="AU27" i="6"/>
  <c r="AC84" i="6"/>
  <c r="AC88" i="6"/>
  <c r="AE86" i="6"/>
  <c r="G84" i="6"/>
  <c r="BH87" i="6"/>
  <c r="BC65" i="6"/>
  <c r="U59" i="6"/>
  <c r="BG72" i="6"/>
  <c r="BG53" i="6"/>
  <c r="AK73" i="6"/>
  <c r="AK58" i="6"/>
  <c r="W78" i="6"/>
  <c r="W77" i="6"/>
  <c r="W42" i="6"/>
  <c r="BB76" i="6"/>
  <c r="Q76" i="6"/>
  <c r="Q27" i="6"/>
  <c r="AE78" i="6"/>
  <c r="G78" i="6"/>
  <c r="S59" i="6"/>
  <c r="AK53" i="6"/>
  <c r="S88" i="6"/>
  <c r="G76" i="6"/>
  <c r="CA43" i="4"/>
  <c r="CA45" i="4" s="1"/>
  <c r="CG44" i="4"/>
  <c r="BZ35" i="4"/>
  <c r="BZ36" i="4" s="1"/>
  <c r="CF25" i="4"/>
  <c r="BY44" i="3"/>
  <c r="BY59" i="4"/>
  <c r="CA8" i="4"/>
  <c r="CD25" i="4"/>
  <c r="CA25" i="4"/>
  <c r="BX44" i="3"/>
  <c r="BW50" i="3"/>
  <c r="BW73" i="4"/>
  <c r="CA61" i="4"/>
  <c r="CA44" i="3" s="1"/>
  <c r="BW44" i="3"/>
  <c r="BQ57" i="4"/>
  <c r="BK57" i="4"/>
  <c r="CI46" i="4"/>
  <c r="BS52" i="4"/>
  <c r="BY54" i="4" s="1"/>
  <c r="BY46" i="4"/>
  <c r="BL70" i="4"/>
  <c r="BL52" i="3"/>
  <c r="BZ54" i="4"/>
  <c r="CA44" i="4"/>
  <c r="BU43" i="4"/>
  <c r="BU45" i="4" s="1"/>
  <c r="BZ52" i="4"/>
  <c r="CF42" i="4"/>
  <c r="BR35" i="4"/>
  <c r="BX39" i="4" s="1"/>
  <c r="BO22" i="4"/>
  <c r="CC48" i="3"/>
  <c r="BW64" i="4"/>
  <c r="BW46" i="3"/>
  <c r="BT69" i="4"/>
  <c r="BZ71" i="4" s="1"/>
  <c r="BZ54" i="3" s="1"/>
  <c r="BT60" i="4"/>
  <c r="BT42" i="3"/>
  <c r="BU39" i="4"/>
  <c r="BZ37" i="4"/>
  <c r="BR71" i="4"/>
  <c r="BR54" i="3" s="1"/>
  <c r="BR48" i="3"/>
  <c r="CC35" i="4"/>
  <c r="CI39" i="4" s="1"/>
  <c r="CI25" i="4"/>
  <c r="BU65" i="4"/>
  <c r="BU48" i="3" s="1"/>
  <c r="BQ71" i="4"/>
  <c r="BQ48" i="3"/>
  <c r="CE9" i="4"/>
  <c r="CE8" i="4" s="1"/>
  <c r="CF11" i="4"/>
  <c r="CF9" i="4" s="1"/>
  <c r="CF8" i="4" s="1"/>
  <c r="AK5" i="4"/>
  <c r="AM5" i="4"/>
  <c r="BT64" i="4"/>
  <c r="BT46" i="3"/>
  <c r="BS18" i="4"/>
  <c r="BY20" i="4" s="1"/>
  <c r="BR21" i="4"/>
  <c r="BR23" i="4" s="1"/>
  <c r="BO60" i="4"/>
  <c r="BO42" i="3"/>
  <c r="BQ62" i="4"/>
  <c r="BQ45" i="3" s="1"/>
  <c r="BQ43" i="3"/>
  <c r="BM62" i="4"/>
  <c r="BM45" i="3" s="1"/>
  <c r="BM43" i="3"/>
  <c r="BO56" i="4"/>
  <c r="BL73" i="4"/>
  <c r="BL56" i="3" s="1"/>
  <c r="BL44" i="3"/>
  <c r="BQ68" i="4"/>
  <c r="BQ51" i="3" s="1"/>
  <c r="BQ49" i="3"/>
  <c r="BR73" i="4"/>
  <c r="BR56" i="3" s="1"/>
  <c r="BR44" i="3"/>
  <c r="BO61" i="4"/>
  <c r="BO44" i="3" s="1"/>
  <c r="BZ56" i="4"/>
  <c r="BY52" i="4"/>
  <c r="CE42" i="4"/>
  <c r="CC52" i="4"/>
  <c r="CI56" i="4" s="1"/>
  <c r="BX29" i="4"/>
  <c r="BX63" i="4" s="1"/>
  <c r="BX37" i="4"/>
  <c r="BU29" i="4"/>
  <c r="BU26" i="4"/>
  <c r="BU28" i="4" s="1"/>
  <c r="CA27" i="4"/>
  <c r="BY37" i="4"/>
  <c r="BO54" i="4"/>
  <c r="BO55" i="4" s="1"/>
  <c r="BO57" i="4" s="1"/>
  <c r="CC63" i="4"/>
  <c r="CI12" i="4"/>
  <c r="CI18" i="4" s="1"/>
  <c r="BZ73" i="4"/>
  <c r="BZ56" i="3" s="1"/>
  <c r="BZ44" i="3"/>
  <c r="BU37" i="4"/>
  <c r="CI29" i="4"/>
  <c r="CE29" i="4"/>
  <c r="BS71" i="4"/>
  <c r="BS54" i="3" s="1"/>
  <c r="BS48" i="3"/>
  <c r="BW19" i="4"/>
  <c r="BW21" i="4" s="1"/>
  <c r="BW23" i="4" s="1"/>
  <c r="CF37" i="4"/>
  <c r="CF29" i="4"/>
  <c r="CC18" i="4"/>
  <c r="CI20" i="4" s="1"/>
  <c r="CC59" i="4"/>
  <c r="CI61" i="4" s="1"/>
  <c r="CD12" i="4"/>
  <c r="BX59" i="4"/>
  <c r="CD61" i="4" s="1"/>
  <c r="CD22" i="4"/>
  <c r="BX18" i="4"/>
  <c r="CD8" i="4"/>
  <c r="BM66" i="4"/>
  <c r="BM47" i="3"/>
  <c r="BU60" i="4"/>
  <c r="BU42" i="3"/>
  <c r="BN68" i="4"/>
  <c r="BN51" i="3" s="1"/>
  <c r="BN49" i="3"/>
  <c r="BM73" i="4"/>
  <c r="BM56" i="3" s="1"/>
  <c r="BM44" i="3"/>
  <c r="BK68" i="4"/>
  <c r="BK51" i="3" s="1"/>
  <c r="BK49" i="3"/>
  <c r="BL62" i="4"/>
  <c r="BL45" i="3" s="1"/>
  <c r="BL43" i="3"/>
  <c r="CA50" i="4"/>
  <c r="BU47" i="4"/>
  <c r="BU49" i="4" s="1"/>
  <c r="BU51" i="4" s="1"/>
  <c r="BU54" i="4"/>
  <c r="BW71" i="4"/>
  <c r="BW48" i="3"/>
  <c r="BT71" i="4"/>
  <c r="BT54" i="3" s="1"/>
  <c r="BT48" i="3"/>
  <c r="BY39" i="4"/>
  <c r="BW60" i="4"/>
  <c r="BW69" i="4"/>
  <c r="BW42" i="3"/>
  <c r="BS63" i="4"/>
  <c r="BY12" i="4"/>
  <c r="BW36" i="4"/>
  <c r="BW38" i="4" s="1"/>
  <c r="BW40" i="4" s="1"/>
  <c r="BL71" i="4"/>
  <c r="BL48" i="3"/>
  <c r="BO20" i="4"/>
  <c r="BO21" i="4" s="1"/>
  <c r="BO23" i="4" s="1"/>
  <c r="CF67" i="4"/>
  <c r="CF50" i="3" s="1"/>
  <c r="BZ63" i="4"/>
  <c r="CF12" i="4"/>
  <c r="BS60" i="4"/>
  <c r="BS42" i="3"/>
  <c r="AB6" i="4"/>
  <c r="W6" i="4"/>
  <c r="X6" i="4" s="1"/>
  <c r="AA6" i="4" s="1"/>
  <c r="BU12" i="4"/>
  <c r="BR60" i="4"/>
  <c r="BR42" i="3"/>
  <c r="BO69" i="4"/>
  <c r="BK70" i="4"/>
  <c r="BK52" i="3"/>
  <c r="BQ73" i="4"/>
  <c r="BQ70" i="4"/>
  <c r="BQ52" i="3"/>
  <c r="BL66" i="4"/>
  <c r="BL47" i="3"/>
  <c r="BM70" i="4"/>
  <c r="BG52" i="3"/>
  <c r="BU56" i="4"/>
  <c r="BX52" i="4"/>
  <c r="CD56" i="4" s="1"/>
  <c r="CD42" i="4"/>
  <c r="BU67" i="4"/>
  <c r="BU50" i="3" s="1"/>
  <c r="BO64" i="4"/>
  <c r="BO46" i="3"/>
  <c r="CE39" i="4"/>
  <c r="CE25" i="4"/>
  <c r="BY35" i="4"/>
  <c r="BY36" i="4" s="1"/>
  <c r="BW53" i="4"/>
  <c r="BW55" i="4" s="1"/>
  <c r="BW57" i="4" s="1"/>
  <c r="BZ59" i="4"/>
  <c r="CA59" i="4" s="1"/>
  <c r="BZ18" i="4"/>
  <c r="CF22" i="4" s="1"/>
  <c r="BO37" i="4"/>
  <c r="BO38" i="4" s="1"/>
  <c r="BO40" i="4" s="1"/>
  <c r="BZ48" i="3"/>
  <c r="CC22" i="4"/>
  <c r="CC61" i="4"/>
  <c r="BM71" i="4"/>
  <c r="BM48" i="3"/>
  <c r="CC39" i="4"/>
  <c r="BU20" i="4"/>
  <c r="BO65" i="4"/>
  <c r="BO48" i="3" s="1"/>
  <c r="BK71" i="4"/>
  <c r="BK48" i="3"/>
  <c r="CF65" i="4"/>
  <c r="BZ22" i="4"/>
  <c r="BY22" i="4"/>
  <c r="CI59" i="4"/>
  <c r="CI22" i="4"/>
  <c r="BR63" i="4"/>
  <c r="BU9" i="4"/>
  <c r="BU11" i="4" s="1"/>
  <c r="CA10" i="4"/>
  <c r="AI27" i="3"/>
  <c r="AG33" i="3"/>
  <c r="AN31" i="3"/>
  <c r="BY59" i="2"/>
  <c r="CE61" i="2" s="1"/>
  <c r="BY18" i="2"/>
  <c r="BY19" i="2" s="1"/>
  <c r="CE8" i="2"/>
  <c r="CA8" i="2"/>
  <c r="BE37" i="3"/>
  <c r="AM31" i="3"/>
  <c r="AH27" i="3"/>
  <c r="BY63" i="2"/>
  <c r="CE12" i="2"/>
  <c r="CA12" i="2"/>
  <c r="BQ70" i="2"/>
  <c r="BQ35" i="3"/>
  <c r="BQ66" i="2"/>
  <c r="BQ30" i="3"/>
  <c r="BL73" i="2"/>
  <c r="BL39" i="3" s="1"/>
  <c r="BL27" i="3"/>
  <c r="AZ62" i="2"/>
  <c r="AZ28" i="3" s="1"/>
  <c r="AZ26" i="3"/>
  <c r="BQ73" i="2"/>
  <c r="BQ27" i="3"/>
  <c r="BE73" i="2"/>
  <c r="BI61" i="2"/>
  <c r="BI27" i="3" s="1"/>
  <c r="BE27" i="3"/>
  <c r="BF62" i="2"/>
  <c r="BF28" i="3" s="1"/>
  <c r="BF26" i="3"/>
  <c r="BI69" i="2"/>
  <c r="BE70" i="2"/>
  <c r="BE35" i="3"/>
  <c r="AU70" i="2"/>
  <c r="AU35" i="3"/>
  <c r="AO70" i="2"/>
  <c r="AO35" i="3"/>
  <c r="BF72" i="2"/>
  <c r="BF36" i="3"/>
  <c r="AT36" i="3"/>
  <c r="AP62" i="2"/>
  <c r="AP28" i="3" s="1"/>
  <c r="AP26" i="3"/>
  <c r="BB73" i="2"/>
  <c r="BB39" i="3" s="1"/>
  <c r="AZ71" i="2"/>
  <c r="AZ31" i="3"/>
  <c r="AN35" i="3"/>
  <c r="AI35" i="3"/>
  <c r="BE68" i="2"/>
  <c r="BE34" i="3" s="1"/>
  <c r="BE32" i="3"/>
  <c r="AQ69" i="2"/>
  <c r="AI30" i="3"/>
  <c r="AV70" i="2"/>
  <c r="AV35" i="3"/>
  <c r="V70" i="2"/>
  <c r="V35" i="3"/>
  <c r="P71" i="2"/>
  <c r="P37" i="3" s="1"/>
  <c r="P31" i="3"/>
  <c r="AT73" i="2"/>
  <c r="AT39" i="3" s="1"/>
  <c r="U62" i="2"/>
  <c r="U28" i="3" s="1"/>
  <c r="U26" i="3"/>
  <c r="M64" i="2"/>
  <c r="S65" i="2"/>
  <c r="S31" i="3" s="1"/>
  <c r="M29" i="3"/>
  <c r="AW54" i="2"/>
  <c r="AW56" i="2"/>
  <c r="AB71" i="2"/>
  <c r="AB37" i="3" s="1"/>
  <c r="BC53" i="2"/>
  <c r="BC55" i="2" s="1"/>
  <c r="AE65" i="2"/>
  <c r="AE31" i="3" s="1"/>
  <c r="Y64" i="2"/>
  <c r="Y29" i="3"/>
  <c r="W70" i="2"/>
  <c r="W35" i="3"/>
  <c r="Y67" i="2"/>
  <c r="Y33" i="3" s="1"/>
  <c r="U33" i="3"/>
  <c r="K70" i="2"/>
  <c r="K35" i="3"/>
  <c r="BO56" i="2"/>
  <c r="BB57" i="2"/>
  <c r="AB73" i="2"/>
  <c r="AB39" i="3" s="1"/>
  <c r="O62" i="2"/>
  <c r="O28" i="3" s="1"/>
  <c r="O26" i="3"/>
  <c r="BQ55" i="2"/>
  <c r="BQ57" i="2" s="1"/>
  <c r="AM55" i="2"/>
  <c r="AM57" i="2" s="1"/>
  <c r="CG46" i="2"/>
  <c r="CM50" i="2" s="1"/>
  <c r="CI46" i="2"/>
  <c r="CM46" i="2" s="1"/>
  <c r="AE45" i="2"/>
  <c r="AB64" i="2"/>
  <c r="AB29" i="3"/>
  <c r="BX56" i="2"/>
  <c r="V55" i="2"/>
  <c r="V57" i="2" s="1"/>
  <c r="AE49" i="2"/>
  <c r="AE51" i="2"/>
  <c r="BW53" i="2"/>
  <c r="BW55" i="2" s="1"/>
  <c r="BW57" i="2" s="1"/>
  <c r="AH69" i="2"/>
  <c r="AN70" i="2" s="1"/>
  <c r="AH60" i="2"/>
  <c r="AH25" i="3"/>
  <c r="S53" i="2"/>
  <c r="AK44" i="2"/>
  <c r="AG53" i="2"/>
  <c r="AG55" i="2" s="1"/>
  <c r="AG57" i="2" s="1"/>
  <c r="AK52" i="2"/>
  <c r="X55" i="2"/>
  <c r="X57" i="2" s="1"/>
  <c r="AE67" i="2"/>
  <c r="AE33" i="3" s="1"/>
  <c r="BY56" i="2"/>
  <c r="AD60" i="2"/>
  <c r="AD69" i="2"/>
  <c r="AJ73" i="2" s="1"/>
  <c r="AJ39" i="3" s="1"/>
  <c r="AD25" i="3"/>
  <c r="AK51" i="2"/>
  <c r="BI39" i="2"/>
  <c r="BZ39" i="2"/>
  <c r="AI55" i="2"/>
  <c r="AI57" i="2" s="1"/>
  <c r="AK19" i="2"/>
  <c r="AK21" i="2" s="1"/>
  <c r="AQ20" i="2"/>
  <c r="AK47" i="2"/>
  <c r="AK49" i="2" s="1"/>
  <c r="BI37" i="2"/>
  <c r="AQ36" i="2"/>
  <c r="AW37" i="2"/>
  <c r="AQ37" i="2"/>
  <c r="AK39" i="2"/>
  <c r="S39" i="2"/>
  <c r="CG33" i="2"/>
  <c r="BW19" i="2"/>
  <c r="BW21" i="2" s="1"/>
  <c r="BW23" i="2" s="1"/>
  <c r="AQ45" i="2"/>
  <c r="AE52" i="2"/>
  <c r="AE53" i="2" s="1"/>
  <c r="BU39" i="2"/>
  <c r="AZ40" i="2"/>
  <c r="BZ37" i="2"/>
  <c r="AE28" i="2"/>
  <c r="CC59" i="2"/>
  <c r="CI61" i="2" s="1"/>
  <c r="CC18" i="2"/>
  <c r="CI22" i="2" s="1"/>
  <c r="CI8" i="2"/>
  <c r="BU19" i="2"/>
  <c r="Y22" i="2"/>
  <c r="Y23" i="2" s="1"/>
  <c r="BO65" i="2"/>
  <c r="BK71" i="2"/>
  <c r="BK31" i="3"/>
  <c r="BO37" i="2"/>
  <c r="BC22" i="2"/>
  <c r="U23" i="2"/>
  <c r="BT64" i="2"/>
  <c r="BT29" i="3"/>
  <c r="AW17" i="2"/>
  <c r="BY22" i="2"/>
  <c r="BC37" i="2"/>
  <c r="BU30" i="2"/>
  <c r="BU32" i="2" s="1"/>
  <c r="BU34" i="2" s="1"/>
  <c r="CA33" i="2"/>
  <c r="BS71" i="2"/>
  <c r="BS37" i="3" s="1"/>
  <c r="BS31" i="3"/>
  <c r="BX22" i="2"/>
  <c r="CC63" i="2"/>
  <c r="CI12" i="2"/>
  <c r="CD67" i="2"/>
  <c r="CD33" i="3" s="1"/>
  <c r="BX63" i="2"/>
  <c r="CD12" i="2"/>
  <c r="BW73" i="2"/>
  <c r="CA61" i="2"/>
  <c r="CA27" i="3" s="1"/>
  <c r="BW27" i="3"/>
  <c r="BL62" i="2"/>
  <c r="BL28" i="3" s="1"/>
  <c r="BL26" i="3"/>
  <c r="BO64" i="2"/>
  <c r="BU67" i="2"/>
  <c r="BU33" i="3" s="1"/>
  <c r="BO29" i="3"/>
  <c r="BH70" i="2"/>
  <c r="BH35" i="3"/>
  <c r="BN66" i="2"/>
  <c r="BN30" i="3"/>
  <c r="BG36" i="3"/>
  <c r="BU60" i="2"/>
  <c r="BU25" i="3"/>
  <c r="BO61" i="2"/>
  <c r="BO27" i="3" s="1"/>
  <c r="BK73" i="2"/>
  <c r="BK27" i="3"/>
  <c r="AW67" i="2"/>
  <c r="AW33" i="3" s="1"/>
  <c r="AS33" i="3"/>
  <c r="AW60" i="2"/>
  <c r="AW25" i="3"/>
  <c r="AQ29" i="3"/>
  <c r="BB70" i="2"/>
  <c r="BB35" i="3"/>
  <c r="AJ62" i="2"/>
  <c r="AJ28" i="3" s="1"/>
  <c r="AJ26" i="3"/>
  <c r="AW70" i="2"/>
  <c r="AW35" i="3"/>
  <c r="AO73" i="2"/>
  <c r="AO39" i="3" s="1"/>
  <c r="AO27" i="3"/>
  <c r="BH62" i="2"/>
  <c r="BH28" i="3" s="1"/>
  <c r="BH26" i="3"/>
  <c r="AO66" i="2"/>
  <c r="AO30" i="3"/>
  <c r="AO71" i="2"/>
  <c r="AO37" i="3" s="1"/>
  <c r="AO31" i="3"/>
  <c r="BH66" i="2"/>
  <c r="BH30" i="3"/>
  <c r="AV66" i="2"/>
  <c r="AV30" i="3"/>
  <c r="AP73" i="2"/>
  <c r="AP39" i="3" s="1"/>
  <c r="AP27" i="3"/>
  <c r="V71" i="2"/>
  <c r="V37" i="3" s="1"/>
  <c r="V66" i="2"/>
  <c r="V31" i="3"/>
  <c r="J70" i="2"/>
  <c r="J35" i="3"/>
  <c r="Y69" i="2"/>
  <c r="U70" i="2"/>
  <c r="U35" i="3"/>
  <c r="Q66" i="2"/>
  <c r="Q30" i="3"/>
  <c r="W73" i="2"/>
  <c r="W39" i="3" s="1"/>
  <c r="W27" i="3"/>
  <c r="L73" i="2"/>
  <c r="L39" i="3" s="1"/>
  <c r="L27" i="3"/>
  <c r="U66" i="2"/>
  <c r="U30" i="3"/>
  <c r="AC73" i="2"/>
  <c r="AC39" i="3" s="1"/>
  <c r="AC27" i="3"/>
  <c r="O66" i="2"/>
  <c r="O30" i="3"/>
  <c r="Y53" i="2"/>
  <c r="Y55" i="2" s="1"/>
  <c r="Y57" i="2" s="1"/>
  <c r="AE54" i="2"/>
  <c r="O71" i="2"/>
  <c r="O37" i="3" s="1"/>
  <c r="O31" i="3"/>
  <c r="U73" i="2"/>
  <c r="U27" i="3"/>
  <c r="J73" i="2"/>
  <c r="J39" i="3" s="1"/>
  <c r="J27" i="3"/>
  <c r="BU53" i="2"/>
  <c r="CA56" i="2"/>
  <c r="BX52" i="2"/>
  <c r="CD42" i="2"/>
  <c r="P68" i="2"/>
  <c r="P34" i="3" s="1"/>
  <c r="P32" i="3"/>
  <c r="AK54" i="2"/>
  <c r="CC52" i="2"/>
  <c r="CI56" i="2" s="1"/>
  <c r="CI42" i="2"/>
  <c r="AN27" i="3"/>
  <c r="AB69" i="2"/>
  <c r="AB60" i="2"/>
  <c r="AB25" i="3"/>
  <c r="BZ52" i="2"/>
  <c r="CF42" i="2"/>
  <c r="AQ56" i="2"/>
  <c r="BI56" i="2"/>
  <c r="AJ27" i="3"/>
  <c r="BC38" i="2"/>
  <c r="BI36" i="2"/>
  <c r="BI38" i="2" s="1"/>
  <c r="BI40" i="2" s="1"/>
  <c r="BO39" i="2"/>
  <c r="S40" i="2"/>
  <c r="BY35" i="2"/>
  <c r="CE39" i="2" s="1"/>
  <c r="CE25" i="2"/>
  <c r="CA50" i="2"/>
  <c r="BU47" i="2"/>
  <c r="BU49" i="2" s="1"/>
  <c r="BU51" i="2" s="1"/>
  <c r="CA48" i="2"/>
  <c r="CA49" i="2" s="1"/>
  <c r="CA51" i="2" s="1"/>
  <c r="AW39" i="2"/>
  <c r="AE36" i="2"/>
  <c r="I40" i="2"/>
  <c r="CG29" i="2"/>
  <c r="CG30" i="2" s="1"/>
  <c r="CI29" i="2"/>
  <c r="CM29" i="2" s="1"/>
  <c r="AE39" i="2"/>
  <c r="AK22" i="2"/>
  <c r="BW60" i="2"/>
  <c r="BW69" i="2"/>
  <c r="BW25" i="3"/>
  <c r="BU22" i="2"/>
  <c r="M23" i="2"/>
  <c r="BI15" i="2"/>
  <c r="BI17" i="2" s="1"/>
  <c r="BA71" i="2"/>
  <c r="BA37" i="3" s="1"/>
  <c r="BA31" i="3"/>
  <c r="CC20" i="2"/>
  <c r="BW71" i="2"/>
  <c r="BW31" i="3"/>
  <c r="BU37" i="2"/>
  <c r="AE22" i="2"/>
  <c r="AW23" i="2"/>
  <c r="AE20" i="2"/>
  <c r="AE21" i="2" s="1"/>
  <c r="AE23" i="2" s="1"/>
  <c r="BT69" i="2"/>
  <c r="BZ71" i="2" s="1"/>
  <c r="BZ37" i="3" s="1"/>
  <c r="BT60" i="2"/>
  <c r="BT25" i="3"/>
  <c r="BU20" i="2"/>
  <c r="BT71" i="2"/>
  <c r="BT37" i="3" s="1"/>
  <c r="BT31" i="3"/>
  <c r="BT65" i="3" s="1"/>
  <c r="BT71" i="3" s="1"/>
  <c r="BY27" i="3"/>
  <c r="BH71" i="2"/>
  <c r="BH37" i="3" s="1"/>
  <c r="BH31" i="3"/>
  <c r="BX59" i="2"/>
  <c r="BX18" i="2"/>
  <c r="CD8" i="2"/>
  <c r="BX27" i="3"/>
  <c r="BU13" i="2"/>
  <c r="BU15" i="2" s="1"/>
  <c r="BU17" i="2" s="1"/>
  <c r="CA16" i="2"/>
  <c r="CA14" i="2"/>
  <c r="BY20" i="2"/>
  <c r="CA20" i="2" s="1"/>
  <c r="BQ62" i="2"/>
  <c r="BQ28" i="3" s="1"/>
  <c r="BQ26" i="3"/>
  <c r="BL66" i="2"/>
  <c r="BL30" i="3"/>
  <c r="BR73" i="2"/>
  <c r="BR39" i="3" s="1"/>
  <c r="BR27" i="3"/>
  <c r="BU61" i="2"/>
  <c r="BU27" i="3" s="1"/>
  <c r="BO60" i="2"/>
  <c r="BO25" i="3"/>
  <c r="BC60" i="2"/>
  <c r="BC25" i="3"/>
  <c r="BN73" i="2"/>
  <c r="BN39" i="3" s="1"/>
  <c r="BN27" i="3"/>
  <c r="BF66" i="2"/>
  <c r="BF30" i="3"/>
  <c r="BN70" i="2"/>
  <c r="BN35" i="3"/>
  <c r="BO67" i="2"/>
  <c r="BO33" i="3" s="1"/>
  <c r="BI64" i="2"/>
  <c r="BI29" i="3"/>
  <c r="BA66" i="2"/>
  <c r="BA30" i="3"/>
  <c r="AU71" i="2"/>
  <c r="AU37" i="3" s="1"/>
  <c r="AU66" i="2"/>
  <c r="AU31" i="3"/>
  <c r="BC61" i="2"/>
  <c r="BC27" i="3" s="1"/>
  <c r="AQ25" i="3"/>
  <c r="BH73" i="2"/>
  <c r="BH39" i="3" s="1"/>
  <c r="BH27" i="3"/>
  <c r="AP70" i="2"/>
  <c r="AP35" i="3"/>
  <c r="BG68" i="2"/>
  <c r="BG34" i="3" s="1"/>
  <c r="BG32" i="3"/>
  <c r="AT62" i="2"/>
  <c r="AT28" i="3" s="1"/>
  <c r="AT26" i="3"/>
  <c r="AJ30" i="3"/>
  <c r="AN66" i="2"/>
  <c r="AN30" i="3"/>
  <c r="BA36" i="3"/>
  <c r="AW61" i="2"/>
  <c r="AW27" i="3" s="1"/>
  <c r="W66" i="2"/>
  <c r="W30" i="3"/>
  <c r="AA73" i="2"/>
  <c r="AA27" i="3"/>
  <c r="M60" i="2"/>
  <c r="S61" i="2"/>
  <c r="S27" i="3" s="1"/>
  <c r="M25" i="3"/>
  <c r="AZ57" i="2"/>
  <c r="S67" i="2"/>
  <c r="S33" i="3" s="1"/>
  <c r="O33" i="3"/>
  <c r="L36" i="3"/>
  <c r="AW55" i="2"/>
  <c r="AW57" i="2" s="1"/>
  <c r="S56" i="2"/>
  <c r="AA71" i="2"/>
  <c r="AA31" i="3"/>
  <c r="Q71" i="2"/>
  <c r="Q37" i="3" s="1"/>
  <c r="Q31" i="3"/>
  <c r="U71" i="2"/>
  <c r="U31" i="3"/>
  <c r="L71" i="2"/>
  <c r="L37" i="3" s="1"/>
  <c r="BU56" i="2"/>
  <c r="AS68" i="2"/>
  <c r="AS34" i="3" s="1"/>
  <c r="Q73" i="2"/>
  <c r="Q39" i="3" s="1"/>
  <c r="Q27" i="3"/>
  <c r="I70" i="2"/>
  <c r="M69" i="2"/>
  <c r="I35" i="3"/>
  <c r="AD73" i="2"/>
  <c r="AD39" i="3" s="1"/>
  <c r="AD33" i="3"/>
  <c r="AK63" i="2"/>
  <c r="AQ64" i="2" s="1"/>
  <c r="AG64" i="2"/>
  <c r="AM64" i="2"/>
  <c r="AG29" i="3"/>
  <c r="L62" i="2"/>
  <c r="L28" i="3" s="1"/>
  <c r="BU54" i="2"/>
  <c r="AA64" i="2"/>
  <c r="AE63" i="2"/>
  <c r="AA29" i="3"/>
  <c r="AD64" i="2"/>
  <c r="AD29" i="3"/>
  <c r="AG69" i="2"/>
  <c r="AK59" i="2"/>
  <c r="AM60" i="2"/>
  <c r="AG60" i="2"/>
  <c r="AG25" i="3"/>
  <c r="AG27" i="3"/>
  <c r="AH64" i="2"/>
  <c r="AH29" i="3"/>
  <c r="AC64" i="2"/>
  <c r="AC29" i="3"/>
  <c r="BY52" i="2"/>
  <c r="CE56" i="2" s="1"/>
  <c r="CE42" i="2"/>
  <c r="AD57" i="2"/>
  <c r="BO54" i="2"/>
  <c r="BO55" i="2" s="1"/>
  <c r="BO57" i="2" s="1"/>
  <c r="Y39" i="2"/>
  <c r="Y40" i="2" s="1"/>
  <c r="V40" i="2"/>
  <c r="BX35" i="2"/>
  <c r="CD39" i="2" s="1"/>
  <c r="CD25" i="2"/>
  <c r="AK43" i="2"/>
  <c r="BW36" i="2"/>
  <c r="BW38" i="2" s="1"/>
  <c r="BW40" i="2" s="1"/>
  <c r="AS40" i="2"/>
  <c r="CC35" i="2"/>
  <c r="CI39" i="2" s="1"/>
  <c r="CI25" i="2"/>
  <c r="CC27" i="3"/>
  <c r="BG71" i="2"/>
  <c r="BG37" i="3" s="1"/>
  <c r="BG31" i="3"/>
  <c r="BZ63" i="2"/>
  <c r="CF12" i="2"/>
  <c r="BC20" i="2"/>
  <c r="BZ59" i="2"/>
  <c r="BZ18" i="2"/>
  <c r="BZ19" i="2" s="1"/>
  <c r="BZ21" i="2" s="1"/>
  <c r="BZ23" i="2" s="1"/>
  <c r="CF8" i="2"/>
  <c r="BZ27" i="3"/>
  <c r="CA22" i="2"/>
  <c r="BM23" i="2"/>
  <c r="BS60" i="2"/>
  <c r="BS69" i="2"/>
  <c r="BS25" i="3"/>
  <c r="CG31" i="2"/>
  <c r="BB71" i="2"/>
  <c r="BB37" i="3" s="1"/>
  <c r="BX31" i="3"/>
  <c r="U5" i="2"/>
  <c r="S5" i="2"/>
  <c r="BR21" i="2"/>
  <c r="BR23" i="2" s="1"/>
  <c r="BR60" i="2"/>
  <c r="BR69" i="2"/>
  <c r="BR25" i="3"/>
  <c r="BN71" i="2"/>
  <c r="BN37" i="3" s="1"/>
  <c r="BN31" i="3"/>
  <c r="BN65" i="3" s="1"/>
  <c r="BW64" i="2"/>
  <c r="CA63" i="2"/>
  <c r="BW29" i="3"/>
  <c r="BR64" i="2"/>
  <c r="BU63" i="2"/>
  <c r="BR29" i="3"/>
  <c r="BS64" i="2"/>
  <c r="BS29" i="3"/>
  <c r="BW33" i="3"/>
  <c r="AZ66" i="2"/>
  <c r="AZ30" i="3"/>
  <c r="BO69" i="2"/>
  <c r="BK70" i="2"/>
  <c r="BK35" i="3"/>
  <c r="BC69" i="2"/>
  <c r="AY70" i="2"/>
  <c r="AY35" i="3"/>
  <c r="BN62" i="2"/>
  <c r="BN28" i="3" s="1"/>
  <c r="BN26" i="3"/>
  <c r="BF73" i="2"/>
  <c r="BF39" i="3" s="1"/>
  <c r="BF27" i="3"/>
  <c r="BI60" i="2"/>
  <c r="BI25" i="3"/>
  <c r="BA62" i="2"/>
  <c r="BA28" i="3" s="1"/>
  <c r="BA26" i="3"/>
  <c r="BC67" i="2"/>
  <c r="BC33" i="3" s="1"/>
  <c r="AW64" i="2"/>
  <c r="AW29" i="3"/>
  <c r="AY39" i="3"/>
  <c r="BK68" i="2"/>
  <c r="BK34" i="3" s="1"/>
  <c r="BK32" i="3"/>
  <c r="AP68" i="2"/>
  <c r="AP34" i="3" s="1"/>
  <c r="AP32" i="3"/>
  <c r="BE62" i="2"/>
  <c r="BE28" i="3" s="1"/>
  <c r="AT66" i="2"/>
  <c r="AT30" i="3"/>
  <c r="AZ73" i="2"/>
  <c r="AZ39" i="3" s="1"/>
  <c r="AZ27" i="3"/>
  <c r="AI62" i="2"/>
  <c r="AI28" i="3" s="1"/>
  <c r="AI26" i="3"/>
  <c r="BL36" i="3"/>
  <c r="BB68" i="2"/>
  <c r="BB34" i="3" s="1"/>
  <c r="BB32" i="3"/>
  <c r="AV71" i="2"/>
  <c r="AV37" i="3" s="1"/>
  <c r="AV31" i="3"/>
  <c r="AN62" i="2"/>
  <c r="AN28" i="3" s="1"/>
  <c r="AN26" i="3"/>
  <c r="BM68" i="2"/>
  <c r="BM34" i="3" s="1"/>
  <c r="BM32" i="3"/>
  <c r="BI67" i="2"/>
  <c r="BI33" i="3" s="1"/>
  <c r="BC64" i="2"/>
  <c r="BC29" i="3"/>
  <c r="AV62" i="2"/>
  <c r="AV28" i="3" s="1"/>
  <c r="AV26" i="3"/>
  <c r="AS73" i="2"/>
  <c r="P70" i="2"/>
  <c r="P35" i="3"/>
  <c r="G69" i="2"/>
  <c r="AE61" i="2"/>
  <c r="AE27" i="3" s="1"/>
  <c r="Y60" i="2"/>
  <c r="Y25" i="3"/>
  <c r="O70" i="2"/>
  <c r="S69" i="2"/>
  <c r="O35" i="3"/>
  <c r="O73" i="2"/>
  <c r="O27" i="3"/>
  <c r="AS57" i="2"/>
  <c r="AO62" i="2"/>
  <c r="AO28" i="3" s="1"/>
  <c r="Q62" i="2"/>
  <c r="Q28" i="3" s="1"/>
  <c r="Q26" i="3"/>
  <c r="AY55" i="2"/>
  <c r="AY57" i="2" s="1"/>
  <c r="BC56" i="2"/>
  <c r="AV73" i="2"/>
  <c r="AV39" i="3" s="1"/>
  <c r="W62" i="2"/>
  <c r="W28" i="3" s="1"/>
  <c r="W26" i="3"/>
  <c r="Y65" i="2"/>
  <c r="Y31" i="3" s="1"/>
  <c r="S64" i="2"/>
  <c r="S29" i="3"/>
  <c r="V73" i="2"/>
  <c r="V39" i="3" s="1"/>
  <c r="AT71" i="2"/>
  <c r="AT37" i="3" s="1"/>
  <c r="Y61" i="2"/>
  <c r="Y27" i="3" s="1"/>
  <c r="S60" i="2"/>
  <c r="S25" i="3"/>
  <c r="J62" i="2"/>
  <c r="J28" i="3" s="1"/>
  <c r="J26" i="3"/>
  <c r="S54" i="2"/>
  <c r="AM67" i="2"/>
  <c r="AH71" i="2"/>
  <c r="AH37" i="3" s="1"/>
  <c r="AH31" i="3"/>
  <c r="BU43" i="2"/>
  <c r="BU45" i="2" s="1"/>
  <c r="CA44" i="2"/>
  <c r="AC69" i="2"/>
  <c r="AI70" i="2" s="1"/>
  <c r="AC60" i="2"/>
  <c r="AC25" i="3"/>
  <c r="BO45" i="2"/>
  <c r="BX54" i="2"/>
  <c r="CA54" i="2" s="1"/>
  <c r="AG65" i="2"/>
  <c r="CA42" i="2"/>
  <c r="AH53" i="2"/>
  <c r="AH55" i="2" s="1"/>
  <c r="AH57" i="2" s="1"/>
  <c r="AN53" i="2"/>
  <c r="AN55" i="2" s="1"/>
  <c r="AN57" i="2" s="1"/>
  <c r="BI54" i="2"/>
  <c r="BI55" i="2" s="1"/>
  <c r="AJ65" i="2"/>
  <c r="AJ66" i="2" s="1"/>
  <c r="AM61" i="2"/>
  <c r="AA69" i="2"/>
  <c r="AA60" i="2"/>
  <c r="AE59" i="2"/>
  <c r="AA25" i="3"/>
  <c r="Q70" i="2"/>
  <c r="BI49" i="2"/>
  <c r="AE56" i="2"/>
  <c r="AN67" i="2"/>
  <c r="AN33" i="3" s="1"/>
  <c r="AI65" i="2"/>
  <c r="AJ56" i="2"/>
  <c r="AK56" i="2" s="1"/>
  <c r="AE37" i="2"/>
  <c r="BZ35" i="2"/>
  <c r="CF25" i="2"/>
  <c r="AC57" i="2"/>
  <c r="AW38" i="2"/>
  <c r="AW40" i="2" s="1"/>
  <c r="CG27" i="2"/>
  <c r="AQ39" i="2"/>
  <c r="AK37" i="2"/>
  <c r="AK38" i="2" s="1"/>
  <c r="M36" i="2"/>
  <c r="M38" i="2" s="1"/>
  <c r="M40" i="2" s="1"/>
  <c r="CI37" i="2"/>
  <c r="BU26" i="2"/>
  <c r="BU28" i="2" s="1"/>
  <c r="CA27" i="2"/>
  <c r="CA28" i="2" s="1"/>
  <c r="AA57" i="2"/>
  <c r="BO36" i="2"/>
  <c r="BO38" i="2" s="1"/>
  <c r="BO40" i="2" s="1"/>
  <c r="BG38" i="2"/>
  <c r="BG40" i="2" s="1"/>
  <c r="BC39" i="2"/>
  <c r="CC39" i="2"/>
  <c r="BY31" i="3"/>
  <c r="BO22" i="2"/>
  <c r="BI19" i="2"/>
  <c r="BI21" i="2" s="1"/>
  <c r="BI23" i="2" s="1"/>
  <c r="AQ22" i="2"/>
  <c r="S22" i="2"/>
  <c r="S23" i="2" s="1"/>
  <c r="BO20" i="2"/>
  <c r="BO21" i="2" s="1"/>
  <c r="BO23" i="2" s="1"/>
  <c r="CC71" i="2"/>
  <c r="CC31" i="3"/>
  <c r="AS23" i="2"/>
  <c r="BZ31" i="3"/>
  <c r="BG21" i="2"/>
  <c r="BG23" i="2" s="1"/>
  <c r="AQ19" i="2"/>
  <c r="AQ21" i="2" s="1"/>
  <c r="BU65" i="2"/>
  <c r="BU31" i="3" s="1"/>
  <c r="BQ71" i="2"/>
  <c r="BQ31" i="3"/>
  <c r="BQ65" i="3" s="1"/>
  <c r="BQ71" i="3" s="1"/>
  <c r="W6" i="2"/>
  <c r="X6" i="2" s="1"/>
  <c r="AA6" i="2" s="1"/>
  <c r="AB6" i="2"/>
  <c r="BL71" i="2"/>
  <c r="BL37" i="3" s="1"/>
  <c r="BL31" i="3"/>
  <c r="BU9" i="2"/>
  <c r="BU11" i="2" s="1"/>
  <c r="CA10" i="2"/>
  <c r="BC19" i="2"/>
  <c r="BC21" i="2" s="1"/>
  <c r="CC67" i="2"/>
  <c r="CC73" i="2" s="1"/>
  <c r="BX67" i="2"/>
  <c r="BX33" i="3" s="1"/>
  <c r="BM71" i="2"/>
  <c r="BM31" i="3"/>
  <c r="BY67" i="2"/>
  <c r="BY33" i="3" s="1"/>
  <c r="BQ20" i="3"/>
  <c r="BZ10" i="3"/>
  <c r="BX69" i="1"/>
  <c r="BX70" i="1" s="1"/>
  <c r="CD73" i="1"/>
  <c r="CD59" i="1"/>
  <c r="CA59" i="1"/>
  <c r="CA43" i="1"/>
  <c r="CG45" i="1"/>
  <c r="CG44" i="1"/>
  <c r="BR53" i="1"/>
  <c r="BR55" i="1" s="1"/>
  <c r="BR57" i="1" s="1"/>
  <c r="BR12" i="3"/>
  <c r="CF42" i="1"/>
  <c r="BX76" i="1"/>
  <c r="CD78" i="1" s="1"/>
  <c r="BX18" i="1"/>
  <c r="CD22" i="1" s="1"/>
  <c r="CD8" i="1"/>
  <c r="CD97" i="6" s="1"/>
  <c r="CD22" i="7" s="1"/>
  <c r="CA8" i="1"/>
  <c r="BX10" i="3"/>
  <c r="BQ79" i="1"/>
  <c r="BQ11" i="3" s="1"/>
  <c r="BQ9" i="3"/>
  <c r="BQ83" i="1"/>
  <c r="BQ13" i="3"/>
  <c r="BL83" i="1"/>
  <c r="BL13" i="3"/>
  <c r="BO81" i="1"/>
  <c r="BU84" i="1"/>
  <c r="BN85" i="1"/>
  <c r="BN17" i="3" s="1"/>
  <c r="BN15" i="3"/>
  <c r="BK79" i="1"/>
  <c r="BK11" i="3" s="1"/>
  <c r="BK9" i="3"/>
  <c r="AW70" i="1"/>
  <c r="BC73" i="1"/>
  <c r="AK70" i="1"/>
  <c r="BZ73" i="1"/>
  <c r="BC71" i="1"/>
  <c r="CF73" i="1"/>
  <c r="CF59" i="1"/>
  <c r="BZ69" i="1"/>
  <c r="BI70" i="1"/>
  <c r="BO71" i="1"/>
  <c r="AK73" i="1"/>
  <c r="BZ71" i="1"/>
  <c r="CC69" i="1"/>
  <c r="CI71" i="1" s="1"/>
  <c r="CI59" i="1"/>
  <c r="BL87" i="1"/>
  <c r="BF18" i="3"/>
  <c r="BI18" i="3" s="1"/>
  <c r="BS74" i="1"/>
  <c r="AM74" i="1"/>
  <c r="AQ74" i="1" s="1"/>
  <c r="AA74" i="1"/>
  <c r="AE74" i="1" s="1"/>
  <c r="S74" i="1"/>
  <c r="CF51" i="1"/>
  <c r="CF49" i="1" s="1"/>
  <c r="CF47" i="1" s="1"/>
  <c r="CE49" i="1"/>
  <c r="CE47" i="1" s="1"/>
  <c r="BO56" i="1"/>
  <c r="BX54" i="1"/>
  <c r="S56" i="1"/>
  <c r="CI25" i="1"/>
  <c r="CC35" i="1"/>
  <c r="BZ51" i="1"/>
  <c r="BZ49" i="1" s="1"/>
  <c r="BZ47" i="1" s="1"/>
  <c r="BY49" i="1"/>
  <c r="BY47" i="1" s="1"/>
  <c r="BY46" i="1" s="1"/>
  <c r="BX56" i="1"/>
  <c r="CL51" i="1"/>
  <c r="CL49" i="1" s="1"/>
  <c r="CL47" i="1" s="1"/>
  <c r="CK49" i="1"/>
  <c r="CK47" i="1" s="1"/>
  <c r="BY54" i="1"/>
  <c r="BI39" i="1"/>
  <c r="BU37" i="1"/>
  <c r="S57" i="1"/>
  <c r="BW81" i="1"/>
  <c r="BW12" i="3"/>
  <c r="BM40" i="1"/>
  <c r="BW19" i="1"/>
  <c r="BW21" i="1" s="1"/>
  <c r="BW23" i="1" s="1"/>
  <c r="AQ22" i="1"/>
  <c r="AQ20" i="1"/>
  <c r="AK19" i="1"/>
  <c r="AK21" i="1" s="1"/>
  <c r="AK23" i="1" s="1"/>
  <c r="BR88" i="1"/>
  <c r="BR20" i="3" s="1"/>
  <c r="BR14" i="3"/>
  <c r="CC22" i="1"/>
  <c r="BC57" i="1"/>
  <c r="AK57" i="1"/>
  <c r="BU82" i="1"/>
  <c r="BC51" i="1"/>
  <c r="AE22" i="1"/>
  <c r="CE8" i="1"/>
  <c r="CE97" i="6" s="1"/>
  <c r="CE22" i="7" s="1"/>
  <c r="BY39" i="1"/>
  <c r="AW19" i="1"/>
  <c r="AW21" i="1" s="1"/>
  <c r="BC22" i="1"/>
  <c r="AW22" i="1"/>
  <c r="BZ18" i="1"/>
  <c r="CF22" i="1" s="1"/>
  <c r="CF8" i="1"/>
  <c r="CF97" i="6" s="1"/>
  <c r="CF22" i="7" s="1"/>
  <c r="BM88" i="1"/>
  <c r="BM14" i="3"/>
  <c r="BM65" i="3" s="1"/>
  <c r="BR19" i="1"/>
  <c r="BR21" i="1" s="1"/>
  <c r="BR23" i="1" s="1"/>
  <c r="BU18" i="1"/>
  <c r="BO20" i="1"/>
  <c r="BO21" i="1" s="1"/>
  <c r="BO23" i="1" s="1"/>
  <c r="BN87" i="1"/>
  <c r="BN18" i="3"/>
  <c r="BT90" i="1"/>
  <c r="BT22" i="3" s="1"/>
  <c r="BK90" i="1"/>
  <c r="BO78" i="1"/>
  <c r="BK10" i="3"/>
  <c r="BO79" i="1"/>
  <c r="AE70" i="1"/>
  <c r="AK71" i="1"/>
  <c r="BW70" i="1"/>
  <c r="BW72" i="1" s="1"/>
  <c r="BW74" i="1" s="1"/>
  <c r="AE73" i="1"/>
  <c r="BC53" i="1"/>
  <c r="BI56" i="1"/>
  <c r="AE54" i="1"/>
  <c r="Y53" i="1"/>
  <c r="Y55" i="1" s="1"/>
  <c r="BC74" i="1"/>
  <c r="AK74" i="1"/>
  <c r="M74" i="1"/>
  <c r="AE53" i="1"/>
  <c r="AK54" i="1"/>
  <c r="AK55" i="1" s="1"/>
  <c r="CE42" i="1"/>
  <c r="BY52" i="1"/>
  <c r="BY53" i="1" s="1"/>
  <c r="BY55" i="1" s="1"/>
  <c r="AE56" i="1"/>
  <c r="BY56" i="1"/>
  <c r="BL74" i="1"/>
  <c r="CA63" i="1"/>
  <c r="CD42" i="1"/>
  <c r="AQ36" i="1"/>
  <c r="AW37" i="1"/>
  <c r="AK56" i="1"/>
  <c r="BZ46" i="1"/>
  <c r="AW39" i="1"/>
  <c r="BX29" i="1"/>
  <c r="BU29" i="1"/>
  <c r="BR70" i="1"/>
  <c r="BR72" i="1" s="1"/>
  <c r="BR74" i="1" s="1"/>
  <c r="BU69" i="1"/>
  <c r="BI38" i="1"/>
  <c r="BI40" i="1" s="1"/>
  <c r="AW57" i="1"/>
  <c r="BN40" i="1"/>
  <c r="BW36" i="1"/>
  <c r="BW38" i="1" s="1"/>
  <c r="BW40" i="1" s="1"/>
  <c r="CC80" i="1"/>
  <c r="CI12" i="1"/>
  <c r="CC16" i="3"/>
  <c r="CI29" i="1"/>
  <c r="CF28" i="1"/>
  <c r="CF26" i="1" s="1"/>
  <c r="CE26" i="1"/>
  <c r="BC23" i="1"/>
  <c r="CC10" i="3"/>
  <c r="CI37" i="1"/>
  <c r="AP21" i="1"/>
  <c r="AP23" i="1" s="1"/>
  <c r="BY22" i="1"/>
  <c r="BO39" i="1"/>
  <c r="BN21" i="1"/>
  <c r="AQ19" i="1"/>
  <c r="AQ21" i="1" s="1"/>
  <c r="BS80" i="1"/>
  <c r="BY12" i="1"/>
  <c r="BZ80" i="1"/>
  <c r="CF12" i="1"/>
  <c r="BK88" i="1"/>
  <c r="BO82" i="1"/>
  <c r="BK14" i="3"/>
  <c r="BU16" i="3"/>
  <c r="BQ87" i="1"/>
  <c r="BQ18" i="3"/>
  <c r="BL79" i="1"/>
  <c r="BL11" i="3" s="1"/>
  <c r="BL9" i="3"/>
  <c r="BK83" i="1"/>
  <c r="BK13" i="3"/>
  <c r="BO13" i="3" s="1"/>
  <c r="BK87" i="1"/>
  <c r="BO86" i="1"/>
  <c r="BO87" i="1" s="1"/>
  <c r="BK18" i="3"/>
  <c r="BO18" i="3" s="1"/>
  <c r="AW73" i="1"/>
  <c r="AE71" i="1"/>
  <c r="CC73" i="1"/>
  <c r="CC71" i="1"/>
  <c r="BU63" i="1"/>
  <c r="BY69" i="1"/>
  <c r="CE59" i="1"/>
  <c r="AW74" i="1"/>
  <c r="Y74" i="1"/>
  <c r="BC54" i="1"/>
  <c r="AQ56" i="1"/>
  <c r="BU56" i="1"/>
  <c r="BO53" i="1"/>
  <c r="BI54" i="1"/>
  <c r="BO36" i="1"/>
  <c r="BU39" i="1"/>
  <c r="AW36" i="1"/>
  <c r="AW38" i="1" s="1"/>
  <c r="AW40" i="1" s="1"/>
  <c r="BX35" i="1"/>
  <c r="CD25" i="1"/>
  <c r="BU60" i="1"/>
  <c r="CA61" i="1"/>
  <c r="CA62" i="1"/>
  <c r="BW53" i="1"/>
  <c r="BW55" i="1" s="1"/>
  <c r="BW57" i="1" s="1"/>
  <c r="AZ38" i="1"/>
  <c r="AZ40" i="1" s="1"/>
  <c r="BX71" i="1"/>
  <c r="CA71" i="1" s="1"/>
  <c r="BO37" i="1"/>
  <c r="BT88" i="1"/>
  <c r="BT20" i="3" s="1"/>
  <c r="M20" i="1"/>
  <c r="Y20" i="1"/>
  <c r="S19" i="1"/>
  <c r="CC76" i="1"/>
  <c r="CI78" i="1" s="1"/>
  <c r="CC18" i="1"/>
  <c r="CI20" i="1" s="1"/>
  <c r="CI8" i="1"/>
  <c r="CI97" i="6" s="1"/>
  <c r="CG8" i="1"/>
  <c r="CG9" i="1" s="1"/>
  <c r="BW77" i="1"/>
  <c r="BW86" i="1"/>
  <c r="BW8" i="3"/>
  <c r="AQ57" i="1"/>
  <c r="AE57" i="1"/>
  <c r="BG38" i="1"/>
  <c r="BG40" i="1" s="1"/>
  <c r="BZ37" i="1"/>
  <c r="CA16" i="1"/>
  <c r="BU13" i="1"/>
  <c r="BU15" i="1" s="1"/>
  <c r="BU17" i="1" s="1"/>
  <c r="CD12" i="1"/>
  <c r="BU20" i="1"/>
  <c r="AE20" i="1"/>
  <c r="AE21" i="1" s="1"/>
  <c r="AE23" i="1" s="1"/>
  <c r="BS77" i="1"/>
  <c r="BS8" i="3"/>
  <c r="BQ21" i="1"/>
  <c r="BQ23" i="1" s="1"/>
  <c r="BL88" i="1"/>
  <c r="BS88" i="1"/>
  <c r="BS20" i="3" s="1"/>
  <c r="BS14" i="3"/>
  <c r="BT80" i="1"/>
  <c r="BT21" i="1"/>
  <c r="BT23" i="1" s="1"/>
  <c r="W6" i="1"/>
  <c r="X6" i="1" s="1"/>
  <c r="AA6" i="1" s="1"/>
  <c r="AB6" i="1"/>
  <c r="BY20" i="1"/>
  <c r="BW90" i="1"/>
  <c r="BW10" i="3"/>
  <c r="BW16" i="3"/>
  <c r="BQ90" i="1"/>
  <c r="BU78" i="1"/>
  <c r="BQ10" i="3"/>
  <c r="AW71" i="1"/>
  <c r="BM85" i="1"/>
  <c r="BM17" i="3" s="1"/>
  <c r="BM15" i="3"/>
  <c r="BC70" i="1"/>
  <c r="BC72" i="1" s="1"/>
  <c r="BI73" i="1"/>
  <c r="BI71" i="1"/>
  <c r="BO72" i="1"/>
  <c r="BO74" i="1" s="1"/>
  <c r="BL90" i="1"/>
  <c r="BL22" i="3" s="1"/>
  <c r="BL10" i="3"/>
  <c r="BU71" i="1"/>
  <c r="CF63" i="1"/>
  <c r="S70" i="1"/>
  <c r="S72" i="1" s="1"/>
  <c r="CE63" i="1"/>
  <c r="BI53" i="1"/>
  <c r="BC56" i="1"/>
  <c r="CI63" i="1"/>
  <c r="BO54" i="1"/>
  <c r="CA45" i="1"/>
  <c r="BU43" i="1"/>
  <c r="CA44" i="1"/>
  <c r="BU46" i="1"/>
  <c r="BX46" i="1"/>
  <c r="BX52" i="1" s="1"/>
  <c r="BU73" i="1"/>
  <c r="AQ53" i="1"/>
  <c r="AQ55" i="1" s="1"/>
  <c r="CC52" i="1"/>
  <c r="CI56" i="1" s="1"/>
  <c r="CG42" i="1"/>
  <c r="CG43" i="1" s="1"/>
  <c r="CI42" i="1"/>
  <c r="CF29" i="1"/>
  <c r="Y57" i="1"/>
  <c r="BT52" i="1"/>
  <c r="BT53" i="1" s="1"/>
  <c r="BT55" i="1" s="1"/>
  <c r="BT57" i="1" s="1"/>
  <c r="BZ28" i="1"/>
  <c r="BZ26" i="1" s="1"/>
  <c r="BZ25" i="1" s="1"/>
  <c r="BY26" i="1"/>
  <c r="BY25" i="1" s="1"/>
  <c r="BW88" i="1"/>
  <c r="BR35" i="1"/>
  <c r="S20" i="1"/>
  <c r="M19" i="1"/>
  <c r="M21" i="1" s="1"/>
  <c r="M23" i="1" s="1"/>
  <c r="Y19" i="1"/>
  <c r="Y21" i="1" s="1"/>
  <c r="Y23" i="1" s="1"/>
  <c r="BY10" i="3"/>
  <c r="BZ84" i="1"/>
  <c r="BZ16" i="3" s="1"/>
  <c r="BT86" i="1"/>
  <c r="BT77" i="1"/>
  <c r="BT8" i="3"/>
  <c r="BT59" i="3" s="1"/>
  <c r="BU9" i="1"/>
  <c r="BU11" i="1" s="1"/>
  <c r="CA10" i="1"/>
  <c r="BR77" i="1"/>
  <c r="BU76" i="1"/>
  <c r="BU77" i="1" s="1"/>
  <c r="BU79" i="1" s="1"/>
  <c r="BR86" i="1"/>
  <c r="BR8" i="3"/>
  <c r="BK23" i="1"/>
  <c r="Y22" i="1"/>
  <c r="AG5" i="1"/>
  <c r="AE5" i="1"/>
  <c r="BT73" i="3"/>
  <c r="BQ70" i="3"/>
  <c r="BU67" i="3"/>
  <c r="BO64" i="3"/>
  <c r="BQ92" i="3"/>
  <c r="BQ91" i="3"/>
  <c r="BK70" i="3"/>
  <c r="BO69" i="3"/>
  <c r="W6" i="3"/>
  <c r="X6" i="3" s="1"/>
  <c r="AA6" i="3" s="1"/>
  <c r="AB6" i="3"/>
  <c r="BO67" i="3"/>
  <c r="BO60" i="3"/>
  <c r="BR91" i="3"/>
  <c r="BL70" i="3"/>
  <c r="AA5" i="3"/>
  <c r="Y5" i="3"/>
  <c r="AA82" i="5"/>
  <c r="U82" i="5"/>
  <c r="X76" i="5"/>
  <c r="BK76" i="5"/>
  <c r="AC82" i="5"/>
  <c r="W82" i="5"/>
  <c r="BO52" i="5"/>
  <c r="BQ76" i="5"/>
  <c r="BG76" i="5"/>
  <c r="BL114" i="5"/>
  <c r="BL53" i="5"/>
  <c r="BL43" i="5"/>
  <c r="BL42" i="5"/>
  <c r="BL18" i="5"/>
  <c r="BL23" i="5"/>
  <c r="J114" i="5"/>
  <c r="J53" i="5"/>
  <c r="J43" i="5"/>
  <c r="J42" i="5"/>
  <c r="J23" i="5"/>
  <c r="J18" i="5"/>
  <c r="AT39" i="5"/>
  <c r="AH79" i="5"/>
  <c r="V79" i="5"/>
  <c r="AN80" i="5" s="1"/>
  <c r="AG76" i="5"/>
  <c r="Q6" i="5"/>
  <c r="V6" i="5"/>
  <c r="BQ114" i="5"/>
  <c r="BQ53" i="5"/>
  <c r="BO65" i="5"/>
  <c r="BQ43" i="5"/>
  <c r="BQ42" i="5"/>
  <c r="BQ18" i="5"/>
  <c r="BQ23" i="5"/>
  <c r="BK114" i="5"/>
  <c r="BI65" i="5"/>
  <c r="BK53" i="5"/>
  <c r="BK43" i="5"/>
  <c r="BK42" i="5"/>
  <c r="BO17" i="5"/>
  <c r="BL83" i="5" s="1"/>
  <c r="BK18" i="5"/>
  <c r="BK23" i="5"/>
  <c r="AG114" i="5"/>
  <c r="AE65" i="5"/>
  <c r="AG53" i="5"/>
  <c r="AG42" i="5"/>
  <c r="AG43" i="5"/>
  <c r="AK17" i="5"/>
  <c r="AG18" i="5"/>
  <c r="AG23" i="5"/>
  <c r="U114" i="5"/>
  <c r="S65" i="5"/>
  <c r="U53" i="5"/>
  <c r="U43" i="5"/>
  <c r="U42" i="5"/>
  <c r="U23" i="5"/>
  <c r="U18" i="5"/>
  <c r="U71" i="6" s="1"/>
  <c r="I114" i="5"/>
  <c r="G65" i="5"/>
  <c r="I53" i="5"/>
  <c r="I42" i="5"/>
  <c r="I43" i="5"/>
  <c r="I23" i="5"/>
  <c r="I18" i="5"/>
  <c r="BB39" i="5"/>
  <c r="AA79" i="5"/>
  <c r="AS80" i="5" s="1"/>
  <c r="M50" i="5"/>
  <c r="M38" i="5"/>
  <c r="M16" i="5"/>
  <c r="BA76" i="5"/>
  <c r="F42" i="5"/>
  <c r="F18" i="5"/>
  <c r="F23" i="5"/>
  <c r="AU81" i="5"/>
  <c r="AS81" i="5"/>
  <c r="AV81" i="5"/>
  <c r="AW51" i="5"/>
  <c r="AW41" i="5"/>
  <c r="AT81" i="5"/>
  <c r="AJ79" i="5"/>
  <c r="AJ39" i="5"/>
  <c r="X79" i="5"/>
  <c r="BI37" i="5"/>
  <c r="BI49" i="5"/>
  <c r="BI10" i="5"/>
  <c r="BI82" i="6" s="1"/>
  <c r="AP77" i="5"/>
  <c r="AT76" i="5"/>
  <c r="AO76" i="5"/>
  <c r="AA5" i="5"/>
  <c r="Y5" i="5"/>
  <c r="P53" i="5"/>
  <c r="AT114" i="5"/>
  <c r="AT43" i="5"/>
  <c r="AT53" i="5"/>
  <c r="AT42" i="5"/>
  <c r="AT23" i="5"/>
  <c r="AT18" i="5"/>
  <c r="BB42" i="5"/>
  <c r="BB23" i="5"/>
  <c r="AJ114" i="5"/>
  <c r="AJ83" i="5"/>
  <c r="AJ53" i="5"/>
  <c r="AJ43" i="5"/>
  <c r="AJ42" i="5"/>
  <c r="AJ18" i="5"/>
  <c r="AJ23" i="5"/>
  <c r="AM114" i="5"/>
  <c r="AK65" i="5"/>
  <c r="AM53" i="5"/>
  <c r="AM42" i="5"/>
  <c r="AQ17" i="5"/>
  <c r="AM43" i="5"/>
  <c r="AM23" i="5"/>
  <c r="AM18" i="5"/>
  <c r="AP79" i="5"/>
  <c r="BH77" i="5"/>
  <c r="AZ114" i="5"/>
  <c r="AZ42" i="5"/>
  <c r="AZ53" i="5"/>
  <c r="AZ43" i="5"/>
  <c r="AZ18" i="5"/>
  <c r="AZ23" i="5"/>
  <c r="AU114" i="5"/>
  <c r="AU53" i="5"/>
  <c r="AU42" i="5"/>
  <c r="AU43" i="5"/>
  <c r="AU18" i="5"/>
  <c r="AU23" i="5"/>
  <c r="S49" i="5"/>
  <c r="S37" i="5"/>
  <c r="S17" i="5"/>
  <c r="AY114" i="5"/>
  <c r="AY53" i="5"/>
  <c r="AY43" i="5"/>
  <c r="AY42" i="5"/>
  <c r="BC17" i="5"/>
  <c r="AY23" i="5"/>
  <c r="AY18" i="5"/>
  <c r="R44" i="5"/>
  <c r="R26" i="5"/>
  <c r="R25" i="5"/>
  <c r="G64" i="5"/>
  <c r="I52" i="5"/>
  <c r="AH81" i="5"/>
  <c r="AZ82" i="5" s="1"/>
  <c r="AI81" i="5"/>
  <c r="BA82" i="5" s="1"/>
  <c r="AG81" i="5"/>
  <c r="AY82" i="5" s="1"/>
  <c r="AK51" i="5"/>
  <c r="AK41" i="5"/>
  <c r="AJ81" i="5"/>
  <c r="BB76" i="5"/>
  <c r="AP114" i="5"/>
  <c r="AP42" i="5"/>
  <c r="AP53" i="5"/>
  <c r="AP43" i="5"/>
  <c r="AP23" i="5"/>
  <c r="AP18" i="5"/>
  <c r="AZ81" i="5"/>
  <c r="AY81" i="5"/>
  <c r="BB81" i="5"/>
  <c r="BC51" i="5"/>
  <c r="BC41" i="5"/>
  <c r="AA81" i="5"/>
  <c r="AS82" i="5" s="1"/>
  <c r="AC81" i="5"/>
  <c r="AB81" i="5"/>
  <c r="AT82" i="5" s="1"/>
  <c r="AE51" i="5"/>
  <c r="AE41" i="5"/>
  <c r="AD81" i="5"/>
  <c r="AK50" i="5"/>
  <c r="AK38" i="5"/>
  <c r="AK16" i="5"/>
  <c r="M49" i="5"/>
  <c r="M37" i="5"/>
  <c r="M17" i="5"/>
  <c r="K83" i="5" s="1"/>
  <c r="I77" i="5"/>
  <c r="AK49" i="5"/>
  <c r="AK37" i="5"/>
  <c r="AE49" i="5"/>
  <c r="AE37" i="5"/>
  <c r="AE17" i="5"/>
  <c r="AA77" i="5"/>
  <c r="AI79" i="5"/>
  <c r="W79" i="5"/>
  <c r="AD77" i="5"/>
  <c r="AN76" i="5"/>
  <c r="AB44" i="5"/>
  <c r="AB26" i="5"/>
  <c r="AB25" i="5"/>
  <c r="P54" i="5"/>
  <c r="P44" i="5"/>
  <c r="P25" i="5"/>
  <c r="P26" i="5"/>
  <c r="AQ49" i="5"/>
  <c r="AQ37" i="5"/>
  <c r="AM77" i="5"/>
  <c r="AN114" i="5"/>
  <c r="AN83" i="5"/>
  <c r="AN53" i="5"/>
  <c r="AN42" i="5"/>
  <c r="AN43" i="5"/>
  <c r="AN23" i="5"/>
  <c r="AN18" i="5"/>
  <c r="BH114" i="5"/>
  <c r="BH43" i="5"/>
  <c r="BH53" i="5"/>
  <c r="BH42" i="5"/>
  <c r="BH23" i="5"/>
  <c r="BH18" i="5"/>
  <c r="BF44" i="5"/>
  <c r="BF26" i="5"/>
  <c r="BF25" i="5"/>
  <c r="AO79" i="5"/>
  <c r="AO77" i="5"/>
  <c r="AD82" i="5"/>
  <c r="X82" i="5"/>
  <c r="V114" i="5"/>
  <c r="V53" i="5"/>
  <c r="V43" i="5"/>
  <c r="V42" i="5"/>
  <c r="V18" i="5"/>
  <c r="V23" i="5"/>
  <c r="BQ39" i="5"/>
  <c r="BK39" i="5"/>
  <c r="BO13" i="5"/>
  <c r="BN76" i="5"/>
  <c r="AB82" i="5"/>
  <c r="V82" i="5"/>
  <c r="BT76" i="5"/>
  <c r="BH82" i="5"/>
  <c r="BF76" i="5"/>
  <c r="G23" i="5"/>
  <c r="G42" i="5"/>
  <c r="AH114" i="5"/>
  <c r="AH83" i="5"/>
  <c r="AH53" i="5"/>
  <c r="AH43" i="5"/>
  <c r="AH42" i="5"/>
  <c r="AH18" i="5"/>
  <c r="AH23" i="5"/>
  <c r="D42" i="5"/>
  <c r="D23" i="5"/>
  <c r="D18" i="5"/>
  <c r="AY39" i="5"/>
  <c r="BC13" i="5"/>
  <c r="AT80" i="5"/>
  <c r="P79" i="5"/>
  <c r="AH80" i="5" s="1"/>
  <c r="BC37" i="5"/>
  <c r="BC10" i="5"/>
  <c r="BC82" i="6" s="1"/>
  <c r="AY77" i="5"/>
  <c r="AI77" i="5"/>
  <c r="AC77" i="5"/>
  <c r="Q77" i="5"/>
  <c r="AI78" i="5" s="1"/>
  <c r="K77" i="5"/>
  <c r="AI76" i="5"/>
  <c r="W76" i="5"/>
  <c r="AJ82" i="5"/>
  <c r="BH52" i="5"/>
  <c r="C42" i="5"/>
  <c r="C23" i="5"/>
  <c r="C18" i="5"/>
  <c r="BO64" i="5"/>
  <c r="BQ52" i="5"/>
  <c r="AW50" i="5"/>
  <c r="AW38" i="5"/>
  <c r="AW16" i="5"/>
  <c r="O79" i="5"/>
  <c r="P77" i="5"/>
  <c r="AQ50" i="5"/>
  <c r="AQ38" i="5"/>
  <c r="AQ16" i="5"/>
  <c r="AY76" i="5"/>
  <c r="AJ52" i="5"/>
  <c r="BA81" i="5"/>
  <c r="BA77" i="5"/>
  <c r="BS78" i="5" s="1"/>
  <c r="AD79" i="5"/>
  <c r="AV80" i="5" s="1"/>
  <c r="R79" i="5"/>
  <c r="AJ80" i="5" s="1"/>
  <c r="BO49" i="5"/>
  <c r="BO37" i="5"/>
  <c r="BO10" i="5"/>
  <c r="BK77" i="5"/>
  <c r="Y49" i="5"/>
  <c r="Y17" i="5"/>
  <c r="Y37" i="5"/>
  <c r="U77" i="5"/>
  <c r="AM78" i="5" s="1"/>
  <c r="O77" i="5"/>
  <c r="AE10" i="5"/>
  <c r="AV76" i="5"/>
  <c r="BK81" i="5"/>
  <c r="BL81" i="5"/>
  <c r="BN81" i="5"/>
  <c r="BO51" i="5"/>
  <c r="BO41" i="5"/>
  <c r="BM81" i="5"/>
  <c r="AZ52" i="5"/>
  <c r="X114" i="5"/>
  <c r="X83" i="5"/>
  <c r="X53" i="5"/>
  <c r="X43" i="5"/>
  <c r="X42" i="5"/>
  <c r="X18" i="5"/>
  <c r="X23" i="5"/>
  <c r="L114" i="5"/>
  <c r="L53" i="5"/>
  <c r="L43" i="5"/>
  <c r="L42" i="5"/>
  <c r="L23" i="5"/>
  <c r="L18" i="5"/>
  <c r="BN114" i="5"/>
  <c r="BN83" i="5"/>
  <c r="BN53" i="5"/>
  <c r="BN42" i="5"/>
  <c r="BN43" i="5"/>
  <c r="BN23" i="5"/>
  <c r="BN18" i="5"/>
  <c r="L77" i="5"/>
  <c r="AP76" i="5"/>
  <c r="AB43" i="5"/>
  <c r="AB114" i="5"/>
  <c r="P114" i="5"/>
  <c r="AS114" i="5"/>
  <c r="AQ65" i="5"/>
  <c r="AS53" i="5"/>
  <c r="AS43" i="5"/>
  <c r="AS42" i="5"/>
  <c r="AS23" i="5"/>
  <c r="AS18" i="5"/>
  <c r="AA54" i="5"/>
  <c r="AA44" i="5"/>
  <c r="AA25" i="5"/>
  <c r="AA26" i="5"/>
  <c r="AA53" i="5"/>
  <c r="O54" i="5"/>
  <c r="O44" i="5"/>
  <c r="O25" i="5"/>
  <c r="O26" i="5"/>
  <c r="O53" i="5"/>
  <c r="BM114" i="5"/>
  <c r="BM83" i="5"/>
  <c r="BM53" i="5"/>
  <c r="BM43" i="5"/>
  <c r="BM42" i="5"/>
  <c r="BM23" i="5"/>
  <c r="BM18" i="5"/>
  <c r="AO114" i="5"/>
  <c r="AO83" i="5"/>
  <c r="AO43" i="5"/>
  <c r="AO53" i="5"/>
  <c r="AO42" i="5"/>
  <c r="AO18" i="5"/>
  <c r="AO23" i="5"/>
  <c r="BG114" i="5"/>
  <c r="BG53" i="5"/>
  <c r="BG43" i="5"/>
  <c r="BG42" i="5"/>
  <c r="BG23" i="5"/>
  <c r="BG18" i="5"/>
  <c r="BR76" i="5"/>
  <c r="BE82" i="5"/>
  <c r="AM82" i="5"/>
  <c r="BA39" i="5"/>
  <c r="AS39" i="5"/>
  <c r="AW13" i="5"/>
  <c r="AI114" i="5"/>
  <c r="AI83" i="5"/>
  <c r="AI53" i="5"/>
  <c r="AI43" i="5"/>
  <c r="AI42" i="5"/>
  <c r="AI18" i="5"/>
  <c r="AI23" i="5"/>
  <c r="AC114" i="5"/>
  <c r="AC83" i="5"/>
  <c r="AC53" i="5"/>
  <c r="AC43" i="5"/>
  <c r="AC42" i="5"/>
  <c r="AC23" i="5"/>
  <c r="AC18" i="5"/>
  <c r="W114" i="5"/>
  <c r="W83" i="5"/>
  <c r="W53" i="5"/>
  <c r="W42" i="5"/>
  <c r="W43" i="5"/>
  <c r="W23" i="5"/>
  <c r="W18" i="5"/>
  <c r="Q114" i="5"/>
  <c r="Q83" i="5"/>
  <c r="Q53" i="5"/>
  <c r="Q43" i="5"/>
  <c r="Q42" i="5"/>
  <c r="Q23" i="5"/>
  <c r="Q18" i="5"/>
  <c r="K114" i="5"/>
  <c r="K53" i="5"/>
  <c r="K43" i="5"/>
  <c r="K42" i="5"/>
  <c r="K23" i="5"/>
  <c r="K18" i="5"/>
  <c r="AH82" i="5"/>
  <c r="BE114" i="5"/>
  <c r="BE53" i="5"/>
  <c r="BC65" i="5"/>
  <c r="BE42" i="5"/>
  <c r="BE43" i="5"/>
  <c r="BI17" i="5"/>
  <c r="BE18" i="5"/>
  <c r="BE23" i="5"/>
  <c r="AD114" i="5"/>
  <c r="AD83" i="5"/>
  <c r="AD53" i="5"/>
  <c r="AD43" i="5"/>
  <c r="AD42" i="5"/>
  <c r="AD23" i="5"/>
  <c r="AD18" i="5"/>
  <c r="BC50" i="5"/>
  <c r="BC38" i="5"/>
  <c r="BC16" i="5"/>
  <c r="BH79" i="5"/>
  <c r="U79" i="5"/>
  <c r="AM80" i="5" s="1"/>
  <c r="I39" i="5"/>
  <c r="M13" i="5"/>
  <c r="AZ76" i="5"/>
  <c r="BA114" i="5"/>
  <c r="BA83" i="5"/>
  <c r="BA53" i="5"/>
  <c r="BA42" i="5"/>
  <c r="BA43" i="5"/>
  <c r="BA23" i="5"/>
  <c r="BA18" i="5"/>
  <c r="BG79" i="5"/>
  <c r="AS76" i="5"/>
  <c r="O52" i="5"/>
  <c r="E42" i="5"/>
  <c r="E23" i="5"/>
  <c r="E18" i="5"/>
  <c r="BF79" i="5"/>
  <c r="AC79" i="5"/>
  <c r="Q79" i="5"/>
  <c r="R77" i="5"/>
  <c r="AJ78" i="5" s="1"/>
  <c r="AM76" i="5"/>
  <c r="P43" i="5"/>
  <c r="BB77" i="5"/>
  <c r="BT78" i="5" s="1"/>
  <c r="AJ77" i="5"/>
  <c r="AW37" i="5"/>
  <c r="Y65" i="5"/>
  <c r="M65" i="5"/>
  <c r="AV42" i="5"/>
  <c r="AZ77" i="5"/>
  <c r="BR78" i="5" s="1"/>
  <c r="AQ64" i="5"/>
  <c r="CA20" i="1" l="1"/>
  <c r="BX84" i="1"/>
  <c r="BX16" i="3" s="1"/>
  <c r="CA34" i="2"/>
  <c r="CA37" i="2"/>
  <c r="CE37" i="4"/>
  <c r="BY53" i="4"/>
  <c r="BR81" i="1"/>
  <c r="BR83" i="1" s="1"/>
  <c r="CA39" i="2"/>
  <c r="BU38" i="2"/>
  <c r="BU40" i="2" s="1"/>
  <c r="CI82" i="1"/>
  <c r="CI14" i="3" s="1"/>
  <c r="BS65" i="3"/>
  <c r="BS71" i="3" s="1"/>
  <c r="CD71" i="1"/>
  <c r="BX82" i="1"/>
  <c r="BZ73" i="2"/>
  <c r="BZ39" i="3" s="1"/>
  <c r="CM47" i="2"/>
  <c r="BL61" i="3"/>
  <c r="BL73" i="3" s="1"/>
  <c r="BR61" i="3"/>
  <c r="BR73" i="3" s="1"/>
  <c r="P59" i="7"/>
  <c r="S12" i="7"/>
  <c r="AN63" i="7"/>
  <c r="L74" i="7"/>
  <c r="L75" i="7" s="1"/>
  <c r="X99" i="7"/>
  <c r="F99" i="7"/>
  <c r="BC25" i="7"/>
  <c r="AT63" i="7"/>
  <c r="R74" i="7"/>
  <c r="R75" i="7" s="1"/>
  <c r="BO38" i="7"/>
  <c r="BK63" i="7"/>
  <c r="BI31" i="7"/>
  <c r="BI55" i="7"/>
  <c r="BO17" i="7"/>
  <c r="AU103" i="6"/>
  <c r="AU111" i="6"/>
  <c r="AT112" i="6"/>
  <c r="AT108" i="6"/>
  <c r="BO102" i="6"/>
  <c r="BM103" i="6"/>
  <c r="BM111" i="6"/>
  <c r="AK62" i="7"/>
  <c r="AK57" i="7"/>
  <c r="G51" i="7"/>
  <c r="E104" i="6"/>
  <c r="BA103" i="6"/>
  <c r="BA111" i="6"/>
  <c r="BC102" i="6"/>
  <c r="BC111" i="6" s="1"/>
  <c r="AK102" i="6"/>
  <c r="AK111" i="6" s="1"/>
  <c r="AI111" i="6"/>
  <c r="BC32" i="7"/>
  <c r="BI43" i="7"/>
  <c r="BH107" i="6"/>
  <c r="BI12" i="7"/>
  <c r="X27" i="7"/>
  <c r="Q107" i="6"/>
  <c r="BC8" i="7"/>
  <c r="BH102" i="6"/>
  <c r="AP74" i="7"/>
  <c r="AP75" i="7" s="1"/>
  <c r="Y12" i="7"/>
  <c r="BF63" i="7"/>
  <c r="F38" i="7"/>
  <c r="S74" i="7"/>
  <c r="S75" i="7" s="1"/>
  <c r="BC103" i="6"/>
  <c r="AZ63" i="7"/>
  <c r="BB99" i="7"/>
  <c r="S43" i="7"/>
  <c r="BH48" i="7"/>
  <c r="BI17" i="7"/>
  <c r="BO19" i="7"/>
  <c r="G12" i="7"/>
  <c r="AP38" i="7"/>
  <c r="Y37" i="7"/>
  <c r="BA107" i="6"/>
  <c r="AC111" i="6"/>
  <c r="G53" i="7"/>
  <c r="AN112" i="6"/>
  <c r="AN108" i="6"/>
  <c r="AP107" i="6"/>
  <c r="AQ107" i="6" s="1"/>
  <c r="AE62" i="7"/>
  <c r="AE57" i="7"/>
  <c r="BO32" i="7"/>
  <c r="I64" i="7"/>
  <c r="BN107" i="6"/>
  <c r="S52" i="7"/>
  <c r="G48" i="7"/>
  <c r="AI107" i="6"/>
  <c r="R107" i="6"/>
  <c r="R108" i="6" s="1"/>
  <c r="AJ74" i="7"/>
  <c r="AJ75" i="7" s="1"/>
  <c r="X74" i="7"/>
  <c r="X75" i="7" s="1"/>
  <c r="AH63" i="7"/>
  <c r="R38" i="7"/>
  <c r="AV99" i="7"/>
  <c r="BO26" i="7"/>
  <c r="BC48" i="7"/>
  <c r="AD74" i="7"/>
  <c r="AD75" i="7" s="1"/>
  <c r="AU107" i="6"/>
  <c r="F74" i="7"/>
  <c r="F75" i="7" s="1"/>
  <c r="M38" i="7"/>
  <c r="AD38" i="7"/>
  <c r="AB63" i="7"/>
  <c r="S35" i="7"/>
  <c r="AV102" i="6"/>
  <c r="AW102" i="6" s="1"/>
  <c r="AW30" i="7"/>
  <c r="BF112" i="6"/>
  <c r="BF108" i="6"/>
  <c r="BI107" i="6"/>
  <c r="BC31" i="7"/>
  <c r="BO11" i="7"/>
  <c r="S36" i="7"/>
  <c r="BB38" i="7"/>
  <c r="Y32" i="7"/>
  <c r="AJ102" i="6"/>
  <c r="AJ111" i="6" s="1"/>
  <c r="BG108" i="6"/>
  <c r="BG112" i="6"/>
  <c r="AP111" i="6"/>
  <c r="AP103" i="6"/>
  <c r="AQ103" i="6" s="1"/>
  <c r="AQ102" i="6"/>
  <c r="AW31" i="7"/>
  <c r="P63" i="7"/>
  <c r="AJ12" i="7"/>
  <c r="Y74" i="7"/>
  <c r="Y75" i="7" s="1"/>
  <c r="V63" i="7"/>
  <c r="J63" i="7"/>
  <c r="D63" i="7"/>
  <c r="AV12" i="7"/>
  <c r="BO103" i="6"/>
  <c r="G74" i="7"/>
  <c r="G75" i="7" s="1"/>
  <c r="M51" i="7"/>
  <c r="BO43" i="7"/>
  <c r="BC26" i="7"/>
  <c r="BL63" i="7"/>
  <c r="Y31" i="7"/>
  <c r="S53" i="7"/>
  <c r="AO108" i="6"/>
  <c r="AO112" i="6"/>
  <c r="W107" i="6"/>
  <c r="X107" i="6"/>
  <c r="X108" i="6" s="1"/>
  <c r="AM112" i="6"/>
  <c r="AM108" i="6"/>
  <c r="K111" i="6"/>
  <c r="M102" i="6"/>
  <c r="M111" i="6" s="1"/>
  <c r="AD102" i="6"/>
  <c r="AD111" i="6" s="1"/>
  <c r="AQ62" i="7"/>
  <c r="AQ57" i="7"/>
  <c r="BM107" i="6"/>
  <c r="BO107" i="6" s="1"/>
  <c r="M12" i="7"/>
  <c r="AJ38" i="7"/>
  <c r="AW25" i="7"/>
  <c r="AD107" i="6"/>
  <c r="BI8" i="7"/>
  <c r="D58" i="7"/>
  <c r="M45" i="7"/>
  <c r="F53" i="6"/>
  <c r="S77" i="6"/>
  <c r="S78" i="6"/>
  <c r="AQ59" i="6"/>
  <c r="CM102" i="6"/>
  <c r="Y87" i="6"/>
  <c r="BI76" i="6"/>
  <c r="AY54" i="6"/>
  <c r="Y78" i="6"/>
  <c r="Y77" i="6"/>
  <c r="BI27" i="6"/>
  <c r="CG38" i="7"/>
  <c r="O54" i="6"/>
  <c r="CA102" i="6"/>
  <c r="E54" i="6"/>
  <c r="D54" i="6"/>
  <c r="Y72" i="6"/>
  <c r="AK72" i="6"/>
  <c r="G59" i="6"/>
  <c r="AK54" i="6"/>
  <c r="BG54" i="6"/>
  <c r="AI54" i="6"/>
  <c r="BR141" i="6"/>
  <c r="V54" i="6"/>
  <c r="BR128" i="6"/>
  <c r="BW50" i="6"/>
  <c r="BU50" i="6"/>
  <c r="Y27" i="6"/>
  <c r="BW26" i="6"/>
  <c r="BU26" i="6"/>
  <c r="BX49" i="6"/>
  <c r="BW25" i="6"/>
  <c r="BU25" i="6"/>
  <c r="G53" i="6"/>
  <c r="BZ38" i="7"/>
  <c r="BO76" i="6"/>
  <c r="CF38" i="7"/>
  <c r="BS123" i="6"/>
  <c r="BT121" i="6" s="1"/>
  <c r="BS14" i="7"/>
  <c r="F54" i="6"/>
  <c r="BI95" i="6"/>
  <c r="BO127" i="6"/>
  <c r="BO128" i="6" s="1"/>
  <c r="CA30" i="7"/>
  <c r="AE72" i="6"/>
  <c r="BU40" i="6"/>
  <c r="BW40" i="6"/>
  <c r="BW9" i="6"/>
  <c r="BU9" i="6"/>
  <c r="BU41" i="6"/>
  <c r="BW41" i="6"/>
  <c r="S72" i="6"/>
  <c r="S53" i="6"/>
  <c r="R72" i="6"/>
  <c r="R53" i="6"/>
  <c r="M72" i="6"/>
  <c r="M53" i="6"/>
  <c r="BW39" i="6"/>
  <c r="BU39" i="6"/>
  <c r="BW21" i="6"/>
  <c r="BU21" i="6"/>
  <c r="AJ54" i="6"/>
  <c r="AE54" i="6"/>
  <c r="AG54" i="6"/>
  <c r="BQ54" i="6"/>
  <c r="AD54" i="6"/>
  <c r="BR149" i="6"/>
  <c r="BS147" i="6" s="1"/>
  <c r="BR13" i="7"/>
  <c r="K54" i="6"/>
  <c r="M84" i="6"/>
  <c r="AS54" i="6"/>
  <c r="CM38" i="7"/>
  <c r="BU48" i="6"/>
  <c r="BW48" i="6"/>
  <c r="BY45" i="6"/>
  <c r="BL65" i="3"/>
  <c r="BS69" i="4"/>
  <c r="CA52" i="4"/>
  <c r="CI67" i="4"/>
  <c r="CI50" i="3" s="1"/>
  <c r="CF61" i="4"/>
  <c r="BY38" i="4"/>
  <c r="CI65" i="4"/>
  <c r="BM54" i="3"/>
  <c r="BL54" i="3"/>
  <c r="BY67" i="4"/>
  <c r="BY50" i="3" s="1"/>
  <c r="BS61" i="3"/>
  <c r="BS73" i="3" s="1"/>
  <c r="BX65" i="4"/>
  <c r="BX71" i="4" s="1"/>
  <c r="BX54" i="3" s="1"/>
  <c r="BN53" i="3"/>
  <c r="BN72" i="4"/>
  <c r="CE65" i="2"/>
  <c r="CE67" i="2"/>
  <c r="CE33" i="3" s="1"/>
  <c r="CA59" i="2"/>
  <c r="CE20" i="2"/>
  <c r="BU69" i="2"/>
  <c r="CE22" i="2"/>
  <c r="CA18" i="2"/>
  <c r="BS59" i="3"/>
  <c r="AQ23" i="2"/>
  <c r="AK40" i="2"/>
  <c r="BX71" i="2"/>
  <c r="BX37" i="3" s="1"/>
  <c r="CF22" i="2"/>
  <c r="BA72" i="2"/>
  <c r="CD61" i="2"/>
  <c r="R72" i="2"/>
  <c r="R36" i="3"/>
  <c r="BN21" i="2"/>
  <c r="BI57" i="2"/>
  <c r="AK45" i="2"/>
  <c r="CA52" i="2"/>
  <c r="L68" i="2"/>
  <c r="L34" i="3" s="1"/>
  <c r="L32" i="3"/>
  <c r="BC23" i="2"/>
  <c r="BL72" i="2"/>
  <c r="CA65" i="2"/>
  <c r="CA31" i="3" s="1"/>
  <c r="CD22" i="2"/>
  <c r="CG22" i="2" s="1"/>
  <c r="CM33" i="2"/>
  <c r="AS72" i="2"/>
  <c r="AS38" i="3" s="1"/>
  <c r="AS36" i="3"/>
  <c r="X68" i="2"/>
  <c r="X34" i="3" s="1"/>
  <c r="X32" i="3"/>
  <c r="CG12" i="2"/>
  <c r="BO31" i="3"/>
  <c r="X72" i="2"/>
  <c r="X37" i="3"/>
  <c r="R68" i="2"/>
  <c r="R34" i="3" s="1"/>
  <c r="R32" i="3"/>
  <c r="BN40" i="2"/>
  <c r="CM45" i="1"/>
  <c r="BL20" i="3"/>
  <c r="CI84" i="1"/>
  <c r="CG97" i="6"/>
  <c r="CM44" i="1"/>
  <c r="CI22" i="7"/>
  <c r="S21" i="1"/>
  <c r="S23" i="1" s="1"/>
  <c r="BZ54" i="1"/>
  <c r="CF84" i="1"/>
  <c r="CF16" i="3" s="1"/>
  <c r="BN23" i="1"/>
  <c r="CE56" i="1"/>
  <c r="CG63" i="1"/>
  <c r="CG64" i="1" s="1"/>
  <c r="CM10" i="1"/>
  <c r="BO55" i="1"/>
  <c r="BO57" i="1" s="1"/>
  <c r="BT96" i="6"/>
  <c r="BT99" i="6" s="1"/>
  <c r="BS20" i="6"/>
  <c r="CG22" i="7"/>
  <c r="BN61" i="3"/>
  <c r="BM61" i="3"/>
  <c r="AP82" i="5"/>
  <c r="AT78" i="5"/>
  <c r="BA79" i="5"/>
  <c r="AU80" i="5"/>
  <c r="AN78" i="5"/>
  <c r="AI84" i="5"/>
  <c r="L83" i="5"/>
  <c r="AH78" i="5"/>
  <c r="AY79" i="5"/>
  <c r="AV82" i="5"/>
  <c r="AU82" i="5"/>
  <c r="AQ84" i="6"/>
  <c r="AQ87" i="6"/>
  <c r="BI87" i="6"/>
  <c r="AE23" i="5"/>
  <c r="BO83" i="6"/>
  <c r="AB54" i="5"/>
  <c r="AK84" i="6"/>
  <c r="AI80" i="5"/>
  <c r="AE82" i="6"/>
  <c r="AE83" i="6"/>
  <c r="AK88" i="6" s="1"/>
  <c r="AQ52" i="5"/>
  <c r="AE69" i="6"/>
  <c r="BF82" i="5"/>
  <c r="V6" i="7"/>
  <c r="V6" i="6"/>
  <c r="M67" i="5"/>
  <c r="M69" i="5" s="1"/>
  <c r="BS82" i="5"/>
  <c r="AW52" i="5"/>
  <c r="AK52" i="5"/>
  <c r="BF54" i="5"/>
  <c r="Y59" i="5"/>
  <c r="Y5" i="7"/>
  <c r="Y5" i="6"/>
  <c r="BG82" i="5"/>
  <c r="R6" i="5"/>
  <c r="Q6" i="6"/>
  <c r="Q6" i="7"/>
  <c r="BO82" i="6"/>
  <c r="BO87" i="6" s="1"/>
  <c r="BC52" i="5"/>
  <c r="AS79" i="5"/>
  <c r="BK80" i="5" s="1"/>
  <c r="AP84" i="5"/>
  <c r="BC83" i="6"/>
  <c r="BC84" i="6" s="1"/>
  <c r="AA5" i="6"/>
  <c r="AA5" i="7"/>
  <c r="BI83" i="6"/>
  <c r="O6" i="5"/>
  <c r="L6" i="6"/>
  <c r="L6" i="7"/>
  <c r="BO70" i="3"/>
  <c r="Y66" i="5"/>
  <c r="AU69" i="6"/>
  <c r="AV23" i="5"/>
  <c r="AV53" i="5"/>
  <c r="AW65" i="5"/>
  <c r="BB43" i="5"/>
  <c r="AW17" i="5"/>
  <c r="BB53" i="5"/>
  <c r="AV18" i="5"/>
  <c r="AV43" i="5"/>
  <c r="AV114" i="5"/>
  <c r="S18" i="5"/>
  <c r="AS77" i="5"/>
  <c r="BK78" i="5" s="1"/>
  <c r="AW10" i="5"/>
  <c r="AU77" i="5"/>
  <c r="BM78" i="5" s="1"/>
  <c r="AE18" i="5"/>
  <c r="AE70" i="6" s="1"/>
  <c r="AW49" i="5"/>
  <c r="BC49" i="5"/>
  <c r="I79" i="5"/>
  <c r="BI69" i="6"/>
  <c r="V83" i="5"/>
  <c r="Y69" i="6"/>
  <c r="BC69" i="6"/>
  <c r="AQ69" i="6"/>
  <c r="BB83" i="5"/>
  <c r="BK83" i="5"/>
  <c r="R71" i="6"/>
  <c r="AN64" i="7"/>
  <c r="BF64" i="7"/>
  <c r="BL64" i="7"/>
  <c r="BE83" i="5"/>
  <c r="AY83" i="5"/>
  <c r="AZ83" i="5"/>
  <c r="AM70" i="6"/>
  <c r="AM68" i="6"/>
  <c r="AH64" i="7"/>
  <c r="AV69" i="6"/>
  <c r="AZ64" i="7"/>
  <c r="BK64" i="7"/>
  <c r="W71" i="6"/>
  <c r="AS68" i="6"/>
  <c r="AS70" i="6"/>
  <c r="L71" i="6"/>
  <c r="M52" i="5"/>
  <c r="U68" i="6"/>
  <c r="U70" i="6"/>
  <c r="AG68" i="6"/>
  <c r="AG70" i="6"/>
  <c r="AG71" i="6"/>
  <c r="AM71" i="6"/>
  <c r="V64" i="7"/>
  <c r="J64" i="7"/>
  <c r="AE68" i="6"/>
  <c r="BA71" i="6"/>
  <c r="BG71" i="6"/>
  <c r="BN71" i="6"/>
  <c r="M69" i="6"/>
  <c r="S69" i="6"/>
  <c r="I68" i="6"/>
  <c r="I70" i="6"/>
  <c r="I71" i="6"/>
  <c r="AG83" i="5"/>
  <c r="AK69" i="6"/>
  <c r="BO69" i="6"/>
  <c r="AS71" i="6"/>
  <c r="P64" i="7"/>
  <c r="AT64" i="7"/>
  <c r="D64" i="7"/>
  <c r="AB64" i="7"/>
  <c r="BR42" i="7"/>
  <c r="BR57" i="6"/>
  <c r="X62" i="7"/>
  <c r="BC10" i="7"/>
  <c r="M66" i="5"/>
  <c r="K68" i="6"/>
  <c r="K70" i="6"/>
  <c r="BM68" i="6"/>
  <c r="BM71" i="6"/>
  <c r="BM70" i="6"/>
  <c r="AS78" i="5"/>
  <c r="AP68" i="6"/>
  <c r="AP70" i="6"/>
  <c r="AU68" i="6"/>
  <c r="AU70" i="6"/>
  <c r="AT68" i="6"/>
  <c r="AT70" i="6"/>
  <c r="BK68" i="6"/>
  <c r="BK70" i="6"/>
  <c r="BL68" i="6"/>
  <c r="BL70" i="6"/>
  <c r="AI108" i="6"/>
  <c r="K62" i="7"/>
  <c r="K57" i="7"/>
  <c r="BH111" i="6"/>
  <c r="BH103" i="6"/>
  <c r="BI103" i="6" s="1"/>
  <c r="AO62" i="7"/>
  <c r="AO57" i="7"/>
  <c r="AU75" i="7"/>
  <c r="BN74" i="7"/>
  <c r="BN75" i="7" s="1"/>
  <c r="BO16" i="7"/>
  <c r="M98" i="7"/>
  <c r="M68" i="7"/>
  <c r="BI30" i="7"/>
  <c r="Y44" i="7"/>
  <c r="L27" i="7"/>
  <c r="E62" i="7"/>
  <c r="E57" i="7"/>
  <c r="R27" i="7"/>
  <c r="R10" i="7"/>
  <c r="AI62" i="7"/>
  <c r="AI57" i="7"/>
  <c r="BC38" i="7"/>
  <c r="AC68" i="6"/>
  <c r="AC70" i="6"/>
  <c r="AI68" i="6"/>
  <c r="AI70" i="6"/>
  <c r="V68" i="6"/>
  <c r="V70" i="6"/>
  <c r="BH68" i="6"/>
  <c r="BH70" i="6"/>
  <c r="BQ68" i="6"/>
  <c r="BQ70" i="6"/>
  <c r="J68" i="6"/>
  <c r="J70" i="6"/>
  <c r="J71" i="6"/>
  <c r="BQ71" i="6"/>
  <c r="BL71" i="6"/>
  <c r="K71" i="6"/>
  <c r="AC71" i="6"/>
  <c r="BH71" i="6"/>
  <c r="AU71" i="6"/>
  <c r="AT71" i="6"/>
  <c r="F62" i="7"/>
  <c r="M16" i="7"/>
  <c r="BN98" i="7"/>
  <c r="BN68" i="7"/>
  <c r="BH38" i="7"/>
  <c r="AJ98" i="7"/>
  <c r="AJ99" i="7" s="1"/>
  <c r="AJ68" i="7"/>
  <c r="BW105" i="7"/>
  <c r="BW114" i="7" s="1"/>
  <c r="BW95" i="7"/>
  <c r="BW94" i="7" s="1"/>
  <c r="BX65" i="7"/>
  <c r="F48" i="7"/>
  <c r="AJ48" i="7"/>
  <c r="BR88" i="7"/>
  <c r="BU90" i="7"/>
  <c r="S27" i="7"/>
  <c r="S10" i="7"/>
  <c r="BB12" i="7"/>
  <c r="AP10" i="7"/>
  <c r="AP27" i="7"/>
  <c r="BM75" i="7"/>
  <c r="BO74" i="7"/>
  <c r="BO75" i="7" s="1"/>
  <c r="G98" i="7"/>
  <c r="G68" i="7"/>
  <c r="CM70" i="7"/>
  <c r="AV77" i="5"/>
  <c r="BB78" i="5" s="1"/>
  <c r="AT77" i="5"/>
  <c r="BF78" i="5" s="1"/>
  <c r="BH62" i="7"/>
  <c r="BH57" i="7"/>
  <c r="W62" i="7"/>
  <c r="W57" i="7"/>
  <c r="AV48" i="7"/>
  <c r="AW41" i="7"/>
  <c r="BW107" i="7"/>
  <c r="BX101" i="7"/>
  <c r="Q62" i="7"/>
  <c r="Q57" i="7"/>
  <c r="W68" i="6"/>
  <c r="W70" i="6"/>
  <c r="AO68" i="6"/>
  <c r="AO70" i="6"/>
  <c r="AO71" i="6"/>
  <c r="L68" i="6"/>
  <c r="L70" i="6"/>
  <c r="X68" i="6"/>
  <c r="X70" i="6"/>
  <c r="X71" i="6"/>
  <c r="AH68" i="6"/>
  <c r="AH71" i="6"/>
  <c r="AH70" i="6"/>
  <c r="AZ68" i="6"/>
  <c r="AZ70" i="6"/>
  <c r="AZ71" i="6"/>
  <c r="AP71" i="6"/>
  <c r="AI71" i="6"/>
  <c r="V71" i="6"/>
  <c r="BM57" i="7"/>
  <c r="BM62" i="7"/>
  <c r="AV27" i="7"/>
  <c r="AV10" i="7"/>
  <c r="M27" i="7"/>
  <c r="M10" i="7"/>
  <c r="BA62" i="7"/>
  <c r="BA57" i="7"/>
  <c r="BI38" i="7"/>
  <c r="R98" i="7"/>
  <c r="R99" i="7" s="1"/>
  <c r="R68" i="7"/>
  <c r="S46" i="7"/>
  <c r="AU62" i="7"/>
  <c r="AU57" i="7"/>
  <c r="BU94" i="7"/>
  <c r="BU95" i="7" s="1"/>
  <c r="Y9" i="7"/>
  <c r="G62" i="7"/>
  <c r="BI99" i="7"/>
  <c r="X48" i="7"/>
  <c r="AW98" i="7"/>
  <c r="AW68" i="7"/>
  <c r="BN27" i="7"/>
  <c r="AU108" i="6"/>
  <c r="AU112" i="6"/>
  <c r="AD27" i="7"/>
  <c r="AD10" i="7"/>
  <c r="BB74" i="7"/>
  <c r="BB75" i="7" s="1"/>
  <c r="BC16" i="7"/>
  <c r="G35" i="7"/>
  <c r="AP99" i="7"/>
  <c r="AP48" i="7"/>
  <c r="BO46" i="7"/>
  <c r="X10" i="7"/>
  <c r="AW8" i="7"/>
  <c r="S37" i="7"/>
  <c r="BA68" i="6"/>
  <c r="BA70" i="6"/>
  <c r="AD68" i="6"/>
  <c r="AD71" i="6"/>
  <c r="AD70" i="6"/>
  <c r="BE68" i="6"/>
  <c r="BE70" i="6"/>
  <c r="BE71" i="6"/>
  <c r="Q68" i="6"/>
  <c r="Q71" i="6"/>
  <c r="Q70" i="6"/>
  <c r="BG68" i="6"/>
  <c r="BG70" i="6"/>
  <c r="BN68" i="6"/>
  <c r="BN70" i="6"/>
  <c r="AN68" i="6"/>
  <c r="AN70" i="6"/>
  <c r="AY68" i="6"/>
  <c r="AY71" i="6"/>
  <c r="AY70" i="6"/>
  <c r="AJ68" i="6"/>
  <c r="AJ70" i="6"/>
  <c r="AJ71" i="6"/>
  <c r="AN71" i="6"/>
  <c r="BK71" i="6"/>
  <c r="BB9" i="5"/>
  <c r="BC13" i="7"/>
  <c r="G99" i="7"/>
  <c r="S107" i="6"/>
  <c r="Q108" i="6"/>
  <c r="S108" i="6" s="1"/>
  <c r="BG62" i="7"/>
  <c r="BG57" i="7"/>
  <c r="R68" i="6"/>
  <c r="R70" i="6"/>
  <c r="BB27" i="7"/>
  <c r="BB10" i="7"/>
  <c r="F111" i="6"/>
  <c r="G102" i="6"/>
  <c r="Y98" i="7"/>
  <c r="Y68" i="7"/>
  <c r="AV74" i="7"/>
  <c r="AV75" i="7" s="1"/>
  <c r="AW16" i="7"/>
  <c r="R48" i="7"/>
  <c r="BN99" i="7"/>
  <c r="AC62" i="7"/>
  <c r="AC57" i="7"/>
  <c r="BA75" i="7"/>
  <c r="S41" i="7"/>
  <c r="L99" i="7"/>
  <c r="AD98" i="7"/>
  <c r="AD99" i="7" s="1"/>
  <c r="AD68" i="7"/>
  <c r="BI102" i="6"/>
  <c r="Y27" i="7"/>
  <c r="Y10" i="7"/>
  <c r="AJ10" i="7"/>
  <c r="AJ27" i="7"/>
  <c r="AQ153" i="6"/>
  <c r="AQ154" i="6" s="1"/>
  <c r="AQ156" i="6"/>
  <c r="BF72" i="6"/>
  <c r="BF53" i="6"/>
  <c r="BS135" i="6"/>
  <c r="BS132" i="6"/>
  <c r="AY151" i="6"/>
  <c r="AW148" i="6"/>
  <c r="AW151" i="6" s="1"/>
  <c r="AS151" i="6"/>
  <c r="X72" i="6"/>
  <c r="X53" i="6"/>
  <c r="BT101" i="6"/>
  <c r="BI148" i="6"/>
  <c r="BE151" i="6"/>
  <c r="BC140" i="6"/>
  <c r="BC141" i="6" s="1"/>
  <c r="BX44" i="6"/>
  <c r="J54" i="6"/>
  <c r="AW42" i="6"/>
  <c r="AW77" i="6"/>
  <c r="AW76" i="6"/>
  <c r="AW78" i="6"/>
  <c r="AQ136" i="6"/>
  <c r="AQ138" i="6"/>
  <c r="BA54" i="6"/>
  <c r="BY92" i="6"/>
  <c r="BY95" i="6" s="1"/>
  <c r="BX11" i="6"/>
  <c r="BC42" i="6"/>
  <c r="BC77" i="6"/>
  <c r="BC76" i="6"/>
  <c r="BC78" i="6"/>
  <c r="Q54" i="6"/>
  <c r="S54" i="6"/>
  <c r="AE71" i="6"/>
  <c r="AE59" i="6"/>
  <c r="BR153" i="6"/>
  <c r="BR24" i="6" s="1"/>
  <c r="BS143" i="6"/>
  <c r="AP72" i="6"/>
  <c r="AP53" i="6"/>
  <c r="AV72" i="6"/>
  <c r="AV53" i="6"/>
  <c r="L72" i="6"/>
  <c r="L53" i="6"/>
  <c r="BO99" i="6"/>
  <c r="BO138" i="6"/>
  <c r="BO136" i="6"/>
  <c r="BO157" i="6" s="1"/>
  <c r="W72" i="6"/>
  <c r="W53" i="6"/>
  <c r="AK59" i="6"/>
  <c r="BN72" i="6"/>
  <c r="BN53" i="6"/>
  <c r="CG102" i="6"/>
  <c r="M59" i="6"/>
  <c r="BH72" i="6"/>
  <c r="BH53" i="6"/>
  <c r="BB72" i="6"/>
  <c r="BB53" i="6"/>
  <c r="BM54" i="6"/>
  <c r="BQ138" i="6"/>
  <c r="AQ76" i="6"/>
  <c r="AQ27" i="6"/>
  <c r="AQ42" i="6"/>
  <c r="AQ78" i="6"/>
  <c r="AQ77" i="6"/>
  <c r="BR157" i="6"/>
  <c r="BR158" i="6" s="1"/>
  <c r="AW156" i="6"/>
  <c r="AW140" i="6"/>
  <c r="AW141" i="6" s="1"/>
  <c r="BO42" i="6"/>
  <c r="BO78" i="6"/>
  <c r="BO77" i="6"/>
  <c r="BS127" i="6"/>
  <c r="BS22" i="6" s="1"/>
  <c r="BT117" i="6"/>
  <c r="BI59" i="6"/>
  <c r="BI42" i="6"/>
  <c r="BI78" i="6"/>
  <c r="BI77" i="6"/>
  <c r="AH54" i="6"/>
  <c r="BQ125" i="6"/>
  <c r="BC151" i="6"/>
  <c r="BC145" i="6"/>
  <c r="BC153" i="6" s="1"/>
  <c r="BC154" i="6" s="1"/>
  <c r="BO151" i="6"/>
  <c r="BO145" i="6"/>
  <c r="BO153" i="6" s="1"/>
  <c r="BO154" i="6" s="1"/>
  <c r="AC54" i="6"/>
  <c r="AZ54" i="6"/>
  <c r="BS109" i="6"/>
  <c r="BT106" i="6" s="1"/>
  <c r="AU54" i="6"/>
  <c r="BO95" i="6"/>
  <c r="CI44" i="3"/>
  <c r="CE59" i="4"/>
  <c r="CK8" i="4"/>
  <c r="BQ72" i="3"/>
  <c r="BW65" i="3"/>
  <c r="BW71" i="3" s="1"/>
  <c r="BR64" i="4"/>
  <c r="BR46" i="3"/>
  <c r="BU63" i="4"/>
  <c r="CI60" i="4"/>
  <c r="CI42" i="3"/>
  <c r="CC73" i="4"/>
  <c r="CC44" i="3"/>
  <c r="BZ69" i="4"/>
  <c r="CF73" i="4" s="1"/>
  <c r="CF56" i="3" s="1"/>
  <c r="BZ60" i="4"/>
  <c r="BZ42" i="3"/>
  <c r="BY40" i="4"/>
  <c r="BO66" i="4"/>
  <c r="BO47" i="3"/>
  <c r="BX53" i="4"/>
  <c r="BX55" i="4" s="1"/>
  <c r="BX57" i="4" s="1"/>
  <c r="CD54" i="4"/>
  <c r="BQ72" i="4"/>
  <c r="BQ53" i="3"/>
  <c r="BO70" i="4"/>
  <c r="BO52" i="3"/>
  <c r="BR69" i="4"/>
  <c r="BZ64" i="4"/>
  <c r="BZ46" i="3"/>
  <c r="BS64" i="4"/>
  <c r="BS46" i="3"/>
  <c r="BW70" i="4"/>
  <c r="BW52" i="3"/>
  <c r="CI48" i="3"/>
  <c r="BU62" i="4"/>
  <c r="BU45" i="3" s="1"/>
  <c r="BU43" i="3"/>
  <c r="BX19" i="4"/>
  <c r="BX21" i="4" s="1"/>
  <c r="BX23" i="4" s="1"/>
  <c r="CD20" i="4"/>
  <c r="CJ12" i="4"/>
  <c r="CC19" i="4"/>
  <c r="CC21" i="4" s="1"/>
  <c r="CC23" i="4" s="1"/>
  <c r="CI63" i="4"/>
  <c r="CC64" i="4"/>
  <c r="CC46" i="3"/>
  <c r="CE56" i="4"/>
  <c r="BO62" i="4"/>
  <c r="BO45" i="3" s="1"/>
  <c r="BO43" i="3"/>
  <c r="CC36" i="4"/>
  <c r="CC38" i="4" s="1"/>
  <c r="CC40" i="4" s="1"/>
  <c r="CI37" i="4"/>
  <c r="CC71" i="4"/>
  <c r="CF52" i="4"/>
  <c r="CL56" i="4" s="1"/>
  <c r="CL42" i="4"/>
  <c r="CL52" i="4" s="1"/>
  <c r="CL53" i="4" s="1"/>
  <c r="CE46" i="4"/>
  <c r="CE54" i="4"/>
  <c r="CA46" i="4"/>
  <c r="CJ25" i="4"/>
  <c r="BY18" i="4"/>
  <c r="BY19" i="4" s="1"/>
  <c r="BY21" i="4" s="1"/>
  <c r="BY23" i="4" s="1"/>
  <c r="CF39" i="4"/>
  <c r="BO71" i="4"/>
  <c r="BK54" i="3"/>
  <c r="CL61" i="4"/>
  <c r="CF59" i="4"/>
  <c r="CF18" i="4"/>
  <c r="CF19" i="4" s="1"/>
  <c r="CL8" i="4"/>
  <c r="CF44" i="3"/>
  <c r="CE35" i="4"/>
  <c r="CE36" i="4" s="1"/>
  <c r="CE38" i="4" s="1"/>
  <c r="CE40" i="4" s="1"/>
  <c r="CK25" i="4"/>
  <c r="BL68" i="4"/>
  <c r="BL51" i="3" s="1"/>
  <c r="BL49" i="3"/>
  <c r="BU73" i="4"/>
  <c r="BU56" i="3" s="1"/>
  <c r="BQ56" i="3"/>
  <c r="BU13" i="4"/>
  <c r="BU15" i="4" s="1"/>
  <c r="BU17" i="4" s="1"/>
  <c r="CA16" i="4"/>
  <c r="CA14" i="4"/>
  <c r="BS70" i="4"/>
  <c r="BS52" i="3"/>
  <c r="BW62" i="4"/>
  <c r="BW45" i="3" s="1"/>
  <c r="BW43" i="3"/>
  <c r="BX64" i="4"/>
  <c r="BX46" i="3"/>
  <c r="CL29" i="4"/>
  <c r="CD29" i="4"/>
  <c r="CD65" i="4"/>
  <c r="CA29" i="4"/>
  <c r="BY55" i="4"/>
  <c r="BT66" i="4"/>
  <c r="BT47" i="3"/>
  <c r="BT62" i="4"/>
  <c r="BT45" i="3" s="1"/>
  <c r="BT43" i="3"/>
  <c r="BW66" i="4"/>
  <c r="BW47" i="3"/>
  <c r="BO73" i="4"/>
  <c r="BO56" i="3" s="1"/>
  <c r="BZ53" i="4"/>
  <c r="BZ55" i="4" s="1"/>
  <c r="BZ57" i="4" s="1"/>
  <c r="CF54" i="4"/>
  <c r="BS53" i="4"/>
  <c r="BS55" i="4" s="1"/>
  <c r="BS57" i="4" s="1"/>
  <c r="BU52" i="4"/>
  <c r="CA53" i="4" s="1"/>
  <c r="BY56" i="4"/>
  <c r="BY73" i="4"/>
  <c r="BY56" i="3" s="1"/>
  <c r="CD52" i="4"/>
  <c r="CJ42" i="4"/>
  <c r="CG42" i="4"/>
  <c r="BS62" i="4"/>
  <c r="BS45" i="3" s="1"/>
  <c r="BS43" i="3"/>
  <c r="BW54" i="3"/>
  <c r="BM68" i="4"/>
  <c r="BM51" i="3" s="1"/>
  <c r="BM49" i="3"/>
  <c r="CD44" i="3"/>
  <c r="CD67" i="4"/>
  <c r="CD50" i="3" s="1"/>
  <c r="CC53" i="4"/>
  <c r="CC55" i="4" s="1"/>
  <c r="CC57" i="4" s="1"/>
  <c r="CI54" i="4"/>
  <c r="AQ5" i="4"/>
  <c r="AS5" i="4"/>
  <c r="CI35" i="4"/>
  <c r="BT70" i="4"/>
  <c r="BT52" i="3"/>
  <c r="CF56" i="4"/>
  <c r="BW56" i="3"/>
  <c r="CA26" i="4"/>
  <c r="CA28" i="4" s="1"/>
  <c r="CG27" i="4"/>
  <c r="CA9" i="4"/>
  <c r="CA11" i="4" s="1"/>
  <c r="CG10" i="4"/>
  <c r="BY60" i="4"/>
  <c r="BY42" i="3"/>
  <c r="CF35" i="4"/>
  <c r="CF36" i="4" s="1"/>
  <c r="CF38" i="4" s="1"/>
  <c r="CF40" i="4" s="1"/>
  <c r="CL25" i="4"/>
  <c r="CL35" i="4" s="1"/>
  <c r="CL36" i="4" s="1"/>
  <c r="CI19" i="4"/>
  <c r="CI21" i="4" s="1"/>
  <c r="CI23" i="4" s="1"/>
  <c r="CF71" i="4"/>
  <c r="CF54" i="3" s="1"/>
  <c r="CF48" i="3"/>
  <c r="BZ19" i="4"/>
  <c r="BZ21" i="4" s="1"/>
  <c r="BZ23" i="4" s="1"/>
  <c r="CF20" i="4"/>
  <c r="BM72" i="4"/>
  <c r="BM53" i="3"/>
  <c r="BK72" i="4"/>
  <c r="BK53" i="3"/>
  <c r="BR62" i="4"/>
  <c r="BR45" i="3" s="1"/>
  <c r="BR43" i="3"/>
  <c r="AH6" i="4"/>
  <c r="AC6" i="4"/>
  <c r="AD6" i="4" s="1"/>
  <c r="AG6" i="4" s="1"/>
  <c r="CF63" i="4"/>
  <c r="CL12" i="4"/>
  <c r="CL63" i="4" s="1"/>
  <c r="CL20" i="4"/>
  <c r="BY63" i="4"/>
  <c r="CE12" i="4"/>
  <c r="CA12" i="4"/>
  <c r="CE20" i="4"/>
  <c r="CE65" i="4"/>
  <c r="CA60" i="4"/>
  <c r="CA42" i="3"/>
  <c r="CD59" i="4"/>
  <c r="CG59" i="4" s="1"/>
  <c r="CJ61" i="4"/>
  <c r="CD18" i="4"/>
  <c r="CD19" i="4" s="1"/>
  <c r="CD21" i="4" s="1"/>
  <c r="CD23" i="4" s="1"/>
  <c r="CJ8" i="4"/>
  <c r="CG8" i="4"/>
  <c r="BX69" i="4"/>
  <c r="BX60" i="4"/>
  <c r="BX42" i="3"/>
  <c r="CC60" i="4"/>
  <c r="CC69" i="4"/>
  <c r="CC42" i="3"/>
  <c r="CK29" i="4"/>
  <c r="BU30" i="4"/>
  <c r="BU32" i="4" s="1"/>
  <c r="BU34" i="4" s="1"/>
  <c r="CA33" i="4"/>
  <c r="CA31" i="4"/>
  <c r="CE52" i="4"/>
  <c r="CE53" i="4" s="1"/>
  <c r="CE55" i="4" s="1"/>
  <c r="CE57" i="4" s="1"/>
  <c r="CK42" i="4"/>
  <c r="BS19" i="4"/>
  <c r="BS21" i="4" s="1"/>
  <c r="BS23" i="4" s="1"/>
  <c r="BU18" i="4"/>
  <c r="BU71" i="4"/>
  <c r="BU54" i="3" s="1"/>
  <c r="BQ54" i="3"/>
  <c r="CG25" i="4"/>
  <c r="BR36" i="4"/>
  <c r="BR38" i="4" s="1"/>
  <c r="BR40" i="4" s="1"/>
  <c r="BU35" i="4"/>
  <c r="BL72" i="4"/>
  <c r="BL53" i="3"/>
  <c r="CI52" i="4"/>
  <c r="BX67" i="4"/>
  <c r="BX35" i="4"/>
  <c r="CE61" i="4"/>
  <c r="BZ38" i="4"/>
  <c r="BZ40" i="4" s="1"/>
  <c r="BY65" i="4"/>
  <c r="CC39" i="3"/>
  <c r="CA53" i="2"/>
  <c r="CA55" i="2" s="1"/>
  <c r="CA57" i="2" s="1"/>
  <c r="CI27" i="3"/>
  <c r="CE27" i="3"/>
  <c r="AI36" i="3"/>
  <c r="BU70" i="2"/>
  <c r="BU35" i="3"/>
  <c r="CA19" i="2"/>
  <c r="CA21" i="2" s="1"/>
  <c r="CA23" i="2" s="1"/>
  <c r="CG13" i="2"/>
  <c r="CM14" i="2"/>
  <c r="CM16" i="2"/>
  <c r="AQ30" i="3"/>
  <c r="BM37" i="3"/>
  <c r="BM72" i="2"/>
  <c r="AH6" i="2"/>
  <c r="AC6" i="2"/>
  <c r="AD6" i="2" s="1"/>
  <c r="AG6" i="2" s="1"/>
  <c r="CC37" i="3"/>
  <c r="AE60" i="2"/>
  <c r="AE25" i="3"/>
  <c r="AJ71" i="2"/>
  <c r="AJ37" i="3" s="1"/>
  <c r="AJ31" i="3"/>
  <c r="AQ67" i="2"/>
  <c r="AQ33" i="3" s="1"/>
  <c r="AM33" i="3"/>
  <c r="S66" i="2"/>
  <c r="S30" i="3"/>
  <c r="S73" i="2"/>
  <c r="S39" i="3" s="1"/>
  <c r="O39" i="3"/>
  <c r="AW66" i="2"/>
  <c r="AW30" i="3"/>
  <c r="BC70" i="2"/>
  <c r="BC35" i="3"/>
  <c r="BR66" i="2"/>
  <c r="BR30" i="3"/>
  <c r="BN66" i="3"/>
  <c r="BN68" i="3" s="1"/>
  <c r="BN71" i="3"/>
  <c r="BR62" i="2"/>
  <c r="BR28" i="3" s="1"/>
  <c r="BR26" i="3"/>
  <c r="CC36" i="2"/>
  <c r="CC38" i="2" s="1"/>
  <c r="CC40" i="2" s="1"/>
  <c r="CA35" i="2"/>
  <c r="BY53" i="2"/>
  <c r="BY55" i="2" s="1"/>
  <c r="BY57" i="2" s="1"/>
  <c r="CE54" i="2"/>
  <c r="AH66" i="2"/>
  <c r="AH30" i="3"/>
  <c r="AK69" i="2"/>
  <c r="AQ70" i="2" s="1"/>
  <c r="AG70" i="2"/>
  <c r="AM70" i="2"/>
  <c r="AG35" i="3"/>
  <c r="AE64" i="2"/>
  <c r="AE29" i="3"/>
  <c r="I72" i="2"/>
  <c r="I36" i="3"/>
  <c r="BA74" i="2"/>
  <c r="BA40" i="3" s="1"/>
  <c r="BA38" i="3"/>
  <c r="BF68" i="2"/>
  <c r="BF34" i="3" s="1"/>
  <c r="BF32" i="3"/>
  <c r="BC62" i="2"/>
  <c r="BC28" i="3" s="1"/>
  <c r="BC26" i="3"/>
  <c r="CD59" i="2"/>
  <c r="CJ61" i="2" s="1"/>
  <c r="CD18" i="2"/>
  <c r="CD19" i="2" s="1"/>
  <c r="CJ8" i="2"/>
  <c r="BX60" i="2"/>
  <c r="BX69" i="2"/>
  <c r="CD73" i="2" s="1"/>
  <c r="CD39" i="3" s="1"/>
  <c r="BX25" i="3"/>
  <c r="BY73" i="2"/>
  <c r="BY39" i="3" s="1"/>
  <c r="CM31" i="2"/>
  <c r="AE38" i="2"/>
  <c r="AE40" i="2" s="1"/>
  <c r="CF52" i="2"/>
  <c r="CL56" i="2" s="1"/>
  <c r="CL42" i="2"/>
  <c r="CL52" i="2" s="1"/>
  <c r="AB62" i="2"/>
  <c r="AB28" i="3" s="1"/>
  <c r="AB26" i="3"/>
  <c r="Q68" i="2"/>
  <c r="Q34" i="3" s="1"/>
  <c r="Q32" i="3"/>
  <c r="AV68" i="2"/>
  <c r="AV34" i="3" s="1"/>
  <c r="AV32" i="3"/>
  <c r="AW36" i="3"/>
  <c r="BB72" i="2"/>
  <c r="BB36" i="3"/>
  <c r="AW62" i="2"/>
  <c r="AW28" i="3" s="1"/>
  <c r="AW26" i="3"/>
  <c r="BO73" i="2"/>
  <c r="BO39" i="3" s="1"/>
  <c r="BK39" i="3"/>
  <c r="BO66" i="2"/>
  <c r="BO30" i="3"/>
  <c r="BX64" i="2"/>
  <c r="BX29" i="3"/>
  <c r="CD65" i="2"/>
  <c r="BT66" i="2"/>
  <c r="BT30" i="3"/>
  <c r="CI59" i="2"/>
  <c r="CI18" i="2"/>
  <c r="AH70" i="2"/>
  <c r="AH35" i="3"/>
  <c r="AB66" i="2"/>
  <c r="AB30" i="3"/>
  <c r="CG47" i="2"/>
  <c r="CG49" i="2" s="1"/>
  <c r="CG51" i="2" s="1"/>
  <c r="CM48" i="2"/>
  <c r="M66" i="2"/>
  <c r="M30" i="3"/>
  <c r="AQ35" i="3"/>
  <c r="AW71" i="2"/>
  <c r="AW37" i="3" s="1"/>
  <c r="AZ37" i="3"/>
  <c r="AZ72" i="2"/>
  <c r="CA13" i="2"/>
  <c r="CA15" i="2" s="1"/>
  <c r="CA17" i="2" s="1"/>
  <c r="CG16" i="2"/>
  <c r="CG14" i="2"/>
  <c r="BY64" i="2"/>
  <c r="BY29" i="3"/>
  <c r="AQ65" i="2"/>
  <c r="AQ31" i="3" s="1"/>
  <c r="CK61" i="2"/>
  <c r="CE59" i="2"/>
  <c r="CE18" i="2"/>
  <c r="CE19" i="2" s="1"/>
  <c r="CE21" i="2" s="1"/>
  <c r="CK8" i="2"/>
  <c r="CF35" i="2"/>
  <c r="CL39" i="2"/>
  <c r="CL25" i="2"/>
  <c r="CL35" i="2" s="1"/>
  <c r="AA62" i="2"/>
  <c r="AA28" i="3" s="1"/>
  <c r="AA26" i="3"/>
  <c r="S62" i="2"/>
  <c r="S28" i="3" s="1"/>
  <c r="S26" i="3"/>
  <c r="Y62" i="2"/>
  <c r="Y28" i="3" s="1"/>
  <c r="Y26" i="3"/>
  <c r="P72" i="2"/>
  <c r="P36" i="3"/>
  <c r="BL74" i="2"/>
  <c r="BL40" i="3" s="1"/>
  <c r="BL38" i="3"/>
  <c r="BI62" i="2"/>
  <c r="BI28" i="3" s="1"/>
  <c r="BI26" i="3"/>
  <c r="AZ68" i="2"/>
  <c r="AZ34" i="3" s="1"/>
  <c r="AZ32" i="3"/>
  <c r="BS66" i="2"/>
  <c r="BS30" i="3"/>
  <c r="BS70" i="2"/>
  <c r="BS35" i="3"/>
  <c r="CF63" i="2"/>
  <c r="CL12" i="2"/>
  <c r="CL63" i="2" s="1"/>
  <c r="BX36" i="2"/>
  <c r="BX38" i="2" s="1"/>
  <c r="BX40" i="2" s="1"/>
  <c r="CD37" i="2"/>
  <c r="AG62" i="2"/>
  <c r="AG28" i="3" s="1"/>
  <c r="AG26" i="3"/>
  <c r="AA66" i="2"/>
  <c r="AA30" i="3"/>
  <c r="AM66" i="2"/>
  <c r="AM30" i="3"/>
  <c r="M62" i="2"/>
  <c r="M28" i="3" s="1"/>
  <c r="M26" i="3"/>
  <c r="W68" i="2"/>
  <c r="W34" i="3" s="1"/>
  <c r="W32" i="3"/>
  <c r="AJ68" i="2"/>
  <c r="AJ34" i="3" s="1"/>
  <c r="AJ32" i="3"/>
  <c r="BA68" i="2"/>
  <c r="BA34" i="3" s="1"/>
  <c r="BA32" i="3"/>
  <c r="BT62" i="2"/>
  <c r="BT28" i="3" s="1"/>
  <c r="BT26" i="3"/>
  <c r="BW37" i="3"/>
  <c r="CA60" i="2"/>
  <c r="CA25" i="3"/>
  <c r="BZ53" i="2"/>
  <c r="BZ55" i="2" s="1"/>
  <c r="BZ57" i="2" s="1"/>
  <c r="CF54" i="2"/>
  <c r="AB70" i="2"/>
  <c r="AB35" i="3"/>
  <c r="CI52" i="2"/>
  <c r="CC53" i="2"/>
  <c r="CC55" i="2" s="1"/>
  <c r="CC57" i="2" s="1"/>
  <c r="CI54" i="2"/>
  <c r="CD52" i="2"/>
  <c r="CJ56" i="2"/>
  <c r="CJ42" i="2"/>
  <c r="CJ52" i="2" s="1"/>
  <c r="AJ57" i="2"/>
  <c r="J72" i="2"/>
  <c r="J36" i="3"/>
  <c r="BG72" i="2"/>
  <c r="BH72" i="2"/>
  <c r="BH36" i="3"/>
  <c r="BW39" i="3"/>
  <c r="CC64" i="2"/>
  <c r="CC29" i="3"/>
  <c r="CF20" i="2"/>
  <c r="CC60" i="2"/>
  <c r="CC69" i="2"/>
  <c r="CC25" i="3"/>
  <c r="AD70" i="2"/>
  <c r="AD35" i="3"/>
  <c r="AJ70" i="2"/>
  <c r="S55" i="2"/>
  <c r="S57" i="2" s="1"/>
  <c r="K72" i="2"/>
  <c r="K36" i="3"/>
  <c r="W72" i="2"/>
  <c r="W36" i="3"/>
  <c r="BC57" i="2"/>
  <c r="AV72" i="2"/>
  <c r="AV36" i="3"/>
  <c r="AT72" i="2"/>
  <c r="AO72" i="2"/>
  <c r="AO36" i="3"/>
  <c r="BE72" i="2"/>
  <c r="BE36" i="3"/>
  <c r="BU73" i="2"/>
  <c r="BU39" i="3" s="1"/>
  <c r="BQ39" i="3"/>
  <c r="BQ72" i="2"/>
  <c r="BQ36" i="3"/>
  <c r="CE31" i="3"/>
  <c r="AH73" i="2"/>
  <c r="AH39" i="3" s="1"/>
  <c r="CI65" i="2"/>
  <c r="AK67" i="2"/>
  <c r="AK33" i="3" s="1"/>
  <c r="CA43" i="2"/>
  <c r="CA45" i="2" s="1"/>
  <c r="CG44" i="2"/>
  <c r="CC33" i="3"/>
  <c r="BL66" i="3"/>
  <c r="BL68" i="3" s="1"/>
  <c r="BL71" i="3"/>
  <c r="BZ36" i="2"/>
  <c r="BZ38" i="2" s="1"/>
  <c r="BZ40" i="2" s="1"/>
  <c r="CF37" i="2"/>
  <c r="AI71" i="2"/>
  <c r="AI37" i="3" s="1"/>
  <c r="AI31" i="3"/>
  <c r="Q72" i="2"/>
  <c r="Q36" i="3"/>
  <c r="AA70" i="2"/>
  <c r="AE69" i="2"/>
  <c r="AA35" i="3"/>
  <c r="AG71" i="2"/>
  <c r="AK65" i="2"/>
  <c r="AK31" i="3" s="1"/>
  <c r="AG31" i="3"/>
  <c r="AC62" i="2"/>
  <c r="AC28" i="3" s="1"/>
  <c r="AC26" i="3"/>
  <c r="S70" i="2"/>
  <c r="S35" i="3"/>
  <c r="AW73" i="2"/>
  <c r="AW39" i="3" s="1"/>
  <c r="AS39" i="3"/>
  <c r="AS74" i="2"/>
  <c r="AS40" i="3" s="1"/>
  <c r="BC66" i="2"/>
  <c r="BC30" i="3"/>
  <c r="BC73" i="2"/>
  <c r="BC39" i="3" s="1"/>
  <c r="BK72" i="2"/>
  <c r="BK36" i="3"/>
  <c r="CA64" i="2"/>
  <c r="CA29" i="3"/>
  <c r="BS62" i="2"/>
  <c r="BS28" i="3" s="1"/>
  <c r="BS26" i="3"/>
  <c r="BZ69" i="2"/>
  <c r="BZ60" i="2"/>
  <c r="BZ25" i="3"/>
  <c r="BZ64" i="2"/>
  <c r="BZ29" i="3"/>
  <c r="CI35" i="2"/>
  <c r="CG25" i="2"/>
  <c r="CE52" i="2"/>
  <c r="CK56" i="2" s="1"/>
  <c r="CK42" i="2"/>
  <c r="CK52" i="2" s="1"/>
  <c r="AC66" i="2"/>
  <c r="AC30" i="3"/>
  <c r="AK61" i="2"/>
  <c r="AK27" i="3" s="1"/>
  <c r="AM62" i="2"/>
  <c r="AM28" i="3" s="1"/>
  <c r="AM26" i="3"/>
  <c r="AD66" i="2"/>
  <c r="AD30" i="3"/>
  <c r="AG66" i="2"/>
  <c r="AG30" i="3"/>
  <c r="AN68" i="2"/>
  <c r="AN34" i="3" s="1"/>
  <c r="AN32" i="3"/>
  <c r="AU68" i="2"/>
  <c r="AU34" i="3" s="1"/>
  <c r="AU32" i="3"/>
  <c r="BN72" i="2"/>
  <c r="BN36" i="3"/>
  <c r="BO62" i="2"/>
  <c r="BO28" i="3" s="1"/>
  <c r="BO26" i="3"/>
  <c r="BX19" i="2"/>
  <c r="BX21" i="2" s="1"/>
  <c r="BX23" i="2" s="1"/>
  <c r="CD20" i="2"/>
  <c r="CG20" i="2" s="1"/>
  <c r="BT70" i="2"/>
  <c r="BT35" i="3"/>
  <c r="BW70" i="2"/>
  <c r="BW35" i="3"/>
  <c r="CG32" i="2"/>
  <c r="CG34" i="2" s="1"/>
  <c r="CE35" i="2"/>
  <c r="CK39" i="2" s="1"/>
  <c r="CK25" i="2"/>
  <c r="CK35" i="2" s="1"/>
  <c r="BC40" i="2"/>
  <c r="CF56" i="2"/>
  <c r="CG42" i="2"/>
  <c r="BX53" i="2"/>
  <c r="BX55" i="2" s="1"/>
  <c r="BX57" i="2" s="1"/>
  <c r="CD54" i="2"/>
  <c r="O68" i="2"/>
  <c r="O34" i="3" s="1"/>
  <c r="O32" i="3"/>
  <c r="U68" i="2"/>
  <c r="U34" i="3" s="1"/>
  <c r="U32" i="3"/>
  <c r="U72" i="2"/>
  <c r="U36" i="3"/>
  <c r="BH68" i="2"/>
  <c r="BH34" i="3" s="1"/>
  <c r="BH32" i="3"/>
  <c r="AO68" i="2"/>
  <c r="AO34" i="3" s="1"/>
  <c r="AO32" i="3"/>
  <c r="CI67" i="2"/>
  <c r="BU21" i="2"/>
  <c r="BU23" i="2" s="1"/>
  <c r="AE55" i="2"/>
  <c r="AE57" i="2" s="1"/>
  <c r="AD62" i="2"/>
  <c r="AD28" i="3" s="1"/>
  <c r="AD26" i="3"/>
  <c r="AQ54" i="2"/>
  <c r="AK53" i="2"/>
  <c r="AK55" i="2" s="1"/>
  <c r="AK57" i="2" s="1"/>
  <c r="AN36" i="3"/>
  <c r="BI70" i="2"/>
  <c r="BI35" i="3"/>
  <c r="CF65" i="2"/>
  <c r="BI71" i="2"/>
  <c r="BI37" i="3" s="1"/>
  <c r="BY21" i="2"/>
  <c r="BY23" i="2" s="1"/>
  <c r="BU71" i="2"/>
  <c r="BU37" i="3" s="1"/>
  <c r="BQ37" i="3"/>
  <c r="BY71" i="2"/>
  <c r="BY37" i="3" s="1"/>
  <c r="CF39" i="2"/>
  <c r="AM73" i="2"/>
  <c r="AQ61" i="2"/>
  <c r="AQ27" i="3" s="1"/>
  <c r="AM27" i="3"/>
  <c r="AC70" i="2"/>
  <c r="AC35" i="3"/>
  <c r="O72" i="2"/>
  <c r="O36" i="3"/>
  <c r="M71" i="2"/>
  <c r="M37" i="3" s="1"/>
  <c r="M73" i="2"/>
  <c r="M39" i="3" s="1"/>
  <c r="AT68" i="2"/>
  <c r="AT34" i="3" s="1"/>
  <c r="AT32" i="3"/>
  <c r="AY72" i="2"/>
  <c r="AY36" i="3"/>
  <c r="BO70" i="2"/>
  <c r="BO35" i="3"/>
  <c r="CA67" i="2"/>
  <c r="CA33" i="3" s="1"/>
  <c r="BU64" i="2"/>
  <c r="BU29" i="3"/>
  <c r="BW66" i="2"/>
  <c r="BW30" i="3"/>
  <c r="BR70" i="2"/>
  <c r="BR35" i="3"/>
  <c r="Y5" i="2"/>
  <c r="AA5" i="2"/>
  <c r="CF59" i="2"/>
  <c r="CL61" i="2" s="1"/>
  <c r="CF18" i="2"/>
  <c r="CF19" i="2" s="1"/>
  <c r="CF21" i="2" s="1"/>
  <c r="CF23" i="2" s="1"/>
  <c r="CL8" i="2"/>
  <c r="CF61" i="2"/>
  <c r="CF67" i="2"/>
  <c r="CF33" i="3" s="1"/>
  <c r="CD35" i="2"/>
  <c r="CJ25" i="2"/>
  <c r="CJ35" i="2" s="1"/>
  <c r="AG73" i="2"/>
  <c r="AK60" i="2"/>
  <c r="AK25" i="3"/>
  <c r="AK64" i="2"/>
  <c r="AK29" i="3"/>
  <c r="M70" i="2"/>
  <c r="S71" i="2"/>
  <c r="S37" i="3" s="1"/>
  <c r="M35" i="3"/>
  <c r="Y71" i="2"/>
  <c r="Y37" i="3" s="1"/>
  <c r="U37" i="3"/>
  <c r="AE71" i="2"/>
  <c r="AE37" i="3" s="1"/>
  <c r="AA37" i="3"/>
  <c r="L72" i="2"/>
  <c r="AE73" i="2"/>
  <c r="AE39" i="3" s="1"/>
  <c r="AA39" i="3"/>
  <c r="BC71" i="2"/>
  <c r="BC37" i="3" s="1"/>
  <c r="AP72" i="2"/>
  <c r="AP36" i="3"/>
  <c r="AQ60" i="2"/>
  <c r="BI66" i="2"/>
  <c r="BI30" i="3"/>
  <c r="BL68" i="2"/>
  <c r="BL34" i="3" s="1"/>
  <c r="BL32" i="3"/>
  <c r="BX73" i="2"/>
  <c r="BX39" i="3" s="1"/>
  <c r="CD27" i="3"/>
  <c r="BW62" i="2"/>
  <c r="BW28" i="3" s="1"/>
  <c r="BW26" i="3"/>
  <c r="CM30" i="2"/>
  <c r="CM32" i="2" s="1"/>
  <c r="CM34" i="2" s="1"/>
  <c r="BY36" i="2"/>
  <c r="BY38" i="2" s="1"/>
  <c r="BY40" i="2" s="1"/>
  <c r="CE37" i="2"/>
  <c r="AN73" i="2"/>
  <c r="AN39" i="3" s="1"/>
  <c r="CD56" i="2"/>
  <c r="CG56" i="2" s="1"/>
  <c r="BU55" i="2"/>
  <c r="BU57" i="2" s="1"/>
  <c r="Y73" i="2"/>
  <c r="Y39" i="3" s="1"/>
  <c r="U39" i="3"/>
  <c r="Y70" i="2"/>
  <c r="Y35" i="3"/>
  <c r="V68" i="2"/>
  <c r="V34" i="3" s="1"/>
  <c r="V32" i="3"/>
  <c r="BU62" i="2"/>
  <c r="BU28" i="3" s="1"/>
  <c r="BU26" i="3"/>
  <c r="BN68" i="2"/>
  <c r="BN34" i="3" s="1"/>
  <c r="BN32" i="3"/>
  <c r="CD63" i="2"/>
  <c r="CJ12" i="2"/>
  <c r="CJ63" i="2" s="1"/>
  <c r="CJ20" i="2"/>
  <c r="CI63" i="2"/>
  <c r="BO71" i="2"/>
  <c r="BO37" i="3" s="1"/>
  <c r="BK37" i="3"/>
  <c r="CG8" i="2"/>
  <c r="CG18" i="2"/>
  <c r="CG19" i="2" s="1"/>
  <c r="CC19" i="2"/>
  <c r="CC21" i="2" s="1"/>
  <c r="CC23" i="2" s="1"/>
  <c r="CI20" i="2"/>
  <c r="AQ38" i="2"/>
  <c r="AQ40" i="2" s="1"/>
  <c r="AK23" i="2"/>
  <c r="AH62" i="2"/>
  <c r="AH28" i="3" s="1"/>
  <c r="AH26" i="3"/>
  <c r="CM49" i="2"/>
  <c r="CM51" i="2" s="1"/>
  <c r="Y66" i="2"/>
  <c r="Y30" i="3"/>
  <c r="AQ53" i="2"/>
  <c r="AQ55" i="2" s="1"/>
  <c r="AQ57" i="2" s="1"/>
  <c r="V72" i="2"/>
  <c r="V36" i="3"/>
  <c r="AI66" i="2"/>
  <c r="BF74" i="2"/>
  <c r="BF40" i="3" s="1"/>
  <c r="BF38" i="3"/>
  <c r="AU72" i="2"/>
  <c r="AU36" i="3"/>
  <c r="BI73" i="2"/>
  <c r="BI39" i="3" s="1"/>
  <c r="BE39" i="3"/>
  <c r="BQ68" i="2"/>
  <c r="BQ34" i="3" s="1"/>
  <c r="BQ32" i="3"/>
  <c r="BQ66" i="3"/>
  <c r="BQ68" i="3" s="1"/>
  <c r="CE63" i="2"/>
  <c r="CK20" i="2"/>
  <c r="CK12" i="2"/>
  <c r="CK63" i="2" s="1"/>
  <c r="AM71" i="2"/>
  <c r="CA9" i="2"/>
  <c r="CA11" i="2" s="1"/>
  <c r="CG10" i="2"/>
  <c r="BY69" i="2"/>
  <c r="CE71" i="2" s="1"/>
  <c r="CE37" i="3" s="1"/>
  <c r="BY60" i="2"/>
  <c r="BY25" i="3"/>
  <c r="AN71" i="2"/>
  <c r="AN37" i="3" s="1"/>
  <c r="AI73" i="2"/>
  <c r="AI39" i="3" s="1"/>
  <c r="CM67" i="1"/>
  <c r="CI10" i="3"/>
  <c r="BX53" i="1"/>
  <c r="BX55" i="1" s="1"/>
  <c r="BX57" i="1" s="1"/>
  <c r="CI16" i="3"/>
  <c r="CD10" i="3"/>
  <c r="BZ35" i="1"/>
  <c r="CF39" i="1" s="1"/>
  <c r="CF25" i="1"/>
  <c r="BS79" i="1"/>
  <c r="BS11" i="3" s="1"/>
  <c r="BS9" i="3"/>
  <c r="BR79" i="1"/>
  <c r="BR11" i="3" s="1"/>
  <c r="BR9" i="3"/>
  <c r="BT79" i="1"/>
  <c r="BT11" i="3" s="1"/>
  <c r="BT9" i="3"/>
  <c r="BY61" i="3"/>
  <c r="CA50" i="1"/>
  <c r="CA51" i="1"/>
  <c r="BU47" i="1"/>
  <c r="BU49" i="1" s="1"/>
  <c r="CA48" i="1"/>
  <c r="BI55" i="1"/>
  <c r="BI57" i="1" s="1"/>
  <c r="BU90" i="1"/>
  <c r="BQ22" i="3"/>
  <c r="BU22" i="3" s="1"/>
  <c r="CA78" i="1"/>
  <c r="BT81" i="1"/>
  <c r="BT12" i="3"/>
  <c r="BT63" i="3" s="1"/>
  <c r="BW87" i="1"/>
  <c r="BW18" i="3"/>
  <c r="CI76" i="1"/>
  <c r="CI18" i="1"/>
  <c r="CD39" i="1"/>
  <c r="BO38" i="1"/>
  <c r="BO40" i="1" s="1"/>
  <c r="CE69" i="1"/>
  <c r="CE70" i="1" s="1"/>
  <c r="CK59" i="1"/>
  <c r="CA68" i="1"/>
  <c r="BU64" i="1"/>
  <c r="BU66" i="1" s="1"/>
  <c r="CA67" i="1"/>
  <c r="CA65" i="1"/>
  <c r="BK89" i="1"/>
  <c r="BK19" i="3"/>
  <c r="BO88" i="1"/>
  <c r="BK20" i="3"/>
  <c r="CE84" i="1"/>
  <c r="CE16" i="3" s="1"/>
  <c r="BY80" i="1"/>
  <c r="CE12" i="1"/>
  <c r="CG12" i="1" s="1"/>
  <c r="CA12" i="1"/>
  <c r="CF46" i="1"/>
  <c r="CF80" i="1" s="1"/>
  <c r="CJ42" i="1"/>
  <c r="CK42" i="1"/>
  <c r="AE72" i="1"/>
  <c r="BO90" i="1"/>
  <c r="BK22" i="3"/>
  <c r="BO22" i="3" s="1"/>
  <c r="BM20" i="3"/>
  <c r="BM89" i="1"/>
  <c r="BZ76" i="1"/>
  <c r="AW23" i="1"/>
  <c r="BZ56" i="1"/>
  <c r="CI35" i="1"/>
  <c r="BL89" i="1"/>
  <c r="BL19" i="3"/>
  <c r="CG59" i="1"/>
  <c r="CF69" i="1"/>
  <c r="CF70" i="1" s="1"/>
  <c r="CL59" i="1"/>
  <c r="AK72" i="1"/>
  <c r="BO11" i="3"/>
  <c r="BO83" i="1"/>
  <c r="BO85" i="1" s="1"/>
  <c r="BQ85" i="1"/>
  <c r="BQ17" i="3" s="1"/>
  <c r="BQ15" i="3"/>
  <c r="CA9" i="1"/>
  <c r="CA11" i="1" s="1"/>
  <c r="CG10" i="1"/>
  <c r="CG11" i="1" s="1"/>
  <c r="BZ52" i="1"/>
  <c r="CF54" i="1" s="1"/>
  <c r="BR13" i="3"/>
  <c r="CJ73" i="1"/>
  <c r="CD69" i="1"/>
  <c r="CJ59" i="1"/>
  <c r="CJ69" i="1" s="1"/>
  <c r="BZ90" i="1"/>
  <c r="BZ22" i="3" s="1"/>
  <c r="BR59" i="3"/>
  <c r="BU8" i="3"/>
  <c r="BT87" i="1"/>
  <c r="BT18" i="3"/>
  <c r="BR36" i="1"/>
  <c r="BR38" i="1" s="1"/>
  <c r="BR40" i="1" s="1"/>
  <c r="BX39" i="1"/>
  <c r="BU35" i="1"/>
  <c r="CE39" i="1"/>
  <c r="BY35" i="1"/>
  <c r="CA35" i="1" s="1"/>
  <c r="CE25" i="1"/>
  <c r="CA25" i="1"/>
  <c r="CL29" i="1"/>
  <c r="CK63" i="1"/>
  <c r="BW67" i="3"/>
  <c r="BW22" i="3"/>
  <c r="AC6" i="1"/>
  <c r="AD6" i="1" s="1"/>
  <c r="AG6" i="1" s="1"/>
  <c r="AH6" i="1"/>
  <c r="BS60" i="3"/>
  <c r="CC77" i="1"/>
  <c r="CC86" i="1"/>
  <c r="CC8" i="3"/>
  <c r="BX37" i="1"/>
  <c r="BY70" i="1"/>
  <c r="BY72" i="1" s="1"/>
  <c r="BY74" i="1" s="1"/>
  <c r="CE71" i="1"/>
  <c r="CL12" i="1"/>
  <c r="BS81" i="1"/>
  <c r="BS12" i="3"/>
  <c r="BY82" i="1"/>
  <c r="BX88" i="1"/>
  <c r="BX20" i="3" s="1"/>
  <c r="BX14" i="3"/>
  <c r="CI80" i="1"/>
  <c r="BU30" i="1"/>
  <c r="BU32" i="1" s="1"/>
  <c r="BU34" i="1" s="1"/>
  <c r="CA33" i="1"/>
  <c r="CA31" i="1"/>
  <c r="CD56" i="1"/>
  <c r="CA69" i="1"/>
  <c r="CA70" i="1" s="1"/>
  <c r="CA72" i="1" s="1"/>
  <c r="BU19" i="1"/>
  <c r="BU21" i="1" s="1"/>
  <c r="BU23" i="1" s="1"/>
  <c r="CA22" i="1"/>
  <c r="CF76" i="1"/>
  <c r="CF18" i="1"/>
  <c r="CF19" i="1" s="1"/>
  <c r="CL8" i="1"/>
  <c r="CL97" i="6" s="1"/>
  <c r="CL22" i="7" s="1"/>
  <c r="CF78" i="1"/>
  <c r="BY76" i="1"/>
  <c r="BR65" i="3"/>
  <c r="BU14" i="3"/>
  <c r="BW63" i="3"/>
  <c r="CC36" i="1"/>
  <c r="CC38" i="1" s="1"/>
  <c r="CC40" i="1" s="1"/>
  <c r="CI39" i="1"/>
  <c r="CI69" i="1"/>
  <c r="CM59" i="1"/>
  <c r="CM60" i="1" s="1"/>
  <c r="CD76" i="1"/>
  <c r="CJ78" i="1" s="1"/>
  <c r="CJ22" i="1"/>
  <c r="CD18" i="1"/>
  <c r="CD19" i="1" s="1"/>
  <c r="CJ8" i="1"/>
  <c r="BX77" i="1"/>
  <c r="BX86" i="1"/>
  <c r="BX8" i="3"/>
  <c r="BX59" i="3" s="1"/>
  <c r="BU52" i="1"/>
  <c r="BZ82" i="1"/>
  <c r="BR87" i="1"/>
  <c r="BR18" i="3"/>
  <c r="BU10" i="3"/>
  <c r="BQ61" i="3"/>
  <c r="CD80" i="1"/>
  <c r="CJ12" i="1"/>
  <c r="BW79" i="1"/>
  <c r="BW11" i="3" s="1"/>
  <c r="BW9" i="3"/>
  <c r="CC19" i="1"/>
  <c r="CC21" i="1" s="1"/>
  <c r="CC23" i="1" s="1"/>
  <c r="CD35" i="1"/>
  <c r="CD36" i="1" s="1"/>
  <c r="CJ25" i="1"/>
  <c r="CE73" i="1"/>
  <c r="BK85" i="1"/>
  <c r="BK17" i="3" s="1"/>
  <c r="BK15" i="3"/>
  <c r="BQ89" i="1"/>
  <c r="BQ19" i="3"/>
  <c r="BK65" i="3"/>
  <c r="BO14" i="3"/>
  <c r="BZ81" i="1"/>
  <c r="BZ12" i="3"/>
  <c r="BZ63" i="3" s="1"/>
  <c r="BY84" i="1"/>
  <c r="CC90" i="1"/>
  <c r="CD29" i="1"/>
  <c r="CD37" i="1"/>
  <c r="CA29" i="1"/>
  <c r="BK61" i="3"/>
  <c r="BO10" i="3"/>
  <c r="BZ19" i="1"/>
  <c r="BZ21" i="1" s="1"/>
  <c r="BZ23" i="1" s="1"/>
  <c r="CF20" i="1"/>
  <c r="BY18" i="1"/>
  <c r="CE20" i="1" s="1"/>
  <c r="CE78" i="1"/>
  <c r="CC88" i="1"/>
  <c r="CG25" i="1"/>
  <c r="CI73" i="1"/>
  <c r="BI72" i="1"/>
  <c r="BI74" i="1" s="1"/>
  <c r="AW72" i="1"/>
  <c r="BL85" i="1"/>
  <c r="BL17" i="3" s="1"/>
  <c r="BL15" i="3"/>
  <c r="BX19" i="1"/>
  <c r="BX21" i="1" s="1"/>
  <c r="BX23" i="1" s="1"/>
  <c r="CD20" i="1"/>
  <c r="CF82" i="1"/>
  <c r="BU80" i="1"/>
  <c r="BX72" i="1"/>
  <c r="BX74" i="1" s="1"/>
  <c r="BU20" i="3"/>
  <c r="AM5" i="1"/>
  <c r="AK5" i="1"/>
  <c r="BT60" i="3"/>
  <c r="BT62" i="3" s="1"/>
  <c r="BW20" i="3"/>
  <c r="CI52" i="1"/>
  <c r="CC53" i="1"/>
  <c r="CC55" i="1" s="1"/>
  <c r="CC57" i="1" s="1"/>
  <c r="CI54" i="1"/>
  <c r="CD46" i="1"/>
  <c r="CA46" i="1"/>
  <c r="CD54" i="1"/>
  <c r="CL63" i="1"/>
  <c r="CM63" i="1" s="1"/>
  <c r="BW61" i="3"/>
  <c r="CA10" i="3"/>
  <c r="BL62" i="3"/>
  <c r="BS86" i="1"/>
  <c r="BU86" i="1" s="1"/>
  <c r="BU87" i="1" s="1"/>
  <c r="BX80" i="1"/>
  <c r="BW59" i="3"/>
  <c r="CI22" i="1"/>
  <c r="BX36" i="1"/>
  <c r="BX38" i="1" s="1"/>
  <c r="BO89" i="1"/>
  <c r="BO91" i="1" s="1"/>
  <c r="AQ23" i="1"/>
  <c r="CC81" i="1"/>
  <c r="CC12" i="3"/>
  <c r="BU70" i="1"/>
  <c r="BU72" i="1" s="1"/>
  <c r="BU74" i="1" s="1"/>
  <c r="CA73" i="1"/>
  <c r="CA64" i="1"/>
  <c r="CA66" i="1" s="1"/>
  <c r="CG68" i="1"/>
  <c r="CG67" i="1"/>
  <c r="CG65" i="1"/>
  <c r="BY57" i="1"/>
  <c r="AE55" i="1"/>
  <c r="BC55" i="1"/>
  <c r="BN89" i="1"/>
  <c r="BN19" i="3"/>
  <c r="BM66" i="3"/>
  <c r="BM68" i="3" s="1"/>
  <c r="BM71" i="3"/>
  <c r="CK8" i="1"/>
  <c r="CK97" i="6" s="1"/>
  <c r="CK22" i="7" s="1"/>
  <c r="BW83" i="1"/>
  <c r="BW13" i="3"/>
  <c r="CE46" i="1"/>
  <c r="CE54" i="1"/>
  <c r="CC70" i="1"/>
  <c r="CC72" i="1" s="1"/>
  <c r="CC74" i="1" s="1"/>
  <c r="BZ70" i="1"/>
  <c r="BZ72" i="1" s="1"/>
  <c r="BZ74" i="1" s="1"/>
  <c r="CF71" i="1"/>
  <c r="BO9" i="3"/>
  <c r="BX90" i="1"/>
  <c r="BX22" i="3" s="1"/>
  <c r="CF52" i="1"/>
  <c r="CF53" i="1" s="1"/>
  <c r="CL42" i="1"/>
  <c r="BR63" i="3"/>
  <c r="CA60" i="1"/>
  <c r="CG61" i="1"/>
  <c r="CG62" i="1"/>
  <c r="BZ61" i="3"/>
  <c r="BU88" i="1"/>
  <c r="AC6" i="3"/>
  <c r="AD6" i="3" s="1"/>
  <c r="AG6" i="3" s="1"/>
  <c r="AH6" i="3"/>
  <c r="BU92" i="3"/>
  <c r="AG5" i="3"/>
  <c r="AE5" i="3"/>
  <c r="BU91" i="3"/>
  <c r="AA80" i="5"/>
  <c r="U80" i="5"/>
  <c r="AE44" i="5"/>
  <c r="AE26" i="5"/>
  <c r="AE25" i="5"/>
  <c r="AD54" i="5"/>
  <c r="AD44" i="5"/>
  <c r="AD25" i="5"/>
  <c r="AD26" i="5"/>
  <c r="BI114" i="5"/>
  <c r="BI53" i="5"/>
  <c r="BI42" i="5"/>
  <c r="BI43" i="5"/>
  <c r="BF83" i="5"/>
  <c r="BR84" i="5" s="1"/>
  <c r="W54" i="5"/>
  <c r="W44" i="5"/>
  <c r="W25" i="5"/>
  <c r="W26" i="5"/>
  <c r="AO84" i="5"/>
  <c r="AW39" i="5"/>
  <c r="AU79" i="5"/>
  <c r="BM80" i="5" s="1"/>
  <c r="AV79" i="5"/>
  <c r="BG54" i="5"/>
  <c r="BG44" i="5"/>
  <c r="BG26" i="5"/>
  <c r="BG25" i="5"/>
  <c r="BG83" i="5"/>
  <c r="Y67" i="5"/>
  <c r="Y69" i="5" s="1"/>
  <c r="AS83" i="5"/>
  <c r="BK84" i="5" s="1"/>
  <c r="X54" i="5"/>
  <c r="X44" i="5"/>
  <c r="X26" i="5"/>
  <c r="X25" i="5"/>
  <c r="AG78" i="5"/>
  <c r="G18" i="5"/>
  <c r="AU78" i="5"/>
  <c r="BC39" i="5"/>
  <c r="AZ79" i="5"/>
  <c r="D44" i="5"/>
  <c r="D25" i="5"/>
  <c r="D26" i="5"/>
  <c r="AB31" i="5"/>
  <c r="AB34" i="5"/>
  <c r="M114" i="5"/>
  <c r="M53" i="5"/>
  <c r="M42" i="5"/>
  <c r="M23" i="5"/>
  <c r="M43" i="5"/>
  <c r="BR82" i="5"/>
  <c r="V78" i="5"/>
  <c r="BB82" i="5"/>
  <c r="AI82" i="5"/>
  <c r="BC114" i="5"/>
  <c r="BC53" i="5"/>
  <c r="BC43" i="5"/>
  <c r="BC42" i="5"/>
  <c r="S114" i="5"/>
  <c r="S53" i="5"/>
  <c r="S43" i="5"/>
  <c r="S42" i="5"/>
  <c r="S23" i="5"/>
  <c r="R83" i="5"/>
  <c r="AJ84" i="5" s="1"/>
  <c r="P83" i="5"/>
  <c r="O83" i="5"/>
  <c r="F44" i="5"/>
  <c r="F26" i="5"/>
  <c r="F25" i="5"/>
  <c r="BB79" i="5"/>
  <c r="BO114" i="5"/>
  <c r="BO53" i="5"/>
  <c r="BO43" i="5"/>
  <c r="BO42" i="5"/>
  <c r="BO66" i="5"/>
  <c r="AG82" i="5"/>
  <c r="AT79" i="5"/>
  <c r="BL54" i="5"/>
  <c r="BL44" i="5"/>
  <c r="BL26" i="5"/>
  <c r="BL25" i="5"/>
  <c r="AI54" i="5"/>
  <c r="AI44" i="5"/>
  <c r="AI26" i="5"/>
  <c r="AI25" i="5"/>
  <c r="O34" i="5"/>
  <c r="O31" i="5"/>
  <c r="O63" i="6" s="1"/>
  <c r="AQ66" i="5"/>
  <c r="AD78" i="5"/>
  <c r="X78" i="5"/>
  <c r="AG80" i="5"/>
  <c r="C44" i="5"/>
  <c r="C25" i="5"/>
  <c r="C26" i="5"/>
  <c r="AC78" i="5"/>
  <c r="W78" i="5"/>
  <c r="BO39" i="5"/>
  <c r="BM79" i="5"/>
  <c r="BL79" i="5"/>
  <c r="BN79" i="5"/>
  <c r="AN54" i="5"/>
  <c r="AN44" i="5"/>
  <c r="AN26" i="5"/>
  <c r="AN25" i="5"/>
  <c r="AV78" i="5"/>
  <c r="AB78" i="5"/>
  <c r="R31" i="5"/>
  <c r="R63" i="6" s="1"/>
  <c r="R34" i="5"/>
  <c r="BQ84" i="5"/>
  <c r="AZ54" i="5"/>
  <c r="AZ44" i="5"/>
  <c r="AZ26" i="5"/>
  <c r="AZ25" i="5"/>
  <c r="BH80" i="5"/>
  <c r="AQ114" i="5"/>
  <c r="AQ53" i="5"/>
  <c r="AQ42" i="5"/>
  <c r="AQ43" i="5"/>
  <c r="AM83" i="5"/>
  <c r="BB80" i="5"/>
  <c r="BN82" i="5"/>
  <c r="G66" i="5"/>
  <c r="M18" i="5"/>
  <c r="S66" i="5"/>
  <c r="Y18" i="5"/>
  <c r="AE67" i="5"/>
  <c r="AE69" i="5" s="1"/>
  <c r="AG54" i="5"/>
  <c r="AK23" i="5"/>
  <c r="AG44" i="5"/>
  <c r="AG25" i="5"/>
  <c r="AG26" i="5"/>
  <c r="W6" i="5"/>
  <c r="AB6" i="5"/>
  <c r="BI52" i="5"/>
  <c r="M39" i="5"/>
  <c r="K79" i="5"/>
  <c r="L79" i="5"/>
  <c r="J79" i="5"/>
  <c r="BC67" i="5"/>
  <c r="BC69" i="5" s="1"/>
  <c r="BE54" i="5"/>
  <c r="BE44" i="5"/>
  <c r="BI23" i="5"/>
  <c r="BE25" i="5"/>
  <c r="BE26" i="5"/>
  <c r="K54" i="5"/>
  <c r="K44" i="5"/>
  <c r="K25" i="5"/>
  <c r="K26" i="5"/>
  <c r="AC84" i="5"/>
  <c r="W84" i="5"/>
  <c r="AO54" i="5"/>
  <c r="AO44" i="5"/>
  <c r="AO25" i="5"/>
  <c r="AO26" i="5"/>
  <c r="BM54" i="5"/>
  <c r="BM44" i="5"/>
  <c r="BM26" i="5"/>
  <c r="BM25" i="5"/>
  <c r="AQ67" i="5"/>
  <c r="AQ69" i="5" s="1"/>
  <c r="AS54" i="5"/>
  <c r="AS44" i="5"/>
  <c r="AW23" i="5"/>
  <c r="AS25" i="5"/>
  <c r="AS26" i="5"/>
  <c r="L54" i="5"/>
  <c r="L44" i="5"/>
  <c r="L26" i="5"/>
  <c r="L25" i="5"/>
  <c r="X84" i="5"/>
  <c r="BE80" i="5"/>
  <c r="BQ78" i="5"/>
  <c r="AH54" i="5"/>
  <c r="AH44" i="5"/>
  <c r="AH25" i="5"/>
  <c r="AH26" i="5"/>
  <c r="G44" i="5"/>
  <c r="G26" i="5"/>
  <c r="G25" i="5"/>
  <c r="BF34" i="5"/>
  <c r="BF31" i="5"/>
  <c r="BH54" i="5"/>
  <c r="BH44" i="5"/>
  <c r="BH26" i="5"/>
  <c r="BH25" i="5"/>
  <c r="BH83" i="5"/>
  <c r="AE114" i="5"/>
  <c r="AE53" i="5"/>
  <c r="AE43" i="5"/>
  <c r="AE42" i="5"/>
  <c r="AB83" i="5"/>
  <c r="AT84" i="5" s="1"/>
  <c r="AA83" i="5"/>
  <c r="BT82" i="5"/>
  <c r="AP54" i="5"/>
  <c r="AP25" i="5"/>
  <c r="AP44" i="5"/>
  <c r="AP26" i="5"/>
  <c r="AP83" i="5"/>
  <c r="AU54" i="5"/>
  <c r="AU26" i="5"/>
  <c r="AU25" i="5"/>
  <c r="AU44" i="5"/>
  <c r="AK66" i="5"/>
  <c r="AQ18" i="5"/>
  <c r="AT54" i="5"/>
  <c r="AT44" i="5"/>
  <c r="AT26" i="5"/>
  <c r="AT25" i="5"/>
  <c r="AG5" i="5"/>
  <c r="AE5" i="5"/>
  <c r="BL82" i="5"/>
  <c r="BK82" i="5"/>
  <c r="G67" i="5"/>
  <c r="G69" i="5" s="1"/>
  <c r="I54" i="5"/>
  <c r="I44" i="5"/>
  <c r="I26" i="5"/>
  <c r="I25" i="5"/>
  <c r="S67" i="5"/>
  <c r="S69" i="5" s="1"/>
  <c r="U54" i="5"/>
  <c r="U44" i="5"/>
  <c r="Y23" i="5"/>
  <c r="U26" i="5"/>
  <c r="U25" i="5"/>
  <c r="AE66" i="5"/>
  <c r="AK18" i="5"/>
  <c r="BI67" i="5"/>
  <c r="BI69" i="5" s="1"/>
  <c r="BK54" i="5"/>
  <c r="BK44" i="5"/>
  <c r="BO23" i="5"/>
  <c r="BK25" i="5"/>
  <c r="BK26" i="5"/>
  <c r="AZ80" i="5"/>
  <c r="J54" i="5"/>
  <c r="J44" i="5"/>
  <c r="J25" i="5"/>
  <c r="J26" i="5"/>
  <c r="J83" i="5"/>
  <c r="AP78" i="5"/>
  <c r="Q54" i="5"/>
  <c r="Q44" i="5"/>
  <c r="Q26" i="5"/>
  <c r="Q25" i="5"/>
  <c r="AV44" i="5"/>
  <c r="AV54" i="5"/>
  <c r="AV26" i="5"/>
  <c r="AV25" i="5"/>
  <c r="E44" i="5"/>
  <c r="E26" i="5"/>
  <c r="E25" i="5"/>
  <c r="BA54" i="5"/>
  <c r="BA44" i="5"/>
  <c r="BA26" i="5"/>
  <c r="BA25" i="5"/>
  <c r="BS84" i="5"/>
  <c r="BI18" i="5"/>
  <c r="AC54" i="5"/>
  <c r="AC44" i="5"/>
  <c r="AC25" i="5"/>
  <c r="AC26" i="5"/>
  <c r="AU84" i="5"/>
  <c r="AA55" i="5"/>
  <c r="AA31" i="5"/>
  <c r="AA34" i="5"/>
  <c r="AW114" i="5"/>
  <c r="AW53" i="5"/>
  <c r="AW42" i="5"/>
  <c r="AW43" i="5"/>
  <c r="BN54" i="5"/>
  <c r="BN44" i="5"/>
  <c r="BN26" i="5"/>
  <c r="BN25" i="5"/>
  <c r="Y114" i="5"/>
  <c r="Y53" i="5"/>
  <c r="Y43" i="5"/>
  <c r="Y42" i="5"/>
  <c r="AO78" i="5"/>
  <c r="BK79" i="5"/>
  <c r="BQ80" i="5" s="1"/>
  <c r="V54" i="5"/>
  <c r="V44" i="5"/>
  <c r="V26" i="5"/>
  <c r="V25" i="5"/>
  <c r="P55" i="5"/>
  <c r="P34" i="5"/>
  <c r="P31" i="5"/>
  <c r="AO80" i="5"/>
  <c r="AA78" i="5"/>
  <c r="U78" i="5"/>
  <c r="BQ82" i="5"/>
  <c r="AY80" i="5"/>
  <c r="R54" i="5"/>
  <c r="AW67" i="5"/>
  <c r="AW69" i="5" s="1"/>
  <c r="AY54" i="5"/>
  <c r="AY44" i="5"/>
  <c r="BC23" i="5"/>
  <c r="AY25" i="5"/>
  <c r="AY26" i="5"/>
  <c r="AN82" i="5"/>
  <c r="AU83" i="5"/>
  <c r="BM84" i="5" s="1"/>
  <c r="AK67" i="5"/>
  <c r="AK69" i="5" s="1"/>
  <c r="AM54" i="5"/>
  <c r="AM44" i="5"/>
  <c r="AQ23" i="5"/>
  <c r="AM25" i="5"/>
  <c r="AM26" i="5"/>
  <c r="AJ54" i="5"/>
  <c r="AJ44" i="5"/>
  <c r="AJ26" i="5"/>
  <c r="AJ25" i="5"/>
  <c r="BB54" i="5"/>
  <c r="BB44" i="5"/>
  <c r="BB26" i="5"/>
  <c r="BB25" i="5"/>
  <c r="BH78" i="5"/>
  <c r="AP80" i="5"/>
  <c r="BM82" i="5"/>
  <c r="I83" i="5"/>
  <c r="U83" i="5"/>
  <c r="AM84" i="5" s="1"/>
  <c r="AK114" i="5"/>
  <c r="AK53" i="5"/>
  <c r="AK42" i="5"/>
  <c r="AK43" i="5"/>
  <c r="BI66" i="5"/>
  <c r="BO18" i="5"/>
  <c r="BQ54" i="5"/>
  <c r="BO67" i="5"/>
  <c r="BO69" i="5" s="1"/>
  <c r="BQ44" i="5"/>
  <c r="BQ26" i="5"/>
  <c r="BQ25" i="5"/>
  <c r="AO82" i="5"/>
  <c r="S52" i="5"/>
  <c r="BN78" i="5"/>
  <c r="CM68" i="1" l="1"/>
  <c r="CE23" i="2"/>
  <c r="CM65" i="1"/>
  <c r="BX48" i="3"/>
  <c r="CE18" i="1"/>
  <c r="CM64" i="1"/>
  <c r="CJ82" i="1"/>
  <c r="CG54" i="2"/>
  <c r="BS62" i="3"/>
  <c r="BX61" i="3"/>
  <c r="BU11" i="3"/>
  <c r="BU12" i="3"/>
  <c r="BS63" i="3"/>
  <c r="AW111" i="6"/>
  <c r="AC63" i="7"/>
  <c r="S38" i="7"/>
  <c r="Q63" i="7"/>
  <c r="AW48" i="7"/>
  <c r="AV70" i="6"/>
  <c r="K12" i="7"/>
  <c r="I12" i="7"/>
  <c r="J12" i="7"/>
  <c r="L12" i="7"/>
  <c r="AQ63" i="7"/>
  <c r="AV107" i="6"/>
  <c r="M48" i="7"/>
  <c r="Y38" i="7"/>
  <c r="BN112" i="6"/>
  <c r="BN108" i="6"/>
  <c r="Q58" i="7"/>
  <c r="BG63" i="7"/>
  <c r="X57" i="7"/>
  <c r="BA63" i="7"/>
  <c r="W63" i="7"/>
  <c r="BO27" i="7"/>
  <c r="AO63" i="7"/>
  <c r="K63" i="7"/>
  <c r="BI10" i="7"/>
  <c r="W108" i="6"/>
  <c r="Y108" i="6" s="1"/>
  <c r="Y107" i="6"/>
  <c r="AW38" i="7"/>
  <c r="BC104" i="6"/>
  <c r="BC114" i="6" s="1"/>
  <c r="BC115" i="6" s="1"/>
  <c r="D59" i="7"/>
  <c r="AW99" i="7"/>
  <c r="S109" i="6"/>
  <c r="G38" i="7"/>
  <c r="BM63" i="7"/>
  <c r="BM112" i="6"/>
  <c r="BM108" i="6"/>
  <c r="BO108" i="6" s="1"/>
  <c r="AJ107" i="6"/>
  <c r="AP112" i="6"/>
  <c r="AP108" i="6"/>
  <c r="BA108" i="6"/>
  <c r="BA112" i="6"/>
  <c r="BI11" i="7"/>
  <c r="F101" i="6"/>
  <c r="F104" i="6" s="1"/>
  <c r="AK63" i="7"/>
  <c r="BO111" i="6"/>
  <c r="BO104" i="6"/>
  <c r="G63" i="7"/>
  <c r="AU63" i="7"/>
  <c r="Q59" i="7"/>
  <c r="BC99" i="7"/>
  <c r="BH63" i="7"/>
  <c r="F57" i="7"/>
  <c r="F63" i="7"/>
  <c r="AI63" i="7"/>
  <c r="E63" i="7"/>
  <c r="X63" i="7"/>
  <c r="AD108" i="6"/>
  <c r="AE108" i="6" s="1"/>
  <c r="AE107" i="6"/>
  <c r="AE109" i="6" s="1"/>
  <c r="AQ108" i="6"/>
  <c r="AQ109" i="6" s="1"/>
  <c r="AQ111" i="6"/>
  <c r="AQ104" i="6"/>
  <c r="BI108" i="6"/>
  <c r="AV111" i="6"/>
  <c r="AV103" i="6"/>
  <c r="AW103" i="6" s="1"/>
  <c r="AW104" i="6" s="1"/>
  <c r="AW114" i="6" s="1"/>
  <c r="AW115" i="6" s="1"/>
  <c r="AE63" i="7"/>
  <c r="AE102" i="6"/>
  <c r="AE111" i="6" s="1"/>
  <c r="C12" i="7"/>
  <c r="F12" i="7"/>
  <c r="D12" i="7"/>
  <c r="E12" i="7"/>
  <c r="BI27" i="7"/>
  <c r="BH112" i="6"/>
  <c r="BH108" i="6"/>
  <c r="BI48" i="7"/>
  <c r="BS128" i="6"/>
  <c r="BN54" i="6"/>
  <c r="L54" i="6"/>
  <c r="AP54" i="6"/>
  <c r="BR11" i="7"/>
  <c r="BX39" i="6"/>
  <c r="BH54" i="6"/>
  <c r="BS114" i="6"/>
  <c r="BS19" i="6" s="1"/>
  <c r="BZ45" i="6"/>
  <c r="BX40" i="6"/>
  <c r="BX25" i="6"/>
  <c r="R54" i="6"/>
  <c r="Y54" i="6"/>
  <c r="BO156" i="6"/>
  <c r="BO158" i="6" s="1"/>
  <c r="AV54" i="6"/>
  <c r="X54" i="6"/>
  <c r="BS136" i="6"/>
  <c r="BS140" i="6" s="1"/>
  <c r="BS23" i="6" s="1"/>
  <c r="BX48" i="6"/>
  <c r="BX21" i="6"/>
  <c r="M54" i="6"/>
  <c r="CA38" i="7"/>
  <c r="G54" i="6"/>
  <c r="BX26" i="6"/>
  <c r="BX50" i="6"/>
  <c r="BB54" i="6"/>
  <c r="W54" i="6"/>
  <c r="BR154" i="6"/>
  <c r="BF54" i="6"/>
  <c r="BX41" i="6"/>
  <c r="BX9" i="6"/>
  <c r="BY49" i="6"/>
  <c r="CA18" i="4"/>
  <c r="CG56" i="4"/>
  <c r="BO54" i="3"/>
  <c r="CL37" i="4"/>
  <c r="CL38" i="4" s="1"/>
  <c r="CI69" i="4"/>
  <c r="CL65" i="4"/>
  <c r="CL48" i="3" s="1"/>
  <c r="BN55" i="3"/>
  <c r="BN74" i="4"/>
  <c r="BN57" i="3" s="1"/>
  <c r="CK53" i="2"/>
  <c r="CG52" i="2"/>
  <c r="CG53" i="2" s="1"/>
  <c r="CG55" i="2" s="1"/>
  <c r="CG57" i="2" s="1"/>
  <c r="CL53" i="2"/>
  <c r="CG21" i="2"/>
  <c r="CG23" i="2" s="1"/>
  <c r="CL67" i="2"/>
  <c r="CL33" i="3" s="1"/>
  <c r="CK22" i="2"/>
  <c r="CM12" i="2"/>
  <c r="CM13" i="2" s="1"/>
  <c r="CM15" i="2" s="1"/>
  <c r="CM17" i="2" s="1"/>
  <c r="CJ53" i="2"/>
  <c r="CL65" i="2"/>
  <c r="BN23" i="2"/>
  <c r="CJ65" i="2"/>
  <c r="CJ67" i="2"/>
  <c r="CJ33" i="3" s="1"/>
  <c r="CG39" i="2"/>
  <c r="X74" i="2"/>
  <c r="X40" i="3" s="1"/>
  <c r="X38" i="3"/>
  <c r="CK36" i="2"/>
  <c r="CM25" i="2"/>
  <c r="CM26" i="2" s="1"/>
  <c r="R74" i="2"/>
  <c r="R40" i="3" s="1"/>
  <c r="R38" i="3"/>
  <c r="CL71" i="1"/>
  <c r="CE82" i="1"/>
  <c r="CL78" i="1"/>
  <c r="CG69" i="1"/>
  <c r="CG70" i="1" s="1"/>
  <c r="CG73" i="1"/>
  <c r="CJ20" i="1"/>
  <c r="CJ70" i="1"/>
  <c r="CD82" i="1"/>
  <c r="CG18" i="1"/>
  <c r="CM8" i="1"/>
  <c r="CM9" i="1" s="1"/>
  <c r="CM11" i="1" s="1"/>
  <c r="CJ97" i="6"/>
  <c r="CL73" i="1"/>
  <c r="CM42" i="1"/>
  <c r="CM43" i="1" s="1"/>
  <c r="CE72" i="1"/>
  <c r="CE74" i="1" s="1"/>
  <c r="BW96" i="6"/>
  <c r="BT20" i="6"/>
  <c r="BO15" i="3"/>
  <c r="BM73" i="3"/>
  <c r="BM62" i="3"/>
  <c r="BU9" i="3"/>
  <c r="BN73" i="3"/>
  <c r="BN62" i="3"/>
  <c r="BT80" i="5"/>
  <c r="AG5" i="6"/>
  <c r="AG5" i="7"/>
  <c r="BF62" i="6"/>
  <c r="BF64" i="6"/>
  <c r="BM112" i="7"/>
  <c r="AB6" i="7"/>
  <c r="AB6" i="6"/>
  <c r="BA80" i="5"/>
  <c r="BO88" i="6"/>
  <c r="BO84" i="6"/>
  <c r="P62" i="6"/>
  <c r="P64" i="6"/>
  <c r="Y70" i="5"/>
  <c r="O55" i="5"/>
  <c r="X6" i="5"/>
  <c r="W6" i="6"/>
  <c r="W6" i="7"/>
  <c r="BF55" i="5"/>
  <c r="P63" i="6"/>
  <c r="G71" i="7"/>
  <c r="O6" i="6"/>
  <c r="O6" i="7"/>
  <c r="U6" i="5"/>
  <c r="R6" i="6"/>
  <c r="R6" i="7"/>
  <c r="AE88" i="6"/>
  <c r="AE84" i="6"/>
  <c r="R55" i="5"/>
  <c r="R62" i="6"/>
  <c r="R64" i="6"/>
  <c r="O62" i="6"/>
  <c r="O64" i="6"/>
  <c r="AB62" i="6"/>
  <c r="AB63" i="6"/>
  <c r="AB64" i="6"/>
  <c r="BR80" i="5"/>
  <c r="BF63" i="6"/>
  <c r="AK87" i="6"/>
  <c r="AE87" i="6"/>
  <c r="BQ112" i="7"/>
  <c r="BN112" i="7"/>
  <c r="AA62" i="6"/>
  <c r="AA64" i="6"/>
  <c r="AA63" i="6"/>
  <c r="AE59" i="5"/>
  <c r="AE5" i="6"/>
  <c r="AE5" i="7"/>
  <c r="BI88" i="6"/>
  <c r="BI84" i="6"/>
  <c r="BM72" i="3"/>
  <c r="BS64" i="3"/>
  <c r="BS66" i="3" s="1"/>
  <c r="BS68" i="3" s="1"/>
  <c r="BT64" i="3"/>
  <c r="BT66" i="3" s="1"/>
  <c r="BT68" i="3" s="1"/>
  <c r="BL72" i="3"/>
  <c r="BL74" i="3" s="1"/>
  <c r="BN72" i="3"/>
  <c r="CC65" i="3"/>
  <c r="AT83" i="5"/>
  <c r="AW69" i="6"/>
  <c r="AV68" i="6"/>
  <c r="AW66" i="5"/>
  <c r="BE78" i="5"/>
  <c r="AY78" i="5"/>
  <c r="AW18" i="5"/>
  <c r="AV71" i="6"/>
  <c r="AV83" i="5"/>
  <c r="BB84" i="5" s="1"/>
  <c r="S71" i="6"/>
  <c r="S70" i="6"/>
  <c r="S68" i="6"/>
  <c r="AW82" i="6"/>
  <c r="AW87" i="6" s="1"/>
  <c r="AW83" i="6"/>
  <c r="AW88" i="6" s="1"/>
  <c r="BA78" i="5"/>
  <c r="BG78" i="5"/>
  <c r="BE84" i="5"/>
  <c r="BA64" i="7"/>
  <c r="Q64" i="7"/>
  <c r="F64" i="7"/>
  <c r="AO64" i="7"/>
  <c r="K64" i="7"/>
  <c r="X64" i="7"/>
  <c r="AC64" i="7"/>
  <c r="BM64" i="7"/>
  <c r="W64" i="7"/>
  <c r="AI64" i="7"/>
  <c r="E64" i="7"/>
  <c r="M71" i="6"/>
  <c r="G64" i="7"/>
  <c r="AU64" i="7"/>
  <c r="AE71" i="7"/>
  <c r="BG64" i="7"/>
  <c r="BH64" i="7"/>
  <c r="BS42" i="7"/>
  <c r="BS57" i="6"/>
  <c r="BI68" i="6"/>
  <c r="BI70" i="6"/>
  <c r="AK68" i="6"/>
  <c r="AK70" i="6"/>
  <c r="AW68" i="6"/>
  <c r="Y62" i="7"/>
  <c r="BB57" i="7"/>
  <c r="BB62" i="7"/>
  <c r="BO98" i="7"/>
  <c r="BO99" i="7" s="1"/>
  <c r="BO68" i="7"/>
  <c r="BX105" i="7"/>
  <c r="BX95" i="7"/>
  <c r="BX94" i="7" s="1"/>
  <c r="BX90" i="7" s="1"/>
  <c r="BX88" i="7" s="1"/>
  <c r="BY65" i="7"/>
  <c r="L62" i="7"/>
  <c r="L57" i="7"/>
  <c r="BO68" i="6"/>
  <c r="BO70" i="6"/>
  <c r="BO71" i="6"/>
  <c r="AQ68" i="6"/>
  <c r="AQ70" i="6"/>
  <c r="AQ71" i="6"/>
  <c r="Y68" i="6"/>
  <c r="Y70" i="6"/>
  <c r="Y71" i="6"/>
  <c r="BI71" i="6"/>
  <c r="AK71" i="6"/>
  <c r="AJ62" i="7"/>
  <c r="AJ57" i="7"/>
  <c r="BI111" i="6"/>
  <c r="BI104" i="6"/>
  <c r="G111" i="6"/>
  <c r="G104" i="6"/>
  <c r="BB8" i="5"/>
  <c r="BC8" i="5" s="1"/>
  <c r="BC9" i="5"/>
  <c r="S98" i="7"/>
  <c r="S99" i="7" s="1"/>
  <c r="S68" i="7"/>
  <c r="M62" i="7"/>
  <c r="M57" i="7"/>
  <c r="BB107" i="6"/>
  <c r="BB18" i="5"/>
  <c r="BC12" i="7"/>
  <c r="BR85" i="7"/>
  <c r="BU88" i="7"/>
  <c r="M74" i="7"/>
  <c r="M75" i="7" s="1"/>
  <c r="M99" i="7"/>
  <c r="R62" i="7"/>
  <c r="R57" i="7"/>
  <c r="Y99" i="7"/>
  <c r="AW74" i="7"/>
  <c r="AW75" i="7" s="1"/>
  <c r="BG84" i="5"/>
  <c r="BA84" i="5"/>
  <c r="S48" i="7"/>
  <c r="AW27" i="7"/>
  <c r="AW10" i="7"/>
  <c r="BW90" i="7"/>
  <c r="BO48" i="7"/>
  <c r="M68" i="6"/>
  <c r="M70" i="6"/>
  <c r="BC74" i="7"/>
  <c r="BC75" i="7" s="1"/>
  <c r="AD62" i="7"/>
  <c r="AD57" i="7"/>
  <c r="BN62" i="7"/>
  <c r="BN57" i="7"/>
  <c r="AV62" i="7"/>
  <c r="AV57" i="7"/>
  <c r="BY101" i="7"/>
  <c r="BX114" i="7"/>
  <c r="BX107" i="7"/>
  <c r="AZ78" i="5"/>
  <c r="BL78" i="5"/>
  <c r="AP62" i="7"/>
  <c r="AP57" i="7"/>
  <c r="S62" i="7"/>
  <c r="BO62" i="7"/>
  <c r="Y48" i="7"/>
  <c r="BT134" i="6"/>
  <c r="BI72" i="6"/>
  <c r="BI53" i="6"/>
  <c r="BT122" i="6"/>
  <c r="BT14" i="7" s="1"/>
  <c r="BT119" i="6"/>
  <c r="BO72" i="6"/>
  <c r="BO53" i="6"/>
  <c r="BZ92" i="6"/>
  <c r="BZ95" i="6" s="1"/>
  <c r="BY11" i="6"/>
  <c r="BO140" i="6"/>
  <c r="BO141" i="6" s="1"/>
  <c r="BS148" i="6"/>
  <c r="BS13" i="7" s="1"/>
  <c r="BS145" i="6"/>
  <c r="BS156" i="6" s="1"/>
  <c r="AW149" i="6"/>
  <c r="BI151" i="6"/>
  <c r="BI149" i="6"/>
  <c r="AQ72" i="6"/>
  <c r="AQ53" i="6"/>
  <c r="BY44" i="6"/>
  <c r="BT104" i="6"/>
  <c r="BT107" i="6"/>
  <c r="BT130" i="6"/>
  <c r="BC72" i="6"/>
  <c r="BC53" i="6"/>
  <c r="AQ157" i="6"/>
  <c r="AQ158" i="6" s="1"/>
  <c r="AQ140" i="6"/>
  <c r="AQ141" i="6" s="1"/>
  <c r="AW72" i="6"/>
  <c r="AW53" i="6"/>
  <c r="BC156" i="6"/>
  <c r="BC158" i="6" s="1"/>
  <c r="CG60" i="4"/>
  <c r="CG42" i="3"/>
  <c r="CE44" i="3"/>
  <c r="BU19" i="4"/>
  <c r="BU21" i="4" s="1"/>
  <c r="BU23" i="4" s="1"/>
  <c r="CA22" i="4"/>
  <c r="CA20" i="4"/>
  <c r="CK56" i="4"/>
  <c r="CK37" i="4"/>
  <c r="BX70" i="4"/>
  <c r="BX52" i="3"/>
  <c r="CJ22" i="4"/>
  <c r="CA62" i="4"/>
  <c r="CA45" i="3" s="1"/>
  <c r="CA43" i="3"/>
  <c r="CE63" i="4"/>
  <c r="CK12" i="4"/>
  <c r="CG12" i="4"/>
  <c r="CL39" i="4"/>
  <c r="BT72" i="4"/>
  <c r="BT53" i="3"/>
  <c r="AY5" i="4"/>
  <c r="AW5" i="4"/>
  <c r="CD73" i="4"/>
  <c r="CD56" i="3" s="1"/>
  <c r="CJ52" i="4"/>
  <c r="CJ53" i="4" s="1"/>
  <c r="CM42" i="4"/>
  <c r="CM43" i="4" s="1"/>
  <c r="BY57" i="4"/>
  <c r="CJ29" i="4"/>
  <c r="CM29" i="4" s="1"/>
  <c r="CG29" i="4"/>
  <c r="CK35" i="4"/>
  <c r="CK36" i="4" s="1"/>
  <c r="CK38" i="4" s="1"/>
  <c r="CF69" i="4"/>
  <c r="CF60" i="4"/>
  <c r="CF42" i="3"/>
  <c r="CD35" i="4"/>
  <c r="CJ37" i="4" s="1"/>
  <c r="CF53" i="4"/>
  <c r="CF55" i="4" s="1"/>
  <c r="CF57" i="4" s="1"/>
  <c r="CL54" i="4"/>
  <c r="CI64" i="4"/>
  <c r="CI46" i="3"/>
  <c r="CJ20" i="4"/>
  <c r="BS66" i="4"/>
  <c r="BS47" i="3"/>
  <c r="CG54" i="4"/>
  <c r="BU64" i="4"/>
  <c r="BU46" i="3"/>
  <c r="CA65" i="4"/>
  <c r="CA48" i="3" s="1"/>
  <c r="CA67" i="4"/>
  <c r="CA50" i="3" s="1"/>
  <c r="CE22" i="4"/>
  <c r="BX36" i="4"/>
  <c r="BX38" i="4" s="1"/>
  <c r="BX40" i="4" s="1"/>
  <c r="CA35" i="4"/>
  <c r="CG26" i="4"/>
  <c r="CG28" i="4" s="1"/>
  <c r="CM27" i="4"/>
  <c r="CC62" i="4"/>
  <c r="CC45" i="3" s="1"/>
  <c r="CC43" i="3"/>
  <c r="CG9" i="4"/>
  <c r="CG11" i="4" s="1"/>
  <c r="CM10" i="4"/>
  <c r="CJ44" i="3"/>
  <c r="CE48" i="3"/>
  <c r="BY64" i="4"/>
  <c r="BY46" i="3"/>
  <c r="CL64" i="4"/>
  <c r="CL46" i="3"/>
  <c r="AI6" i="4"/>
  <c r="AJ6" i="4" s="1"/>
  <c r="AM6" i="4" s="1"/>
  <c r="AN6" i="4"/>
  <c r="BK74" i="4"/>
  <c r="BK57" i="3" s="1"/>
  <c r="BK55" i="3"/>
  <c r="CD53" i="4"/>
  <c r="CD55" i="4" s="1"/>
  <c r="CD57" i="4" s="1"/>
  <c r="CJ54" i="4"/>
  <c r="CD39" i="4"/>
  <c r="BW68" i="4"/>
  <c r="BW51" i="3" s="1"/>
  <c r="BW49" i="3"/>
  <c r="CD37" i="4"/>
  <c r="CL59" i="4"/>
  <c r="CL18" i="4"/>
  <c r="CL19" i="4" s="1"/>
  <c r="CL21" i="4" s="1"/>
  <c r="CL44" i="3"/>
  <c r="CK46" i="4"/>
  <c r="CM46" i="4" s="1"/>
  <c r="CK54" i="4"/>
  <c r="CG46" i="4"/>
  <c r="CC54" i="3"/>
  <c r="CA19" i="4"/>
  <c r="CA21" i="4" s="1"/>
  <c r="CA23" i="4" s="1"/>
  <c r="CG20" i="4"/>
  <c r="BO72" i="4"/>
  <c r="BO53" i="3"/>
  <c r="CG61" i="4"/>
  <c r="CG44" i="3" s="1"/>
  <c r="CI70" i="4"/>
  <c r="CI52" i="3"/>
  <c r="CA63" i="4"/>
  <c r="CE18" i="4"/>
  <c r="CE19" i="4" s="1"/>
  <c r="CE21" i="4" s="1"/>
  <c r="CE23" i="4" s="1"/>
  <c r="BY71" i="4"/>
  <c r="BY54" i="3" s="1"/>
  <c r="BY48" i="3"/>
  <c r="BX50" i="3"/>
  <c r="BX67" i="3" s="1"/>
  <c r="BX73" i="4"/>
  <c r="BX56" i="3" s="1"/>
  <c r="BL74" i="4"/>
  <c r="BL57" i="3" s="1"/>
  <c r="BL55" i="3"/>
  <c r="CJ59" i="4"/>
  <c r="CJ18" i="4"/>
  <c r="CM8" i="4"/>
  <c r="CM9" i="4" s="1"/>
  <c r="CM11" i="4" s="1"/>
  <c r="CD60" i="4"/>
  <c r="CD42" i="3"/>
  <c r="CE67" i="4"/>
  <c r="CE50" i="3" s="1"/>
  <c r="CF64" i="4"/>
  <c r="CF46" i="3"/>
  <c r="BY69" i="4"/>
  <c r="CE71" i="4" s="1"/>
  <c r="CE54" i="3" s="1"/>
  <c r="CM25" i="4"/>
  <c r="CM26" i="4" s="1"/>
  <c r="CM28" i="4" s="1"/>
  <c r="CJ56" i="4"/>
  <c r="CA30" i="4"/>
  <c r="CA32" i="4" s="1"/>
  <c r="CA34" i="4" s="1"/>
  <c r="CG31" i="4"/>
  <c r="CG33" i="4"/>
  <c r="CF21" i="4"/>
  <c r="CF23" i="4" s="1"/>
  <c r="CG22" i="4"/>
  <c r="CL55" i="4"/>
  <c r="CL57" i="4" s="1"/>
  <c r="CC66" i="4"/>
  <c r="CC47" i="3"/>
  <c r="BW72" i="4"/>
  <c r="BW53" i="3"/>
  <c r="BZ66" i="4"/>
  <c r="BZ47" i="3"/>
  <c r="BZ62" i="4"/>
  <c r="BZ45" i="3" s="1"/>
  <c r="BZ43" i="3"/>
  <c r="CC56" i="3"/>
  <c r="BR66" i="4"/>
  <c r="BR47" i="3"/>
  <c r="CE60" i="4"/>
  <c r="CE42" i="3"/>
  <c r="CI53" i="4"/>
  <c r="CI55" i="4" s="1"/>
  <c r="CI57" i="4" s="1"/>
  <c r="BU36" i="4"/>
  <c r="BU38" i="4" s="1"/>
  <c r="BU40" i="4" s="1"/>
  <c r="CA39" i="4"/>
  <c r="CA37" i="4"/>
  <c r="CC70" i="4"/>
  <c r="CC52" i="3"/>
  <c r="BX62" i="4"/>
  <c r="BX45" i="3" s="1"/>
  <c r="BX43" i="3"/>
  <c r="CG14" i="4"/>
  <c r="CA13" i="4"/>
  <c r="CA15" i="4" s="1"/>
  <c r="CA17" i="4" s="1"/>
  <c r="CG16" i="4"/>
  <c r="CL67" i="4"/>
  <c r="CL50" i="3" s="1"/>
  <c r="BM74" i="4"/>
  <c r="BM57" i="3" s="1"/>
  <c r="BM55" i="3"/>
  <c r="BY62" i="4"/>
  <c r="BY45" i="3" s="1"/>
  <c r="BY43" i="3"/>
  <c r="CI36" i="4"/>
  <c r="CI38" i="4" s="1"/>
  <c r="CI40" i="4" s="1"/>
  <c r="CG52" i="4"/>
  <c r="CG43" i="4"/>
  <c r="CG45" i="4" s="1"/>
  <c r="CM44" i="4"/>
  <c r="BU53" i="4"/>
  <c r="BU55" i="4" s="1"/>
  <c r="BU57" i="4" s="1"/>
  <c r="CA56" i="4"/>
  <c r="CA54" i="4"/>
  <c r="CA55" i="4" s="1"/>
  <c r="BT68" i="4"/>
  <c r="BT51" i="3" s="1"/>
  <c r="BT49" i="3"/>
  <c r="CD71" i="4"/>
  <c r="CD54" i="3" s="1"/>
  <c r="CD48" i="3"/>
  <c r="BX66" i="4"/>
  <c r="BX47" i="3"/>
  <c r="BS72" i="4"/>
  <c r="BS53" i="3"/>
  <c r="CK39" i="4"/>
  <c r="CL22" i="4"/>
  <c r="CA47" i="4"/>
  <c r="CA49" i="4" s="1"/>
  <c r="CA51" i="4" s="1"/>
  <c r="CG50" i="4"/>
  <c r="CG48" i="4"/>
  <c r="CD63" i="4"/>
  <c r="CI71" i="4"/>
  <c r="BR70" i="4"/>
  <c r="BR52" i="3"/>
  <c r="BU69" i="4"/>
  <c r="BQ74" i="4"/>
  <c r="BQ57" i="3" s="1"/>
  <c r="BQ55" i="3"/>
  <c r="BO68" i="4"/>
  <c r="BO51" i="3" s="1"/>
  <c r="BO49" i="3"/>
  <c r="BZ70" i="4"/>
  <c r="BZ52" i="3"/>
  <c r="CI62" i="4"/>
  <c r="CI45" i="3" s="1"/>
  <c r="CI43" i="3"/>
  <c r="CK59" i="4"/>
  <c r="CK18" i="4"/>
  <c r="CK61" i="4"/>
  <c r="CI73" i="4"/>
  <c r="BL94" i="3"/>
  <c r="BT69" i="3"/>
  <c r="CK64" i="2"/>
  <c r="CK29" i="3"/>
  <c r="CJ31" i="3"/>
  <c r="Y72" i="2"/>
  <c r="Y36" i="3"/>
  <c r="AP74" i="2"/>
  <c r="AP40" i="3" s="1"/>
  <c r="AP38" i="3"/>
  <c r="L74" i="2"/>
  <c r="L40" i="3" s="1"/>
  <c r="L38" i="3"/>
  <c r="AK73" i="2"/>
  <c r="AK39" i="3" s="1"/>
  <c r="AG39" i="3"/>
  <c r="BW68" i="2"/>
  <c r="BW34" i="3" s="1"/>
  <c r="BW32" i="3"/>
  <c r="BN74" i="2"/>
  <c r="BN40" i="3" s="1"/>
  <c r="BN38" i="3"/>
  <c r="AD68" i="2"/>
  <c r="AD34" i="3" s="1"/>
  <c r="AD32" i="3"/>
  <c r="BZ70" i="2"/>
  <c r="BZ35" i="3"/>
  <c r="CA66" i="2"/>
  <c r="CA30" i="3"/>
  <c r="Q74" i="2"/>
  <c r="Q40" i="3" s="1"/>
  <c r="Q38" i="3"/>
  <c r="CG67" i="2"/>
  <c r="CG33" i="3" s="1"/>
  <c r="AO74" i="2"/>
  <c r="AO40" i="3" s="1"/>
  <c r="AO38" i="3"/>
  <c r="K74" i="2"/>
  <c r="K40" i="3" s="1"/>
  <c r="K38" i="3"/>
  <c r="AD72" i="2"/>
  <c r="AD36" i="3"/>
  <c r="CC62" i="2"/>
  <c r="CC28" i="3" s="1"/>
  <c r="CC26" i="3"/>
  <c r="CC66" i="2"/>
  <c r="CC30" i="3"/>
  <c r="BH74" i="2"/>
  <c r="BH40" i="3" s="1"/>
  <c r="BH38" i="3"/>
  <c r="CM52" i="2"/>
  <c r="CM53" i="2" s="1"/>
  <c r="CI53" i="2"/>
  <c r="CI55" i="2" s="1"/>
  <c r="CI57" i="2" s="1"/>
  <c r="CA71" i="2"/>
  <c r="CA37" i="3" s="1"/>
  <c r="AM68" i="2"/>
  <c r="AM34" i="3" s="1"/>
  <c r="AM32" i="3"/>
  <c r="CL20" i="2"/>
  <c r="CM20" i="2" s="1"/>
  <c r="BS68" i="2"/>
  <c r="BS34" i="3" s="1"/>
  <c r="BS32" i="3"/>
  <c r="P74" i="2"/>
  <c r="P40" i="3" s="1"/>
  <c r="P38" i="3"/>
  <c r="CI60" i="2"/>
  <c r="CI69" i="2"/>
  <c r="CI25" i="3"/>
  <c r="CD21" i="2"/>
  <c r="CD23" i="2" s="1"/>
  <c r="AG72" i="2"/>
  <c r="AG36" i="3"/>
  <c r="BC72" i="2"/>
  <c r="BC36" i="3"/>
  <c r="AE62" i="2"/>
  <c r="AE28" i="3" s="1"/>
  <c r="AE26" i="3"/>
  <c r="AQ66" i="2"/>
  <c r="BZ64" i="3"/>
  <c r="AI68" i="2"/>
  <c r="AI34" i="3" s="1"/>
  <c r="AI32" i="3"/>
  <c r="BI68" i="2"/>
  <c r="BI34" i="3" s="1"/>
  <c r="BI32" i="3"/>
  <c r="AK66" i="2"/>
  <c r="AK30" i="3"/>
  <c r="CJ36" i="2"/>
  <c r="CF73" i="2"/>
  <c r="CF39" i="3" s="1"/>
  <c r="CF27" i="3"/>
  <c r="CF69" i="2"/>
  <c r="CF60" i="2"/>
  <c r="CF25" i="3"/>
  <c r="BO72" i="2"/>
  <c r="BO36" i="3"/>
  <c r="O74" i="2"/>
  <c r="O40" i="3" s="1"/>
  <c r="O38" i="3"/>
  <c r="CF71" i="2"/>
  <c r="CF37" i="3" s="1"/>
  <c r="CF31" i="3"/>
  <c r="AN72" i="2"/>
  <c r="CI33" i="3"/>
  <c r="AC68" i="2"/>
  <c r="AC34" i="3" s="1"/>
  <c r="AC32" i="3"/>
  <c r="CG26" i="2"/>
  <c r="CG28" i="2" s="1"/>
  <c r="CM27" i="2"/>
  <c r="BZ66" i="2"/>
  <c r="BZ30" i="3"/>
  <c r="BC68" i="2"/>
  <c r="BC34" i="3" s="1"/>
  <c r="BC32" i="3"/>
  <c r="AE70" i="2"/>
  <c r="AE35" i="3"/>
  <c r="CI71" i="2"/>
  <c r="CI31" i="3"/>
  <c r="AT74" i="2"/>
  <c r="AT40" i="3" s="1"/>
  <c r="AT38" i="3"/>
  <c r="BG74" i="2"/>
  <c r="BG40" i="3" s="1"/>
  <c r="BG38" i="3"/>
  <c r="CL31" i="3"/>
  <c r="CF36" i="2"/>
  <c r="CF38" i="2" s="1"/>
  <c r="CF40" i="2" s="1"/>
  <c r="CL37" i="2"/>
  <c r="CE69" i="2"/>
  <c r="CE60" i="2"/>
  <c r="CE25" i="3"/>
  <c r="BY66" i="2"/>
  <c r="BY30" i="3"/>
  <c r="AZ74" i="2"/>
  <c r="AZ40" i="3" s="1"/>
  <c r="AZ38" i="3"/>
  <c r="AQ36" i="3"/>
  <c r="AH72" i="2"/>
  <c r="AH36" i="3"/>
  <c r="BX66" i="2"/>
  <c r="BX30" i="3"/>
  <c r="BB74" i="2"/>
  <c r="BB40" i="3" s="1"/>
  <c r="BB38" i="3"/>
  <c r="BX70" i="2"/>
  <c r="BX35" i="3"/>
  <c r="CJ22" i="2"/>
  <c r="AE66" i="2"/>
  <c r="AE30" i="3"/>
  <c r="AK70" i="2"/>
  <c r="AK35" i="3"/>
  <c r="AN6" i="2"/>
  <c r="AI6" i="2"/>
  <c r="AJ6" i="2" s="1"/>
  <c r="AM6" i="2" s="1"/>
  <c r="CM56" i="2"/>
  <c r="AI72" i="2"/>
  <c r="BY62" i="2"/>
  <c r="BY28" i="3" s="1"/>
  <c r="BY26" i="3"/>
  <c r="AQ71" i="2"/>
  <c r="AQ37" i="3" s="1"/>
  <c r="AM37" i="3"/>
  <c r="CE64" i="2"/>
  <c r="CE29" i="3"/>
  <c r="AU74" i="2"/>
  <c r="AU40" i="3" s="1"/>
  <c r="AU38" i="3"/>
  <c r="Y68" i="2"/>
  <c r="Y34" i="3" s="1"/>
  <c r="Y32" i="3"/>
  <c r="CJ64" i="2"/>
  <c r="CJ29" i="3"/>
  <c r="AQ62" i="2"/>
  <c r="AQ28" i="3" s="1"/>
  <c r="AQ26" i="3"/>
  <c r="CD36" i="2"/>
  <c r="CD38" i="2" s="1"/>
  <c r="CD40" i="2" s="1"/>
  <c r="CJ37" i="2"/>
  <c r="CL59" i="2"/>
  <c r="CL18" i="2"/>
  <c r="CL19" i="2" s="1"/>
  <c r="CL21" i="2" s="1"/>
  <c r="CL27" i="3"/>
  <c r="BR72" i="2"/>
  <c r="BR36" i="3"/>
  <c r="BU66" i="2"/>
  <c r="BU30" i="3"/>
  <c r="AQ73" i="2"/>
  <c r="AQ39" i="3" s="1"/>
  <c r="AM39" i="3"/>
  <c r="CG43" i="2"/>
  <c r="CG45" i="2" s="1"/>
  <c r="CM44" i="2"/>
  <c r="BW72" i="2"/>
  <c r="BW36" i="3"/>
  <c r="BT72" i="2"/>
  <c r="BT36" i="3"/>
  <c r="AG68" i="2"/>
  <c r="AG34" i="3" s="1"/>
  <c r="AG32" i="3"/>
  <c r="CM28" i="2"/>
  <c r="BK74" i="2"/>
  <c r="BK40" i="3" s="1"/>
  <c r="BK38" i="3"/>
  <c r="S72" i="2"/>
  <c r="S36" i="3"/>
  <c r="AA72" i="2"/>
  <c r="AA36" i="3"/>
  <c r="BQ74" i="2"/>
  <c r="BQ40" i="3" s="1"/>
  <c r="BQ38" i="3"/>
  <c r="BE74" i="2"/>
  <c r="BE40" i="3" s="1"/>
  <c r="BE38" i="3"/>
  <c r="W74" i="2"/>
  <c r="W40" i="3" s="1"/>
  <c r="W38" i="3"/>
  <c r="AJ72" i="2"/>
  <c r="AJ36" i="3"/>
  <c r="CC70" i="2"/>
  <c r="CC35" i="3"/>
  <c r="CA73" i="2"/>
  <c r="CA39" i="3" s="1"/>
  <c r="AB72" i="2"/>
  <c r="AB36" i="3"/>
  <c r="CA62" i="2"/>
  <c r="CA28" i="3" s="1"/>
  <c r="CA26" i="3"/>
  <c r="AA68" i="2"/>
  <c r="AA34" i="3" s="1"/>
  <c r="AA32" i="3"/>
  <c r="CL64" i="2"/>
  <c r="CL29" i="3"/>
  <c r="BS72" i="2"/>
  <c r="BS36" i="3"/>
  <c r="CK59" i="2"/>
  <c r="CK18" i="2"/>
  <c r="CK19" i="2" s="1"/>
  <c r="CK21" i="2" s="1"/>
  <c r="CK27" i="3"/>
  <c r="CM8" i="2"/>
  <c r="CM9" i="2" s="1"/>
  <c r="BT68" i="2"/>
  <c r="BT34" i="3" s="1"/>
  <c r="BT32" i="3"/>
  <c r="BX62" i="2"/>
  <c r="BX28" i="3" s="1"/>
  <c r="BX26" i="3"/>
  <c r="CJ27" i="3"/>
  <c r="CA36" i="2"/>
  <c r="CA38" i="2" s="1"/>
  <c r="CA40" i="2" s="1"/>
  <c r="CG37" i="2"/>
  <c r="BR68" i="2"/>
  <c r="BR34" i="3" s="1"/>
  <c r="BR32" i="3"/>
  <c r="AW68" i="2"/>
  <c r="AW34" i="3" s="1"/>
  <c r="AW32" i="3"/>
  <c r="S68" i="2"/>
  <c r="S34" i="3" s="1"/>
  <c r="S32" i="3"/>
  <c r="BM74" i="2"/>
  <c r="BM40" i="3" s="1"/>
  <c r="BM38" i="3"/>
  <c r="CG61" i="2"/>
  <c r="CG27" i="3" s="1"/>
  <c r="CI73" i="2"/>
  <c r="CF67" i="3"/>
  <c r="BY70" i="2"/>
  <c r="BY35" i="3"/>
  <c r="CK65" i="2"/>
  <c r="CK67" i="2"/>
  <c r="CK33" i="3" s="1"/>
  <c r="V74" i="2"/>
  <c r="V40" i="3" s="1"/>
  <c r="V38" i="3"/>
  <c r="CG9" i="2"/>
  <c r="CG11" i="2" s="1"/>
  <c r="CM10" i="2"/>
  <c r="CI64" i="2"/>
  <c r="CM63" i="2"/>
  <c r="CI29" i="3"/>
  <c r="CD64" i="2"/>
  <c r="CD29" i="3"/>
  <c r="M72" i="2"/>
  <c r="M36" i="3"/>
  <c r="AK62" i="2"/>
  <c r="AK28" i="3" s="1"/>
  <c r="AK26" i="3"/>
  <c r="CJ39" i="2"/>
  <c r="CL22" i="2"/>
  <c r="AG5" i="2"/>
  <c r="AE5" i="2"/>
  <c r="AY74" i="2"/>
  <c r="AY40" i="3" s="1"/>
  <c r="AY38" i="3"/>
  <c r="AC72" i="2"/>
  <c r="AC36" i="3"/>
  <c r="BI72" i="2"/>
  <c r="BI36" i="3"/>
  <c r="U74" i="2"/>
  <c r="U40" i="3" s="1"/>
  <c r="U38" i="3"/>
  <c r="CE36" i="2"/>
  <c r="CE38" i="2" s="1"/>
  <c r="CE40" i="2" s="1"/>
  <c r="CK37" i="2"/>
  <c r="CK38" i="2" s="1"/>
  <c r="CK40" i="2" s="1"/>
  <c r="CA69" i="2"/>
  <c r="CE53" i="2"/>
  <c r="CE55" i="2" s="1"/>
  <c r="CE57" i="2" s="1"/>
  <c r="CK54" i="2"/>
  <c r="CK55" i="2" s="1"/>
  <c r="CK57" i="2" s="1"/>
  <c r="CI36" i="2"/>
  <c r="CI38" i="2" s="1"/>
  <c r="CI40" i="2" s="1"/>
  <c r="CM35" i="2"/>
  <c r="BZ62" i="2"/>
  <c r="BZ28" i="3" s="1"/>
  <c r="BZ26" i="3"/>
  <c r="AK71" i="2"/>
  <c r="AK37" i="3" s="1"/>
  <c r="AG37" i="3"/>
  <c r="AV74" i="2"/>
  <c r="AV40" i="3" s="1"/>
  <c r="AV38" i="3"/>
  <c r="CG59" i="2"/>
  <c r="CG63" i="2"/>
  <c r="J74" i="2"/>
  <c r="J40" i="3" s="1"/>
  <c r="J38" i="3"/>
  <c r="CD53" i="2"/>
  <c r="CD55" i="2" s="1"/>
  <c r="CD57" i="2" s="1"/>
  <c r="CJ54" i="2"/>
  <c r="CJ55" i="2" s="1"/>
  <c r="CJ57" i="2" s="1"/>
  <c r="CM42" i="2"/>
  <c r="CM43" i="2" s="1"/>
  <c r="CM45" i="2" s="1"/>
  <c r="CF64" i="2"/>
  <c r="CF29" i="3"/>
  <c r="CL36" i="2"/>
  <c r="M68" i="2"/>
  <c r="M34" i="3" s="1"/>
  <c r="M32" i="3"/>
  <c r="AB68" i="2"/>
  <c r="AB34" i="3" s="1"/>
  <c r="AB32" i="3"/>
  <c r="CI19" i="2"/>
  <c r="CI21" i="2" s="1"/>
  <c r="CI23" i="2" s="1"/>
  <c r="CD71" i="2"/>
  <c r="CD37" i="3" s="1"/>
  <c r="CD31" i="3"/>
  <c r="CG65" i="2"/>
  <c r="CG31" i="3" s="1"/>
  <c r="BO68" i="2"/>
  <c r="BO34" i="3" s="1"/>
  <c r="BO32" i="3"/>
  <c r="AW72" i="2"/>
  <c r="CF53" i="2"/>
  <c r="CF55" i="2" s="1"/>
  <c r="CF57" i="2" s="1"/>
  <c r="CL54" i="2"/>
  <c r="CL55" i="2" s="1"/>
  <c r="CL57" i="2" s="1"/>
  <c r="CJ59" i="2"/>
  <c r="CM59" i="2" s="1"/>
  <c r="CJ18" i="2"/>
  <c r="CJ19" i="2" s="1"/>
  <c r="CJ21" i="2" s="1"/>
  <c r="CD60" i="2"/>
  <c r="CD69" i="2"/>
  <c r="CJ71" i="2" s="1"/>
  <c r="CJ37" i="3" s="1"/>
  <c r="CD25" i="3"/>
  <c r="I74" i="2"/>
  <c r="I40" i="3" s="1"/>
  <c r="I38" i="3"/>
  <c r="AM72" i="2"/>
  <c r="AM36" i="3"/>
  <c r="AH68" i="2"/>
  <c r="AH34" i="3" s="1"/>
  <c r="AH32" i="3"/>
  <c r="CG35" i="2"/>
  <c r="CG15" i="2"/>
  <c r="CG17" i="2" s="1"/>
  <c r="BU72" i="2"/>
  <c r="BU36" i="3"/>
  <c r="CE73" i="2"/>
  <c r="CE39" i="3" s="1"/>
  <c r="CF81" i="1"/>
  <c r="CF12" i="3"/>
  <c r="CL84" i="1"/>
  <c r="CL16" i="3" s="1"/>
  <c r="CG13" i="1"/>
  <c r="CM14" i="1"/>
  <c r="CM16" i="1"/>
  <c r="CE14" i="3"/>
  <c r="CL10" i="3"/>
  <c r="CD88" i="1"/>
  <c r="CD20" i="3" s="1"/>
  <c r="CD14" i="3"/>
  <c r="CJ10" i="3"/>
  <c r="BR64" i="3"/>
  <c r="BR66" i="3" s="1"/>
  <c r="BR68" i="3" s="1"/>
  <c r="BU63" i="3"/>
  <c r="CK46" i="1"/>
  <c r="CK52" i="1" s="1"/>
  <c r="CK53" i="1" s="1"/>
  <c r="BU89" i="1"/>
  <c r="BS87" i="1"/>
  <c r="BS18" i="3"/>
  <c r="BU18" i="3" s="1"/>
  <c r="CJ46" i="1"/>
  <c r="CJ80" i="1" s="1"/>
  <c r="CG46" i="1"/>
  <c r="BY19" i="1"/>
  <c r="BY21" i="1" s="1"/>
  <c r="BY23" i="1" s="1"/>
  <c r="CA18" i="1"/>
  <c r="CG19" i="1" s="1"/>
  <c r="BK62" i="3"/>
  <c r="BK73" i="3"/>
  <c r="BO73" i="3" s="1"/>
  <c r="BO61" i="3"/>
  <c r="BO62" i="3" s="1"/>
  <c r="CJ29" i="1"/>
  <c r="CM29" i="1" s="1"/>
  <c r="CM30" i="1" s="1"/>
  <c r="CJ37" i="1"/>
  <c r="CG29" i="1"/>
  <c r="BZ83" i="1"/>
  <c r="BZ13" i="3"/>
  <c r="BQ91" i="1"/>
  <c r="BQ23" i="3" s="1"/>
  <c r="BQ21" i="3"/>
  <c r="CJ84" i="1"/>
  <c r="CJ16" i="3" s="1"/>
  <c r="BR89" i="1"/>
  <c r="BR19" i="3"/>
  <c r="BX60" i="3"/>
  <c r="BX62" i="3" s="1"/>
  <c r="CD21" i="1"/>
  <c r="CD23" i="1" s="1"/>
  <c r="CL18" i="1"/>
  <c r="CL19" i="1" s="1"/>
  <c r="BX65" i="3"/>
  <c r="BS83" i="1"/>
  <c r="BS13" i="3"/>
  <c r="CC87" i="1"/>
  <c r="CC18" i="3"/>
  <c r="CA26" i="1"/>
  <c r="CA28" i="1" s="1"/>
  <c r="CG27" i="1"/>
  <c r="BU36" i="1"/>
  <c r="BU38" i="1" s="1"/>
  <c r="BU40" i="1" s="1"/>
  <c r="CA37" i="1"/>
  <c r="CA39" i="1"/>
  <c r="BT89" i="1"/>
  <c r="BT19" i="3"/>
  <c r="CF72" i="1"/>
  <c r="CF74" i="1" s="1"/>
  <c r="BZ86" i="1"/>
  <c r="BZ77" i="1"/>
  <c r="BZ8" i="3"/>
  <c r="BZ59" i="3" s="1"/>
  <c r="CE52" i="1"/>
  <c r="CE53" i="1" s="1"/>
  <c r="CE55" i="1" s="1"/>
  <c r="CE57" i="1" s="1"/>
  <c r="BO20" i="3"/>
  <c r="CK69" i="1"/>
  <c r="CK70" i="1" s="1"/>
  <c r="CI88" i="1"/>
  <c r="BZ67" i="3"/>
  <c r="BZ73" i="3" s="1"/>
  <c r="CC63" i="3"/>
  <c r="CI53" i="1"/>
  <c r="CI55" i="1" s="1"/>
  <c r="CI57" i="1" s="1"/>
  <c r="BT70" i="3"/>
  <c r="BT72" i="3" s="1"/>
  <c r="BT74" i="3" s="1"/>
  <c r="CG26" i="1"/>
  <c r="CM27" i="1"/>
  <c r="CA30" i="1"/>
  <c r="CA32" i="1" s="1"/>
  <c r="CA34" i="1" s="1"/>
  <c r="CG31" i="1"/>
  <c r="CG33" i="1"/>
  <c r="CC22" i="3"/>
  <c r="CJ35" i="1"/>
  <c r="CJ36" i="1" s="1"/>
  <c r="CJ14" i="3"/>
  <c r="BQ73" i="3"/>
  <c r="BQ62" i="3"/>
  <c r="BU61" i="3"/>
  <c r="BX87" i="1"/>
  <c r="BX18" i="3"/>
  <c r="BR71" i="3"/>
  <c r="BU65" i="3"/>
  <c r="CF21" i="1"/>
  <c r="CF23" i="1" s="1"/>
  <c r="CI81" i="1"/>
  <c r="CI12" i="3"/>
  <c r="CL20" i="1"/>
  <c r="AI6" i="1"/>
  <c r="AJ6" i="1" s="1"/>
  <c r="AM6" i="1" s="1"/>
  <c r="AN6" i="1"/>
  <c r="CE35" i="1"/>
  <c r="CK39" i="1"/>
  <c r="CK25" i="1"/>
  <c r="CK35" i="1" s="1"/>
  <c r="CK36" i="1" s="1"/>
  <c r="BR85" i="1"/>
  <c r="BR17" i="3" s="1"/>
  <c r="BR15" i="3"/>
  <c r="CG60" i="1"/>
  <c r="CM61" i="1"/>
  <c r="CM62" i="1"/>
  <c r="CI36" i="1"/>
  <c r="CI38" i="1" s="1"/>
  <c r="CI40" i="1" s="1"/>
  <c r="BM91" i="1"/>
  <c r="BM23" i="3" s="1"/>
  <c r="BM21" i="3"/>
  <c r="CJ52" i="1"/>
  <c r="CL46" i="1"/>
  <c r="CL52" i="1" s="1"/>
  <c r="CL53" i="1" s="1"/>
  <c r="CL54" i="1"/>
  <c r="CE80" i="1"/>
  <c r="CK12" i="1"/>
  <c r="CK80" i="1" s="1"/>
  <c r="CK20" i="1"/>
  <c r="CM20" i="1" s="1"/>
  <c r="BW89" i="1"/>
  <c r="BW19" i="3"/>
  <c r="BT83" i="1"/>
  <c r="BT13" i="3"/>
  <c r="CF35" i="1"/>
  <c r="CL39" i="1" s="1"/>
  <c r="CL25" i="1"/>
  <c r="CL35" i="1" s="1"/>
  <c r="CL36" i="1" s="1"/>
  <c r="CA36" i="1"/>
  <c r="CG39" i="1"/>
  <c r="CL56" i="1"/>
  <c r="BW85" i="1"/>
  <c r="BW17" i="3" s="1"/>
  <c r="BW15" i="3"/>
  <c r="CE76" i="1"/>
  <c r="BX40" i="1"/>
  <c r="BW69" i="3"/>
  <c r="BW60" i="3"/>
  <c r="BW62" i="3" s="1"/>
  <c r="BU81" i="1"/>
  <c r="BU83" i="1" s="1"/>
  <c r="BU85" i="1" s="1"/>
  <c r="CA82" i="1"/>
  <c r="CA84" i="1"/>
  <c r="CC20" i="3"/>
  <c r="BY16" i="3"/>
  <c r="BY90" i="1"/>
  <c r="BY22" i="3" s="1"/>
  <c r="BK71" i="3"/>
  <c r="BO65" i="3"/>
  <c r="BO66" i="3" s="1"/>
  <c r="BO68" i="3" s="1"/>
  <c r="BK66" i="3"/>
  <c r="BK68" i="3" s="1"/>
  <c r="BO17" i="3"/>
  <c r="CJ39" i="1"/>
  <c r="BZ88" i="1"/>
  <c r="BZ20" i="3" s="1"/>
  <c r="BZ14" i="3"/>
  <c r="BZ65" i="3" s="1"/>
  <c r="BX79" i="1"/>
  <c r="BX11" i="3" s="1"/>
  <c r="BX9" i="3"/>
  <c r="CI70" i="1"/>
  <c r="CI72" i="1" s="1"/>
  <c r="CI74" i="1" s="1"/>
  <c r="BY86" i="1"/>
  <c r="BY77" i="1"/>
  <c r="BY8" i="3"/>
  <c r="CA76" i="1"/>
  <c r="CL22" i="1"/>
  <c r="BY88" i="1"/>
  <c r="BY20" i="3" s="1"/>
  <c r="BY14" i="3"/>
  <c r="BY65" i="3" s="1"/>
  <c r="CL82" i="1"/>
  <c r="CC79" i="1"/>
  <c r="CC11" i="3" s="1"/>
  <c r="CC9" i="3"/>
  <c r="BY36" i="1"/>
  <c r="BY38" i="1" s="1"/>
  <c r="BY40" i="1" s="1"/>
  <c r="CE37" i="1"/>
  <c r="BR60" i="3"/>
  <c r="BR62" i="3" s="1"/>
  <c r="BU59" i="3"/>
  <c r="BR69" i="3"/>
  <c r="CD70" i="1"/>
  <c r="CD72" i="1" s="1"/>
  <c r="CD74" i="1" s="1"/>
  <c r="CJ71" i="1"/>
  <c r="BZ53" i="1"/>
  <c r="BZ55" i="1" s="1"/>
  <c r="BZ57" i="1" s="1"/>
  <c r="CF56" i="1"/>
  <c r="CE22" i="1"/>
  <c r="CD52" i="1"/>
  <c r="CG16" i="1"/>
  <c r="CG14" i="1"/>
  <c r="CA13" i="1"/>
  <c r="CA15" i="1" s="1"/>
  <c r="CA17" i="1" s="1"/>
  <c r="BY81" i="1"/>
  <c r="BY12" i="3"/>
  <c r="BY63" i="3" s="1"/>
  <c r="BO19" i="3"/>
  <c r="CK73" i="1"/>
  <c r="CM73" i="1" s="1"/>
  <c r="CI19" i="1"/>
  <c r="CI21" i="1" s="1"/>
  <c r="CI23" i="1" s="1"/>
  <c r="CA86" i="1"/>
  <c r="CA87" i="1" s="1"/>
  <c r="CD61" i="3"/>
  <c r="CA52" i="1"/>
  <c r="CI90" i="1"/>
  <c r="CG66" i="1"/>
  <c r="CF55" i="1"/>
  <c r="BN91" i="1"/>
  <c r="BN23" i="3" s="1"/>
  <c r="BN21" i="3"/>
  <c r="CC83" i="1"/>
  <c r="CC13" i="3"/>
  <c r="BX81" i="1"/>
  <c r="BX12" i="3"/>
  <c r="CA80" i="1"/>
  <c r="BW73" i="3"/>
  <c r="CA47" i="1"/>
  <c r="CA49" i="1" s="1"/>
  <c r="CG48" i="1"/>
  <c r="CG51" i="1"/>
  <c r="CG50" i="1"/>
  <c r="CA88" i="1"/>
  <c r="AS5" i="1"/>
  <c r="AQ5" i="1"/>
  <c r="CF88" i="1"/>
  <c r="CF20" i="3" s="1"/>
  <c r="CF14" i="3"/>
  <c r="CE90" i="1"/>
  <c r="CE22" i="3" s="1"/>
  <c r="CE10" i="3"/>
  <c r="CD38" i="1"/>
  <c r="CD40" i="1" s="1"/>
  <c r="CD81" i="1"/>
  <c r="CD12" i="3"/>
  <c r="BU53" i="1"/>
  <c r="BU55" i="1" s="1"/>
  <c r="BU57" i="1" s="1"/>
  <c r="CA54" i="1"/>
  <c r="CA56" i="1"/>
  <c r="CJ76" i="1"/>
  <c r="CJ18" i="1"/>
  <c r="CJ19" i="1" s="1"/>
  <c r="CJ21" i="1" s="1"/>
  <c r="CJ23" i="1" s="1"/>
  <c r="CD86" i="1"/>
  <c r="CD77" i="1"/>
  <c r="CD8" i="3"/>
  <c r="CD59" i="3" s="1"/>
  <c r="BW64" i="3"/>
  <c r="BW66" i="3" s="1"/>
  <c r="BW68" i="3" s="1"/>
  <c r="CF90" i="1"/>
  <c r="CF22" i="3" s="1"/>
  <c r="CF10" i="3"/>
  <c r="CF86" i="1"/>
  <c r="CF77" i="1"/>
  <c r="CF8" i="3"/>
  <c r="CF59" i="3" s="1"/>
  <c r="CA74" i="1"/>
  <c r="CC67" i="3"/>
  <c r="CL80" i="1"/>
  <c r="CG71" i="1"/>
  <c r="CG72" i="1" s="1"/>
  <c r="CG74" i="1" s="1"/>
  <c r="CC59" i="3"/>
  <c r="BS69" i="3"/>
  <c r="CA22" i="3"/>
  <c r="CK71" i="1"/>
  <c r="CM71" i="1" s="1"/>
  <c r="CL69" i="1"/>
  <c r="CL70" i="1" s="1"/>
  <c r="CL72" i="1" s="1"/>
  <c r="CL74" i="1" s="1"/>
  <c r="BL91" i="1"/>
  <c r="BL23" i="3" s="1"/>
  <c r="BL21" i="3"/>
  <c r="CC61" i="3"/>
  <c r="BK91" i="1"/>
  <c r="BK23" i="3" s="1"/>
  <c r="BK21" i="3"/>
  <c r="BO21" i="3" s="1"/>
  <c r="CI77" i="1"/>
  <c r="CI86" i="1"/>
  <c r="CI8" i="3"/>
  <c r="CD84" i="1"/>
  <c r="BZ36" i="1"/>
  <c r="BZ38" i="1" s="1"/>
  <c r="BZ40" i="1" s="1"/>
  <c r="CF37" i="1"/>
  <c r="AI6" i="3"/>
  <c r="AJ6" i="3" s="1"/>
  <c r="AM6" i="3" s="1"/>
  <c r="AN6" i="3"/>
  <c r="AM5" i="3"/>
  <c r="AK5" i="3"/>
  <c r="BQ55" i="5"/>
  <c r="BO70" i="5"/>
  <c r="BQ34" i="5"/>
  <c r="BQ31" i="5"/>
  <c r="AA84" i="5"/>
  <c r="U84" i="5"/>
  <c r="AQ54" i="5"/>
  <c r="AQ26" i="5"/>
  <c r="AQ44" i="5"/>
  <c r="AQ25" i="5"/>
  <c r="BC54" i="5"/>
  <c r="BC44" i="5"/>
  <c r="BC26" i="5"/>
  <c r="BC25" i="5"/>
  <c r="BN55" i="5"/>
  <c r="BN31" i="5"/>
  <c r="BN34" i="5"/>
  <c r="E34" i="5"/>
  <c r="E31" i="5"/>
  <c r="AB84" i="5"/>
  <c r="V84" i="5"/>
  <c r="BO54" i="5"/>
  <c r="BO44" i="5"/>
  <c r="BO26" i="5"/>
  <c r="BO71" i="7" s="1"/>
  <c r="BO25" i="5"/>
  <c r="Y54" i="5"/>
  <c r="Y44" i="5"/>
  <c r="Y26" i="5"/>
  <c r="Y25" i="5"/>
  <c r="AS84" i="5"/>
  <c r="BH55" i="5"/>
  <c r="BH34" i="5"/>
  <c r="BH31" i="5"/>
  <c r="AD84" i="5"/>
  <c r="AQ70" i="5"/>
  <c r="AS55" i="5"/>
  <c r="AS34" i="5"/>
  <c r="AS31" i="5"/>
  <c r="AS63" i="6" s="1"/>
  <c r="BM55" i="5"/>
  <c r="BM31" i="5"/>
  <c r="BM34" i="5"/>
  <c r="AC80" i="5"/>
  <c r="W80" i="5"/>
  <c r="AN55" i="5"/>
  <c r="AN34" i="5"/>
  <c r="AN31" i="5"/>
  <c r="AI55" i="5"/>
  <c r="AI34" i="5"/>
  <c r="AI31" i="5"/>
  <c r="BL55" i="5"/>
  <c r="BL34" i="5"/>
  <c r="BL31" i="5"/>
  <c r="AG84" i="5"/>
  <c r="BS80" i="5"/>
  <c r="AD55" i="5"/>
  <c r="AD34" i="5"/>
  <c r="AD31" i="5"/>
  <c r="AJ55" i="5"/>
  <c r="AJ31" i="5"/>
  <c r="AJ34" i="5"/>
  <c r="BT84" i="5"/>
  <c r="P121" i="5"/>
  <c r="P99" i="5"/>
  <c r="P45" i="5"/>
  <c r="J55" i="5"/>
  <c r="J34" i="5"/>
  <c r="J31" i="5"/>
  <c r="G70" i="5"/>
  <c r="I55" i="5"/>
  <c r="I31" i="5"/>
  <c r="I34" i="5"/>
  <c r="AT55" i="5"/>
  <c r="AT31" i="5"/>
  <c r="AT34" i="5"/>
  <c r="AU55" i="5"/>
  <c r="AU31" i="5"/>
  <c r="AU34" i="5"/>
  <c r="G31" i="5"/>
  <c r="G34" i="5"/>
  <c r="BI54" i="5"/>
  <c r="BI44" i="5"/>
  <c r="BI26" i="5"/>
  <c r="BI25" i="5"/>
  <c r="M70" i="5"/>
  <c r="AH84" i="5"/>
  <c r="BG80" i="5"/>
  <c r="X55" i="5"/>
  <c r="X34" i="5"/>
  <c r="X31" i="5"/>
  <c r="BG55" i="5"/>
  <c r="BG34" i="5"/>
  <c r="BG31" i="5"/>
  <c r="BN80" i="5"/>
  <c r="W55" i="5"/>
  <c r="W31" i="5"/>
  <c r="W34" i="5"/>
  <c r="AE55" i="5"/>
  <c r="AE31" i="5"/>
  <c r="AE34" i="5"/>
  <c r="AK70" i="5"/>
  <c r="AM55" i="5"/>
  <c r="AM34" i="5"/>
  <c r="AM31" i="5"/>
  <c r="AW70" i="5"/>
  <c r="AY55" i="5"/>
  <c r="AY31" i="5"/>
  <c r="AY34" i="5"/>
  <c r="P56" i="5"/>
  <c r="V55" i="5"/>
  <c r="V34" i="5"/>
  <c r="V31" i="5"/>
  <c r="AA99" i="5"/>
  <c r="AA121" i="5"/>
  <c r="AA45" i="5"/>
  <c r="AV55" i="5"/>
  <c r="AV34" i="5"/>
  <c r="AV31" i="5"/>
  <c r="Q55" i="5"/>
  <c r="Q31" i="5"/>
  <c r="Q34" i="5"/>
  <c r="BI70" i="5"/>
  <c r="BK55" i="5"/>
  <c r="BK34" i="5"/>
  <c r="BK31" i="5"/>
  <c r="L55" i="5"/>
  <c r="L31" i="5"/>
  <c r="L34" i="5"/>
  <c r="AW54" i="5"/>
  <c r="AW44" i="5"/>
  <c r="AW26" i="5"/>
  <c r="AW25" i="5"/>
  <c r="K55" i="5"/>
  <c r="K34" i="5"/>
  <c r="K31" i="5"/>
  <c r="AB80" i="5"/>
  <c r="V80" i="5"/>
  <c r="AK54" i="5"/>
  <c r="AK44" i="5"/>
  <c r="AK26" i="5"/>
  <c r="AK25" i="5"/>
  <c r="AZ55" i="5"/>
  <c r="AZ31" i="5"/>
  <c r="AZ34" i="5"/>
  <c r="O99" i="5"/>
  <c r="O121" i="5"/>
  <c r="O45" i="5"/>
  <c r="F34" i="5"/>
  <c r="F31" i="5"/>
  <c r="AB99" i="5"/>
  <c r="AB121" i="5"/>
  <c r="AB45" i="5"/>
  <c r="AY84" i="5"/>
  <c r="BB55" i="5"/>
  <c r="BB34" i="5"/>
  <c r="BB31" i="5"/>
  <c r="AC55" i="5"/>
  <c r="AC34" i="5"/>
  <c r="AC31" i="5"/>
  <c r="BA55" i="5"/>
  <c r="BA34" i="5"/>
  <c r="BA31" i="5"/>
  <c r="S70" i="5"/>
  <c r="U55" i="5"/>
  <c r="U34" i="5"/>
  <c r="U31" i="5"/>
  <c r="AK5" i="5"/>
  <c r="AM5" i="5"/>
  <c r="AP55" i="5"/>
  <c r="AP31" i="5"/>
  <c r="AP34" i="5"/>
  <c r="BF121" i="5"/>
  <c r="BF99" i="5"/>
  <c r="BF45" i="5"/>
  <c r="AH55" i="5"/>
  <c r="AH34" i="5"/>
  <c r="AH31" i="5"/>
  <c r="AO55" i="5"/>
  <c r="AO34" i="5"/>
  <c r="AO31" i="5"/>
  <c r="BC70" i="5"/>
  <c r="BE55" i="5"/>
  <c r="BE31" i="5"/>
  <c r="BE34" i="5"/>
  <c r="AD80" i="5"/>
  <c r="X80" i="5"/>
  <c r="AH6" i="5"/>
  <c r="AC6" i="5"/>
  <c r="AE70" i="5"/>
  <c r="AG55" i="5"/>
  <c r="AG31" i="5"/>
  <c r="AG34" i="5"/>
  <c r="R99" i="5"/>
  <c r="R121" i="5"/>
  <c r="R45" i="5"/>
  <c r="C34" i="5"/>
  <c r="C31" i="5"/>
  <c r="BL80" i="5"/>
  <c r="BF80" i="5"/>
  <c r="S54" i="5"/>
  <c r="S44" i="5"/>
  <c r="S26" i="5"/>
  <c r="S25" i="5"/>
  <c r="M54" i="5"/>
  <c r="M44" i="5"/>
  <c r="M26" i="5"/>
  <c r="M25" i="5"/>
  <c r="AB55" i="5"/>
  <c r="D31" i="5"/>
  <c r="D34" i="5"/>
  <c r="AV84" i="5"/>
  <c r="AN84" i="5"/>
  <c r="AE54" i="5"/>
  <c r="BL84" i="5"/>
  <c r="CA38" i="1" l="1"/>
  <c r="CA40" i="1" s="1"/>
  <c r="CL38" i="2"/>
  <c r="CL40" i="2" s="1"/>
  <c r="CK23" i="2"/>
  <c r="CE69" i="4"/>
  <c r="CE19" i="1"/>
  <c r="CE21" i="1" s="1"/>
  <c r="CK22" i="1"/>
  <c r="CM22" i="1" s="1"/>
  <c r="CK56" i="1"/>
  <c r="CJ72" i="1"/>
  <c r="CJ74" i="1" s="1"/>
  <c r="CK19" i="4"/>
  <c r="CJ63" i="4"/>
  <c r="CK52" i="4"/>
  <c r="CJ35" i="4"/>
  <c r="CJ36" i="4" s="1"/>
  <c r="CE23" i="1"/>
  <c r="CA20" i="3"/>
  <c r="CJ38" i="1"/>
  <c r="CM54" i="4"/>
  <c r="CM66" i="1"/>
  <c r="S57" i="7"/>
  <c r="BN63" i="7"/>
  <c r="AW70" i="6"/>
  <c r="E107" i="6"/>
  <c r="AQ114" i="6"/>
  <c r="AQ115" i="6" s="1"/>
  <c r="AQ112" i="6"/>
  <c r="Y109" i="6"/>
  <c r="L107" i="6"/>
  <c r="L108" i="6" s="1"/>
  <c r="Y57" i="7"/>
  <c r="S63" i="7"/>
  <c r="R63" i="7"/>
  <c r="AJ63" i="7"/>
  <c r="BB63" i="7"/>
  <c r="D107" i="6"/>
  <c r="BI57" i="7"/>
  <c r="AK64" i="7"/>
  <c r="G57" i="7"/>
  <c r="E58" i="7"/>
  <c r="AW107" i="6"/>
  <c r="AW112" i="6" s="1"/>
  <c r="AV112" i="6"/>
  <c r="AV108" i="6"/>
  <c r="AW108" i="6" s="1"/>
  <c r="J107" i="6"/>
  <c r="J108" i="6" s="1"/>
  <c r="BO57" i="7"/>
  <c r="AV63" i="7"/>
  <c r="AV64" i="7" s="1"/>
  <c r="AD63" i="7"/>
  <c r="BC11" i="7"/>
  <c r="M63" i="7"/>
  <c r="F107" i="6"/>
  <c r="F108" i="6" s="1"/>
  <c r="BO114" i="6"/>
  <c r="BO115" i="6" s="1"/>
  <c r="BO112" i="6"/>
  <c r="I107" i="6"/>
  <c r="AP63" i="7"/>
  <c r="AP64" i="7" s="1"/>
  <c r="L63" i="7"/>
  <c r="Y63" i="7"/>
  <c r="C107" i="6"/>
  <c r="AE64" i="7"/>
  <c r="R58" i="7"/>
  <c r="I101" i="6"/>
  <c r="AK107" i="6"/>
  <c r="AJ112" i="6"/>
  <c r="AJ108" i="6"/>
  <c r="AK108" i="6" s="1"/>
  <c r="AK109" i="6" s="1"/>
  <c r="BI62" i="7"/>
  <c r="X59" i="7"/>
  <c r="AQ64" i="7"/>
  <c r="K107" i="6"/>
  <c r="K108" i="6" s="1"/>
  <c r="BS115" i="6"/>
  <c r="BS11" i="7"/>
  <c r="AQ54" i="6"/>
  <c r="BO54" i="6"/>
  <c r="BI54" i="6"/>
  <c r="BU14" i="7"/>
  <c r="BY41" i="6"/>
  <c r="BY26" i="6"/>
  <c r="BU107" i="6"/>
  <c r="BU112" i="6" s="1"/>
  <c r="BT12" i="7"/>
  <c r="BY25" i="6"/>
  <c r="CA45" i="6"/>
  <c r="CC45" i="6"/>
  <c r="AW54" i="6"/>
  <c r="BC54" i="6"/>
  <c r="BZ49" i="6"/>
  <c r="BY9" i="6"/>
  <c r="BY50" i="6"/>
  <c r="BY48" i="6"/>
  <c r="BS141" i="6"/>
  <c r="BY21" i="6"/>
  <c r="BY40" i="6"/>
  <c r="BY39" i="6"/>
  <c r="CA57" i="4"/>
  <c r="CL40" i="4"/>
  <c r="CA69" i="4"/>
  <c r="CD69" i="4"/>
  <c r="CJ38" i="4"/>
  <c r="CJ73" i="2"/>
  <c r="CJ39" i="3" s="1"/>
  <c r="CM22" i="2"/>
  <c r="CM36" i="2"/>
  <c r="CM65" i="2"/>
  <c r="CM31" i="3" s="1"/>
  <c r="CK73" i="2"/>
  <c r="CK39" i="3" s="1"/>
  <c r="CG37" i="1"/>
  <c r="CM80" i="1"/>
  <c r="BU20" i="6"/>
  <c r="CJ22" i="7"/>
  <c r="CM97" i="6"/>
  <c r="CM52" i="1"/>
  <c r="CM35" i="1"/>
  <c r="CM36" i="1" s="1"/>
  <c r="CG35" i="1"/>
  <c r="BW99" i="6"/>
  <c r="CA96" i="6"/>
  <c r="CA99" i="6" s="1"/>
  <c r="BU91" i="1"/>
  <c r="BN74" i="3"/>
  <c r="BM74" i="3"/>
  <c r="R56" i="5"/>
  <c r="O56" i="5"/>
  <c r="U62" i="6"/>
  <c r="U64" i="6"/>
  <c r="U63" i="6"/>
  <c r="BA62" i="6"/>
  <c r="BA64" i="6"/>
  <c r="BA63" i="6"/>
  <c r="AZ62" i="6"/>
  <c r="AZ64" i="6"/>
  <c r="AZ63" i="6"/>
  <c r="K62" i="6"/>
  <c r="K64" i="6"/>
  <c r="K63" i="6"/>
  <c r="L62" i="6"/>
  <c r="L63" i="6"/>
  <c r="L64" i="6"/>
  <c r="AY62" i="6"/>
  <c r="AY64" i="6"/>
  <c r="AY63" i="6"/>
  <c r="I62" i="6"/>
  <c r="I64" i="6"/>
  <c r="I63" i="6"/>
  <c r="M71" i="5"/>
  <c r="AH62" i="6"/>
  <c r="AH64" i="6"/>
  <c r="AH63" i="6"/>
  <c r="X64" i="6"/>
  <c r="X62" i="6"/>
  <c r="X63" i="6"/>
  <c r="AD62" i="6"/>
  <c r="AD64" i="6"/>
  <c r="AD63" i="6"/>
  <c r="AI62" i="6"/>
  <c r="AI64" i="6"/>
  <c r="AI63" i="6"/>
  <c r="BH64" i="6"/>
  <c r="BH62" i="6"/>
  <c r="BH63" i="6"/>
  <c r="BQ108" i="7"/>
  <c r="BQ110" i="7" s="1"/>
  <c r="BQ115" i="7"/>
  <c r="AA6" i="5"/>
  <c r="X6" i="6"/>
  <c r="X6" i="7"/>
  <c r="AD6" i="5"/>
  <c r="AC6" i="6"/>
  <c r="AC6" i="7"/>
  <c r="AM5" i="6"/>
  <c r="AM5" i="7"/>
  <c r="BB62" i="6"/>
  <c r="BB64" i="6"/>
  <c r="BB63" i="6"/>
  <c r="BK62" i="6"/>
  <c r="BK64" i="6"/>
  <c r="BK63" i="6"/>
  <c r="BG64" i="6"/>
  <c r="BG62" i="6"/>
  <c r="BG63" i="6"/>
  <c r="BL62" i="6"/>
  <c r="BL64" i="6"/>
  <c r="BL63" i="6"/>
  <c r="BM62" i="6"/>
  <c r="BM64" i="6"/>
  <c r="BM63" i="6"/>
  <c r="BN64" i="6"/>
  <c r="BN62" i="6"/>
  <c r="BN63" i="6"/>
  <c r="BQ62" i="6"/>
  <c r="BQ64" i="6"/>
  <c r="BQ63" i="6"/>
  <c r="BN115" i="7"/>
  <c r="BN108" i="7"/>
  <c r="BN110" i="7" s="1"/>
  <c r="BM108" i="7"/>
  <c r="BM110" i="7" s="1"/>
  <c r="BM115" i="7"/>
  <c r="AG64" i="6"/>
  <c r="AG62" i="6"/>
  <c r="AG63" i="6"/>
  <c r="AH6" i="7"/>
  <c r="AH6" i="6"/>
  <c r="BE62" i="6"/>
  <c r="BE64" i="6"/>
  <c r="BE63" i="6"/>
  <c r="AK59" i="5"/>
  <c r="AK5" i="7"/>
  <c r="AK5" i="6"/>
  <c r="AC62" i="6"/>
  <c r="AC64" i="6"/>
  <c r="AC63" i="6"/>
  <c r="Q64" i="6"/>
  <c r="Q62" i="6"/>
  <c r="Q63" i="6"/>
  <c r="V62" i="6"/>
  <c r="V63" i="6"/>
  <c r="V64" i="6"/>
  <c r="W62" i="6"/>
  <c r="W64" i="6"/>
  <c r="W63" i="6"/>
  <c r="J62" i="6"/>
  <c r="J64" i="6"/>
  <c r="J63" i="6"/>
  <c r="AJ62" i="6"/>
  <c r="AJ64" i="6"/>
  <c r="AJ63" i="6"/>
  <c r="U6" i="6"/>
  <c r="U6" i="7"/>
  <c r="BT94" i="3"/>
  <c r="BT7" i="5"/>
  <c r="BY64" i="3"/>
  <c r="BU60" i="3"/>
  <c r="BU71" i="3"/>
  <c r="CI65" i="3"/>
  <c r="BU64" i="3"/>
  <c r="AW71" i="6"/>
  <c r="BF84" i="5"/>
  <c r="AZ84" i="5"/>
  <c r="BH84" i="5"/>
  <c r="BN84" i="5"/>
  <c r="BC87" i="6"/>
  <c r="BC88" i="6"/>
  <c r="AW84" i="6"/>
  <c r="AK71" i="7"/>
  <c r="AM62" i="6"/>
  <c r="AM64" i="6"/>
  <c r="AM63" i="6"/>
  <c r="AD64" i="7"/>
  <c r="S71" i="7"/>
  <c r="L64" i="7"/>
  <c r="AO62" i="6"/>
  <c r="AO64" i="6"/>
  <c r="AO63" i="6"/>
  <c r="AW71" i="7"/>
  <c r="AE64" i="6"/>
  <c r="AE62" i="6"/>
  <c r="AE63" i="6"/>
  <c r="BI71" i="7"/>
  <c r="AN62" i="6"/>
  <c r="AN63" i="6"/>
  <c r="AN64" i="6"/>
  <c r="AS62" i="6"/>
  <c r="AS64" i="6"/>
  <c r="BO63" i="7"/>
  <c r="R64" i="7"/>
  <c r="Y64" i="7"/>
  <c r="M71" i="7"/>
  <c r="AT62" i="6"/>
  <c r="AT63" i="6"/>
  <c r="AT64" i="6"/>
  <c r="BC71" i="7"/>
  <c r="BN64" i="7"/>
  <c r="M64" i="7"/>
  <c r="AJ64" i="7"/>
  <c r="AU62" i="6"/>
  <c r="AU64" i="6"/>
  <c r="AU63" i="6"/>
  <c r="Y71" i="7"/>
  <c r="AQ71" i="7"/>
  <c r="S64" i="7"/>
  <c r="BB64" i="7"/>
  <c r="BX41" i="7"/>
  <c r="BT41" i="7"/>
  <c r="BU30" i="6"/>
  <c r="BW41" i="7"/>
  <c r="AP62" i="6"/>
  <c r="AP64" i="6"/>
  <c r="AP63" i="6"/>
  <c r="BW88" i="7"/>
  <c r="BB68" i="6"/>
  <c r="BB71" i="6"/>
  <c r="BB70" i="6"/>
  <c r="BC66" i="5"/>
  <c r="BC18" i="5"/>
  <c r="BB112" i="6"/>
  <c r="BB108" i="6"/>
  <c r="BC108" i="6" s="1"/>
  <c r="BC107" i="6"/>
  <c r="BC112" i="6" s="1"/>
  <c r="BS85" i="7"/>
  <c r="BS86" i="7" s="1"/>
  <c r="BR86" i="7"/>
  <c r="BR122" i="5"/>
  <c r="AV62" i="6"/>
  <c r="AV64" i="6"/>
  <c r="AV63" i="6"/>
  <c r="BY107" i="7"/>
  <c r="BZ101" i="7"/>
  <c r="AW62" i="7"/>
  <c r="AW57" i="7"/>
  <c r="BI114" i="6"/>
  <c r="BI115" i="6" s="1"/>
  <c r="BI112" i="6"/>
  <c r="BY105" i="7"/>
  <c r="BY114" i="7" s="1"/>
  <c r="BY95" i="7"/>
  <c r="BY94" i="7" s="1"/>
  <c r="BZ65" i="7"/>
  <c r="BT135" i="6"/>
  <c r="BT132" i="6"/>
  <c r="BW101" i="6"/>
  <c r="BT143" i="6"/>
  <c r="BI153" i="6"/>
  <c r="BI154" i="6" s="1"/>
  <c r="BI157" i="6"/>
  <c r="BI158" i="6" s="1"/>
  <c r="BS149" i="6"/>
  <c r="BS153" i="6" s="1"/>
  <c r="BS24" i="6" s="1"/>
  <c r="BT109" i="6"/>
  <c r="BT114" i="6" s="1"/>
  <c r="BT19" i="6" s="1"/>
  <c r="BZ44" i="6"/>
  <c r="BW117" i="6"/>
  <c r="BT136" i="6"/>
  <c r="AW153" i="6"/>
  <c r="AW154" i="6" s="1"/>
  <c r="AW157" i="6"/>
  <c r="AW158" i="6" s="1"/>
  <c r="CC92" i="6"/>
  <c r="BZ11" i="6"/>
  <c r="BU122" i="6"/>
  <c r="BT123" i="6"/>
  <c r="BW121" i="6" s="1"/>
  <c r="CD70" i="4"/>
  <c r="CD52" i="3"/>
  <c r="CG69" i="4"/>
  <c r="CF61" i="3"/>
  <c r="CK44" i="3"/>
  <c r="BX68" i="4"/>
  <c r="BX51" i="3" s="1"/>
  <c r="BX49" i="3"/>
  <c r="CM35" i="4"/>
  <c r="BR68" i="4"/>
  <c r="BR51" i="3" s="1"/>
  <c r="BR49" i="3"/>
  <c r="BW74" i="4"/>
  <c r="BW57" i="3" s="1"/>
  <c r="BW55" i="3"/>
  <c r="CC68" i="4"/>
  <c r="CC51" i="3" s="1"/>
  <c r="CC49" i="3"/>
  <c r="CJ19" i="4"/>
  <c r="CJ21" i="4" s="1"/>
  <c r="CJ23" i="4" s="1"/>
  <c r="CM18" i="4"/>
  <c r="BO74" i="4"/>
  <c r="BO57" i="3" s="1"/>
  <c r="BO55" i="3"/>
  <c r="CM47" i="4"/>
  <c r="CL23" i="4"/>
  <c r="BS68" i="4"/>
  <c r="BS51" i="3" s="1"/>
  <c r="BS49" i="3"/>
  <c r="CD36" i="4"/>
  <c r="CD38" i="4" s="1"/>
  <c r="CD40" i="4" s="1"/>
  <c r="CG35" i="4"/>
  <c r="CJ39" i="4"/>
  <c r="CJ40" i="4" s="1"/>
  <c r="CK40" i="4"/>
  <c r="CK63" i="4"/>
  <c r="CM12" i="4"/>
  <c r="CM13" i="4" s="1"/>
  <c r="BR72" i="4"/>
  <c r="BR53" i="3"/>
  <c r="CE62" i="4"/>
  <c r="CE45" i="3" s="1"/>
  <c r="CE43" i="3"/>
  <c r="CJ64" i="4"/>
  <c r="CD62" i="4"/>
  <c r="CD45" i="3" s="1"/>
  <c r="CD43" i="3"/>
  <c r="CJ69" i="4"/>
  <c r="CJ60" i="4"/>
  <c r="CJ42" i="3"/>
  <c r="CM59" i="4"/>
  <c r="CI72" i="4"/>
  <c r="CI53" i="3"/>
  <c r="CA70" i="4"/>
  <c r="CA52" i="3"/>
  <c r="CG71" i="4"/>
  <c r="CG54" i="3" s="1"/>
  <c r="CL69" i="4"/>
  <c r="CL60" i="4"/>
  <c r="CL42" i="3"/>
  <c r="CL66" i="4"/>
  <c r="CL47" i="3"/>
  <c r="CK22" i="4"/>
  <c r="BU66" i="4"/>
  <c r="BU47" i="3"/>
  <c r="CJ67" i="4"/>
  <c r="CI66" i="4"/>
  <c r="CI47" i="3"/>
  <c r="CG30" i="4"/>
  <c r="CG32" i="4" s="1"/>
  <c r="CG34" i="4" s="1"/>
  <c r="CM31" i="4"/>
  <c r="CM33" i="4"/>
  <c r="CM45" i="4"/>
  <c r="BC5" i="4"/>
  <c r="BE5" i="4"/>
  <c r="CG13" i="4"/>
  <c r="CG15" i="4" s="1"/>
  <c r="CG17" i="4" s="1"/>
  <c r="CM14" i="4"/>
  <c r="CM16" i="4"/>
  <c r="CE64" i="4"/>
  <c r="CE46" i="3"/>
  <c r="CG62" i="4"/>
  <c r="CG45" i="3" s="1"/>
  <c r="CG43" i="3"/>
  <c r="CK60" i="4"/>
  <c r="CK42" i="3"/>
  <c r="BZ72" i="4"/>
  <c r="BZ53" i="3"/>
  <c r="CI54" i="3"/>
  <c r="BS74" i="4"/>
  <c r="BS57" i="3" s="1"/>
  <c r="BS55" i="3"/>
  <c r="CC72" i="4"/>
  <c r="CC53" i="3"/>
  <c r="CE70" i="4"/>
  <c r="CE52" i="3"/>
  <c r="BZ68" i="4"/>
  <c r="BZ51" i="3" s="1"/>
  <c r="BZ49" i="3"/>
  <c r="CG18" i="4"/>
  <c r="CF66" i="4"/>
  <c r="CF47" i="3"/>
  <c r="CA64" i="4"/>
  <c r="CA46" i="3"/>
  <c r="CG65" i="4"/>
  <c r="CG48" i="3" s="1"/>
  <c r="CG67" i="4"/>
  <c r="CG50" i="3" s="1"/>
  <c r="CG47" i="4"/>
  <c r="CG49" i="4" s="1"/>
  <c r="CG51" i="4" s="1"/>
  <c r="CM48" i="4"/>
  <c r="CM50" i="4"/>
  <c r="AO6" i="4"/>
  <c r="AP6" i="4" s="1"/>
  <c r="AS6" i="4" s="1"/>
  <c r="AT6" i="4"/>
  <c r="CA36" i="4"/>
  <c r="CA38" i="4" s="1"/>
  <c r="CA40" i="4" s="1"/>
  <c r="CG37" i="4"/>
  <c r="CG39" i="4"/>
  <c r="CF62" i="4"/>
  <c r="CF45" i="3" s="1"/>
  <c r="CF43" i="3"/>
  <c r="CJ55" i="4"/>
  <c r="CJ57" i="4" s="1"/>
  <c r="CK65" i="4"/>
  <c r="CK67" i="4"/>
  <c r="CK50" i="3" s="1"/>
  <c r="CE73" i="4"/>
  <c r="CE56" i="3" s="1"/>
  <c r="CI67" i="3"/>
  <c r="CI56" i="3"/>
  <c r="BU70" i="4"/>
  <c r="BU52" i="3"/>
  <c r="CA73" i="4"/>
  <c r="CA56" i="3" s="1"/>
  <c r="CA71" i="4"/>
  <c r="CA54" i="3" s="1"/>
  <c r="CD64" i="4"/>
  <c r="CD46" i="3"/>
  <c r="CD63" i="3" s="1"/>
  <c r="CJ65" i="4"/>
  <c r="CG63" i="4"/>
  <c r="CG53" i="4"/>
  <c r="CG55" i="4" s="1"/>
  <c r="CG57" i="4" s="1"/>
  <c r="CM56" i="4"/>
  <c r="BY70" i="4"/>
  <c r="BY52" i="3"/>
  <c r="CL73" i="4"/>
  <c r="CL56" i="3" s="1"/>
  <c r="BY66" i="4"/>
  <c r="BY47" i="3"/>
  <c r="CF70" i="4"/>
  <c r="CF52" i="3"/>
  <c r="CM30" i="4"/>
  <c r="CM32" i="4" s="1"/>
  <c r="CM34" i="4" s="1"/>
  <c r="BT74" i="4"/>
  <c r="BT57" i="3" s="1"/>
  <c r="BT55" i="3"/>
  <c r="CK20" i="4"/>
  <c r="CK21" i="4" s="1"/>
  <c r="CK23" i="4" s="1"/>
  <c r="BX72" i="4"/>
  <c r="BX53" i="3"/>
  <c r="CM61" i="4"/>
  <c r="CM44" i="3" s="1"/>
  <c r="CL71" i="4"/>
  <c r="CL54" i="3" s="1"/>
  <c r="CM60" i="2"/>
  <c r="CM25" i="3"/>
  <c r="M74" i="2"/>
  <c r="M40" i="3" s="1"/>
  <c r="M38" i="3"/>
  <c r="AH74" i="2"/>
  <c r="AH40" i="3" s="1"/>
  <c r="AH38" i="3"/>
  <c r="CE62" i="2"/>
  <c r="CE28" i="3" s="1"/>
  <c r="CE26" i="3"/>
  <c r="CF63" i="3"/>
  <c r="BU74" i="2"/>
  <c r="BU40" i="3" s="1"/>
  <c r="BU38" i="3"/>
  <c r="CG36" i="2"/>
  <c r="CG38" i="2" s="1"/>
  <c r="CG40" i="2" s="1"/>
  <c r="CM39" i="2"/>
  <c r="CM37" i="2"/>
  <c r="CM38" i="2" s="1"/>
  <c r="AM74" i="2"/>
  <c r="AM40" i="3" s="1"/>
  <c r="AM38" i="3"/>
  <c r="CD70" i="2"/>
  <c r="CD35" i="3"/>
  <c r="CM18" i="2"/>
  <c r="CM19" i="2" s="1"/>
  <c r="CM21" i="2" s="1"/>
  <c r="CM23" i="2" s="1"/>
  <c r="CF66" i="2"/>
  <c r="CF30" i="3"/>
  <c r="CK71" i="2"/>
  <c r="CK37" i="3" s="1"/>
  <c r="CK31" i="3"/>
  <c r="CI39" i="3"/>
  <c r="AJ74" i="2"/>
  <c r="AJ40" i="3" s="1"/>
  <c r="AJ38" i="3"/>
  <c r="AA74" i="2"/>
  <c r="AA40" i="3" s="1"/>
  <c r="AA38" i="3"/>
  <c r="BW74" i="2"/>
  <c r="BW40" i="3" s="1"/>
  <c r="BW38" i="3"/>
  <c r="BR74" i="2"/>
  <c r="BR40" i="3" s="1"/>
  <c r="BR38" i="3"/>
  <c r="CL69" i="2"/>
  <c r="CL60" i="2"/>
  <c r="CL25" i="3"/>
  <c r="CE66" i="2"/>
  <c r="CE30" i="3"/>
  <c r="AO6" i="2"/>
  <c r="AP6" i="2" s="1"/>
  <c r="AS6" i="2" s="1"/>
  <c r="AT6" i="2"/>
  <c r="AE68" i="2"/>
  <c r="AE34" i="3" s="1"/>
  <c r="AE32" i="3"/>
  <c r="AE72" i="2"/>
  <c r="AE36" i="3"/>
  <c r="BZ68" i="2"/>
  <c r="BZ34" i="3" s="1"/>
  <c r="BZ32" i="3"/>
  <c r="AN74" i="2"/>
  <c r="AN40" i="3" s="1"/>
  <c r="AN38" i="3"/>
  <c r="CF62" i="2"/>
  <c r="CF28" i="3" s="1"/>
  <c r="CF26" i="3"/>
  <c r="CJ38" i="2"/>
  <c r="CJ40" i="2" s="1"/>
  <c r="AQ68" i="2"/>
  <c r="AQ34" i="3" s="1"/>
  <c r="AQ32" i="3"/>
  <c r="BC74" i="2"/>
  <c r="BC40" i="3" s="1"/>
  <c r="BC38" i="3"/>
  <c r="CK66" i="2"/>
  <c r="CK30" i="3"/>
  <c r="CD62" i="2"/>
  <c r="CD28" i="3" s="1"/>
  <c r="CD26" i="3"/>
  <c r="BI74" i="2"/>
  <c r="BI40" i="3" s="1"/>
  <c r="BI38" i="3"/>
  <c r="CM64" i="2"/>
  <c r="CM29" i="3"/>
  <c r="BS74" i="2"/>
  <c r="BS40" i="3" s="1"/>
  <c r="BS38" i="3"/>
  <c r="CC72" i="2"/>
  <c r="CC36" i="3"/>
  <c r="CF70" i="2"/>
  <c r="CF35" i="3"/>
  <c r="CI70" i="2"/>
  <c r="CI35" i="3"/>
  <c r="CE67" i="3"/>
  <c r="BU62" i="3"/>
  <c r="CJ23" i="2"/>
  <c r="AW74" i="2"/>
  <c r="AW40" i="3" s="1"/>
  <c r="AW38" i="3"/>
  <c r="CG64" i="2"/>
  <c r="CG29" i="3"/>
  <c r="CA70" i="2"/>
  <c r="CA35" i="3"/>
  <c r="CG73" i="2"/>
  <c r="CG39" i="3" s="1"/>
  <c r="CG71" i="2"/>
  <c r="CG37" i="3" s="1"/>
  <c r="CI66" i="2"/>
  <c r="CI30" i="3"/>
  <c r="BY72" i="2"/>
  <c r="BY36" i="3"/>
  <c r="CG69" i="2"/>
  <c r="S74" i="2"/>
  <c r="S40" i="3" s="1"/>
  <c r="S38" i="3"/>
  <c r="BT74" i="2"/>
  <c r="BT40" i="3" s="1"/>
  <c r="BT38" i="3"/>
  <c r="BU68" i="2"/>
  <c r="BU34" i="3" s="1"/>
  <c r="BU32" i="3"/>
  <c r="CL73" i="2"/>
  <c r="CL39" i="3" s="1"/>
  <c r="CJ66" i="2"/>
  <c r="CJ30" i="3"/>
  <c r="AK72" i="2"/>
  <c r="AK36" i="3"/>
  <c r="CE70" i="2"/>
  <c r="CE35" i="3"/>
  <c r="CL71" i="2"/>
  <c r="CL37" i="3" s="1"/>
  <c r="CI37" i="3"/>
  <c r="BO74" i="2"/>
  <c r="BO40" i="3" s="1"/>
  <c r="BO38" i="3"/>
  <c r="AK68" i="2"/>
  <c r="AK34" i="3" s="1"/>
  <c r="AK32" i="3"/>
  <c r="AG74" i="2"/>
  <c r="AG40" i="3" s="1"/>
  <c r="AG38" i="3"/>
  <c r="CM54" i="2"/>
  <c r="CM55" i="2" s="1"/>
  <c r="CM57" i="2" s="1"/>
  <c r="CC68" i="2"/>
  <c r="CC34" i="3" s="1"/>
  <c r="CC32" i="3"/>
  <c r="AD74" i="2"/>
  <c r="AD40" i="3" s="1"/>
  <c r="AD38" i="3"/>
  <c r="AB74" i="2"/>
  <c r="AB40" i="3" s="1"/>
  <c r="AB38" i="3"/>
  <c r="AI74" i="2"/>
  <c r="AI40" i="3" s="1"/>
  <c r="AI38" i="3"/>
  <c r="BZ72" i="2"/>
  <c r="BZ36" i="3"/>
  <c r="CF65" i="3"/>
  <c r="BZ71" i="3"/>
  <c r="CJ69" i="2"/>
  <c r="CJ60" i="2"/>
  <c r="CJ25" i="3"/>
  <c r="CG60" i="2"/>
  <c r="CG25" i="3"/>
  <c r="CM61" i="2"/>
  <c r="CM27" i="3" s="1"/>
  <c r="AC74" i="2"/>
  <c r="AC40" i="3" s="1"/>
  <c r="AC38" i="3"/>
  <c r="AK5" i="2"/>
  <c r="AM5" i="2"/>
  <c r="CD66" i="2"/>
  <c r="CD30" i="3"/>
  <c r="CM11" i="2"/>
  <c r="CK69" i="2"/>
  <c r="CK60" i="2"/>
  <c r="CK25" i="3"/>
  <c r="CL66" i="2"/>
  <c r="CL30" i="3"/>
  <c r="CL23" i="2"/>
  <c r="BX72" i="2"/>
  <c r="BX36" i="3"/>
  <c r="BX68" i="2"/>
  <c r="BX34" i="3" s="1"/>
  <c r="BX32" i="3"/>
  <c r="AQ72" i="2"/>
  <c r="BY68" i="2"/>
  <c r="BY34" i="3" s="1"/>
  <c r="BY32" i="3"/>
  <c r="CM67" i="2"/>
  <c r="CM33" i="3" s="1"/>
  <c r="CI62" i="2"/>
  <c r="CI28" i="3" s="1"/>
  <c r="CI26" i="3"/>
  <c r="CA68" i="2"/>
  <c r="CA34" i="3" s="1"/>
  <c r="CA32" i="3"/>
  <c r="Y74" i="2"/>
  <c r="Y40" i="3" s="1"/>
  <c r="Y38" i="3"/>
  <c r="CG36" i="1"/>
  <c r="CG38" i="1" s="1"/>
  <c r="CG40" i="1" s="1"/>
  <c r="CM39" i="1"/>
  <c r="BS7" i="5"/>
  <c r="BS70" i="3"/>
  <c r="BS72" i="3" s="1"/>
  <c r="BS74" i="3" s="1"/>
  <c r="CL81" i="1"/>
  <c r="CL12" i="3"/>
  <c r="CL63" i="3" s="1"/>
  <c r="CF79" i="1"/>
  <c r="CF11" i="3" s="1"/>
  <c r="CF9" i="3"/>
  <c r="CD79" i="1"/>
  <c r="CD11" i="3" s="1"/>
  <c r="CD9" i="3"/>
  <c r="CD83" i="1"/>
  <c r="CD13" i="3"/>
  <c r="BZ66" i="3"/>
  <c r="BZ68" i="3" s="1"/>
  <c r="CA61" i="3"/>
  <c r="BX83" i="1"/>
  <c r="BX13" i="3"/>
  <c r="BY66" i="3"/>
  <c r="BY87" i="1"/>
  <c r="BY18" i="3"/>
  <c r="CF36" i="1"/>
  <c r="CF38" i="1" s="1"/>
  <c r="CF40" i="1" s="1"/>
  <c r="CL37" i="1"/>
  <c r="CK81" i="1"/>
  <c r="CK12" i="3"/>
  <c r="AO6" i="1"/>
  <c r="AP6" i="1" s="1"/>
  <c r="AS6" i="1" s="1"/>
  <c r="AT6" i="1"/>
  <c r="CG28" i="1"/>
  <c r="BZ69" i="3"/>
  <c r="BZ60" i="3"/>
  <c r="BZ62" i="3" s="1"/>
  <c r="BS85" i="1"/>
  <c r="BS17" i="3" s="1"/>
  <c r="BS15" i="3"/>
  <c r="CL76" i="1"/>
  <c r="CG30" i="1"/>
  <c r="CG32" i="1" s="1"/>
  <c r="CG34" i="1" s="1"/>
  <c r="CM31" i="1"/>
  <c r="CM33" i="1"/>
  <c r="CE88" i="1"/>
  <c r="CG15" i="1"/>
  <c r="CG17" i="1" s="1"/>
  <c r="CD16" i="3"/>
  <c r="CD90" i="1"/>
  <c r="CD22" i="3" s="1"/>
  <c r="CI79" i="1"/>
  <c r="CI11" i="3" s="1"/>
  <c r="CI9" i="3"/>
  <c r="CC73" i="3"/>
  <c r="CF87" i="1"/>
  <c r="CF18" i="3"/>
  <c r="CD87" i="1"/>
  <c r="CD18" i="3"/>
  <c r="CG10" i="3"/>
  <c r="BY83" i="1"/>
  <c r="BY13" i="3"/>
  <c r="CD53" i="1"/>
  <c r="CD55" i="1" s="1"/>
  <c r="CD57" i="1" s="1"/>
  <c r="CJ56" i="1"/>
  <c r="CG52" i="1"/>
  <c r="CM53" i="1" s="1"/>
  <c r="BR70" i="3"/>
  <c r="BR72" i="3" s="1"/>
  <c r="BR74" i="3" s="1"/>
  <c r="BU69" i="3"/>
  <c r="BR7" i="5"/>
  <c r="CL88" i="1"/>
  <c r="CL20" i="3" s="1"/>
  <c r="CL14" i="3"/>
  <c r="CA77" i="1"/>
  <c r="CA79" i="1" s="1"/>
  <c r="CG78" i="1"/>
  <c r="CM69" i="1"/>
  <c r="CM70" i="1" s="1"/>
  <c r="CM72" i="1" s="1"/>
  <c r="CM74" i="1" s="1"/>
  <c r="BO71" i="3"/>
  <c r="BK72" i="3"/>
  <c r="BK74" i="3" s="1"/>
  <c r="BW70" i="3"/>
  <c r="BW72" i="3" s="1"/>
  <c r="BW74" i="3" s="1"/>
  <c r="BW7" i="5"/>
  <c r="BW91" i="1"/>
  <c r="BW23" i="3" s="1"/>
  <c r="BW21" i="3"/>
  <c r="CE81" i="1"/>
  <c r="CE12" i="3"/>
  <c r="CE63" i="3" s="1"/>
  <c r="CJ53" i="1"/>
  <c r="CI83" i="1"/>
  <c r="CI13" i="3"/>
  <c r="BU73" i="3"/>
  <c r="BQ74" i="3"/>
  <c r="CJ40" i="1"/>
  <c r="BT48" i="5"/>
  <c r="BT15" i="5"/>
  <c r="BT11" i="5"/>
  <c r="BT14" i="5"/>
  <c r="BT13" i="5"/>
  <c r="CL55" i="1"/>
  <c r="CL57" i="1" s="1"/>
  <c r="CK72" i="1"/>
  <c r="CK74" i="1" s="1"/>
  <c r="BZ79" i="1"/>
  <c r="BZ11" i="3" s="1"/>
  <c r="BZ9" i="3"/>
  <c r="BT91" i="1"/>
  <c r="BT23" i="3" s="1"/>
  <c r="BT21" i="3"/>
  <c r="CA14" i="3"/>
  <c r="CG47" i="1"/>
  <c r="CG49" i="1" s="1"/>
  <c r="CM50" i="1"/>
  <c r="CM48" i="1"/>
  <c r="CM51" i="1"/>
  <c r="BS89" i="1"/>
  <c r="BS19" i="3"/>
  <c r="BU19" i="3" s="1"/>
  <c r="CK18" i="1"/>
  <c r="CK19" i="1" s="1"/>
  <c r="CK21" i="1" s="1"/>
  <c r="CK23" i="1" s="1"/>
  <c r="BU66" i="3"/>
  <c r="BU68" i="3" s="1"/>
  <c r="CJ61" i="3"/>
  <c r="CL61" i="3"/>
  <c r="CG80" i="1"/>
  <c r="CM12" i="1"/>
  <c r="CM13" i="1" s="1"/>
  <c r="CM15" i="1" s="1"/>
  <c r="CM17" i="1" s="1"/>
  <c r="CI59" i="3"/>
  <c r="CC69" i="3"/>
  <c r="CC60" i="3"/>
  <c r="CC62" i="3" s="1"/>
  <c r="AY5" i="1"/>
  <c r="AW5" i="1"/>
  <c r="CA81" i="1"/>
  <c r="CA83" i="1" s="1"/>
  <c r="CA85" i="1" s="1"/>
  <c r="CG84" i="1"/>
  <c r="CG82" i="1"/>
  <c r="CI22" i="3"/>
  <c r="BY71" i="3"/>
  <c r="BY59" i="3"/>
  <c r="CA8" i="3"/>
  <c r="BX73" i="3"/>
  <c r="CK84" i="1"/>
  <c r="CK16" i="3" s="1"/>
  <c r="BX89" i="1"/>
  <c r="BX19" i="3"/>
  <c r="CG22" i="3"/>
  <c r="BZ87" i="1"/>
  <c r="BZ18" i="3"/>
  <c r="CC89" i="1"/>
  <c r="CC19" i="3"/>
  <c r="BX71" i="3"/>
  <c r="CA65" i="3"/>
  <c r="BR91" i="1"/>
  <c r="BR23" i="3" s="1"/>
  <c r="BR21" i="3"/>
  <c r="CM32" i="1"/>
  <c r="CM34" i="1" s="1"/>
  <c r="CA19" i="1"/>
  <c r="CA21" i="1" s="1"/>
  <c r="CA23" i="1" s="1"/>
  <c r="CG20" i="1"/>
  <c r="CG21" i="1" s="1"/>
  <c r="CG23" i="1" s="1"/>
  <c r="CG22" i="1"/>
  <c r="CJ54" i="1"/>
  <c r="CK76" i="1"/>
  <c r="CM76" i="1" s="1"/>
  <c r="CJ90" i="1"/>
  <c r="CJ22" i="3" s="1"/>
  <c r="CL90" i="1"/>
  <c r="CL22" i="3" s="1"/>
  <c r="CM25" i="1"/>
  <c r="CM26" i="1" s="1"/>
  <c r="CM28" i="1" s="1"/>
  <c r="CI87" i="1"/>
  <c r="CI18" i="3"/>
  <c r="BO23" i="3"/>
  <c r="CF60" i="3"/>
  <c r="CF62" i="3" s="1"/>
  <c r="CD60" i="3"/>
  <c r="CD62" i="3" s="1"/>
  <c r="CJ86" i="1"/>
  <c r="CJ77" i="1"/>
  <c r="CJ8" i="3"/>
  <c r="CJ59" i="3" s="1"/>
  <c r="BX63" i="3"/>
  <c r="CA12" i="3"/>
  <c r="CC85" i="1"/>
  <c r="CC17" i="3" s="1"/>
  <c r="CC15" i="3"/>
  <c r="CF57" i="1"/>
  <c r="CA53" i="1"/>
  <c r="CA55" i="1" s="1"/>
  <c r="CA57" i="1" s="1"/>
  <c r="CG56" i="1"/>
  <c r="CG54" i="1"/>
  <c r="CA89" i="1"/>
  <c r="BY79" i="1"/>
  <c r="BY11" i="3" s="1"/>
  <c r="CA11" i="3" s="1"/>
  <c r="BY9" i="3"/>
  <c r="CA9" i="3" s="1"/>
  <c r="CJ81" i="1"/>
  <c r="CJ12" i="3"/>
  <c r="BY67" i="3"/>
  <c r="CA16" i="3"/>
  <c r="CE86" i="1"/>
  <c r="CE77" i="1"/>
  <c r="CE8" i="3"/>
  <c r="CK78" i="1"/>
  <c r="CG76" i="1"/>
  <c r="CL38" i="1"/>
  <c r="CL40" i="1" s="1"/>
  <c r="BT85" i="1"/>
  <c r="BT17" i="3" s="1"/>
  <c r="BT15" i="3"/>
  <c r="CK82" i="1"/>
  <c r="CE36" i="1"/>
  <c r="CE38" i="1" s="1"/>
  <c r="CE40" i="1" s="1"/>
  <c r="CK37" i="1"/>
  <c r="CM37" i="1" s="1"/>
  <c r="CI63" i="3"/>
  <c r="CJ88" i="1"/>
  <c r="CJ20" i="3" s="1"/>
  <c r="CG90" i="1"/>
  <c r="CC64" i="3"/>
  <c r="CC66" i="3" s="1"/>
  <c r="CC68" i="3" s="1"/>
  <c r="CI61" i="3"/>
  <c r="CI20" i="3"/>
  <c r="CA90" i="1"/>
  <c r="BU13" i="3"/>
  <c r="CL21" i="1"/>
  <c r="CL23" i="1" s="1"/>
  <c r="BZ85" i="1"/>
  <c r="BZ17" i="3" s="1"/>
  <c r="BZ15" i="3"/>
  <c r="CM46" i="1"/>
  <c r="CM47" i="1" s="1"/>
  <c r="CM49" i="1" s="1"/>
  <c r="CK54" i="1"/>
  <c r="CK55" i="1" s="1"/>
  <c r="CK57" i="1" s="1"/>
  <c r="CC71" i="3"/>
  <c r="CD65" i="3"/>
  <c r="CG14" i="3"/>
  <c r="CE65" i="3"/>
  <c r="CF83" i="1"/>
  <c r="CF13" i="3"/>
  <c r="AO6" i="3"/>
  <c r="AP6" i="3" s="1"/>
  <c r="AS6" i="3" s="1"/>
  <c r="AT6" i="3"/>
  <c r="AS5" i="3"/>
  <c r="AQ5" i="3"/>
  <c r="U121" i="5"/>
  <c r="U99" i="5"/>
  <c r="U45" i="5"/>
  <c r="AO56" i="5"/>
  <c r="AH99" i="5"/>
  <c r="AH121" i="5"/>
  <c r="AH45" i="5"/>
  <c r="AG99" i="5"/>
  <c r="AG121" i="5"/>
  <c r="AG45" i="5"/>
  <c r="AI6" i="5"/>
  <c r="AN6" i="5"/>
  <c r="BE99" i="5"/>
  <c r="BE121" i="5"/>
  <c r="BE45" i="5"/>
  <c r="AH56" i="5"/>
  <c r="AQ5" i="5"/>
  <c r="AS5" i="5"/>
  <c r="BA56" i="5"/>
  <c r="AC99" i="5"/>
  <c r="AC121" i="5"/>
  <c r="AC45" i="5"/>
  <c r="BB99" i="5"/>
  <c r="BB121" i="5"/>
  <c r="BB45" i="5"/>
  <c r="AZ56" i="5"/>
  <c r="AK55" i="5"/>
  <c r="AK31" i="5"/>
  <c r="AK34" i="5"/>
  <c r="K56" i="5"/>
  <c r="BK121" i="5"/>
  <c r="BK99" i="5"/>
  <c r="BK45" i="5"/>
  <c r="Q56" i="5"/>
  <c r="AV56" i="5"/>
  <c r="V56" i="5"/>
  <c r="AY56" i="5"/>
  <c r="AW71" i="5"/>
  <c r="AM121" i="5"/>
  <c r="AM99" i="5"/>
  <c r="AM45" i="5"/>
  <c r="X99" i="5"/>
  <c r="X121" i="5"/>
  <c r="X45" i="5"/>
  <c r="AB56" i="5"/>
  <c r="G99" i="5"/>
  <c r="G121" i="5"/>
  <c r="G45" i="5"/>
  <c r="AU121" i="5"/>
  <c r="AU99" i="5"/>
  <c r="AU45" i="5"/>
  <c r="Y71" i="5"/>
  <c r="Y72" i="5" s="1"/>
  <c r="AJ121" i="5"/>
  <c r="AJ99" i="5"/>
  <c r="AJ45" i="5"/>
  <c r="AN121" i="5"/>
  <c r="AN99" i="5"/>
  <c r="AN45" i="5"/>
  <c r="AS99" i="5"/>
  <c r="AS121" i="5"/>
  <c r="AS45" i="5"/>
  <c r="BH56" i="5"/>
  <c r="BN56" i="5"/>
  <c r="BO71" i="5"/>
  <c r="BO72" i="5" s="1"/>
  <c r="BQ56" i="5"/>
  <c r="D99" i="5"/>
  <c r="D121" i="5"/>
  <c r="D45" i="5"/>
  <c r="C99" i="5"/>
  <c r="C121" i="5"/>
  <c r="C45" i="5"/>
  <c r="AO99" i="5"/>
  <c r="AO121" i="5"/>
  <c r="AO45" i="5"/>
  <c r="AP99" i="5"/>
  <c r="AP121" i="5"/>
  <c r="AP45" i="5"/>
  <c r="BA99" i="5"/>
  <c r="BA121" i="5"/>
  <c r="BA45" i="5"/>
  <c r="AP56" i="5"/>
  <c r="AC85" i="5"/>
  <c r="AC56" i="5"/>
  <c r="BB56" i="5"/>
  <c r="F121" i="5"/>
  <c r="F99" i="5"/>
  <c r="F45" i="5"/>
  <c r="AZ121" i="5"/>
  <c r="AZ99" i="5"/>
  <c r="AZ45" i="5"/>
  <c r="BK56" i="5"/>
  <c r="BI71" i="5"/>
  <c r="BI72" i="5" s="1"/>
  <c r="Q121" i="5"/>
  <c r="Q99" i="5"/>
  <c r="Q45" i="5"/>
  <c r="AY121" i="5"/>
  <c r="AY99" i="5"/>
  <c r="AY45" i="5"/>
  <c r="AK71" i="5"/>
  <c r="AK72" i="5" s="1"/>
  <c r="AM56" i="5"/>
  <c r="W56" i="5"/>
  <c r="BG121" i="5"/>
  <c r="BG99" i="5"/>
  <c r="BG45" i="5"/>
  <c r="X56" i="5"/>
  <c r="AB85" i="5"/>
  <c r="M72" i="5"/>
  <c r="G71" i="5"/>
  <c r="G72" i="5" s="1"/>
  <c r="I56" i="5"/>
  <c r="J99" i="5"/>
  <c r="J121" i="5"/>
  <c r="J45" i="5"/>
  <c r="AA85" i="5"/>
  <c r="AI121" i="5"/>
  <c r="AI99" i="5"/>
  <c r="AI45" i="5"/>
  <c r="AN56" i="5"/>
  <c r="BM56" i="5"/>
  <c r="AQ71" i="5"/>
  <c r="AQ72" i="5" s="1"/>
  <c r="AS56" i="5"/>
  <c r="BF56" i="5"/>
  <c r="Y55" i="5"/>
  <c r="Y34" i="5"/>
  <c r="Y31" i="5"/>
  <c r="BO55" i="5"/>
  <c r="BO34" i="5"/>
  <c r="BO31" i="5"/>
  <c r="BN99" i="5"/>
  <c r="BN121" i="5"/>
  <c r="BN45" i="5"/>
  <c r="BC55" i="5"/>
  <c r="BC31" i="5"/>
  <c r="BC34" i="5"/>
  <c r="S55" i="5"/>
  <c r="S34" i="5"/>
  <c r="S31" i="5"/>
  <c r="L56" i="5"/>
  <c r="AE99" i="5"/>
  <c r="AE121" i="5"/>
  <c r="AE45" i="5"/>
  <c r="W121" i="5"/>
  <c r="W99" i="5"/>
  <c r="W45" i="5"/>
  <c r="BG56" i="5"/>
  <c r="BI55" i="5"/>
  <c r="BI31" i="5"/>
  <c r="BI34" i="5"/>
  <c r="AT56" i="5"/>
  <c r="I121" i="5"/>
  <c r="I99" i="5"/>
  <c r="I45" i="5"/>
  <c r="J56" i="5"/>
  <c r="AD121" i="5"/>
  <c r="AD99" i="5"/>
  <c r="AD45" i="5"/>
  <c r="BL121" i="5"/>
  <c r="BL99" i="5"/>
  <c r="BL45" i="5"/>
  <c r="AI85" i="5"/>
  <c r="AI56" i="5"/>
  <c r="BM99" i="5"/>
  <c r="BM121" i="5"/>
  <c r="BM45" i="5"/>
  <c r="E99" i="5"/>
  <c r="E121" i="5"/>
  <c r="E45" i="5"/>
  <c r="AQ55" i="5"/>
  <c r="AQ34" i="5"/>
  <c r="AQ31" i="5"/>
  <c r="BQ99" i="5"/>
  <c r="BQ121" i="5"/>
  <c r="BQ45" i="5"/>
  <c r="M55" i="5"/>
  <c r="M31" i="5"/>
  <c r="M34" i="5"/>
  <c r="AG85" i="5"/>
  <c r="AE71" i="5"/>
  <c r="AE72" i="5" s="1"/>
  <c r="AG56" i="5"/>
  <c r="BE85" i="5"/>
  <c r="BC71" i="5"/>
  <c r="BC72" i="5" s="1"/>
  <c r="BE56" i="5"/>
  <c r="S71" i="5"/>
  <c r="S72" i="5" s="1"/>
  <c r="U56" i="5"/>
  <c r="K121" i="5"/>
  <c r="K99" i="5"/>
  <c r="K45" i="5"/>
  <c r="AW55" i="5"/>
  <c r="AW34" i="5"/>
  <c r="AU85" i="5" s="1"/>
  <c r="AW31" i="5"/>
  <c r="L121" i="5"/>
  <c r="L99" i="5"/>
  <c r="L45" i="5"/>
  <c r="AV121" i="5"/>
  <c r="AV99" i="5"/>
  <c r="AV45" i="5"/>
  <c r="V121" i="5"/>
  <c r="V99" i="5"/>
  <c r="V45" i="5"/>
  <c r="AW72" i="5"/>
  <c r="AU56" i="5"/>
  <c r="AT99" i="5"/>
  <c r="AT121" i="5"/>
  <c r="AT45" i="5"/>
  <c r="AA56" i="5"/>
  <c r="AJ85" i="5"/>
  <c r="AJ56" i="5"/>
  <c r="AD85" i="5"/>
  <c r="AD56" i="5"/>
  <c r="BL85" i="5"/>
  <c r="BL56" i="5"/>
  <c r="BH121" i="5"/>
  <c r="BH99" i="5"/>
  <c r="BH45" i="5"/>
  <c r="CK69" i="4" l="1"/>
  <c r="CM69" i="4" s="1"/>
  <c r="CJ46" i="3"/>
  <c r="BT111" i="6"/>
  <c r="CK53" i="4"/>
  <c r="CK55" i="4" s="1"/>
  <c r="CK57" i="4" s="1"/>
  <c r="CM52" i="4"/>
  <c r="CM53" i="4" s="1"/>
  <c r="CM55" i="4" s="1"/>
  <c r="CM57" i="4" s="1"/>
  <c r="CJ63" i="3"/>
  <c r="CF73" i="3"/>
  <c r="CA65" i="7"/>
  <c r="G107" i="6"/>
  <c r="C112" i="6"/>
  <c r="C108" i="6"/>
  <c r="R59" i="7"/>
  <c r="AW63" i="7"/>
  <c r="BI63" i="7"/>
  <c r="F112" i="6"/>
  <c r="I108" i="6"/>
  <c r="M108" i="6" s="1"/>
  <c r="M107" i="6"/>
  <c r="G59" i="7"/>
  <c r="E108" i="6"/>
  <c r="E112" i="6"/>
  <c r="I104" i="6"/>
  <c r="M101" i="6"/>
  <c r="M104" i="6" s="1"/>
  <c r="D112" i="6"/>
  <c r="D108" i="6"/>
  <c r="BC27" i="7"/>
  <c r="E59" i="7"/>
  <c r="BU135" i="6"/>
  <c r="BZ40" i="6"/>
  <c r="BZ50" i="6"/>
  <c r="CC49" i="6"/>
  <c r="CA49" i="6"/>
  <c r="BZ25" i="6"/>
  <c r="BZ26" i="6"/>
  <c r="BZ39" i="6"/>
  <c r="BZ21" i="6"/>
  <c r="BZ48" i="6"/>
  <c r="BZ9" i="6"/>
  <c r="BU12" i="7"/>
  <c r="CD45" i="6"/>
  <c r="BT127" i="6"/>
  <c r="BT22" i="6" s="1"/>
  <c r="BZ41" i="6"/>
  <c r="CM15" i="4"/>
  <c r="CM17" i="4" s="1"/>
  <c r="CM19" i="4"/>
  <c r="CM21" i="4" s="1"/>
  <c r="CM23" i="4" s="1"/>
  <c r="CK73" i="4"/>
  <c r="CK56" i="3" s="1"/>
  <c r="CM63" i="4"/>
  <c r="CM69" i="2"/>
  <c r="CM73" i="2"/>
  <c r="CM39" i="3" s="1"/>
  <c r="CM40" i="2"/>
  <c r="CM22" i="7"/>
  <c r="CM77" i="1"/>
  <c r="CM81" i="1"/>
  <c r="BX96" i="6"/>
  <c r="BX99" i="6" s="1"/>
  <c r="BW20" i="6"/>
  <c r="BT74" i="7"/>
  <c r="BT16" i="7" s="1"/>
  <c r="BN94" i="3"/>
  <c r="BT10" i="6"/>
  <c r="CI71" i="3"/>
  <c r="CA18" i="3"/>
  <c r="BM94" i="3"/>
  <c r="BM117" i="7"/>
  <c r="AJ6" i="5"/>
  <c r="AI6" i="6"/>
  <c r="AI6" i="7"/>
  <c r="AA6" i="6"/>
  <c r="AA6" i="7"/>
  <c r="AS5" i="6"/>
  <c r="AS5" i="7"/>
  <c r="AG6" i="5"/>
  <c r="AD6" i="6"/>
  <c r="AD6" i="7"/>
  <c r="BQ117" i="7"/>
  <c r="AQ59" i="5"/>
  <c r="AQ5" i="6"/>
  <c r="AQ5" i="7"/>
  <c r="AN6" i="7"/>
  <c r="AN6" i="6"/>
  <c r="BN117" i="7"/>
  <c r="CE61" i="3"/>
  <c r="BO72" i="3"/>
  <c r="CF71" i="3"/>
  <c r="CE64" i="3"/>
  <c r="BS94" i="3"/>
  <c r="CF64" i="3"/>
  <c r="CF66" i="3" s="1"/>
  <c r="CF68" i="3" s="1"/>
  <c r="BN85" i="5"/>
  <c r="BW74" i="7"/>
  <c r="BW111" i="6"/>
  <c r="BW10" i="6"/>
  <c r="AW56" i="5"/>
  <c r="AQ56" i="5"/>
  <c r="S62" i="6"/>
  <c r="S64" i="6"/>
  <c r="S63" i="6"/>
  <c r="BB85" i="5"/>
  <c r="BR74" i="7"/>
  <c r="BR111" i="6"/>
  <c r="BR10" i="6"/>
  <c r="BR16" i="6"/>
  <c r="BS74" i="7"/>
  <c r="BS16" i="7" s="1"/>
  <c r="BS111" i="6"/>
  <c r="BS10" i="6"/>
  <c r="AW64" i="7"/>
  <c r="M56" i="5"/>
  <c r="Q85" i="5"/>
  <c r="BC62" i="6"/>
  <c r="BC64" i="6"/>
  <c r="BC63" i="6"/>
  <c r="Y62" i="6"/>
  <c r="Y64" i="6"/>
  <c r="Y63" i="6"/>
  <c r="AK56" i="5"/>
  <c r="CA11" i="6"/>
  <c r="BO64" i="7"/>
  <c r="M62" i="6"/>
  <c r="M64" i="6"/>
  <c r="M63" i="6"/>
  <c r="BI62" i="6"/>
  <c r="BI64" i="6"/>
  <c r="BI63" i="6"/>
  <c r="BO62" i="6"/>
  <c r="BO64" i="6"/>
  <c r="BO63" i="6"/>
  <c r="X85" i="5"/>
  <c r="AP86" i="5" s="1"/>
  <c r="AK62" i="6"/>
  <c r="AK64" i="6"/>
  <c r="AK63" i="6"/>
  <c r="BT51" i="5"/>
  <c r="BY41" i="7"/>
  <c r="BW42" i="7"/>
  <c r="BW57" i="6"/>
  <c r="BU38" i="6"/>
  <c r="BT42" i="7"/>
  <c r="BU41" i="7"/>
  <c r="BT57" i="6"/>
  <c r="BS78" i="7"/>
  <c r="BS119" i="5"/>
  <c r="BZ105" i="7"/>
  <c r="BZ95" i="7"/>
  <c r="BZ94" i="7" s="1"/>
  <c r="BZ90" i="7" s="1"/>
  <c r="BZ88" i="7" s="1"/>
  <c r="CC65" i="7"/>
  <c r="BY90" i="7"/>
  <c r="CA94" i="7"/>
  <c r="CA95" i="7" s="1"/>
  <c r="BZ114" i="7"/>
  <c r="BZ107" i="7"/>
  <c r="CA107" i="7" s="1"/>
  <c r="CC101" i="7"/>
  <c r="BR78" i="7"/>
  <c r="BR119" i="5"/>
  <c r="AW62" i="6"/>
  <c r="AW64" i="6"/>
  <c r="AW63" i="6"/>
  <c r="AQ62" i="6"/>
  <c r="AQ63" i="6"/>
  <c r="AQ64" i="6"/>
  <c r="AM85" i="5"/>
  <c r="BT86" i="7"/>
  <c r="BU86" i="7" s="1"/>
  <c r="BU119" i="5" s="1"/>
  <c r="BT85" i="7"/>
  <c r="BS122" i="5"/>
  <c r="BC68" i="6"/>
  <c r="BC70" i="6"/>
  <c r="BC71" i="6"/>
  <c r="BT115" i="6"/>
  <c r="BU19" i="6"/>
  <c r="BS154" i="6"/>
  <c r="CA121" i="6"/>
  <c r="CA117" i="6"/>
  <c r="BW122" i="6"/>
  <c r="BW119" i="6"/>
  <c r="BU125" i="6"/>
  <c r="BU123" i="6"/>
  <c r="BU127" i="6" s="1"/>
  <c r="BT148" i="6"/>
  <c r="BU148" i="6" s="1"/>
  <c r="BT145" i="6"/>
  <c r="BT140" i="6"/>
  <c r="BT23" i="6" s="1"/>
  <c r="BW130" i="6"/>
  <c r="BW134" i="6"/>
  <c r="CA44" i="6"/>
  <c r="BW106" i="6"/>
  <c r="BU109" i="6"/>
  <c r="BU114" i="6" s="1"/>
  <c r="BU138" i="6"/>
  <c r="BU136" i="6"/>
  <c r="CG92" i="6"/>
  <c r="CG95" i="6" s="1"/>
  <c r="CC95" i="6"/>
  <c r="BT128" i="6"/>
  <c r="BU22" i="6"/>
  <c r="BT147" i="6"/>
  <c r="BS157" i="6"/>
  <c r="BS158" i="6" s="1"/>
  <c r="BW107" i="6"/>
  <c r="BW12" i="7" s="1"/>
  <c r="CA101" i="6"/>
  <c r="CA104" i="6" s="1"/>
  <c r="BW104" i="6"/>
  <c r="CD69" i="3"/>
  <c r="CD64" i="3"/>
  <c r="CD66" i="3" s="1"/>
  <c r="CM64" i="4"/>
  <c r="CM46" i="3"/>
  <c r="CF69" i="3"/>
  <c r="CL64" i="3"/>
  <c r="CF72" i="4"/>
  <c r="CF53" i="3"/>
  <c r="CG64" i="4"/>
  <c r="CG46" i="3"/>
  <c r="CM65" i="4"/>
  <c r="CM48" i="3" s="1"/>
  <c r="CM67" i="4"/>
  <c r="CM50" i="3" s="1"/>
  <c r="CF68" i="4"/>
  <c r="CF51" i="3" s="1"/>
  <c r="CF49" i="3"/>
  <c r="CG73" i="4"/>
  <c r="CG56" i="3" s="1"/>
  <c r="BU68" i="4"/>
  <c r="BU51" i="3" s="1"/>
  <c r="BU49" i="3"/>
  <c r="CI74" i="4"/>
  <c r="CI57" i="3" s="1"/>
  <c r="CI55" i="3"/>
  <c r="CJ70" i="4"/>
  <c r="CJ52" i="3"/>
  <c r="CJ66" i="4"/>
  <c r="CJ47" i="3"/>
  <c r="BR74" i="4"/>
  <c r="BR57" i="3" s="1"/>
  <c r="BR55" i="3"/>
  <c r="CL65" i="3"/>
  <c r="BY72" i="4"/>
  <c r="BY53" i="3"/>
  <c r="CJ71" i="4"/>
  <c r="CJ48" i="3"/>
  <c r="CJ65" i="3" s="1"/>
  <c r="AZ6" i="4"/>
  <c r="AU6" i="4"/>
  <c r="AV6" i="4" s="1"/>
  <c r="AY6" i="4" s="1"/>
  <c r="CA66" i="4"/>
  <c r="CA47" i="3"/>
  <c r="CG19" i="4"/>
  <c r="CG21" i="4" s="1"/>
  <c r="CG23" i="4" s="1"/>
  <c r="CM22" i="4"/>
  <c r="CM20" i="4"/>
  <c r="CC74" i="4"/>
  <c r="CC57" i="3" s="1"/>
  <c r="CC55" i="3"/>
  <c r="CK62" i="4"/>
  <c r="CK45" i="3" s="1"/>
  <c r="CK43" i="3"/>
  <c r="CI68" i="4"/>
  <c r="CI51" i="3" s="1"/>
  <c r="CI49" i="3"/>
  <c r="CL62" i="4"/>
  <c r="CL45" i="3" s="1"/>
  <c r="CL43" i="3"/>
  <c r="CM60" i="4"/>
  <c r="CM42" i="3"/>
  <c r="CG70" i="4"/>
  <c r="CG52" i="3"/>
  <c r="BX74" i="4"/>
  <c r="BX57" i="3" s="1"/>
  <c r="BX55" i="3"/>
  <c r="BY68" i="4"/>
  <c r="BY51" i="3" s="1"/>
  <c r="BY49" i="3"/>
  <c r="CK71" i="4"/>
  <c r="CK54" i="3" s="1"/>
  <c r="CK48" i="3"/>
  <c r="CE72" i="4"/>
  <c r="CE53" i="3"/>
  <c r="CK70" i="4"/>
  <c r="CE66" i="4"/>
  <c r="CE47" i="3"/>
  <c r="BK5" i="4"/>
  <c r="BI5" i="4"/>
  <c r="CJ50" i="3"/>
  <c r="CJ67" i="3" s="1"/>
  <c r="CJ73" i="4"/>
  <c r="CL70" i="4"/>
  <c r="CL52" i="3"/>
  <c r="CA72" i="4"/>
  <c r="CA53" i="3"/>
  <c r="CG36" i="4"/>
  <c r="CG38" i="4" s="1"/>
  <c r="CG40" i="4" s="1"/>
  <c r="CM39" i="4"/>
  <c r="CM37" i="4"/>
  <c r="CM36" i="4"/>
  <c r="CL67" i="3"/>
  <c r="CD66" i="4"/>
  <c r="CD47" i="3"/>
  <c r="BU72" i="4"/>
  <c r="BU53" i="3"/>
  <c r="BZ74" i="4"/>
  <c r="BZ57" i="3" s="1"/>
  <c r="BZ55" i="3"/>
  <c r="CL68" i="4"/>
  <c r="CL51" i="3" s="1"/>
  <c r="CL49" i="3"/>
  <c r="CJ62" i="4"/>
  <c r="CJ45" i="3" s="1"/>
  <c r="CJ43" i="3"/>
  <c r="CK64" i="4"/>
  <c r="CK46" i="3"/>
  <c r="CK63" i="3" s="1"/>
  <c r="CM49" i="4"/>
  <c r="CM51" i="4" s="1"/>
  <c r="CD72" i="4"/>
  <c r="CD53" i="3"/>
  <c r="CM70" i="2"/>
  <c r="CM35" i="3"/>
  <c r="CL62" i="2"/>
  <c r="CL28" i="3" s="1"/>
  <c r="CL26" i="3"/>
  <c r="CK62" i="2"/>
  <c r="CK28" i="3" s="1"/>
  <c r="CK26" i="3"/>
  <c r="CD68" i="2"/>
  <c r="CD34" i="3" s="1"/>
  <c r="CD32" i="3"/>
  <c r="CM71" i="2"/>
  <c r="CM37" i="3" s="1"/>
  <c r="CF72" i="2"/>
  <c r="CF36" i="3"/>
  <c r="CK68" i="2"/>
  <c r="CK34" i="3" s="1"/>
  <c r="CK32" i="3"/>
  <c r="AU6" i="2"/>
  <c r="AV6" i="2" s="1"/>
  <c r="AY6" i="2" s="1"/>
  <c r="AZ6" i="2"/>
  <c r="CF68" i="2"/>
  <c r="CF34" i="3" s="1"/>
  <c r="CF32" i="3"/>
  <c r="AS5" i="2"/>
  <c r="AQ5" i="2"/>
  <c r="CG63" i="3"/>
  <c r="CK67" i="3"/>
  <c r="CL68" i="2"/>
  <c r="CL34" i="3" s="1"/>
  <c r="CL32" i="3"/>
  <c r="CJ70" i="2"/>
  <c r="CJ35" i="3"/>
  <c r="BZ74" i="2"/>
  <c r="BZ40" i="3" s="1"/>
  <c r="BZ38" i="3"/>
  <c r="CG66" i="2"/>
  <c r="CG30" i="3"/>
  <c r="CI72" i="2"/>
  <c r="CI36" i="3"/>
  <c r="CC74" i="2"/>
  <c r="CC40" i="3" s="1"/>
  <c r="CC38" i="3"/>
  <c r="CM66" i="2"/>
  <c r="CM30" i="3"/>
  <c r="CL70" i="2"/>
  <c r="CL35" i="3"/>
  <c r="CK70" i="2"/>
  <c r="CK35" i="3"/>
  <c r="CJ62" i="2"/>
  <c r="CJ28" i="3" s="1"/>
  <c r="CJ26" i="3"/>
  <c r="AK74" i="2"/>
  <c r="AK40" i="3" s="1"/>
  <c r="AK38" i="3"/>
  <c r="BY74" i="2"/>
  <c r="BY40" i="3" s="1"/>
  <c r="BY38" i="3"/>
  <c r="AE74" i="2"/>
  <c r="AE40" i="3" s="1"/>
  <c r="AE38" i="3"/>
  <c r="AQ74" i="2"/>
  <c r="AQ40" i="3" s="1"/>
  <c r="AQ38" i="3"/>
  <c r="BX74" i="2"/>
  <c r="BX40" i="3" s="1"/>
  <c r="BX38" i="3"/>
  <c r="CG62" i="2"/>
  <c r="CG28" i="3" s="1"/>
  <c r="CG26" i="3"/>
  <c r="CE72" i="2"/>
  <c r="CE36" i="3"/>
  <c r="CJ68" i="2"/>
  <c r="CJ34" i="3" s="1"/>
  <c r="CJ32" i="3"/>
  <c r="CG70" i="2"/>
  <c r="CG35" i="3"/>
  <c r="CI68" i="2"/>
  <c r="CI34" i="3" s="1"/>
  <c r="CI32" i="3"/>
  <c r="CA72" i="2"/>
  <c r="CA36" i="3"/>
  <c r="CE68" i="2"/>
  <c r="CE34" i="3" s="1"/>
  <c r="CE32" i="3"/>
  <c r="CD72" i="2"/>
  <c r="CD36" i="3"/>
  <c r="CM62" i="2"/>
  <c r="CM28" i="3" s="1"/>
  <c r="CM26" i="3"/>
  <c r="CM20" i="3"/>
  <c r="CJ87" i="1"/>
  <c r="CJ18" i="3"/>
  <c r="CF85" i="1"/>
  <c r="CF17" i="3" s="1"/>
  <c r="CF15" i="3"/>
  <c r="CM12" i="3"/>
  <c r="CK88" i="1"/>
  <c r="CK20" i="3" s="1"/>
  <c r="CK14" i="3"/>
  <c r="CG77" i="1"/>
  <c r="CG79" i="1" s="1"/>
  <c r="CM78" i="1"/>
  <c r="CM79" i="1" s="1"/>
  <c r="CE87" i="1"/>
  <c r="CE18" i="3"/>
  <c r="CG18" i="3" s="1"/>
  <c r="CJ83" i="1"/>
  <c r="CJ13" i="3"/>
  <c r="CA91" i="1"/>
  <c r="BX64" i="3"/>
  <c r="BX66" i="3" s="1"/>
  <c r="BX68" i="3" s="1"/>
  <c r="BX69" i="3"/>
  <c r="CA63" i="3"/>
  <c r="CJ79" i="1"/>
  <c r="CJ11" i="3" s="1"/>
  <c r="CJ9" i="3"/>
  <c r="CG12" i="3"/>
  <c r="BX91" i="1"/>
  <c r="BX23" i="3" s="1"/>
  <c r="BX21" i="3"/>
  <c r="BY69" i="3"/>
  <c r="BY60" i="3"/>
  <c r="BY62" i="3" s="1"/>
  <c r="CA59" i="3"/>
  <c r="CC70" i="3"/>
  <c r="CC72" i="3" s="1"/>
  <c r="CC74" i="3" s="1"/>
  <c r="CC7" i="5"/>
  <c r="CI69" i="3"/>
  <c r="CI60" i="3"/>
  <c r="CI62" i="3" s="1"/>
  <c r="CG86" i="1"/>
  <c r="BT12" i="5"/>
  <c r="CJ55" i="1"/>
  <c r="CJ57" i="1" s="1"/>
  <c r="BU60" i="5"/>
  <c r="BU7" i="5"/>
  <c r="BR13" i="5"/>
  <c r="BR14" i="5"/>
  <c r="BR48" i="5"/>
  <c r="BR15" i="5"/>
  <c r="BR11" i="5"/>
  <c r="CM18" i="1"/>
  <c r="CM19" i="1" s="1"/>
  <c r="CM21" i="1" s="1"/>
  <c r="CM23" i="1" s="1"/>
  <c r="CD67" i="3"/>
  <c r="CG16" i="3"/>
  <c r="BU15" i="3"/>
  <c r="BZ7" i="5"/>
  <c r="BZ70" i="3"/>
  <c r="BZ72" i="3" s="1"/>
  <c r="BZ74" i="3" s="1"/>
  <c r="BY89" i="1"/>
  <c r="BY19" i="3"/>
  <c r="CA13" i="3"/>
  <c r="CK90" i="1"/>
  <c r="CK22" i="3" s="1"/>
  <c r="CM22" i="3" s="1"/>
  <c r="CK10" i="3"/>
  <c r="CI89" i="1"/>
  <c r="CI19" i="3"/>
  <c r="BE5" i="1"/>
  <c r="BC5" i="1"/>
  <c r="BS91" i="1"/>
  <c r="BS23" i="3" s="1"/>
  <c r="BU23" i="3" s="1"/>
  <c r="BS21" i="3"/>
  <c r="BU21" i="3" s="1"/>
  <c r="CI85" i="1"/>
  <c r="CI17" i="3" s="1"/>
  <c r="CI15" i="3"/>
  <c r="CE66" i="3"/>
  <c r="CE68" i="3" s="1"/>
  <c r="BK94" i="3"/>
  <c r="CA71" i="3"/>
  <c r="BU70" i="3"/>
  <c r="BU72" i="3" s="1"/>
  <c r="CF89" i="1"/>
  <c r="CF19" i="3"/>
  <c r="BU17" i="3"/>
  <c r="CK83" i="1"/>
  <c r="CK13" i="3"/>
  <c r="BX85" i="1"/>
  <c r="BX17" i="3" s="1"/>
  <c r="BX15" i="3"/>
  <c r="CD85" i="1"/>
  <c r="CD17" i="3" s="1"/>
  <c r="CD15" i="3"/>
  <c r="BS48" i="5"/>
  <c r="BS11" i="5"/>
  <c r="BS15" i="5"/>
  <c r="BS13" i="5"/>
  <c r="BS14" i="5"/>
  <c r="CE59" i="3"/>
  <c r="CG8" i="3"/>
  <c r="BY73" i="3"/>
  <c r="CA73" i="3" s="1"/>
  <c r="CA67" i="3"/>
  <c r="CK86" i="1"/>
  <c r="CK77" i="1"/>
  <c r="CK8" i="3"/>
  <c r="CK59" i="3" s="1"/>
  <c r="BT10" i="5"/>
  <c r="BT49" i="5"/>
  <c r="BQ94" i="3"/>
  <c r="CK38" i="1"/>
  <c r="CK40" i="1" s="1"/>
  <c r="CE83" i="1"/>
  <c r="CE13" i="3"/>
  <c r="CG13" i="3" s="1"/>
  <c r="BR94" i="3"/>
  <c r="CE20" i="3"/>
  <c r="CG20" i="3" s="1"/>
  <c r="CG88" i="1"/>
  <c r="AU6" i="1"/>
  <c r="AV6" i="1" s="1"/>
  <c r="AY6" i="1" s="1"/>
  <c r="AZ6" i="1"/>
  <c r="BY68" i="3"/>
  <c r="CM16" i="3"/>
  <c r="CI64" i="3"/>
  <c r="CI66" i="3" s="1"/>
  <c r="CI68" i="3" s="1"/>
  <c r="CC91" i="1"/>
  <c r="CC23" i="3" s="1"/>
  <c r="CC21" i="3"/>
  <c r="CI73" i="3"/>
  <c r="CE79" i="1"/>
  <c r="CE11" i="3" s="1"/>
  <c r="CG11" i="3" s="1"/>
  <c r="CE9" i="3"/>
  <c r="CG9" i="3" s="1"/>
  <c r="CJ60" i="3"/>
  <c r="CJ62" i="3" s="1"/>
  <c r="CJ69" i="3"/>
  <c r="BZ89" i="1"/>
  <c r="BZ19" i="3"/>
  <c r="CG81" i="1"/>
  <c r="CG83" i="1" s="1"/>
  <c r="CG85" i="1" s="1"/>
  <c r="CM82" i="1"/>
  <c r="CM83" i="1" s="1"/>
  <c r="CM85" i="1" s="1"/>
  <c r="CM84" i="1"/>
  <c r="CM38" i="1"/>
  <c r="CM40" i="1" s="1"/>
  <c r="BW13" i="5"/>
  <c r="BW14" i="5"/>
  <c r="BW15" i="5"/>
  <c r="BW11" i="5"/>
  <c r="BW48" i="5"/>
  <c r="CG53" i="1"/>
  <c r="CG55" i="1" s="1"/>
  <c r="CG57" i="1" s="1"/>
  <c r="CM56" i="1"/>
  <c r="CM54" i="1"/>
  <c r="CM55" i="1" s="1"/>
  <c r="BY85" i="1"/>
  <c r="BY17" i="3" s="1"/>
  <c r="BY15" i="3"/>
  <c r="CD89" i="1"/>
  <c r="CD19" i="3"/>
  <c r="CL86" i="1"/>
  <c r="CL77" i="1"/>
  <c r="CL8" i="3"/>
  <c r="CL59" i="3" s="1"/>
  <c r="CL83" i="1"/>
  <c r="CL13" i="3"/>
  <c r="AY5" i="3"/>
  <c r="AW5" i="3"/>
  <c r="AU6" i="3"/>
  <c r="AV6" i="3" s="1"/>
  <c r="AY6" i="3" s="1"/>
  <c r="AZ6" i="3"/>
  <c r="AW99" i="5"/>
  <c r="AW121" i="5"/>
  <c r="AW45" i="5"/>
  <c r="U85" i="5"/>
  <c r="AM86" i="5" s="1"/>
  <c r="M121" i="5"/>
  <c r="M99" i="5"/>
  <c r="M45" i="5"/>
  <c r="AT85" i="5"/>
  <c r="BO56" i="5"/>
  <c r="AS85" i="5"/>
  <c r="AN85" i="5"/>
  <c r="AS86" i="5"/>
  <c r="AE56" i="5"/>
  <c r="BK85" i="5"/>
  <c r="V85" i="5"/>
  <c r="AQ121" i="5"/>
  <c r="AQ99" i="5"/>
  <c r="AQ45" i="5"/>
  <c r="BI56" i="5"/>
  <c r="BF85" i="5"/>
  <c r="BG85" i="5"/>
  <c r="L85" i="5"/>
  <c r="BC56" i="5"/>
  <c r="AP85" i="5"/>
  <c r="BH85" i="5"/>
  <c r="K85" i="5"/>
  <c r="BI99" i="5"/>
  <c r="BI121" i="5"/>
  <c r="BI45" i="5"/>
  <c r="S121" i="5"/>
  <c r="S99" i="5"/>
  <c r="S45" i="5"/>
  <c r="BC121" i="5"/>
  <c r="BC99" i="5"/>
  <c r="BC45" i="5"/>
  <c r="Y121" i="5"/>
  <c r="Y99" i="5"/>
  <c r="Y45" i="5"/>
  <c r="BM85" i="5"/>
  <c r="I85" i="5"/>
  <c r="AY85" i="5"/>
  <c r="AV85" i="5"/>
  <c r="BN86" i="5" s="1"/>
  <c r="AZ85" i="5"/>
  <c r="BA85" i="5"/>
  <c r="BS86" i="5" s="1"/>
  <c r="AH85" i="5"/>
  <c r="AO6" i="5"/>
  <c r="AT6" i="5"/>
  <c r="J85" i="5"/>
  <c r="S56" i="5"/>
  <c r="P85" i="5"/>
  <c r="R85" i="5"/>
  <c r="AJ86" i="5" s="1"/>
  <c r="O85" i="5"/>
  <c r="AG86" i="5" s="1"/>
  <c r="BO121" i="5"/>
  <c r="BO99" i="5"/>
  <c r="BO45" i="5"/>
  <c r="Y56" i="5"/>
  <c r="W85" i="5"/>
  <c r="AO86" i="5" s="1"/>
  <c r="AK99" i="5"/>
  <c r="AK121" i="5"/>
  <c r="AK45" i="5"/>
  <c r="AY5" i="5"/>
  <c r="AW5" i="5"/>
  <c r="AO85" i="5"/>
  <c r="BS75" i="5" l="1"/>
  <c r="CK52" i="3"/>
  <c r="CJ64" i="3"/>
  <c r="CD7" i="5"/>
  <c r="BU10" i="6"/>
  <c r="CL66" i="3"/>
  <c r="CM57" i="1"/>
  <c r="CL71" i="3"/>
  <c r="M112" i="6"/>
  <c r="BC62" i="7"/>
  <c r="BC57" i="7"/>
  <c r="J101" i="6"/>
  <c r="J104" i="6" s="1"/>
  <c r="I112" i="6"/>
  <c r="M58" i="7"/>
  <c r="I58" i="7"/>
  <c r="G112" i="6"/>
  <c r="F58" i="7"/>
  <c r="M109" i="6"/>
  <c r="BI64" i="7"/>
  <c r="G108" i="6"/>
  <c r="G109" i="6" s="1"/>
  <c r="BW20" i="7"/>
  <c r="BU128" i="6"/>
  <c r="CA41" i="6"/>
  <c r="CC41" i="6"/>
  <c r="CA9" i="6"/>
  <c r="CC9" i="6"/>
  <c r="CA21" i="6"/>
  <c r="CC21" i="6"/>
  <c r="CC26" i="6"/>
  <c r="CA26" i="6"/>
  <c r="CD49" i="6"/>
  <c r="CC40" i="6"/>
  <c r="CA40" i="6"/>
  <c r="BW123" i="6"/>
  <c r="BX121" i="6" s="1"/>
  <c r="BW14" i="7"/>
  <c r="BU42" i="7"/>
  <c r="CA48" i="6"/>
  <c r="CC48" i="6"/>
  <c r="CA39" i="6"/>
  <c r="CC39" i="6"/>
  <c r="CA25" i="6"/>
  <c r="CC25" i="6"/>
  <c r="BT13" i="7"/>
  <c r="BT149" i="6"/>
  <c r="BT153" i="6" s="1"/>
  <c r="BT24" i="6" s="1"/>
  <c r="CA50" i="6"/>
  <c r="CC50" i="6"/>
  <c r="CL73" i="3"/>
  <c r="CF70" i="3"/>
  <c r="CF72" i="3" s="1"/>
  <c r="CF74" i="3" s="1"/>
  <c r="CF7" i="5"/>
  <c r="CF111" i="6" s="1"/>
  <c r="BY96" i="6"/>
  <c r="BY99" i="6" s="1"/>
  <c r="BX20" i="6"/>
  <c r="CJ66" i="3"/>
  <c r="CJ68" i="3" s="1"/>
  <c r="CM13" i="3"/>
  <c r="BQ86" i="5"/>
  <c r="AW59" i="5"/>
  <c r="AW5" i="7"/>
  <c r="AW5" i="6"/>
  <c r="AP6" i="5"/>
  <c r="AO6" i="6"/>
  <c r="AO6" i="7"/>
  <c r="AG6" i="6"/>
  <c r="AG6" i="7"/>
  <c r="AY5" i="6"/>
  <c r="AY5" i="7"/>
  <c r="BG86" i="5"/>
  <c r="AT6" i="7"/>
  <c r="AT6" i="6"/>
  <c r="AM6" i="5"/>
  <c r="AJ6" i="6"/>
  <c r="AJ6" i="7"/>
  <c r="CL68" i="3"/>
  <c r="CD70" i="3"/>
  <c r="BU74" i="3"/>
  <c r="CA60" i="3"/>
  <c r="CA62" i="3" s="1"/>
  <c r="CG61" i="3"/>
  <c r="CJ73" i="3"/>
  <c r="CE73" i="3"/>
  <c r="CA64" i="3"/>
  <c r="CA66" i="3" s="1"/>
  <c r="CJ71" i="3"/>
  <c r="BO74" i="3"/>
  <c r="AY86" i="5"/>
  <c r="BE86" i="5"/>
  <c r="BH86" i="5"/>
  <c r="CD74" i="7"/>
  <c r="CD16" i="7" s="1"/>
  <c r="CD10" i="6"/>
  <c r="CD111" i="6"/>
  <c r="BU14" i="5"/>
  <c r="BU111" i="6"/>
  <c r="CC74" i="7"/>
  <c r="CC111" i="6"/>
  <c r="CC10" i="6"/>
  <c r="CF74" i="7"/>
  <c r="CF16" i="7" s="1"/>
  <c r="CF10" i="6"/>
  <c r="AN86" i="5"/>
  <c r="BT31" i="6"/>
  <c r="BT12" i="6"/>
  <c r="BU74" i="7"/>
  <c r="BU75" i="7" s="1"/>
  <c r="BR16" i="7"/>
  <c r="BU81" i="6"/>
  <c r="BW10" i="5"/>
  <c r="BT17" i="5"/>
  <c r="BZ74" i="7"/>
  <c r="BZ16" i="7" s="1"/>
  <c r="BZ10" i="6"/>
  <c r="BZ111" i="6"/>
  <c r="BT20" i="7"/>
  <c r="BS16" i="6"/>
  <c r="BR23" i="7"/>
  <c r="BW16" i="7"/>
  <c r="BR10" i="5"/>
  <c r="BS20" i="7"/>
  <c r="BR20" i="7"/>
  <c r="BX42" i="7"/>
  <c r="BX57" i="6"/>
  <c r="BU57" i="6"/>
  <c r="BY88" i="7"/>
  <c r="CA88" i="7" s="1"/>
  <c r="CA90" i="7"/>
  <c r="BW85" i="7"/>
  <c r="BW86" i="7" s="1"/>
  <c r="BU85" i="7"/>
  <c r="BU122" i="5" s="1"/>
  <c r="BT122" i="5"/>
  <c r="BR79" i="7"/>
  <c r="BR109" i="7" s="1"/>
  <c r="BR68" i="7"/>
  <c r="BR46" i="7"/>
  <c r="BT78" i="7"/>
  <c r="BT119" i="5"/>
  <c r="CD101" i="7"/>
  <c r="CC107" i="7"/>
  <c r="CC105" i="7"/>
  <c r="CC114" i="7" s="1"/>
  <c r="CC95" i="7"/>
  <c r="CC94" i="7" s="1"/>
  <c r="CD65" i="7"/>
  <c r="BS79" i="7"/>
  <c r="BS113" i="7" s="1"/>
  <c r="BS68" i="7"/>
  <c r="BS46" i="7"/>
  <c r="CD92" i="6"/>
  <c r="CD95" i="6" s="1"/>
  <c r="CC11" i="6"/>
  <c r="BW135" i="6"/>
  <c r="BW132" i="6"/>
  <c r="CA130" i="6"/>
  <c r="CA119" i="6"/>
  <c r="BX101" i="6"/>
  <c r="CA106" i="6"/>
  <c r="BW109" i="6"/>
  <c r="BX106" i="6" s="1"/>
  <c r="BT141" i="6"/>
  <c r="BU23" i="6"/>
  <c r="BW143" i="6"/>
  <c r="BU140" i="6"/>
  <c r="CC44" i="6"/>
  <c r="CA134" i="6"/>
  <c r="BT156" i="6"/>
  <c r="BU151" i="6"/>
  <c r="BU149" i="6"/>
  <c r="BU153" i="6" s="1"/>
  <c r="BX117" i="6"/>
  <c r="BU115" i="6"/>
  <c r="CK64" i="3"/>
  <c r="CM63" i="3"/>
  <c r="CD68" i="4"/>
  <c r="CD51" i="3" s="1"/>
  <c r="CD49" i="3"/>
  <c r="CG64" i="3"/>
  <c r="CM38" i="4"/>
  <c r="CM40" i="4" s="1"/>
  <c r="CL72" i="4"/>
  <c r="CL53" i="3"/>
  <c r="BO5" i="4"/>
  <c r="BQ5" i="4"/>
  <c r="CK72" i="4"/>
  <c r="CK53" i="3"/>
  <c r="CM62" i="4"/>
  <c r="CM45" i="3" s="1"/>
  <c r="CM43" i="3"/>
  <c r="CJ68" i="4"/>
  <c r="CJ51" i="3" s="1"/>
  <c r="CJ49" i="3"/>
  <c r="CF74" i="4"/>
  <c r="CF57" i="3" s="1"/>
  <c r="CF55" i="3"/>
  <c r="CJ56" i="3"/>
  <c r="CM73" i="4"/>
  <c r="CM56" i="3" s="1"/>
  <c r="CA68" i="4"/>
  <c r="CA51" i="3" s="1"/>
  <c r="CA49" i="3"/>
  <c r="CJ54" i="3"/>
  <c r="CM71" i="4"/>
  <c r="CM54" i="3" s="1"/>
  <c r="CM70" i="4"/>
  <c r="CM52" i="3"/>
  <c r="CM66" i="4"/>
  <c r="CM47" i="3"/>
  <c r="CK66" i="4"/>
  <c r="CK47" i="3"/>
  <c r="CA74" i="4"/>
  <c r="CA57" i="3" s="1"/>
  <c r="CA55" i="3"/>
  <c r="CE68" i="4"/>
  <c r="CE51" i="3" s="1"/>
  <c r="CE49" i="3"/>
  <c r="CE74" i="4"/>
  <c r="CE57" i="3" s="1"/>
  <c r="CE55" i="3"/>
  <c r="CG72" i="4"/>
  <c r="CG53" i="3"/>
  <c r="CG66" i="4"/>
  <c r="CG47" i="3"/>
  <c r="CM67" i="3"/>
  <c r="CD68" i="3"/>
  <c r="CD74" i="4"/>
  <c r="CD57" i="3" s="1"/>
  <c r="CD55" i="3"/>
  <c r="BU74" i="4"/>
  <c r="BU57" i="3" s="1"/>
  <c r="BU55" i="3"/>
  <c r="BF6" i="4"/>
  <c r="BA6" i="4"/>
  <c r="BB6" i="4" s="1"/>
  <c r="BE6" i="4" s="1"/>
  <c r="BY74" i="4"/>
  <c r="BY57" i="3" s="1"/>
  <c r="BY55" i="3"/>
  <c r="CJ72" i="4"/>
  <c r="CJ53" i="3"/>
  <c r="CA74" i="2"/>
  <c r="CA40" i="3" s="1"/>
  <c r="CA38" i="3"/>
  <c r="CJ72" i="2"/>
  <c r="CJ36" i="3"/>
  <c r="CD71" i="3"/>
  <c r="CM64" i="3"/>
  <c r="CE71" i="3"/>
  <c r="CK72" i="2"/>
  <c r="CK36" i="3"/>
  <c r="CM68" i="2"/>
  <c r="CM34" i="3" s="1"/>
  <c r="CM32" i="3"/>
  <c r="CI74" i="2"/>
  <c r="CI40" i="3" s="1"/>
  <c r="CI38" i="3"/>
  <c r="AW5" i="2"/>
  <c r="AY5" i="2"/>
  <c r="CF74" i="2"/>
  <c r="CF40" i="3" s="1"/>
  <c r="CF38" i="3"/>
  <c r="CD74" i="2"/>
  <c r="CD40" i="3" s="1"/>
  <c r="CD38" i="3"/>
  <c r="CG72" i="2"/>
  <c r="CG36" i="3"/>
  <c r="CE74" i="2"/>
  <c r="CE40" i="3" s="1"/>
  <c r="CE38" i="3"/>
  <c r="CL72" i="2"/>
  <c r="CL36" i="3"/>
  <c r="CG68" i="2"/>
  <c r="CG34" i="3" s="1"/>
  <c r="CG32" i="3"/>
  <c r="CG65" i="3"/>
  <c r="BF6" i="2"/>
  <c r="BA6" i="2"/>
  <c r="BB6" i="2" s="1"/>
  <c r="BE6" i="2" s="1"/>
  <c r="CM72" i="2"/>
  <c r="CM36" i="3"/>
  <c r="CL87" i="1"/>
  <c r="CL18" i="3"/>
  <c r="BW12" i="5"/>
  <c r="BZ91" i="1"/>
  <c r="BZ23" i="3" s="1"/>
  <c r="BZ21" i="3"/>
  <c r="CJ70" i="3"/>
  <c r="CJ7" i="5"/>
  <c r="BU94" i="3"/>
  <c r="BT42" i="5"/>
  <c r="BT43" i="5"/>
  <c r="CK87" i="1"/>
  <c r="CK18" i="3"/>
  <c r="BS51" i="5"/>
  <c r="CK85" i="1"/>
  <c r="CK17" i="3" s="1"/>
  <c r="CK15" i="3"/>
  <c r="CF91" i="1"/>
  <c r="CF23" i="3" s="1"/>
  <c r="CF21" i="3"/>
  <c r="CI91" i="1"/>
  <c r="CI23" i="3" s="1"/>
  <c r="CI21" i="3"/>
  <c r="CA19" i="3"/>
  <c r="BZ15" i="5"/>
  <c r="BZ48" i="5"/>
  <c r="BZ14" i="5"/>
  <c r="BZ13" i="5"/>
  <c r="BZ11" i="5"/>
  <c r="BU63" i="5"/>
  <c r="BR51" i="5"/>
  <c r="BU15" i="5"/>
  <c r="BR12" i="5"/>
  <c r="BU13" i="5"/>
  <c r="CC14" i="5"/>
  <c r="CC13" i="5"/>
  <c r="CC15" i="5"/>
  <c r="CC11" i="5"/>
  <c r="CC48" i="5"/>
  <c r="BX7" i="5"/>
  <c r="BX70" i="3"/>
  <c r="BX72" i="3" s="1"/>
  <c r="BX74" i="3" s="1"/>
  <c r="CA69" i="3"/>
  <c r="CJ85" i="1"/>
  <c r="CJ17" i="3" s="1"/>
  <c r="CJ15" i="3"/>
  <c r="CJ89" i="1"/>
  <c r="CJ19" i="3"/>
  <c r="CL85" i="1"/>
  <c r="CL17" i="3" s="1"/>
  <c r="CL15" i="3"/>
  <c r="BW49" i="5"/>
  <c r="BA6" i="1"/>
  <c r="BB6" i="1" s="1"/>
  <c r="BE6" i="1" s="1"/>
  <c r="BF6" i="1"/>
  <c r="BY76" i="5"/>
  <c r="BS10" i="5"/>
  <c r="BS49" i="5"/>
  <c r="CA15" i="3"/>
  <c r="BO94" i="3"/>
  <c r="CK61" i="3"/>
  <c r="CM10" i="3"/>
  <c r="BY91" i="1"/>
  <c r="BY23" i="3" s="1"/>
  <c r="BY21" i="3"/>
  <c r="BT75" i="5"/>
  <c r="BQ75" i="5"/>
  <c r="BU48" i="5"/>
  <c r="BY70" i="3"/>
  <c r="BY72" i="3" s="1"/>
  <c r="BY74" i="3" s="1"/>
  <c r="BY7" i="5"/>
  <c r="CK65" i="3"/>
  <c r="CM14" i="3"/>
  <c r="CL60" i="3"/>
  <c r="CL62" i="3" s="1"/>
  <c r="CL69" i="3"/>
  <c r="BW51" i="5"/>
  <c r="CM8" i="3"/>
  <c r="CE85" i="1"/>
  <c r="CE17" i="3" s="1"/>
  <c r="CG17" i="3" s="1"/>
  <c r="CE15" i="3"/>
  <c r="CG15" i="3" s="1"/>
  <c r="CK69" i="3"/>
  <c r="CK60" i="3"/>
  <c r="CE69" i="3"/>
  <c r="CE60" i="3"/>
  <c r="CE62" i="3" s="1"/>
  <c r="CG59" i="3"/>
  <c r="CA17" i="3"/>
  <c r="BK5" i="1"/>
  <c r="BI5" i="1"/>
  <c r="BR75" i="5"/>
  <c r="BT50" i="5"/>
  <c r="BT38" i="5"/>
  <c r="BT16" i="5"/>
  <c r="CI7" i="5"/>
  <c r="CI70" i="3"/>
  <c r="CI72" i="3" s="1"/>
  <c r="CI74" i="3" s="1"/>
  <c r="CM86" i="1"/>
  <c r="CM87" i="1" s="1"/>
  <c r="CE89" i="1"/>
  <c r="CE19" i="3"/>
  <c r="CG19" i="3" s="1"/>
  <c r="CL79" i="1"/>
  <c r="CL11" i="3" s="1"/>
  <c r="CL9" i="3"/>
  <c r="CD91" i="1"/>
  <c r="CD23" i="3" s="1"/>
  <c r="CD21" i="3"/>
  <c r="CD14" i="5"/>
  <c r="CD15" i="5"/>
  <c r="CD13" i="5"/>
  <c r="CD11" i="5"/>
  <c r="CK79" i="1"/>
  <c r="CK11" i="3" s="1"/>
  <c r="CK9" i="3"/>
  <c r="BS12" i="5"/>
  <c r="CD73" i="3"/>
  <c r="CG67" i="3"/>
  <c r="BU11" i="5"/>
  <c r="BR49" i="5"/>
  <c r="BU61" i="5"/>
  <c r="CG87" i="1"/>
  <c r="CG89" i="1" s="1"/>
  <c r="CG91" i="1" s="1"/>
  <c r="CM90" i="1"/>
  <c r="CM88" i="1"/>
  <c r="CM59" i="3"/>
  <c r="CF14" i="5"/>
  <c r="CF48" i="5"/>
  <c r="CF11" i="5"/>
  <c r="CF13" i="5"/>
  <c r="CF15" i="5"/>
  <c r="CA68" i="3"/>
  <c r="BE5" i="3"/>
  <c r="BC5" i="3"/>
  <c r="BA6" i="3"/>
  <c r="BB6" i="3" s="1"/>
  <c r="BE6" i="3" s="1"/>
  <c r="BF6" i="3"/>
  <c r="AU6" i="5"/>
  <c r="AZ6" i="5"/>
  <c r="BR86" i="5"/>
  <c r="AV86" i="5"/>
  <c r="BF86" i="5"/>
  <c r="BE5" i="5"/>
  <c r="BC5" i="5"/>
  <c r="AC86" i="5"/>
  <c r="W86" i="5"/>
  <c r="AD86" i="5"/>
  <c r="X86" i="5"/>
  <c r="BK86" i="5"/>
  <c r="AA86" i="5"/>
  <c r="U86" i="5"/>
  <c r="AH86" i="5"/>
  <c r="AB86" i="5"/>
  <c r="V86" i="5"/>
  <c r="AZ86" i="5"/>
  <c r="AU86" i="5"/>
  <c r="BM86" i="5"/>
  <c r="AT86" i="5"/>
  <c r="BT86" i="5"/>
  <c r="BA86" i="5"/>
  <c r="BL86" i="5"/>
  <c r="BB86" i="5"/>
  <c r="AI86" i="5"/>
  <c r="CD48" i="5" l="1"/>
  <c r="BR17" i="5"/>
  <c r="CK66" i="3"/>
  <c r="CK68" i="3" s="1"/>
  <c r="BS23" i="7"/>
  <c r="BT114" i="5"/>
  <c r="BS79" i="5"/>
  <c r="BY80" i="5" s="1"/>
  <c r="BR113" i="7"/>
  <c r="F59" i="7"/>
  <c r="M59" i="7"/>
  <c r="BC63" i="7"/>
  <c r="I59" i="7"/>
  <c r="J112" i="6"/>
  <c r="K101" i="6"/>
  <c r="K104" i="6" s="1"/>
  <c r="BW127" i="6"/>
  <c r="BW22" i="6" s="1"/>
  <c r="BW147" i="6"/>
  <c r="CA147" i="6" s="1"/>
  <c r="BT157" i="6"/>
  <c r="BT158" i="6" s="1"/>
  <c r="CD48" i="6"/>
  <c r="CD50" i="6"/>
  <c r="BU13" i="7"/>
  <c r="BT11" i="7"/>
  <c r="CD39" i="6"/>
  <c r="CE49" i="6"/>
  <c r="CD26" i="6"/>
  <c r="BU141" i="6"/>
  <c r="BW114" i="6"/>
  <c r="BW19" i="6" s="1"/>
  <c r="CD25" i="6"/>
  <c r="CD40" i="6"/>
  <c r="CD9" i="6"/>
  <c r="BW128" i="6"/>
  <c r="CD21" i="6"/>
  <c r="CD41" i="6"/>
  <c r="CA21" i="3"/>
  <c r="BZ96" i="6"/>
  <c r="BZ99" i="6" s="1"/>
  <c r="BY20" i="6"/>
  <c r="CM15" i="3"/>
  <c r="CG66" i="3"/>
  <c r="CM18" i="3"/>
  <c r="CG73" i="3"/>
  <c r="CM17" i="3"/>
  <c r="CA23" i="3"/>
  <c r="BC59" i="5"/>
  <c r="BC5" i="6"/>
  <c r="BC5" i="7"/>
  <c r="AZ6" i="7"/>
  <c r="AZ6" i="6"/>
  <c r="AV6" i="5"/>
  <c r="AU6" i="6"/>
  <c r="AU6" i="7"/>
  <c r="AM6" i="6"/>
  <c r="AM6" i="7"/>
  <c r="AS6" i="5"/>
  <c r="AP6" i="6"/>
  <c r="AP6" i="7"/>
  <c r="BE5" i="6"/>
  <c r="BE5" i="7"/>
  <c r="CD72" i="3"/>
  <c r="CD74" i="3" s="1"/>
  <c r="BT53" i="5"/>
  <c r="CG60" i="3"/>
  <c r="CG62" i="3" s="1"/>
  <c r="CM69" i="3"/>
  <c r="CA70" i="3"/>
  <c r="CA72" i="3" s="1"/>
  <c r="CJ72" i="3"/>
  <c r="CJ74" i="3" s="1"/>
  <c r="BW17" i="5"/>
  <c r="BW53" i="5" s="1"/>
  <c r="CC10" i="5"/>
  <c r="BU40" i="5"/>
  <c r="BY74" i="7"/>
  <c r="BY16" i="7" s="1"/>
  <c r="BY10" i="6"/>
  <c r="BY111" i="6"/>
  <c r="BS31" i="6"/>
  <c r="BS12" i="6"/>
  <c r="CJ74" i="7"/>
  <c r="CJ16" i="7" s="1"/>
  <c r="CJ10" i="6"/>
  <c r="CJ111" i="6"/>
  <c r="BR12" i="6"/>
  <c r="BR31" i="6"/>
  <c r="BU31" i="6"/>
  <c r="BT36" i="6"/>
  <c r="CD20" i="7"/>
  <c r="CI74" i="7"/>
  <c r="CI111" i="6"/>
  <c r="CI10" i="6"/>
  <c r="BR79" i="5"/>
  <c r="BX80" i="5" s="1"/>
  <c r="BU20" i="7"/>
  <c r="BT16" i="6"/>
  <c r="CA10" i="6"/>
  <c r="CC20" i="7"/>
  <c r="BR46" i="6"/>
  <c r="BU16" i="7"/>
  <c r="CF10" i="5"/>
  <c r="BT52" i="5"/>
  <c r="BX74" i="7"/>
  <c r="BX10" i="6"/>
  <c r="BX111" i="6"/>
  <c r="BW12" i="6"/>
  <c r="BW31" i="6"/>
  <c r="CI20" i="7"/>
  <c r="CG10" i="6"/>
  <c r="CC16" i="7"/>
  <c r="BU86" i="6"/>
  <c r="BU12" i="6"/>
  <c r="BY42" i="7"/>
  <c r="BY57" i="6"/>
  <c r="CD105" i="7"/>
  <c r="CD95" i="7"/>
  <c r="CD94" i="7" s="1"/>
  <c r="CD90" i="7" s="1"/>
  <c r="CD88" i="7" s="1"/>
  <c r="CE65" i="7"/>
  <c r="CE101" i="7"/>
  <c r="CD114" i="7"/>
  <c r="CD107" i="7"/>
  <c r="BX85" i="7"/>
  <c r="BW122" i="5"/>
  <c r="BW78" i="7"/>
  <c r="BW119" i="5"/>
  <c r="BS98" i="7"/>
  <c r="BS99" i="7" s="1"/>
  <c r="BS48" i="7"/>
  <c r="BS109" i="7"/>
  <c r="CC90" i="7"/>
  <c r="BT79" i="7"/>
  <c r="BT113" i="7" s="1"/>
  <c r="BT46" i="7"/>
  <c r="BT68" i="7"/>
  <c r="BU68" i="7" s="1"/>
  <c r="BU79" i="7"/>
  <c r="BR98" i="7"/>
  <c r="BR99" i="7" s="1"/>
  <c r="BU46" i="7"/>
  <c r="BR48" i="7"/>
  <c r="BU78" i="7"/>
  <c r="BT154" i="6"/>
  <c r="BU24" i="6"/>
  <c r="BW136" i="6"/>
  <c r="BW140" i="6" s="1"/>
  <c r="BW23" i="6" s="1"/>
  <c r="BW148" i="6"/>
  <c r="BW13" i="7" s="1"/>
  <c r="BW145" i="6"/>
  <c r="CA143" i="6"/>
  <c r="CE92" i="6"/>
  <c r="CE95" i="6" s="1"/>
  <c r="CD11" i="6"/>
  <c r="BX119" i="6"/>
  <c r="BX122" i="6"/>
  <c r="BX14" i="7" s="1"/>
  <c r="CD44" i="6"/>
  <c r="BX104" i="6"/>
  <c r="BX107" i="6"/>
  <c r="BX12" i="7" s="1"/>
  <c r="BX130" i="6"/>
  <c r="BU157" i="6"/>
  <c r="BU158" i="6" s="1"/>
  <c r="CA132" i="6"/>
  <c r="BW115" i="6"/>
  <c r="CJ74" i="4"/>
  <c r="CJ57" i="3" s="1"/>
  <c r="CJ55" i="3"/>
  <c r="BG6" i="4"/>
  <c r="BH6" i="4" s="1"/>
  <c r="BK6" i="4" s="1"/>
  <c r="BL6" i="4"/>
  <c r="CG68" i="4"/>
  <c r="CG51" i="3" s="1"/>
  <c r="CG49" i="3"/>
  <c r="CM68" i="4"/>
  <c r="CM51" i="3" s="1"/>
  <c r="CM49" i="3"/>
  <c r="CK74" i="4"/>
  <c r="CK57" i="3" s="1"/>
  <c r="CK55" i="3"/>
  <c r="CL74" i="4"/>
  <c r="CL57" i="3" s="1"/>
  <c r="CL55" i="3"/>
  <c r="BW5" i="4"/>
  <c r="BU5" i="4"/>
  <c r="CM60" i="3"/>
  <c r="CG74" i="4"/>
  <c r="CG57" i="3" s="1"/>
  <c r="CG55" i="3"/>
  <c r="CK68" i="4"/>
  <c r="CK51" i="3" s="1"/>
  <c r="CK49" i="3"/>
  <c r="CM72" i="4"/>
  <c r="CM53" i="3"/>
  <c r="BL6" i="2"/>
  <c r="BG6" i="2"/>
  <c r="BH6" i="2" s="1"/>
  <c r="BK6" i="2" s="1"/>
  <c r="CL74" i="2"/>
  <c r="CL40" i="3" s="1"/>
  <c r="CL38" i="3"/>
  <c r="CG74" i="2"/>
  <c r="CG40" i="3" s="1"/>
  <c r="CG38" i="3"/>
  <c r="CK74" i="2"/>
  <c r="CK40" i="3" s="1"/>
  <c r="CK38" i="3"/>
  <c r="CM74" i="2"/>
  <c r="CM40" i="3" s="1"/>
  <c r="CM38" i="3"/>
  <c r="BC5" i="2"/>
  <c r="BE5" i="2"/>
  <c r="CJ74" i="2"/>
  <c r="CJ40" i="3" s="1"/>
  <c r="CJ38" i="3"/>
  <c r="CF12" i="5"/>
  <c r="BR53" i="5"/>
  <c r="CM11" i="3"/>
  <c r="CD12" i="5"/>
  <c r="CM89" i="1"/>
  <c r="CM91" i="1" s="1"/>
  <c r="CK7" i="5"/>
  <c r="CK70" i="3"/>
  <c r="CL70" i="3"/>
  <c r="CL72" i="3" s="1"/>
  <c r="CL74" i="3" s="1"/>
  <c r="CL7" i="5"/>
  <c r="BY14" i="5"/>
  <c r="BY15" i="5"/>
  <c r="BY13" i="5"/>
  <c r="BY48" i="5"/>
  <c r="BY11" i="5"/>
  <c r="BW76" i="5"/>
  <c r="CC51" i="5"/>
  <c r="BU41" i="5"/>
  <c r="BU51" i="5"/>
  <c r="BQ81" i="5"/>
  <c r="BT81" i="5"/>
  <c r="BS38" i="5"/>
  <c r="BS50" i="5"/>
  <c r="BS16" i="5"/>
  <c r="BZ76" i="5"/>
  <c r="CK73" i="3"/>
  <c r="CM61" i="3"/>
  <c r="BG6" i="1"/>
  <c r="BH6" i="1" s="1"/>
  <c r="BK6" i="1" s="1"/>
  <c r="BL6" i="1"/>
  <c r="BT79" i="5"/>
  <c r="BQ79" i="5"/>
  <c r="BU39" i="5"/>
  <c r="BZ49" i="5"/>
  <c r="BZ51" i="5"/>
  <c r="CK89" i="1"/>
  <c r="CK19" i="3"/>
  <c r="CJ11" i="5"/>
  <c r="CJ14" i="5"/>
  <c r="CJ13" i="5"/>
  <c r="CJ48" i="5"/>
  <c r="CJ15" i="5"/>
  <c r="CL89" i="1"/>
  <c r="CL19" i="3"/>
  <c r="CF49" i="5"/>
  <c r="BQ77" i="5"/>
  <c r="BU37" i="5"/>
  <c r="BT77" i="5"/>
  <c r="BU49" i="5"/>
  <c r="CG68" i="3"/>
  <c r="BQ5" i="1"/>
  <c r="BO5" i="1"/>
  <c r="CE70" i="3"/>
  <c r="CE72" i="3" s="1"/>
  <c r="CE74" i="3" s="1"/>
  <c r="CE7" i="5"/>
  <c r="CG69" i="3"/>
  <c r="BU10" i="5"/>
  <c r="BS77" i="5"/>
  <c r="CJ91" i="1"/>
  <c r="CJ23" i="3" s="1"/>
  <c r="CJ21" i="3"/>
  <c r="CC12" i="5"/>
  <c r="BU12" i="5"/>
  <c r="BU62" i="5"/>
  <c r="BR16" i="5"/>
  <c r="BR50" i="5"/>
  <c r="BR38" i="5"/>
  <c r="BZ12" i="5"/>
  <c r="BS81" i="5"/>
  <c r="CF51" i="5"/>
  <c r="BR77" i="5"/>
  <c r="CM9" i="3"/>
  <c r="CD10" i="5"/>
  <c r="CE91" i="1"/>
  <c r="CE23" i="3" s="1"/>
  <c r="CG23" i="3" s="1"/>
  <c r="CE21" i="3"/>
  <c r="CG21" i="3" s="1"/>
  <c r="CI48" i="5"/>
  <c r="CI11" i="5"/>
  <c r="CI13" i="5"/>
  <c r="CI15" i="5"/>
  <c r="CI14" i="5"/>
  <c r="BX76" i="5"/>
  <c r="CK62" i="3"/>
  <c r="CK71" i="3"/>
  <c r="CM65" i="3"/>
  <c r="CM66" i="3" s="1"/>
  <c r="CM68" i="3" s="1"/>
  <c r="BS17" i="5"/>
  <c r="BX48" i="5"/>
  <c r="BX13" i="5"/>
  <c r="BX15" i="5"/>
  <c r="CA60" i="5"/>
  <c r="BX14" i="5"/>
  <c r="BX11" i="5"/>
  <c r="CA7" i="5"/>
  <c r="CC49" i="5"/>
  <c r="BR81" i="5"/>
  <c r="BZ10" i="5"/>
  <c r="BW50" i="5"/>
  <c r="BW16" i="5"/>
  <c r="BW38" i="5"/>
  <c r="CG71" i="3"/>
  <c r="BG6" i="3"/>
  <c r="BH6" i="3" s="1"/>
  <c r="BK6" i="3" s="1"/>
  <c r="BL6" i="3"/>
  <c r="BK5" i="3"/>
  <c r="BI5" i="3"/>
  <c r="BK5" i="5"/>
  <c r="BI5" i="5"/>
  <c r="BF6" i="5"/>
  <c r="BA6" i="5"/>
  <c r="BR114" i="5" l="1"/>
  <c r="BT24" i="7"/>
  <c r="CC12" i="6"/>
  <c r="BR42" i="5"/>
  <c r="CC41" i="7"/>
  <c r="BR43" i="5"/>
  <c r="BT23" i="7"/>
  <c r="BW114" i="5"/>
  <c r="BW42" i="5"/>
  <c r="J58" i="7"/>
  <c r="L101" i="6"/>
  <c r="L104" i="6" s="1"/>
  <c r="K112" i="6"/>
  <c r="BC64" i="7"/>
  <c r="S58" i="7"/>
  <c r="O58" i="7"/>
  <c r="BX109" i="6"/>
  <c r="BY106" i="6" s="1"/>
  <c r="BW11" i="7"/>
  <c r="CF49" i="6"/>
  <c r="BU11" i="7"/>
  <c r="CE48" i="6"/>
  <c r="CE41" i="6"/>
  <c r="CE9" i="6"/>
  <c r="CE21" i="6"/>
  <c r="CE40" i="6"/>
  <c r="CE39" i="6"/>
  <c r="CE25" i="6"/>
  <c r="CE50" i="6"/>
  <c r="BW141" i="6"/>
  <c r="CE26" i="6"/>
  <c r="CM19" i="3"/>
  <c r="CC96" i="6"/>
  <c r="BZ20" i="6"/>
  <c r="CF17" i="5"/>
  <c r="BW43" i="5"/>
  <c r="BK5" i="6"/>
  <c r="BK5" i="7"/>
  <c r="BB6" i="5"/>
  <c r="BA6" i="6"/>
  <c r="BA6" i="7"/>
  <c r="AY6" i="5"/>
  <c r="AV6" i="6"/>
  <c r="AV6" i="7"/>
  <c r="AS6" i="6"/>
  <c r="AS6" i="7"/>
  <c r="BF6" i="7"/>
  <c r="BF6" i="6"/>
  <c r="BI59" i="5"/>
  <c r="BI5" i="7"/>
  <c r="BI5" i="6"/>
  <c r="CM71" i="3"/>
  <c r="CG70" i="3"/>
  <c r="CA74" i="3"/>
  <c r="CC31" i="6"/>
  <c r="BT65" i="6"/>
  <c r="CM7" i="5"/>
  <c r="BW52" i="5"/>
  <c r="CD12" i="6"/>
  <c r="CD31" i="6"/>
  <c r="BZ31" i="6"/>
  <c r="BZ12" i="6"/>
  <c r="BZ17" i="5"/>
  <c r="CK74" i="7"/>
  <c r="CK16" i="7" s="1"/>
  <c r="CK10" i="6"/>
  <c r="CK111" i="6"/>
  <c r="BY20" i="7"/>
  <c r="BX20" i="7"/>
  <c r="BR24" i="7"/>
  <c r="BR36" i="6"/>
  <c r="BT21" i="7"/>
  <c r="BS65" i="6"/>
  <c r="BU65" i="5"/>
  <c r="BS52" i="5"/>
  <c r="CA111" i="6"/>
  <c r="CI10" i="5"/>
  <c r="BX10" i="5"/>
  <c r="CE74" i="7"/>
  <c r="CE10" i="6"/>
  <c r="CE111" i="6"/>
  <c r="CL74" i="7"/>
  <c r="CL16" i="7" s="1"/>
  <c r="CL111" i="6"/>
  <c r="CL10" i="6"/>
  <c r="CA14" i="5"/>
  <c r="CJ10" i="5"/>
  <c r="BU83" i="6"/>
  <c r="BU23" i="7"/>
  <c r="BW24" i="7"/>
  <c r="BW36" i="6"/>
  <c r="BX16" i="7"/>
  <c r="CA74" i="7"/>
  <c r="CA75" i="7" s="1"/>
  <c r="CA81" i="6"/>
  <c r="BU16" i="6"/>
  <c r="BW16" i="6"/>
  <c r="CJ20" i="7"/>
  <c r="BS21" i="7"/>
  <c r="BR21" i="7"/>
  <c r="BR65" i="6"/>
  <c r="BS24" i="7"/>
  <c r="BS36" i="6"/>
  <c r="BZ20" i="7"/>
  <c r="CD17" i="5"/>
  <c r="CF31" i="6"/>
  <c r="CF12" i="6"/>
  <c r="BS46" i="6"/>
  <c r="BU36" i="6"/>
  <c r="BT42" i="6"/>
  <c r="CK20" i="7"/>
  <c r="CC17" i="5"/>
  <c r="BY10" i="5"/>
  <c r="BW21" i="7"/>
  <c r="CI16" i="7"/>
  <c r="BU82" i="6"/>
  <c r="BU87" i="6" s="1"/>
  <c r="CD41" i="7"/>
  <c r="CA30" i="6"/>
  <c r="BZ41" i="7"/>
  <c r="BT109" i="7"/>
  <c r="BW113" i="7"/>
  <c r="BW79" i="7"/>
  <c r="BW109" i="7" s="1"/>
  <c r="BW68" i="7"/>
  <c r="BW46" i="7"/>
  <c r="BU98" i="7"/>
  <c r="BU99" i="7" s="1"/>
  <c r="BU48" i="7"/>
  <c r="BT98" i="7"/>
  <c r="BT99" i="7" s="1"/>
  <c r="BT48" i="7"/>
  <c r="CE105" i="7"/>
  <c r="CE95" i="7"/>
  <c r="CE94" i="7" s="1"/>
  <c r="CF65" i="7"/>
  <c r="CC88" i="7"/>
  <c r="BU82" i="7"/>
  <c r="BY85" i="7"/>
  <c r="BX122" i="5"/>
  <c r="BX86" i="7"/>
  <c r="CE114" i="7"/>
  <c r="BY101" i="6"/>
  <c r="BX114" i="6"/>
  <c r="BX19" i="6" s="1"/>
  <c r="CA145" i="6"/>
  <c r="CA156" i="6" s="1"/>
  <c r="BX134" i="6"/>
  <c r="BU154" i="6"/>
  <c r="BX143" i="6"/>
  <c r="BX123" i="6"/>
  <c r="BY121" i="6" s="1"/>
  <c r="CF92" i="6"/>
  <c r="CF95" i="6" s="1"/>
  <c r="CE11" i="6"/>
  <c r="BW149" i="6"/>
  <c r="BX147" i="6" s="1"/>
  <c r="BX132" i="6"/>
  <c r="BX135" i="6"/>
  <c r="BW156" i="6"/>
  <c r="BY117" i="6"/>
  <c r="CM74" i="4"/>
  <c r="CM57" i="3" s="1"/>
  <c r="CM55" i="3"/>
  <c r="BM6" i="4"/>
  <c r="BN6" i="4" s="1"/>
  <c r="BQ6" i="4" s="1"/>
  <c r="BR6" i="4"/>
  <c r="CM62" i="3"/>
  <c r="CA5" i="4"/>
  <c r="CC5" i="4"/>
  <c r="BK5" i="2"/>
  <c r="BI5" i="2"/>
  <c r="BM6" i="2"/>
  <c r="BN6" i="2" s="1"/>
  <c r="BQ6" i="2" s="1"/>
  <c r="BR6" i="2"/>
  <c r="BX12" i="5"/>
  <c r="CA13" i="5"/>
  <c r="BX82" i="5"/>
  <c r="CA63" i="5"/>
  <c r="BX51" i="5"/>
  <c r="CA15" i="5"/>
  <c r="CI51" i="5"/>
  <c r="BX78" i="5"/>
  <c r="BR52" i="5"/>
  <c r="BU64" i="5"/>
  <c r="BY78" i="5"/>
  <c r="CL91" i="1"/>
  <c r="CL23" i="3" s="1"/>
  <c r="CL21" i="3"/>
  <c r="BW80" i="5"/>
  <c r="BZ82" i="5"/>
  <c r="CK72" i="3"/>
  <c r="CK74" i="3" s="1"/>
  <c r="CD38" i="5"/>
  <c r="CD16" i="5"/>
  <c r="BZ78" i="5"/>
  <c r="CK91" i="1"/>
  <c r="CK23" i="3" s="1"/>
  <c r="CM23" i="3" s="1"/>
  <c r="CK21" i="3"/>
  <c r="CM21" i="3" s="1"/>
  <c r="BZ80" i="5"/>
  <c r="BW82" i="5"/>
  <c r="BY12" i="5"/>
  <c r="CL15" i="5"/>
  <c r="CL14" i="5"/>
  <c r="CL11" i="5"/>
  <c r="CL13" i="5"/>
  <c r="CL48" i="5"/>
  <c r="CL75" i="5"/>
  <c r="CK15" i="5"/>
  <c r="CK11" i="5"/>
  <c r="CK13" i="5"/>
  <c r="CK14" i="5"/>
  <c r="CK48" i="5"/>
  <c r="CD51" i="5"/>
  <c r="BZ38" i="5"/>
  <c r="BZ16" i="5"/>
  <c r="BZ50" i="5"/>
  <c r="CA48" i="5"/>
  <c r="BW75" i="5"/>
  <c r="BZ75" i="5"/>
  <c r="BU17" i="5"/>
  <c r="BS43" i="5"/>
  <c r="BS114" i="5"/>
  <c r="BS42" i="5"/>
  <c r="BS53" i="5"/>
  <c r="CI49" i="5"/>
  <c r="BU50" i="5"/>
  <c r="BU38" i="5"/>
  <c r="BU16" i="5"/>
  <c r="CG72" i="3"/>
  <c r="BW5" i="1"/>
  <c r="BU5" i="1"/>
  <c r="CM73" i="3"/>
  <c r="CM70" i="3"/>
  <c r="BY75" i="5"/>
  <c r="CF50" i="5"/>
  <c r="CF38" i="5"/>
  <c r="CF16" i="5"/>
  <c r="BX49" i="5"/>
  <c r="CA61" i="5"/>
  <c r="CA11" i="5"/>
  <c r="CI12" i="5"/>
  <c r="CD49" i="5"/>
  <c r="CJ12" i="5"/>
  <c r="BX75" i="5"/>
  <c r="BY82" i="5"/>
  <c r="CC50" i="5"/>
  <c r="CC16" i="5"/>
  <c r="CC38" i="5"/>
  <c r="CE11" i="5"/>
  <c r="CE14" i="5"/>
  <c r="CE13" i="5"/>
  <c r="CE15" i="5"/>
  <c r="CE48" i="5"/>
  <c r="CG7" i="5"/>
  <c r="CG60" i="5"/>
  <c r="BW78" i="5"/>
  <c r="CJ51" i="5"/>
  <c r="CJ49" i="5"/>
  <c r="BM6" i="1"/>
  <c r="BN6" i="1" s="1"/>
  <c r="BQ6" i="1" s="1"/>
  <c r="BR6" i="1"/>
  <c r="BY49" i="5"/>
  <c r="BY51" i="5"/>
  <c r="BQ5" i="3"/>
  <c r="BO5" i="3"/>
  <c r="BM6" i="3"/>
  <c r="BN6" i="3" s="1"/>
  <c r="BQ6" i="3" s="1"/>
  <c r="BR6" i="3"/>
  <c r="BQ5" i="5"/>
  <c r="BO5" i="5"/>
  <c r="BG6" i="5"/>
  <c r="BL6" i="5"/>
  <c r="BZ43" i="5" l="1"/>
  <c r="BY81" i="5"/>
  <c r="CD36" i="6"/>
  <c r="CD21" i="7"/>
  <c r="CA40" i="5"/>
  <c r="CF42" i="5"/>
  <c r="BW23" i="7"/>
  <c r="CC36" i="6"/>
  <c r="CG65" i="7"/>
  <c r="S59" i="7"/>
  <c r="O101" i="6"/>
  <c r="L112" i="6"/>
  <c r="J59" i="7"/>
  <c r="BX127" i="6"/>
  <c r="BX22" i="6" s="1"/>
  <c r="BZ57" i="6"/>
  <c r="BW153" i="6"/>
  <c r="BW24" i="6" s="1"/>
  <c r="CF39" i="6"/>
  <c r="CF26" i="6"/>
  <c r="CF50" i="6"/>
  <c r="CF21" i="6"/>
  <c r="CF41" i="6"/>
  <c r="BX128" i="6"/>
  <c r="CF25" i="6"/>
  <c r="CF40" i="6"/>
  <c r="CF9" i="6"/>
  <c r="CF48" i="6"/>
  <c r="CG49" i="6"/>
  <c r="CI49" i="6"/>
  <c r="CC99" i="6"/>
  <c r="CG96" i="6"/>
  <c r="CG99" i="6" s="1"/>
  <c r="CA20" i="6"/>
  <c r="CM72" i="3"/>
  <c r="BU65" i="6"/>
  <c r="CF114" i="5"/>
  <c r="BZ53" i="5"/>
  <c r="CC114" i="5"/>
  <c r="BQ5" i="6"/>
  <c r="BQ5" i="7"/>
  <c r="BH6" i="5"/>
  <c r="BG6" i="6"/>
  <c r="BG6" i="7"/>
  <c r="CC24" i="7"/>
  <c r="AY6" i="6"/>
  <c r="AY6" i="7"/>
  <c r="BO59" i="5"/>
  <c r="BO5" i="6"/>
  <c r="BO5" i="7"/>
  <c r="BL6" i="7"/>
  <c r="BL6" i="6"/>
  <c r="BE6" i="5"/>
  <c r="BB6" i="6"/>
  <c r="BB6" i="7"/>
  <c r="CG74" i="3"/>
  <c r="CC53" i="5"/>
  <c r="BZ36" i="6"/>
  <c r="CM111" i="6"/>
  <c r="CJ75" i="5"/>
  <c r="CI75" i="5"/>
  <c r="CK75" i="5"/>
  <c r="CD42" i="5"/>
  <c r="CC42" i="5"/>
  <c r="CF43" i="5"/>
  <c r="BZ42" i="5"/>
  <c r="BZ114" i="5"/>
  <c r="CC43" i="5"/>
  <c r="CF53" i="5"/>
  <c r="CF52" i="5"/>
  <c r="CL10" i="5"/>
  <c r="BY31" i="6"/>
  <c r="BY12" i="6"/>
  <c r="CA16" i="7"/>
  <c r="CJ31" i="6"/>
  <c r="CJ12" i="6"/>
  <c r="CF20" i="7"/>
  <c r="CE20" i="7"/>
  <c r="CA31" i="6"/>
  <c r="CA10" i="5"/>
  <c r="BZ52" i="5"/>
  <c r="BY17" i="5"/>
  <c r="CC52" i="5"/>
  <c r="CM16" i="7"/>
  <c r="BU42" i="6"/>
  <c r="CG12" i="6"/>
  <c r="BX16" i="6"/>
  <c r="CA86" i="6"/>
  <c r="BW42" i="6"/>
  <c r="CM10" i="6"/>
  <c r="CE16" i="7"/>
  <c r="CG74" i="7"/>
  <c r="CG75" i="7" s="1"/>
  <c r="CI31" i="6"/>
  <c r="CI12" i="6"/>
  <c r="BR42" i="6"/>
  <c r="CA20" i="7"/>
  <c r="CD24" i="7"/>
  <c r="CK10" i="5"/>
  <c r="BU52" i="5"/>
  <c r="CM14" i="5"/>
  <c r="CJ17" i="5"/>
  <c r="CE75" i="5"/>
  <c r="CK76" i="5" s="1"/>
  <c r="CG111" i="6"/>
  <c r="CG14" i="5"/>
  <c r="CM13" i="5"/>
  <c r="BY79" i="5"/>
  <c r="CE80" i="5" s="1"/>
  <c r="CM74" i="7"/>
  <c r="CM75" i="7" s="1"/>
  <c r="BW19" i="7"/>
  <c r="CG31" i="6"/>
  <c r="CG81" i="6"/>
  <c r="BS42" i="6"/>
  <c r="BU21" i="7"/>
  <c r="BR19" i="7"/>
  <c r="BU88" i="6"/>
  <c r="BU84" i="6"/>
  <c r="BU24" i="7"/>
  <c r="BX17" i="5"/>
  <c r="BT46" i="6"/>
  <c r="BS19" i="7"/>
  <c r="BX31" i="6"/>
  <c r="BX12" i="6"/>
  <c r="BT19" i="7"/>
  <c r="CL20" i="7"/>
  <c r="CA12" i="6"/>
  <c r="CC21" i="7"/>
  <c r="CE41" i="7"/>
  <c r="CA38" i="6"/>
  <c r="BZ42" i="7"/>
  <c r="CC42" i="7"/>
  <c r="CC57" i="6"/>
  <c r="CA57" i="6"/>
  <c r="CA41" i="7"/>
  <c r="BZ85" i="7"/>
  <c r="BZ86" i="7" s="1"/>
  <c r="BY122" i="5"/>
  <c r="BX78" i="7"/>
  <c r="BX119" i="5"/>
  <c r="BY86" i="7"/>
  <c r="CF95" i="7"/>
  <c r="CF94" i="7" s="1"/>
  <c r="CF90" i="7" s="1"/>
  <c r="CF88" i="7" s="1"/>
  <c r="CI65" i="7"/>
  <c r="CE89" i="7"/>
  <c r="CE45" i="6"/>
  <c r="CE90" i="7"/>
  <c r="CG90" i="7" s="1"/>
  <c r="CG94" i="7"/>
  <c r="CG95" i="7" s="1"/>
  <c r="BW98" i="7"/>
  <c r="BW99" i="7" s="1"/>
  <c r="BW48" i="7"/>
  <c r="BX136" i="6"/>
  <c r="BX140" i="6" s="1"/>
  <c r="BX23" i="6" s="1"/>
  <c r="BY122" i="6"/>
  <c r="BY14" i="7" s="1"/>
  <c r="BY119" i="6"/>
  <c r="BY130" i="6"/>
  <c r="BW157" i="6"/>
  <c r="BW158" i="6" s="1"/>
  <c r="BX115" i="6"/>
  <c r="CI92" i="6"/>
  <c r="CF11" i="6"/>
  <c r="BY107" i="6"/>
  <c r="BY12" i="7" s="1"/>
  <c r="BY104" i="6"/>
  <c r="BX148" i="6"/>
  <c r="BX13" i="7" s="1"/>
  <c r="BX145" i="6"/>
  <c r="BX6" i="4"/>
  <c r="BS6" i="4"/>
  <c r="BT6" i="4" s="1"/>
  <c r="BW6" i="4" s="1"/>
  <c r="CG5" i="4"/>
  <c r="CI5" i="4"/>
  <c r="CM5" i="4" s="1"/>
  <c r="CK12" i="5"/>
  <c r="CD50" i="5"/>
  <c r="CM15" i="5"/>
  <c r="BO5" i="2"/>
  <c r="BQ5" i="2"/>
  <c r="CM74" i="3"/>
  <c r="BS6" i="2"/>
  <c r="BT6" i="2" s="1"/>
  <c r="BW6" i="2" s="1"/>
  <c r="BX6" i="2"/>
  <c r="CE12" i="5"/>
  <c r="CG13" i="5"/>
  <c r="CE82" i="5"/>
  <c r="CJ38" i="5"/>
  <c r="CJ16" i="5"/>
  <c r="CJ50" i="5"/>
  <c r="CI50" i="5"/>
  <c r="CI38" i="5"/>
  <c r="CI16" i="5"/>
  <c r="CM11" i="5"/>
  <c r="BQ83" i="5"/>
  <c r="BU53" i="5"/>
  <c r="BU43" i="5"/>
  <c r="BU42" i="5"/>
  <c r="BU114" i="5"/>
  <c r="BT83" i="5"/>
  <c r="BR83" i="5"/>
  <c r="CA37" i="5"/>
  <c r="CA49" i="5"/>
  <c r="BW77" i="5"/>
  <c r="BZ77" i="5"/>
  <c r="CE76" i="5"/>
  <c r="CK49" i="5"/>
  <c r="CL51" i="5"/>
  <c r="CA39" i="5"/>
  <c r="BW79" i="5"/>
  <c r="BZ79" i="5"/>
  <c r="BS6" i="1"/>
  <c r="BT6" i="1" s="1"/>
  <c r="BW6" i="1" s="1"/>
  <c r="BX6" i="1"/>
  <c r="CD76" i="5"/>
  <c r="BX77" i="5"/>
  <c r="CC5" i="1"/>
  <c r="CA5" i="1"/>
  <c r="BS83" i="5"/>
  <c r="CF76" i="5"/>
  <c r="CK51" i="5"/>
  <c r="CL12" i="5"/>
  <c r="BW81" i="5"/>
  <c r="CA41" i="5"/>
  <c r="CA51" i="5"/>
  <c r="BZ81" i="5"/>
  <c r="BX79" i="5"/>
  <c r="CJ42" i="5"/>
  <c r="CG48" i="5"/>
  <c r="CD75" i="5"/>
  <c r="CJ76" i="5" s="1"/>
  <c r="CF75" i="5"/>
  <c r="CL76" i="5" s="1"/>
  <c r="CC75" i="5"/>
  <c r="CI76" i="5" s="1"/>
  <c r="BY77" i="5"/>
  <c r="CE51" i="5"/>
  <c r="CG15" i="5"/>
  <c r="CG63" i="5"/>
  <c r="CE10" i="5"/>
  <c r="CE49" i="5"/>
  <c r="CG61" i="5"/>
  <c r="CG11" i="5"/>
  <c r="CM39" i="5"/>
  <c r="CI17" i="5"/>
  <c r="CM48" i="5"/>
  <c r="CC76" i="5"/>
  <c r="CL49" i="5"/>
  <c r="BY38" i="5"/>
  <c r="BY16" i="5"/>
  <c r="BY50" i="5"/>
  <c r="BX81" i="5"/>
  <c r="BX16" i="5"/>
  <c r="CA62" i="5"/>
  <c r="BX50" i="5"/>
  <c r="BX38" i="5"/>
  <c r="CA12" i="5"/>
  <c r="BS6" i="3"/>
  <c r="BT6" i="3" s="1"/>
  <c r="BW6" i="3" s="1"/>
  <c r="BX6" i="3"/>
  <c r="BW5" i="3"/>
  <c r="BU5" i="3"/>
  <c r="BR6" i="5"/>
  <c r="BM6" i="5"/>
  <c r="BW5" i="5"/>
  <c r="BU5" i="5"/>
  <c r="CI21" i="7" l="1"/>
  <c r="CC42" i="6"/>
  <c r="BX23" i="7"/>
  <c r="CJ81" i="5"/>
  <c r="BY42" i="5"/>
  <c r="CE81" i="5"/>
  <c r="CK82" i="5" s="1"/>
  <c r="CL77" i="5"/>
  <c r="BX53" i="5"/>
  <c r="CI79" i="5"/>
  <c r="BZ24" i="7"/>
  <c r="S101" i="6"/>
  <c r="S104" i="6" s="1"/>
  <c r="S112" i="6" s="1"/>
  <c r="O104" i="6"/>
  <c r="CA86" i="7"/>
  <c r="CA119" i="5" s="1"/>
  <c r="Y58" i="7"/>
  <c r="U58" i="7"/>
  <c r="K58" i="7"/>
  <c r="BW154" i="6"/>
  <c r="BW65" i="6"/>
  <c r="BY123" i="6"/>
  <c r="BZ121" i="6" s="1"/>
  <c r="BX141" i="6"/>
  <c r="BX11" i="7"/>
  <c r="BX149" i="6"/>
  <c r="BY147" i="6" s="1"/>
  <c r="CI21" i="6"/>
  <c r="CG21" i="6"/>
  <c r="CG26" i="6"/>
  <c r="CI26" i="6"/>
  <c r="CF45" i="6"/>
  <c r="CI9" i="6"/>
  <c r="CG9" i="6"/>
  <c r="CG25" i="6"/>
  <c r="CI25" i="6"/>
  <c r="CI39" i="6"/>
  <c r="CG39" i="6"/>
  <c r="CA42" i="7"/>
  <c r="CI41" i="6"/>
  <c r="CG41" i="6"/>
  <c r="CG50" i="6"/>
  <c r="CI50" i="6"/>
  <c r="CJ49" i="6"/>
  <c r="CI48" i="6"/>
  <c r="CG48" i="6"/>
  <c r="CG40" i="6"/>
  <c r="CI40" i="6"/>
  <c r="BY114" i="5"/>
  <c r="CA36" i="6"/>
  <c r="CD96" i="6"/>
  <c r="CD99" i="6" s="1"/>
  <c r="CC20" i="6"/>
  <c r="CG40" i="5"/>
  <c r="CD114" i="5"/>
  <c r="CL79" i="5"/>
  <c r="BZ42" i="6"/>
  <c r="CK77" i="5"/>
  <c r="CJ53" i="5"/>
  <c r="CJ43" i="5"/>
  <c r="BR6" i="7"/>
  <c r="BR6" i="6"/>
  <c r="BU59" i="5"/>
  <c r="BU5" i="7"/>
  <c r="BU5" i="6"/>
  <c r="BW5" i="6"/>
  <c r="BW5" i="7"/>
  <c r="BN6" i="5"/>
  <c r="BM6" i="6"/>
  <c r="BM6" i="7"/>
  <c r="CK79" i="5"/>
  <c r="BE6" i="6"/>
  <c r="BE6" i="7"/>
  <c r="BK6" i="5"/>
  <c r="BH6" i="6"/>
  <c r="BH6" i="7"/>
  <c r="CJ114" i="5"/>
  <c r="BX43" i="5"/>
  <c r="BX42" i="5"/>
  <c r="CA17" i="5"/>
  <c r="BX114" i="5"/>
  <c r="CK38" i="5"/>
  <c r="BY53" i="5"/>
  <c r="BY43" i="5"/>
  <c r="CK81" i="5"/>
  <c r="CD53" i="5"/>
  <c r="CA65" i="5"/>
  <c r="CK16" i="5"/>
  <c r="CK17" i="5"/>
  <c r="CI52" i="5"/>
  <c r="CG11" i="6"/>
  <c r="BY21" i="7"/>
  <c r="BX21" i="7"/>
  <c r="BU46" i="6"/>
  <c r="BW46" i="6"/>
  <c r="CD43" i="5"/>
  <c r="CJ79" i="5"/>
  <c r="BY16" i="6"/>
  <c r="BZ21" i="7"/>
  <c r="CL12" i="6"/>
  <c r="CL31" i="6"/>
  <c r="BY52" i="5"/>
  <c r="CK50" i="5"/>
  <c r="CD52" i="5"/>
  <c r="BX24" i="7"/>
  <c r="BX36" i="6"/>
  <c r="CM40" i="5"/>
  <c r="CK12" i="6"/>
  <c r="CK31" i="6"/>
  <c r="CJ21" i="7"/>
  <c r="CG16" i="7"/>
  <c r="CK21" i="7"/>
  <c r="BY24" i="7"/>
  <c r="BY36" i="6"/>
  <c r="CJ52" i="5"/>
  <c r="CE12" i="6"/>
  <c r="CE31" i="6"/>
  <c r="CM51" i="5"/>
  <c r="CM12" i="5"/>
  <c r="CI81" i="5"/>
  <c r="CA83" i="6"/>
  <c r="CI24" i="7"/>
  <c r="CM81" i="6"/>
  <c r="CA82" i="6"/>
  <c r="CA87" i="6" s="1"/>
  <c r="CG20" i="7"/>
  <c r="BU19" i="7"/>
  <c r="CM20" i="7"/>
  <c r="CD42" i="7"/>
  <c r="CD57" i="6"/>
  <c r="CD42" i="6"/>
  <c r="CC85" i="7"/>
  <c r="CC86" i="7" s="1"/>
  <c r="CA85" i="7"/>
  <c r="CA122" i="5" s="1"/>
  <c r="BZ122" i="5"/>
  <c r="BY78" i="7"/>
  <c r="BY119" i="5"/>
  <c r="BZ78" i="7"/>
  <c r="BZ119" i="5"/>
  <c r="CI45" i="6"/>
  <c r="BX113" i="7"/>
  <c r="BX109" i="7"/>
  <c r="BX79" i="7"/>
  <c r="BX68" i="7"/>
  <c r="BX46" i="7"/>
  <c r="CG89" i="7"/>
  <c r="CE88" i="7"/>
  <c r="CG88" i="7" s="1"/>
  <c r="CI95" i="7"/>
  <c r="CI94" i="7" s="1"/>
  <c r="CJ65" i="7"/>
  <c r="BZ101" i="6"/>
  <c r="CI95" i="6"/>
  <c r="CM92" i="6"/>
  <c r="CM95" i="6" s="1"/>
  <c r="BY109" i="6"/>
  <c r="BZ106" i="6" s="1"/>
  <c r="BY135" i="6"/>
  <c r="BY132" i="6"/>
  <c r="BY127" i="6"/>
  <c r="BY22" i="6" s="1"/>
  <c r="BZ117" i="6"/>
  <c r="BX157" i="6"/>
  <c r="BY134" i="6"/>
  <c r="BX153" i="6"/>
  <c r="BX24" i="6" s="1"/>
  <c r="BY143" i="6"/>
  <c r="BX156" i="6"/>
  <c r="CL81" i="5"/>
  <c r="CM41" i="5"/>
  <c r="CD6" i="4"/>
  <c r="BY6" i="4"/>
  <c r="BZ6" i="4" s="1"/>
  <c r="CC6" i="4" s="1"/>
  <c r="CE17" i="5"/>
  <c r="CD6" i="2"/>
  <c r="BY6" i="2"/>
  <c r="BZ6" i="2" s="1"/>
  <c r="CC6" i="2" s="1"/>
  <c r="BW5" i="2"/>
  <c r="BU5" i="2"/>
  <c r="CD82" i="5"/>
  <c r="CG37" i="5"/>
  <c r="CG49" i="5"/>
  <c r="CD77" i="5"/>
  <c r="CC77" i="5"/>
  <c r="CI78" i="5" s="1"/>
  <c r="CF77" i="5"/>
  <c r="CL78" i="5" s="1"/>
  <c r="CD78" i="5"/>
  <c r="CJ78" i="5"/>
  <c r="BW84" i="5"/>
  <c r="CE38" i="5"/>
  <c r="CE50" i="5"/>
  <c r="CE16" i="5"/>
  <c r="CG62" i="5"/>
  <c r="CG12" i="5"/>
  <c r="CI114" i="5"/>
  <c r="CI53" i="5"/>
  <c r="CI42" i="5"/>
  <c r="CI43" i="5"/>
  <c r="BY84" i="5"/>
  <c r="CF80" i="5"/>
  <c r="CM49" i="5"/>
  <c r="CM37" i="5"/>
  <c r="CI77" i="5"/>
  <c r="CJ77" i="5"/>
  <c r="CM10" i="5"/>
  <c r="CE77" i="5"/>
  <c r="CK78" i="5" s="1"/>
  <c r="CE78" i="5"/>
  <c r="CG10" i="5"/>
  <c r="CD80" i="5"/>
  <c r="CC82" i="5"/>
  <c r="CC80" i="5"/>
  <c r="CA43" i="5"/>
  <c r="CA53" i="5"/>
  <c r="CF78" i="5"/>
  <c r="BX84" i="5"/>
  <c r="CG39" i="5"/>
  <c r="CD79" i="5"/>
  <c r="CJ80" i="5" s="1"/>
  <c r="CC79" i="5"/>
  <c r="CI80" i="5" s="1"/>
  <c r="CF79" i="5"/>
  <c r="CL80" i="5" s="1"/>
  <c r="CA38" i="5"/>
  <c r="CA50" i="5"/>
  <c r="CA16" i="5"/>
  <c r="BX52" i="5"/>
  <c r="CA64" i="5"/>
  <c r="CG41" i="5"/>
  <c r="CG51" i="5"/>
  <c r="CD81" i="5"/>
  <c r="CJ82" i="5" s="1"/>
  <c r="CF81" i="5"/>
  <c r="CL82" i="5" s="1"/>
  <c r="CC81" i="5"/>
  <c r="CI82" i="5" s="1"/>
  <c r="CF82" i="5"/>
  <c r="CL17" i="5"/>
  <c r="CL38" i="5"/>
  <c r="CL16" i="5"/>
  <c r="CL50" i="5"/>
  <c r="CI5" i="1"/>
  <c r="CM5" i="1" s="1"/>
  <c r="CG5" i="1"/>
  <c r="BY6" i="1"/>
  <c r="BZ6" i="1" s="1"/>
  <c r="CC6" i="1" s="1"/>
  <c r="CD6" i="1"/>
  <c r="BX83" i="5"/>
  <c r="CD84" i="5" s="1"/>
  <c r="CC78" i="5"/>
  <c r="BZ84" i="5"/>
  <c r="CE79" i="5"/>
  <c r="CK80" i="5" s="1"/>
  <c r="CA5" i="3"/>
  <c r="CC5" i="3"/>
  <c r="BY6" i="3"/>
  <c r="BZ6" i="3" s="1"/>
  <c r="CC6" i="3" s="1"/>
  <c r="CD6" i="3"/>
  <c r="CC5" i="5"/>
  <c r="CA5" i="5"/>
  <c r="BX6" i="5"/>
  <c r="BS6" i="5"/>
  <c r="CM16" i="5" l="1"/>
  <c r="CA78" i="7"/>
  <c r="K59" i="7"/>
  <c r="U59" i="7"/>
  <c r="P101" i="6"/>
  <c r="P104" i="6" s="1"/>
  <c r="O112" i="6"/>
  <c r="Y59" i="7"/>
  <c r="CG45" i="6"/>
  <c r="CA42" i="6"/>
  <c r="CJ45" i="6"/>
  <c r="BY136" i="6"/>
  <c r="CJ40" i="6"/>
  <c r="CJ48" i="6"/>
  <c r="CJ25" i="6"/>
  <c r="CJ9" i="6"/>
  <c r="CJ26" i="6"/>
  <c r="CJ21" i="6"/>
  <c r="BY128" i="6"/>
  <c r="CJ39" i="6"/>
  <c r="CK49" i="6"/>
  <c r="CJ50" i="6"/>
  <c r="CJ41" i="6"/>
  <c r="CE96" i="6"/>
  <c r="CE99" i="6" s="1"/>
  <c r="CD20" i="6"/>
  <c r="CM38" i="5"/>
  <c r="BY83" i="5"/>
  <c r="CE84" i="5" s="1"/>
  <c r="BT6" i="5"/>
  <c r="BS6" i="6"/>
  <c r="BS6" i="7"/>
  <c r="BX6" i="7"/>
  <c r="BX6" i="6"/>
  <c r="CA59" i="5"/>
  <c r="CA5" i="6"/>
  <c r="CA5" i="7"/>
  <c r="BK6" i="6"/>
  <c r="BK6" i="7"/>
  <c r="BQ6" i="5"/>
  <c r="BN6" i="6"/>
  <c r="BN6" i="7"/>
  <c r="CC5" i="6"/>
  <c r="CC5" i="7"/>
  <c r="CE43" i="5"/>
  <c r="CE114" i="5"/>
  <c r="CG65" i="5"/>
  <c r="CK43" i="5"/>
  <c r="CG17" i="5"/>
  <c r="BZ83" i="5"/>
  <c r="CF84" i="5" s="1"/>
  <c r="CA114" i="5"/>
  <c r="CE42" i="5"/>
  <c r="BW83" i="5"/>
  <c r="CC84" i="5" s="1"/>
  <c r="CA42" i="5"/>
  <c r="CK42" i="5"/>
  <c r="CK53" i="5"/>
  <c r="CE53" i="5"/>
  <c r="CK114" i="5"/>
  <c r="CM31" i="6"/>
  <c r="BX19" i="7"/>
  <c r="CA21" i="7"/>
  <c r="CA52" i="5"/>
  <c r="CG82" i="6"/>
  <c r="BY42" i="6"/>
  <c r="CL21" i="7"/>
  <c r="BX42" i="6"/>
  <c r="CM12" i="6"/>
  <c r="BZ16" i="6"/>
  <c r="BX46" i="6"/>
  <c r="CK52" i="5"/>
  <c r="CL52" i="5"/>
  <c r="CE24" i="7"/>
  <c r="CF24" i="7"/>
  <c r="CE36" i="6"/>
  <c r="CA24" i="7"/>
  <c r="BY23" i="7"/>
  <c r="CA88" i="6"/>
  <c r="CA84" i="6"/>
  <c r="CF21" i="7"/>
  <c r="CE21" i="7"/>
  <c r="CG83" i="6"/>
  <c r="CI36" i="6"/>
  <c r="CE42" i="7"/>
  <c r="CE57" i="6"/>
  <c r="CC78" i="7"/>
  <c r="CC119" i="5"/>
  <c r="CJ95" i="7"/>
  <c r="CJ94" i="7" s="1"/>
  <c r="CJ90" i="7" s="1"/>
  <c r="CJ88" i="7" s="1"/>
  <c r="CK65" i="7"/>
  <c r="BY68" i="7"/>
  <c r="BY79" i="7"/>
  <c r="BY46" i="7"/>
  <c r="CI90" i="7"/>
  <c r="BX98" i="7"/>
  <c r="BX99" i="7" s="1"/>
  <c r="BX48" i="7"/>
  <c r="BZ68" i="7"/>
  <c r="BZ46" i="7"/>
  <c r="BZ79" i="7"/>
  <c r="BZ109" i="7" s="1"/>
  <c r="CD86" i="7"/>
  <c r="CD85" i="7"/>
  <c r="CC122" i="5"/>
  <c r="BX154" i="6"/>
  <c r="BX65" i="6"/>
  <c r="BZ104" i="6"/>
  <c r="BZ107" i="6"/>
  <c r="BZ109" i="6" s="1"/>
  <c r="BX158" i="6"/>
  <c r="BZ122" i="6"/>
  <c r="BZ14" i="7" s="1"/>
  <c r="BZ119" i="6"/>
  <c r="BY114" i="6"/>
  <c r="BY19" i="6" s="1"/>
  <c r="BZ134" i="6"/>
  <c r="BY148" i="6"/>
  <c r="BY13" i="7" s="1"/>
  <c r="BY145" i="6"/>
  <c r="BY156" i="6" s="1"/>
  <c r="BY140" i="6"/>
  <c r="BY23" i="6" s="1"/>
  <c r="BZ130" i="6"/>
  <c r="CJ92" i="6"/>
  <c r="CJ95" i="6" s="1"/>
  <c r="CI11" i="6"/>
  <c r="CE6" i="4"/>
  <c r="CF6" i="4" s="1"/>
  <c r="CI6" i="4" s="1"/>
  <c r="CJ6" i="4"/>
  <c r="CK6" i="4" s="1"/>
  <c r="CL6" i="4" s="1"/>
  <c r="CA5" i="2"/>
  <c r="CC5" i="2"/>
  <c r="CJ6" i="2"/>
  <c r="CK6" i="2" s="1"/>
  <c r="CL6" i="2" s="1"/>
  <c r="CE6" i="2"/>
  <c r="CF6" i="2" s="1"/>
  <c r="CI6" i="2" s="1"/>
  <c r="CG16" i="5"/>
  <c r="CG50" i="5"/>
  <c r="CG38" i="5"/>
  <c r="CL42" i="5"/>
  <c r="CL43" i="5"/>
  <c r="CL114" i="5"/>
  <c r="CL53" i="5"/>
  <c r="CM17" i="5"/>
  <c r="CE52" i="5"/>
  <c r="CG64" i="5"/>
  <c r="CM50" i="5"/>
  <c r="CE6" i="1"/>
  <c r="CF6" i="1" s="1"/>
  <c r="CI6" i="1" s="1"/>
  <c r="CJ6" i="1"/>
  <c r="CK6" i="1" s="1"/>
  <c r="CL6" i="1" s="1"/>
  <c r="CE6" i="3"/>
  <c r="CF6" i="3" s="1"/>
  <c r="CI6" i="3" s="1"/>
  <c r="CJ6" i="3"/>
  <c r="CK6" i="3" s="1"/>
  <c r="CL6" i="3" s="1"/>
  <c r="CI5" i="3"/>
  <c r="CM5" i="3" s="1"/>
  <c r="CG5" i="3"/>
  <c r="CD6" i="5"/>
  <c r="BY6" i="5"/>
  <c r="CG5" i="5"/>
  <c r="CI5" i="5"/>
  <c r="BY19" i="7" l="1"/>
  <c r="CF83" i="5"/>
  <c r="CC83" i="5"/>
  <c r="CA68" i="7"/>
  <c r="AA58" i="7"/>
  <c r="AE58" i="7"/>
  <c r="V58" i="7"/>
  <c r="Q101" i="6"/>
  <c r="Q104" i="6" s="1"/>
  <c r="P112" i="6"/>
  <c r="L58" i="7"/>
  <c r="CA46" i="7"/>
  <c r="CA79" i="7"/>
  <c r="CA82" i="7" s="1"/>
  <c r="BY11" i="7"/>
  <c r="BY141" i="6"/>
  <c r="CA107" i="6"/>
  <c r="CA112" i="6" s="1"/>
  <c r="BZ12" i="7"/>
  <c r="CK41" i="6"/>
  <c r="CL49" i="6"/>
  <c r="CK48" i="6"/>
  <c r="CA14" i="7"/>
  <c r="CI57" i="6"/>
  <c r="CK26" i="6"/>
  <c r="CK25" i="6"/>
  <c r="CK50" i="6"/>
  <c r="CK39" i="6"/>
  <c r="CK40" i="6"/>
  <c r="CJ24" i="7"/>
  <c r="CK21" i="6"/>
  <c r="CK9" i="6"/>
  <c r="CK45" i="6"/>
  <c r="CL84" i="5"/>
  <c r="CE20" i="6"/>
  <c r="CF96" i="6"/>
  <c r="CF99" i="6" s="1"/>
  <c r="CG43" i="5"/>
  <c r="CG114" i="5"/>
  <c r="CG53" i="5"/>
  <c r="CD83" i="5"/>
  <c r="CJ84" i="5" s="1"/>
  <c r="CG42" i="5"/>
  <c r="CD6" i="7"/>
  <c r="CD6" i="6"/>
  <c r="CM5" i="5"/>
  <c r="CI5" i="6"/>
  <c r="CI5" i="7"/>
  <c r="CE83" i="5"/>
  <c r="CK84" i="5" s="1"/>
  <c r="BQ6" i="6"/>
  <c r="BQ6" i="7"/>
  <c r="CG59" i="5"/>
  <c r="CG5" i="7"/>
  <c r="CG5" i="6"/>
  <c r="BZ6" i="5"/>
  <c r="BY6" i="6"/>
  <c r="BY6" i="7"/>
  <c r="BW6" i="5"/>
  <c r="BT6" i="6"/>
  <c r="BT6" i="7"/>
  <c r="CI84" i="5"/>
  <c r="CG84" i="6"/>
  <c r="CE42" i="6"/>
  <c r="BY46" i="6"/>
  <c r="CM83" i="6"/>
  <c r="CM21" i="7"/>
  <c r="CG52" i="5"/>
  <c r="CA16" i="6"/>
  <c r="CC16" i="6"/>
  <c r="CM82" i="6"/>
  <c r="CG24" i="7"/>
  <c r="BZ23" i="7"/>
  <c r="CG21" i="7"/>
  <c r="CJ41" i="7"/>
  <c r="CJ36" i="6"/>
  <c r="CG30" i="6"/>
  <c r="CF41" i="7"/>
  <c r="CF36" i="6"/>
  <c r="CI42" i="6"/>
  <c r="CI41" i="7"/>
  <c r="CA98" i="7"/>
  <c r="CA99" i="7" s="1"/>
  <c r="CA48" i="7"/>
  <c r="BZ113" i="7"/>
  <c r="CE85" i="7"/>
  <c r="CD122" i="5"/>
  <c r="BY98" i="7"/>
  <c r="BY99" i="7" s="1"/>
  <c r="BY48" i="7"/>
  <c r="BY109" i="7"/>
  <c r="CD78" i="7"/>
  <c r="CD119" i="5"/>
  <c r="BY113" i="7"/>
  <c r="CI88" i="7"/>
  <c r="CC79" i="7"/>
  <c r="CC113" i="7" s="1"/>
  <c r="CC68" i="7"/>
  <c r="CC46" i="7"/>
  <c r="BZ98" i="7"/>
  <c r="BZ99" i="7" s="1"/>
  <c r="BZ48" i="7"/>
  <c r="CK95" i="7"/>
  <c r="CK94" i="7" s="1"/>
  <c r="CL65" i="7"/>
  <c r="BZ123" i="6"/>
  <c r="CC121" i="6" s="1"/>
  <c r="CA122" i="6"/>
  <c r="BZ143" i="6"/>
  <c r="BY115" i="6"/>
  <c r="BY149" i="6"/>
  <c r="CC106" i="6"/>
  <c r="CA109" i="6"/>
  <c r="CA114" i="6" s="1"/>
  <c r="BZ135" i="6"/>
  <c r="BZ136" i="6" s="1"/>
  <c r="BZ132" i="6"/>
  <c r="CK92" i="6"/>
  <c r="CK95" i="6" s="1"/>
  <c r="CJ11" i="6"/>
  <c r="CC117" i="6"/>
  <c r="BZ114" i="6"/>
  <c r="BZ19" i="6" s="1"/>
  <c r="CC101" i="6"/>
  <c r="CM52" i="5"/>
  <c r="CI5" i="2"/>
  <c r="CM5" i="2" s="1"/>
  <c r="CG5" i="2"/>
  <c r="CM42" i="5"/>
  <c r="CM43" i="5"/>
  <c r="CM53" i="5"/>
  <c r="CM114" i="5"/>
  <c r="CJ83" i="5"/>
  <c r="CK83" i="5"/>
  <c r="CI83" i="5"/>
  <c r="CL83" i="5"/>
  <c r="CE6" i="5"/>
  <c r="CJ6" i="5"/>
  <c r="CA23" i="7" l="1"/>
  <c r="AE59" i="7"/>
  <c r="R101" i="6"/>
  <c r="R104" i="6" s="1"/>
  <c r="Q112" i="6"/>
  <c r="AA59" i="7"/>
  <c r="CL95" i="7"/>
  <c r="CL94" i="7" s="1"/>
  <c r="CL90" i="7" s="1"/>
  <c r="CL88" i="7" s="1"/>
  <c r="L59" i="7"/>
  <c r="V59" i="7"/>
  <c r="CF57" i="6"/>
  <c r="CL45" i="6"/>
  <c r="CL21" i="6"/>
  <c r="CL39" i="6"/>
  <c r="CM49" i="6"/>
  <c r="CA135" i="6"/>
  <c r="CA138" i="6" s="1"/>
  <c r="CL25" i="6"/>
  <c r="CA12" i="7"/>
  <c r="CL9" i="6"/>
  <c r="CL48" i="6"/>
  <c r="CL41" i="6"/>
  <c r="CL40" i="6"/>
  <c r="CK24" i="7"/>
  <c r="CL50" i="6"/>
  <c r="CL26" i="6"/>
  <c r="CI96" i="6"/>
  <c r="CF20" i="6"/>
  <c r="CK6" i="5"/>
  <c r="CJ6" i="7"/>
  <c r="CJ6" i="6"/>
  <c r="BW6" i="6"/>
  <c r="BW6" i="7"/>
  <c r="CF6" i="5"/>
  <c r="CE6" i="6"/>
  <c r="CE6" i="7"/>
  <c r="CC6" i="5"/>
  <c r="BZ6" i="6"/>
  <c r="BZ6" i="7"/>
  <c r="CM59" i="5"/>
  <c r="CM5" i="6"/>
  <c r="CM5" i="7"/>
  <c r="CM84" i="6"/>
  <c r="CD16" i="6"/>
  <c r="BZ19" i="7"/>
  <c r="BZ46" i="6"/>
  <c r="CC23" i="7"/>
  <c r="CK41" i="7"/>
  <c r="CK36" i="6"/>
  <c r="CG38" i="6"/>
  <c r="CF42" i="7"/>
  <c r="CG41" i="7"/>
  <c r="CI42" i="7"/>
  <c r="CG57" i="6"/>
  <c r="CG36" i="6"/>
  <c r="CF42" i="6"/>
  <c r="CK90" i="7"/>
  <c r="CM94" i="7"/>
  <c r="CM95" i="7" s="1"/>
  <c r="CC109" i="7"/>
  <c r="CD109" i="7"/>
  <c r="CD79" i="7"/>
  <c r="CD113" i="7" s="1"/>
  <c r="CD68" i="7"/>
  <c r="CD46" i="7"/>
  <c r="CF86" i="7"/>
  <c r="CF85" i="7"/>
  <c r="CE86" i="7"/>
  <c r="CE122" i="5"/>
  <c r="CM65" i="7"/>
  <c r="CC98" i="7"/>
  <c r="CC99" i="7" s="1"/>
  <c r="CC48" i="7"/>
  <c r="CC107" i="6"/>
  <c r="CC12" i="7" s="1"/>
  <c r="CC104" i="6"/>
  <c r="CG101" i="6"/>
  <c r="CG104" i="6" s="1"/>
  <c r="CC134" i="6"/>
  <c r="CA125" i="6"/>
  <c r="CA123" i="6"/>
  <c r="CA127" i="6" s="1"/>
  <c r="BZ115" i="6"/>
  <c r="CA19" i="6"/>
  <c r="CG121" i="6"/>
  <c r="CC122" i="6"/>
  <c r="CC14" i="7" s="1"/>
  <c r="CC119" i="6"/>
  <c r="CG117" i="6"/>
  <c r="CL92" i="6"/>
  <c r="CL95" i="6" s="1"/>
  <c r="CL11" i="6" s="1"/>
  <c r="CK11" i="6"/>
  <c r="CC109" i="6"/>
  <c r="CD106" i="6" s="1"/>
  <c r="CG106" i="6"/>
  <c r="BZ148" i="6"/>
  <c r="CA148" i="6" s="1"/>
  <c r="BZ145" i="6"/>
  <c r="BZ156" i="6" s="1"/>
  <c r="BZ127" i="6"/>
  <c r="BZ22" i="6" s="1"/>
  <c r="BZ140" i="6"/>
  <c r="BZ23" i="6" s="1"/>
  <c r="CC130" i="6"/>
  <c r="BZ147" i="6"/>
  <c r="BZ149" i="6" s="1"/>
  <c r="CC147" i="6" s="1"/>
  <c r="BY157" i="6"/>
  <c r="BY158" i="6" s="1"/>
  <c r="BY153" i="6"/>
  <c r="BY24" i="6" s="1"/>
  <c r="W58" i="7" l="1"/>
  <c r="U101" i="6"/>
  <c r="R112" i="6"/>
  <c r="AB58" i="7"/>
  <c r="AK58" i="7"/>
  <c r="AG58" i="7"/>
  <c r="CA136" i="6"/>
  <c r="CG42" i="7"/>
  <c r="CM40" i="6"/>
  <c r="CL24" i="7"/>
  <c r="CM48" i="6"/>
  <c r="CM45" i="6"/>
  <c r="CJ42" i="6"/>
  <c r="CM50" i="6"/>
  <c r="CM41" i="6"/>
  <c r="CM9" i="6"/>
  <c r="CM25" i="6"/>
  <c r="CM21" i="6"/>
  <c r="CM26" i="6"/>
  <c r="BZ13" i="7"/>
  <c r="CM39" i="6"/>
  <c r="CG20" i="6"/>
  <c r="CI99" i="6"/>
  <c r="CM96" i="6"/>
  <c r="CM99" i="6" s="1"/>
  <c r="CC6" i="6"/>
  <c r="CC6" i="7"/>
  <c r="CL6" i="5"/>
  <c r="CK6" i="6"/>
  <c r="CK6" i="7"/>
  <c r="CI6" i="5"/>
  <c r="CF6" i="6"/>
  <c r="CF6" i="7"/>
  <c r="CC19" i="7"/>
  <c r="CG42" i="6"/>
  <c r="CA19" i="7"/>
  <c r="BS69" i="6"/>
  <c r="CE16" i="6"/>
  <c r="CM11" i="6"/>
  <c r="CC46" i="6"/>
  <c r="CA46" i="6"/>
  <c r="CD23" i="7"/>
  <c r="CJ42" i="7"/>
  <c r="CJ57" i="6"/>
  <c r="CE78" i="7"/>
  <c r="CE119" i="5"/>
  <c r="CG86" i="7"/>
  <c r="CG119" i="5" s="1"/>
  <c r="CG85" i="7"/>
  <c r="CG122" i="5" s="1"/>
  <c r="CI85" i="7"/>
  <c r="CI86" i="7" s="1"/>
  <c r="CF122" i="5"/>
  <c r="CD98" i="7"/>
  <c r="CD99" i="7" s="1"/>
  <c r="CD48" i="7"/>
  <c r="CF78" i="7"/>
  <c r="CF119" i="5"/>
  <c r="CK88" i="7"/>
  <c r="CM88" i="7" s="1"/>
  <c r="CM90" i="7"/>
  <c r="BZ141" i="6"/>
  <c r="CA23" i="6"/>
  <c r="CD117" i="6"/>
  <c r="BZ157" i="6"/>
  <c r="BZ158" i="6" s="1"/>
  <c r="BZ153" i="6"/>
  <c r="BZ24" i="6" s="1"/>
  <c r="CC143" i="6"/>
  <c r="CA115" i="6"/>
  <c r="BY154" i="6"/>
  <c r="BY65" i="6"/>
  <c r="CG147" i="6"/>
  <c r="BZ128" i="6"/>
  <c r="CA22" i="6"/>
  <c r="CA149" i="6"/>
  <c r="CA153" i="6" s="1"/>
  <c r="CA151" i="6"/>
  <c r="CC123" i="6"/>
  <c r="CD121" i="6" s="1"/>
  <c r="CA140" i="6"/>
  <c r="CD101" i="6"/>
  <c r="CC114" i="6"/>
  <c r="CC19" i="6" s="1"/>
  <c r="CC135" i="6"/>
  <c r="CC136" i="6" s="1"/>
  <c r="CC132" i="6"/>
  <c r="CG130" i="6"/>
  <c r="CG119" i="6"/>
  <c r="CG134" i="6"/>
  <c r="CE23" i="7" l="1"/>
  <c r="AK59" i="7"/>
  <c r="U104" i="6"/>
  <c r="Y101" i="6"/>
  <c r="Y104" i="6" s="1"/>
  <c r="Y112" i="6" s="1"/>
  <c r="AG59" i="7"/>
  <c r="AB59" i="7"/>
  <c r="CM24" i="7"/>
  <c r="CA157" i="6"/>
  <c r="CA158" i="6" s="1"/>
  <c r="CA128" i="6"/>
  <c r="CA141" i="6"/>
  <c r="CA13" i="7"/>
  <c r="BZ11" i="7"/>
  <c r="CI20" i="6"/>
  <c r="CJ96" i="6"/>
  <c r="CJ99" i="6" s="1"/>
  <c r="CI6" i="6"/>
  <c r="CI6" i="7"/>
  <c r="CL6" i="6"/>
  <c r="CL6" i="7"/>
  <c r="CD19" i="7"/>
  <c r="CD46" i="6"/>
  <c r="CF16" i="6"/>
  <c r="CE19" i="7"/>
  <c r="CK42" i="7"/>
  <c r="CK57" i="6"/>
  <c r="BR69" i="6"/>
  <c r="CK42" i="6"/>
  <c r="CI78" i="7"/>
  <c r="CI119" i="5"/>
  <c r="CE79" i="7"/>
  <c r="CE46" i="7"/>
  <c r="CE68" i="7"/>
  <c r="CG68" i="7" s="1"/>
  <c r="CG78" i="7"/>
  <c r="CF79" i="7"/>
  <c r="CF81" i="7" s="1"/>
  <c r="CF33" i="5" s="1"/>
  <c r="CF46" i="7"/>
  <c r="CF68" i="7"/>
  <c r="CJ85" i="7"/>
  <c r="CI122" i="5"/>
  <c r="BZ154" i="6"/>
  <c r="CA24" i="6"/>
  <c r="CD122" i="6"/>
  <c r="CD14" i="7" s="1"/>
  <c r="CD119" i="6"/>
  <c r="CD134" i="6"/>
  <c r="CC115" i="6"/>
  <c r="CC127" i="6"/>
  <c r="CC22" i="6" s="1"/>
  <c r="CG132" i="6"/>
  <c r="CD107" i="6"/>
  <c r="CD12" i="7" s="1"/>
  <c r="CD104" i="6"/>
  <c r="CC140" i="6"/>
  <c r="CC23" i="6" s="1"/>
  <c r="CD130" i="6"/>
  <c r="CC148" i="6"/>
  <c r="CC13" i="7" s="1"/>
  <c r="CC145" i="6"/>
  <c r="CG143" i="6"/>
  <c r="BZ65" i="6"/>
  <c r="AC58" i="7" l="1"/>
  <c r="U112" i="6"/>
  <c r="V101" i="6"/>
  <c r="V104" i="6" s="1"/>
  <c r="AH58" i="7"/>
  <c r="AM58" i="7"/>
  <c r="AQ58" i="7"/>
  <c r="CD123" i="6"/>
  <c r="CE121" i="6" s="1"/>
  <c r="CC11" i="7"/>
  <c r="CC128" i="6"/>
  <c r="CA11" i="7"/>
  <c r="CC141" i="6"/>
  <c r="CK96" i="6"/>
  <c r="CK99" i="6" s="1"/>
  <c r="CJ20" i="6"/>
  <c r="CG16" i="6"/>
  <c r="CI16" i="6"/>
  <c r="CE46" i="6"/>
  <c r="CF23" i="7"/>
  <c r="CM38" i="6"/>
  <c r="CL42" i="7"/>
  <c r="CL57" i="6"/>
  <c r="CL41" i="7"/>
  <c r="CL36" i="6"/>
  <c r="CM30" i="6"/>
  <c r="CK85" i="7"/>
  <c r="CK86" i="7"/>
  <c r="CJ122" i="5"/>
  <c r="CJ86" i="7"/>
  <c r="CG79" i="7"/>
  <c r="CG82" i="7" s="1"/>
  <c r="CE81" i="7"/>
  <c r="CE33" i="5" s="1"/>
  <c r="CF98" i="7"/>
  <c r="CF99" i="7" s="1"/>
  <c r="CF48" i="7"/>
  <c r="CE98" i="7"/>
  <c r="CE99" i="7" s="1"/>
  <c r="CE48" i="7"/>
  <c r="CG46" i="7"/>
  <c r="CI79" i="7"/>
  <c r="CI68" i="7"/>
  <c r="CI46" i="7"/>
  <c r="CC149" i="6"/>
  <c r="CE101" i="6"/>
  <c r="CG145" i="6"/>
  <c r="CD109" i="6"/>
  <c r="CE106" i="6" s="1"/>
  <c r="CD135" i="6"/>
  <c r="CD136" i="6" s="1"/>
  <c r="CD132" i="6"/>
  <c r="CA154" i="6"/>
  <c r="CA65" i="6"/>
  <c r="CC153" i="6"/>
  <c r="CC24" i="6" s="1"/>
  <c r="CD143" i="6"/>
  <c r="CC156" i="6"/>
  <c r="CD127" i="6"/>
  <c r="CD22" i="6" s="1"/>
  <c r="CE117" i="6"/>
  <c r="CI23" i="7" l="1"/>
  <c r="AM59" i="7"/>
  <c r="V112" i="6"/>
  <c r="W101" i="6"/>
  <c r="W104" i="6" s="1"/>
  <c r="AH59" i="7"/>
  <c r="AQ59" i="7"/>
  <c r="AC59" i="7"/>
  <c r="CD128" i="6"/>
  <c r="CM42" i="7"/>
  <c r="CC154" i="6"/>
  <c r="CL96" i="6"/>
  <c r="CL99" i="6" s="1"/>
  <c r="CL20" i="6" s="1"/>
  <c r="CK20" i="6"/>
  <c r="CI19" i="7"/>
  <c r="CF19" i="7"/>
  <c r="CG23" i="7"/>
  <c r="CF46" i="6"/>
  <c r="CJ16" i="6"/>
  <c r="CM57" i="6"/>
  <c r="CM36" i="6"/>
  <c r="CL42" i="6"/>
  <c r="BT69" i="6"/>
  <c r="BU20" i="5"/>
  <c r="CM41" i="7"/>
  <c r="CG98" i="7"/>
  <c r="CG99" i="7" s="1"/>
  <c r="CG48" i="7"/>
  <c r="CK78" i="7"/>
  <c r="CK119" i="5"/>
  <c r="CL86" i="7"/>
  <c r="CL85" i="7"/>
  <c r="CK122" i="5"/>
  <c r="CI98" i="7"/>
  <c r="CI99" i="7" s="1"/>
  <c r="CI48" i="7"/>
  <c r="CI81" i="7"/>
  <c r="CJ78" i="7"/>
  <c r="CJ119" i="5"/>
  <c r="CD148" i="6"/>
  <c r="CD13" i="7" s="1"/>
  <c r="CD145" i="6"/>
  <c r="CD156" i="6" s="1"/>
  <c r="CD140" i="6"/>
  <c r="CD23" i="6" s="1"/>
  <c r="CE130" i="6"/>
  <c r="CD147" i="6"/>
  <c r="CD149" i="6" s="1"/>
  <c r="CE147" i="6" s="1"/>
  <c r="CC157" i="6"/>
  <c r="CC158" i="6" s="1"/>
  <c r="CE134" i="6"/>
  <c r="CE107" i="6"/>
  <c r="CE12" i="7" s="1"/>
  <c r="CE104" i="6"/>
  <c r="CC65" i="6"/>
  <c r="CE122" i="6"/>
  <c r="CE14" i="7" s="1"/>
  <c r="CE119" i="6"/>
  <c r="CD114" i="6"/>
  <c r="CD19" i="6" s="1"/>
  <c r="CG156" i="6"/>
  <c r="W112" i="6" l="1"/>
  <c r="X101" i="6"/>
  <c r="X104" i="6" s="1"/>
  <c r="AD58" i="7"/>
  <c r="AS58" i="7"/>
  <c r="AW58" i="7"/>
  <c r="AN58" i="7"/>
  <c r="AI58" i="7"/>
  <c r="CE109" i="6"/>
  <c r="CF106" i="6" s="1"/>
  <c r="CD11" i="7"/>
  <c r="CD141" i="6"/>
  <c r="CM20" i="6"/>
  <c r="BX69" i="6"/>
  <c r="BU69" i="6"/>
  <c r="CM42" i="6"/>
  <c r="CK16" i="6"/>
  <c r="CG46" i="6"/>
  <c r="CI46" i="6"/>
  <c r="CG19" i="7"/>
  <c r="CJ23" i="7"/>
  <c r="BW69" i="6"/>
  <c r="CL78" i="7"/>
  <c r="CL119" i="5"/>
  <c r="CJ79" i="7"/>
  <c r="CJ81" i="7" s="1"/>
  <c r="CJ33" i="5" s="1"/>
  <c r="CJ68" i="7"/>
  <c r="CJ46" i="7"/>
  <c r="CM78" i="7"/>
  <c r="CI33" i="5"/>
  <c r="CM86" i="7"/>
  <c r="CM119" i="5" s="1"/>
  <c r="CM85" i="7"/>
  <c r="CM122" i="5" s="1"/>
  <c r="CL122" i="5"/>
  <c r="CK79" i="7"/>
  <c r="CK81" i="7" s="1"/>
  <c r="CK33" i="5" s="1"/>
  <c r="CK46" i="7"/>
  <c r="CK68" i="7"/>
  <c r="CE123" i="6"/>
  <c r="CF121" i="6" s="1"/>
  <c r="CF117" i="6"/>
  <c r="CD115" i="6"/>
  <c r="CD153" i="6"/>
  <c r="CD24" i="6" s="1"/>
  <c r="CE143" i="6"/>
  <c r="CF101" i="6"/>
  <c r="CD157" i="6"/>
  <c r="CD158" i="6" s="1"/>
  <c r="CE132" i="6"/>
  <c r="CE135" i="6"/>
  <c r="AW59" i="7" l="1"/>
  <c r="AN59" i="7"/>
  <c r="AD59" i="7"/>
  <c r="AI59" i="7"/>
  <c r="AS59" i="7"/>
  <c r="AA101" i="6"/>
  <c r="X112" i="6"/>
  <c r="CE114" i="6"/>
  <c r="CE19" i="6" s="1"/>
  <c r="CE127" i="6"/>
  <c r="CE22" i="6" s="1"/>
  <c r="CE128" i="6" s="1"/>
  <c r="CD154" i="6"/>
  <c r="CE136" i="6"/>
  <c r="CL16" i="6"/>
  <c r="BY69" i="6"/>
  <c r="CJ46" i="6"/>
  <c r="CK23" i="7"/>
  <c r="CJ19" i="7"/>
  <c r="CK57" i="5"/>
  <c r="CK98" i="7"/>
  <c r="CK99" i="7" s="1"/>
  <c r="CK48" i="7"/>
  <c r="CJ98" i="7"/>
  <c r="CJ99" i="7" s="1"/>
  <c r="CJ48" i="7"/>
  <c r="CL79" i="7"/>
  <c r="CL81" i="7" s="1"/>
  <c r="CL68" i="7"/>
  <c r="CM68" i="7" s="1"/>
  <c r="CL46" i="7"/>
  <c r="CF107" i="6"/>
  <c r="CF12" i="7" s="1"/>
  <c r="CF104" i="6"/>
  <c r="CF134" i="6"/>
  <c r="CE140" i="6"/>
  <c r="CE23" i="6" s="1"/>
  <c r="CF130" i="6"/>
  <c r="CE148" i="6"/>
  <c r="CE13" i="7" s="1"/>
  <c r="CE145" i="6"/>
  <c r="CD65" i="6"/>
  <c r="CE115" i="6"/>
  <c r="CF122" i="6"/>
  <c r="CF119" i="6"/>
  <c r="AE101" i="6" l="1"/>
  <c r="AE104" i="6" s="1"/>
  <c r="AE112" i="6" s="1"/>
  <c r="AA104" i="6"/>
  <c r="AJ58" i="7"/>
  <c r="AO58" i="7"/>
  <c r="AT58" i="7"/>
  <c r="CM79" i="7"/>
  <c r="CM82" i="7" s="1"/>
  <c r="AY58" i="7"/>
  <c r="BC58" i="7"/>
  <c r="CE11" i="7"/>
  <c r="CE141" i="6"/>
  <c r="CG122" i="6"/>
  <c r="CG123" i="6" s="1"/>
  <c r="CG127" i="6" s="1"/>
  <c r="CF14" i="7"/>
  <c r="CF123" i="6"/>
  <c r="CI121" i="6" s="1"/>
  <c r="CG12" i="7"/>
  <c r="BZ69" i="6"/>
  <c r="CK19" i="7"/>
  <c r="CM16" i="6"/>
  <c r="CK46" i="6"/>
  <c r="CL23" i="7"/>
  <c r="CA20" i="5"/>
  <c r="CL33" i="5"/>
  <c r="CM81" i="7"/>
  <c r="CL98" i="7"/>
  <c r="CL99" i="7" s="1"/>
  <c r="CL48" i="7"/>
  <c r="CM46" i="7"/>
  <c r="CG125" i="6"/>
  <c r="CE149" i="6"/>
  <c r="CF135" i="6"/>
  <c r="CF132" i="6"/>
  <c r="CM121" i="6"/>
  <c r="CI101" i="6"/>
  <c r="CI117" i="6"/>
  <c r="CF127" i="6"/>
  <c r="CF22" i="6" s="1"/>
  <c r="CF143" i="6"/>
  <c r="CE156" i="6"/>
  <c r="CF109" i="6"/>
  <c r="CG107" i="6"/>
  <c r="CG112" i="6" s="1"/>
  <c r="AY59" i="7" l="1"/>
  <c r="AT59" i="7"/>
  <c r="AJ59" i="7"/>
  <c r="AO59" i="7"/>
  <c r="AA112" i="6"/>
  <c r="AB101" i="6"/>
  <c r="AB104" i="6" s="1"/>
  <c r="CG135" i="6"/>
  <c r="CG138" i="6" s="1"/>
  <c r="CG14" i="7"/>
  <c r="CL19" i="7"/>
  <c r="CM23" i="7"/>
  <c r="CL46" i="6"/>
  <c r="CA69" i="6"/>
  <c r="CD69" i="6"/>
  <c r="CM98" i="7"/>
  <c r="CM99" i="7" s="1"/>
  <c r="CM48" i="7"/>
  <c r="CL57" i="5"/>
  <c r="CM33" i="5"/>
  <c r="CG109" i="6"/>
  <c r="CG114" i="6" s="1"/>
  <c r="CI106" i="6"/>
  <c r="CI130" i="6"/>
  <c r="CF147" i="6"/>
  <c r="CE157" i="6"/>
  <c r="CE158" i="6"/>
  <c r="CE153" i="6"/>
  <c r="CE24" i="6" s="1"/>
  <c r="CF114" i="6"/>
  <c r="CF19" i="6" s="1"/>
  <c r="CF128" i="6"/>
  <c r="CG22" i="6"/>
  <c r="CI122" i="6"/>
  <c r="CI14" i="7" s="1"/>
  <c r="CM117" i="6"/>
  <c r="CI119" i="6"/>
  <c r="CF148" i="6"/>
  <c r="CG148" i="6" s="1"/>
  <c r="CF145" i="6"/>
  <c r="CI107" i="6"/>
  <c r="CI12" i="7" s="1"/>
  <c r="CM101" i="6"/>
  <c r="CM104" i="6" s="1"/>
  <c r="CI104" i="6"/>
  <c r="CF136" i="6"/>
  <c r="AP58" i="7" l="1"/>
  <c r="AU58" i="7"/>
  <c r="AB112" i="6"/>
  <c r="AC101" i="6"/>
  <c r="AC104" i="6" s="1"/>
  <c r="AZ58" i="7"/>
  <c r="CG136" i="6"/>
  <c r="CG128" i="6"/>
  <c r="CF13" i="7"/>
  <c r="CM46" i="6"/>
  <c r="CM19" i="7"/>
  <c r="CC69" i="6"/>
  <c r="CJ117" i="6"/>
  <c r="CI135" i="6"/>
  <c r="CM130" i="6"/>
  <c r="CI132" i="6"/>
  <c r="CJ101" i="6"/>
  <c r="CG149" i="6"/>
  <c r="CG153" i="6" s="1"/>
  <c r="CG151" i="6"/>
  <c r="CG140" i="6"/>
  <c r="CF149" i="6"/>
  <c r="CI147" i="6" s="1"/>
  <c r="CI134" i="6"/>
  <c r="CM119" i="6"/>
  <c r="CF115" i="6"/>
  <c r="CG19" i="6"/>
  <c r="CF140" i="6"/>
  <c r="CF23" i="6" s="1"/>
  <c r="CM106" i="6"/>
  <c r="CI109" i="6"/>
  <c r="CJ106" i="6" s="1"/>
  <c r="CI143" i="6"/>
  <c r="CI123" i="6"/>
  <c r="CJ121" i="6" s="1"/>
  <c r="CE154" i="6"/>
  <c r="CE65" i="6"/>
  <c r="CF156" i="6"/>
  <c r="AZ59" i="7" l="1"/>
  <c r="AU59" i="7"/>
  <c r="AC112" i="6"/>
  <c r="AD101" i="6"/>
  <c r="AD104" i="6" s="1"/>
  <c r="AP59" i="7"/>
  <c r="CG157" i="6"/>
  <c r="CG158" i="6" s="1"/>
  <c r="CF153" i="6"/>
  <c r="CF24" i="6" s="1"/>
  <c r="CG13" i="7"/>
  <c r="CF11" i="7"/>
  <c r="CG115" i="6"/>
  <c r="CJ104" i="6"/>
  <c r="CJ107" i="6"/>
  <c r="CJ12" i="7" s="1"/>
  <c r="CF154" i="6"/>
  <c r="CM147" i="6"/>
  <c r="CM132" i="6"/>
  <c r="CJ109" i="6"/>
  <c r="CK106" i="6" s="1"/>
  <c r="CI136" i="6"/>
  <c r="CI140" i="6" s="1"/>
  <c r="CI23" i="6" s="1"/>
  <c r="CM134" i="6"/>
  <c r="CI114" i="6"/>
  <c r="CI19" i="6" s="1"/>
  <c r="CI127" i="6"/>
  <c r="CI22" i="6" s="1"/>
  <c r="CI148" i="6"/>
  <c r="CI13" i="7" s="1"/>
  <c r="CI145" i="6"/>
  <c r="CM143" i="6"/>
  <c r="CF141" i="6"/>
  <c r="CG23" i="6"/>
  <c r="CF157" i="6"/>
  <c r="CF158" i="6" s="1"/>
  <c r="CJ130" i="6"/>
  <c r="CJ122" i="6"/>
  <c r="CJ14" i="7" s="1"/>
  <c r="CJ119" i="6"/>
  <c r="AV58" i="7" l="1"/>
  <c r="AG101" i="6"/>
  <c r="AD112" i="6"/>
  <c r="BA58" i="7"/>
  <c r="CF65" i="6"/>
  <c r="CG24" i="6"/>
  <c r="CG65" i="6" s="1"/>
  <c r="CI11" i="7"/>
  <c r="CI141" i="6"/>
  <c r="CG141" i="6"/>
  <c r="CI128" i="6"/>
  <c r="CG11" i="7"/>
  <c r="CF69" i="6"/>
  <c r="CE69" i="6"/>
  <c r="CG20" i="5"/>
  <c r="CM145" i="6"/>
  <c r="CM156" i="6" s="1"/>
  <c r="CI115" i="6"/>
  <c r="CJ114" i="6"/>
  <c r="CJ19" i="6" s="1"/>
  <c r="CK101" i="6"/>
  <c r="CJ134" i="6"/>
  <c r="CJ135" i="6"/>
  <c r="CJ132" i="6"/>
  <c r="CJ143" i="6"/>
  <c r="CK117" i="6"/>
  <c r="CI156" i="6"/>
  <c r="CI149" i="6"/>
  <c r="CJ147" i="6" s="1"/>
  <c r="CJ123" i="6"/>
  <c r="CK121" i="6" s="1"/>
  <c r="AG104" i="6" l="1"/>
  <c r="AK101" i="6"/>
  <c r="AK104" i="6" s="1"/>
  <c r="AK112" i="6" s="1"/>
  <c r="BA59" i="7"/>
  <c r="AV59" i="7"/>
  <c r="CG154" i="6"/>
  <c r="CI157" i="6"/>
  <c r="CI158" i="6" s="1"/>
  <c r="CI153" i="6"/>
  <c r="CI24" i="6" s="1"/>
  <c r="CJ136" i="6"/>
  <c r="CK134" i="6" s="1"/>
  <c r="CG69" i="6"/>
  <c r="CK107" i="6"/>
  <c r="CK12" i="7" s="1"/>
  <c r="CK104" i="6"/>
  <c r="CI65" i="6"/>
  <c r="CJ115" i="6"/>
  <c r="CK122" i="6"/>
  <c r="CK14" i="7" s="1"/>
  <c r="CK119" i="6"/>
  <c r="CK130" i="6"/>
  <c r="CJ127" i="6"/>
  <c r="CJ22" i="6" s="1"/>
  <c r="CJ148" i="6"/>
  <c r="CJ149" i="6" s="1"/>
  <c r="CJ145" i="6"/>
  <c r="CJ156" i="6" s="1"/>
  <c r="BB58" i="7" l="1"/>
  <c r="AG112" i="6"/>
  <c r="AH101" i="6"/>
  <c r="AH104" i="6" s="1"/>
  <c r="CJ140" i="6"/>
  <c r="CJ23" i="6" s="1"/>
  <c r="CJ141" i="6" s="1"/>
  <c r="CJ13" i="7"/>
  <c r="CK147" i="6"/>
  <c r="CJ157" i="6"/>
  <c r="CJ158" i="6" s="1"/>
  <c r="CK123" i="6"/>
  <c r="CL121" i="6" s="1"/>
  <c r="CJ128" i="6"/>
  <c r="CI154" i="6"/>
  <c r="CJ69" i="6"/>
  <c r="CI69" i="6"/>
  <c r="CK114" i="6"/>
  <c r="CK19" i="6" s="1"/>
  <c r="CL101" i="6"/>
  <c r="CK109" i="6"/>
  <c r="CL106" i="6" s="1"/>
  <c r="CJ153" i="6"/>
  <c r="CJ24" i="6" s="1"/>
  <c r="CK143" i="6"/>
  <c r="CK127" i="6"/>
  <c r="CK22" i="6" s="1"/>
  <c r="CL117" i="6"/>
  <c r="CK135" i="6"/>
  <c r="CK132" i="6"/>
  <c r="AI101" i="6" l="1"/>
  <c r="AI104" i="6" s="1"/>
  <c r="AH112" i="6"/>
  <c r="BB59" i="7"/>
  <c r="CJ11" i="7"/>
  <c r="CK128" i="6"/>
  <c r="CL69" i="6"/>
  <c r="CL119" i="6"/>
  <c r="CL122" i="6"/>
  <c r="CL14" i="7" s="1"/>
  <c r="CL130" i="6"/>
  <c r="CK148" i="6"/>
  <c r="CK13" i="7" s="1"/>
  <c r="CK145" i="6"/>
  <c r="CL104" i="6"/>
  <c r="CL107" i="6"/>
  <c r="CJ154" i="6"/>
  <c r="CJ65" i="6"/>
  <c r="CK115" i="6"/>
  <c r="CK136" i="6"/>
  <c r="CL109" i="6"/>
  <c r="CM109" i="6" s="1"/>
  <c r="CM114" i="6" s="1"/>
  <c r="BC59" i="7" l="1"/>
  <c r="AJ101" i="6"/>
  <c r="AI112" i="6"/>
  <c r="CK11" i="7"/>
  <c r="CM107" i="6"/>
  <c r="CM112" i="6" s="1"/>
  <c r="CL12" i="7"/>
  <c r="CM14" i="7"/>
  <c r="CK69" i="6"/>
  <c r="CM20" i="5"/>
  <c r="CL134" i="6"/>
  <c r="CL114" i="6"/>
  <c r="CL19" i="6" s="1"/>
  <c r="CK140" i="6"/>
  <c r="CK23" i="6" s="1"/>
  <c r="CL143" i="6"/>
  <c r="CK156" i="6"/>
  <c r="CK149" i="6"/>
  <c r="CL147" i="6" s="1"/>
  <c r="CM122" i="6"/>
  <c r="CL123" i="6"/>
  <c r="CL127" i="6" s="1"/>
  <c r="CL22" i="6" s="1"/>
  <c r="CL132" i="6"/>
  <c r="CL135" i="6"/>
  <c r="BI58" i="7" l="1"/>
  <c r="BE58" i="7"/>
  <c r="CM12" i="7"/>
  <c r="CL136" i="6"/>
  <c r="CM135" i="6"/>
  <c r="CM136" i="6" s="1"/>
  <c r="CM69" i="6"/>
  <c r="CL128" i="6"/>
  <c r="CM22" i="6"/>
  <c r="CL140" i="6"/>
  <c r="CL23" i="6" s="1"/>
  <c r="CK141" i="6"/>
  <c r="CL115" i="6"/>
  <c r="CM19" i="6"/>
  <c r="CM123" i="6"/>
  <c r="CM127" i="6" s="1"/>
  <c r="CM125" i="6"/>
  <c r="CL148" i="6"/>
  <c r="CM148" i="6" s="1"/>
  <c r="CL145" i="6"/>
  <c r="CK153" i="6"/>
  <c r="CK24" i="6" s="1"/>
  <c r="CK157" i="6"/>
  <c r="CK158" i="6" s="1"/>
  <c r="BE59" i="7" l="1"/>
  <c r="BI59" i="7"/>
  <c r="CM138" i="6"/>
  <c r="CK154" i="6"/>
  <c r="CL13" i="7"/>
  <c r="CL141" i="6"/>
  <c r="CM23" i="6"/>
  <c r="CK65" i="6"/>
  <c r="CL156" i="6"/>
  <c r="CM140" i="6"/>
  <c r="CM151" i="6"/>
  <c r="CM149" i="6"/>
  <c r="CM153" i="6" s="1"/>
  <c r="CM115" i="6"/>
  <c r="CM128" i="6"/>
  <c r="CL149" i="6"/>
  <c r="CL157" i="6" s="1"/>
  <c r="BK58" i="7" l="1"/>
  <c r="BO58" i="7"/>
  <c r="BF58" i="7"/>
  <c r="CM157" i="6"/>
  <c r="CM158" i="6" s="1"/>
  <c r="CM13" i="7"/>
  <c r="CL11" i="7"/>
  <c r="CL153" i="6"/>
  <c r="CL24" i="6" s="1"/>
  <c r="CM141" i="6"/>
  <c r="CL158" i="6"/>
  <c r="BF59" i="7" l="1"/>
  <c r="BK59" i="7"/>
  <c r="BO59" i="7"/>
  <c r="CL65" i="6"/>
  <c r="CM24" i="6"/>
  <c r="CL154" i="6"/>
  <c r="CM11" i="7"/>
  <c r="BL58" i="7" l="1"/>
  <c r="BU58" i="7"/>
  <c r="BQ58" i="7"/>
  <c r="BG58" i="7"/>
  <c r="CM154" i="6"/>
  <c r="CM65" i="6"/>
  <c r="BG59" i="7" l="1"/>
  <c r="BQ59" i="7"/>
  <c r="BL59" i="7"/>
  <c r="BR19" i="5"/>
  <c r="BR58" i="7" l="1"/>
  <c r="BM58" i="7"/>
  <c r="BH58" i="7"/>
  <c r="BR23" i="5"/>
  <c r="BM59" i="7" l="1"/>
  <c r="BH59" i="7"/>
  <c r="BR54" i="5"/>
  <c r="BR44" i="5"/>
  <c r="BR24" i="5"/>
  <c r="BN58" i="7" l="1"/>
  <c r="BR26" i="5"/>
  <c r="BR18" i="5"/>
  <c r="BN59" i="7" l="1"/>
  <c r="BR55" i="5"/>
  <c r="BR112" i="7"/>
  <c r="BR68" i="6"/>
  <c r="BR70" i="6"/>
  <c r="BR115" i="7" l="1"/>
  <c r="BR108" i="7"/>
  <c r="BR110" i="7" s="1"/>
  <c r="BS18" i="5"/>
  <c r="BR9" i="5"/>
  <c r="BR96" i="5"/>
  <c r="BR80" i="7" l="1"/>
  <c r="BR81" i="7" s="1"/>
  <c r="BR117" i="7"/>
  <c r="BR8" i="5"/>
  <c r="BS68" i="6"/>
  <c r="BS70" i="6"/>
  <c r="BR98" i="5"/>
  <c r="BS96" i="5" l="1"/>
  <c r="BS9" i="5"/>
  <c r="BS8" i="5" l="1"/>
  <c r="BS98" i="5"/>
  <c r="BT18" i="5"/>
  <c r="BW18" i="5" l="1"/>
  <c r="BT68" i="6"/>
  <c r="BT70" i="6"/>
  <c r="BU18" i="5"/>
  <c r="BU66" i="5" l="1"/>
  <c r="BU68" i="6"/>
  <c r="BU70" i="6"/>
  <c r="BT96" i="5"/>
  <c r="BT9" i="5"/>
  <c r="BW68" i="6"/>
  <c r="BW70" i="6"/>
  <c r="BT98" i="5" l="1"/>
  <c r="BU98" i="5" s="1"/>
  <c r="BU96" i="5"/>
  <c r="BW9" i="5"/>
  <c r="BW96" i="5"/>
  <c r="BX18" i="5"/>
  <c r="BT8" i="5"/>
  <c r="BU8" i="5" s="1"/>
  <c r="BU9" i="5"/>
  <c r="BX68" i="6" l="1"/>
  <c r="BX70" i="6"/>
  <c r="BW8" i="5"/>
  <c r="BW98" i="5"/>
  <c r="BY18" i="5" l="1"/>
  <c r="BX96" i="5"/>
  <c r="BX9" i="5"/>
  <c r="BX98" i="5" l="1"/>
  <c r="BY68" i="6"/>
  <c r="BY70" i="6"/>
  <c r="BX8" i="5"/>
  <c r="BY96" i="5" l="1"/>
  <c r="BY9" i="5"/>
  <c r="BY98" i="5" l="1"/>
  <c r="BY8" i="5"/>
  <c r="BZ18" i="5"/>
  <c r="CC18" i="5" l="1"/>
  <c r="BZ68" i="6"/>
  <c r="BZ70" i="6"/>
  <c r="CA18" i="5"/>
  <c r="CA66" i="5" l="1"/>
  <c r="BZ96" i="5"/>
  <c r="BZ9" i="5"/>
  <c r="CA68" i="6"/>
  <c r="CA70" i="6"/>
  <c r="CC68" i="6"/>
  <c r="CC70" i="6"/>
  <c r="CC9" i="5" l="1"/>
  <c r="CC96" i="5"/>
  <c r="CD18" i="5"/>
  <c r="BZ8" i="5"/>
  <c r="CA8" i="5" s="1"/>
  <c r="CA9" i="5"/>
  <c r="BZ98" i="5"/>
  <c r="CA98" i="5" s="1"/>
  <c r="CA96" i="5"/>
  <c r="CD68" i="6" l="1"/>
  <c r="CD70" i="6"/>
  <c r="CC98" i="5"/>
  <c r="CC8" i="5"/>
  <c r="CE18" i="5" l="1"/>
  <c r="CD96" i="5"/>
  <c r="CD9" i="5"/>
  <c r="CD98" i="5" l="1"/>
  <c r="CE68" i="6"/>
  <c r="CE70" i="6"/>
  <c r="CD8" i="5"/>
  <c r="CE9" i="5" l="1"/>
  <c r="CE96" i="5"/>
  <c r="CF18" i="5"/>
  <c r="CE98" i="5" l="1"/>
  <c r="CE8" i="5"/>
  <c r="CF68" i="6"/>
  <c r="CF70" i="6"/>
  <c r="CG18" i="5"/>
  <c r="CG68" i="6" l="1"/>
  <c r="CG70" i="6"/>
  <c r="CI18" i="5"/>
  <c r="CF96" i="5" l="1"/>
  <c r="CF9" i="5"/>
  <c r="CI68" i="6"/>
  <c r="CI70" i="6"/>
  <c r="CG66" i="5"/>
  <c r="CI9" i="5" l="1"/>
  <c r="CI96" i="5"/>
  <c r="CJ18" i="5"/>
  <c r="CF8" i="5"/>
  <c r="CG8" i="5" s="1"/>
  <c r="CG9" i="5"/>
  <c r="CF98" i="5"/>
  <c r="CG98" i="5" s="1"/>
  <c r="CG96" i="5"/>
  <c r="CJ68" i="6" l="1"/>
  <c r="CJ70" i="6"/>
  <c r="CI98" i="5"/>
  <c r="CI8" i="5"/>
  <c r="CJ9" i="5" l="1"/>
  <c r="CJ96" i="5"/>
  <c r="CK18" i="5"/>
  <c r="CJ98" i="5" l="1"/>
  <c r="CK68" i="6"/>
  <c r="CK70" i="6"/>
  <c r="CJ8" i="5"/>
  <c r="CK96" i="5" l="1"/>
  <c r="CK9" i="5"/>
  <c r="CK8" i="5" l="1"/>
  <c r="CL18" i="5"/>
  <c r="CK98" i="5"/>
  <c r="CL68" i="6" l="1"/>
  <c r="CL70" i="6"/>
  <c r="CM18" i="5"/>
  <c r="CL96" i="5" l="1"/>
  <c r="CL9" i="5"/>
  <c r="CM68" i="6"/>
  <c r="CM70" i="6"/>
  <c r="BR33" i="5"/>
  <c r="CL8" i="5" l="1"/>
  <c r="CM8" i="5" s="1"/>
  <c r="CM9" i="5"/>
  <c r="CL98" i="5"/>
  <c r="CM98" i="5" s="1"/>
  <c r="CM96" i="5"/>
  <c r="BR57" i="5"/>
  <c r="BR32" i="5"/>
  <c r="BR30" i="5"/>
  <c r="BR31" i="5" l="1"/>
  <c r="BR34" i="5"/>
  <c r="BR64" i="6" l="1"/>
  <c r="BR56" i="5"/>
  <c r="BR99" i="5"/>
  <c r="BR8" i="7" s="1"/>
  <c r="BR121" i="5"/>
  <c r="BR45" i="5"/>
  <c r="BR27" i="7" l="1"/>
  <c r="BR10" i="7"/>
  <c r="BR62" i="7" l="1"/>
  <c r="BR57" i="7"/>
  <c r="BR59" i="7" l="1"/>
  <c r="BR63" i="7"/>
  <c r="BR47" i="6"/>
  <c r="BR64" i="7" l="1"/>
  <c r="BS58" i="7"/>
  <c r="BR51" i="6"/>
  <c r="BR53" i="6" l="1"/>
  <c r="BR72" i="6"/>
  <c r="BR73" i="6"/>
  <c r="BR62" i="6"/>
  <c r="BR8" i="6" l="1"/>
  <c r="BR77" i="6" l="1"/>
  <c r="BR78" i="6"/>
  <c r="BR17" i="6"/>
  <c r="BR58" i="6"/>
  <c r="BR71" i="6" l="1"/>
  <c r="BR59" i="6"/>
  <c r="BR76" i="6"/>
  <c r="BR27" i="6"/>
  <c r="BR63" i="6" l="1"/>
  <c r="BR54" i="6"/>
  <c r="BS19" i="5" l="1"/>
  <c r="BS23" i="5" l="1"/>
  <c r="BS54" i="5" l="1"/>
  <c r="BS44" i="5"/>
  <c r="BS24" i="5"/>
  <c r="BS26" i="5" l="1"/>
  <c r="BS112" i="7" l="1"/>
  <c r="BS115" i="7" s="1"/>
  <c r="BS55" i="5"/>
  <c r="BS108" i="7" l="1"/>
  <c r="BS110" i="7" s="1"/>
  <c r="BS30" i="5" s="1"/>
  <c r="BS80" i="7" l="1"/>
  <c r="BS81" i="7" s="1"/>
  <c r="BS117" i="7"/>
  <c r="BS32" i="5"/>
  <c r="BS31" i="5"/>
  <c r="BS33" i="5" l="1"/>
  <c r="BS64" i="6"/>
  <c r="BS99" i="5"/>
  <c r="BS8" i="7" s="1"/>
  <c r="BS121" i="5"/>
  <c r="BS45" i="5"/>
  <c r="BS27" i="7" l="1"/>
  <c r="BS10" i="7"/>
  <c r="BS34" i="5"/>
  <c r="BS57" i="5"/>
  <c r="BS47" i="6"/>
  <c r="BS56" i="5" l="1"/>
  <c r="BS57" i="7"/>
  <c r="BS62" i="7"/>
  <c r="BS51" i="6"/>
  <c r="BS59" i="7" l="1"/>
  <c r="BS63" i="7"/>
  <c r="BS53" i="6"/>
  <c r="BS72" i="6"/>
  <c r="BS73" i="6"/>
  <c r="BS62" i="6"/>
  <c r="BS8" i="6" l="1"/>
  <c r="BS64" i="7"/>
  <c r="BT58" i="7"/>
  <c r="BS78" i="6"/>
  <c r="BS77" i="6"/>
  <c r="BS17" i="6"/>
  <c r="BS58" i="6" l="1"/>
  <c r="BS76" i="6"/>
  <c r="BS27" i="6"/>
  <c r="BS71" i="6"/>
  <c r="BS59" i="6"/>
  <c r="BS63" i="6" l="1"/>
  <c r="BS54" i="6"/>
  <c r="BT19" i="5"/>
  <c r="BU21" i="5"/>
  <c r="BT23" i="5" l="1"/>
  <c r="BU19" i="5"/>
  <c r="BT54" i="5" l="1"/>
  <c r="BT44" i="5"/>
  <c r="BT24" i="5"/>
  <c r="BU23" i="5"/>
  <c r="BU24" i="5" l="1"/>
  <c r="BT26" i="5"/>
  <c r="BU54" i="5"/>
  <c r="BU44" i="5"/>
  <c r="BU26" i="5" l="1"/>
  <c r="BU25" i="5"/>
  <c r="BT112" i="7"/>
  <c r="BT55" i="5"/>
  <c r="BU71" i="7" l="1"/>
  <c r="BU55" i="5"/>
  <c r="BT115" i="7"/>
  <c r="BT108" i="7"/>
  <c r="BT110" i="7" s="1"/>
  <c r="BT32" i="5" l="1"/>
  <c r="BU32" i="5" s="1"/>
  <c r="BT117" i="7"/>
  <c r="BT80" i="7"/>
  <c r="BT30" i="5"/>
  <c r="BT81" i="7" l="1"/>
  <c r="BU80" i="7"/>
  <c r="BU30" i="5"/>
  <c r="BU31" i="5" s="1"/>
  <c r="BT31" i="5"/>
  <c r="BU81" i="7" l="1"/>
  <c r="BT33" i="5"/>
  <c r="BT64" i="6"/>
  <c r="BU64" i="6"/>
  <c r="BT121" i="5"/>
  <c r="BT99" i="5"/>
  <c r="BT8" i="7" s="1"/>
  <c r="BT45" i="5"/>
  <c r="BU99" i="5"/>
  <c r="BU121" i="5"/>
  <c r="BU45" i="5"/>
  <c r="BT57" i="5" l="1"/>
  <c r="BT34" i="5"/>
  <c r="BU33" i="5"/>
  <c r="BT27" i="7"/>
  <c r="BT10" i="7"/>
  <c r="BU8" i="7"/>
  <c r="BT47" i="6"/>
  <c r="BU27" i="7" l="1"/>
  <c r="BU10" i="7"/>
  <c r="BU57" i="5"/>
  <c r="BU34" i="5"/>
  <c r="BT56" i="5"/>
  <c r="BT57" i="7"/>
  <c r="BT62" i="7"/>
  <c r="BU47" i="6"/>
  <c r="BT51" i="6"/>
  <c r="BU51" i="6" l="1"/>
  <c r="BT63" i="7"/>
  <c r="BT59" i="7"/>
  <c r="BQ85" i="5"/>
  <c r="BW86" i="5" s="1"/>
  <c r="BT85" i="5"/>
  <c r="BZ86" i="5" s="1"/>
  <c r="BR85" i="5"/>
  <c r="BX86" i="5" s="1"/>
  <c r="BS85" i="5"/>
  <c r="BY86" i="5" s="1"/>
  <c r="BU56" i="5"/>
  <c r="BU62" i="7"/>
  <c r="BU57" i="7"/>
  <c r="BT53" i="6"/>
  <c r="BT73" i="6"/>
  <c r="BT72" i="6"/>
  <c r="BT62" i="6"/>
  <c r="BU62" i="6"/>
  <c r="BU53" i="6" l="1"/>
  <c r="BU73" i="6"/>
  <c r="BT8" i="6"/>
  <c r="BU72" i="6"/>
  <c r="BT64" i="7"/>
  <c r="BU59" i="7"/>
  <c r="BU63" i="7"/>
  <c r="BT77" i="6"/>
  <c r="BU8" i="6"/>
  <c r="BT17" i="6" l="1"/>
  <c r="BT78" i="6"/>
  <c r="BT58" i="6"/>
  <c r="BU64" i="7"/>
  <c r="CA58" i="7"/>
  <c r="BW58" i="7"/>
  <c r="BU77" i="6"/>
  <c r="BU78" i="6"/>
  <c r="BU17" i="6"/>
  <c r="BU58" i="6"/>
  <c r="BT76" i="6"/>
  <c r="BT27" i="6"/>
  <c r="BT59" i="6" l="1"/>
  <c r="BT71" i="6"/>
  <c r="BU71" i="6"/>
  <c r="BU59" i="6"/>
  <c r="BU76" i="6"/>
  <c r="BU27" i="6"/>
  <c r="BT63" i="6"/>
  <c r="BU63" i="6"/>
  <c r="BT54" i="6"/>
  <c r="BU54" i="6" l="1"/>
  <c r="BW19" i="5" l="1"/>
  <c r="BW23" i="5"/>
  <c r="BU67" i="5" l="1"/>
  <c r="BW54" i="5"/>
  <c r="BW44" i="5"/>
  <c r="BW24" i="5"/>
  <c r="BW26" i="5" l="1"/>
  <c r="BU68" i="5"/>
  <c r="BU69" i="5" s="1"/>
  <c r="BW55" i="5" l="1"/>
  <c r="BU70" i="5"/>
  <c r="BW112" i="7"/>
  <c r="BW115" i="7" l="1"/>
  <c r="BW108" i="7"/>
  <c r="BW110" i="7" s="1"/>
  <c r="BW80" i="7" l="1"/>
  <c r="BW81" i="7" s="1"/>
  <c r="BW117" i="7"/>
  <c r="BW30" i="5"/>
  <c r="BW32" i="5"/>
  <c r="BW33" i="5" l="1"/>
  <c r="BW31" i="5"/>
  <c r="BW64" i="6" l="1"/>
  <c r="BW57" i="5"/>
  <c r="BW121" i="5"/>
  <c r="BW99" i="5"/>
  <c r="BW8" i="7" s="1"/>
  <c r="BW45" i="5"/>
  <c r="BW34" i="5"/>
  <c r="BW27" i="7" l="1"/>
  <c r="BW10" i="7"/>
  <c r="BW47" i="6"/>
  <c r="BW56" i="5"/>
  <c r="BU71" i="5"/>
  <c r="BW57" i="7" l="1"/>
  <c r="BW62" i="7"/>
  <c r="BW51" i="6"/>
  <c r="BU72" i="5"/>
  <c r="BW59" i="7" l="1"/>
  <c r="BW63" i="7"/>
  <c r="BW53" i="6"/>
  <c r="BW73" i="6"/>
  <c r="BW72" i="6"/>
  <c r="BW62" i="6"/>
  <c r="BW64" i="7" l="1"/>
  <c r="BX58" i="7"/>
  <c r="BW8" i="6"/>
  <c r="BW17" i="6" l="1"/>
  <c r="BW58" i="6"/>
  <c r="BW78" i="6"/>
  <c r="BW77" i="6"/>
  <c r="BX19" i="5" l="1"/>
  <c r="BW59" i="6"/>
  <c r="BW71" i="6"/>
  <c r="BW76" i="6"/>
  <c r="BW27" i="6"/>
  <c r="BX23" i="5" l="1"/>
  <c r="BW63" i="6"/>
  <c r="BW54" i="6"/>
  <c r="BX24" i="5" l="1"/>
  <c r="BX44" i="5"/>
  <c r="BX54" i="5"/>
  <c r="BX26" i="5" l="1"/>
  <c r="BX112" i="7"/>
  <c r="BX55" i="5" l="1"/>
  <c r="BX115" i="7"/>
  <c r="BX108" i="7"/>
  <c r="BX110" i="7" s="1"/>
  <c r="BX80" i="7" l="1"/>
  <c r="BX81" i="7" s="1"/>
  <c r="BX33" i="5" s="1"/>
  <c r="BX117" i="7"/>
  <c r="BX30" i="5"/>
  <c r="BX32" i="5"/>
  <c r="BX34" i="5" l="1"/>
  <c r="BX57" i="5"/>
  <c r="BX31" i="5"/>
  <c r="BX64" i="6" l="1"/>
  <c r="BX121" i="5"/>
  <c r="BX99" i="5"/>
  <c r="BX8" i="7" s="1"/>
  <c r="BX45" i="5"/>
  <c r="BX56" i="5"/>
  <c r="BX10" i="7" l="1"/>
  <c r="BX27" i="7"/>
  <c r="BX47" i="6"/>
  <c r="BX62" i="7" l="1"/>
  <c r="BX57" i="7"/>
  <c r="BX51" i="6"/>
  <c r="BX63" i="7" l="1"/>
  <c r="BX59" i="7"/>
  <c r="BX53" i="6"/>
  <c r="BX73" i="6"/>
  <c r="BX72" i="6"/>
  <c r="BX62" i="6"/>
  <c r="BY58" i="7" l="1"/>
  <c r="BX8" i="6"/>
  <c r="BX64" i="7"/>
  <c r="BX17" i="6" l="1"/>
  <c r="BX58" i="6"/>
  <c r="BX77" i="6"/>
  <c r="BX78" i="6"/>
  <c r="BY19" i="5" l="1"/>
  <c r="BX59" i="6"/>
  <c r="BX71" i="6"/>
  <c r="BX76" i="6"/>
  <c r="BX27" i="6"/>
  <c r="BY23" i="5" l="1"/>
  <c r="BX63" i="6"/>
  <c r="BX54" i="6"/>
  <c r="BY24" i="5" l="1"/>
  <c r="BY44" i="5"/>
  <c r="BY54" i="5"/>
  <c r="BY26" i="5" l="1"/>
  <c r="BY112" i="7" l="1"/>
  <c r="BY115" i="7" s="1"/>
  <c r="BY55" i="5"/>
  <c r="BY108" i="7" l="1"/>
  <c r="BY110" i="7" s="1"/>
  <c r="BY117" i="7" s="1"/>
  <c r="BY30" i="5"/>
  <c r="BY80" i="7" l="1"/>
  <c r="BY81" i="7" s="1"/>
  <c r="BY33" i="5" s="1"/>
  <c r="BY32" i="5"/>
  <c r="BY31" i="5"/>
  <c r="BY34" i="5" l="1"/>
  <c r="CE57" i="5"/>
  <c r="BY57" i="5"/>
  <c r="BY64" i="6"/>
  <c r="BY99" i="5"/>
  <c r="BY8" i="7" s="1"/>
  <c r="BY121" i="5"/>
  <c r="BY45" i="5"/>
  <c r="BY56" i="5" l="1"/>
  <c r="BY27" i="7"/>
  <c r="BY10" i="7"/>
  <c r="BY47" i="6"/>
  <c r="BY62" i="7" l="1"/>
  <c r="BY57" i="7"/>
  <c r="BY51" i="6"/>
  <c r="BY59" i="7" l="1"/>
  <c r="BY63" i="7"/>
  <c r="BY53" i="6"/>
  <c r="BY73" i="6"/>
  <c r="BY72" i="6"/>
  <c r="BY62" i="6"/>
  <c r="BY64" i="7" l="1"/>
  <c r="BZ58" i="7"/>
  <c r="BY8" i="6"/>
  <c r="BY17" i="6" l="1"/>
  <c r="BY58" i="6"/>
  <c r="BY78" i="6"/>
  <c r="BY77" i="6"/>
  <c r="BY59" i="6" l="1"/>
  <c r="BY71" i="6"/>
  <c r="BY76" i="6"/>
  <c r="BY27" i="6"/>
  <c r="CA21" i="5" l="1"/>
  <c r="BZ19" i="5"/>
  <c r="BY63" i="6"/>
  <c r="BY54" i="6"/>
  <c r="BZ23" i="5" l="1"/>
  <c r="CA19" i="5"/>
  <c r="BZ54" i="5" l="1"/>
  <c r="BZ24" i="5"/>
  <c r="BZ44" i="5"/>
  <c r="CA23" i="5"/>
  <c r="CA24" i="5" l="1"/>
  <c r="BZ26" i="5"/>
  <c r="CA44" i="5"/>
  <c r="CA54" i="5"/>
  <c r="CA26" i="5" l="1"/>
  <c r="BZ112" i="7"/>
  <c r="BZ55" i="5"/>
  <c r="CA25" i="5"/>
  <c r="CA55" i="5" l="1"/>
  <c r="CA71" i="7"/>
  <c r="BZ108" i="7"/>
  <c r="BZ110" i="7" s="1"/>
  <c r="BZ115" i="7"/>
  <c r="BZ80" i="7" l="1"/>
  <c r="BZ117" i="7"/>
  <c r="BZ30" i="5"/>
  <c r="BZ32" i="5"/>
  <c r="CA32" i="5" s="1"/>
  <c r="CA30" i="5" l="1"/>
  <c r="CA31" i="5" s="1"/>
  <c r="BZ31" i="5"/>
  <c r="BZ81" i="7"/>
  <c r="CA80" i="7"/>
  <c r="BZ121" i="5" l="1"/>
  <c r="BZ45" i="5"/>
  <c r="BZ64" i="6"/>
  <c r="BZ99" i="5"/>
  <c r="BZ8" i="7" s="1"/>
  <c r="CA81" i="7"/>
  <c r="BZ33" i="5"/>
  <c r="CA45" i="5"/>
  <c r="CA121" i="5"/>
  <c r="CA64" i="6"/>
  <c r="CA99" i="5"/>
  <c r="CA8" i="7" s="1"/>
  <c r="BZ47" i="6" l="1"/>
  <c r="BZ27" i="7"/>
  <c r="BZ10" i="7"/>
  <c r="CA10" i="7"/>
  <c r="CA27" i="7"/>
  <c r="BZ57" i="5"/>
  <c r="CF57" i="5"/>
  <c r="CA33" i="5"/>
  <c r="BZ34" i="5"/>
  <c r="CA47" i="6" l="1"/>
  <c r="BZ51" i="6"/>
  <c r="BZ57" i="7"/>
  <c r="BZ62" i="7"/>
  <c r="BZ56" i="5"/>
  <c r="CA57" i="5"/>
  <c r="CA34" i="5"/>
  <c r="CA57" i="7"/>
  <c r="CA62" i="7"/>
  <c r="BZ63" i="7"/>
  <c r="CA62" i="6"/>
  <c r="BZ59" i="7" l="1"/>
  <c r="BZ72" i="6"/>
  <c r="BZ62" i="6"/>
  <c r="CA51" i="6"/>
  <c r="BZ53" i="6"/>
  <c r="BZ73" i="6"/>
  <c r="BW85" i="5"/>
  <c r="CC86" i="5" s="1"/>
  <c r="BY85" i="5"/>
  <c r="CE86" i="5" s="1"/>
  <c r="BX85" i="5"/>
  <c r="CD86" i="5" s="1"/>
  <c r="CA56" i="5"/>
  <c r="BZ85" i="5"/>
  <c r="CF86" i="5" s="1"/>
  <c r="CA63" i="7"/>
  <c r="BZ64" i="7"/>
  <c r="CA59" i="7"/>
  <c r="BZ8" i="6" l="1"/>
  <c r="BZ17" i="6" s="1"/>
  <c r="CA72" i="6"/>
  <c r="CA73" i="6"/>
  <c r="CA53" i="6"/>
  <c r="CA64" i="7"/>
  <c r="CG58" i="7"/>
  <c r="CC58" i="7"/>
  <c r="BZ78" i="6"/>
  <c r="BZ58" i="6" l="1"/>
  <c r="BZ77" i="6"/>
  <c r="CA8" i="6"/>
  <c r="CA78" i="6" s="1"/>
  <c r="CA77" i="6"/>
  <c r="BZ76" i="6"/>
  <c r="BZ27" i="6"/>
  <c r="BZ71" i="6"/>
  <c r="BZ59" i="6"/>
  <c r="CA17" i="6" l="1"/>
  <c r="CA58" i="6"/>
  <c r="CA76" i="6"/>
  <c r="BZ54" i="6"/>
  <c r="CA63" i="6"/>
  <c r="BZ63" i="6"/>
  <c r="CA59" i="6"/>
  <c r="CA71" i="6"/>
  <c r="CA27" i="6" l="1"/>
  <c r="CA54" i="6" l="1"/>
  <c r="CC19" i="5"/>
  <c r="CC23" i="5" l="1"/>
  <c r="CC44" i="5" l="1"/>
  <c r="CC54" i="5"/>
  <c r="CA67" i="5"/>
  <c r="CC24" i="5"/>
  <c r="CA68" i="5" l="1"/>
  <c r="CA69" i="5" s="1"/>
  <c r="CC26" i="5"/>
  <c r="CC112" i="7" l="1"/>
  <c r="CA70" i="5"/>
  <c r="CC55" i="5"/>
  <c r="CC115" i="7" l="1"/>
  <c r="CC108" i="7"/>
  <c r="CC110" i="7" s="1"/>
  <c r="CC117" i="7" l="1"/>
  <c r="CC80" i="7"/>
  <c r="CC81" i="7" s="1"/>
  <c r="CC33" i="5" s="1"/>
  <c r="CC32" i="5"/>
  <c r="CC34" i="5" s="1"/>
  <c r="CC30" i="5"/>
  <c r="CC31" i="5" s="1"/>
  <c r="CI57" i="5" l="1"/>
  <c r="CC57" i="5"/>
  <c r="CC56" i="5"/>
  <c r="CA71" i="5"/>
  <c r="CA72" i="5" s="1"/>
  <c r="CC64" i="6"/>
  <c r="CC45" i="5"/>
  <c r="CC99" i="5"/>
  <c r="CC8" i="7" s="1"/>
  <c r="CC121" i="5"/>
  <c r="CC27" i="7"/>
  <c r="CC47" i="6"/>
  <c r="CC10" i="7" l="1"/>
  <c r="CC51" i="6"/>
  <c r="CC57" i="7"/>
  <c r="CC62" i="7"/>
  <c r="CC72" i="6" l="1"/>
  <c r="CC62" i="6"/>
  <c r="CC73" i="6"/>
  <c r="CC63" i="7"/>
  <c r="CC59" i="7"/>
  <c r="CC53" i="6"/>
  <c r="CD58" i="7" l="1"/>
  <c r="CC8" i="6"/>
  <c r="CC64" i="7"/>
  <c r="CC77" i="6" l="1"/>
  <c r="CC58" i="6"/>
  <c r="CC78" i="6"/>
  <c r="CC17" i="6"/>
  <c r="CC71" i="6" l="1"/>
  <c r="CC59" i="6"/>
  <c r="CC76" i="6"/>
  <c r="CC27" i="6"/>
  <c r="CD19" i="5" l="1"/>
  <c r="CD23" i="5"/>
  <c r="CC63" i="6"/>
  <c r="CC54" i="6"/>
  <c r="CD24" i="5" l="1"/>
  <c r="CD44" i="5"/>
  <c r="CD54" i="5"/>
  <c r="CD26" i="5" l="1"/>
  <c r="CD55" i="5" l="1"/>
  <c r="CD112" i="7"/>
  <c r="CD115" i="7" s="1"/>
  <c r="CD108" i="7"/>
  <c r="CD110" i="7" s="1"/>
  <c r="CD117" i="7" l="1"/>
  <c r="CD80" i="7"/>
  <c r="CD81" i="7" s="1"/>
  <c r="CD32" i="5"/>
  <c r="CD30" i="5"/>
  <c r="CG30" i="5" l="1"/>
  <c r="CD31" i="5"/>
  <c r="CG81" i="7"/>
  <c r="CD33" i="5"/>
  <c r="CD34" i="5" l="1"/>
  <c r="CD56" i="5"/>
  <c r="CD121" i="5"/>
  <c r="CD45" i="5"/>
  <c r="CD64" i="6"/>
  <c r="CD99" i="5"/>
  <c r="CD8" i="7" s="1"/>
  <c r="CD57" i="5"/>
  <c r="CJ57" i="5"/>
  <c r="CG33" i="5"/>
  <c r="CD47" i="6" l="1"/>
  <c r="CG57" i="5"/>
  <c r="CM57" i="5"/>
  <c r="CD10" i="7"/>
  <c r="CD27" i="7"/>
  <c r="CD51" i="6" l="1"/>
  <c r="CD62" i="7"/>
  <c r="CD57" i="7"/>
  <c r="CD63" i="7" l="1"/>
  <c r="CD72" i="6"/>
  <c r="CD62" i="6"/>
  <c r="CD73" i="6"/>
  <c r="CD53" i="6"/>
  <c r="CD59" i="7"/>
  <c r="CD64" i="7" l="1"/>
  <c r="CE58" i="7"/>
  <c r="CD8" i="6"/>
  <c r="CD58" i="6" l="1"/>
  <c r="CD78" i="6"/>
  <c r="CD77" i="6"/>
  <c r="CD17" i="6"/>
  <c r="CD71" i="6" l="1"/>
  <c r="CD59" i="6"/>
  <c r="CD76" i="6"/>
  <c r="CD27" i="6"/>
  <c r="CE19" i="5"/>
  <c r="CD63" i="6" l="1"/>
  <c r="CD54" i="6"/>
  <c r="CE23" i="5"/>
  <c r="CE24" i="5" l="1"/>
  <c r="CE54" i="5"/>
  <c r="CE44" i="5"/>
  <c r="CE26" i="5" l="1"/>
  <c r="CE34" i="5" l="1"/>
  <c r="CE32" i="5"/>
  <c r="CE55" i="5"/>
  <c r="CE31" i="5"/>
  <c r="CE56" i="5" l="1"/>
  <c r="CE64" i="6"/>
  <c r="CE45" i="5"/>
  <c r="CE99" i="5"/>
  <c r="CE8" i="7" s="1"/>
  <c r="CE121" i="5"/>
  <c r="CE47" i="6" l="1"/>
  <c r="CE27" i="7"/>
  <c r="CE10" i="7"/>
  <c r="CE51" i="6" l="1"/>
  <c r="CE57" i="7"/>
  <c r="CE62" i="7"/>
  <c r="CE63" i="7" l="1"/>
  <c r="CE59" i="7"/>
  <c r="CE73" i="6"/>
  <c r="CE53" i="6"/>
  <c r="CE62" i="6"/>
  <c r="CE72" i="6"/>
  <c r="CF58" i="7" l="1"/>
  <c r="CE64" i="7"/>
  <c r="CE8" i="6"/>
  <c r="CE58" i="6" l="1"/>
  <c r="CE17" i="6"/>
  <c r="CE78" i="6"/>
  <c r="CE77" i="6"/>
  <c r="CE59" i="6"/>
  <c r="CE71" i="6"/>
  <c r="CE76" i="6" l="1"/>
  <c r="CE27" i="6"/>
  <c r="CE63" i="6" l="1"/>
  <c r="CG21" i="5"/>
  <c r="CF19" i="5"/>
  <c r="CE54" i="6"/>
  <c r="CF23" i="5" l="1"/>
  <c r="CG19" i="5"/>
  <c r="CF54" i="5"/>
  <c r="CF44" i="5"/>
  <c r="CF24" i="5"/>
  <c r="CG23" i="5"/>
  <c r="CG24" i="5" l="1"/>
  <c r="CF26" i="5"/>
  <c r="CG44" i="5"/>
  <c r="CG54" i="5"/>
  <c r="CG26" i="5" l="1"/>
  <c r="CF34" i="5"/>
  <c r="CF32" i="5"/>
  <c r="CG32" i="5" s="1"/>
  <c r="CG34" i="5" s="1"/>
  <c r="CF31" i="5"/>
  <c r="CF55" i="5"/>
  <c r="CG55" i="5"/>
  <c r="CG31" i="5"/>
  <c r="CG25" i="5"/>
  <c r="CG71" i="7" l="1"/>
  <c r="CF64" i="6"/>
  <c r="CF121" i="5"/>
  <c r="CF99" i="5"/>
  <c r="CF8" i="7" s="1"/>
  <c r="CF45" i="5"/>
  <c r="CC85" i="5"/>
  <c r="CI86" i="5" s="1"/>
  <c r="CE85" i="5"/>
  <c r="CK86" i="5" s="1"/>
  <c r="CD85" i="5"/>
  <c r="CJ86" i="5" s="1"/>
  <c r="CG56" i="5"/>
  <c r="CF56" i="5"/>
  <c r="CF85" i="5"/>
  <c r="CL86" i="5" s="1"/>
  <c r="CG99" i="5"/>
  <c r="CG8" i="7" s="1"/>
  <c r="CG45" i="5"/>
  <c r="CG121" i="5"/>
  <c r="CG64" i="6"/>
  <c r="CF10" i="7" l="1"/>
  <c r="CF47" i="6"/>
  <c r="CF27" i="7"/>
  <c r="CG10" i="7"/>
  <c r="CG27" i="7"/>
  <c r="CF57" i="7" l="1"/>
  <c r="CF62" i="7"/>
  <c r="CG47" i="6"/>
  <c r="CF51" i="6"/>
  <c r="CG57" i="7"/>
  <c r="CG62" i="7"/>
  <c r="CG59" i="7" l="1"/>
  <c r="CF59" i="7"/>
  <c r="CF63" i="7"/>
  <c r="CF73" i="6"/>
  <c r="CF72" i="6"/>
  <c r="CF53" i="6"/>
  <c r="CG62" i="6"/>
  <c r="CF62" i="6"/>
  <c r="CG63" i="7"/>
  <c r="CG51" i="6"/>
  <c r="CF8" i="6" l="1"/>
  <c r="CG53" i="6"/>
  <c r="CG73" i="6"/>
  <c r="CG72" i="6"/>
  <c r="CG64" i="7"/>
  <c r="CF64" i="7"/>
  <c r="CM58" i="7"/>
  <c r="CI58" i="7"/>
  <c r="CF17" i="6" l="1"/>
  <c r="CF77" i="6"/>
  <c r="CF58" i="6"/>
  <c r="CG8" i="6"/>
  <c r="CF78" i="6"/>
  <c r="CG77" i="6" l="1"/>
  <c r="CG17" i="6"/>
  <c r="CG58" i="6"/>
  <c r="CG78" i="6"/>
  <c r="CF27" i="6"/>
  <c r="CF76" i="6"/>
  <c r="CF71" i="6"/>
  <c r="CF59" i="6"/>
  <c r="CF63" i="6" l="1"/>
  <c r="CG63" i="6"/>
  <c r="CF54" i="6"/>
  <c r="CG27" i="6"/>
  <c r="CG76" i="6"/>
  <c r="CI19" i="5"/>
  <c r="CG59" i="6"/>
  <c r="CG71" i="6"/>
  <c r="CI23" i="5" l="1"/>
  <c r="CG54" i="6"/>
  <c r="CI24" i="5" l="1"/>
  <c r="CI54" i="5"/>
  <c r="CI44" i="5"/>
  <c r="CG67" i="5"/>
  <c r="CG68" i="5" l="1"/>
  <c r="CG69" i="5" s="1"/>
  <c r="CI26" i="5"/>
  <c r="CI31" i="5" l="1"/>
  <c r="CI34" i="5"/>
  <c r="CI64" i="6"/>
  <c r="CG70" i="5"/>
  <c r="CI32" i="5"/>
  <c r="CI55" i="5"/>
  <c r="CI45" i="5"/>
  <c r="CI99" i="5"/>
  <c r="CI8" i="7" s="1"/>
  <c r="CI121" i="5"/>
  <c r="CI56" i="5"/>
  <c r="CG71" i="5"/>
  <c r="CG72" i="5" l="1"/>
  <c r="CI27" i="7"/>
  <c r="CI10" i="7"/>
  <c r="CI47" i="6"/>
  <c r="CI51" i="6" l="1"/>
  <c r="CI57" i="7"/>
  <c r="CI62" i="7"/>
  <c r="CI59" i="7" l="1"/>
  <c r="CI63" i="7"/>
  <c r="CI73" i="6"/>
  <c r="CI72" i="6"/>
  <c r="CI62" i="6"/>
  <c r="CI53" i="6"/>
  <c r="CI8" i="6" l="1"/>
  <c r="CI64" i="7"/>
  <c r="CI17" i="6"/>
  <c r="CJ58" i="7"/>
  <c r="CI77" i="6"/>
  <c r="CI58" i="6"/>
  <c r="CI78" i="6" l="1"/>
  <c r="CI76" i="6"/>
  <c r="CI71" i="6"/>
  <c r="CI27" i="6"/>
  <c r="CI59" i="6"/>
  <c r="CI63" i="6" l="1"/>
  <c r="CI54" i="6"/>
  <c r="CJ19" i="5" l="1"/>
  <c r="CJ23" i="5" l="1"/>
  <c r="CJ54" i="5" l="1"/>
  <c r="CJ44" i="5"/>
  <c r="CJ24" i="5"/>
  <c r="CJ26" i="5"/>
  <c r="CJ55" i="5"/>
  <c r="CJ31" i="5"/>
  <c r="CJ34" i="5" l="1"/>
  <c r="CJ32" i="5"/>
  <c r="CJ64" i="6"/>
  <c r="CJ121" i="5"/>
  <c r="CJ99" i="5"/>
  <c r="CJ8" i="7" s="1"/>
  <c r="CJ45" i="5"/>
  <c r="CJ56" i="5" l="1"/>
  <c r="CJ27" i="7"/>
  <c r="CJ10" i="7"/>
  <c r="CJ47" i="6"/>
  <c r="CJ57" i="7" l="1"/>
  <c r="CJ62" i="7"/>
  <c r="CJ51" i="6"/>
  <c r="CJ63" i="7" l="1"/>
  <c r="CJ59" i="7"/>
  <c r="CJ53" i="6"/>
  <c r="CJ73" i="6"/>
  <c r="CJ72" i="6"/>
  <c r="CJ62" i="6"/>
  <c r="CJ8" i="6" l="1"/>
  <c r="CK58" i="7"/>
  <c r="CJ58" i="6"/>
  <c r="CJ77" i="6"/>
  <c r="CJ64" i="7"/>
  <c r="CJ17" i="6"/>
  <c r="CJ27" i="6" l="1"/>
  <c r="CJ78" i="6"/>
  <c r="CJ59" i="6"/>
  <c r="CJ71" i="6"/>
  <c r="CJ76" i="6"/>
  <c r="CJ54" i="6"/>
  <c r="CJ63" i="6" l="1"/>
  <c r="CK19" i="5" l="1"/>
  <c r="CK23" i="5" l="1"/>
  <c r="CK54" i="5" l="1"/>
  <c r="CK44" i="5"/>
  <c r="CK24" i="5"/>
  <c r="CK26" i="5"/>
  <c r="CK55" i="5" l="1"/>
  <c r="CK31" i="5"/>
  <c r="CK32" i="5"/>
  <c r="CK34" i="5"/>
  <c r="CK64" i="6"/>
  <c r="CK56" i="5"/>
  <c r="CK99" i="5"/>
  <c r="CK8" i="7" s="1"/>
  <c r="CK121" i="5"/>
  <c r="CK45" i="5"/>
  <c r="CK27" i="7" l="1"/>
  <c r="CK10" i="7"/>
  <c r="CK47" i="6"/>
  <c r="CK57" i="7" l="1"/>
  <c r="CK62" i="7"/>
  <c r="CK51" i="6"/>
  <c r="CK59" i="7" l="1"/>
  <c r="CK63" i="7"/>
  <c r="CK53" i="6"/>
  <c r="CK73" i="6"/>
  <c r="CK72" i="6"/>
  <c r="CK62" i="6"/>
  <c r="CK64" i="7" l="1"/>
  <c r="CL58" i="7"/>
  <c r="CK8" i="6"/>
  <c r="CK17" i="6" l="1"/>
  <c r="CK78" i="6"/>
  <c r="CK58" i="6"/>
  <c r="CK77" i="6"/>
  <c r="CK27" i="6" l="1"/>
  <c r="CK76" i="6"/>
  <c r="CK59" i="6"/>
  <c r="CK71" i="6"/>
  <c r="CM21" i="5" l="1"/>
  <c r="CL19" i="5"/>
  <c r="CK63" i="6"/>
  <c r="CK54" i="6"/>
  <c r="CM19" i="5" l="1"/>
  <c r="CL23" i="5"/>
  <c r="CL54" i="5" l="1"/>
  <c r="CL44" i="5"/>
  <c r="CL24" i="5"/>
  <c r="CM23" i="5"/>
  <c r="CM44" i="5" l="1"/>
  <c r="CM54" i="5"/>
  <c r="CM24" i="5"/>
  <c r="CL26" i="5"/>
  <c r="CM26" i="5" l="1"/>
  <c r="CL55" i="5"/>
  <c r="CL32" i="5"/>
  <c r="CM32" i="5" s="1"/>
  <c r="CL34" i="5"/>
  <c r="CL31" i="5"/>
  <c r="CM55" i="5"/>
  <c r="CM31" i="5"/>
  <c r="CM25" i="5"/>
  <c r="CM34" i="5" l="1"/>
  <c r="CM71" i="7"/>
  <c r="CJ85" i="5"/>
  <c r="CK85" i="5"/>
  <c r="CL85" i="5"/>
  <c r="CL56" i="5"/>
  <c r="CM99" i="5"/>
  <c r="CM8" i="7" s="1"/>
  <c r="CM45" i="5"/>
  <c r="CM64" i="6"/>
  <c r="CM121" i="5"/>
  <c r="CL45" i="5"/>
  <c r="CL64" i="6"/>
  <c r="CL99" i="5"/>
  <c r="CL8" i="7" s="1"/>
  <c r="CL121" i="5"/>
  <c r="CI85" i="5" l="1"/>
  <c r="CM56" i="5"/>
  <c r="CL47" i="6"/>
  <c r="CM27" i="7"/>
  <c r="CM10" i="7"/>
  <c r="CL27" i="7"/>
  <c r="CL10" i="7"/>
  <c r="CM47" i="6"/>
  <c r="CL51" i="6"/>
  <c r="CM62" i="7" l="1"/>
  <c r="CM57" i="7"/>
  <c r="CM51" i="6"/>
  <c r="CL62" i="7"/>
  <c r="CL57" i="7"/>
  <c r="CL53" i="6"/>
  <c r="CL73" i="6"/>
  <c r="CL72" i="6"/>
  <c r="CL62" i="6"/>
  <c r="CM62" i="6"/>
  <c r="CM73" i="6" l="1"/>
  <c r="CL59" i="7"/>
  <c r="CL63" i="7"/>
  <c r="CM59" i="7"/>
  <c r="CM53" i="6"/>
  <c r="CM63" i="7"/>
  <c r="CM72" i="6"/>
  <c r="CL64" i="7" l="1"/>
  <c r="CM64" i="7"/>
  <c r="CL8" i="6"/>
  <c r="CM8" i="6" l="1"/>
  <c r="CL77" i="6"/>
  <c r="CL58" i="6"/>
  <c r="CL17" i="6"/>
  <c r="CL78" i="6"/>
  <c r="CM78" i="6" l="1"/>
  <c r="CM17" i="6"/>
  <c r="CM58" i="6"/>
  <c r="CM77" i="6"/>
  <c r="CL27" i="6"/>
  <c r="CL76" i="6"/>
  <c r="CL71" i="6"/>
  <c r="CL59" i="6"/>
  <c r="CL54" i="6" l="1"/>
  <c r="CL63" i="6"/>
  <c r="CM63" i="6"/>
  <c r="CM76" i="6"/>
  <c r="CM27" i="6"/>
  <c r="CM71" i="6"/>
  <c r="CM59" i="6"/>
  <c r="CM54" i="6" l="1"/>
</calcChain>
</file>

<file path=xl/sharedStrings.xml><?xml version="1.0" encoding="utf-8"?>
<sst xmlns="http://schemas.openxmlformats.org/spreadsheetml/2006/main" count="1144" uniqueCount="684">
  <si>
    <t>Dollars in millions, except per share data</t>
  </si>
  <si>
    <t>Fiscal year ends Sep 30</t>
  </si>
  <si>
    <t>BD Medical</t>
  </si>
  <si>
    <t>Medication Delivery Solutions</t>
  </si>
  <si>
    <t>US</t>
  </si>
  <si>
    <t>Y/Y Growth</t>
  </si>
  <si>
    <t>M&amp;A / Other</t>
  </si>
  <si>
    <t>Organic Growth</t>
  </si>
  <si>
    <t>International</t>
  </si>
  <si>
    <t>FX Impact</t>
  </si>
  <si>
    <t>CC Growth</t>
  </si>
  <si>
    <t>Total</t>
  </si>
  <si>
    <t>Diabetes</t>
  </si>
  <si>
    <t>Pharmaceutical Systems</t>
  </si>
  <si>
    <t>Total BD Medical</t>
  </si>
  <si>
    <t>BD Life Sciences</t>
  </si>
  <si>
    <t>Preanalytical Systems</t>
  </si>
  <si>
    <t>Diagnostics Systems</t>
  </si>
  <si>
    <t>Biosciences</t>
  </si>
  <si>
    <t>Total BD Life Sciences</t>
  </si>
  <si>
    <t>Surgery</t>
  </si>
  <si>
    <t>Peripheral Intervention</t>
  </si>
  <si>
    <t>Urology &amp; Critical Care</t>
  </si>
  <si>
    <t>Total BD Interventional</t>
  </si>
  <si>
    <t>Medication Management Solutions</t>
  </si>
  <si>
    <t>BD Interventional</t>
  </si>
  <si>
    <t>Becton Dickinson</t>
  </si>
  <si>
    <t>BDX.N</t>
  </si>
  <si>
    <t>Click on the following to go to specific sections of our BDX model:</t>
  </si>
  <si>
    <t>Quarterly Income Statement</t>
  </si>
  <si>
    <t>Quarterly Sales by Segment</t>
  </si>
  <si>
    <t>Quarterly Balance Sheet</t>
  </si>
  <si>
    <t>Quarterly Cash Flow Statement</t>
  </si>
  <si>
    <t xml:space="preserve"> </t>
  </si>
  <si>
    <t>Income Statement</t>
  </si>
  <si>
    <t>Revenue</t>
  </si>
  <si>
    <t>COGS</t>
  </si>
  <si>
    <t>Amortization of Intangibles</t>
  </si>
  <si>
    <t>Adj COGS</t>
  </si>
  <si>
    <t>Gross Profit</t>
  </si>
  <si>
    <t>Adj SG&amp;A</t>
  </si>
  <si>
    <t>Core SG&amp;A</t>
  </si>
  <si>
    <t>Medtech Tax</t>
  </si>
  <si>
    <t>R&amp;D</t>
  </si>
  <si>
    <t>Total Operating Expenses</t>
  </si>
  <si>
    <t>Operating Income</t>
  </si>
  <si>
    <t>EBITDA</t>
  </si>
  <si>
    <t>Net Interest Income (Expense)</t>
  </si>
  <si>
    <t>Interest Expense</t>
  </si>
  <si>
    <t>Interest Income</t>
  </si>
  <si>
    <t>Other Income (Expense)</t>
  </si>
  <si>
    <t>Pretax Income</t>
  </si>
  <si>
    <t>Income Taxes</t>
  </si>
  <si>
    <t>Tax Rate</t>
  </si>
  <si>
    <t>Income from cont. ops</t>
  </si>
  <si>
    <t>Income from Discont. Ops before Income Tax</t>
  </si>
  <si>
    <t>Income from discont. Ops, net of tax</t>
  </si>
  <si>
    <t>Preferred Stock Dividends</t>
  </si>
  <si>
    <t>Net Income</t>
  </si>
  <si>
    <t>Net Income to Common</t>
  </si>
  <si>
    <t>Fully Diluted Shares</t>
  </si>
  <si>
    <t>Diluted EPS</t>
  </si>
  <si>
    <t>Margin Analysis</t>
  </si>
  <si>
    <t>Adjusted SG&amp;A</t>
  </si>
  <si>
    <t>Incremetal Operating Profit</t>
  </si>
  <si>
    <t>Growth Rate Analysis</t>
  </si>
  <si>
    <t>Revenue Growth</t>
  </si>
  <si>
    <t>SG&amp;A</t>
  </si>
  <si>
    <t>Operating Expenses</t>
  </si>
  <si>
    <t>Pre-Tax Income</t>
  </si>
  <si>
    <t>EPS</t>
  </si>
  <si>
    <t>Share Count</t>
  </si>
  <si>
    <t>Calendar Year Calculations</t>
  </si>
  <si>
    <t>Revenues</t>
  </si>
  <si>
    <t>Taxes</t>
  </si>
  <si>
    <t>Effective Tax Rate</t>
  </si>
  <si>
    <t>Quarterly Distribution</t>
  </si>
  <si>
    <t>Sales</t>
  </si>
  <si>
    <t>Three Year Average</t>
  </si>
  <si>
    <t>Reconciliation to GAAP</t>
  </si>
  <si>
    <t>In-process R&amp;D</t>
  </si>
  <si>
    <t>(Gains)/losses on asset sale</t>
  </si>
  <si>
    <t>(Gains)/losses on redemption of debt</t>
  </si>
  <si>
    <t>Change in accounting</t>
  </si>
  <si>
    <t>Restructuring Charges</t>
  </si>
  <si>
    <t>M&amp;A related costs</t>
  </si>
  <si>
    <t>Litigation Charges</t>
  </si>
  <si>
    <t>Amortization</t>
  </si>
  <si>
    <t>Other</t>
  </si>
  <si>
    <t>Tax impact of adjustments</t>
  </si>
  <si>
    <t>GAAP Net Income</t>
  </si>
  <si>
    <t>Segment EBIT</t>
  </si>
  <si>
    <t>EBIT</t>
  </si>
  <si>
    <t xml:space="preserve">BD Medical </t>
  </si>
  <si>
    <t xml:space="preserve">BD Diagnostic </t>
  </si>
  <si>
    <t xml:space="preserve">BD Bioscience </t>
  </si>
  <si>
    <t>Margins</t>
  </si>
  <si>
    <t>Incremental EBIT</t>
  </si>
  <si>
    <t xml:space="preserve">Total EBIT </t>
  </si>
  <si>
    <t>Modelware</t>
  </si>
  <si>
    <t>Statutory Tax Rate</t>
  </si>
  <si>
    <t>Average Basic Shares</t>
  </si>
  <si>
    <t xml:space="preserve">Unrecorded Goodwill </t>
  </si>
  <si>
    <t>ND</t>
  </si>
  <si>
    <t>Net income for MW</t>
  </si>
  <si>
    <t>Period End</t>
  </si>
  <si>
    <t>BD Revenue Build</t>
  </si>
  <si>
    <t>BD Total Revenues</t>
  </si>
  <si>
    <t>Emerging Markets</t>
  </si>
  <si>
    <t>EM &amp; China</t>
  </si>
  <si>
    <t>Developed Markets</t>
  </si>
  <si>
    <t>China</t>
  </si>
  <si>
    <t>RESTATED FOR BCR ACQUISITION IN 2016</t>
  </si>
  <si>
    <t>Balance Sheet</t>
  </si>
  <si>
    <t>Assets</t>
  </si>
  <si>
    <t>Cash &amp; Cash Equivalents</t>
  </si>
  <si>
    <t>ST Investments</t>
  </si>
  <si>
    <t>Trade Receivables, net</t>
  </si>
  <si>
    <t>Current portion of net investment in sales-type leases</t>
  </si>
  <si>
    <t>Total Inventory</t>
  </si>
  <si>
    <t>Raw Materials</t>
  </si>
  <si>
    <t>WIP</t>
  </si>
  <si>
    <t>Finished Goods</t>
  </si>
  <si>
    <t>Prepaid Exp, Def Tax, &amp; Other</t>
  </si>
  <si>
    <t>Total Current Assets</t>
  </si>
  <si>
    <t>Property, Plant, &amp; Equipment, net</t>
  </si>
  <si>
    <t>Net investment in sales-type leases, less current</t>
  </si>
  <si>
    <t>Goodwill</t>
  </si>
  <si>
    <t>Customer Relationships, Net</t>
  </si>
  <si>
    <t>Developed Technology, Net</t>
  </si>
  <si>
    <t>Other Intangibles, Net</t>
  </si>
  <si>
    <t>Capitalized Software, Net</t>
  </si>
  <si>
    <t xml:space="preserve">Other </t>
  </si>
  <si>
    <t>Total Assets</t>
  </si>
  <si>
    <t>Liabilities &amp; Shareholder's Equity</t>
  </si>
  <si>
    <t>ST Debt</t>
  </si>
  <si>
    <t>Payables and Accrued Expenses</t>
  </si>
  <si>
    <t>Accounts Payable</t>
  </si>
  <si>
    <t>Accrued Expenses</t>
  </si>
  <si>
    <t>Salaries, wages and related items</t>
  </si>
  <si>
    <t>Total Current Liabilities</t>
  </si>
  <si>
    <t>LT Debt</t>
  </si>
  <si>
    <t>LT Employee Benefit Obligations</t>
  </si>
  <si>
    <t>Deferred Income Taxes and Other</t>
  </si>
  <si>
    <t>Commitments and Contingencies</t>
  </si>
  <si>
    <t>Total Liabilities</t>
  </si>
  <si>
    <t>Mandatory Preferred Stock</t>
  </si>
  <si>
    <t>Common Stock</t>
  </si>
  <si>
    <t>APIC (Common)</t>
  </si>
  <si>
    <t>Retained Earnings</t>
  </si>
  <si>
    <t>Deferred Compensation</t>
  </si>
  <si>
    <t>Treasury Stock</t>
  </si>
  <si>
    <t>Accumulated Other Comp Inc</t>
  </si>
  <si>
    <t>Total Shareholder's Equity</t>
  </si>
  <si>
    <t>Total Liabilities &amp; Equity</t>
  </si>
  <si>
    <t>Check (A-(L+SE))</t>
  </si>
  <si>
    <t>Financial Metrics</t>
  </si>
  <si>
    <t>Total Debt</t>
  </si>
  <si>
    <t>Net debt (debt-cash)</t>
  </si>
  <si>
    <t>Net cash per share</t>
  </si>
  <si>
    <t>Returns</t>
  </si>
  <si>
    <t>Return on Equity (ROE)</t>
  </si>
  <si>
    <t>Return on Assets (ROA)</t>
  </si>
  <si>
    <t>Return on Invested Capital (ROIC)</t>
  </si>
  <si>
    <t>Net Operating Assets</t>
  </si>
  <si>
    <t>Debt Coverage</t>
  </si>
  <si>
    <t>EBITDA Coverage</t>
  </si>
  <si>
    <t>EBIT Coverage</t>
  </si>
  <si>
    <t>Gross Debt / EBITDA</t>
  </si>
  <si>
    <t>Net Debt / EBITDA</t>
  </si>
  <si>
    <t>Debt / Equity</t>
  </si>
  <si>
    <t>Debt / Capital</t>
  </si>
  <si>
    <t>Liquidity</t>
  </si>
  <si>
    <t>Current Ratio (CA/CL)</t>
  </si>
  <si>
    <t>Quick Ratio ((Cash+Mkt Sec+AR)/CL)</t>
  </si>
  <si>
    <t>Cash Ratio</t>
  </si>
  <si>
    <t>Working Capital Metrics</t>
  </si>
  <si>
    <t>Days Sales Outstanding (DSO)</t>
  </si>
  <si>
    <t>Days Payable Outstanding (DPO)</t>
  </si>
  <si>
    <t>Inventory Days (DIO)</t>
  </si>
  <si>
    <t>Cash Conversion Cycle</t>
  </si>
  <si>
    <t>Y/Y Change In Working Capital</t>
  </si>
  <si>
    <t>Days Sales Oustanding (DSO)</t>
  </si>
  <si>
    <t>Additional Balance Sheet Metrics</t>
  </si>
  <si>
    <t>Net Investment in Sales-Type Leases</t>
  </si>
  <si>
    <t>ST Net investment in sales-type leases</t>
  </si>
  <si>
    <t>Increase</t>
  </si>
  <si>
    <t>Decrease</t>
  </si>
  <si>
    <t>LT Net investment in sales-type leases</t>
  </si>
  <si>
    <t>Property, Plant &amp; Equipment</t>
  </si>
  <si>
    <t>Starting Gross PP&amp;E</t>
  </si>
  <si>
    <t>Capital Expenditures, Net of Disposals</t>
  </si>
  <si>
    <t>Ending Gross PP&amp;E</t>
  </si>
  <si>
    <t>Starting Accumulated Depreciation</t>
  </si>
  <si>
    <t>Depreciation</t>
  </si>
  <si>
    <t>Accumulated D&amp;A</t>
  </si>
  <si>
    <t>CapEx as % of Sales</t>
  </si>
  <si>
    <t>Assumed Depreciable Life</t>
  </si>
  <si>
    <t>Ending Net PP&amp;E</t>
  </si>
  <si>
    <t>CHECK</t>
  </si>
  <si>
    <t>Customer Relationships</t>
  </si>
  <si>
    <t>Starting Gross Intangibles</t>
  </si>
  <si>
    <t>Purchase of Intangible Assets</t>
  </si>
  <si>
    <t>Ending Gross Intangibles</t>
  </si>
  <si>
    <t>Starting Accumulated Amortization</t>
  </si>
  <si>
    <t>Ending Accumulated Amortization</t>
  </si>
  <si>
    <t>Assumed Useful Life</t>
  </si>
  <si>
    <t>Net Customer Relationships</t>
  </si>
  <si>
    <t>Developed Technology</t>
  </si>
  <si>
    <t>Net Core &amp; Developed Technology</t>
  </si>
  <si>
    <t>Other Intangibles</t>
  </si>
  <si>
    <t>Net Other Intangibles</t>
  </si>
  <si>
    <t>Total Intangible Assets</t>
  </si>
  <si>
    <t>Net Intangible Assets</t>
  </si>
  <si>
    <t>Cash Flow Statement</t>
  </si>
  <si>
    <t>From Operating Activity</t>
  </si>
  <si>
    <t>(Income) from discontinued ops, net</t>
  </si>
  <si>
    <t>Income from continuing operations</t>
  </si>
  <si>
    <t>Depreciation and amortization</t>
  </si>
  <si>
    <t>Amortization of Customer Relationships</t>
  </si>
  <si>
    <t>Amortization of Capitalized Software</t>
  </si>
  <si>
    <t>Stock Based Compensation</t>
  </si>
  <si>
    <t>Deferred income taxes</t>
  </si>
  <si>
    <t>Acquired IPR&amp;D</t>
  </si>
  <si>
    <t xml:space="preserve">Net from Working Capital </t>
  </si>
  <si>
    <t>Trade receivables, net</t>
  </si>
  <si>
    <t>Inventories</t>
  </si>
  <si>
    <t>Investments in sales-type leases</t>
  </si>
  <si>
    <t>Prepaid expenses, deferred taxes + other</t>
  </si>
  <si>
    <t>Accounts payable, incomes taxes + other liabilities</t>
  </si>
  <si>
    <t>Pension obligation</t>
  </si>
  <si>
    <t>Cash from operations</t>
  </si>
  <si>
    <t>From Investing Activity</t>
  </si>
  <si>
    <t>Capital Expenditures</t>
  </si>
  <si>
    <t>Capitalized Software</t>
  </si>
  <si>
    <t>Sale (Purchase) of Investments</t>
  </si>
  <si>
    <t>Change in short-term investments</t>
  </si>
  <si>
    <t>Change in long-term investments</t>
  </si>
  <si>
    <t>Acquisitions, net</t>
  </si>
  <si>
    <t>Proceeds from discontinued operations</t>
  </si>
  <si>
    <t>Other, net</t>
  </si>
  <si>
    <t>Cash from investing</t>
  </si>
  <si>
    <t>From Financing Activity</t>
  </si>
  <si>
    <t>Change in Short Term Debt</t>
  </si>
  <si>
    <t xml:space="preserve">Proceeds From (Repayments of) Long Term Debt </t>
  </si>
  <si>
    <t>Payments of debt</t>
  </si>
  <si>
    <t>Repurchase of Common</t>
  </si>
  <si>
    <t xml:space="preserve">Excess tax benefit </t>
  </si>
  <si>
    <t>Dividends Paid</t>
  </si>
  <si>
    <t>Issuance of common stock and other, net</t>
  </si>
  <si>
    <t>Cash from financing</t>
  </si>
  <si>
    <t>Discontinued Operations</t>
  </si>
  <si>
    <t>Net cash provided by operating activities</t>
  </si>
  <si>
    <t>Net cash used for investing activities</t>
  </si>
  <si>
    <t>Net cash used for financing activities</t>
  </si>
  <si>
    <t>Effect of exchange rate change</t>
  </si>
  <si>
    <t>Net Cash Flow</t>
  </si>
  <si>
    <t>Beginning of Period Cash Balance</t>
  </si>
  <si>
    <t>End of Period Cash Balance</t>
  </si>
  <si>
    <t>Free Cash Flow</t>
  </si>
  <si>
    <t>Free Cash Flow / share</t>
  </si>
  <si>
    <t>Free Cash Flow Yield</t>
  </si>
  <si>
    <t>Market Price</t>
  </si>
  <si>
    <t>Dividends</t>
  </si>
  <si>
    <t xml:space="preserve">Common Dividends </t>
  </si>
  <si>
    <t>Dividend per Share</t>
  </si>
  <si>
    <t xml:space="preserve">% growth </t>
  </si>
  <si>
    <t>Payout Ratio</t>
  </si>
  <si>
    <t>Share Based Compensation</t>
  </si>
  <si>
    <t>Stock Compensation Expense</t>
  </si>
  <si>
    <t>Stock Compensation % Sales</t>
  </si>
  <si>
    <t>Weighted Average Basic Shares</t>
  </si>
  <si>
    <t>Effect of Dilutive Securities</t>
  </si>
  <si>
    <t>Mandatory Convertible Dilution</t>
  </si>
  <si>
    <t>Diluted Shares</t>
  </si>
  <si>
    <t>% Dilution</t>
  </si>
  <si>
    <t>Basic Share Count Calculation</t>
  </si>
  <si>
    <t>EOP Shares Outstanding</t>
  </si>
  <si>
    <t>Average Basic Shares Outstanding</t>
  </si>
  <si>
    <t>Change in EOP Shares</t>
  </si>
  <si>
    <t>Shares Issued</t>
  </si>
  <si>
    <t>Shares Repurchased</t>
  </si>
  <si>
    <t>Options Exercised</t>
  </si>
  <si>
    <t>Share Repurchases</t>
  </si>
  <si>
    <t>Gross Shares Repurchased</t>
  </si>
  <si>
    <t>Average Price</t>
  </si>
  <si>
    <t>Gross Repurchase Amount</t>
  </si>
  <si>
    <t>Common dividends</t>
  </si>
  <si>
    <t>Repurchase of Common , Net</t>
  </si>
  <si>
    <t>Mandatory Convertible Preferred</t>
  </si>
  <si>
    <t>Notional Amount</t>
  </si>
  <si>
    <t>Pref. Dividend Rate</t>
  </si>
  <si>
    <t>Initial Stock Price</t>
  </si>
  <si>
    <t>Conversion Price</t>
  </si>
  <si>
    <t>Current Stock Price</t>
  </si>
  <si>
    <t>If Converted Test - As Preferred</t>
  </si>
  <si>
    <t>Preferred Stock Dividend</t>
  </si>
  <si>
    <t>Adj EPS</t>
  </si>
  <si>
    <t>If Converted Test - As Share Dilution</t>
  </si>
  <si>
    <t>Pref Stk Dilution</t>
  </si>
  <si>
    <t>Pre 2016 reflects legacy MPS reporting</t>
  </si>
  <si>
    <t>United States</t>
  </si>
  <si>
    <t>USD</t>
  </si>
  <si>
    <t>Currency</t>
  </si>
  <si>
    <t>Count</t>
  </si>
  <si>
    <t>BDX.N,mscalc:closePriceCurrencyCalc</t>
  </si>
  <si>
    <t>BDX.N,mscalc:sedolCodeCalc</t>
  </si>
  <si>
    <t>BDX.N,mscalc:targetPrice,,,,USD</t>
  </si>
  <si>
    <t>$F$2</t>
  </si>
  <si>
    <t>2087807</t>
  </si>
  <si>
    <t>Gore Royalty</t>
  </si>
  <si>
    <t>Underlying Growth Calculations</t>
  </si>
  <si>
    <t>Pyxis Accounting Change</t>
  </si>
  <si>
    <t>Hurricane</t>
  </si>
  <si>
    <t>Underlying Growth</t>
  </si>
  <si>
    <t xml:space="preserve"> =TF("BDX","TF.PR.PriceAverageOverRange(sdate=20171001,edate=20171231)")</t>
  </si>
  <si>
    <t>250</t>
  </si>
  <si>
    <t>Research</t>
  </si>
  <si>
    <t>e = Morgan Stanley Research estimates unless otherwise noted</t>
  </si>
  <si>
    <t>Source: Morgan Stanley Research unless otherwise noted</t>
  </si>
  <si>
    <t>Stocks ratings are relative to the analyst's industry coverage universe.</t>
  </si>
  <si>
    <t>1585 Broadway</t>
  </si>
  <si>
    <t>New York, NY  10036-8293</t>
  </si>
  <si>
    <t>Tel: +1 (1)212 761 4000</t>
  </si>
  <si>
    <t>Authors: David Lewis, Varun Kuchibhatla</t>
  </si>
  <si>
    <t>Date: 14 Apr 2018</t>
  </si>
  <si>
    <t>Ticker: BDX.N</t>
  </si>
  <si>
    <t>Stock Rating: Equal-Weight</t>
  </si>
  <si>
    <t>Industry: Medical Technology</t>
  </si>
  <si>
    <t>Industry View: Attractive</t>
  </si>
  <si>
    <t>Price as of 14 Apr 2018: 225.45</t>
  </si>
  <si>
    <t>Target Price: 250</t>
  </si>
  <si>
    <t>Analyst Certification</t>
  </si>
  <si>
    <t>Unless otherwise stated, the individuals listed on the cover page of this report are research analysts.</t>
  </si>
  <si>
    <t>Global Research Conflict Management Policy</t>
  </si>
  <si>
    <t>Important US Regulatory Disclosures on Subject Companies</t>
  </si>
  <si>
    <t>Morgan Stanley &amp; Co. LLC makes a market in the securities of Becton Dickinson.</t>
  </si>
  <si>
    <t>STOCK RATINGS</t>
  </si>
  <si>
    <t>Global Stock Ratings Distribution</t>
  </si>
  <si>
    <t>(as of March 31, 2018)</t>
  </si>
  <si>
    <t>Coverage Universe</t>
  </si>
  <si>
    <t>Investment Banking Clients (IBC)</t>
  </si>
  <si>
    <t>Other Material Investment Services Clients (MISC)</t>
  </si>
  <si>
    <t>Stock Rating Category</t>
  </si>
  <si>
    <t>% of Total</t>
  </si>
  <si>
    <t>% of Total IBC</t>
  </si>
  <si>
    <t>% of Rating Category</t>
  </si>
  <si>
    <t>% of Total Other MISC</t>
  </si>
  <si>
    <t>Overweight/Buy</t>
  </si>
  <si>
    <t>Equal-weight/Hold</t>
  </si>
  <si>
    <t>Not-Rated/Hold</t>
  </si>
  <si>
    <t>Underweight/Sell</t>
  </si>
  <si>
    <t>Analyst Stock Ratings</t>
  </si>
  <si>
    <t>Analyst Industry Views</t>
  </si>
  <si>
    <t>.</t>
  </si>
  <si>
    <t>Stock Price, Price Target and Rating History (See Rating Definitions)</t>
  </si>
  <si>
    <t>Important Disclosures for Morgan Stanley Smith Barney LLC Customers</t>
  </si>
  <si>
    <t>Other Important Disclosures</t>
  </si>
  <si>
    <t>Morgan Stanley Research, or any portion thereof may not be reprinted, sold or redistributed without the</t>
  </si>
  <si>
    <t>written consent of Morgan Stanley.</t>
  </si>
  <si>
    <t>The trademarks and service marks contained in Morgan Stanley Research are the property of their</t>
  </si>
  <si>
    <t>respective owners. Third-party data providers make no warranties or representations relating to the</t>
  </si>
  <si>
    <t>accuracy, completeness, or timeliness of the data they provide and shall not have liability for any</t>
  </si>
  <si>
    <t>damages relating to such data. The Global Industry Classification Standard (GICS) was developed by and</t>
  </si>
  <si>
    <t>is the exclusive property of MSCI and S&amp;P.</t>
  </si>
  <si>
    <t>As required by the Capital Markets Board of Turkey, investment information, comments and recommendations</t>
  </si>
  <si>
    <t>stated here, are not within the scope of investment advisory activity. Investment advisory service is</t>
  </si>
  <si>
    <t>provided exclusively to persons based on their risk and income preferences by the authorized firms.</t>
  </si>
  <si>
    <t>Comments and recommendations stated here are general in nature. These opinions may not fit to your</t>
  </si>
  <si>
    <t>financial status, risk and return preferences. For this reason, to make an investment decision by</t>
  </si>
  <si>
    <t>relying solely to this information stated here may not bring about outcomes that fit your expectations.</t>
  </si>
  <si>
    <t>The information in Morgan Stanley Research is being communicated by Morgan Stanley &amp; Co. International</t>
  </si>
  <si>
    <t>plc (QFC Branch), regulated by the Qatar Financial Centre Regulatory Authority (the QFCRA), and is</t>
  </si>
  <si>
    <t>directed at business customers and market counterparties only and is not intended for Retail Customers</t>
  </si>
  <si>
    <t>as defined by the QFCRA.</t>
  </si>
  <si>
    <t>plc (DIFC Branch), regulated by the Dubai Financial Services Authority (the DFSA), and is directed at</t>
  </si>
  <si>
    <t>Professional Clients only, as defined by the DFSA. The financial products or financial services to which</t>
  </si>
  <si>
    <t>this research relates will only be made available to a customer who we are satisfied meets the</t>
  </si>
  <si>
    <t>regulatory criteria to be a Professional Client.</t>
  </si>
  <si>
    <t>Morgan Stanley Research is disseminated in Brazil by Morgan Stanley C.T.V.M. S.A.; in Mexico by Morgan</t>
  </si>
  <si>
    <t>Stanley México, Casa de Bolsa, S.A. de C.V which is regulated by Comision Nacional Bancaria y de</t>
  </si>
  <si>
    <t>Valores. Paseo de los Tamarindos 90, Torre 1, Col. Bosques de las Lomas Floor 29, 05120 Mexico City; in</t>
  </si>
  <si>
    <t>Japan by Morgan Stanley MUFG Securities Co., Ltd. and, for Commodities related research reports only,</t>
  </si>
  <si>
    <t>Morgan Stanley Capital Group Japan Co., Ltd; in Hong Kong by Morgan Stanley Asia Limited (which accepts</t>
  </si>
  <si>
    <t>responsibility for its contents) and by Morgan Stanley Asia International Limited, Hong Kong Branch; in</t>
  </si>
  <si>
    <t>Singapore by Morgan Stanley Asia (Singapore) Pte. (Registration number 199206298Z) and/or Morgan Stanley</t>
  </si>
  <si>
    <t>Asia (Singapore) Securities Pte Ltd (Registration number 200008434H), regulated by the Monetary</t>
  </si>
  <si>
    <t>Authority of Singapore (which accepts legal responsibility for its contents and should be contacted with</t>
  </si>
  <si>
    <t>respect to any matters arising from, or in connection with, Morgan Stanley Research) and by Morgan</t>
  </si>
  <si>
    <t>Stanley Asia International Limited, Singapore Branch (Registration number T11FC0207F); in Australia to</t>
  </si>
  <si>
    <t>"wholesale clients" within the meaning of the Australian Corporations Act by Morgan Stanley Australia</t>
  </si>
  <si>
    <t>Limited A.B.N. 67 003 734 576, holder of Australian financial services license No. 233742, which accepts</t>
  </si>
  <si>
    <t>responsibility for its contents; in Australia to "wholesale clients" and "retail clients" within the</t>
  </si>
  <si>
    <t>meaning of the Australian Corporations Act by Morgan Stanley Wealth Management Australia Pty Ltd (A.B.N.</t>
  </si>
  <si>
    <t>19 009 145 555, holder of Australian financial services license No. 240813, which accepts responsibility</t>
  </si>
  <si>
    <t>for its contents; in Korea by Morgan Stanley &amp; Co International plc, Seoul Branch; in India by Morgan</t>
  </si>
  <si>
    <t>Stanley India Company Private Limited; in Indonesia by PT. Morgan Stanley Sekuritas Indonesia; in Canada</t>
  </si>
  <si>
    <t>by Morgan Stanley Canada Limited, which has approved of and takes responsibility for its contents in</t>
  </si>
  <si>
    <t>Canada; in Germany by Morgan Stanley Bank AG, Frankfurt am Main and Morgan Stanley Private Wealth</t>
  </si>
  <si>
    <t>Management Limited, Niederlassung Deutschland, regulated by Bundesanstalt fuer</t>
  </si>
  <si>
    <t>Finanzdienstleistungsaufsicht (BaFin); in Spain by Morgan Stanley, S.V., S.A., a Morgan Stanley group</t>
  </si>
  <si>
    <t>company, which is supervised by the Spanish Securities Markets Commission (CNMV) and states that Morgan</t>
  </si>
  <si>
    <t>Stanley Research has been written and distributed in accordance with the rules of conduct applicable to</t>
  </si>
  <si>
    <t>financial research as established under Spanish regulations; in the US by Morgan Stanley &amp; Co. LLC,</t>
  </si>
  <si>
    <t>which accepts responsibility for its contents. Morgan Stanley &amp; Co. International plc, authorized by the</t>
  </si>
  <si>
    <t>Prudential Regulatory Authority and regulated by the Financial Conduct Authority and the Prudential</t>
  </si>
  <si>
    <t>Regulatory Authority, disseminates in the UK research that it has prepared, and approves solely for the</t>
  </si>
  <si>
    <t>purposes of section 21 of the Financial Services and Markets Act 2000, research which has been prepared</t>
  </si>
  <si>
    <t>by any of its affiliates. RMB Morgan Stanley Proprietary Limited is a member of the JSE Limited and</t>
  </si>
  <si>
    <t>regulated by the Financial Services Board in South Africa. RMB Morgan Stanley Proprietary Limited is a</t>
  </si>
  <si>
    <t>joint venture owned equally by Morgan Stanley International Holdings Inc. and RMB Investment Advisory</t>
  </si>
  <si>
    <t>(Proprietary) Limited, which is wholly owned by FirstRand Limited. The information in Morgan Stanley</t>
  </si>
  <si>
    <t>Research is being disseminated by Morgan Stanley Saudi Arabia, regulated by the Capital Market Authority</t>
  </si>
  <si>
    <t>in the Kingdom of Saudi Arabia , and is directed at Sophisticated investors only.</t>
  </si>
  <si>
    <t>Morgan Stanley is not incorporated under PRC law and the research in relation to this report is</t>
  </si>
  <si>
    <t>conducted outside the PRC. Morgan Stanley Research does not constitute an offer to sell or the</t>
  </si>
  <si>
    <t>solicitation of an offer to buy any securities in the PRC. PRC investors shall have the relevant</t>
  </si>
  <si>
    <t>qualifications to invest in such securities and shall be responsible for obtaining all relevant</t>
  </si>
  <si>
    <t>approvals, licenses, verifications and/or registrations from the relevant governmental authorities</t>
  </si>
  <si>
    <t>themselves. Neither this report nor any part of it is intended as, or shall constitute, provision of any</t>
  </si>
  <si>
    <t>consultancy or advisory service of securities investment as defined under PRC law. Such information is</t>
  </si>
  <si>
    <t>provided for your reference only.</t>
  </si>
  <si>
    <t>To our readers based in Taiwan or trading in Taiwan securities/instruments: Information on</t>
  </si>
  <si>
    <t>securities/instruments that trade in Taiwan is distributed by Morgan Stanley Taiwan Limited ("MSTL").</t>
  </si>
  <si>
    <t>Such information is for your reference only. The reader should independently evaluate the investment</t>
  </si>
  <si>
    <t>risks and is solely responsible for their investment decisions. Morgan Stanley Research may not be</t>
  </si>
  <si>
    <t>distributed to the public media or quoted or used by the public media without the express written</t>
  </si>
  <si>
    <t>consent of Morgan Stanley. Any non-customer reader within the scope of Article 7-1 of the Taiwan Stock</t>
  </si>
  <si>
    <t>Exchange Recommendation Regulations accessing and/or receiving Morgan Stanley Research is not permitted</t>
  </si>
  <si>
    <t>to provide Morgan Stanley Research to any third party (including but not limited to related parties,</t>
  </si>
  <si>
    <t>affiliated companies and any other third parties) or engage in any activities regarding Morgan Stanley</t>
  </si>
  <si>
    <t>Research which may create or give the appearance of creating a conflict of interest. Information on</t>
  </si>
  <si>
    <t>securities/instruments that do not trade in Taiwan is for informational purposes only and is not to be</t>
  </si>
  <si>
    <t>construed as a recommendation or a solicitation to trade in such securities/instruments. MSTL may not</t>
  </si>
  <si>
    <t>execute transactions for clients in these securities/instruments.</t>
  </si>
  <si>
    <t>Morgan Stanley may make investment decisions that are inconsistent with the recommendations or views in</t>
  </si>
  <si>
    <t>this report.</t>
  </si>
  <si>
    <t>Morgan Stanley Research personnel may participate in company events such as site visits and are</t>
  </si>
  <si>
    <t>generally prohibited from accepting payment by the company of associated expenses unless pre-approved by</t>
  </si>
  <si>
    <t>authorized members of Research management.</t>
  </si>
  <si>
    <t>With the exception of information regarding Morgan Stanley, Morgan Stanley Research is based on public</t>
  </si>
  <si>
    <t>information. Morgan Stanley makes every effort to use reliable, comprehensive information, but we make</t>
  </si>
  <si>
    <t>no representation that it is accurate or complete. We have no obligation to tell you when opinions or</t>
  </si>
  <si>
    <t>information in Morgan Stanley Research change apart from when we intend to discontinue equity research</t>
  </si>
  <si>
    <t>coverage of a subject company. Facts and views presented in Morgan Stanley Research have not been</t>
  </si>
  <si>
    <t>reviewed by, and may not reflect information known to, professionals in other Morgan Stanley business</t>
  </si>
  <si>
    <t>areas, including investment banking personnel.</t>
  </si>
  <si>
    <t>The "Important US Regulatory Disclosures on Subject Companies" section in Morgan Stanley Research lists</t>
  </si>
  <si>
    <t>all companies mentioned where Morgan Stanley owns 1% or more of a class of common equity securities of</t>
  </si>
  <si>
    <t>the companies. For all other companies mentioned in Morgan Stanley Research, Morgan Stanley may have an</t>
  </si>
  <si>
    <t>investment of less than 1% in securities/instruments or derivatives of securities/instruments of</t>
  </si>
  <si>
    <t>companies and may trade them in ways different from those discussed in Morgan Stanley Research.</t>
  </si>
  <si>
    <t>Employees of Morgan Stanley not involved in the preparation of Morgan Stanley Research may have</t>
  </si>
  <si>
    <t>investments in securities/instruments or derivatives of securities/instruments of companies mentioned</t>
  </si>
  <si>
    <t>and may trade them in ways different from those discussed in Morgan Stanley Research. Derivatives may be</t>
  </si>
  <si>
    <t>issued by Morgan Stanley or associated persons.</t>
  </si>
  <si>
    <t>The fixed income research analysts, strategists or economists principally responsible for the</t>
  </si>
  <si>
    <t>preparation of Morgan Stanley Research have received compensation based upon various factors, including</t>
  </si>
  <si>
    <t>quality, accuracy and value of research, firm profitability or revenues (which include fixed income</t>
  </si>
  <si>
    <t>trading and capital markets profitability or revenues), client feedback and competitive factors. Fixed</t>
  </si>
  <si>
    <t>Income Research analysts', strategists' or economists' compensation is not linked to investment banking</t>
  </si>
  <si>
    <t>or capital markets transactions performed by Morgan Stanley or the profitability or revenues of</t>
  </si>
  <si>
    <t>particular trading desks.</t>
  </si>
  <si>
    <t>Morgan Stanley Research does not provide individually tailored investment advice. Morgan Stanley</t>
  </si>
  <si>
    <t>Research has been prepared without regard to the circumstances and objectives of those who receive it.</t>
  </si>
  <si>
    <t>Morgan Stanley recommends that investors independently evaluate particular investments and strategies,</t>
  </si>
  <si>
    <t>and encourages investors to seek the advice of a financial adviser. The appropriateness of an investment</t>
  </si>
  <si>
    <t>or strategy will depend on an investor's circumstances and objectives. The securities, instruments, or</t>
  </si>
  <si>
    <t>strategies discussed in Morgan Stanley Research may not be suitable for all investors, and certain</t>
  </si>
  <si>
    <t>investors may not be eligible to purchase or participate in some or all of them. Morgan Stanley Research</t>
  </si>
  <si>
    <t>is not an offer to buy or sell or the solicitation of an offer to buy or sell any security/instrument or</t>
  </si>
  <si>
    <t>to participate in any particular trading strategy. The value of and income from your investments may</t>
  </si>
  <si>
    <t>vary because of changes in interest rates, foreign exchange rates, default rates, prepayment rates,</t>
  </si>
  <si>
    <t>securities/instruments prices, market indexes, operational or financial conditions of companies or other</t>
  </si>
  <si>
    <t>factors. There may be time limitations on the exercise of options or other rights in</t>
  </si>
  <si>
    <t>securities/instruments transactions. Past performance is not necessarily a guide to future performance.</t>
  </si>
  <si>
    <t>Estimates of future performance are based on assumptions that may not be realized. If provided, and</t>
  </si>
  <si>
    <t>unless otherwise stated, the closing price on the cover page is that of the primary exchange for the</t>
  </si>
  <si>
    <t>subject company's securities/instruments.</t>
  </si>
  <si>
    <t>If you do not agree to our Terms of Use and/or if you do not wish to provide your consent to Morgan</t>
  </si>
  <si>
    <t>Stanley processing your personal data or using cookies please do not access our research.</t>
  </si>
  <si>
    <t>Any access and/or use of Morgan Stanley Research is subject to Morgan Stanley's Terms of Use</t>
  </si>
  <si>
    <t>(http://www.morganstanley.com/terms.html). By accessing and/or using Morgan Stanley Research, you are</t>
  </si>
  <si>
    <t>indicating that you have read and agree to be bound by our Terms of Use</t>
  </si>
  <si>
    <t>(http://www.morganstanley.com/terms.html). In addition you consent to Morgan Stanley processing your</t>
  </si>
  <si>
    <t>personal data and using cookies in accordance with our Privacy Policy and our Global Cookies Policy</t>
  </si>
  <si>
    <t>(http://www.morganstanley.com/privacy_pledge.html), including for the purposes of setting your</t>
  </si>
  <si>
    <t>preferences and to collect readership data so that we can deliver better and more personalized service</t>
  </si>
  <si>
    <t>and products to you. To find out more information about how Morgan Stanley processes personal data, how</t>
  </si>
  <si>
    <t>we use cookies and how to reject cookies see our Privacy Policy and our Global Cookies Policy</t>
  </si>
  <si>
    <t>(http://www.morganstanley.com/privacy_pledge.html).</t>
  </si>
  <si>
    <t>Morgan Stanley Research is provided to our clients through our proprietary research portal on Matrix and</t>
  </si>
  <si>
    <t>also distributed electronically by Morgan Stanley to clients. Certain, but not all, Morgan Stanley</t>
  </si>
  <si>
    <t>Research products are also made available to clients through third-party vendors or redistributed to</t>
  </si>
  <si>
    <t>clients through alternate electronic means as a convenience. For access to all available Morgan Stanley</t>
  </si>
  <si>
    <t>Research, please contact your sales representative or go to Matrix at</t>
  </si>
  <si>
    <t>http://www.morganstanley.com/matrix.</t>
  </si>
  <si>
    <t>Morgan Stanley produces an equity research product called a "Tactical Idea." Views contained in a</t>
  </si>
  <si>
    <t>"Tactical Idea" on a particular stock may be contrary to the recommendations or views expressed in</t>
  </si>
  <si>
    <t>research on the same stock. This may be the result of differing time horizons, methodologies, market</t>
  </si>
  <si>
    <t>events, or other factors. For all research available on a particular stock, please contact your sales</t>
  </si>
  <si>
    <t>representative or go to Matrix at http://www.morganstanley.com/matrix.</t>
  </si>
  <si>
    <t>Morgan Stanley is not acting as a municipal advisor and the opinions or views contained herein are not</t>
  </si>
  <si>
    <t>intended to be, and do not constitute, advice within the meaning of Section 975 of the Dodd-Frank Wall</t>
  </si>
  <si>
    <t>Street Reform and Consumer Protection Act.</t>
  </si>
  <si>
    <t>Morgan Stanley Research policy is to update research reports as and when the Research Analyst and</t>
  </si>
  <si>
    <t>Research Management deem appropriate, based on developments with the issuer, the sector, or the market</t>
  </si>
  <si>
    <t>that may have a material impact on the research views or opinions stated therein. In addition, certain</t>
  </si>
  <si>
    <t>Research publications are intended to be updated on a regular periodic basis</t>
  </si>
  <si>
    <t>(weekly/monthly/quarterly/annual) and will ordinarily be updated with that frequency, unless the</t>
  </si>
  <si>
    <t>Research Analyst and Research Management determine that a different publication schedule is appropriate</t>
  </si>
  <si>
    <t>based on current conditions.</t>
  </si>
  <si>
    <t>Morgan Stanley &amp; Co. International PLC and its affiliates have a significant financial interest in the</t>
  </si>
  <si>
    <t>debt securities of Becton Dickinson.</t>
  </si>
  <si>
    <t>Each Morgan Stanley Equity Research report is reviewed and approved on behalf of Morgan Stanley Smith</t>
  </si>
  <si>
    <t>Barney LLC. This review and approval is conducted by the same person who reviews the Equity Research</t>
  </si>
  <si>
    <t>report on behalf of Morgan Stanley. This could create a conflict of interest.</t>
  </si>
  <si>
    <t>Important disclosures regarding the relationship between the companies that are the subject of Morgan</t>
  </si>
  <si>
    <t>Stanley Research and Morgan Stanley Smith Barney LLC or Morgan Stanley or any of their affiliates, are</t>
  </si>
  <si>
    <t>available on the Morgan Stanley Wealth Management disclosure website at</t>
  </si>
  <si>
    <t>www.morganstanley.com/online/researchdisclosures. For Morgan Stanley specific disclosures, you may refer</t>
  </si>
  <si>
    <t>to www.morganstanley.com/researchdisclosures.</t>
  </si>
  <si>
    <t>Benchmarks for each region are as follows: North America - S&amp;P 500; Latin America - relevant MSCI</t>
  </si>
  <si>
    <t>country index or MSCI Latin America Index; Europe - MSCI Europe; Japan - TOPIX; Asia - relevant MSCI</t>
  </si>
  <si>
    <t>country index or MSCI sub-regional index or MSCI AC Asia Pacific ex Japan Index.</t>
  </si>
  <si>
    <t>Cautious (C): The analyst views the performance of his or her industry coverage universe over the next</t>
  </si>
  <si>
    <t>12-18 months with caution vs. the relevant broad market benchmark, as indicated below.</t>
  </si>
  <si>
    <t>In-Line (I): The analyst expects the performance of his or her industry coverage universe over the next</t>
  </si>
  <si>
    <t>12-18 months to be in line with the relevant broad market benchmark, as indicated below.</t>
  </si>
  <si>
    <t>Attractive (A): The analyst expects the performance of his or her industry coverage universe over the</t>
  </si>
  <si>
    <t>next 12-18 months to be attractive vs. the relevant broad market benchmark, as indicated below.</t>
  </si>
  <si>
    <t>Unless otherwise specified, the time frame for price targets included in Morgan Stanley Research is 12</t>
  </si>
  <si>
    <t>to 18 months.</t>
  </si>
  <si>
    <t>Underweight (U). The stock's total return is expected to be below the average total return of the</t>
  </si>
  <si>
    <t>analyst's industry (or industry team's) coverage universe, on a risk-adjusted basis, over the next 12-18</t>
  </si>
  <si>
    <t>months.</t>
  </si>
  <si>
    <t>Not-Rated (NR). Currently the analyst does not have adequate conviction about the stock's total return</t>
  </si>
  <si>
    <t>relative to the average total return of the analyst's industry (or industry team's) coverage universe,</t>
  </si>
  <si>
    <t>on a risk-adjusted basis, over the next 12-18 months.</t>
  </si>
  <si>
    <t>Equal-weight (E). The stock's total return is expected to be in line with the average total return of</t>
  </si>
  <si>
    <t>the analyst's industry (or industry team's) coverage universe, on a risk-adjusted basis, over the next</t>
  </si>
  <si>
    <t>12-18 months.</t>
  </si>
  <si>
    <t>Overweight (O). The stock's total return is expected to exceed the average total return of the analyst's</t>
  </si>
  <si>
    <t>industry (or industry team's) coverage universe, on a risk-adjusted basis, over the next 12-18 months.</t>
  </si>
  <si>
    <t>Data include common stock and ADRs currently assigned ratings. Investment Banking Clients are companies</t>
  </si>
  <si>
    <t>from whom Morgan Stanley received investment banking compensation in the last 12 months. Due to rounding</t>
  </si>
  <si>
    <t>off of decimals, the percentages provided in the "% of total" column may not add up to exactly 100</t>
  </si>
  <si>
    <t>percent.</t>
  </si>
  <si>
    <t>For disclosure purposes only (in accordance with NASD and NYSE requirements), we include the category</t>
  </si>
  <si>
    <t>headings of Buy, Hold, and Sell alongside our ratings of Overweight, Equal-weight, Not-Rated and</t>
  </si>
  <si>
    <t>Underweight. Morgan Stanley does not assign ratings of Buy, Hold or Sell to the stocks we cover.</t>
  </si>
  <si>
    <t>Overweight, Equal-weight, Not-Rated and Underweight are not the equivalent of buy, hold, and sell but</t>
  </si>
  <si>
    <t>represent recommended relative weightings (see definitions below). To satisfy regulatory requirements,</t>
  </si>
  <si>
    <t>we correspond Overweight, our most positive stock rating, with a buy recommendation; we correspond</t>
  </si>
  <si>
    <t>Equal-weight and Not-Rated to hold and Underweight to sell recommendations, respectively.</t>
  </si>
  <si>
    <t>The Stock Ratings described below apply to Morgan Stanley's Fundamental Equity Research and do not apply</t>
  </si>
  <si>
    <t>to Debt Research produced by the Firm.</t>
  </si>
  <si>
    <t>Morgan Stanley uses a relative rating system using terms such as Overweight, Equal-weight, Not-Rated or</t>
  </si>
  <si>
    <t>Underweight (see definitions below). Morgan Stanley does not assign ratings of Buy, Hold or Sell to the</t>
  </si>
  <si>
    <t>stocks we cover. Overweight, Equal-weight, Not-Rated and Underweight are not the equivalent of buy, hold</t>
  </si>
  <si>
    <t>and sell. Investors should carefully read the definitions of all ratings used in Morgan Stanley</t>
  </si>
  <si>
    <t>Research. In addition, since Morgan Stanley Research contains more complete information concerning the</t>
  </si>
  <si>
    <t>analyst's views, investors should carefully read Morgan Stanley Research, in its entirety, and not infer</t>
  </si>
  <si>
    <t>the contents from the rating alone. In any case, ratings (or research) should not be used or relied upon</t>
  </si>
  <si>
    <t>as investment advice. An investor's decision to buy or sell a stock should depend on individual</t>
  </si>
  <si>
    <t>circumstances (such as the investor's existing holdings) and other considerations.</t>
  </si>
  <si>
    <t>Certain disclosures listed above are also for compliance with applicable regulations in non-US</t>
  </si>
  <si>
    <t>jurisdictions.</t>
  </si>
  <si>
    <t>Morgan Stanley and its affiliates do business that relates to companies/instruments covered in Morgan</t>
  </si>
  <si>
    <t>Stanley Research, including market making, providing liquidity, fund management, commercial banking,</t>
  </si>
  <si>
    <t>extension of credit, investment services and investment banking. Morgan Stanley sells to and buys from</t>
  </si>
  <si>
    <t>customers the securities/instruments of companies covered in Morgan Stanley Research on a principal</t>
  </si>
  <si>
    <t>basis. Morgan Stanley may have a position in the debt of the Company or instruments discussed in this</t>
  </si>
  <si>
    <t>report. Morgan Stanley trades or may trade as principal in the debt securities (or in related</t>
  </si>
  <si>
    <t>derivatives) that are the subject of the debt research report.</t>
  </si>
  <si>
    <t>The equity research analysts or strategists principally responsible for the preparation of Morgan</t>
  </si>
  <si>
    <t>Stanley Research have received compensation based upon various factors, including quality of research,</t>
  </si>
  <si>
    <t>investor client feedback, stock picking, competitive factors, firm revenues and overall investment</t>
  </si>
  <si>
    <t>banking revenues. Equity Research analysts' or strategists' compensation is not linked to investment</t>
  </si>
  <si>
    <t>banking or capital markets transactions performed by Morgan Stanley or the profitability or revenues of</t>
  </si>
  <si>
    <t>Within the last 12 months, Morgan Stanley has either provided or is providing non-investment banking,</t>
  </si>
  <si>
    <t>securities-related services to and/or in the past has entered into an agreement to provide services or</t>
  </si>
  <si>
    <t>has a client relationship with the following company: Becton Dickinson.</t>
  </si>
  <si>
    <t>Within the last 12 months, Morgan Stanley has provided or is providing investment banking services to,</t>
  </si>
  <si>
    <t>or has an investment banking client relationship with, the following company: Becton Dickinson.</t>
  </si>
  <si>
    <t>In the next 3 months, Morgan Stanley expects to receive or intends to seek compensation for investment</t>
  </si>
  <si>
    <t>banking services from Becton Dickinson.</t>
  </si>
  <si>
    <t>Within the last 12 months, Morgan Stanley has received compensation for investment banking services from</t>
  </si>
  <si>
    <t>Becton Dickinson.</t>
  </si>
  <si>
    <t>Within the last 12 months, Morgan Stanley managed or co-managed a public offering (or 144A offering) of</t>
  </si>
  <si>
    <t>securities of Becton Dickinson.</t>
  </si>
  <si>
    <t>Morgan Stanley Research has been published in accordance with our conflict management policy, which is</t>
  </si>
  <si>
    <t>available at www.morganstanley.com/institutional/research/conflictpolicies.</t>
  </si>
  <si>
    <t>The following analysts hereby certify that their views about the companies and their securities</t>
  </si>
  <si>
    <t>discussed in this report are accurately expressed and that they have not received and will not receive</t>
  </si>
  <si>
    <t>direct or indirect compensation in exchange for expressing specific recommendations or views in this</t>
  </si>
  <si>
    <t>report: David R. Lewis.</t>
  </si>
  <si>
    <t>For valuation methodology and risks associated with any recommendation, rating or price target</t>
  </si>
  <si>
    <t>referenced in this research report, please contact the Client Support Team as follows: US/Canada +1 800</t>
  </si>
  <si>
    <t>303-2495; Hong Kong +852 2848-5999; Latin America +1 718 754-5444 (U.S.); London +44 (0)20-7425-8169;</t>
  </si>
  <si>
    <t>Singapore +65 6834-6860; Sydney +61 (0)2-9770-1505; Tokyo +81 (0)3-6836-9000. Alternatively you may</t>
  </si>
  <si>
    <t>contact your investment representative or Morgan Stanley Research at 1585 Broadway, (Attention: Research</t>
  </si>
  <si>
    <t>Management), New York, NY 10036 USA.</t>
  </si>
  <si>
    <t>For important disclosures, stock price charts and equity rating histories regarding companies that are</t>
  </si>
  <si>
    <t>the subject of this report, please see the Morgan Stanley Research Disclosure Website at</t>
  </si>
  <si>
    <t>www.morganstanley.com/researchdisclosures, or contact your investment representative or Morgan Stanley</t>
  </si>
  <si>
    <t>Research at 1585 Broadway, (Attention: Research Management), New York, NY, 10036 USA.</t>
  </si>
  <si>
    <t>The information and opinions in Morgan Stanley Research were prepared by Morgan Stanley &amp; Co. LLC,</t>
  </si>
  <si>
    <t>and/or Morgan Stanley C.T.V.M. S.A., and/or Morgan Stanley Mexico, Casa de Bolsa, S.A. de C.V., and/or</t>
  </si>
  <si>
    <t>Morgan Stanley Canada Limited. As used in this disclosure section, "Morgan Stanley" includes Morgan</t>
  </si>
  <si>
    <t>Stanley &amp; Co. LLC, Morgan Stanley C.T.V.M. S.A., Morgan Stanley Mexico, Casa de Bolsa, S.A. de C.V.,</t>
  </si>
  <si>
    <t>Morgan Stanley Canada Limited and their affiliates as necessary.</t>
  </si>
  <si>
    <t>Morgan Stanley does and seeks to do business with companies covered in Morgan Stanley Research. As a</t>
  </si>
  <si>
    <t>result, investors should be aware that the firm may have a conflict of interest that could affect the</t>
  </si>
  <si>
    <t>objectivity of Morgan Stanley Research. Investors should consider Morgan Stanley Research as only a</t>
  </si>
  <si>
    <t>single factor in making their investment decision.</t>
  </si>
  <si>
    <t>© Copyright 2018 Morgan Stanley</t>
  </si>
  <si>
    <t>MacroVersion</t>
  </si>
  <si>
    <t>PublishDate</t>
  </si>
  <si>
    <t>Discipline</t>
  </si>
  <si>
    <t>ResearchTopic</t>
  </si>
  <si>
    <t>Company</t>
  </si>
  <si>
    <t>DocType</t>
  </si>
  <si>
    <t>Model</t>
  </si>
  <si>
    <t>SubjectCode</t>
  </si>
  <si>
    <t>Description</t>
  </si>
  <si>
    <t>KeepVersions</t>
  </si>
  <si>
    <t>All</t>
  </si>
  <si>
    <t>Rating</t>
  </si>
  <si>
    <t>CurrYearTotalRevenue*</t>
  </si>
  <si>
    <t>CurrYearEPS*</t>
  </si>
  <si>
    <t>NextYearTotalRevenue*</t>
  </si>
  <si>
    <t>NextYearEPS*</t>
  </si>
  <si>
    <t>FollowingYearTotalRevenue*</t>
  </si>
  <si>
    <t>FollowingYearEPS*</t>
  </si>
  <si>
    <t>5YearGrowthRate</t>
  </si>
  <si>
    <t>UpdateReason</t>
  </si>
  <si>
    <t>Authors</t>
  </si>
  <si>
    <t>Tickers</t>
  </si>
  <si>
    <t>CUSIP</t>
  </si>
  <si>
    <t>RIC</t>
  </si>
  <si>
    <t>SEDOL</t>
  </si>
  <si>
    <t>PathName</t>
  </si>
  <si>
    <t>Distribution</t>
  </si>
  <si>
    <t>Deleted</t>
  </si>
  <si>
    <t>NO</t>
  </si>
  <si>
    <t>EmailAlert</t>
  </si>
  <si>
    <t>YES</t>
  </si>
  <si>
    <t>CurrQtrEPS</t>
  </si>
  <si>
    <t>CYEnd</t>
  </si>
  <si>
    <t>CQEnd</t>
  </si>
  <si>
    <t>CurrYearTotalRevenueActual*</t>
  </si>
  <si>
    <t>NextYearTotalRevenueActual*</t>
  </si>
  <si>
    <t>FollowingYearTotalRevenueActual*</t>
  </si>
  <si>
    <t>Multiplier</t>
  </si>
  <si>
    <t>TemplateRegion</t>
  </si>
  <si>
    <t>ObjectType</t>
  </si>
  <si>
    <t>excel</t>
  </si>
  <si>
    <t>LanguageCode</t>
  </si>
  <si>
    <t>en-US</t>
  </si>
  <si>
    <t>SubmitterUserId</t>
  </si>
  <si>
    <t>IndustryId</t>
  </si>
  <si>
    <t>TickerRegion</t>
  </si>
  <si>
    <t>AdditionalInstructions</t>
  </si>
  <si>
    <t>*Estimated</t>
  </si>
  <si>
    <t>Equal-Weight / Attractive</t>
  </si>
  <si>
    <t>Regular Update</t>
  </si>
  <si>
    <t>NorthAmerica</t>
  </si>
  <si>
    <t>kuchibha</t>
  </si>
  <si>
    <t>MSA12347, MSA44HCF</t>
  </si>
  <si>
    <t>C:\Users\kuchibha\AppData\Local\Temp\BDX_rlink20180414.xlsx</t>
  </si>
  <si>
    <t>[BRO MSA]</t>
  </si>
  <si>
    <t>[PRODUCT MODEL]</t>
  </si>
  <si>
    <t>[EMAIL_ALERT YES]</t>
  </si>
  <si>
    <t>[DISCIPLINE Company]</t>
  </si>
  <si>
    <t>[SUPPRESSED NO]</t>
  </si>
  <si>
    <t>[DOCDAT 2018-04-14]</t>
  </si>
  <si>
    <t>[DOCTIME 18:56]</t>
  </si>
  <si>
    <t>[PSYM BDX.N(S&amp;P) (None)]</t>
  </si>
  <si>
    <t>[COU 1]</t>
  </si>
  <si>
    <t>[ANA MSA44HCF]</t>
  </si>
  <si>
    <t>[HL BDX.N Model]</t>
  </si>
  <si>
    <t>[IND ]</t>
  </si>
  <si>
    <t>[PANA MSA12347]</t>
  </si>
</sst>
</file>

<file path=xl/styles.xml><?xml version="1.0" encoding="utf-8"?>
<styleSheet xmlns="http://schemas.openxmlformats.org/spreadsheetml/2006/main" xmlns:mc="http://schemas.openxmlformats.org/markup-compatibility/2006" xmlns:x14ac="http://schemas.microsoft.com/office/spreadsheetml/2009/9/ac" mc:Ignorable="x14ac">
  <numFmts count="31">
    <numFmt numFmtId="7" formatCode="&quot;$&quot;#,##0.00_);\(&quot;$&quot;#,##0.00\)"/>
    <numFmt numFmtId="8" formatCode="&quot;$&quot;#,##0.00_);[Red]\(&quot;$&quot;#,##0.00\)"/>
    <numFmt numFmtId="41" formatCode="_(* #,##0_);_(* \(#,##0\);_(* &quot;-&quot;_);_(@_)"/>
    <numFmt numFmtId="44" formatCode="_(&quot;$&quot;* #,##0.00_);_(&quot;$&quot;* \(#,##0.00\);_(&quot;$&quot;* &quot;-&quot;??_);_(@_)"/>
    <numFmt numFmtId="43" formatCode="_(* #,##0.00_);_(* \(#,##0.00\);_(* &quot;-&quot;??_);_(@_)"/>
    <numFmt numFmtId="164" formatCode="0.0%"/>
    <numFmt numFmtId="165" formatCode="0&quot;A&quot;"/>
    <numFmt numFmtId="166" formatCode="0&quot;E&quot;"/>
    <numFmt numFmtId="167" formatCode="[$-409]mmm\-yy;@"/>
    <numFmt numFmtId="168" formatCode="0_)"/>
    <numFmt numFmtId="169" formatCode="_(&quot;$&quot;* #,##0_);_(&quot;$&quot;* \(#,##0\);_(&quot;$&quot;* &quot;-&quot;??_);_(@_)"/>
    <numFmt numFmtId="170" formatCode="#,##0.0_);\(#,##0.0\)"/>
    <numFmt numFmtId="171" formatCode="#,##0.0%_);\(#,##0.0%\)"/>
    <numFmt numFmtId="172" formatCode="&quot;$&quot;#,##0.0_);\(&quot;$&quot;#,##0.0\)"/>
    <numFmt numFmtId="173" formatCode="_(* #,##0.0_);_(* \(#,##0.0\);_(* &quot;-&quot;??_);_(@_)"/>
    <numFmt numFmtId="174" formatCode="0.0"/>
    <numFmt numFmtId="175" formatCode="&quot;$&quot;#,##0.0000_);\(&quot;$&quot;#,##0.0000\)"/>
    <numFmt numFmtId="176" formatCode="0.000000000000000%"/>
    <numFmt numFmtId="177" formatCode="&quot;$&quot;#,##0.00"/>
    <numFmt numFmtId="178" formatCode="#,##0.000"/>
    <numFmt numFmtId="179" formatCode="#,##0.000000_);\(#,##0.000000\)"/>
    <numFmt numFmtId="180" formatCode="_(* #,##0.0_);_(* \(#,##0.0\);_(* &quot;-&quot;?_);_(@_)"/>
    <numFmt numFmtId="181" formatCode="#,##0.000_);\(#,##0.000\);&quot; - &quot;"/>
    <numFmt numFmtId="182" formatCode="_(* #,##0.000000_);_(* \(#,##0.000000\);_(* &quot;-&quot;?_);_(@_)"/>
    <numFmt numFmtId="183" formatCode="0.000"/>
    <numFmt numFmtId="184" formatCode="[&lt;=9999999]###\-####;\(###\)\ ###\-####"/>
    <numFmt numFmtId="185" formatCode="#,##0.0\x"/>
    <numFmt numFmtId="186" formatCode="0.0\x"/>
    <numFmt numFmtId="187" formatCode="#,##0.000_);\(#,##0.000\)"/>
    <numFmt numFmtId="188" formatCode="#,##0.0000000_);\(#,##0.0000000\)"/>
    <numFmt numFmtId="207" formatCode="mm/dd/yy\ hh:mm"/>
  </numFmts>
  <fonts count="59" x14ac:knownFonts="1">
    <font>
      <sz val="10"/>
      <color theme="1"/>
      <name val="Calibri"/>
      <family val="2"/>
      <scheme val="minor"/>
    </font>
    <font>
      <sz val="10"/>
      <color theme="1"/>
      <name val="Calibri"/>
      <family val="2"/>
      <scheme val="minor"/>
    </font>
    <font>
      <b/>
      <sz val="10"/>
      <color indexed="8"/>
      <name val="Arial"/>
      <family val="2"/>
    </font>
    <font>
      <sz val="8"/>
      <name val="Arial"/>
      <family val="2"/>
    </font>
    <font>
      <b/>
      <sz val="10"/>
      <name val="Arial"/>
      <family val="2"/>
    </font>
    <font>
      <i/>
      <sz val="8"/>
      <name val="Arial"/>
      <family val="2"/>
    </font>
    <font>
      <b/>
      <sz val="8"/>
      <name val="Arial"/>
      <family val="2"/>
    </font>
    <font>
      <sz val="8"/>
      <color indexed="9"/>
      <name val="Arial"/>
      <family val="2"/>
    </font>
    <font>
      <sz val="8"/>
      <color theme="0"/>
      <name val="Arial"/>
      <family val="2"/>
    </font>
    <font>
      <sz val="10"/>
      <color theme="1"/>
      <name val="Arial"/>
      <family val="2"/>
    </font>
    <font>
      <b/>
      <sz val="8"/>
      <color theme="1"/>
      <name val="Arial"/>
      <family val="2"/>
    </font>
    <font>
      <sz val="8"/>
      <color theme="1"/>
      <name val="Arial"/>
      <family val="2"/>
    </font>
    <font>
      <sz val="8"/>
      <color rgb="FF0000FF"/>
      <name val="Arial"/>
      <family val="2"/>
    </font>
    <font>
      <b/>
      <sz val="8"/>
      <color theme="0"/>
      <name val="Arial"/>
      <family val="2"/>
    </font>
    <font>
      <sz val="8"/>
      <color rgb="FFFF0000"/>
      <name val="Arial"/>
      <family val="2"/>
    </font>
    <font>
      <sz val="10"/>
      <name val="Arial"/>
      <family val="2"/>
    </font>
    <font>
      <sz val="8"/>
      <color indexed="8"/>
      <name val="Tms Rmn"/>
    </font>
    <font>
      <sz val="10"/>
      <name val="Courier"/>
      <family val="3"/>
    </font>
    <font>
      <b/>
      <sz val="16"/>
      <color indexed="9"/>
      <name val="Arial"/>
      <family val="2"/>
    </font>
    <font>
      <sz val="10"/>
      <color indexed="9"/>
      <name val="Times New Roman"/>
      <family val="1"/>
    </font>
    <font>
      <sz val="10"/>
      <name val="Times New Roman"/>
      <family val="1"/>
    </font>
    <font>
      <b/>
      <i/>
      <sz val="10"/>
      <name val="Arial"/>
      <family val="2"/>
    </font>
    <font>
      <u/>
      <sz val="10"/>
      <color indexed="12"/>
      <name val="Arial"/>
      <family val="2"/>
    </font>
    <font>
      <b/>
      <u/>
      <sz val="10"/>
      <name val="Arial"/>
      <family val="2"/>
    </font>
    <font>
      <b/>
      <sz val="12"/>
      <name val="Times New Roman"/>
      <family val="1"/>
    </font>
    <font>
      <b/>
      <u/>
      <sz val="12"/>
      <color indexed="12"/>
      <name val="Arial"/>
      <family val="2"/>
    </font>
    <font>
      <b/>
      <sz val="12"/>
      <name val="Arial"/>
      <family val="2"/>
    </font>
    <font>
      <b/>
      <u/>
      <sz val="12"/>
      <name val="Arial"/>
      <family val="2"/>
    </font>
    <font>
      <sz val="12"/>
      <name val="Arial"/>
      <family val="2"/>
    </font>
    <font>
      <sz val="12"/>
      <name val="Times New Roman"/>
      <family val="1"/>
    </font>
    <font>
      <sz val="10"/>
      <name val="MS Sans Serif"/>
      <family val="2"/>
    </font>
    <font>
      <b/>
      <sz val="10"/>
      <color indexed="8"/>
      <name val="Times New Roman"/>
      <family val="1"/>
    </font>
    <font>
      <sz val="9"/>
      <name val="Times New Roman"/>
      <family val="1"/>
    </font>
    <font>
      <sz val="10"/>
      <color indexed="8"/>
      <name val="Times New Roman"/>
      <family val="1"/>
    </font>
    <font>
      <i/>
      <sz val="8"/>
      <name val="Times New Roman"/>
      <family val="1"/>
    </font>
    <font>
      <b/>
      <sz val="8"/>
      <color indexed="8"/>
      <name val="Arial"/>
      <family val="2"/>
    </font>
    <font>
      <sz val="8"/>
      <color indexed="12"/>
      <name val="Arial"/>
      <family val="2"/>
    </font>
    <font>
      <b/>
      <sz val="8"/>
      <color indexed="17"/>
      <name val="Arial"/>
      <family val="2"/>
    </font>
    <font>
      <b/>
      <sz val="8"/>
      <color rgb="FF0000FF"/>
      <name val="Arial"/>
      <family val="2"/>
    </font>
    <font>
      <sz val="8"/>
      <color indexed="8"/>
      <name val="Arial"/>
      <family val="2"/>
    </font>
    <font>
      <sz val="8"/>
      <color indexed="17"/>
      <name val="Arial"/>
      <family val="2"/>
    </font>
    <font>
      <sz val="8"/>
      <color rgb="FF008000"/>
      <name val="Arial"/>
      <family val="2"/>
    </font>
    <font>
      <u/>
      <sz val="8"/>
      <color indexed="12"/>
      <name val="Arial"/>
      <family val="2"/>
    </font>
    <font>
      <sz val="8"/>
      <color indexed="10"/>
      <name val="Arial"/>
      <family val="2"/>
    </font>
    <font>
      <b/>
      <sz val="8"/>
      <color indexed="9"/>
      <name val="Arial"/>
      <family val="2"/>
    </font>
    <font>
      <b/>
      <sz val="8"/>
      <color indexed="12"/>
      <name val="Arial"/>
      <family val="2"/>
    </font>
    <font>
      <b/>
      <sz val="8"/>
      <color rgb="FFFF0000"/>
      <name val="Arial"/>
      <family val="2"/>
    </font>
    <font>
      <i/>
      <sz val="8"/>
      <color theme="1"/>
      <name val="Arial"/>
      <family val="2"/>
    </font>
    <font>
      <b/>
      <sz val="8"/>
      <color indexed="10"/>
      <name val="Arial"/>
      <family val="2"/>
    </font>
    <font>
      <sz val="8"/>
      <color indexed="9"/>
      <name val="Helvetica"/>
      <family val="2"/>
    </font>
    <font>
      <sz val="8"/>
      <name val="Helvetica"/>
      <family val="2"/>
    </font>
    <font>
      <sz val="8"/>
      <color indexed="10"/>
      <name val="Helvetica"/>
      <family val="2"/>
    </font>
    <font>
      <i/>
      <sz val="8"/>
      <color rgb="FFFF0000"/>
      <name val="Arial"/>
      <family val="2"/>
    </font>
    <font>
      <b/>
      <sz val="8"/>
      <color rgb="FF008000"/>
      <name val="Arial"/>
      <family val="2"/>
    </font>
    <font>
      <sz val="10"/>
      <name val="Arial"/>
      <family val="2"/>
    </font>
    <font>
      <sz val="11"/>
      <name val="Arial"/>
      <family val="2"/>
    </font>
    <font>
      <i/>
      <sz val="10"/>
      <name val="Arial"/>
      <family val="2"/>
    </font>
    <font>
      <sz val="10"/>
      <color rgb="FF000000"/>
      <name val="Arial"/>
      <family val="2"/>
    </font>
    <font>
      <b/>
      <sz val="12"/>
      <color rgb="FF000080"/>
      <name val="Arial"/>
      <family val="2"/>
    </font>
  </fonts>
  <fills count="12">
    <fill>
      <patternFill patternType="none"/>
    </fill>
    <fill>
      <patternFill patternType="gray125"/>
    </fill>
    <fill>
      <patternFill patternType="solid">
        <fgColor indexed="8"/>
        <bgColor indexed="64"/>
      </patternFill>
    </fill>
    <fill>
      <patternFill patternType="solid">
        <fgColor theme="1"/>
        <bgColor indexed="64"/>
      </patternFill>
    </fill>
    <fill>
      <patternFill patternType="solid">
        <fgColor theme="0" tint="-0.249977111117893"/>
        <bgColor indexed="64"/>
      </patternFill>
    </fill>
    <fill>
      <patternFill patternType="solid">
        <fgColor indexed="9"/>
        <bgColor indexed="64"/>
      </patternFill>
    </fill>
    <fill>
      <patternFill patternType="solid">
        <fgColor indexed="43"/>
        <bgColor indexed="64"/>
      </patternFill>
    </fill>
    <fill>
      <patternFill patternType="solid">
        <fgColor rgb="FFD3D3D3"/>
        <bgColor indexed="64"/>
      </patternFill>
    </fill>
    <fill>
      <patternFill patternType="solid">
        <fgColor indexed="22"/>
        <bgColor indexed="64"/>
      </patternFill>
    </fill>
    <fill>
      <patternFill patternType="solid">
        <fgColor theme="0"/>
        <bgColor indexed="64"/>
      </patternFill>
    </fill>
    <fill>
      <patternFill patternType="gray0625">
        <fgColor auto="1"/>
      </patternFill>
    </fill>
    <fill>
      <patternFill patternType="solid">
        <fgColor indexed="65"/>
        <bgColor indexed="64"/>
      </patternFill>
    </fill>
  </fills>
  <borders count="29">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bottom style="thin">
        <color indexed="8"/>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diagonal/>
    </border>
  </borders>
  <cellStyleXfs count="21">
    <xf numFmtId="0" fontId="0" fillId="0" borderId="0"/>
    <xf numFmtId="43" fontId="1" fillId="0" borderId="0" applyFont="0" applyFill="0" applyBorder="0" applyAlignment="0" applyProtection="0"/>
    <xf numFmtId="0" fontId="22" fillId="0" borderId="0" applyNumberFormat="0" applyFill="0" applyBorder="0" applyAlignment="0" applyProtection="0"/>
    <xf numFmtId="0" fontId="15" fillId="0" borderId="0"/>
    <xf numFmtId="0" fontId="15" fillId="0" borderId="0"/>
    <xf numFmtId="0" fontId="15" fillId="0" borderId="0"/>
    <xf numFmtId="0" fontId="30" fillId="0" borderId="0"/>
    <xf numFmtId="168" fontId="30" fillId="0" borderId="0"/>
    <xf numFmtId="168" fontId="30" fillId="0" borderId="0"/>
    <xf numFmtId="0" fontId="30" fillId="0" borderId="0"/>
    <xf numFmtId="0" fontId="31" fillId="0" borderId="0"/>
    <xf numFmtId="0" fontId="32" fillId="0" borderId="0">
      <alignment vertical="center"/>
    </xf>
    <xf numFmtId="0" fontId="15" fillId="6" borderId="0" applyNumberFormat="0" applyFont="0" applyBorder="0" applyAlignment="0" applyProtection="0"/>
    <xf numFmtId="0" fontId="33" fillId="0" borderId="0"/>
    <xf numFmtId="0" fontId="33" fillId="0" borderId="5">
      <alignment horizontal="centerContinuous"/>
    </xf>
    <xf numFmtId="0" fontId="34" fillId="0" borderId="5"/>
    <xf numFmtId="0" fontId="54" fillId="0" borderId="0"/>
    <xf numFmtId="44" fontId="54" fillId="0" borderId="0" applyFont="0" applyFill="0" applyBorder="0" applyAlignment="0" applyProtection="0"/>
    <xf numFmtId="0" fontId="15" fillId="0" borderId="0"/>
    <xf numFmtId="44" fontId="15" fillId="0" borderId="0" applyFont="0" applyFill="0" applyBorder="0" applyAlignment="0" applyProtection="0"/>
    <xf numFmtId="0" fontId="17" fillId="0" borderId="0"/>
  </cellStyleXfs>
  <cellXfs count="805">
    <xf numFmtId="0" fontId="0" fillId="0" borderId="0" xfId="0"/>
    <xf numFmtId="0" fontId="13" fillId="3" borderId="6" xfId="0" applyFont="1" applyFill="1" applyBorder="1"/>
    <xf numFmtId="0" fontId="2" fillId="0" borderId="0" xfId="0" applyNumberFormat="1" applyFont="1" applyFill="1" applyBorder="1"/>
    <xf numFmtId="0" fontId="3" fillId="0" borderId="0" xfId="0" applyFont="1" applyFill="1"/>
    <xf numFmtId="0" fontId="4" fillId="0" borderId="1" xfId="0" applyNumberFormat="1" applyFont="1" applyFill="1" applyBorder="1"/>
    <xf numFmtId="0" fontId="3" fillId="0" borderId="1" xfId="0" applyFont="1" applyFill="1" applyBorder="1"/>
    <xf numFmtId="164" fontId="3" fillId="0" borderId="1" xfId="0" applyNumberFormat="1" applyFont="1" applyFill="1" applyBorder="1"/>
    <xf numFmtId="9" fontId="3" fillId="0" borderId="1" xfId="0" applyNumberFormat="1" applyFont="1" applyFill="1" applyBorder="1"/>
    <xf numFmtId="0" fontId="5" fillId="0" borderId="0" xfId="0" applyNumberFormat="1" applyFont="1" applyFill="1" applyBorder="1"/>
    <xf numFmtId="164" fontId="3" fillId="0" borderId="0" xfId="0" applyNumberFormat="1" applyFont="1" applyFill="1"/>
    <xf numFmtId="0" fontId="3" fillId="0" borderId="0" xfId="0" applyNumberFormat="1" applyFont="1" applyFill="1" applyBorder="1"/>
    <xf numFmtId="0" fontId="3" fillId="0" borderId="0" xfId="0" applyFont="1" applyFill="1" applyBorder="1"/>
    <xf numFmtId="165" fontId="6" fillId="0" borderId="2" xfId="0" applyNumberFormat="1" applyFont="1" applyFill="1" applyBorder="1" applyAlignment="1">
      <alignment horizontal="centerContinuous"/>
    </xf>
    <xf numFmtId="0" fontId="6" fillId="0" borderId="2" xfId="0" applyFont="1" applyFill="1" applyBorder="1" applyAlignment="1">
      <alignment horizontal="centerContinuous"/>
    </xf>
    <xf numFmtId="165" fontId="6" fillId="0" borderId="2" xfId="0" applyNumberFormat="1" applyFont="1" applyFill="1" applyBorder="1" applyAlignment="1">
      <alignment horizontal="center"/>
    </xf>
    <xf numFmtId="0" fontId="3" fillId="0" borderId="0" xfId="0" applyFont="1" applyFill="1" applyBorder="1" applyAlignment="1"/>
    <xf numFmtId="0" fontId="6" fillId="0" borderId="0" xfId="0" applyFont="1" applyFill="1" applyBorder="1" applyAlignment="1">
      <alignment horizontal="center"/>
    </xf>
    <xf numFmtId="166" fontId="6" fillId="0" borderId="2" xfId="0" applyNumberFormat="1" applyFont="1" applyFill="1" applyBorder="1" applyAlignment="1">
      <alignment horizontal="centerContinuous"/>
    </xf>
    <xf numFmtId="166" fontId="6" fillId="0" borderId="2" xfId="0" applyNumberFormat="1" applyFont="1" applyFill="1" applyBorder="1" applyAlignment="1">
      <alignment horizontal="center"/>
    </xf>
    <xf numFmtId="167" fontId="7" fillId="2" borderId="3" xfId="0" applyNumberFormat="1" applyFont="1" applyFill="1" applyBorder="1" applyAlignment="1">
      <alignment horizontal="center"/>
    </xf>
    <xf numFmtId="167" fontId="8" fillId="3" borderId="3" xfId="0" applyNumberFormat="1" applyFont="1" applyFill="1" applyBorder="1" applyAlignment="1">
      <alignment horizontal="center"/>
    </xf>
    <xf numFmtId="167" fontId="3" fillId="0" borderId="3" xfId="0" applyNumberFormat="1" applyFont="1" applyFill="1" applyBorder="1" applyAlignment="1">
      <alignment horizontal="center"/>
    </xf>
    <xf numFmtId="0" fontId="9" fillId="0" borderId="0" xfId="0" applyFont="1"/>
    <xf numFmtId="0" fontId="10" fillId="4" borderId="0" xfId="0" applyFont="1" applyFill="1"/>
    <xf numFmtId="0" fontId="11" fillId="4" borderId="0" xfId="0" applyFont="1" applyFill="1"/>
    <xf numFmtId="0" fontId="11" fillId="0" borderId="0" xfId="0" applyFont="1"/>
    <xf numFmtId="0" fontId="11" fillId="0" borderId="0" xfId="0" applyFont="1" applyAlignment="1">
      <alignment horizontal="left" indent="1"/>
    </xf>
    <xf numFmtId="37" fontId="12" fillId="0" borderId="0" xfId="0" applyNumberFormat="1" applyFont="1"/>
    <xf numFmtId="37" fontId="11" fillId="0" borderId="0" xfId="0" applyNumberFormat="1" applyFont="1"/>
    <xf numFmtId="0" fontId="11" fillId="0" borderId="0" xfId="0" applyFont="1" applyAlignment="1">
      <alignment horizontal="left" indent="2"/>
    </xf>
    <xf numFmtId="164" fontId="11" fillId="0" borderId="0" xfId="0" applyNumberFormat="1" applyFont="1"/>
    <xf numFmtId="0" fontId="10" fillId="0" borderId="0" xfId="0" applyFont="1"/>
    <xf numFmtId="0" fontId="16" fillId="5" borderId="0" xfId="0" applyFont="1" applyFill="1"/>
    <xf numFmtId="0" fontId="0" fillId="5" borderId="0" xfId="0" applyFill="1"/>
    <xf numFmtId="0" fontId="17" fillId="5" borderId="0" xfId="0" applyFont="1" applyFill="1"/>
    <xf numFmtId="0" fontId="17" fillId="5" borderId="0" xfId="0" applyFont="1" applyFill="1" applyBorder="1" applyAlignment="1">
      <alignment horizontal="center"/>
    </xf>
    <xf numFmtId="0" fontId="18" fillId="2" borderId="4" xfId="0" applyFont="1" applyFill="1" applyBorder="1"/>
    <xf numFmtId="0" fontId="19" fillId="2" borderId="2" xfId="0" applyFont="1" applyFill="1" applyBorder="1"/>
    <xf numFmtId="0" fontId="18" fillId="2" borderId="4" xfId="0" applyFont="1" applyFill="1" applyBorder="1" applyAlignment="1">
      <alignment horizontal="center"/>
    </xf>
    <xf numFmtId="0" fontId="20" fillId="5" borderId="0" xfId="0" applyFont="1" applyFill="1"/>
    <xf numFmtId="0" fontId="21" fillId="5" borderId="0" xfId="0" applyFont="1" applyFill="1" applyAlignment="1">
      <alignment horizontal="left"/>
    </xf>
    <xf numFmtId="0" fontId="20" fillId="0" borderId="0" xfId="0" applyFont="1" applyFill="1"/>
    <xf numFmtId="0" fontId="0" fillId="0" borderId="0" xfId="0" applyFill="1"/>
    <xf numFmtId="0" fontId="23" fillId="0" borderId="0" xfId="2" applyFont="1" applyFill="1"/>
    <xf numFmtId="0" fontId="6" fillId="0" borderId="0" xfId="0" applyFont="1" applyFill="1"/>
    <xf numFmtId="0" fontId="24" fillId="0" borderId="0" xfId="0" applyFont="1" applyFill="1"/>
    <xf numFmtId="0" fontId="4" fillId="0" borderId="0" xfId="0" applyFont="1" applyFill="1"/>
    <xf numFmtId="0" fontId="25" fillId="0" borderId="0" xfId="2" applyFont="1" applyFill="1"/>
    <xf numFmtId="0" fontId="26" fillId="0" borderId="0" xfId="0" applyFont="1" applyFill="1"/>
    <xf numFmtId="0" fontId="27" fillId="0" borderId="0" xfId="2" applyFont="1" applyFill="1"/>
    <xf numFmtId="0" fontId="28" fillId="0" borderId="0" xfId="0" applyFont="1" applyFill="1"/>
    <xf numFmtId="0" fontId="29" fillId="0" borderId="0" xfId="0" applyFont="1" applyFill="1"/>
    <xf numFmtId="37" fontId="3" fillId="0" borderId="0" xfId="0" applyNumberFormat="1" applyFont="1" applyFill="1" applyBorder="1"/>
    <xf numFmtId="164" fontId="3" fillId="0" borderId="0" xfId="0" applyNumberFormat="1" applyFont="1" applyFill="1" applyBorder="1"/>
    <xf numFmtId="0" fontId="6" fillId="0" borderId="0" xfId="0" applyFont="1" applyFill="1" applyBorder="1"/>
    <xf numFmtId="164" fontId="6" fillId="0" borderId="0" xfId="0" applyNumberFormat="1" applyFont="1" applyFill="1" applyBorder="1"/>
    <xf numFmtId="169" fontId="6" fillId="0" borderId="0" xfId="0" applyNumberFormat="1" applyFont="1" applyFill="1" applyBorder="1"/>
    <xf numFmtId="41" fontId="6" fillId="0" borderId="0" xfId="0" applyNumberFormat="1" applyFont="1" applyFill="1" applyBorder="1"/>
    <xf numFmtId="41" fontId="3" fillId="0" borderId="0" xfId="0" applyNumberFormat="1" applyFont="1" applyFill="1" applyBorder="1"/>
    <xf numFmtId="9" fontId="6" fillId="0" borderId="0" xfId="0" applyNumberFormat="1" applyFont="1" applyFill="1" applyBorder="1"/>
    <xf numFmtId="9" fontId="3" fillId="0" borderId="0" xfId="0" applyNumberFormat="1" applyFont="1" applyFill="1" applyBorder="1"/>
    <xf numFmtId="170" fontId="3" fillId="0" borderId="0" xfId="0" applyNumberFormat="1" applyFont="1" applyFill="1" applyBorder="1"/>
    <xf numFmtId="7" fontId="3" fillId="0" borderId="0" xfId="0" applyNumberFormat="1" applyFont="1" applyFill="1" applyBorder="1"/>
    <xf numFmtId="164" fontId="6" fillId="0" borderId="1" xfId="0" applyNumberFormat="1" applyFont="1" applyFill="1" applyBorder="1"/>
    <xf numFmtId="171" fontId="3" fillId="0" borderId="1" xfId="0" applyNumberFormat="1" applyFont="1" applyFill="1" applyBorder="1"/>
    <xf numFmtId="172" fontId="35" fillId="0" borderId="1" xfId="0" applyNumberFormat="1" applyFont="1" applyFill="1" applyBorder="1" applyAlignment="1"/>
    <xf numFmtId="41" fontId="6" fillId="0" borderId="1" xfId="0" applyNumberFormat="1" applyFont="1" applyFill="1" applyBorder="1"/>
    <xf numFmtId="41" fontId="3" fillId="0" borderId="1" xfId="0" applyNumberFormat="1" applyFont="1" applyFill="1" applyBorder="1"/>
    <xf numFmtId="0" fontId="3" fillId="0" borderId="1" xfId="0" applyNumberFormat="1" applyFont="1" applyFill="1" applyBorder="1"/>
    <xf numFmtId="7" fontId="3" fillId="0" borderId="1" xfId="0" applyNumberFormat="1" applyFont="1" applyFill="1" applyBorder="1"/>
    <xf numFmtId="173" fontId="36" fillId="0" borderId="1" xfId="0" applyNumberFormat="1" applyFont="1" applyFill="1" applyBorder="1" applyAlignment="1"/>
    <xf numFmtId="174" fontId="3" fillId="0" borderId="1" xfId="0" applyNumberFormat="1" applyFont="1" applyFill="1" applyBorder="1"/>
    <xf numFmtId="10" fontId="3" fillId="0" borderId="1" xfId="0" applyNumberFormat="1" applyFont="1" applyFill="1" applyBorder="1"/>
    <xf numFmtId="164" fontId="5" fillId="0" borderId="0" xfId="0" applyNumberFormat="1" applyFont="1" applyFill="1" applyBorder="1"/>
    <xf numFmtId="4" fontId="3" fillId="0" borderId="0" xfId="0" applyNumberFormat="1" applyFont="1" applyFill="1" applyBorder="1"/>
    <xf numFmtId="173" fontId="36" fillId="0" borderId="0" xfId="0" applyNumberFormat="1" applyFont="1" applyFill="1" applyBorder="1" applyAlignment="1"/>
    <xf numFmtId="8" fontId="3" fillId="0" borderId="0" xfId="0" applyNumberFormat="1" applyFont="1" applyFill="1" applyBorder="1"/>
    <xf numFmtId="0" fontId="6" fillId="0" borderId="6" xfId="0" applyNumberFormat="1" applyFont="1" applyFill="1" applyBorder="1" applyAlignment="1">
      <alignment horizontal="left"/>
    </xf>
    <xf numFmtId="170" fontId="35" fillId="0" borderId="3" xfId="0" applyNumberFormat="1" applyFont="1" applyFill="1" applyBorder="1" applyAlignment="1"/>
    <xf numFmtId="170" fontId="6" fillId="0" borderId="3" xfId="0" applyNumberFormat="1" applyFont="1" applyFill="1" applyBorder="1" applyAlignment="1"/>
    <xf numFmtId="170" fontId="6" fillId="0" borderId="8" xfId="0" applyNumberFormat="1" applyFont="1" applyFill="1" applyBorder="1" applyAlignment="1"/>
    <xf numFmtId="170" fontId="35" fillId="0" borderId="8" xfId="0" applyNumberFormat="1" applyFont="1" applyFill="1" applyBorder="1" applyAlignment="1"/>
    <xf numFmtId="170" fontId="38" fillId="0" borderId="3" xfId="0" applyNumberFormat="1" applyFont="1" applyFill="1" applyBorder="1" applyAlignment="1"/>
    <xf numFmtId="170" fontId="38" fillId="0" borderId="7" xfId="0" applyNumberFormat="1" applyFont="1" applyFill="1" applyBorder="1" applyAlignment="1"/>
    <xf numFmtId="170" fontId="38" fillId="0" borderId="6" xfId="0" applyNumberFormat="1" applyFont="1" applyFill="1" applyBorder="1" applyAlignment="1"/>
    <xf numFmtId="9" fontId="6" fillId="0" borderId="0" xfId="0" applyNumberFormat="1" applyFont="1" applyFill="1" applyBorder="1" applyAlignment="1"/>
    <xf numFmtId="0" fontId="3" fillId="0" borderId="9" xfId="0" applyNumberFormat="1" applyFont="1" applyFill="1" applyBorder="1" applyAlignment="1">
      <alignment horizontal="left" indent="1"/>
    </xf>
    <xf numFmtId="170" fontId="39" fillId="0" borderId="0" xfId="0" applyNumberFormat="1" applyFont="1" applyFill="1" applyBorder="1" applyAlignment="1"/>
    <xf numFmtId="170" fontId="40" fillId="0" borderId="9" xfId="0" applyNumberFormat="1" applyFont="1" applyFill="1" applyBorder="1" applyAlignment="1"/>
    <xf numFmtId="170" fontId="40" fillId="0" borderId="0" xfId="0" applyNumberFormat="1" applyFont="1" applyFill="1" applyBorder="1" applyAlignment="1"/>
    <xf numFmtId="170" fontId="40" fillId="0" borderId="10" xfId="0" applyNumberFormat="1" applyFont="1" applyFill="1" applyBorder="1" applyAlignment="1"/>
    <xf numFmtId="170" fontId="40" fillId="0" borderId="11" xfId="0" applyNumberFormat="1" applyFont="1" applyFill="1" applyBorder="1" applyAlignment="1"/>
    <xf numFmtId="170" fontId="3" fillId="0" borderId="0" xfId="0" applyNumberFormat="1" applyFont="1" applyFill="1" applyBorder="1" applyAlignment="1"/>
    <xf numFmtId="170" fontId="3" fillId="0" borderId="11" xfId="0" applyNumberFormat="1" applyFont="1" applyFill="1" applyBorder="1" applyAlignment="1"/>
    <xf numFmtId="170" fontId="39" fillId="0" borderId="11" xfId="0" applyNumberFormat="1" applyFont="1" applyFill="1" applyBorder="1" applyAlignment="1"/>
    <xf numFmtId="170" fontId="12" fillId="0" borderId="9" xfId="0" applyNumberFormat="1" applyFont="1" applyFill="1" applyBorder="1" applyAlignment="1"/>
    <xf numFmtId="170" fontId="12" fillId="0" borderId="0" xfId="0" applyNumberFormat="1" applyFont="1" applyFill="1" applyBorder="1" applyAlignment="1"/>
    <xf numFmtId="170" fontId="12" fillId="0" borderId="10" xfId="0" applyNumberFormat="1" applyFont="1" applyFill="1" applyBorder="1" applyAlignment="1"/>
    <xf numFmtId="170" fontId="3" fillId="0" borderId="9" xfId="0" applyNumberFormat="1" applyFont="1" applyFill="1" applyBorder="1" applyAlignment="1"/>
    <xf numFmtId="170" fontId="3" fillId="0" borderId="10" xfId="0" applyNumberFormat="1" applyFont="1" applyFill="1" applyBorder="1" applyAlignment="1"/>
    <xf numFmtId="9" fontId="3" fillId="0" borderId="0" xfId="0" applyNumberFormat="1" applyFont="1" applyFill="1" applyBorder="1" applyAlignment="1"/>
    <xf numFmtId="170" fontId="41" fillId="0" borderId="9" xfId="0" applyNumberFormat="1" applyFont="1" applyFill="1" applyBorder="1" applyAlignment="1"/>
    <xf numFmtId="170" fontId="41" fillId="0" borderId="0" xfId="0" applyNumberFormat="1" applyFont="1" applyFill="1" applyBorder="1" applyAlignment="1"/>
    <xf numFmtId="170" fontId="41" fillId="0" borderId="10" xfId="0" applyNumberFormat="1" applyFont="1" applyFill="1" applyBorder="1" applyAlignment="1"/>
    <xf numFmtId="170" fontId="36" fillId="0" borderId="9" xfId="0" applyNumberFormat="1" applyFont="1" applyFill="1" applyBorder="1" applyAlignment="1"/>
    <xf numFmtId="170" fontId="36" fillId="0" borderId="0" xfId="0" applyNumberFormat="1" applyFont="1" applyFill="1" applyBorder="1" applyAlignment="1"/>
    <xf numFmtId="170" fontId="36" fillId="0" borderId="10" xfId="0" applyNumberFormat="1" applyFont="1" applyFill="1" applyBorder="1" applyAlignment="1"/>
    <xf numFmtId="170" fontId="36" fillId="0" borderId="9" xfId="0" applyNumberFormat="1" applyFont="1" applyFill="1" applyBorder="1"/>
    <xf numFmtId="170" fontId="36" fillId="0" borderId="0" xfId="0" applyNumberFormat="1" applyFont="1" applyFill="1" applyBorder="1"/>
    <xf numFmtId="170" fontId="36" fillId="0" borderId="10" xfId="0" applyNumberFormat="1" applyFont="1" applyFill="1" applyBorder="1"/>
    <xf numFmtId="173" fontId="3" fillId="0" borderId="0" xfId="0" applyNumberFormat="1" applyFont="1" applyFill="1" applyBorder="1" applyAlignment="1"/>
    <xf numFmtId="0" fontId="6" fillId="0" borderId="9" xfId="0" applyNumberFormat="1" applyFont="1" applyFill="1" applyBorder="1" applyAlignment="1">
      <alignment horizontal="left"/>
    </xf>
    <xf numFmtId="170" fontId="35" fillId="0" borderId="9" xfId="0" applyNumberFormat="1" applyFont="1" applyFill="1" applyBorder="1" applyAlignment="1"/>
    <xf numFmtId="170" fontId="35" fillId="0" borderId="0" xfId="0" applyNumberFormat="1" applyFont="1" applyFill="1" applyBorder="1" applyAlignment="1"/>
    <xf numFmtId="170" fontId="35" fillId="0" borderId="10" xfId="0" applyNumberFormat="1" applyFont="1" applyFill="1" applyBorder="1" applyAlignment="1"/>
    <xf numFmtId="170" fontId="35" fillId="0" borderId="11" xfId="0" applyNumberFormat="1" applyFont="1" applyFill="1" applyBorder="1" applyAlignment="1"/>
    <xf numFmtId="170" fontId="6" fillId="0" borderId="0" xfId="0" applyNumberFormat="1" applyFont="1" applyFill="1" applyBorder="1" applyAlignment="1"/>
    <xf numFmtId="170" fontId="6" fillId="0" borderId="10" xfId="0" applyNumberFormat="1" applyFont="1" applyFill="1" applyBorder="1" applyAlignment="1"/>
    <xf numFmtId="170" fontId="6" fillId="0" borderId="9" xfId="0" applyNumberFormat="1" applyFont="1" applyFill="1" applyBorder="1" applyAlignment="1"/>
    <xf numFmtId="0" fontId="42" fillId="0" borderId="0" xfId="2" applyFont="1" applyFill="1" applyBorder="1"/>
    <xf numFmtId="0" fontId="3" fillId="0" borderId="9" xfId="0" applyNumberFormat="1" applyFont="1" applyFill="1" applyBorder="1" applyAlignment="1">
      <alignment horizontal="left" indent="2"/>
    </xf>
    <xf numFmtId="8" fontId="3" fillId="0" borderId="0" xfId="0" applyNumberFormat="1" applyFont="1" applyFill="1" applyBorder="1" applyAlignment="1"/>
    <xf numFmtId="0" fontId="3" fillId="0" borderId="12" xfId="0" applyNumberFormat="1" applyFont="1" applyFill="1" applyBorder="1" applyAlignment="1">
      <alignment horizontal="left" indent="1"/>
    </xf>
    <xf numFmtId="170" fontId="3" fillId="0" borderId="1" xfId="0" applyNumberFormat="1" applyFont="1" applyFill="1" applyBorder="1" applyAlignment="1"/>
    <xf numFmtId="170" fontId="36" fillId="0" borderId="12" xfId="0" applyNumberFormat="1" applyFont="1" applyFill="1" applyBorder="1" applyAlignment="1"/>
    <xf numFmtId="170" fontId="36" fillId="0" borderId="1" xfId="0" applyNumberFormat="1" applyFont="1" applyFill="1" applyBorder="1" applyAlignment="1"/>
    <xf numFmtId="170" fontId="36" fillId="0" borderId="13" xfId="0" applyNumberFormat="1" applyFont="1" applyFill="1" applyBorder="1" applyAlignment="1"/>
    <xf numFmtId="170" fontId="39" fillId="0" borderId="14" xfId="0" applyNumberFormat="1" applyFont="1" applyFill="1" applyBorder="1" applyAlignment="1"/>
    <xf numFmtId="170" fontId="12" fillId="0" borderId="12" xfId="0" applyNumberFormat="1" applyFont="1" applyFill="1" applyBorder="1" applyAlignment="1"/>
    <xf numFmtId="170" fontId="12" fillId="0" borderId="1" xfId="0" applyNumberFormat="1" applyFont="1" applyFill="1" applyBorder="1" applyAlignment="1"/>
    <xf numFmtId="170" fontId="12" fillId="0" borderId="13" xfId="0" applyNumberFormat="1" applyFont="1" applyFill="1" applyBorder="1" applyAlignment="1"/>
    <xf numFmtId="170" fontId="3" fillId="0" borderId="12" xfId="0" applyNumberFormat="1" applyFont="1" applyFill="1" applyBorder="1" applyAlignment="1"/>
    <xf numFmtId="170" fontId="3" fillId="0" borderId="13" xfId="0" applyNumberFormat="1" applyFont="1" applyFill="1" applyBorder="1" applyAlignment="1"/>
    <xf numFmtId="0" fontId="3" fillId="0" borderId="6" xfId="0" applyNumberFormat="1" applyFont="1" applyFill="1" applyBorder="1" applyAlignment="1">
      <alignment horizontal="left" indent="1"/>
    </xf>
    <xf numFmtId="170" fontId="3" fillId="0" borderId="3" xfId="0" applyNumberFormat="1" applyFont="1" applyFill="1" applyBorder="1" applyAlignment="1"/>
    <xf numFmtId="170" fontId="3" fillId="0" borderId="6" xfId="0" applyNumberFormat="1" applyFont="1" applyFill="1" applyBorder="1" applyAlignment="1"/>
    <xf numFmtId="170" fontId="3" fillId="0" borderId="7" xfId="0" applyNumberFormat="1" applyFont="1" applyFill="1" applyBorder="1" applyAlignment="1"/>
    <xf numFmtId="170" fontId="3" fillId="0" borderId="8" xfId="0" applyNumberFormat="1" applyFont="1" applyFill="1" applyBorder="1" applyAlignment="1"/>
    <xf numFmtId="173" fontId="6" fillId="0" borderId="0" xfId="0" applyNumberFormat="1" applyFont="1" applyFill="1" applyBorder="1" applyAlignment="1"/>
    <xf numFmtId="4" fontId="3" fillId="0" borderId="0" xfId="0" applyNumberFormat="1" applyFont="1" applyFill="1" applyBorder="1" applyAlignment="1"/>
    <xf numFmtId="0" fontId="35" fillId="0" borderId="9" xfId="0" applyNumberFormat="1" applyFont="1" applyFill="1" applyBorder="1" applyAlignment="1">
      <alignment horizontal="left"/>
    </xf>
    <xf numFmtId="170" fontId="37" fillId="0" borderId="9" xfId="0" applyNumberFormat="1" applyFont="1" applyFill="1" applyBorder="1" applyAlignment="1"/>
    <xf numFmtId="170" fontId="37" fillId="0" borderId="0" xfId="0" applyNumberFormat="1" applyFont="1" applyFill="1" applyBorder="1" applyAlignment="1"/>
    <xf numFmtId="170" fontId="37" fillId="0" borderId="10" xfId="0" applyNumberFormat="1" applyFont="1" applyFill="1" applyBorder="1" applyAlignment="1"/>
    <xf numFmtId="173" fontId="35" fillId="0" borderId="0" xfId="0" applyNumberFormat="1" applyFont="1" applyFill="1" applyBorder="1" applyAlignment="1"/>
    <xf numFmtId="4" fontId="39" fillId="0" borderId="0" xfId="0" applyNumberFormat="1" applyFont="1" applyFill="1" applyBorder="1" applyAlignment="1"/>
    <xf numFmtId="170" fontId="39" fillId="0" borderId="9" xfId="0" applyNumberFormat="1" applyFont="1" applyFill="1" applyBorder="1" applyAlignment="1"/>
    <xf numFmtId="170" fontId="39" fillId="0" borderId="10" xfId="0" applyNumberFormat="1" applyFont="1" applyFill="1" applyBorder="1" applyAlignment="1"/>
    <xf numFmtId="173" fontId="43" fillId="0" borderId="0" xfId="0" applyNumberFormat="1" applyFont="1" applyFill="1" applyBorder="1" applyAlignment="1"/>
    <xf numFmtId="4" fontId="43" fillId="0" borderId="0" xfId="0" applyNumberFormat="1" applyFont="1" applyFill="1" applyBorder="1" applyAlignment="1"/>
    <xf numFmtId="0" fontId="39" fillId="0" borderId="9" xfId="0" applyNumberFormat="1" applyFont="1" applyFill="1" applyBorder="1" applyAlignment="1">
      <alignment horizontal="left" indent="2"/>
    </xf>
    <xf numFmtId="164" fontId="39" fillId="0" borderId="0" xfId="0" applyNumberFormat="1" applyFont="1" applyFill="1" applyBorder="1" applyAlignment="1"/>
    <xf numFmtId="164" fontId="39" fillId="0" borderId="9" xfId="0" applyNumberFormat="1" applyFont="1" applyFill="1" applyBorder="1" applyAlignment="1"/>
    <xf numFmtId="164" fontId="39" fillId="0" borderId="10" xfId="0" applyNumberFormat="1" applyFont="1" applyFill="1" applyBorder="1" applyAlignment="1"/>
    <xf numFmtId="164" fontId="39" fillId="0" borderId="11" xfId="0" applyNumberFormat="1" applyFont="1" applyFill="1" applyBorder="1" applyAlignment="1"/>
    <xf numFmtId="164" fontId="3" fillId="0" borderId="10" xfId="0" applyNumberFormat="1" applyFont="1" applyFill="1" applyBorder="1" applyAlignment="1"/>
    <xf numFmtId="164" fontId="3" fillId="0" borderId="11" xfId="0" applyNumberFormat="1" applyFont="1" applyFill="1" applyBorder="1" applyAlignment="1"/>
    <xf numFmtId="8" fontId="39" fillId="0" borderId="0" xfId="0" applyNumberFormat="1" applyFont="1" applyFill="1" applyBorder="1" applyAlignment="1"/>
    <xf numFmtId="0" fontId="3" fillId="0" borderId="9" xfId="0" applyNumberFormat="1" applyFont="1" applyFill="1" applyBorder="1" applyAlignment="1">
      <alignment horizontal="left"/>
    </xf>
    <xf numFmtId="0" fontId="39" fillId="0" borderId="9" xfId="0" applyNumberFormat="1" applyFont="1" applyFill="1" applyBorder="1" applyAlignment="1">
      <alignment horizontal="left"/>
    </xf>
    <xf numFmtId="173" fontId="39" fillId="0" borderId="0" xfId="0" applyNumberFormat="1" applyFont="1" applyFill="1" applyBorder="1" applyAlignment="1"/>
    <xf numFmtId="170" fontId="36" fillId="0" borderId="11" xfId="0" applyNumberFormat="1" applyFont="1" applyFill="1" applyBorder="1" applyAlignment="1"/>
    <xf numFmtId="170" fontId="12" fillId="0" borderId="11" xfId="0" applyNumberFormat="1" applyFont="1" applyFill="1" applyBorder="1" applyAlignment="1"/>
    <xf numFmtId="7" fontId="6" fillId="0" borderId="0" xfId="0" applyNumberFormat="1" applyFont="1" applyFill="1" applyBorder="1" applyAlignment="1"/>
    <xf numFmtId="7" fontId="35" fillId="0" borderId="9" xfId="0" applyNumberFormat="1" applyFont="1" applyFill="1" applyBorder="1" applyAlignment="1"/>
    <xf numFmtId="7" fontId="35" fillId="0" borderId="0" xfId="0" applyNumberFormat="1" applyFont="1" applyFill="1" applyBorder="1" applyAlignment="1"/>
    <xf numFmtId="7" fontId="35" fillId="0" borderId="10" xfId="0" applyNumberFormat="1" applyFont="1" applyFill="1" applyBorder="1" applyAlignment="1"/>
    <xf numFmtId="7" fontId="35" fillId="0" borderId="11" xfId="0" applyNumberFormat="1" applyFont="1" applyFill="1" applyBorder="1" applyAlignment="1"/>
    <xf numFmtId="7" fontId="6" fillId="0" borderId="9" xfId="0" applyNumberFormat="1" applyFont="1" applyFill="1" applyBorder="1" applyAlignment="1"/>
    <xf numFmtId="7" fontId="6" fillId="0" borderId="10" xfId="0" applyNumberFormat="1" applyFont="1" applyFill="1" applyBorder="1" applyAlignment="1"/>
    <xf numFmtId="7" fontId="3" fillId="0" borderId="0" xfId="0" applyNumberFormat="1" applyFont="1" applyFill="1" applyBorder="1" applyAlignment="1"/>
    <xf numFmtId="0" fontId="3" fillId="0" borderId="2" xfId="0" applyNumberFormat="1" applyFont="1" applyFill="1" applyBorder="1"/>
    <xf numFmtId="0" fontId="3" fillId="0" borderId="2" xfId="0" applyFont="1" applyFill="1" applyBorder="1"/>
    <xf numFmtId="7" fontId="3" fillId="0" borderId="2" xfId="0" applyNumberFormat="1" applyFont="1" applyFill="1" applyBorder="1"/>
    <xf numFmtId="10" fontId="3" fillId="0" borderId="2" xfId="0" applyNumberFormat="1" applyFont="1" applyFill="1" applyBorder="1"/>
    <xf numFmtId="175" fontId="3" fillId="0" borderId="0" xfId="0" applyNumberFormat="1" applyFont="1" applyFill="1" applyBorder="1"/>
    <xf numFmtId="0" fontId="44" fillId="2" borderId="6" xfId="0" applyNumberFormat="1" applyFont="1" applyFill="1" applyBorder="1" applyAlignment="1"/>
    <xf numFmtId="164" fontId="7" fillId="2" borderId="3" xfId="0" applyNumberFormat="1" applyFont="1" applyFill="1" applyBorder="1" applyAlignment="1"/>
    <xf numFmtId="164" fontId="7" fillId="2" borderId="6" xfId="0" applyNumberFormat="1" applyFont="1" applyFill="1" applyBorder="1" applyAlignment="1"/>
    <xf numFmtId="164" fontId="7" fillId="2" borderId="7" xfId="0" applyNumberFormat="1" applyFont="1" applyFill="1" applyBorder="1" applyAlignment="1"/>
    <xf numFmtId="164" fontId="7" fillId="2" borderId="8" xfId="0" applyNumberFormat="1" applyFont="1" applyFill="1" applyBorder="1" applyAlignment="1"/>
    <xf numFmtId="10" fontId="7" fillId="2" borderId="3" xfId="0" applyNumberFormat="1" applyFont="1" applyFill="1" applyBorder="1" applyAlignment="1"/>
    <xf numFmtId="176" fontId="7" fillId="2" borderId="8" xfId="0" applyNumberFormat="1" applyFont="1" applyFill="1" applyBorder="1" applyAlignment="1"/>
    <xf numFmtId="170" fontId="7" fillId="2" borderId="6" xfId="0" applyNumberFormat="1" applyFont="1" applyFill="1" applyBorder="1" applyAlignment="1"/>
    <xf numFmtId="10" fontId="7" fillId="2" borderId="8" xfId="0" applyNumberFormat="1" applyFont="1" applyFill="1" applyBorder="1" applyAlignment="1"/>
    <xf numFmtId="177" fontId="7" fillId="2" borderId="3" xfId="0" applyNumberFormat="1" applyFont="1" applyFill="1" applyBorder="1" applyAlignment="1"/>
    <xf numFmtId="177" fontId="7" fillId="2" borderId="6" xfId="0" applyNumberFormat="1" applyFont="1" applyFill="1" applyBorder="1" applyAlignment="1"/>
    <xf numFmtId="177" fontId="7" fillId="2" borderId="7" xfId="0" applyNumberFormat="1" applyFont="1" applyFill="1" applyBorder="1" applyAlignment="1"/>
    <xf numFmtId="164" fontId="3" fillId="0" borderId="0" xfId="0" applyNumberFormat="1" applyFont="1" applyFill="1" applyBorder="1" applyAlignment="1"/>
    <xf numFmtId="0" fontId="3" fillId="0" borderId="9" xfId="0" applyNumberFormat="1" applyFont="1" applyFill="1" applyBorder="1" applyAlignment="1"/>
    <xf numFmtId="164" fontId="3" fillId="0" borderId="9" xfId="0" applyNumberFormat="1" applyFont="1" applyFill="1" applyBorder="1" applyAlignment="1"/>
    <xf numFmtId="164" fontId="36" fillId="0" borderId="0" xfId="0" applyNumberFormat="1" applyFont="1" applyFill="1" applyBorder="1" applyAlignment="1"/>
    <xf numFmtId="164" fontId="36" fillId="0" borderId="10" xfId="0" applyNumberFormat="1" applyFont="1" applyFill="1" applyBorder="1" applyAlignment="1"/>
    <xf numFmtId="164" fontId="36" fillId="0" borderId="9" xfId="0" applyNumberFormat="1" applyFont="1" applyFill="1" applyBorder="1" applyAlignment="1"/>
    <xf numFmtId="164" fontId="12" fillId="0" borderId="10" xfId="0" applyNumberFormat="1" applyFont="1" applyFill="1" applyBorder="1" applyAlignment="1"/>
    <xf numFmtId="164" fontId="12" fillId="0" borderId="9" xfId="0" applyNumberFormat="1" applyFont="1" applyFill="1" applyBorder="1" applyAlignment="1"/>
    <xf numFmtId="0" fontId="3" fillId="0" borderId="12" xfId="0" applyNumberFormat="1" applyFont="1" applyFill="1" applyBorder="1" applyAlignment="1"/>
    <xf numFmtId="164" fontId="3" fillId="0" borderId="1" xfId="0" applyNumberFormat="1" applyFont="1" applyFill="1" applyBorder="1" applyAlignment="1"/>
    <xf numFmtId="164" fontId="39" fillId="0" borderId="12" xfId="0" applyNumberFormat="1" applyFont="1" applyFill="1" applyBorder="1" applyAlignment="1"/>
    <xf numFmtId="164" fontId="39" fillId="0" borderId="1" xfId="0" applyNumberFormat="1" applyFont="1" applyFill="1" applyBorder="1" applyAlignment="1"/>
    <xf numFmtId="164" fontId="39" fillId="0" borderId="13" xfId="0" applyNumberFormat="1" applyFont="1" applyFill="1" applyBorder="1" applyAlignment="1"/>
    <xf numFmtId="164" fontId="39" fillId="0" borderId="14" xfId="0" applyNumberFormat="1" applyFont="1" applyFill="1" applyBorder="1" applyAlignment="1"/>
    <xf numFmtId="164" fontId="3" fillId="0" borderId="13" xfId="0" applyNumberFormat="1" applyFont="1" applyFill="1" applyBorder="1" applyAlignment="1"/>
    <xf numFmtId="164" fontId="3" fillId="0" borderId="12" xfId="0" applyNumberFormat="1" applyFont="1" applyFill="1" applyBorder="1" applyAlignment="1"/>
    <xf numFmtId="0" fontId="7" fillId="2" borderId="3" xfId="0" applyFont="1" applyFill="1" applyBorder="1" applyAlignment="1">
      <alignment horizontal="center"/>
    </xf>
    <xf numFmtId="0" fontId="7" fillId="2" borderId="6" xfId="0" applyFont="1" applyFill="1" applyBorder="1" applyAlignment="1">
      <alignment horizontal="center"/>
    </xf>
    <xf numFmtId="0" fontId="7" fillId="2" borderId="7" xfId="0" applyFont="1" applyFill="1" applyBorder="1" applyAlignment="1">
      <alignment horizontal="center"/>
    </xf>
    <xf numFmtId="0" fontId="7" fillId="2" borderId="8" xfId="0" applyFont="1" applyFill="1" applyBorder="1" applyAlignment="1">
      <alignment horizontal="center"/>
    </xf>
    <xf numFmtId="4" fontId="7" fillId="2" borderId="8" xfId="0" applyNumberFormat="1" applyFont="1" applyFill="1" applyBorder="1" applyAlignment="1">
      <alignment horizontal="center"/>
    </xf>
    <xf numFmtId="4" fontId="7" fillId="2" borderId="6" xfId="0" applyNumberFormat="1" applyFont="1" applyFill="1" applyBorder="1" applyAlignment="1">
      <alignment horizontal="center"/>
    </xf>
    <xf numFmtId="4" fontId="7" fillId="2" borderId="3" xfId="0" applyNumberFormat="1" applyFont="1" applyFill="1" applyBorder="1" applyAlignment="1">
      <alignment horizontal="center"/>
    </xf>
    <xf numFmtId="164" fontId="7" fillId="2" borderId="6" xfId="0" applyNumberFormat="1" applyFont="1" applyFill="1" applyBorder="1" applyAlignment="1">
      <alignment horizontal="center"/>
    </xf>
    <xf numFmtId="164" fontId="7" fillId="2" borderId="3" xfId="0" applyNumberFormat="1" applyFont="1" applyFill="1" applyBorder="1" applyAlignment="1">
      <alignment horizontal="center"/>
    </xf>
    <xf numFmtId="164" fontId="7" fillId="2" borderId="8" xfId="0" applyNumberFormat="1" applyFont="1" applyFill="1" applyBorder="1" applyAlignment="1">
      <alignment horizontal="center"/>
    </xf>
    <xf numFmtId="0" fontId="7" fillId="2" borderId="3" xfId="0" applyFont="1" applyFill="1" applyBorder="1"/>
    <xf numFmtId="164" fontId="7" fillId="2" borderId="7" xfId="0" applyNumberFormat="1" applyFont="1" applyFill="1" applyBorder="1" applyAlignment="1">
      <alignment horizontal="center"/>
    </xf>
    <xf numFmtId="164" fontId="7" fillId="2" borderId="8" xfId="0" applyNumberFormat="1" applyFont="1" applyFill="1" applyBorder="1"/>
    <xf numFmtId="0" fontId="7" fillId="2" borderId="7" xfId="0" applyFont="1" applyFill="1" applyBorder="1"/>
    <xf numFmtId="0" fontId="7" fillId="2" borderId="8" xfId="0" applyFont="1" applyFill="1" applyBorder="1"/>
    <xf numFmtId="0" fontId="7" fillId="2" borderId="6" xfId="0" applyFont="1" applyFill="1" applyBorder="1"/>
    <xf numFmtId="164" fontId="36" fillId="0" borderId="11" xfId="0" applyNumberFormat="1" applyFont="1" applyFill="1" applyBorder="1" applyAlignment="1"/>
    <xf numFmtId="164" fontId="36" fillId="0" borderId="12" xfId="0" applyNumberFormat="1" applyFont="1" applyFill="1" applyBorder="1" applyAlignment="1"/>
    <xf numFmtId="164" fontId="36" fillId="0" borderId="1" xfId="0" applyNumberFormat="1" applyFont="1" applyFill="1" applyBorder="1" applyAlignment="1"/>
    <xf numFmtId="164" fontId="36" fillId="0" borderId="13" xfId="0" applyNumberFormat="1" applyFont="1" applyFill="1" applyBorder="1" applyAlignment="1"/>
    <xf numFmtId="164" fontId="36" fillId="0" borderId="14" xfId="0" applyNumberFormat="1" applyFont="1" applyFill="1" applyBorder="1" applyAlignment="1"/>
    <xf numFmtId="0" fontId="3" fillId="0" borderId="0" xfId="0" applyNumberFormat="1" applyFont="1" applyFill="1" applyBorder="1" applyAlignment="1"/>
    <xf numFmtId="0" fontId="3" fillId="0" borderId="0" xfId="0" applyNumberFormat="1" applyFont="1" applyFill="1" applyBorder="1" applyAlignment="1">
      <alignment horizontal="center"/>
    </xf>
    <xf numFmtId="165" fontId="7" fillId="2" borderId="8" xfId="0" applyNumberFormat="1" applyFont="1" applyFill="1" applyBorder="1" applyAlignment="1">
      <alignment horizontal="center"/>
    </xf>
    <xf numFmtId="166" fontId="7" fillId="2" borderId="8" xfId="0" applyNumberFormat="1" applyFont="1" applyFill="1" applyBorder="1" applyAlignment="1">
      <alignment horizontal="center"/>
    </xf>
    <xf numFmtId="0" fontId="3" fillId="0" borderId="0" xfId="0" applyFont="1" applyFill="1" applyBorder="1" applyAlignment="1">
      <alignment horizontal="center"/>
    </xf>
    <xf numFmtId="0" fontId="3" fillId="0" borderId="9" xfId="0" applyFont="1" applyFill="1" applyBorder="1" applyAlignment="1">
      <alignment horizontal="center"/>
    </xf>
    <xf numFmtId="0" fontId="3" fillId="0" borderId="10" xfId="0" applyFont="1" applyFill="1" applyBorder="1" applyAlignment="1">
      <alignment horizontal="center"/>
    </xf>
    <xf numFmtId="170" fontId="3" fillId="0" borderId="11" xfId="0" applyNumberFormat="1" applyFont="1" applyFill="1" applyBorder="1" applyAlignment="1">
      <alignment horizontal="right"/>
    </xf>
    <xf numFmtId="0" fontId="3" fillId="0" borderId="9" xfId="0" applyFont="1" applyFill="1" applyBorder="1"/>
    <xf numFmtId="0" fontId="3" fillId="0" borderId="10" xfId="0" applyFont="1" applyFill="1" applyBorder="1"/>
    <xf numFmtId="164" fontId="3" fillId="0" borderId="11" xfId="0" applyNumberFormat="1" applyFont="1" applyFill="1" applyBorder="1" applyAlignment="1">
      <alignment horizontal="right"/>
    </xf>
    <xf numFmtId="7" fontId="3" fillId="0" borderId="11" xfId="0" applyNumberFormat="1" applyFont="1" applyFill="1" applyBorder="1" applyAlignment="1">
      <alignment horizontal="right"/>
    </xf>
    <xf numFmtId="0" fontId="3" fillId="0" borderId="1" xfId="0" applyFont="1" applyFill="1" applyBorder="1" applyAlignment="1">
      <alignment horizontal="center"/>
    </xf>
    <xf numFmtId="0" fontId="3" fillId="0" borderId="12" xfId="0" applyFont="1" applyFill="1" applyBorder="1" applyAlignment="1">
      <alignment horizontal="center"/>
    </xf>
    <xf numFmtId="0" fontId="3" fillId="0" borderId="13" xfId="0" applyFont="1" applyFill="1" applyBorder="1" applyAlignment="1">
      <alignment horizontal="center"/>
    </xf>
    <xf numFmtId="170" fontId="3" fillId="0" borderId="14" xfId="0" applyNumberFormat="1" applyFont="1" applyFill="1" applyBorder="1" applyAlignment="1">
      <alignment horizontal="right"/>
    </xf>
    <xf numFmtId="0" fontId="3" fillId="0" borderId="12" xfId="0" applyFont="1" applyFill="1" applyBorder="1"/>
    <xf numFmtId="0" fontId="3" fillId="0" borderId="13" xfId="0" applyFont="1" applyFill="1" applyBorder="1"/>
    <xf numFmtId="164" fontId="3" fillId="0" borderId="0" xfId="0" applyNumberFormat="1" applyFont="1" applyFill="1" applyBorder="1" applyAlignment="1">
      <alignment horizontal="center"/>
    </xf>
    <xf numFmtId="7" fontId="7" fillId="2" borderId="8" xfId="0" applyNumberFormat="1" applyFont="1" applyFill="1" applyBorder="1"/>
    <xf numFmtId="164" fontId="3" fillId="0" borderId="0" xfId="0" applyNumberFormat="1" applyFont="1" applyFill="1" applyBorder="1" applyAlignment="1">
      <alignment horizontal="right"/>
    </xf>
    <xf numFmtId="164" fontId="3" fillId="0" borderId="9" xfId="0" applyNumberFormat="1" applyFont="1" applyFill="1" applyBorder="1" applyAlignment="1">
      <alignment horizontal="right"/>
    </xf>
    <xf numFmtId="164" fontId="3" fillId="0" borderId="10" xfId="0" applyNumberFormat="1" applyFont="1" applyFill="1" applyBorder="1" applyAlignment="1">
      <alignment horizontal="right"/>
    </xf>
    <xf numFmtId="164" fontId="3" fillId="0" borderId="1" xfId="0" applyNumberFormat="1" applyFont="1" applyFill="1" applyBorder="1" applyAlignment="1">
      <alignment horizontal="right"/>
    </xf>
    <xf numFmtId="164" fontId="3" fillId="0" borderId="12" xfId="0" applyNumberFormat="1" applyFont="1" applyFill="1" applyBorder="1" applyAlignment="1">
      <alignment horizontal="right"/>
    </xf>
    <xf numFmtId="164" fontId="3" fillId="0" borderId="13" xfId="0" applyNumberFormat="1" applyFont="1" applyFill="1" applyBorder="1" applyAlignment="1">
      <alignment horizontal="right"/>
    </xf>
    <xf numFmtId="164" fontId="3" fillId="0" borderId="14" xfId="0" applyNumberFormat="1" applyFont="1" applyFill="1" applyBorder="1" applyAlignment="1">
      <alignment horizontal="right"/>
    </xf>
    <xf numFmtId="1" fontId="7" fillId="2" borderId="8" xfId="0" applyNumberFormat="1" applyFont="1" applyFill="1" applyBorder="1" applyAlignment="1">
      <alignment horizontal="center"/>
    </xf>
    <xf numFmtId="0" fontId="6" fillId="0" borderId="12" xfId="0" applyNumberFormat="1" applyFont="1" applyFill="1" applyBorder="1" applyAlignment="1"/>
    <xf numFmtId="170" fontId="6" fillId="0" borderId="1" xfId="0" applyNumberFormat="1" applyFont="1" applyFill="1" applyBorder="1" applyAlignment="1"/>
    <xf numFmtId="170" fontId="35" fillId="0" borderId="12" xfId="0" applyNumberFormat="1" applyFont="1" applyFill="1" applyBorder="1" applyAlignment="1"/>
    <xf numFmtId="170" fontId="35" fillId="0" borderId="1" xfId="0" applyNumberFormat="1" applyFont="1" applyFill="1" applyBorder="1" applyAlignment="1"/>
    <xf numFmtId="170" fontId="35" fillId="0" borderId="13" xfId="0" applyNumberFormat="1" applyFont="1" applyFill="1" applyBorder="1" applyAlignment="1"/>
    <xf numFmtId="170" fontId="35" fillId="0" borderId="14" xfId="0" applyNumberFormat="1" applyFont="1" applyFill="1" applyBorder="1" applyAlignment="1"/>
    <xf numFmtId="170" fontId="45" fillId="0" borderId="14" xfId="0" applyNumberFormat="1" applyFont="1" applyFill="1" applyBorder="1" applyAlignment="1"/>
    <xf numFmtId="0" fontId="3" fillId="4" borderId="0" xfId="0" applyFont="1" applyFill="1" applyBorder="1"/>
    <xf numFmtId="0" fontId="6" fillId="0" borderId="0" xfId="0" applyNumberFormat="1" applyFont="1" applyFill="1" applyBorder="1" applyAlignment="1"/>
    <xf numFmtId="1" fontId="6" fillId="0" borderId="0" xfId="0" applyNumberFormat="1" applyFont="1" applyFill="1" applyBorder="1" applyAlignment="1"/>
    <xf numFmtId="0" fontId="6" fillId="0" borderId="0" xfId="0" applyFont="1" applyFill="1" applyBorder="1" applyAlignment="1"/>
    <xf numFmtId="1" fontId="44" fillId="2" borderId="3" xfId="0" applyNumberFormat="1" applyFont="1" applyFill="1" applyBorder="1" applyAlignment="1">
      <alignment horizontal="center"/>
    </xf>
    <xf numFmtId="0" fontId="44" fillId="2" borderId="6" xfId="0" applyFont="1" applyFill="1" applyBorder="1"/>
    <xf numFmtId="0" fontId="44" fillId="2" borderId="3" xfId="0" applyFont="1" applyFill="1" applyBorder="1"/>
    <xf numFmtId="0" fontId="44" fillId="2" borderId="7" xfId="0" applyFont="1" applyFill="1" applyBorder="1"/>
    <xf numFmtId="1" fontId="44" fillId="2" borderId="8" xfId="0" applyNumberFormat="1" applyFont="1" applyFill="1" applyBorder="1" applyAlignment="1">
      <alignment horizontal="center"/>
    </xf>
    <xf numFmtId="1" fontId="44" fillId="2" borderId="6" xfId="0" applyNumberFormat="1" applyFont="1" applyFill="1" applyBorder="1" applyAlignment="1">
      <alignment horizontal="center"/>
    </xf>
    <xf numFmtId="1" fontId="44" fillId="2" borderId="7" xfId="0" applyNumberFormat="1" applyFont="1" applyFill="1" applyBorder="1" applyAlignment="1">
      <alignment horizontal="center"/>
    </xf>
    <xf numFmtId="0" fontId="6" fillId="0" borderId="9" xfId="0" applyNumberFormat="1" applyFont="1" applyFill="1" applyBorder="1" applyAlignment="1"/>
    <xf numFmtId="1" fontId="3" fillId="0" borderId="0" xfId="0" applyNumberFormat="1" applyFont="1" applyFill="1" applyBorder="1" applyAlignment="1">
      <alignment horizontal="center"/>
    </xf>
    <xf numFmtId="1" fontId="3" fillId="0" borderId="9" xfId="0" applyNumberFormat="1" applyFont="1" applyFill="1" applyBorder="1" applyAlignment="1">
      <alignment horizontal="center"/>
    </xf>
    <xf numFmtId="1" fontId="3" fillId="0" borderId="10" xfId="0" applyNumberFormat="1" applyFont="1" applyFill="1" applyBorder="1" applyAlignment="1">
      <alignment horizontal="center"/>
    </xf>
    <xf numFmtId="1" fontId="3" fillId="0" borderId="11" xfId="0" applyNumberFormat="1" applyFont="1" applyFill="1" applyBorder="1" applyAlignment="1">
      <alignment horizontal="center"/>
    </xf>
    <xf numFmtId="1" fontId="39" fillId="0" borderId="0" xfId="0" applyNumberFormat="1" applyFont="1" applyFill="1" applyBorder="1" applyAlignment="1"/>
    <xf numFmtId="1" fontId="3" fillId="0" borderId="0" xfId="0" applyNumberFormat="1" applyFont="1" applyFill="1" applyBorder="1" applyAlignment="1"/>
    <xf numFmtId="0" fontId="3" fillId="0" borderId="9" xfId="0" applyFont="1" applyFill="1" applyBorder="1" applyAlignment="1"/>
    <xf numFmtId="0" fontId="3" fillId="0" borderId="10" xfId="0" applyFont="1" applyFill="1" applyBorder="1" applyAlignment="1"/>
    <xf numFmtId="1" fontId="3" fillId="0" borderId="11" xfId="0" applyNumberFormat="1" applyFont="1" applyFill="1" applyBorder="1" applyAlignment="1"/>
    <xf numFmtId="1" fontId="3" fillId="0" borderId="9" xfId="0" applyNumberFormat="1" applyFont="1" applyFill="1" applyBorder="1" applyAlignment="1"/>
    <xf numFmtId="1" fontId="3" fillId="0" borderId="10" xfId="0" applyNumberFormat="1" applyFont="1" applyFill="1" applyBorder="1" applyAlignment="1"/>
    <xf numFmtId="0" fontId="6" fillId="0" borderId="0" xfId="0" applyNumberFormat="1" applyFont="1" applyFill="1" applyBorder="1" applyAlignment="1">
      <alignment horizontal="left"/>
    </xf>
    <xf numFmtId="0" fontId="6" fillId="8" borderId="6" xfId="0" applyNumberFormat="1" applyFont="1" applyFill="1" applyBorder="1" applyAlignment="1"/>
    <xf numFmtId="0" fontId="3" fillId="8" borderId="3" xfId="0" applyFont="1" applyFill="1" applyBorder="1" applyAlignment="1"/>
    <xf numFmtId="0" fontId="3" fillId="8" borderId="6" xfId="0" applyFont="1" applyFill="1" applyBorder="1" applyAlignment="1"/>
    <xf numFmtId="0" fontId="3" fillId="8" borderId="7" xfId="0" applyFont="1" applyFill="1" applyBorder="1" applyAlignment="1"/>
    <xf numFmtId="0" fontId="3" fillId="8" borderId="8" xfId="0" applyFont="1" applyFill="1" applyBorder="1" applyAlignment="1"/>
    <xf numFmtId="0" fontId="3" fillId="0" borderId="0" xfId="0" applyFont="1"/>
    <xf numFmtId="0" fontId="3" fillId="0" borderId="9" xfId="0" applyNumberFormat="1" applyFont="1" applyFill="1" applyBorder="1"/>
    <xf numFmtId="170" fontId="3" fillId="0" borderId="9" xfId="0" applyNumberFormat="1" applyFont="1" applyFill="1" applyBorder="1" applyAlignment="1">
      <alignment horizontal="right"/>
    </xf>
    <xf numFmtId="170" fontId="3" fillId="0" borderId="0" xfId="0" applyNumberFormat="1" applyFont="1" applyFill="1" applyBorder="1" applyAlignment="1">
      <alignment horizontal="right"/>
    </xf>
    <xf numFmtId="170" fontId="3" fillId="0" borderId="10" xfId="0" applyNumberFormat="1" applyFont="1" applyFill="1" applyBorder="1" applyAlignment="1">
      <alignment horizontal="right"/>
    </xf>
    <xf numFmtId="173" fontId="3" fillId="0" borderId="0" xfId="1" applyNumberFormat="1" applyFont="1" applyFill="1" applyBorder="1" applyAlignment="1"/>
    <xf numFmtId="173" fontId="3" fillId="0" borderId="0" xfId="1" applyNumberFormat="1" applyFont="1" applyFill="1" applyBorder="1"/>
    <xf numFmtId="173" fontId="3" fillId="0" borderId="11" xfId="1" applyNumberFormat="1" applyFont="1" applyFill="1" applyBorder="1" applyAlignment="1"/>
    <xf numFmtId="173" fontId="3" fillId="0" borderId="0" xfId="1" applyNumberFormat="1" applyFont="1" applyFill="1" applyBorder="1" applyAlignment="1">
      <alignment horizontal="right"/>
    </xf>
    <xf numFmtId="173" fontId="3" fillId="0" borderId="9" xfId="1" applyNumberFormat="1" applyFont="1" applyFill="1" applyBorder="1" applyAlignment="1"/>
    <xf numFmtId="173" fontId="3" fillId="0" borderId="0" xfId="1" applyNumberFormat="1" applyFont="1" applyFill="1"/>
    <xf numFmtId="170" fontId="36" fillId="0" borderId="14" xfId="0" applyNumberFormat="1" applyFont="1" applyFill="1" applyBorder="1" applyAlignment="1"/>
    <xf numFmtId="170" fontId="3" fillId="0" borderId="1" xfId="0" applyNumberFormat="1" applyFont="1" applyFill="1" applyBorder="1" applyAlignment="1">
      <alignment horizontal="right"/>
    </xf>
    <xf numFmtId="170" fontId="39" fillId="0" borderId="13" xfId="0" applyNumberFormat="1" applyFont="1" applyFill="1" applyBorder="1" applyAlignment="1"/>
    <xf numFmtId="170" fontId="3" fillId="0" borderId="14" xfId="0" applyNumberFormat="1" applyFont="1" applyFill="1" applyBorder="1" applyAlignment="1"/>
    <xf numFmtId="0" fontId="3" fillId="7" borderId="0" xfId="0" applyFont="1" applyFill="1" applyBorder="1"/>
    <xf numFmtId="0" fontId="3" fillId="9" borderId="0" xfId="0" applyFont="1" applyFill="1"/>
    <xf numFmtId="178" fontId="3" fillId="0" borderId="0" xfId="0" applyNumberFormat="1" applyFont="1" applyFill="1" applyBorder="1"/>
    <xf numFmtId="170" fontId="38" fillId="0" borderId="8" xfId="0" applyNumberFormat="1" applyFont="1" applyFill="1" applyBorder="1" applyAlignment="1"/>
    <xf numFmtId="170" fontId="45" fillId="0" borderId="9" xfId="0" applyNumberFormat="1" applyFont="1" applyFill="1" applyBorder="1" applyAlignment="1"/>
    <xf numFmtId="170" fontId="45" fillId="0" borderId="0" xfId="0" applyNumberFormat="1" applyFont="1" applyFill="1" applyBorder="1" applyAlignment="1"/>
    <xf numFmtId="170" fontId="45" fillId="0" borderId="10" xfId="0" applyNumberFormat="1" applyFont="1" applyFill="1" applyBorder="1" applyAlignment="1"/>
    <xf numFmtId="170" fontId="45" fillId="0" borderId="11" xfId="0" applyNumberFormat="1" applyFont="1" applyFill="1" applyBorder="1" applyAlignment="1"/>
    <xf numFmtId="170" fontId="38" fillId="0" borderId="9" xfId="0" applyNumberFormat="1" applyFont="1" applyFill="1" applyBorder="1" applyAlignment="1"/>
    <xf numFmtId="170" fontId="38" fillId="0" borderId="10" xfId="0" applyNumberFormat="1" applyFont="1" applyFill="1" applyBorder="1" applyAlignment="1"/>
    <xf numFmtId="164" fontId="6" fillId="0" borderId="0" xfId="0" applyNumberFormat="1" applyFont="1" applyFill="1" applyBorder="1" applyAlignment="1"/>
    <xf numFmtId="170" fontId="6" fillId="0" borderId="11" xfId="0" applyNumberFormat="1" applyFont="1" applyFill="1" applyBorder="1" applyAlignment="1"/>
    <xf numFmtId="170" fontId="6" fillId="8" borderId="0" xfId="0" applyNumberFormat="1" applyFont="1" applyFill="1" applyBorder="1" applyAlignment="1"/>
    <xf numFmtId="170" fontId="3" fillId="8" borderId="0" xfId="0" applyNumberFormat="1" applyFont="1" applyFill="1" applyBorder="1" applyAlignment="1"/>
    <xf numFmtId="170" fontId="38" fillId="0" borderId="0" xfId="0" applyNumberFormat="1" applyFont="1" applyFill="1" applyBorder="1" applyAlignment="1"/>
    <xf numFmtId="164" fontId="12" fillId="0" borderId="11" xfId="0" applyNumberFormat="1" applyFont="1" applyFill="1" applyBorder="1" applyAlignment="1"/>
    <xf numFmtId="164" fontId="12" fillId="0" borderId="0" xfId="0" applyNumberFormat="1" applyFont="1" applyFill="1" applyBorder="1" applyAlignment="1"/>
    <xf numFmtId="164" fontId="6" fillId="0" borderId="0" xfId="0" applyNumberFormat="1" applyFont="1" applyFill="1" applyBorder="1" applyAlignment="1">
      <alignment horizontal="center"/>
    </xf>
    <xf numFmtId="170" fontId="45" fillId="10" borderId="9" xfId="0" applyNumberFormat="1" applyFont="1" applyFill="1" applyBorder="1" applyAlignment="1"/>
    <xf numFmtId="170" fontId="45" fillId="10" borderId="0" xfId="0" applyNumberFormat="1" applyFont="1" applyFill="1" applyBorder="1" applyAlignment="1"/>
    <xf numFmtId="170" fontId="45" fillId="10" borderId="10" xfId="0" applyNumberFormat="1" applyFont="1" applyFill="1" applyBorder="1" applyAlignment="1"/>
    <xf numFmtId="170" fontId="35" fillId="10" borderId="11" xfId="0" applyNumberFormat="1" applyFont="1" applyFill="1" applyBorder="1" applyAlignment="1"/>
    <xf numFmtId="170" fontId="6" fillId="10" borderId="0" xfId="0" applyNumberFormat="1" applyFont="1" applyFill="1" applyBorder="1" applyAlignment="1"/>
    <xf numFmtId="170" fontId="38" fillId="10" borderId="9" xfId="0" applyNumberFormat="1" applyFont="1" applyFill="1" applyBorder="1" applyAlignment="1"/>
    <xf numFmtId="164" fontId="39" fillId="10" borderId="9" xfId="0" applyNumberFormat="1" applyFont="1" applyFill="1" applyBorder="1" applyAlignment="1"/>
    <xf numFmtId="164" fontId="39" fillId="10" borderId="0" xfId="0" applyNumberFormat="1" applyFont="1" applyFill="1" applyBorder="1" applyAlignment="1"/>
    <xf numFmtId="164" fontId="39" fillId="10" borderId="10" xfId="0" applyNumberFormat="1" applyFont="1" applyFill="1" applyBorder="1" applyAlignment="1"/>
    <xf numFmtId="164" fontId="39" fillId="10" borderId="11" xfId="0" applyNumberFormat="1" applyFont="1" applyFill="1" applyBorder="1" applyAlignment="1"/>
    <xf numFmtId="164" fontId="6" fillId="10" borderId="0" xfId="0" applyNumberFormat="1" applyFont="1" applyFill="1" applyBorder="1" applyAlignment="1"/>
    <xf numFmtId="164" fontId="36" fillId="10" borderId="9" xfId="0" applyNumberFormat="1" applyFont="1" applyFill="1" applyBorder="1" applyAlignment="1"/>
    <xf numFmtId="164" fontId="36" fillId="10" borderId="0" xfId="0" applyNumberFormat="1" applyFont="1" applyFill="1" applyBorder="1" applyAlignment="1"/>
    <xf numFmtId="164" fontId="36" fillId="10" borderId="10" xfId="0" applyNumberFormat="1" applyFont="1" applyFill="1" applyBorder="1" applyAlignment="1"/>
    <xf numFmtId="164" fontId="36" fillId="10" borderId="11" xfId="0" applyNumberFormat="1" applyFont="1" applyFill="1" applyBorder="1" applyAlignment="1"/>
    <xf numFmtId="164" fontId="3" fillId="10" borderId="11" xfId="0" applyNumberFormat="1" applyFont="1" applyFill="1" applyBorder="1" applyAlignment="1"/>
    <xf numFmtId="164" fontId="6" fillId="10" borderId="0" xfId="0" applyNumberFormat="1" applyFont="1" applyFill="1" applyBorder="1" applyAlignment="1">
      <alignment horizontal="center"/>
    </xf>
    <xf numFmtId="164" fontId="3" fillId="10" borderId="9" xfId="0" applyNumberFormat="1" applyFont="1" applyFill="1" applyBorder="1" applyAlignment="1"/>
    <xf numFmtId="164" fontId="3" fillId="10" borderId="0" xfId="0" applyNumberFormat="1" applyFont="1" applyFill="1" applyBorder="1" applyAlignment="1"/>
    <xf numFmtId="164" fontId="3" fillId="10" borderId="10" xfId="0" applyNumberFormat="1" applyFont="1" applyFill="1" applyBorder="1" applyAlignment="1"/>
    <xf numFmtId="170" fontId="38" fillId="10" borderId="0" xfId="0" applyNumberFormat="1" applyFont="1" applyFill="1" applyBorder="1" applyAlignment="1"/>
    <xf numFmtId="170" fontId="38" fillId="10" borderId="10" xfId="0" applyNumberFormat="1" applyFont="1" applyFill="1" applyBorder="1" applyAlignment="1"/>
    <xf numFmtId="170" fontId="3" fillId="10" borderId="0" xfId="0" applyNumberFormat="1" applyFont="1" applyFill="1" applyBorder="1" applyAlignment="1"/>
    <xf numFmtId="170" fontId="35" fillId="10" borderId="9" xfId="0" applyNumberFormat="1" applyFont="1" applyFill="1" applyBorder="1" applyAlignment="1"/>
    <xf numFmtId="170" fontId="35" fillId="10" borderId="0" xfId="0" applyNumberFormat="1" applyFont="1" applyFill="1" applyBorder="1" applyAlignment="1"/>
    <xf numFmtId="164" fontId="39" fillId="10" borderId="1" xfId="0" applyNumberFormat="1" applyFont="1" applyFill="1" applyBorder="1" applyAlignment="1"/>
    <xf numFmtId="164" fontId="3" fillId="10" borderId="1" xfId="0" applyNumberFormat="1" applyFont="1" applyFill="1" applyBorder="1" applyAlignment="1"/>
    <xf numFmtId="164" fontId="3" fillId="0" borderId="14" xfId="0" applyNumberFormat="1" applyFont="1" applyFill="1" applyBorder="1" applyAlignment="1"/>
    <xf numFmtId="0" fontId="6" fillId="0" borderId="1" xfId="0" applyFont="1" applyFill="1" applyBorder="1" applyAlignment="1">
      <alignment horizontal="center"/>
    </xf>
    <xf numFmtId="0" fontId="6" fillId="0" borderId="1" xfId="0" applyFont="1" applyFill="1" applyBorder="1"/>
    <xf numFmtId="170" fontId="3" fillId="0" borderId="1" xfId="0" applyNumberFormat="1" applyFont="1" applyFill="1" applyBorder="1"/>
    <xf numFmtId="0" fontId="3" fillId="4" borderId="0" xfId="0" applyFont="1" applyFill="1"/>
    <xf numFmtId="0" fontId="5" fillId="0" borderId="0" xfId="0" applyFont="1" applyFill="1" applyBorder="1"/>
    <xf numFmtId="0" fontId="6" fillId="0" borderId="6" xfId="0" applyNumberFormat="1" applyFont="1" applyFill="1" applyBorder="1" applyAlignment="1"/>
    <xf numFmtId="0" fontId="3" fillId="0" borderId="3" xfId="0" applyFont="1" applyFill="1" applyBorder="1" applyAlignment="1"/>
    <xf numFmtId="170" fontId="36" fillId="0" borderId="6" xfId="0" applyNumberFormat="1" applyFont="1" applyFill="1" applyBorder="1" applyAlignment="1"/>
    <xf numFmtId="179" fontId="46" fillId="0" borderId="3" xfId="0" applyNumberFormat="1" applyFont="1" applyFill="1" applyBorder="1" applyAlignment="1"/>
    <xf numFmtId="0" fontId="3" fillId="8" borderId="0" xfId="0" applyFont="1" applyFill="1" applyBorder="1" applyAlignment="1"/>
    <xf numFmtId="37" fontId="36" fillId="0" borderId="0" xfId="0" applyNumberFormat="1" applyFont="1" applyFill="1" applyBorder="1" applyAlignment="1"/>
    <xf numFmtId="170" fontId="14" fillId="0" borderId="0" xfId="0" applyNumberFormat="1" applyFont="1" applyFill="1" applyBorder="1" applyAlignment="1"/>
    <xf numFmtId="170" fontId="6" fillId="0" borderId="12" xfId="0" applyNumberFormat="1" applyFont="1" applyFill="1" applyBorder="1" applyAlignment="1"/>
    <xf numFmtId="170" fontId="6" fillId="0" borderId="13" xfId="0" applyNumberFormat="1" applyFont="1" applyFill="1" applyBorder="1" applyAlignment="1"/>
    <xf numFmtId="170" fontId="6" fillId="0" borderId="14" xfId="0" applyNumberFormat="1" applyFont="1" applyFill="1" applyBorder="1" applyAlignment="1"/>
    <xf numFmtId="0" fontId="48" fillId="0" borderId="0" xfId="0" applyNumberFormat="1" applyFont="1" applyFill="1" applyBorder="1" applyAlignment="1"/>
    <xf numFmtId="180" fontId="43" fillId="0" borderId="0" xfId="0" applyNumberFormat="1" applyFont="1" applyFill="1" applyBorder="1" applyAlignment="1"/>
    <xf numFmtId="181" fontId="43" fillId="0" borderId="0" xfId="0" applyNumberFormat="1" applyFont="1" applyFill="1" applyBorder="1" applyAlignment="1"/>
    <xf numFmtId="180" fontId="3" fillId="0" borderId="0" xfId="0" applyNumberFormat="1" applyFont="1" applyFill="1" applyBorder="1" applyAlignment="1"/>
    <xf numFmtId="182" fontId="3" fillId="0" borderId="0" xfId="0" applyNumberFormat="1" applyFont="1" applyFill="1" applyBorder="1" applyAlignment="1"/>
    <xf numFmtId="183" fontId="3" fillId="0" borderId="0" xfId="0" applyNumberFormat="1" applyFont="1" applyFill="1" applyBorder="1" applyAlignment="1"/>
    <xf numFmtId="0" fontId="7" fillId="2" borderId="3" xfId="0" applyFont="1" applyFill="1" applyBorder="1" applyAlignment="1"/>
    <xf numFmtId="0" fontId="7" fillId="2" borderId="6" xfId="0" applyFont="1" applyFill="1" applyBorder="1" applyAlignment="1"/>
    <xf numFmtId="0" fontId="7" fillId="2" borderId="7" xfId="0" applyFont="1" applyFill="1" applyBorder="1" applyAlignment="1"/>
    <xf numFmtId="0" fontId="7" fillId="2" borderId="8" xfId="0" applyFont="1" applyFill="1" applyBorder="1" applyAlignment="1"/>
    <xf numFmtId="184" fontId="49" fillId="2" borderId="6" xfId="0" applyNumberFormat="1" applyFont="1" applyFill="1" applyBorder="1" applyAlignment="1"/>
    <xf numFmtId="184" fontId="49" fillId="2" borderId="3" xfId="0" applyNumberFormat="1" applyFont="1" applyFill="1" applyBorder="1" applyAlignment="1"/>
    <xf numFmtId="184" fontId="49" fillId="2" borderId="7" xfId="0" applyNumberFormat="1" applyFont="1" applyFill="1" applyBorder="1" applyAlignment="1"/>
    <xf numFmtId="184" fontId="49" fillId="2" borderId="8" xfId="0" applyNumberFormat="1" applyFont="1" applyFill="1" applyBorder="1" applyAlignment="1"/>
    <xf numFmtId="170" fontId="7" fillId="2" borderId="3" xfId="0" applyNumberFormat="1" applyFont="1" applyFill="1" applyBorder="1" applyAlignment="1"/>
    <xf numFmtId="170" fontId="7" fillId="2" borderId="7" xfId="0" applyNumberFormat="1" applyFont="1" applyFill="1" applyBorder="1" applyAlignment="1"/>
    <xf numFmtId="170" fontId="7" fillId="2" borderId="8" xfId="0" applyNumberFormat="1" applyFont="1" applyFill="1" applyBorder="1" applyAlignment="1"/>
    <xf numFmtId="170" fontId="50" fillId="0" borderId="0" xfId="0" applyNumberFormat="1" applyFont="1" applyFill="1" applyBorder="1" applyAlignment="1"/>
    <xf numFmtId="0" fontId="3" fillId="0" borderId="1" xfId="0" applyFont="1" applyFill="1" applyBorder="1" applyAlignment="1"/>
    <xf numFmtId="7" fontId="40" fillId="0" borderId="12" xfId="0" applyNumberFormat="1" applyFont="1" applyFill="1" applyBorder="1" applyAlignment="1"/>
    <xf numFmtId="7" fontId="40" fillId="0" borderId="1" xfId="0" applyNumberFormat="1" applyFont="1" applyFill="1" applyBorder="1" applyAlignment="1"/>
    <xf numFmtId="7" fontId="40" fillId="0" borderId="13" xfId="0" applyNumberFormat="1" applyFont="1" applyFill="1" applyBorder="1" applyAlignment="1"/>
    <xf numFmtId="7" fontId="40" fillId="0" borderId="14" xfId="0" applyNumberFormat="1" applyFont="1" applyFill="1" applyBorder="1" applyAlignment="1"/>
    <xf numFmtId="7" fontId="3" fillId="0" borderId="1" xfId="0" applyNumberFormat="1" applyFont="1" applyFill="1" applyBorder="1" applyAlignment="1"/>
    <xf numFmtId="7" fontId="50" fillId="0" borderId="1" xfId="0" applyNumberFormat="1" applyFont="1" applyFill="1" applyBorder="1" applyAlignment="1"/>
    <xf numFmtId="184" fontId="50" fillId="0" borderId="0" xfId="0" applyNumberFormat="1" applyFont="1" applyFill="1" applyBorder="1" applyAlignment="1"/>
    <xf numFmtId="164" fontId="40" fillId="0" borderId="9" xfId="0" applyNumberFormat="1" applyFont="1" applyFill="1" applyBorder="1" applyAlignment="1"/>
    <xf numFmtId="164" fontId="40" fillId="0" borderId="0" xfId="0" applyNumberFormat="1" applyFont="1" applyFill="1" applyBorder="1" applyAlignment="1"/>
    <xf numFmtId="164" fontId="40" fillId="0" borderId="10" xfId="0" applyNumberFormat="1" applyFont="1" applyFill="1" applyBorder="1" applyAlignment="1"/>
    <xf numFmtId="164" fontId="40" fillId="0" borderId="11" xfId="0" applyNumberFormat="1" applyFont="1" applyFill="1" applyBorder="1" applyAlignment="1"/>
    <xf numFmtId="170" fontId="50" fillId="0" borderId="1" xfId="0" applyNumberFormat="1" applyFont="1" applyFill="1" applyBorder="1" applyAlignment="1"/>
    <xf numFmtId="0" fontId="3" fillId="0" borderId="2" xfId="0" applyNumberFormat="1" applyFont="1" applyFill="1" applyBorder="1" applyAlignment="1"/>
    <xf numFmtId="0" fontId="3" fillId="0" borderId="2" xfId="0" applyFont="1" applyFill="1" applyBorder="1" applyAlignment="1"/>
    <xf numFmtId="184" fontId="50" fillId="0" borderId="2" xfId="0" applyNumberFormat="1" applyFont="1" applyFill="1" applyBorder="1" applyAlignment="1"/>
    <xf numFmtId="185" fontId="36" fillId="0" borderId="9" xfId="0" applyNumberFormat="1" applyFont="1" applyFill="1" applyBorder="1" applyAlignment="1"/>
    <xf numFmtId="185" fontId="36" fillId="0" borderId="0" xfId="0" applyNumberFormat="1" applyFont="1" applyFill="1" applyBorder="1" applyAlignment="1"/>
    <xf numFmtId="185" fontId="36" fillId="0" borderId="10" xfId="0" applyNumberFormat="1" applyFont="1" applyFill="1" applyBorder="1" applyAlignment="1"/>
    <xf numFmtId="185" fontId="36" fillId="0" borderId="11" xfId="0" applyNumberFormat="1" applyFont="1" applyFill="1" applyBorder="1" applyAlignment="1"/>
    <xf numFmtId="185" fontId="3" fillId="0" borderId="0" xfId="0" applyNumberFormat="1" applyFont="1" applyFill="1" applyBorder="1" applyAlignment="1"/>
    <xf numFmtId="185" fontId="40" fillId="0" borderId="9" xfId="0" applyNumberFormat="1" applyFont="1" applyFill="1" applyBorder="1" applyAlignment="1"/>
    <xf numFmtId="185" fontId="40" fillId="0" borderId="0" xfId="0" applyNumberFormat="1" applyFont="1" applyFill="1" applyBorder="1" applyAlignment="1"/>
    <xf numFmtId="185" fontId="40" fillId="0" borderId="10" xfId="0" applyNumberFormat="1" applyFont="1" applyFill="1" applyBorder="1" applyAlignment="1"/>
    <xf numFmtId="185" fontId="40" fillId="0" borderId="11" xfId="0" applyNumberFormat="1" applyFont="1" applyFill="1" applyBorder="1" applyAlignment="1"/>
    <xf numFmtId="185" fontId="50" fillId="0" borderId="0" xfId="0" applyNumberFormat="1" applyFont="1" applyFill="1" applyBorder="1" applyAlignment="1"/>
    <xf numFmtId="185" fontId="3" fillId="0" borderId="9" xfId="0" applyNumberFormat="1" applyFont="1" applyFill="1" applyBorder="1" applyAlignment="1"/>
    <xf numFmtId="185" fontId="3" fillId="0" borderId="10" xfId="0" applyNumberFormat="1" applyFont="1" applyFill="1" applyBorder="1" applyAlignment="1"/>
    <xf numFmtId="185" fontId="3" fillId="0" borderId="11" xfId="0" applyNumberFormat="1" applyFont="1" applyFill="1" applyBorder="1" applyAlignment="1"/>
    <xf numFmtId="164" fontId="50" fillId="0" borderId="1" xfId="0" applyNumberFormat="1" applyFont="1" applyFill="1" applyBorder="1" applyAlignment="1"/>
    <xf numFmtId="186" fontId="3" fillId="0" borderId="9" xfId="0" applyNumberFormat="1" applyFont="1" applyFill="1" applyBorder="1" applyAlignment="1"/>
    <xf numFmtId="186" fontId="3" fillId="0" borderId="0" xfId="0" applyNumberFormat="1" applyFont="1" applyFill="1" applyBorder="1" applyAlignment="1"/>
    <xf numFmtId="186" fontId="3" fillId="0" borderId="10" xfId="0" applyNumberFormat="1" applyFont="1" applyFill="1" applyBorder="1" applyAlignment="1"/>
    <xf numFmtId="186" fontId="3" fillId="0" borderId="11" xfId="0" applyNumberFormat="1" applyFont="1" applyFill="1" applyBorder="1" applyAlignment="1"/>
    <xf numFmtId="186" fontId="50" fillId="0" borderId="0" xfId="0" applyNumberFormat="1" applyFont="1" applyFill="1" applyBorder="1" applyAlignment="1"/>
    <xf numFmtId="186" fontId="3" fillId="0" borderId="12" xfId="0" applyNumberFormat="1" applyFont="1" applyFill="1" applyBorder="1" applyAlignment="1"/>
    <xf numFmtId="186" fontId="3" fillId="0" borderId="1" xfId="0" applyNumberFormat="1" applyFont="1" applyFill="1" applyBorder="1" applyAlignment="1"/>
    <xf numFmtId="186" fontId="3" fillId="0" borderId="13" xfId="0" applyNumberFormat="1" applyFont="1" applyFill="1" applyBorder="1" applyAlignment="1"/>
    <xf numFmtId="186" fontId="3" fillId="0" borderId="14" xfId="0" applyNumberFormat="1" applyFont="1" applyFill="1" applyBorder="1" applyAlignment="1"/>
    <xf numFmtId="186" fontId="50" fillId="0" borderId="1" xfId="0" applyNumberFormat="1" applyFont="1" applyFill="1" applyBorder="1" applyAlignment="1"/>
    <xf numFmtId="0" fontId="6" fillId="8" borderId="9" xfId="0" applyNumberFormat="1" applyFont="1" applyFill="1" applyBorder="1" applyAlignment="1"/>
    <xf numFmtId="170" fontId="3" fillId="8" borderId="9" xfId="0" applyNumberFormat="1" applyFont="1" applyFill="1" applyBorder="1"/>
    <xf numFmtId="170" fontId="3" fillId="8" borderId="0" xfId="0" applyNumberFormat="1" applyFont="1" applyFill="1" applyBorder="1"/>
    <xf numFmtId="170" fontId="3" fillId="8" borderId="10" xfId="0" applyNumberFormat="1" applyFont="1" applyFill="1" applyBorder="1"/>
    <xf numFmtId="170" fontId="3" fillId="8" borderId="11" xfId="0" applyNumberFormat="1" applyFont="1" applyFill="1" applyBorder="1"/>
    <xf numFmtId="170" fontId="3" fillId="0" borderId="10" xfId="0" applyNumberFormat="1" applyFont="1" applyFill="1" applyBorder="1"/>
    <xf numFmtId="170" fontId="12" fillId="0" borderId="9" xfId="0" applyNumberFormat="1" applyFont="1" applyFill="1" applyBorder="1"/>
    <xf numFmtId="170" fontId="12" fillId="0" borderId="0" xfId="0" applyNumberFormat="1" applyFont="1" applyFill="1" applyBorder="1"/>
    <xf numFmtId="170" fontId="12" fillId="0" borderId="10" xfId="0" applyNumberFormat="1" applyFont="1" applyFill="1" applyBorder="1"/>
    <xf numFmtId="170" fontId="3" fillId="0" borderId="9" xfId="0" applyNumberFormat="1" applyFont="1" applyFill="1" applyBorder="1"/>
    <xf numFmtId="170" fontId="3" fillId="0" borderId="13" xfId="0" applyNumberFormat="1" applyFont="1" applyFill="1" applyBorder="1"/>
    <xf numFmtId="170" fontId="3" fillId="0" borderId="12" xfId="0" applyNumberFormat="1" applyFont="1" applyFill="1" applyBorder="1"/>
    <xf numFmtId="0" fontId="3" fillId="8" borderId="9" xfId="0" applyFont="1" applyFill="1" applyBorder="1" applyAlignment="1"/>
    <xf numFmtId="0" fontId="3" fillId="8" borderId="10" xfId="0" applyFont="1" applyFill="1" applyBorder="1" applyAlignment="1"/>
    <xf numFmtId="0" fontId="3" fillId="8" borderId="11" xfId="0" applyFont="1" applyFill="1" applyBorder="1" applyAlignment="1"/>
    <xf numFmtId="184" fontId="50" fillId="8" borderId="9" xfId="0" applyNumberFormat="1" applyFont="1" applyFill="1" applyBorder="1" applyAlignment="1"/>
    <xf numFmtId="184" fontId="50" fillId="8" borderId="0" xfId="0" applyNumberFormat="1" applyFont="1" applyFill="1" applyBorder="1" applyAlignment="1"/>
    <xf numFmtId="184" fontId="50" fillId="8" borderId="10" xfId="0" applyNumberFormat="1" applyFont="1" applyFill="1" applyBorder="1" applyAlignment="1"/>
    <xf numFmtId="184" fontId="50" fillId="8" borderId="11" xfId="0" applyNumberFormat="1" applyFont="1" applyFill="1" applyBorder="1" applyAlignment="1"/>
    <xf numFmtId="0" fontId="3" fillId="0" borderId="11" xfId="0" applyFont="1" applyFill="1" applyBorder="1" applyAlignment="1"/>
    <xf numFmtId="184" fontId="50" fillId="0" borderId="9" xfId="0" applyNumberFormat="1" applyFont="1" applyFill="1" applyBorder="1" applyAlignment="1"/>
    <xf numFmtId="184" fontId="50" fillId="0" borderId="10" xfId="0" applyNumberFormat="1" applyFont="1" applyFill="1" applyBorder="1" applyAlignment="1"/>
    <xf numFmtId="184" fontId="50" fillId="0" borderId="11" xfId="0" applyNumberFormat="1" applyFont="1" applyFill="1" applyBorder="1" applyAlignment="1"/>
    <xf numFmtId="0" fontId="3" fillId="0" borderId="15" xfId="0" applyNumberFormat="1" applyFont="1" applyFill="1" applyBorder="1" applyAlignment="1"/>
    <xf numFmtId="0" fontId="3" fillId="0" borderId="16" xfId="0" applyFont="1" applyFill="1" applyBorder="1" applyAlignment="1"/>
    <xf numFmtId="0" fontId="3" fillId="0" borderId="15" xfId="0" applyFont="1" applyFill="1" applyBorder="1" applyAlignment="1"/>
    <xf numFmtId="0" fontId="3" fillId="0" borderId="17" xfId="0" applyFont="1" applyFill="1" applyBorder="1" applyAlignment="1"/>
    <xf numFmtId="0" fontId="3" fillId="0" borderId="18" xfId="0" applyFont="1" applyFill="1" applyBorder="1" applyAlignment="1"/>
    <xf numFmtId="184" fontId="50" fillId="0" borderId="15" xfId="0" applyNumberFormat="1" applyFont="1" applyFill="1" applyBorder="1" applyAlignment="1"/>
    <xf numFmtId="184" fontId="50" fillId="0" borderId="16" xfId="0" applyNumberFormat="1" applyFont="1" applyFill="1" applyBorder="1" applyAlignment="1"/>
    <xf numFmtId="184" fontId="50" fillId="0" borderId="17" xfId="0" applyNumberFormat="1" applyFont="1" applyFill="1" applyBorder="1" applyAlignment="1"/>
    <xf numFmtId="184" fontId="50" fillId="0" borderId="18" xfId="0" applyNumberFormat="1" applyFont="1" applyFill="1" applyBorder="1" applyAlignment="1"/>
    <xf numFmtId="170" fontId="3" fillId="0" borderId="16" xfId="0" applyNumberFormat="1" applyFont="1" applyFill="1" applyBorder="1" applyAlignment="1"/>
    <xf numFmtId="170" fontId="3" fillId="0" borderId="17" xfId="0" applyNumberFormat="1" applyFont="1" applyFill="1" applyBorder="1" applyAlignment="1"/>
    <xf numFmtId="170" fontId="3" fillId="0" borderId="18" xfId="0" applyNumberFormat="1" applyFont="1" applyFill="1" applyBorder="1" applyAlignment="1"/>
    <xf numFmtId="170" fontId="3" fillId="0" borderId="15" xfId="0" applyNumberFormat="1" applyFont="1" applyFill="1" applyBorder="1" applyAlignment="1"/>
    <xf numFmtId="0" fontId="3" fillId="0" borderId="19" xfId="0" applyNumberFormat="1" applyFont="1" applyFill="1" applyBorder="1" applyAlignment="1"/>
    <xf numFmtId="0" fontId="3" fillId="0" borderId="20" xfId="0" applyFont="1" applyFill="1" applyBorder="1" applyAlignment="1"/>
    <xf numFmtId="0" fontId="3" fillId="0" borderId="19" xfId="0" applyFont="1" applyFill="1" applyBorder="1" applyAlignment="1"/>
    <xf numFmtId="0" fontId="3" fillId="0" borderId="21" xfId="0" applyFont="1" applyFill="1" applyBorder="1" applyAlignment="1"/>
    <xf numFmtId="0" fontId="3" fillId="0" borderId="22" xfId="0" applyFont="1" applyFill="1" applyBorder="1" applyAlignment="1"/>
    <xf numFmtId="184" fontId="50" fillId="0" borderId="19" xfId="0" applyNumberFormat="1" applyFont="1" applyFill="1" applyBorder="1" applyAlignment="1"/>
    <xf numFmtId="184" fontId="50" fillId="0" borderId="20" xfId="0" applyNumberFormat="1" applyFont="1" applyFill="1" applyBorder="1" applyAlignment="1"/>
    <xf numFmtId="184" fontId="50" fillId="0" borderId="21" xfId="0" applyNumberFormat="1" applyFont="1" applyFill="1" applyBorder="1" applyAlignment="1"/>
    <xf numFmtId="184" fontId="50" fillId="0" borderId="22" xfId="0" applyNumberFormat="1" applyFont="1" applyFill="1" applyBorder="1" applyAlignment="1"/>
    <xf numFmtId="170" fontId="3" fillId="0" borderId="20" xfId="0" applyNumberFormat="1" applyFont="1" applyFill="1" applyBorder="1"/>
    <xf numFmtId="170" fontId="3" fillId="0" borderId="21" xfId="0" applyNumberFormat="1" applyFont="1" applyFill="1" applyBorder="1" applyAlignment="1"/>
    <xf numFmtId="170" fontId="3" fillId="0" borderId="22" xfId="0" applyNumberFormat="1" applyFont="1" applyFill="1" applyBorder="1" applyAlignment="1"/>
    <xf numFmtId="170" fontId="3" fillId="0" borderId="19" xfId="0" applyNumberFormat="1" applyFont="1" applyFill="1" applyBorder="1" applyAlignment="1"/>
    <xf numFmtId="170" fontId="3" fillId="0" borderId="20" xfId="0" applyNumberFormat="1" applyFont="1" applyFill="1" applyBorder="1" applyAlignment="1"/>
    <xf numFmtId="170" fontId="43" fillId="0" borderId="0" xfId="0" applyNumberFormat="1" applyFont="1" applyFill="1" applyBorder="1" applyAlignment="1"/>
    <xf numFmtId="0" fontId="43" fillId="0" borderId="12" xfId="0" applyNumberFormat="1" applyFont="1" applyFill="1" applyBorder="1" applyAlignment="1"/>
    <xf numFmtId="181" fontId="43" fillId="0" borderId="12" xfId="0" applyNumberFormat="1" applyFont="1" applyFill="1" applyBorder="1" applyAlignment="1"/>
    <xf numFmtId="181" fontId="43" fillId="0" borderId="1" xfId="0" applyNumberFormat="1" applyFont="1" applyFill="1" applyBorder="1" applyAlignment="1"/>
    <xf numFmtId="181" fontId="43" fillId="0" borderId="13" xfId="0" applyNumberFormat="1" applyFont="1" applyFill="1" applyBorder="1" applyAlignment="1"/>
    <xf numFmtId="181" fontId="43" fillId="0" borderId="14" xfId="0" applyNumberFormat="1" applyFont="1" applyFill="1" applyBorder="1" applyAlignment="1"/>
    <xf numFmtId="184" fontId="50" fillId="0" borderId="1" xfId="0" applyNumberFormat="1" applyFont="1" applyFill="1" applyBorder="1" applyAlignment="1"/>
    <xf numFmtId="184" fontId="50" fillId="8" borderId="6" xfId="0" applyNumberFormat="1" applyFont="1" applyFill="1" applyBorder="1" applyAlignment="1"/>
    <xf numFmtId="184" fontId="50" fillId="8" borderId="3" xfId="0" applyNumberFormat="1" applyFont="1" applyFill="1" applyBorder="1" applyAlignment="1"/>
    <xf numFmtId="184" fontId="50" fillId="8" borderId="7" xfId="0" applyNumberFormat="1" applyFont="1" applyFill="1" applyBorder="1" applyAlignment="1"/>
    <xf numFmtId="184" fontId="50" fillId="8" borderId="8" xfId="0" applyNumberFormat="1" applyFont="1" applyFill="1" applyBorder="1" applyAlignment="1"/>
    <xf numFmtId="0" fontId="43" fillId="0" borderId="1" xfId="0" applyFont="1" applyFill="1" applyBorder="1" applyAlignment="1"/>
    <xf numFmtId="0" fontId="43" fillId="0" borderId="12" xfId="0" applyFont="1" applyFill="1" applyBorder="1" applyAlignment="1"/>
    <xf numFmtId="0" fontId="43" fillId="0" borderId="13" xfId="0" applyFont="1" applyFill="1" applyBorder="1" applyAlignment="1"/>
    <xf numFmtId="0" fontId="43" fillId="0" borderId="14" xfId="0" applyFont="1" applyFill="1" applyBorder="1" applyAlignment="1"/>
    <xf numFmtId="184" fontId="51" fillId="0" borderId="12" xfId="0" applyNumberFormat="1" applyFont="1" applyFill="1" applyBorder="1" applyAlignment="1"/>
    <xf numFmtId="184" fontId="51" fillId="0" borderId="1" xfId="0" applyNumberFormat="1" applyFont="1" applyFill="1" applyBorder="1" applyAlignment="1"/>
    <xf numFmtId="184" fontId="51" fillId="0" borderId="13" xfId="0" applyNumberFormat="1" applyFont="1" applyFill="1" applyBorder="1" applyAlignment="1"/>
    <xf numFmtId="184" fontId="51" fillId="0" borderId="14" xfId="0" applyNumberFormat="1" applyFont="1" applyFill="1" applyBorder="1" applyAlignment="1"/>
    <xf numFmtId="0" fontId="3" fillId="0" borderId="12" xfId="0" applyFont="1" applyFill="1" applyBorder="1" applyAlignment="1"/>
    <xf numFmtId="0" fontId="3" fillId="0" borderId="13" xfId="0" applyFont="1" applyFill="1" applyBorder="1" applyAlignment="1"/>
    <xf numFmtId="0" fontId="3" fillId="0" borderId="14" xfId="0" applyFont="1" applyFill="1" applyBorder="1" applyAlignment="1"/>
    <xf numFmtId="184" fontId="50" fillId="0" borderId="12" xfId="0" applyNumberFormat="1" applyFont="1" applyFill="1" applyBorder="1" applyAlignment="1"/>
    <xf numFmtId="184" fontId="50" fillId="0" borderId="13" xfId="0" applyNumberFormat="1" applyFont="1" applyFill="1" applyBorder="1" applyAlignment="1"/>
    <xf numFmtId="184" fontId="50" fillId="0" borderId="14" xfId="0" applyNumberFormat="1" applyFont="1" applyFill="1" applyBorder="1" applyAlignment="1"/>
    <xf numFmtId="0" fontId="3" fillId="0" borderId="3" xfId="0" applyNumberFormat="1" applyFont="1" applyFill="1" applyBorder="1" applyAlignment="1"/>
    <xf numFmtId="184" fontId="50" fillId="0" borderId="3" xfId="0" applyNumberFormat="1" applyFont="1" applyFill="1" applyBorder="1" applyAlignment="1"/>
    <xf numFmtId="0" fontId="3" fillId="0" borderId="0" xfId="0" applyNumberFormat="1" applyFont="1" applyFill="1"/>
    <xf numFmtId="170" fontId="3" fillId="0" borderId="0" xfId="0" applyNumberFormat="1" applyFont="1" applyFill="1"/>
    <xf numFmtId="0" fontId="6" fillId="0" borderId="6" xfId="0" applyFont="1" applyFill="1" applyBorder="1"/>
    <xf numFmtId="0" fontId="6" fillId="0" borderId="3" xfId="0" applyFont="1" applyFill="1" applyBorder="1"/>
    <xf numFmtId="38" fontId="3" fillId="0" borderId="6" xfId="0" applyNumberFormat="1" applyFont="1" applyFill="1" applyBorder="1"/>
    <xf numFmtId="38" fontId="3" fillId="0" borderId="3" xfId="0" applyNumberFormat="1" applyFont="1" applyFill="1" applyBorder="1"/>
    <xf numFmtId="38" fontId="3" fillId="0" borderId="7" xfId="0" applyNumberFormat="1" applyFont="1" applyFill="1" applyBorder="1"/>
    <xf numFmtId="38" fontId="3" fillId="0" borderId="8" xfId="0" applyNumberFormat="1" applyFont="1" applyFill="1" applyBorder="1"/>
    <xf numFmtId="0" fontId="3" fillId="0" borderId="8" xfId="0" applyFont="1" applyFill="1" applyBorder="1"/>
    <xf numFmtId="170" fontId="3" fillId="0" borderId="8" xfId="0" applyNumberFormat="1" applyFont="1" applyFill="1" applyBorder="1"/>
    <xf numFmtId="170" fontId="3" fillId="0" borderId="9" xfId="0" applyNumberFormat="1" applyFont="1" applyFill="1" applyBorder="1" applyAlignment="1">
      <alignment horizontal="left" indent="1"/>
    </xf>
    <xf numFmtId="170" fontId="3" fillId="0" borderId="0" xfId="0" applyNumberFormat="1" applyFont="1" applyFill="1" applyBorder="1" applyAlignment="1">
      <alignment horizontal="left" indent="1"/>
    </xf>
    <xf numFmtId="170" fontId="3" fillId="0" borderId="9" xfId="0" applyNumberFormat="1" applyFont="1" applyFill="1" applyBorder="1" applyAlignment="1">
      <alignment horizontal="left"/>
    </xf>
    <xf numFmtId="170" fontId="3" fillId="0" borderId="0" xfId="0" applyNumberFormat="1" applyFont="1" applyFill="1" applyBorder="1" applyAlignment="1">
      <alignment horizontal="left"/>
    </xf>
    <xf numFmtId="170" fontId="6" fillId="0" borderId="9" xfId="0" applyNumberFormat="1" applyFont="1" applyFill="1" applyBorder="1"/>
    <xf numFmtId="170" fontId="6" fillId="0" borderId="0" xfId="0" applyNumberFormat="1" applyFont="1" applyFill="1" applyBorder="1"/>
    <xf numFmtId="170" fontId="43" fillId="0" borderId="0" xfId="0" applyNumberFormat="1" applyFont="1" applyFill="1" applyBorder="1"/>
    <xf numFmtId="170" fontId="43" fillId="0" borderId="9" xfId="0" applyNumberFormat="1" applyFont="1" applyFill="1" applyBorder="1" applyAlignment="1"/>
    <xf numFmtId="170" fontId="43" fillId="0" borderId="10" xfId="0" applyNumberFormat="1" applyFont="1" applyFill="1" applyBorder="1" applyAlignment="1"/>
    <xf numFmtId="170" fontId="43" fillId="0" borderId="11" xfId="0" applyNumberFormat="1" applyFont="1" applyFill="1" applyBorder="1" applyAlignment="1"/>
    <xf numFmtId="170" fontId="6" fillId="8" borderId="9" xfId="0" applyNumberFormat="1" applyFont="1" applyFill="1" applyBorder="1"/>
    <xf numFmtId="170" fontId="6" fillId="8" borderId="0" xfId="0" applyNumberFormat="1" applyFont="1" applyFill="1" applyBorder="1"/>
    <xf numFmtId="170" fontId="6" fillId="8" borderId="9" xfId="0" applyNumberFormat="1" applyFont="1" applyFill="1" applyBorder="1" applyAlignment="1"/>
    <xf numFmtId="170" fontId="6" fillId="8" borderId="10" xfId="0" applyNumberFormat="1" applyFont="1" applyFill="1" applyBorder="1" applyAlignment="1"/>
    <xf numFmtId="170" fontId="6" fillId="8" borderId="11" xfId="0" applyNumberFormat="1" applyFont="1" applyFill="1" applyBorder="1" applyAlignment="1"/>
    <xf numFmtId="170" fontId="36" fillId="8" borderId="9" xfId="0" applyNumberFormat="1" applyFont="1" applyFill="1" applyBorder="1" applyAlignment="1"/>
    <xf numFmtId="170" fontId="3" fillId="8" borderId="10" xfId="0" applyNumberFormat="1" applyFont="1" applyFill="1" applyBorder="1" applyAlignment="1"/>
    <xf numFmtId="170" fontId="39" fillId="8" borderId="11" xfId="0" applyNumberFormat="1" applyFont="1" applyFill="1" applyBorder="1" applyAlignment="1"/>
    <xf numFmtId="170" fontId="3" fillId="8" borderId="9" xfId="0" applyNumberFormat="1" applyFont="1" applyFill="1" applyBorder="1" applyAlignment="1"/>
    <xf numFmtId="170" fontId="3" fillId="8" borderId="11" xfId="0" applyNumberFormat="1" applyFont="1" applyFill="1" applyBorder="1" applyAlignment="1"/>
    <xf numFmtId="170" fontId="3" fillId="8" borderId="12" xfId="0" applyNumberFormat="1" applyFont="1" applyFill="1" applyBorder="1"/>
    <xf numFmtId="170" fontId="3" fillId="8" borderId="1" xfId="0" applyNumberFormat="1" applyFont="1" applyFill="1" applyBorder="1"/>
    <xf numFmtId="170" fontId="3" fillId="8" borderId="12" xfId="0" applyNumberFormat="1" applyFont="1" applyFill="1" applyBorder="1" applyAlignment="1"/>
    <xf numFmtId="170" fontId="3" fillId="8" borderId="1" xfId="0" applyNumberFormat="1" applyFont="1" applyFill="1" applyBorder="1" applyAlignment="1"/>
    <xf numFmtId="170" fontId="3" fillId="8" borderId="13" xfId="0" applyNumberFormat="1" applyFont="1" applyFill="1" applyBorder="1" applyAlignment="1"/>
    <xf numFmtId="170" fontId="3" fillId="8" borderId="14" xfId="0" applyNumberFormat="1" applyFont="1" applyFill="1" applyBorder="1" applyAlignment="1"/>
    <xf numFmtId="187" fontId="3" fillId="0" borderId="0" xfId="0" applyNumberFormat="1" applyFont="1" applyFill="1" applyBorder="1"/>
    <xf numFmtId="188" fontId="3" fillId="0" borderId="0" xfId="0" applyNumberFormat="1" applyFont="1" applyFill="1" applyBorder="1"/>
    <xf numFmtId="1" fontId="3" fillId="0" borderId="0" xfId="0" applyNumberFormat="1" applyFont="1" applyFill="1" applyBorder="1"/>
    <xf numFmtId="37" fontId="44" fillId="2" borderId="6" xfId="0" applyNumberFormat="1" applyFont="1" applyFill="1" applyBorder="1" applyAlignment="1" applyProtection="1">
      <alignment horizontal="left"/>
    </xf>
    <xf numFmtId="37" fontId="7" fillId="2" borderId="3" xfId="0" applyNumberFormat="1" applyFont="1" applyFill="1" applyBorder="1" applyAlignment="1" applyProtection="1">
      <alignment horizontal="right"/>
    </xf>
    <xf numFmtId="170" fontId="7" fillId="2" borderId="6" xfId="0" applyNumberFormat="1" applyFont="1" applyFill="1" applyBorder="1" applyAlignment="1" applyProtection="1">
      <alignment horizontal="right"/>
    </xf>
    <xf numFmtId="170" fontId="7" fillId="2" borderId="3" xfId="0" applyNumberFormat="1" applyFont="1" applyFill="1" applyBorder="1" applyAlignment="1" applyProtection="1">
      <alignment horizontal="right"/>
    </xf>
    <xf numFmtId="170" fontId="7" fillId="2" borderId="7" xfId="0" applyNumberFormat="1" applyFont="1" applyFill="1" applyBorder="1" applyAlignment="1" applyProtection="1">
      <alignment horizontal="right"/>
    </xf>
    <xf numFmtId="170" fontId="7" fillId="2" borderId="8" xfId="0" applyNumberFormat="1" applyFont="1" applyFill="1" applyBorder="1" applyAlignment="1" applyProtection="1">
      <alignment horizontal="right"/>
    </xf>
    <xf numFmtId="170" fontId="3" fillId="0" borderId="0" xfId="0" applyNumberFormat="1" applyFont="1" applyFill="1" applyBorder="1" applyAlignment="1" applyProtection="1">
      <alignment horizontal="right"/>
    </xf>
    <xf numFmtId="37" fontId="3" fillId="0" borderId="9" xfId="0" applyNumberFormat="1" applyFont="1" applyFill="1" applyBorder="1" applyAlignment="1" applyProtection="1">
      <alignment horizontal="left"/>
    </xf>
    <xf numFmtId="37" fontId="3" fillId="0" borderId="0" xfId="0" applyNumberFormat="1" applyFont="1" applyFill="1" applyBorder="1" applyAlignment="1" applyProtection="1">
      <alignment horizontal="right"/>
    </xf>
    <xf numFmtId="170" fontId="3" fillId="0" borderId="9" xfId="0" applyNumberFormat="1" applyFont="1" applyFill="1" applyBorder="1" applyAlignment="1" applyProtection="1">
      <alignment horizontal="right"/>
    </xf>
    <xf numFmtId="170" fontId="3" fillId="0" borderId="10" xfId="0" applyNumberFormat="1" applyFont="1" applyFill="1" applyBorder="1" applyAlignment="1" applyProtection="1">
      <alignment horizontal="right"/>
    </xf>
    <xf numFmtId="170" fontId="3" fillId="0" borderId="11" xfId="0" applyNumberFormat="1" applyFont="1" applyFill="1" applyBorder="1" applyAlignment="1" applyProtection="1">
      <alignment horizontal="right"/>
    </xf>
    <xf numFmtId="7" fontId="41" fillId="0" borderId="9" xfId="0" applyNumberFormat="1" applyFont="1" applyFill="1" applyBorder="1" applyAlignment="1" applyProtection="1">
      <alignment horizontal="right"/>
    </xf>
    <xf numFmtId="7" fontId="41" fillId="0" borderId="0" xfId="0" applyNumberFormat="1" applyFont="1" applyFill="1" applyBorder="1" applyAlignment="1" applyProtection="1">
      <alignment horizontal="right"/>
    </xf>
    <xf numFmtId="7" fontId="41" fillId="0" borderId="10" xfId="0" applyNumberFormat="1" applyFont="1" applyFill="1" applyBorder="1" applyAlignment="1" applyProtection="1">
      <alignment horizontal="right"/>
    </xf>
    <xf numFmtId="7" fontId="41" fillId="0" borderId="11" xfId="0" applyNumberFormat="1" applyFont="1" applyFill="1" applyBorder="1" applyAlignment="1" applyProtection="1">
      <alignment horizontal="right"/>
    </xf>
    <xf numFmtId="7" fontId="3" fillId="0" borderId="0" xfId="0" applyNumberFormat="1" applyFont="1" applyFill="1" applyBorder="1" applyAlignment="1" applyProtection="1">
      <alignment horizontal="right"/>
    </xf>
    <xf numFmtId="164" fontId="3" fillId="0" borderId="9" xfId="0" applyNumberFormat="1" applyFont="1" applyFill="1" applyBorder="1" applyAlignment="1" applyProtection="1">
      <alignment horizontal="right"/>
    </xf>
    <xf numFmtId="164" fontId="3" fillId="0" borderId="0" xfId="0" applyNumberFormat="1" applyFont="1" applyFill="1" applyBorder="1" applyAlignment="1" applyProtection="1">
      <alignment horizontal="right"/>
    </xf>
    <xf numFmtId="164" fontId="3" fillId="0" borderId="10" xfId="0" applyNumberFormat="1" applyFont="1" applyFill="1" applyBorder="1" applyAlignment="1" applyProtection="1">
      <alignment horizontal="right"/>
    </xf>
    <xf numFmtId="164" fontId="3" fillId="0" borderId="11" xfId="0" applyNumberFormat="1" applyFont="1" applyFill="1" applyBorder="1" applyAlignment="1" applyProtection="1">
      <alignment horizontal="right"/>
    </xf>
    <xf numFmtId="37" fontId="3" fillId="0" borderId="12" xfId="0" applyNumberFormat="1" applyFont="1" applyFill="1" applyBorder="1" applyAlignment="1" applyProtection="1">
      <alignment horizontal="left"/>
    </xf>
    <xf numFmtId="7" fontId="36" fillId="0" borderId="12" xfId="0" applyNumberFormat="1" applyFont="1" applyFill="1" applyBorder="1" applyAlignment="1" applyProtection="1">
      <alignment horizontal="right"/>
    </xf>
    <xf numFmtId="7" fontId="36" fillId="0" borderId="1" xfId="0" applyNumberFormat="1" applyFont="1" applyFill="1" applyBorder="1" applyAlignment="1" applyProtection="1">
      <alignment horizontal="right"/>
    </xf>
    <xf numFmtId="7" fontId="36" fillId="0" borderId="13" xfId="0" applyNumberFormat="1" applyFont="1" applyFill="1" applyBorder="1" applyAlignment="1" applyProtection="1">
      <alignment horizontal="right"/>
    </xf>
    <xf numFmtId="7" fontId="36" fillId="0" borderId="14" xfId="0" applyNumberFormat="1" applyFont="1" applyFill="1" applyBorder="1" applyAlignment="1" applyProtection="1">
      <alignment horizontal="right"/>
    </xf>
    <xf numFmtId="7" fontId="3" fillId="0" borderId="1" xfId="0" applyNumberFormat="1" applyFont="1" applyFill="1" applyBorder="1" applyAlignment="1" applyProtection="1">
      <alignment horizontal="right"/>
    </xf>
    <xf numFmtId="170" fontId="3" fillId="0" borderId="1" xfId="0" applyNumberFormat="1" applyFont="1" applyFill="1" applyBorder="1" applyAlignment="1" applyProtection="1">
      <alignment horizontal="right"/>
    </xf>
    <xf numFmtId="7" fontId="12" fillId="0" borderId="1" xfId="0" applyNumberFormat="1" applyFont="1" applyFill="1" applyBorder="1" applyAlignment="1" applyProtection="1">
      <alignment horizontal="right"/>
    </xf>
    <xf numFmtId="7" fontId="12" fillId="0" borderId="13" xfId="0" applyNumberFormat="1" applyFont="1" applyFill="1" applyBorder="1" applyAlignment="1" applyProtection="1">
      <alignment horizontal="right"/>
    </xf>
    <xf numFmtId="7" fontId="3" fillId="0" borderId="14" xfId="0" applyNumberFormat="1" applyFont="1" applyFill="1" applyBorder="1" applyAlignment="1" applyProtection="1">
      <alignment horizontal="right"/>
    </xf>
    <xf numFmtId="7" fontId="12" fillId="0" borderId="12" xfId="0" applyNumberFormat="1" applyFont="1" applyFill="1" applyBorder="1" applyAlignment="1" applyProtection="1">
      <alignment horizontal="right"/>
    </xf>
    <xf numFmtId="7" fontId="3" fillId="0" borderId="12" xfId="0" applyNumberFormat="1" applyFont="1" applyFill="1" applyBorder="1" applyAlignment="1" applyProtection="1">
      <alignment horizontal="right"/>
    </xf>
    <xf numFmtId="7" fontId="3" fillId="0" borderId="13" xfId="0" applyNumberFormat="1" applyFont="1" applyFill="1" applyBorder="1" applyAlignment="1" applyProtection="1">
      <alignment horizontal="right"/>
    </xf>
    <xf numFmtId="0" fontId="44" fillId="2" borderId="6" xfId="0" applyNumberFormat="1" applyFont="1" applyFill="1" applyBorder="1"/>
    <xf numFmtId="170" fontId="39" fillId="0" borderId="11" xfId="0" applyNumberFormat="1" applyFont="1" applyFill="1" applyBorder="1" applyAlignment="1">
      <alignment horizontal="right"/>
    </xf>
    <xf numFmtId="7" fontId="36" fillId="0" borderId="9" xfId="0" applyNumberFormat="1" applyFont="1" applyFill="1" applyBorder="1"/>
    <xf numFmtId="7" fontId="36" fillId="0" borderId="0" xfId="0" applyNumberFormat="1" applyFont="1" applyFill="1" applyBorder="1"/>
    <xf numFmtId="7" fontId="36" fillId="0" borderId="10" xfId="0" applyNumberFormat="1" applyFont="1" applyFill="1" applyBorder="1"/>
    <xf numFmtId="7" fontId="3" fillId="0" borderId="11" xfId="0" applyNumberFormat="1" applyFont="1" applyFill="1" applyBorder="1"/>
    <xf numFmtId="7" fontId="12" fillId="0" borderId="9" xfId="0" applyNumberFormat="1" applyFont="1" applyFill="1" applyBorder="1"/>
    <xf numFmtId="7" fontId="12" fillId="0" borderId="0" xfId="0" applyNumberFormat="1" applyFont="1" applyFill="1" applyBorder="1"/>
    <xf numFmtId="7" fontId="12" fillId="0" borderId="10" xfId="0" applyNumberFormat="1" applyFont="1" applyFill="1" applyBorder="1"/>
    <xf numFmtId="9" fontId="3" fillId="0" borderId="9" xfId="0" applyNumberFormat="1" applyFont="1" applyFill="1" applyBorder="1"/>
    <xf numFmtId="164" fontId="3" fillId="0" borderId="10" xfId="0" applyNumberFormat="1" applyFont="1" applyFill="1" applyBorder="1"/>
    <xf numFmtId="164" fontId="3" fillId="0" borderId="11" xfId="0" applyNumberFormat="1" applyFont="1" applyFill="1" applyBorder="1"/>
    <xf numFmtId="164" fontId="3" fillId="0" borderId="9" xfId="0" applyNumberFormat="1" applyFont="1" applyFill="1" applyBorder="1"/>
    <xf numFmtId="0" fontId="3" fillId="0" borderId="12" xfId="0" applyNumberFormat="1" applyFont="1" applyFill="1" applyBorder="1"/>
    <xf numFmtId="9" fontId="3" fillId="0" borderId="12" xfId="0" applyNumberFormat="1" applyFont="1" applyFill="1" applyBorder="1"/>
    <xf numFmtId="164" fontId="3" fillId="0" borderId="13" xfId="0" applyNumberFormat="1" applyFont="1" applyFill="1" applyBorder="1"/>
    <xf numFmtId="164" fontId="41" fillId="0" borderId="14" xfId="0" applyNumberFormat="1" applyFont="1" applyFill="1" applyBorder="1"/>
    <xf numFmtId="164" fontId="41" fillId="0" borderId="1" xfId="0" applyNumberFormat="1" applyFont="1" applyFill="1" applyBorder="1"/>
    <xf numFmtId="164" fontId="41" fillId="0" borderId="12" xfId="0" applyNumberFormat="1" applyFont="1" applyFill="1" applyBorder="1"/>
    <xf numFmtId="164" fontId="41" fillId="0" borderId="13" xfId="0" applyNumberFormat="1" applyFont="1" applyFill="1" applyBorder="1"/>
    <xf numFmtId="170" fontId="3" fillId="0" borderId="11" xfId="0" applyNumberFormat="1" applyFont="1" applyFill="1" applyBorder="1"/>
    <xf numFmtId="164" fontId="3" fillId="0" borderId="12" xfId="0" applyNumberFormat="1" applyFont="1" applyFill="1" applyBorder="1"/>
    <xf numFmtId="164" fontId="3" fillId="0" borderId="14" xfId="0" applyNumberFormat="1" applyFont="1" applyFill="1" applyBorder="1"/>
    <xf numFmtId="164" fontId="36" fillId="0" borderId="12" xfId="0" applyNumberFormat="1" applyFont="1" applyFill="1" applyBorder="1"/>
    <xf numFmtId="164" fontId="36" fillId="0" borderId="1" xfId="0" applyNumberFormat="1" applyFont="1" applyFill="1" applyBorder="1"/>
    <xf numFmtId="164" fontId="36" fillId="0" borderId="13" xfId="0" applyNumberFormat="1" applyFont="1" applyFill="1" applyBorder="1"/>
    <xf numFmtId="170" fontId="6" fillId="0" borderId="10" xfId="0" applyNumberFormat="1" applyFont="1" applyFill="1" applyBorder="1"/>
    <xf numFmtId="170" fontId="6" fillId="0" borderId="11" xfId="0" applyNumberFormat="1" applyFont="1" applyFill="1" applyBorder="1"/>
    <xf numFmtId="170" fontId="45" fillId="0" borderId="11" xfId="0" applyNumberFormat="1" applyFont="1" applyFill="1" applyBorder="1"/>
    <xf numFmtId="170" fontId="36" fillId="0" borderId="11" xfId="0" applyNumberFormat="1" applyFont="1" applyFill="1" applyBorder="1"/>
    <xf numFmtId="170" fontId="12" fillId="0" borderId="11" xfId="0" applyNumberFormat="1" applyFont="1" applyFill="1" applyBorder="1"/>
    <xf numFmtId="164" fontId="36" fillId="0" borderId="11" xfId="0" applyNumberFormat="1" applyFont="1" applyFill="1" applyBorder="1"/>
    <xf numFmtId="164" fontId="36" fillId="0" borderId="10" xfId="0" applyNumberFormat="1" applyFont="1" applyFill="1" applyBorder="1"/>
    <xf numFmtId="164" fontId="36" fillId="0" borderId="9" xfId="0" applyNumberFormat="1" applyFont="1" applyFill="1" applyBorder="1"/>
    <xf numFmtId="164" fontId="36" fillId="0" borderId="0" xfId="0" applyNumberFormat="1" applyFont="1" applyFill="1" applyBorder="1"/>
    <xf numFmtId="0" fontId="3" fillId="0" borderId="11" xfId="0" applyFont="1" applyFill="1" applyBorder="1"/>
    <xf numFmtId="180" fontId="36" fillId="0" borderId="11" xfId="0" applyNumberFormat="1" applyFont="1" applyFill="1" applyBorder="1"/>
    <xf numFmtId="0" fontId="6" fillId="0" borderId="9" xfId="0" applyNumberFormat="1" applyFont="1" applyFill="1" applyBorder="1"/>
    <xf numFmtId="170" fontId="14" fillId="0" borderId="0" xfId="0" applyNumberFormat="1" applyFont="1" applyFill="1" applyBorder="1"/>
    <xf numFmtId="0" fontId="6" fillId="0" borderId="9" xfId="0" applyFont="1" applyFill="1" applyBorder="1"/>
    <xf numFmtId="0" fontId="6" fillId="0" borderId="10" xfId="0" applyFont="1" applyFill="1" applyBorder="1"/>
    <xf numFmtId="0" fontId="6" fillId="0" borderId="11" xfId="0" applyFont="1" applyFill="1" applyBorder="1"/>
    <xf numFmtId="180" fontId="45" fillId="0" borderId="11" xfId="0" applyNumberFormat="1" applyFont="1" applyFill="1" applyBorder="1"/>
    <xf numFmtId="180" fontId="6" fillId="0" borderId="11" xfId="0" applyNumberFormat="1" applyFont="1" applyFill="1" applyBorder="1"/>
    <xf numFmtId="0" fontId="6" fillId="8" borderId="6" xfId="0" applyNumberFormat="1" applyFont="1" applyFill="1" applyBorder="1"/>
    <xf numFmtId="0" fontId="3" fillId="8" borderId="3" xfId="0" applyFont="1" applyFill="1" applyBorder="1"/>
    <xf numFmtId="0" fontId="3" fillId="8" borderId="6" xfId="0" applyFont="1" applyFill="1" applyBorder="1"/>
    <xf numFmtId="0" fontId="3" fillId="8" borderId="7" xfId="0" applyFont="1" applyFill="1" applyBorder="1"/>
    <xf numFmtId="0" fontId="3" fillId="8" borderId="8" xfId="0" applyFont="1" applyFill="1" applyBorder="1"/>
    <xf numFmtId="7" fontId="3" fillId="8" borderId="6" xfId="0" applyNumberFormat="1" applyFont="1" applyFill="1" applyBorder="1"/>
    <xf numFmtId="7" fontId="3" fillId="0" borderId="9" xfId="0" applyNumberFormat="1" applyFont="1" applyFill="1" applyBorder="1"/>
    <xf numFmtId="7" fontId="3" fillId="0" borderId="10" xfId="0" applyNumberFormat="1" applyFont="1" applyFill="1" applyBorder="1"/>
    <xf numFmtId="41" fontId="3" fillId="0" borderId="9" xfId="0" applyNumberFormat="1" applyFont="1" applyFill="1" applyBorder="1"/>
    <xf numFmtId="41" fontId="3" fillId="0" borderId="10" xfId="0" applyNumberFormat="1" applyFont="1" applyFill="1" applyBorder="1"/>
    <xf numFmtId="41" fontId="3" fillId="0" borderId="11" xfId="0" applyNumberFormat="1" applyFont="1" applyFill="1" applyBorder="1"/>
    <xf numFmtId="170" fontId="3" fillId="0" borderId="12" xfId="0" applyNumberFormat="1" applyFont="1" applyFill="1" applyBorder="1" applyAlignment="1">
      <alignment horizontal="right"/>
    </xf>
    <xf numFmtId="170" fontId="3" fillId="0" borderId="13" xfId="0" applyNumberFormat="1" applyFont="1" applyFill="1" applyBorder="1" applyAlignment="1">
      <alignment horizontal="right"/>
    </xf>
    <xf numFmtId="0" fontId="6" fillId="4" borderId="6" xfId="0" applyFont="1" applyFill="1" applyBorder="1"/>
    <xf numFmtId="0" fontId="3" fillId="4" borderId="3" xfId="0" applyFont="1" applyFill="1" applyBorder="1"/>
    <xf numFmtId="0" fontId="3" fillId="4" borderId="6" xfId="0" applyFont="1" applyFill="1" applyBorder="1"/>
    <xf numFmtId="0" fontId="3" fillId="4" borderId="8" xfId="0" applyFont="1" applyFill="1" applyBorder="1"/>
    <xf numFmtId="0" fontId="3" fillId="0" borderId="9" xfId="0" applyFont="1" applyBorder="1"/>
    <xf numFmtId="0" fontId="3" fillId="0" borderId="0" xfId="0" applyFont="1" applyBorder="1"/>
    <xf numFmtId="37" fontId="3" fillId="0" borderId="0" xfId="0" applyNumberFormat="1" applyFont="1" applyBorder="1"/>
    <xf numFmtId="37" fontId="3" fillId="0" borderId="9" xfId="0" applyNumberFormat="1" applyFont="1" applyBorder="1"/>
    <xf numFmtId="0" fontId="3" fillId="0" borderId="11" xfId="0" applyFont="1" applyBorder="1"/>
    <xf numFmtId="10" fontId="3" fillId="0" borderId="0" xfId="0" applyNumberFormat="1" applyFont="1" applyBorder="1"/>
    <xf numFmtId="10" fontId="3" fillId="0" borderId="9" xfId="0" applyNumberFormat="1" applyFont="1" applyBorder="1"/>
    <xf numFmtId="7" fontId="3" fillId="0" borderId="0" xfId="0" applyNumberFormat="1" applyFont="1" applyBorder="1"/>
    <xf numFmtId="7" fontId="3" fillId="0" borderId="9" xfId="0" applyNumberFormat="1" applyFont="1" applyBorder="1"/>
    <xf numFmtId="0" fontId="3" fillId="4" borderId="9" xfId="0" applyFont="1" applyFill="1" applyBorder="1"/>
    <xf numFmtId="0" fontId="3" fillId="4" borderId="11" xfId="0" applyFont="1" applyFill="1" applyBorder="1"/>
    <xf numFmtId="170" fontId="3" fillId="0" borderId="0" xfId="0" applyNumberFormat="1" applyFont="1" applyBorder="1"/>
    <xf numFmtId="170" fontId="3" fillId="0" borderId="9" xfId="0" applyNumberFormat="1" applyFont="1" applyBorder="1"/>
    <xf numFmtId="37" fontId="41" fillId="0" borderId="0" xfId="0" applyNumberFormat="1" applyFont="1" applyBorder="1"/>
    <xf numFmtId="37" fontId="41" fillId="0" borderId="9" xfId="0" applyNumberFormat="1" applyFont="1" applyBorder="1"/>
    <xf numFmtId="0" fontId="3" fillId="0" borderId="12" xfId="0" applyFont="1" applyBorder="1"/>
    <xf numFmtId="0" fontId="3" fillId="0" borderId="1" xfId="0" applyFont="1" applyBorder="1"/>
    <xf numFmtId="7" fontId="3" fillId="0" borderId="1" xfId="0" applyNumberFormat="1" applyFont="1" applyBorder="1"/>
    <xf numFmtId="7" fontId="3" fillId="0" borderId="12" xfId="0" applyNumberFormat="1" applyFont="1" applyBorder="1"/>
    <xf numFmtId="0" fontId="3" fillId="0" borderId="14" xfId="0" applyFont="1" applyBorder="1"/>
    <xf numFmtId="0" fontId="3" fillId="0" borderId="14" xfId="0" applyFont="1" applyFill="1" applyBorder="1"/>
    <xf numFmtId="37" fontId="12" fillId="0" borderId="0" xfId="0" applyNumberFormat="1" applyFont="1" applyFill="1" applyBorder="1"/>
    <xf numFmtId="0" fontId="11" fillId="0" borderId="1" xfId="0" applyFont="1" applyBorder="1"/>
    <xf numFmtId="37" fontId="12" fillId="0" borderId="0" xfId="0" applyNumberFormat="1" applyFont="1" applyBorder="1"/>
    <xf numFmtId="0" fontId="3" fillId="0" borderId="10" xfId="0" applyFont="1" applyBorder="1"/>
    <xf numFmtId="170" fontId="3" fillId="0" borderId="10" xfId="0" applyNumberFormat="1" applyFont="1" applyBorder="1"/>
    <xf numFmtId="164" fontId="3" fillId="0" borderId="9" xfId="0" applyNumberFormat="1" applyFont="1" applyBorder="1"/>
    <xf numFmtId="164" fontId="3" fillId="0" borderId="0" xfId="0" applyNumberFormat="1" applyFont="1" applyBorder="1"/>
    <xf numFmtId="164" fontId="3" fillId="0" borderId="10" xfId="0" applyNumberFormat="1" applyFont="1" applyBorder="1"/>
    <xf numFmtId="0" fontId="10" fillId="4" borderId="6" xfId="0" applyFont="1" applyFill="1" applyBorder="1"/>
    <xf numFmtId="0" fontId="11" fillId="0" borderId="9" xfId="0" applyFont="1" applyBorder="1"/>
    <xf numFmtId="0" fontId="11" fillId="0" borderId="0" xfId="0" applyFont="1" applyBorder="1"/>
    <xf numFmtId="37" fontId="11" fillId="0" borderId="0" xfId="0" applyNumberFormat="1" applyFont="1" applyBorder="1"/>
    <xf numFmtId="37" fontId="11" fillId="0" borderId="10" xfId="0" applyNumberFormat="1" applyFont="1" applyBorder="1"/>
    <xf numFmtId="0" fontId="11" fillId="0" borderId="10" xfId="0" applyFont="1" applyBorder="1"/>
    <xf numFmtId="37" fontId="12" fillId="0" borderId="9" xfId="0" applyNumberFormat="1" applyFont="1" applyBorder="1"/>
    <xf numFmtId="37" fontId="3" fillId="0" borderId="10" xfId="0" applyNumberFormat="1" applyFont="1" applyBorder="1"/>
    <xf numFmtId="164" fontId="12" fillId="0" borderId="11" xfId="0" applyNumberFormat="1" applyFont="1" applyBorder="1"/>
    <xf numFmtId="164" fontId="12" fillId="0" borderId="9" xfId="0" applyNumberFormat="1" applyFont="1" applyBorder="1"/>
    <xf numFmtId="164" fontId="12" fillId="0" borderId="0" xfId="0" applyNumberFormat="1" applyFont="1" applyBorder="1"/>
    <xf numFmtId="164" fontId="12" fillId="0" borderId="10" xfId="0" applyNumberFormat="1" applyFont="1" applyBorder="1"/>
    <xf numFmtId="0" fontId="3" fillId="4" borderId="10" xfId="0" applyFont="1" applyFill="1" applyBorder="1"/>
    <xf numFmtId="37" fontId="12" fillId="0" borderId="10" xfId="0" applyNumberFormat="1" applyFont="1" applyBorder="1"/>
    <xf numFmtId="37" fontId="12" fillId="0" borderId="11" xfId="0" applyNumberFormat="1" applyFont="1" applyBorder="1"/>
    <xf numFmtId="37" fontId="3" fillId="0" borderId="11" xfId="0" applyNumberFormat="1" applyFont="1" applyBorder="1"/>
    <xf numFmtId="0" fontId="6" fillId="4" borderId="0" xfId="0" applyFont="1" applyFill="1"/>
    <xf numFmtId="170" fontId="53" fillId="0" borderId="3" xfId="0" applyNumberFormat="1" applyFont="1" applyFill="1" applyBorder="1" applyAlignment="1"/>
    <xf numFmtId="170" fontId="53" fillId="0" borderId="7" xfId="0" applyNumberFormat="1" applyFont="1" applyFill="1" applyBorder="1" applyAlignment="1"/>
    <xf numFmtId="170" fontId="53" fillId="0" borderId="6" xfId="0" applyNumberFormat="1" applyFont="1" applyFill="1" applyBorder="1" applyAlignment="1"/>
    <xf numFmtId="49" fontId="0" fillId="0" borderId="0" xfId="0" applyNumberFormat="1"/>
    <xf numFmtId="0" fontId="3" fillId="0" borderId="6" xfId="0" applyFont="1" applyFill="1" applyBorder="1"/>
    <xf numFmtId="0" fontId="3" fillId="0" borderId="3" xfId="0" applyFont="1" applyFill="1" applyBorder="1"/>
    <xf numFmtId="0" fontId="3" fillId="0" borderId="7" xfId="0" applyFont="1" applyFill="1" applyBorder="1"/>
    <xf numFmtId="0" fontId="3" fillId="0" borderId="9" xfId="0" applyFont="1" applyFill="1" applyBorder="1"/>
    <xf numFmtId="0" fontId="3" fillId="0" borderId="0" xfId="0" applyFont="1" applyBorder="1"/>
    <xf numFmtId="0" fontId="3" fillId="0" borderId="1" xfId="0" applyFont="1" applyBorder="1"/>
    <xf numFmtId="7" fontId="3" fillId="0" borderId="0" xfId="0" applyNumberFormat="1" applyFont="1" applyFill="1" applyBorder="1"/>
    <xf numFmtId="164" fontId="12" fillId="0" borderId="0" xfId="0" applyNumberFormat="1" applyFont="1"/>
    <xf numFmtId="0" fontId="11" fillId="4" borderId="3" xfId="0" applyFont="1" applyFill="1" applyBorder="1"/>
    <xf numFmtId="0" fontId="11" fillId="4" borderId="7" xfId="0" applyFont="1" applyFill="1" applyBorder="1"/>
    <xf numFmtId="0" fontId="11" fillId="0" borderId="9" xfId="0" applyFont="1" applyBorder="1" applyAlignment="1">
      <alignment horizontal="left" indent="1"/>
    </xf>
    <xf numFmtId="0" fontId="11" fillId="0" borderId="9" xfId="0" applyFont="1" applyBorder="1" applyAlignment="1">
      <alignment horizontal="left" indent="2"/>
    </xf>
    <xf numFmtId="164" fontId="11" fillId="0" borderId="0" xfId="0" applyNumberFormat="1" applyFont="1" applyBorder="1"/>
    <xf numFmtId="164" fontId="11" fillId="0" borderId="10" xfId="0" applyNumberFormat="1" applyFont="1" applyBorder="1"/>
    <xf numFmtId="164" fontId="41" fillId="0" borderId="0" xfId="0" applyNumberFormat="1" applyFont="1" applyFill="1" applyBorder="1"/>
    <xf numFmtId="0" fontId="10" fillId="4" borderId="9" xfId="0" applyFont="1" applyFill="1" applyBorder="1"/>
    <xf numFmtId="0" fontId="11" fillId="4" borderId="0" xfId="0" applyFont="1" applyFill="1" applyBorder="1"/>
    <xf numFmtId="0" fontId="11" fillId="4" borderId="10" xfId="0" applyFont="1" applyFill="1" applyBorder="1"/>
    <xf numFmtId="0" fontId="11" fillId="0" borderId="0" xfId="0" applyFont="1" applyFill="1" applyBorder="1"/>
    <xf numFmtId="164" fontId="12" fillId="0" borderId="0" xfId="0" applyNumberFormat="1" applyFont="1" applyFill="1" applyBorder="1"/>
    <xf numFmtId="164" fontId="11" fillId="0" borderId="0" xfId="0" applyNumberFormat="1" applyFont="1" applyFill="1" applyBorder="1"/>
    <xf numFmtId="37" fontId="11" fillId="0" borderId="0" xfId="0" applyNumberFormat="1" applyFont="1" applyFill="1" applyBorder="1"/>
    <xf numFmtId="0" fontId="13" fillId="3" borderId="9" xfId="0" applyFont="1" applyFill="1" applyBorder="1"/>
    <xf numFmtId="0" fontId="8" fillId="3" borderId="0" xfId="0" applyFont="1" applyFill="1" applyBorder="1"/>
    <xf numFmtId="0" fontId="8" fillId="3" borderId="10" xfId="0" applyFont="1" applyFill="1" applyBorder="1"/>
    <xf numFmtId="0" fontId="10" fillId="0" borderId="9" xfId="0" applyFont="1" applyBorder="1" applyAlignment="1">
      <alignment horizontal="left" indent="1"/>
    </xf>
    <xf numFmtId="0" fontId="10" fillId="0" borderId="0" xfId="0" applyFont="1" applyBorder="1"/>
    <xf numFmtId="37" fontId="10" fillId="0" borderId="0" xfId="0" applyNumberFormat="1" applyFont="1" applyBorder="1"/>
    <xf numFmtId="37" fontId="10" fillId="0" borderId="10" xfId="0" applyNumberFormat="1" applyFont="1" applyBorder="1"/>
    <xf numFmtId="0" fontId="11" fillId="0" borderId="12" xfId="0" applyFont="1" applyBorder="1" applyAlignment="1">
      <alignment horizontal="left" indent="2"/>
    </xf>
    <xf numFmtId="164" fontId="11" fillId="0" borderId="1" xfId="0" applyNumberFormat="1" applyFont="1" applyBorder="1"/>
    <xf numFmtId="164" fontId="11" fillId="0" borderId="13" xfId="0" applyNumberFormat="1" applyFont="1" applyBorder="1"/>
    <xf numFmtId="0" fontId="11" fillId="4" borderId="6" xfId="0" applyFont="1" applyFill="1" applyBorder="1"/>
    <xf numFmtId="164" fontId="11" fillId="0" borderId="9" xfId="0" applyNumberFormat="1" applyFont="1" applyBorder="1"/>
    <xf numFmtId="37" fontId="11" fillId="0" borderId="9" xfId="0" applyNumberFormat="1" applyFont="1" applyBorder="1"/>
    <xf numFmtId="0" fontId="11" fillId="4" borderId="9" xfId="0" applyFont="1" applyFill="1" applyBorder="1"/>
    <xf numFmtId="37" fontId="12" fillId="0" borderId="9" xfId="0" applyNumberFormat="1" applyFont="1" applyFill="1" applyBorder="1"/>
    <xf numFmtId="37" fontId="12" fillId="0" borderId="10" xfId="0" applyNumberFormat="1" applyFont="1" applyFill="1" applyBorder="1"/>
    <xf numFmtId="164" fontId="12" fillId="0" borderId="9" xfId="0" applyNumberFormat="1" applyFont="1" applyFill="1" applyBorder="1"/>
    <xf numFmtId="164" fontId="12" fillId="0" borderId="10" xfId="0" applyNumberFormat="1" applyFont="1" applyFill="1" applyBorder="1"/>
    <xf numFmtId="164" fontId="11" fillId="0" borderId="9" xfId="0" applyNumberFormat="1" applyFont="1" applyFill="1" applyBorder="1"/>
    <xf numFmtId="164" fontId="11" fillId="0" borderId="10" xfId="0" applyNumberFormat="1" applyFont="1" applyFill="1" applyBorder="1"/>
    <xf numFmtId="37" fontId="11" fillId="0" borderId="9" xfId="0" applyNumberFormat="1" applyFont="1" applyFill="1" applyBorder="1"/>
    <xf numFmtId="37" fontId="11" fillId="0" borderId="10" xfId="0" applyNumberFormat="1" applyFont="1" applyFill="1" applyBorder="1"/>
    <xf numFmtId="0" fontId="8" fillId="3" borderId="9" xfId="0" applyFont="1" applyFill="1" applyBorder="1"/>
    <xf numFmtId="37" fontId="10" fillId="0" borderId="9" xfId="0" applyNumberFormat="1" applyFont="1" applyBorder="1"/>
    <xf numFmtId="164" fontId="11" fillId="0" borderId="12" xfId="0" applyNumberFormat="1" applyFont="1" applyBorder="1"/>
    <xf numFmtId="0" fontId="11" fillId="4" borderId="8" xfId="0" applyFont="1" applyFill="1" applyBorder="1"/>
    <xf numFmtId="164" fontId="11" fillId="0" borderId="11" xfId="0" applyNumberFormat="1" applyFont="1" applyBorder="1"/>
    <xf numFmtId="37" fontId="11" fillId="0" borderId="11" xfId="0" applyNumberFormat="1" applyFont="1" applyBorder="1"/>
    <xf numFmtId="0" fontId="11" fillId="4" borderId="11" xfId="0" applyFont="1" applyFill="1" applyBorder="1"/>
    <xf numFmtId="37" fontId="12" fillId="0" borderId="11" xfId="0" applyNumberFormat="1" applyFont="1" applyFill="1" applyBorder="1"/>
    <xf numFmtId="164" fontId="12" fillId="0" borderId="11" xfId="0" applyNumberFormat="1" applyFont="1" applyFill="1" applyBorder="1"/>
    <xf numFmtId="164" fontId="11" fillId="0" borderId="11" xfId="0" applyNumberFormat="1" applyFont="1" applyFill="1" applyBorder="1"/>
    <xf numFmtId="37" fontId="11" fillId="0" borderId="11" xfId="0" applyNumberFormat="1" applyFont="1" applyFill="1" applyBorder="1"/>
    <xf numFmtId="0" fontId="8" fillId="3" borderId="11" xfId="0" applyFont="1" applyFill="1" applyBorder="1"/>
    <xf numFmtId="37" fontId="10" fillId="0" borderId="11" xfId="0" applyNumberFormat="1" applyFont="1" applyBorder="1"/>
    <xf numFmtId="164" fontId="11" fillId="0" borderId="14" xfId="0" applyNumberFormat="1" applyFont="1" applyBorder="1"/>
    <xf numFmtId="164" fontId="41" fillId="0" borderId="10" xfId="0" applyNumberFormat="1" applyFont="1" applyFill="1" applyBorder="1"/>
    <xf numFmtId="164" fontId="41" fillId="0" borderId="9" xfId="0" applyNumberFormat="1" applyFont="1" applyFill="1" applyBorder="1"/>
    <xf numFmtId="0" fontId="11" fillId="0" borderId="9" xfId="0" applyFont="1" applyFill="1" applyBorder="1" applyAlignment="1">
      <alignment horizontal="left" indent="1"/>
    </xf>
    <xf numFmtId="0" fontId="11" fillId="0" borderId="9" xfId="0" applyFont="1" applyFill="1" applyBorder="1" applyAlignment="1">
      <alignment horizontal="left" indent="2"/>
    </xf>
    <xf numFmtId="0" fontId="11" fillId="0" borderId="11" xfId="0" applyFont="1" applyBorder="1"/>
    <xf numFmtId="0" fontId="11" fillId="0" borderId="14" xfId="0" applyFont="1" applyBorder="1"/>
    <xf numFmtId="0" fontId="52" fillId="4" borderId="6" xfId="0" applyFont="1" applyFill="1" applyBorder="1"/>
    <xf numFmtId="0" fontId="11" fillId="0" borderId="9" xfId="0" applyFont="1" applyFill="1" applyBorder="1"/>
    <xf numFmtId="0" fontId="47" fillId="4" borderId="9" xfId="0" applyFont="1" applyFill="1" applyBorder="1"/>
    <xf numFmtId="0" fontId="11" fillId="0" borderId="12" xfId="0" applyFont="1" applyBorder="1"/>
    <xf numFmtId="0" fontId="11" fillId="0" borderId="13" xfId="0" applyFont="1" applyBorder="1"/>
    <xf numFmtId="0" fontId="10" fillId="0" borderId="11" xfId="0" applyFont="1" applyBorder="1"/>
    <xf numFmtId="0" fontId="10" fillId="0" borderId="9" xfId="0" applyFont="1" applyBorder="1"/>
    <xf numFmtId="0" fontId="10" fillId="0" borderId="10" xfId="0" applyFont="1" applyBorder="1"/>
    <xf numFmtId="0" fontId="11" fillId="0" borderId="11" xfId="0" applyFont="1" applyFill="1" applyBorder="1"/>
    <xf numFmtId="0" fontId="11" fillId="0" borderId="10" xfId="0" applyFont="1" applyFill="1" applyBorder="1"/>
    <xf numFmtId="37" fontId="3" fillId="0" borderId="11" xfId="0" applyNumberFormat="1" applyFont="1" applyFill="1" applyBorder="1"/>
    <xf numFmtId="10" fontId="0" fillId="0" borderId="0" xfId="0" applyNumberFormat="1"/>
    <xf numFmtId="0" fontId="11" fillId="0" borderId="9" xfId="0" applyFont="1" applyBorder="1"/>
    <xf numFmtId="0" fontId="11" fillId="0" borderId="0" xfId="0" applyFont="1" applyBorder="1"/>
    <xf numFmtId="0" fontId="8" fillId="3" borderId="3" xfId="0" applyFont="1" applyFill="1" applyBorder="1"/>
    <xf numFmtId="0" fontId="8" fillId="3" borderId="7" xfId="0" applyFont="1" applyFill="1" applyBorder="1"/>
    <xf numFmtId="164" fontId="12" fillId="0" borderId="1" xfId="0" applyNumberFormat="1" applyFont="1" applyBorder="1"/>
    <xf numFmtId="0" fontId="8" fillId="3" borderId="6" xfId="0" applyFont="1" applyFill="1" applyBorder="1"/>
    <xf numFmtId="0" fontId="8" fillId="3" borderId="8" xfId="0" applyFont="1" applyFill="1" applyBorder="1"/>
    <xf numFmtId="164" fontId="12" fillId="0" borderId="12" xfId="0" applyNumberFormat="1" applyFont="1" applyBorder="1"/>
    <xf numFmtId="164" fontId="12" fillId="0" borderId="13" xfId="0" applyNumberFormat="1" applyFont="1" applyBorder="1"/>
    <xf numFmtId="0" fontId="3" fillId="4" borderId="7" xfId="0" applyFont="1" applyFill="1" applyBorder="1"/>
    <xf numFmtId="10" fontId="3" fillId="0" borderId="10" xfId="0" applyNumberFormat="1" applyFont="1" applyBorder="1"/>
    <xf numFmtId="7" fontId="3" fillId="0" borderId="10" xfId="0" applyNumberFormat="1" applyFont="1" applyBorder="1"/>
    <xf numFmtId="37" fontId="41" fillId="0" borderId="10" xfId="0" applyNumberFormat="1" applyFont="1" applyBorder="1"/>
    <xf numFmtId="7" fontId="3" fillId="0" borderId="13" xfId="0" applyNumberFormat="1" applyFont="1" applyBorder="1"/>
    <xf numFmtId="0" fontId="15" fillId="0" borderId="0" xfId="18"/>
    <xf numFmtId="10" fontId="11" fillId="0" borderId="0" xfId="0" applyNumberFormat="1" applyFont="1"/>
    <xf numFmtId="0" fontId="11" fillId="0" borderId="0" xfId="0" quotePrefix="1" applyFont="1"/>
    <xf numFmtId="8" fontId="3" fillId="0" borderId="2" xfId="0" applyNumberFormat="1" applyFont="1" applyFill="1" applyBorder="1"/>
    <xf numFmtId="4" fontId="3" fillId="0" borderId="2" xfId="0" applyNumberFormat="1" applyFont="1" applyFill="1" applyBorder="1"/>
    <xf numFmtId="0" fontId="15" fillId="11" borderId="0" xfId="20" applyFont="1" applyFill="1" applyAlignment="1">
      <alignment vertical="top"/>
    </xf>
    <xf numFmtId="0" fontId="15" fillId="11" borderId="0" xfId="18" applyFill="1" applyAlignment="1">
      <alignment vertical="top"/>
    </xf>
    <xf numFmtId="0" fontId="15" fillId="11" borderId="0" xfId="18" applyFill="1"/>
    <xf numFmtId="0" fontId="55" fillId="11" borderId="0" xfId="20" applyFont="1" applyFill="1" applyAlignment="1">
      <alignment horizontal="left" vertical="top"/>
    </xf>
    <xf numFmtId="0" fontId="15" fillId="11" borderId="0" xfId="18" applyFont="1" applyFill="1" applyAlignment="1">
      <alignment vertical="top"/>
    </xf>
    <xf numFmtId="0" fontId="56" fillId="11" borderId="0" xfId="20" applyFont="1" applyFill="1" applyAlignment="1">
      <alignment vertical="top"/>
    </xf>
    <xf numFmtId="0" fontId="0" fillId="11" borderId="0" xfId="0" applyFill="1" applyAlignment="1">
      <alignment vertical="top"/>
    </xf>
    <xf numFmtId="0" fontId="57" fillId="11" borderId="0" xfId="0" applyFont="1" applyFill="1" applyAlignment="1">
      <alignment vertical="top"/>
    </xf>
    <xf numFmtId="0" fontId="58" fillId="11" borderId="0" xfId="0" applyFont="1" applyFill="1" applyAlignment="1">
      <alignment vertical="top"/>
    </xf>
    <xf numFmtId="0" fontId="58" fillId="11" borderId="0" xfId="0" applyFont="1" applyFill="1" applyAlignment="1">
      <alignment vertical="top"/>
    </xf>
    <xf numFmtId="0" fontId="57" fillId="11" borderId="0" xfId="0" applyFont="1" applyFill="1" applyAlignment="1">
      <alignment vertical="top"/>
    </xf>
    <xf numFmtId="0" fontId="0" fillId="11" borderId="0" xfId="0" applyFill="1" applyAlignment="1">
      <alignment vertical="top"/>
    </xf>
    <xf numFmtId="0" fontId="0" fillId="11" borderId="27" xfId="0" applyFill="1" applyBorder="1" applyAlignment="1">
      <alignment vertical="top"/>
    </xf>
    <xf numFmtId="0" fontId="57" fillId="11" borderId="23" xfId="0" applyFont="1" applyFill="1" applyBorder="1" applyAlignment="1">
      <alignment vertical="top"/>
    </xf>
    <xf numFmtId="0" fontId="57" fillId="11" borderId="24" xfId="0" applyFont="1" applyFill="1" applyBorder="1" applyAlignment="1">
      <alignment vertical="top"/>
    </xf>
    <xf numFmtId="0" fontId="57" fillId="11" borderId="25" xfId="0" applyFont="1" applyFill="1" applyBorder="1" applyAlignment="1">
      <alignment vertical="top"/>
    </xf>
    <xf numFmtId="0" fontId="57" fillId="11" borderId="26" xfId="0" applyFont="1" applyFill="1" applyBorder="1" applyAlignment="1">
      <alignment vertical="top"/>
    </xf>
    <xf numFmtId="9" fontId="57" fillId="11" borderId="23" xfId="0" applyNumberFormat="1" applyFont="1" applyFill="1" applyBorder="1" applyAlignment="1">
      <alignment vertical="top"/>
    </xf>
    <xf numFmtId="3" fontId="57" fillId="11" borderId="23" xfId="0" applyNumberFormat="1" applyFont="1" applyFill="1" applyBorder="1" applyAlignment="1">
      <alignment vertical="top"/>
    </xf>
    <xf numFmtId="0" fontId="0" fillId="11" borderId="28" xfId="0" applyFill="1" applyBorder="1" applyAlignment="1">
      <alignment vertical="top"/>
    </xf>
    <xf numFmtId="2" fontId="15" fillId="0" borderId="0" xfId="18" applyNumberFormat="1" applyAlignment="1">
      <alignment horizontal="left"/>
    </xf>
    <xf numFmtId="0" fontId="15" fillId="0" borderId="0" xfId="18" applyNumberFormat="1" applyAlignment="1">
      <alignment horizontal="left"/>
    </xf>
    <xf numFmtId="1" fontId="15" fillId="0" borderId="0" xfId="18" applyNumberFormat="1" applyAlignment="1">
      <alignment horizontal="left"/>
    </xf>
    <xf numFmtId="0" fontId="15" fillId="0" borderId="0" xfId="18" applyFont="1"/>
    <xf numFmtId="207" fontId="15" fillId="0" borderId="0" xfId="18" applyNumberFormat="1" applyAlignment="1">
      <alignment horizontal="left"/>
    </xf>
    <xf numFmtId="49" fontId="15" fillId="0" borderId="0" xfId="18" applyNumberFormat="1"/>
  </cellXfs>
  <cellStyles count="21">
    <cellStyle name=" 1" xfId="3"/>
    <cellStyle name=" 1 2" xfId="4"/>
    <cellStyle name="_SUMMARY " xfId="5"/>
    <cellStyle name="0_Capex &amp; Depreciation " xfId="6"/>
    <cellStyle name="0_Pension_UTX Example_Acute Care " xfId="7"/>
    <cellStyle name="0_TPP.N Ver 15_Acute Care " xfId="8"/>
    <cellStyle name="0_Valuing BP " xfId="9"/>
    <cellStyle name="c_HardInc " xfId="10"/>
    <cellStyle name="Comma" xfId="1" builtinId="3"/>
    <cellStyle name="Currency 2" xfId="17"/>
    <cellStyle name="Currency 3" xfId="19"/>
    <cellStyle name="Hyperlink" xfId="2" builtinId="8"/>
    <cellStyle name="Normal" xfId="0" builtinId="0"/>
    <cellStyle name="Normal 2" xfId="16"/>
    <cellStyle name="Normal 3" xfId="18"/>
    <cellStyle name="Normal_DisclaimerSheet Samples" xfId="20"/>
    <cellStyle name="p " xfId="11"/>
    <cellStyle name="RRSInstruction" xfId="12"/>
    <cellStyle name="s_HardInc " xfId="13"/>
    <cellStyle name="s_Valuation " xfId="14"/>
    <cellStyle name="ssp " xfId="15"/>
  </cellStyles>
  <dxfs count="0"/>
  <tableStyles count="0" defaultTableStyle="TableStyleMedium2" defaultPivotStyle="PivotStyleLight16"/>
  <colors>
    <mruColors>
      <color rgb="FF008000"/>
      <color rgb="FF0000FF"/>
    </mruColors>
  </colors>
  <extLst>
    <ext xmlns:x14="http://schemas.microsoft.com/office/spreadsheetml/2009/9/main" uri="{EB79DEF2-80B8-43e5-95BD-54CBDDF9020C}">
      <x14:slicerStyles defaultSlicerStyle="SlicerStyleLight1"/>
    </ext>
  </extLst>
</styleSheet>
</file>

<file path=xl/volatileDependencies.xml><?xml version="1.0" encoding="utf-8"?>
<volTypes xmlns="http://schemas.openxmlformats.org/spreadsheetml/2006/main">
  <volType type="realTimeData">
    <main first="thomsononeaddinshim.rtdformula">
      <tp t="e">
        <v>#N/A</v>
        <stp/>
        <stp>49478139-6f99-435e-8ad5-e084da69b3bf</stp>
        <tr r="AY65" s="7"/>
      </tp>
    </main>
  </volType>
</volTypes>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worksheets/sheet11.xml" Type="http://schemas.openxmlformats.org/officeDocument/2006/relationships/worksheet"/>
<Relationship Id="rId12" Target="worksheets/sheet12.xml" Type="http://schemas.openxmlformats.org/officeDocument/2006/relationships/worksheet"/>
<Relationship Id="rId13" Target="externalLinks/externalLink1.xml" Type="http://schemas.openxmlformats.org/officeDocument/2006/relationships/externalLink"/>
<Relationship Id="rId14" Target="externalLinks/externalLink2.xml" Type="http://schemas.openxmlformats.org/officeDocument/2006/relationships/externalLink"/>
<Relationship Id="rId15" Target="externalLinks/externalLink3.xml" Type="http://schemas.openxmlformats.org/officeDocument/2006/relationships/externalLink"/>
<Relationship Id="rId16" Target="externalLinks/externalLink4.xml" Type="http://schemas.openxmlformats.org/officeDocument/2006/relationships/externalLink"/>
<Relationship Id="rId17" Target="externalLinks/externalLink5.xml" Type="http://schemas.openxmlformats.org/officeDocument/2006/relationships/externalLink"/>
<Relationship Id="rId18" Target="externalLinks/externalLink6.xml" Type="http://schemas.openxmlformats.org/officeDocument/2006/relationships/externalLink"/>
<Relationship Id="rId19" Target="externalLinks/externalLink7.xml" Type="http://schemas.openxmlformats.org/officeDocument/2006/relationships/externalLink"/>
<Relationship Id="rId2" Target="worksheets/sheet2.xml" Type="http://schemas.openxmlformats.org/officeDocument/2006/relationships/worksheet"/>
<Relationship Id="rId20" Target="theme/theme1.xml" Type="http://schemas.openxmlformats.org/officeDocument/2006/relationships/theme"/>
<Relationship Id="rId21" Target="styles.xml" Type="http://schemas.openxmlformats.org/officeDocument/2006/relationships/styles"/>
<Relationship Id="rId22" Target="sharedStrings.xml" Type="http://schemas.openxmlformats.org/officeDocument/2006/relationships/sharedStrings"/>
<Relationship Id="rId23" Target="calcChain.xml" Type="http://schemas.openxmlformats.org/officeDocument/2006/relationships/calcChain"/>
<Relationship Id="rId24" Target="volatileDependencies.xml" Type="http://schemas.openxmlformats.org/officeDocument/2006/relationships/volatileDependencies"/>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drawings/_rels/drawing1.xml.rels><?xml version="1.0" encoding="UTF-8" standalone="yes"?>
<Relationships xmlns="http://schemas.openxmlformats.org/package/2006/relationships">
<Relationship Id="rId1" Target="../media/image1.png" Type="http://schemas.openxmlformats.org/officeDocument/2006/relationships/image"/>
<Relationship Id="rId2" Target="../media/image2.jpeg" Type="http://schemas.openxmlformats.org/officeDocument/2006/relationships/image"/>
<Relationship Id="rId3" Target="../media/image3.gif" Type="http://schemas.openxmlformats.org/officeDocument/2006/relationships/image"/>
</Relationships>

</file>

<file path=xl/drawings/_rels/drawing2.xml.rels><?xml version="1.0" encoding="UTF-8" standalone="yes"?>
<Relationships xmlns="http://schemas.openxmlformats.org/package/2006/relationships">
<Relationship Id="rId1" Target="../media/image4.jpeg" Type="http://schemas.openxmlformats.org/officeDocument/2006/relationships/image"/>
</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28575</xdr:rowOff>
    </xdr:from>
    <xdr:to>
      <xdr:col>0</xdr:col>
      <xdr:colOff>1581150</xdr:colOff>
      <xdr:row>0</xdr:row>
      <xdr:rowOff>323850</xdr:rowOff>
    </xdr:to>
    <xdr:pic>
      <xdr:nvPicPr>
        <xdr:cNvPr id="2"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28575"/>
          <a:ext cx="15621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0</xdr:row>
      <xdr:rowOff>95250</xdr:rowOff>
    </xdr:from>
    <xdr:to>
      <xdr:col>1</xdr:col>
      <xdr:colOff>523875</xdr:colOff>
      <xdr:row>0</xdr:row>
      <xdr:rowOff>314325</xdr:rowOff>
    </xdr:to>
    <xdr:pic>
      <xdr:nvPicPr>
        <xdr:cNvPr id="3" name="Picture 6" descr="MSMS_logo_3" hidden="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50" y="95250"/>
          <a:ext cx="221932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177</xdr:row>
      <xdr:rowOff>0</xdr:rowOff>
    </xdr:from>
    <xdr:to>
      <xdr:col>7</xdr:col>
      <xdr:colOff>390525</xdr:colOff>
      <xdr:row>200</xdr:row>
      <xdr:rowOff>104775</xdr:rowOff>
    </xdr:to>
    <xdr:pic>
      <xdr:nvPicPr>
        <xdr:cNvPr id="65537" name="Picture 1" descr="C:\Users\kuchibha\AppData\Local\Temp\MercuryPriceRatingHistoryChart\BDX.N_2018_04_14_18_39_48.gif"/>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27289125"/>
          <a:ext cx="6400800" cy="382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1647825</xdr:colOff>
      <xdr:row>0</xdr:row>
      <xdr:rowOff>85725</xdr:rowOff>
    </xdr:from>
    <xdr:to>
      <xdr:col>5</xdr:col>
      <xdr:colOff>0</xdr:colOff>
      <xdr:row>2</xdr:row>
      <xdr:rowOff>247650</xdr:rowOff>
    </xdr:to>
    <xdr:sp macro="" textlink="">
      <xdr:nvSpPr>
        <xdr:cNvPr id="2" name="Text Box 1"/>
        <xdr:cNvSpPr txBox="1">
          <a:spLocks noChangeArrowheads="1"/>
        </xdr:cNvSpPr>
      </xdr:nvSpPr>
      <xdr:spPr bwMode="auto">
        <a:xfrm>
          <a:off x="2628900" y="85725"/>
          <a:ext cx="3581400" cy="7905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0" tIns="27432" rIns="27432" bIns="0" anchor="t" upright="1"/>
        <a:lstStyle/>
        <a:p>
          <a:pPr algn="r" rtl="0">
            <a:defRPr sz="1000"/>
          </a:pPr>
          <a:r>
            <a:rPr lang="en-US" sz="1100" b="1" i="0" u="none" strike="noStrike" baseline="0">
              <a:solidFill>
                <a:srgbClr val="000000"/>
              </a:solidFill>
              <a:latin typeface="Arial"/>
              <a:cs typeface="Arial"/>
            </a:rPr>
            <a:t>David R. Lewis</a:t>
          </a:r>
        </a:p>
        <a:p>
          <a:pPr algn="r" rtl="0">
            <a:defRPr sz="1000"/>
          </a:pPr>
          <a:r>
            <a:rPr lang="en-US" sz="1100" b="1" i="0" u="none" strike="noStrike" baseline="0">
              <a:solidFill>
                <a:srgbClr val="000000"/>
              </a:solidFill>
              <a:latin typeface="Arial"/>
              <a:cs typeface="Arial"/>
            </a:rPr>
            <a:t>Medical Technology</a:t>
          </a:r>
          <a:endParaRPr lang="en-US" sz="1100" b="0" i="0" u="none" strike="noStrike" baseline="0">
            <a:solidFill>
              <a:srgbClr val="000000"/>
            </a:solidFill>
            <a:latin typeface="Arial"/>
            <a:cs typeface="Arial"/>
          </a:endParaRPr>
        </a:p>
        <a:p>
          <a:pPr algn="r" rtl="0">
            <a:defRPr sz="1000"/>
          </a:pPr>
          <a:r>
            <a:rPr lang="en-US" sz="1100" b="0" i="0" u="none" strike="noStrike" baseline="0">
              <a:solidFill>
                <a:srgbClr val="000000"/>
              </a:solidFill>
              <a:latin typeface="Arial"/>
              <a:cs typeface="Arial"/>
            </a:rPr>
            <a:t>david.r.lewis@morganstanley.com</a:t>
          </a:r>
        </a:p>
        <a:p>
          <a:pPr algn="r" rtl="0">
            <a:defRPr sz="1000"/>
          </a:pPr>
          <a:r>
            <a:rPr lang="en-US" sz="1100" b="0" i="0" u="none" strike="noStrike" baseline="0">
              <a:solidFill>
                <a:srgbClr val="000000"/>
              </a:solidFill>
              <a:latin typeface="Arial"/>
              <a:cs typeface="Arial"/>
            </a:rPr>
            <a:t>        (415) 576 - 2324</a:t>
          </a:r>
        </a:p>
      </xdr:txBody>
    </xdr:sp>
    <xdr:clientData/>
  </xdr:twoCellAnchor>
  <xdr:twoCellAnchor editAs="oneCell">
    <xdr:from>
      <xdr:col>0</xdr:col>
      <xdr:colOff>47625</xdr:colOff>
      <xdr:row>1</xdr:row>
      <xdr:rowOff>57150</xdr:rowOff>
    </xdr:from>
    <xdr:to>
      <xdr:col>1</xdr:col>
      <xdr:colOff>2276475</xdr:colOff>
      <xdr:row>2</xdr:row>
      <xdr:rowOff>66675</xdr:rowOff>
    </xdr:to>
    <xdr:pic>
      <xdr:nvPicPr>
        <xdr:cNvPr id="3" name="Picture 2" descr="Morgan%20Stanley%20sm_573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219075"/>
          <a:ext cx="3209925"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
<Relationship Id="rId1" Target="file://///Sony/c/business/&#38750;&#37444;/&#38750;&#37444;&#20250;~1/&#21516;&#21644;&#37489;&#26989;/5714work.wk4" TargetMode="External" Type="http://schemas.openxmlformats.org/officeDocument/2006/relationships/externalLinkPath"/>
</Relationships>

</file>

<file path=xl/externalLinks/_rels/externalLink2.xml.rels><?xml version="1.0" encoding="UTF-8" standalone="yes"?>
<Relationships xmlns="http://schemas.openxmlformats.org/package/2006/relationships">
<Relationship Id="rId1" Target="file://///172.16.68.11/Archimedes/TEMP/Regions%20Fin%20Stmts%20THE%20GOAL%20HC.xls" TargetMode="External" Type="http://schemas.openxmlformats.org/officeDocument/2006/relationships/externalLinkPath"/>
</Relationships>

</file>

<file path=xl/externalLinks/_rels/externalLink3.xml.rels><?xml version="1.0" encoding="UTF-8" standalone="yes"?>
<Relationships xmlns="http://schemas.openxmlformats.org/package/2006/relationships">
<Relationship Id="rId1" Target="TEMP/data/excel/P.XLS" TargetMode="External" Type="http://schemas.microsoft.com/office/2006/relationships/xlExternalLinkPath/xlStartup"/>
</Relationships>

</file>

<file path=xl/externalLinks/_rels/externalLink4.xml.rels><?xml version="1.0" encoding="UTF-8" standalone="yes"?>
<Relationships xmlns="http://schemas.openxmlformats.org/package/2006/relationships">
<Relationship Id="rId1" Target="file://///msad/root/na/ny/users/johndasc/Docs/ID/Charts/Chart_Gallery/From%20Vlad/B11_BarSingle_AverageLine.xls" TargetMode="External" Type="http://schemas.openxmlformats.org/officeDocument/2006/relationships/externalLinkPath"/>
</Relationships>

</file>

<file path=xl/externalLinks/_rels/externalLink5.xml.rels><?xml version="1.0" encoding="UTF-8" standalone="yes"?>
<Relationships xmlns="http://schemas.openxmlformats.org/package/2006/relationships">
<Relationship Id="rId1" Target="lewis/Coverage/Covidien%20(COV)/COV_valuation.xls" TargetMode="External" Type="http://schemas.microsoft.com/office/2006/relationships/xlExternalLinkPath/xlStartup"/>
</Relationships>

</file>

<file path=xl/externalLinks/_rels/externalLink6.xml.rels><?xml version="1.0" encoding="UTF-8" standalone="yes"?>
<Relationships xmlns="http://schemas.openxmlformats.org/package/2006/relationships">
<Relationship Id="rId1" Target="file://///MSAD/ROOT/NA/NY/LIB/ER/HEALTH/DVeal/KTD/XRAY/XRAY%20initiation%20charts.xls" TargetMode="External" Type="http://schemas.openxmlformats.org/officeDocument/2006/relationships/externalLinkPath"/>
</Relationships>

</file>

<file path=xl/externalLinks/_rels/externalLink7.xml.rels><?xml version="1.0" encoding="UTF-8" standalone="yes"?>
<Relationships xmlns="http://schemas.openxmlformats.org/package/2006/relationships">
<Relationship Id="rId1" Target="Book3" TargetMode="External" Type="http://schemas.microsoft.com/office/2006/relationships/xlExternalLinkPath/xlPathMissing"/>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単独"/>
      <sheetName val="連結"/>
      <sheetName val="期中"/>
      <sheetName val="valu"/>
      <sheetName val="増減分析"/>
      <sheetName val="新素材"/>
      <sheetName val="子会社"/>
      <sheetName val="環境"/>
      <sheetName val="製錬拠点"/>
      <sheetName val="ﾃｨｻﾊﾟ"/>
      <sheetName val="ﾚｲﾃﾞﾌﾟﾗﾀ"/>
      <sheetName val="小坂"/>
      <sheetName val="中計"/>
      <sheetName val="cash"/>
      <sheetName val="ｾｸﾞﾒﾝﾄ"/>
      <sheetName val="含み益"/>
      <sheetName val="capx"/>
      <sheetName val="dep"/>
      <sheetName val="人"/>
      <sheetName val="exp"/>
      <sheetName val="Valuation Matrix"/>
      <sheetName val="HANDOUT"/>
      <sheetName val="Interm-Euro"/>
      <sheetName val="SCATTER DATA"/>
      <sheetName val="10 Yr DCF"/>
      <sheetName val="Annual-Euro"/>
      <sheetName val="Residual Income Model"/>
      <sheetName val="P"/>
      <sheetName val="EARNMOD"/>
      <sheetName val="Operating Leases tagged"/>
      <sheetName val="WACC"/>
      <sheetName val="Sheet1"/>
      <sheetName val="Fixed Line Mkt"/>
      <sheetName val="Cash Flow"/>
      <sheetName val="upside_downside"/>
      <sheetName val="Income Statement"/>
      <sheetName val="Balance Sheet"/>
      <sheetName val="Valsum"/>
      <sheetName val="DCF"/>
      <sheetName val="OP"/>
      <sheetName val="Inputs"/>
      <sheetName val="MWA RR"/>
      <sheetName val="Summary"/>
      <sheetName val="IS"/>
      <sheetName val="exh 11"/>
      <sheetName val="exh 14"/>
      <sheetName val="exh 12"/>
      <sheetName val="exh 10"/>
      <sheetName val="exh 1 and 5"/>
      <sheetName val="exh 15"/>
      <sheetName val="exh 3"/>
      <sheetName val="exh 9"/>
      <sheetName val="Good 12-00 (2)"/>
      <sheetName val="Good 11-36"/>
      <sheetName val="Good 11-50"/>
      <sheetName val="Sheet3 (5)"/>
      <sheetName val="Total_Production"/>
      <sheetName val="RFS"/>
      <sheetName val="Corn_Uses"/>
      <sheetName val="US_Production"/>
      <sheetName val="IS Quarterly"/>
      <sheetName val="Sheet1 (2)"/>
      <sheetName val="1Q11 Preview"/>
      <sheetName val="2Q11 Preview"/>
      <sheetName val="Risk-Reward_View_Chart"/>
      <sheetName val="variables"/>
      <sheetName val="Model"/>
      <sheetName val="Intrinsic Value"/>
      <sheetName val="Rev by Geo"/>
      <sheetName val="fin"/>
      <sheetName val="Report template"/>
      <sheetName val="Model (WIP)"/>
      <sheetName val="sales bkd"/>
      <sheetName val="Presentation"/>
      <sheetName val="Valuation"/>
      <sheetName val="Exclusion List"/>
    </sheetNames>
    <sheetDataSet>
      <sheetData sheetId="0" refreshError="1">
        <row r="14">
          <cell r="AR14">
            <v>28</v>
          </cell>
        </row>
        <row r="15">
          <cell r="AR15">
            <v>5</v>
          </cell>
        </row>
        <row r="16">
          <cell r="AR16">
            <v>14</v>
          </cell>
        </row>
        <row r="17">
          <cell r="AR17">
            <v>6</v>
          </cell>
        </row>
        <row r="18">
          <cell r="AR18">
            <v>-5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164">
          <cell r="E164">
            <v>1247</v>
          </cell>
          <cell r="F164">
            <v>1807</v>
          </cell>
          <cell r="G164">
            <v>2812</v>
          </cell>
          <cell r="H164">
            <v>2828</v>
          </cell>
          <cell r="I164">
            <v>6670</v>
          </cell>
        </row>
        <row r="165">
          <cell r="E165" t="e">
            <v>#VALUE!</v>
          </cell>
          <cell r="F165" t="e">
            <v>#VALUE!</v>
          </cell>
          <cell r="G165" t="e">
            <v>#VALUE!</v>
          </cell>
          <cell r="H165" t="e">
            <v>#VALUE!</v>
          </cell>
          <cell r="I165" t="e">
            <v>#VALUE!</v>
          </cell>
        </row>
        <row r="167">
          <cell r="E167">
            <v>2721</v>
          </cell>
          <cell r="F167">
            <v>1584</v>
          </cell>
          <cell r="G167">
            <v>1802</v>
          </cell>
          <cell r="H167">
            <v>1616</v>
          </cell>
          <cell r="I167">
            <v>795</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Notes"/>
      <sheetName val="ImportHistory"/>
      <sheetName val="Data"/>
      <sheetName val="Contents"/>
      <sheetName val="MW"/>
      <sheetName val="MW1"/>
      <sheetName val="MW2"/>
      <sheetName val="Graphs"/>
      <sheetName val="Americas Exec"/>
      <sheetName val="Consulting Services"/>
      <sheetName val="Corp OH"/>
      <sheetName val="Corp Funding"/>
      <sheetName val="SCEM"/>
      <sheetName val="SPS"/>
      <sheetName val="NA"/>
      <sheetName val="LA"/>
      <sheetName val="AMERICAS"/>
      <sheetName val="EUROPE"/>
      <sheetName val="Asia"/>
      <sheetName val="TOTAL SEI"/>
      <sheetName val="ROE"/>
    </sheetNames>
    <sheetDataSet>
      <sheetData sheetId="0" refreshError="1">
        <row r="16">
          <cell r="D16" t="str">
            <v>Hold Com</v>
          </cell>
          <cell r="E16">
            <v>547</v>
          </cell>
          <cell r="F16" t="str">
            <v>Accounts Payable Associated Companies</v>
          </cell>
        </row>
        <row r="17">
          <cell r="D17" t="str">
            <v>SE Americas Exec</v>
          </cell>
          <cell r="E17">
            <v>3</v>
          </cell>
          <cell r="F17" t="str">
            <v>ACCUMULATED DEPRECIATION</v>
          </cell>
        </row>
        <row r="18">
          <cell r="D18" t="str">
            <v>SE Consulting Serv</v>
          </cell>
          <cell r="E18">
            <v>507</v>
          </cell>
          <cell r="F18" t="str">
            <v>Administrative and General O&amp;M Expense</v>
          </cell>
        </row>
        <row r="19">
          <cell r="D19" t="str">
            <v>SE Corp Funding</v>
          </cell>
          <cell r="E19">
            <v>518</v>
          </cell>
          <cell r="F19" t="str">
            <v>AFUDC Debt</v>
          </cell>
        </row>
        <row r="23">
          <cell r="D23" t="str">
            <v>SEG SCEM</v>
          </cell>
          <cell r="E23">
            <v>493</v>
          </cell>
          <cell r="F23" t="str">
            <v>Associated Revenues</v>
          </cell>
        </row>
        <row r="24">
          <cell r="D24" t="str">
            <v>SEI Asia</v>
          </cell>
          <cell r="E24">
            <v>1130</v>
          </cell>
          <cell r="F24" t="str">
            <v>Average Price Per Share</v>
          </cell>
        </row>
        <row r="25">
          <cell r="D25" t="str">
            <v>SEI Europe</v>
          </cell>
          <cell r="E25">
            <v>291</v>
          </cell>
          <cell r="F25" t="str">
            <v>Average Return on Equity %</v>
          </cell>
        </row>
        <row r="83">
          <cell r="E83">
            <v>1104</v>
          </cell>
          <cell r="F83" t="str">
            <v>Intercompany Preferred Stock</v>
          </cell>
        </row>
        <row r="88">
          <cell r="E88">
            <v>16</v>
          </cell>
          <cell r="F88" t="str">
            <v>LONG TERM DEBT</v>
          </cell>
        </row>
        <row r="92">
          <cell r="E92">
            <v>579</v>
          </cell>
          <cell r="F92" t="str">
            <v>Minority Interest Debt B Redemptions</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sheetName val="P"/>
      <sheetName val="BS"/>
      <sheetName val="TOSCO"/>
      <sheetName val="Segment ROCE"/>
      <sheetName val="ROGIC"/>
      <sheetName val="E&amp;P"/>
      <sheetName val="NEPS"/>
      <sheetName val="RefineryMaint"/>
      <sheetName val="Hamaca"/>
      <sheetName val="Bohai"/>
      <sheetName val="Bayu Undan"/>
      <sheetName val="R&amp;M"/>
      <sheetName val="GPM"/>
      <sheetName val="Variance"/>
      <sheetName val="ARCO - Alaska"/>
      <sheetName val="Capex"/>
      <sheetName val="Reserves"/>
      <sheetName val="WACC"/>
      <sheetName val="Valuation"/>
      <sheetName val="NAV"/>
      <sheetName val="Chemical JV"/>
      <sheetName val="Chems"/>
      <sheetName val="EKOFISK"/>
      <sheetName val="PUDS"/>
      <sheetName val="GE Data"/>
      <sheetName val="IndexInformation"/>
      <sheetName val="MainCode"/>
      <sheetName val="NY UPLOAD"/>
      <sheetName val="NY UPLOAD Shadow"/>
      <sheetName val="Distribution"/>
      <sheetName val="A-Link Source"/>
      <sheetName val="Q-Link Source"/>
      <sheetName val="Income Statement"/>
      <sheetName val="Revenue&amp;EBIT"/>
      <sheetName val="Fin. Summary"/>
      <sheetName val="COP"/>
      <sheetName val="Inputs"/>
      <sheetName val="XOM"/>
      <sheetName val="New Source Charts"/>
      <sheetName val="Modelware"/>
      <sheetName val="R&amp;MIS"/>
      <sheetName val="E&amp;P Growth &amp; Returns"/>
      <sheetName val="Global Product Sum"/>
      <sheetName val="Scenario"/>
      <sheetName val="Quarter"/>
      <sheetName val="Annual"/>
      <sheetName val="AN"/>
      <sheetName val="COC"/>
      <sheetName val="ｾｸﾞﾒﾝﾄ"/>
      <sheetName val="単独"/>
      <sheetName val="Factset Profile"/>
      <sheetName val="cas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Cash"/>
      <sheetName val="Exhibit 3"/>
      <sheetName val="Cash_published"/>
      <sheetName val="NVF_published"/>
      <sheetName val="Exhibit 5"/>
      <sheetName val="IFRS"/>
      <sheetName val="Exhibit 4"/>
      <sheetName val="IFRS Life"/>
      <sheetName val="Exhibit 1"/>
      <sheetName val="Exhibit 2"/>
      <sheetName val="MCEV Roll-up"/>
      <sheetName val="Weekahead"/>
      <sheetName val="MCEV_Capital"/>
      <sheetName val="Assets(new)"/>
      <sheetName val="MCEV P&amp;L"/>
      <sheetName val="Cash Flow"/>
      <sheetName val="upside_downside"/>
      <sheetName val="Income Statement"/>
      <sheetName val="Balance Sheet"/>
      <sheetName val="RI"/>
      <sheetName val="BULLBEAR"/>
      <sheetName val="Sheet2"/>
      <sheetName val="DCF"/>
      <sheetName val="MWA RR"/>
      <sheetName val="REVENUE BY GEOGRAPHY"/>
      <sheetName val="NonQtr"/>
      <sheetName val="Data 20d"/>
      <sheetName val="Data"/>
      <sheetName val="Risk-Reward_View_Chart"/>
      <sheetName val="Valsum"/>
      <sheetName val="Interims"/>
      <sheetName val="Financial Statements"/>
      <sheetName val="Good 12-00 (2)"/>
      <sheetName val="Good 11-36"/>
      <sheetName val="Good 11-50"/>
      <sheetName val="Sheet3 (5)"/>
      <sheetName val="Inputs"/>
      <sheetName val="FX"/>
      <sheetName val="CPB"/>
      <sheetName val="Total_Food_Promo"/>
      <sheetName val="CPB_2yr"/>
      <sheetName val="Summary"/>
      <sheetName val="Floater Demand"/>
      <sheetName val="B11_BarSingle_AverageLine"/>
      <sheetName val="Quero_Sales"/>
      <sheetName val="L2005"/>
      <sheetName val="C2000"/>
      <sheetName val="Cell Reference"/>
      <sheetName val="Shading Period-Level"/>
      <sheetName val="Sources of Change"/>
      <sheetName val="Basic (gridlines)"/>
      <sheetName val="Average (reference) Line"/>
      <sheetName val="Double (overlapping)"/>
      <sheetName val="Reference Step Line"/>
      <sheetName val="Double (gridlines)"/>
      <sheetName val="Growth Line"/>
      <sheetName val="Reference Marks"/>
      <sheetName val="Single-point highlighting"/>
      <sheetName val="CPNO"/>
      <sheetName val="MMP"/>
      <sheetName val="PAA"/>
      <sheetName val="EEP"/>
      <sheetName val="KMP"/>
      <sheetName val="ETP"/>
      <sheetName val="BPL"/>
      <sheetName val="NS"/>
      <sheetName val="BWP"/>
      <sheetName val="EPD"/>
      <sheetName val="RGNC"/>
      <sheetName val="画像1"/>
      <sheetName val="業績推移"/>
      <sheetName val="バリュエーション比較"/>
      <sheetName val="自動車設備投資"/>
      <sheetName val="ロボット機械統計年"/>
      <sheetName val="ロボット機械統計"/>
      <sheetName val="株価と関連指標"/>
      <sheetName val="画像3"/>
      <sheetName val="利益率比較"/>
      <sheetName val="ロボット試算"/>
      <sheetName val="画像2"/>
      <sheetName val="内訳"/>
      <sheetName val="株価(過去1年) "/>
      <sheetName val="WWロボット出荷台数"/>
      <sheetName val="長期営業利益"/>
      <sheetName val="中国NC化率"/>
      <sheetName val="画像4"/>
      <sheetName val="成長率比較"/>
      <sheetName val="バリュエーション"/>
      <sheetName val="四半期"/>
      <sheetName val="画像5"/>
      <sheetName val="RRBox"/>
      <sheetName val="シェアと競合"/>
      <sheetName val="WP Detail "/>
      <sheetName val="Model"/>
      <sheetName val="Sheet4"/>
      <sheetName val="ForeignStake"/>
      <sheetName val="rev change analysis"/>
      <sheetName val="rev contribution analysis"/>
      <sheetName val="WPZ"/>
      <sheetName val="TPP"/>
      <sheetName val="EPE"/>
      <sheetName val="WMZ"/>
      <sheetName val="HEP"/>
      <sheetName val="MGG"/>
      <sheetName val="ETE"/>
      <sheetName val="BGH"/>
      <sheetName val="SEP"/>
      <sheetName val="TCLP"/>
      <sheetName val="SXL"/>
      <sheetName val="WES"/>
      <sheetName val="HTC"/>
      <sheetName val="MS Tele Rep"/>
      <sheetName val="China Handset"/>
      <sheetName val="Smartphone"/>
      <sheetName val="IDC"/>
      <sheetName val="CW"/>
      <sheetName val="R2000"/>
      <sheetName val="__FDS_DOWNL_SCRATCH_SHEET__"/>
      <sheetName val="FIH"/>
      <sheetName val="MIC"/>
      <sheetName val="Valuation"/>
      <sheetName val="Sales by App"/>
      <sheetName val="Net Income &amp; EPS"/>
      <sheetName val="IDC_2"/>
      <sheetName val="Sales by Region Comp"/>
      <sheetName val="What's Changed"/>
      <sheetName val="Outsourcing"/>
      <sheetName val="Nokia vs HTC"/>
      <sheetName val="2012 Outlook"/>
      <sheetName val=" Capital"/>
      <sheetName val="New Business"/>
      <sheetName val="Basket_June09_2010"/>
      <sheetName val="C1070"/>
      <sheetName val="Basket_Jan09"/>
      <sheetName val="Basket_2010"/>
      <sheetName val="Inflation v Price 6mth lag"/>
      <sheetName val="Basket_2011"/>
      <sheetName val="Basket_June09"/>
      <sheetName val="Basket_June09_Futures"/>
      <sheetName val="Commodities Exposure"/>
      <sheetName val="Charts"/>
      <sheetName val="Pension"/>
      <sheetName val="Walk"/>
      <sheetName val="Chart 6"/>
      <sheetName val="Front page benchmarks_9x3"/>
      <sheetName val="Front page benchmarks_6x5"/>
      <sheetName val="Benchmarks_All_gray2"/>
      <sheetName val="Sector yardstick_OLD"/>
      <sheetName val="Front page benchmarks_6x3"/>
      <sheetName val="Benchmarks_All_gray1"/>
      <sheetName val="Commodity Index"/>
      <sheetName val="Prices_Quarterly"/>
      <sheetName val="Inflation_Monthly"/>
      <sheetName val="Inflation_Quarterly"/>
      <sheetName val="Prices_Monthly"/>
      <sheetName val="Exposure"/>
    </sheetNames>
    <sheetDataSet>
      <sheetData sheetId="0" refreshError="1">
        <row r="5">
          <cell r="F5" t="str">
            <v>Display horizontal line for the average?</v>
          </cell>
        </row>
        <row r="10">
          <cell r="Y10" t="str">
            <v>invisible1</v>
          </cell>
        </row>
        <row r="11">
          <cell r="D11" t="str">
            <v>Jupiter</v>
          </cell>
          <cell r="E11">
            <v>78</v>
          </cell>
          <cell r="X11" t="str">
            <v xml:space="preserve">  </v>
          </cell>
          <cell r="Y11">
            <v>44.5</v>
          </cell>
        </row>
        <row r="12">
          <cell r="D12" t="str">
            <v>Juno</v>
          </cell>
          <cell r="E12">
            <v>58</v>
          </cell>
        </row>
        <row r="13">
          <cell r="D13" t="str">
            <v>Neptune</v>
          </cell>
          <cell r="E13">
            <v>45</v>
          </cell>
          <cell r="X13" t="str">
            <v>width</v>
          </cell>
          <cell r="Y13">
            <v>0.624</v>
          </cell>
        </row>
        <row r="14">
          <cell r="D14" t="str">
            <v>Pluto</v>
          </cell>
          <cell r="E14">
            <v>37</v>
          </cell>
        </row>
        <row r="15">
          <cell r="D15" t="str">
            <v>Minerva</v>
          </cell>
          <cell r="E15">
            <v>26</v>
          </cell>
          <cell r="X15" t="str">
            <v>scaling</v>
          </cell>
          <cell r="Y15">
            <v>8.0000000000000002E-3</v>
          </cell>
        </row>
        <row r="16">
          <cell r="D16" t="str">
            <v>Hermes</v>
          </cell>
          <cell r="E16">
            <v>23</v>
          </cell>
        </row>
        <row r="17">
          <cell r="X17" t="str">
            <v>label</v>
          </cell>
          <cell r="Y17" t="str">
            <v>average: 44.5</v>
          </cell>
        </row>
        <row r="28">
          <cell r="R28" t="b">
            <v>1</v>
          </cell>
        </row>
        <row r="34">
          <cell r="R34" t="str">
            <v>Notes:</v>
          </cell>
        </row>
        <row r="35">
          <cell r="R35" t="str">
            <v>-doesn't work for negative average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C2"/>
      <sheetName val="Comps_old"/>
      <sheetName val="Valuation metrics"/>
      <sheetName val="EBITgrowth"/>
      <sheetName val="__FDSCACHE__"/>
      <sheetName val="Comps"/>
      <sheetName val="SOTP"/>
      <sheetName val="10 yr Weekly PEs-HospSuply"/>
      <sheetName val="#REF"/>
    </sheetNames>
    <sheetDataSet>
      <sheetData sheetId="0" refreshError="1">
        <row r="1">
          <cell r="C1">
            <v>0</v>
          </cell>
          <cell r="D1" t="str">
            <v>1FY</v>
          </cell>
          <cell r="E1" t="str">
            <v>2FY</v>
          </cell>
          <cell r="F1" t="str">
            <v>3FY</v>
          </cell>
          <cell r="G1" t="str">
            <v>4FY</v>
          </cell>
          <cell r="H1" t="str">
            <v>5FY</v>
          </cell>
          <cell r="I1" t="str">
            <v>6FY</v>
          </cell>
          <cell r="Q1" t="str">
            <v>0FY</v>
          </cell>
          <cell r="R1" t="str">
            <v>1FY</v>
          </cell>
        </row>
        <row r="2">
          <cell r="C2" t="str">
            <v>Dividend Yield</v>
          </cell>
          <cell r="J2" t="str">
            <v>Dividend Yield</v>
          </cell>
          <cell r="O2" t="str">
            <v>Share buybacks</v>
          </cell>
          <cell r="Q2" t="str">
            <v>Shares</v>
          </cell>
          <cell r="T2" t="str">
            <v>Avg. Share Price</v>
          </cell>
        </row>
        <row r="3">
          <cell r="B3" t="str">
            <v>Ticker</v>
          </cell>
          <cell r="C3">
            <v>2007</v>
          </cell>
          <cell r="D3">
            <v>2008</v>
          </cell>
          <cell r="E3">
            <v>2009</v>
          </cell>
          <cell r="F3">
            <v>2010</v>
          </cell>
          <cell r="G3">
            <v>2011</v>
          </cell>
          <cell r="H3">
            <v>2012</v>
          </cell>
          <cell r="I3">
            <v>2013</v>
          </cell>
          <cell r="J3" t="str">
            <v>FDS</v>
          </cell>
          <cell r="K3" t="str">
            <v>FDY</v>
          </cell>
          <cell r="L3" t="str">
            <v>TDY</v>
          </cell>
          <cell r="M3" t="str">
            <v>5DY</v>
          </cell>
          <cell r="N3" t="str">
            <v>PR</v>
          </cell>
          <cell r="O3">
            <v>2007</v>
          </cell>
          <cell r="P3" t="str">
            <v>2008YTD</v>
          </cell>
          <cell r="Q3">
            <v>2007</v>
          </cell>
          <cell r="R3">
            <v>2008</v>
          </cell>
          <cell r="S3" t="str">
            <v>%Δ</v>
          </cell>
          <cell r="T3">
            <v>2007</v>
          </cell>
          <cell r="U3">
            <v>2008</v>
          </cell>
        </row>
        <row r="4">
          <cell r="B4" t="str">
            <v>COV</v>
          </cell>
          <cell r="C4" t="e">
            <v>#VALUE!</v>
          </cell>
          <cell r="D4" t="e">
            <v>#VALUE!</v>
          </cell>
          <cell r="E4" t="e">
            <v>#VALUE!</v>
          </cell>
          <cell r="F4" t="e">
            <v>#VALUE!</v>
          </cell>
          <cell r="G4" t="e">
            <v>#VALUE!</v>
          </cell>
          <cell r="H4" t="e">
            <v>#VALUE!</v>
          </cell>
          <cell r="I4" t="e">
            <v>#VALUE!</v>
          </cell>
          <cell r="J4" t="e">
            <v>#VALUE!</v>
          </cell>
          <cell r="K4">
            <v>1.2E-2</v>
          </cell>
          <cell r="L4">
            <v>1.2E-2</v>
          </cell>
          <cell r="M4" t="str">
            <v>N/A</v>
          </cell>
          <cell r="N4">
            <v>0.21</v>
          </cell>
          <cell r="O4" t="e">
            <v>#VALUE!</v>
          </cell>
          <cell r="P4" t="e">
            <v>#VALUE!</v>
          </cell>
          <cell r="Q4" t="str">
            <v>#Calc</v>
          </cell>
          <cell r="R4" t="str">
            <v>#Calc</v>
          </cell>
          <cell r="S4" t="e">
            <v>#VALUE!</v>
          </cell>
          <cell r="T4" t="str">
            <v>#Calc</v>
          </cell>
          <cell r="U4" t="str">
            <v>#Calc</v>
          </cell>
        </row>
        <row r="5">
          <cell r="B5" t="str">
            <v>ABT</v>
          </cell>
          <cell r="C5" t="e">
            <v>#VALUE!</v>
          </cell>
          <cell r="D5" t="e">
            <v>#VALUE!</v>
          </cell>
          <cell r="E5" t="e">
            <v>#VALUE!</v>
          </cell>
          <cell r="F5" t="e">
            <v>#VALUE!</v>
          </cell>
          <cell r="G5" t="e">
            <v>#VALUE!</v>
          </cell>
          <cell r="H5" t="e">
            <v>#VALUE!</v>
          </cell>
          <cell r="I5" t="e">
            <v>#VALUE!</v>
          </cell>
          <cell r="J5" t="e">
            <v>#VALUE!</v>
          </cell>
          <cell r="K5">
            <v>2.5000000000000001E-2</v>
          </cell>
          <cell r="L5">
            <v>2.4E-2</v>
          </cell>
          <cell r="M5">
            <v>2.3E-2</v>
          </cell>
          <cell r="N5">
            <v>0.5</v>
          </cell>
          <cell r="O5" t="e">
            <v>#VALUE!</v>
          </cell>
          <cell r="P5" t="e">
            <v>#VALUE!</v>
          </cell>
          <cell r="Q5" t="str">
            <v>#Calc</v>
          </cell>
          <cell r="R5" t="str">
            <v>#Calc</v>
          </cell>
          <cell r="S5" t="e">
            <v>#VALUE!</v>
          </cell>
          <cell r="T5" t="str">
            <v>#Calc</v>
          </cell>
          <cell r="U5" t="str">
            <v>#Calc</v>
          </cell>
        </row>
        <row r="6">
          <cell r="B6" t="str">
            <v>BAX</v>
          </cell>
          <cell r="C6" t="e">
            <v>#VALUE!</v>
          </cell>
          <cell r="D6" t="e">
            <v>#VALUE!</v>
          </cell>
          <cell r="E6" t="e">
            <v>#VALUE!</v>
          </cell>
          <cell r="F6" t="e">
            <v>#VALUE!</v>
          </cell>
          <cell r="G6" t="e">
            <v>#VALUE!</v>
          </cell>
          <cell r="H6" t="e">
            <v>#VALUE!</v>
          </cell>
          <cell r="I6" t="e">
            <v>#VALUE!</v>
          </cell>
          <cell r="J6" t="e">
            <v>#VALUE!</v>
          </cell>
          <cell r="K6">
            <v>1.2999999999999999E-2</v>
          </cell>
          <cell r="L6">
            <v>1.2E-2</v>
          </cell>
          <cell r="M6">
            <v>1.6E-2</v>
          </cell>
          <cell r="N6">
            <v>0.27</v>
          </cell>
          <cell r="O6" t="e">
            <v>#VALUE!</v>
          </cell>
          <cell r="P6" t="e">
            <v>#VALUE!</v>
          </cell>
          <cell r="Q6" t="str">
            <v>#Calc</v>
          </cell>
          <cell r="R6" t="str">
            <v>#Calc</v>
          </cell>
          <cell r="S6" t="e">
            <v>#VALUE!</v>
          </cell>
          <cell r="T6" t="str">
            <v>#Calc</v>
          </cell>
          <cell r="U6" t="str">
            <v>#Calc</v>
          </cell>
        </row>
        <row r="7">
          <cell r="B7" t="str">
            <v>BDX</v>
          </cell>
          <cell r="C7" t="e">
            <v>#VALUE!</v>
          </cell>
          <cell r="D7" t="e">
            <v>#VALUE!</v>
          </cell>
          <cell r="E7" t="e">
            <v>#VALUE!</v>
          </cell>
          <cell r="F7" t="e">
            <v>#VALUE!</v>
          </cell>
          <cell r="G7" t="e">
            <v>#VALUE!</v>
          </cell>
          <cell r="H7" t="e">
            <v>#VALUE!</v>
          </cell>
          <cell r="I7" t="e">
            <v>#VALUE!</v>
          </cell>
          <cell r="J7" t="e">
            <v>#VALUE!</v>
          </cell>
          <cell r="K7">
            <v>1.2999999999999999E-2</v>
          </cell>
          <cell r="L7">
            <v>1.2999999999999999E-2</v>
          </cell>
          <cell r="M7">
            <v>1.2E-2</v>
          </cell>
          <cell r="N7">
            <v>0.25</v>
          </cell>
          <cell r="O7" t="e">
            <v>#VALUE!</v>
          </cell>
          <cell r="P7" t="e">
            <v>#VALUE!</v>
          </cell>
          <cell r="Q7" t="str">
            <v>#Calc</v>
          </cell>
          <cell r="R7" t="str">
            <v>#Calc</v>
          </cell>
          <cell r="S7" t="e">
            <v>#VALUE!</v>
          </cell>
          <cell r="T7" t="str">
            <v>#Calc</v>
          </cell>
          <cell r="U7" t="str">
            <v>#Calc</v>
          </cell>
        </row>
        <row r="8">
          <cell r="B8" t="str">
            <v>JNJ</v>
          </cell>
          <cell r="C8" t="e">
            <v>#VALUE!</v>
          </cell>
          <cell r="D8" t="e">
            <v>#VALUE!</v>
          </cell>
          <cell r="E8" t="e">
            <v>#VALUE!</v>
          </cell>
          <cell r="F8" t="e">
            <v>#VALUE!</v>
          </cell>
          <cell r="G8" t="e">
            <v>#VALUE!</v>
          </cell>
          <cell r="H8" t="e">
            <v>#VALUE!</v>
          </cell>
          <cell r="I8" t="e">
            <v>#VALUE!</v>
          </cell>
          <cell r="J8" t="e">
            <v>#VALUE!</v>
          </cell>
          <cell r="K8">
            <v>2.5999999999999999E-2</v>
          </cell>
          <cell r="L8">
            <v>2.4E-2</v>
          </cell>
          <cell r="M8">
            <v>2.1000000000000001E-2</v>
          </cell>
          <cell r="N8">
            <v>0.42</v>
          </cell>
          <cell r="O8" t="e">
            <v>#VALUE!</v>
          </cell>
          <cell r="P8" t="e">
            <v>#VALUE!</v>
          </cell>
          <cell r="Q8" t="str">
            <v>#Calc</v>
          </cell>
          <cell r="R8" t="str">
            <v>#Calc</v>
          </cell>
          <cell r="S8" t="e">
            <v>#VALUE!</v>
          </cell>
          <cell r="T8" t="str">
            <v>#Calc</v>
          </cell>
          <cell r="U8" t="str">
            <v>#Calc</v>
          </cell>
        </row>
        <row r="9">
          <cell r="B9" t="str">
            <v>MDT</v>
          </cell>
          <cell r="C9" t="e">
            <v>#VALUE!</v>
          </cell>
          <cell r="D9" t="e">
            <v>#VALUE!</v>
          </cell>
          <cell r="E9" t="e">
            <v>#VALUE!</v>
          </cell>
          <cell r="F9" t="e">
            <v>#VALUE!</v>
          </cell>
          <cell r="G9" t="e">
            <v>#VALUE!</v>
          </cell>
          <cell r="H9" t="e">
            <v>#VALUE!</v>
          </cell>
          <cell r="I9" t="e">
            <v>#VALUE!</v>
          </cell>
          <cell r="J9" t="e">
            <v>#VALUE!</v>
          </cell>
          <cell r="K9">
            <v>1.2999999999999999E-2</v>
          </cell>
          <cell r="L9">
            <v>0.01</v>
          </cell>
          <cell r="M9">
            <v>0.8</v>
          </cell>
          <cell r="N9">
            <v>0.28999999999999998</v>
          </cell>
          <cell r="O9" t="e">
            <v>#VALUE!</v>
          </cell>
          <cell r="P9" t="e">
            <v>#VALUE!</v>
          </cell>
          <cell r="Q9" t="str">
            <v>#Calc</v>
          </cell>
          <cell r="R9" t="str">
            <v>#Calc</v>
          </cell>
          <cell r="S9" t="e">
            <v>#VALUE!</v>
          </cell>
          <cell r="T9" t="str">
            <v>#Calc</v>
          </cell>
          <cell r="U9" t="str">
            <v>#Calc</v>
          </cell>
        </row>
        <row r="10">
          <cell r="B10" t="str">
            <v>Average</v>
          </cell>
          <cell r="C10" t="e">
            <v>#VALUE!</v>
          </cell>
          <cell r="D10" t="e">
            <v>#VALUE!</v>
          </cell>
          <cell r="E10" t="e">
            <v>#VALUE!</v>
          </cell>
          <cell r="F10" t="e">
            <v>#VALUE!</v>
          </cell>
          <cell r="G10" t="e">
            <v>#VALUE!</v>
          </cell>
          <cell r="H10" t="e">
            <v>#VALUE!</v>
          </cell>
          <cell r="I10" t="e">
            <v>#VALUE!</v>
          </cell>
          <cell r="J10" t="e">
            <v>#VALUE!</v>
          </cell>
          <cell r="K10">
            <v>1.6999999999999998E-2</v>
          </cell>
          <cell r="L10">
            <v>1.5833333333333331E-2</v>
          </cell>
          <cell r="M10">
            <v>0.17440000000000003</v>
          </cell>
          <cell r="N10">
            <v>0.32333333333333331</v>
          </cell>
        </row>
        <row r="13">
          <cell r="V13" t="str">
            <v>Company</v>
          </cell>
          <cell r="W13" t="str">
            <v>Ticker</v>
          </cell>
          <cell r="X13" t="str">
            <v>Dividend Yield</v>
          </cell>
          <cell r="Y13" t="str">
            <v>Payout Ratio</v>
          </cell>
        </row>
        <row r="14">
          <cell r="V14" t="str">
            <v>Covidien</v>
          </cell>
          <cell r="W14" t="str">
            <v>COV</v>
          </cell>
          <cell r="X14">
            <v>1.2E-2</v>
          </cell>
          <cell r="Y14">
            <v>0.21</v>
          </cell>
        </row>
        <row r="15">
          <cell r="V15" t="str">
            <v>Abbott</v>
          </cell>
          <cell r="W15" t="str">
            <v>ABT</v>
          </cell>
          <cell r="X15">
            <v>2.5000000000000001E-2</v>
          </cell>
          <cell r="Y15">
            <v>0.5</v>
          </cell>
        </row>
        <row r="16">
          <cell r="V16" t="str">
            <v>Baxter</v>
          </cell>
          <cell r="W16" t="str">
            <v>BAX</v>
          </cell>
          <cell r="X16">
            <v>1.2999999999999999E-2</v>
          </cell>
          <cell r="Y16">
            <v>0.27</v>
          </cell>
        </row>
        <row r="17">
          <cell r="V17" t="str">
            <v>Becton Dickinson</v>
          </cell>
          <cell r="W17" t="str">
            <v>BDX</v>
          </cell>
          <cell r="X17">
            <v>1.2999999999999999E-2</v>
          </cell>
          <cell r="Y17">
            <v>0.25</v>
          </cell>
        </row>
        <row r="18">
          <cell r="V18" t="str">
            <v>Johnson &amp; Johnson</v>
          </cell>
          <cell r="W18" t="str">
            <v>JNJ</v>
          </cell>
          <cell r="X18">
            <v>2.5999999999999999E-2</v>
          </cell>
          <cell r="Y18">
            <v>0.42</v>
          </cell>
        </row>
        <row r="19">
          <cell r="V19" t="str">
            <v>Medtronic</v>
          </cell>
          <cell r="W19" t="str">
            <v>MDT</v>
          </cell>
          <cell r="X19">
            <v>1.2999999999999999E-2</v>
          </cell>
          <cell r="Y19">
            <v>0.28999999999999998</v>
          </cell>
        </row>
        <row r="20">
          <cell r="V20" t="str">
            <v>Average (ex-COV)</v>
          </cell>
          <cell r="X20">
            <v>1.7999999999999999E-2</v>
          </cell>
          <cell r="Y20">
            <v>0.34599999999999997</v>
          </cell>
        </row>
        <row r="23">
          <cell r="AA23" t="str">
            <v>(share count in millions)</v>
          </cell>
        </row>
        <row r="24">
          <cell r="AB24" t="str">
            <v>Share buybacks</v>
          </cell>
          <cell r="AD24" t="str">
            <v>%Δ OS Shares</v>
          </cell>
        </row>
        <row r="25">
          <cell r="AA25" t="str">
            <v>Ticker</v>
          </cell>
          <cell r="AB25">
            <v>2007</v>
          </cell>
          <cell r="AC25" t="str">
            <v>2008YTD</v>
          </cell>
        </row>
        <row r="26">
          <cell r="AA26" t="str">
            <v>COV</v>
          </cell>
          <cell r="AB26" t="e">
            <v>#VALUE!</v>
          </cell>
          <cell r="AC26" t="e">
            <v>#VALUE!</v>
          </cell>
          <cell r="AD26" t="e">
            <v>#VALUE!</v>
          </cell>
        </row>
        <row r="27">
          <cell r="AA27" t="str">
            <v>ABT</v>
          </cell>
          <cell r="AB27" t="e">
            <v>#VALUE!</v>
          </cell>
          <cell r="AC27" t="e">
            <v>#VALUE!</v>
          </cell>
          <cell r="AD27" t="e">
            <v>#VALUE!</v>
          </cell>
        </row>
        <row r="28">
          <cell r="AA28" t="str">
            <v>BAX</v>
          </cell>
          <cell r="AB28" t="e">
            <v>#VALUE!</v>
          </cell>
          <cell r="AC28" t="e">
            <v>#VALUE!</v>
          </cell>
          <cell r="AD28" t="e">
            <v>#VALUE!</v>
          </cell>
        </row>
        <row r="29">
          <cell r="AA29" t="str">
            <v>BDX</v>
          </cell>
          <cell r="AB29" t="e">
            <v>#VALUE!</v>
          </cell>
          <cell r="AC29" t="e">
            <v>#VALUE!</v>
          </cell>
          <cell r="AD29" t="e">
            <v>#VALUE!</v>
          </cell>
        </row>
        <row r="30">
          <cell r="AA30" t="str">
            <v>JNJ</v>
          </cell>
          <cell r="AB30" t="e">
            <v>#VALUE!</v>
          </cell>
          <cell r="AC30" t="e">
            <v>#VALUE!</v>
          </cell>
          <cell r="AD30" t="e">
            <v>#VALUE!</v>
          </cell>
        </row>
        <row r="31">
          <cell r="AA31" t="str">
            <v>MDT</v>
          </cell>
          <cell r="AB31" t="e">
            <v>#VALUE!</v>
          </cell>
          <cell r="AC31" t="e">
            <v>#VALUE!</v>
          </cell>
          <cell r="AD31" t="e">
            <v>#VALUE!</v>
          </cell>
        </row>
        <row r="35">
          <cell r="AF35" t="str">
            <v>($ and shares in millions)</v>
          </cell>
        </row>
        <row r="36">
          <cell r="AG36" t="str">
            <v>F2007</v>
          </cell>
          <cell r="AH36" t="str">
            <v>F2008e</v>
          </cell>
          <cell r="AI36" t="str">
            <v>F2009e</v>
          </cell>
          <cell r="AJ36" t="str">
            <v>F2010e</v>
          </cell>
          <cell r="AK36" t="str">
            <v>F2011e</v>
          </cell>
        </row>
        <row r="37">
          <cell r="AF37" t="str">
            <v>CF from operating</v>
          </cell>
          <cell r="AG37">
            <v>-113</v>
          </cell>
          <cell r="AH37">
            <v>-5</v>
          </cell>
          <cell r="AI37">
            <v>0</v>
          </cell>
          <cell r="AJ37">
            <v>0</v>
          </cell>
          <cell r="AK37">
            <v>0</v>
          </cell>
        </row>
        <row r="38">
          <cell r="AF38" t="str">
            <v>CF from investing</v>
          </cell>
          <cell r="AG38">
            <v>-9</v>
          </cell>
          <cell r="AH38">
            <v>-11</v>
          </cell>
          <cell r="AI38">
            <v>0</v>
          </cell>
          <cell r="AJ38">
            <v>20</v>
          </cell>
          <cell r="AK38">
            <v>-2</v>
          </cell>
        </row>
        <row r="39">
          <cell r="AF39" t="str">
            <v>CF from financing</v>
          </cell>
          <cell r="AG39">
            <v>0</v>
          </cell>
          <cell r="AH39">
            <v>0</v>
          </cell>
          <cell r="AI39">
            <v>0</v>
          </cell>
          <cell r="AJ39">
            <v>0</v>
          </cell>
          <cell r="AK39">
            <v>100</v>
          </cell>
        </row>
        <row r="40">
          <cell r="AF40" t="str">
            <v>CF from FX</v>
          </cell>
          <cell r="AG40">
            <v>-726</v>
          </cell>
          <cell r="AH40">
            <v>-27</v>
          </cell>
          <cell r="AI40">
            <v>-19</v>
          </cell>
          <cell r="AJ40">
            <v>-20</v>
          </cell>
          <cell r="AK40">
            <v>1</v>
          </cell>
        </row>
        <row r="42">
          <cell r="AF42" t="str">
            <v>Net increase in cash</v>
          </cell>
          <cell r="AG42">
            <v>0</v>
          </cell>
          <cell r="AH42">
            <v>0</v>
          </cell>
          <cell r="AI42">
            <v>0</v>
          </cell>
          <cell r="AJ42">
            <v>0</v>
          </cell>
          <cell r="AK42">
            <v>0</v>
          </cell>
        </row>
        <row r="43">
          <cell r="AF43" t="str">
            <v>Beginning cash</v>
          </cell>
          <cell r="AG43">
            <v>110</v>
          </cell>
          <cell r="AH43">
            <v>253</v>
          </cell>
          <cell r="AI43">
            <v>18</v>
          </cell>
          <cell r="AJ43">
            <v>-41</v>
          </cell>
          <cell r="AK43">
            <v>242</v>
          </cell>
        </row>
        <row r="44">
          <cell r="AF44" t="str">
            <v>Ending cash</v>
          </cell>
          <cell r="AG44">
            <v>-9</v>
          </cell>
          <cell r="AH44">
            <v>0</v>
          </cell>
          <cell r="AI44">
            <v>0</v>
          </cell>
          <cell r="AJ44">
            <v>0</v>
          </cell>
          <cell r="AK44">
            <v>0</v>
          </cell>
        </row>
        <row r="46">
          <cell r="AF46" t="str">
            <v>Share count</v>
          </cell>
          <cell r="AG46">
            <v>0</v>
          </cell>
          <cell r="AH46">
            <v>0</v>
          </cell>
          <cell r="AI46">
            <v>0</v>
          </cell>
          <cell r="AJ46">
            <v>0</v>
          </cell>
          <cell r="AK46">
            <v>0</v>
          </cell>
        </row>
        <row r="47">
          <cell r="AF47" t="str">
            <v>Net debt</v>
          </cell>
          <cell r="AG47">
            <v>0</v>
          </cell>
          <cell r="AH47">
            <v>0</v>
          </cell>
          <cell r="AI47">
            <v>0</v>
          </cell>
          <cell r="AJ47">
            <v>0</v>
          </cell>
          <cell r="AK47">
            <v>0</v>
          </cell>
        </row>
      </sheetData>
      <sheetData sheetId="1"/>
      <sheetData sheetId="2" refreshError="1">
        <row r="1">
          <cell r="A1" t="str">
            <v>Covidien Valuation Metrics</v>
          </cell>
        </row>
        <row r="2">
          <cell r="A2" t="str">
            <v>COV</v>
          </cell>
        </row>
        <row r="3">
          <cell r="C3" t="str">
            <v>Calendar EPS</v>
          </cell>
          <cell r="F3" t="str">
            <v>Current</v>
          </cell>
          <cell r="G3" t="str">
            <v>Out Year</v>
          </cell>
          <cell r="H3" t="str">
            <v>EPS</v>
          </cell>
          <cell r="I3" t="str">
            <v>LTM</v>
          </cell>
          <cell r="K3" t="str">
            <v>Sales</v>
          </cell>
          <cell r="L3" t="str">
            <v>Price to</v>
          </cell>
          <cell r="O3" t="str">
            <v>Enterprise</v>
          </cell>
          <cell r="P3" t="str">
            <v>EV to</v>
          </cell>
          <cell r="Q3" t="str">
            <v>LTM</v>
          </cell>
          <cell r="R3" t="str">
            <v>EV to</v>
          </cell>
          <cell r="V3" t="str">
            <v>Book Value</v>
          </cell>
          <cell r="W3" t="str">
            <v>TB</v>
          </cell>
          <cell r="X3" t="str">
            <v>Price to</v>
          </cell>
          <cell r="Y3" t="str">
            <v>Price to</v>
          </cell>
          <cell r="Z3" t="str">
            <v>Stock</v>
          </cell>
        </row>
        <row r="4">
          <cell r="A4" t="str">
            <v>Date</v>
          </cell>
          <cell r="B4" t="str">
            <v>Close</v>
          </cell>
          <cell r="C4" t="str">
            <v>CY</v>
          </cell>
          <cell r="D4" t="str">
            <v>Year out</v>
          </cell>
          <cell r="F4" t="str">
            <v>Year P/E</v>
          </cell>
          <cell r="G4" t="str">
            <v>P/E</v>
          </cell>
          <cell r="H4" t="str">
            <v>Growth Rate</v>
          </cell>
          <cell r="I4" t="str">
            <v>Sales</v>
          </cell>
          <cell r="J4" t="str">
            <v>S/O</v>
          </cell>
          <cell r="K4" t="str">
            <v>Per Share</v>
          </cell>
          <cell r="L4" t="str">
            <v>Sales</v>
          </cell>
          <cell r="M4" t="str">
            <v>Cash</v>
          </cell>
          <cell r="N4" t="str">
            <v>Debt</v>
          </cell>
          <cell r="O4" t="str">
            <v>Value</v>
          </cell>
          <cell r="P4" t="str">
            <v>Sales</v>
          </cell>
          <cell r="Q4" t="str">
            <v>EBITDA</v>
          </cell>
          <cell r="R4" t="str">
            <v>EBITDA</v>
          </cell>
          <cell r="S4" t="str">
            <v>Equity</v>
          </cell>
          <cell r="T4" t="str">
            <v>Goodwill</v>
          </cell>
          <cell r="U4" t="str">
            <v>TB</v>
          </cell>
          <cell r="V4" t="str">
            <v>Per Share</v>
          </cell>
          <cell r="W4" t="str">
            <v>Per Share</v>
          </cell>
          <cell r="X4" t="str">
            <v>Book</v>
          </cell>
          <cell r="Y4" t="str">
            <v>Tan Book</v>
          </cell>
          <cell r="Z4" t="str">
            <v>Return</v>
          </cell>
        </row>
        <row r="6">
          <cell r="A6">
            <v>40118</v>
          </cell>
          <cell r="B6" t="str">
            <v>#Calc</v>
          </cell>
          <cell r="C6" t="str">
            <v>#Calc</v>
          </cell>
          <cell r="D6" t="str">
            <v>#Calc</v>
          </cell>
          <cell r="E6" t="e">
            <v>#VALUE!</v>
          </cell>
          <cell r="F6" t="e">
            <v>#VALUE!</v>
          </cell>
          <cell r="G6" t="e">
            <v>#VALUE!</v>
          </cell>
          <cell r="H6" t="e">
            <v>#VALUE!</v>
          </cell>
          <cell r="I6" t="str">
            <v>#Calc</v>
          </cell>
          <cell r="J6" t="str">
            <v>#Calc</v>
          </cell>
          <cell r="K6" t="e">
            <v>#VALUE!</v>
          </cell>
          <cell r="L6" t="e">
            <v>#VALUE!</v>
          </cell>
          <cell r="M6" t="str">
            <v>#Calc</v>
          </cell>
          <cell r="N6" t="str">
            <v>#Calc</v>
          </cell>
          <cell r="O6" t="e">
            <v>#VALUE!</v>
          </cell>
          <cell r="P6" t="e">
            <v>#VALUE!</v>
          </cell>
          <cell r="Q6" t="str">
            <v>#Calc</v>
          </cell>
          <cell r="R6" t="e">
            <v>#VALUE!</v>
          </cell>
          <cell r="S6" t="str">
            <v>#Calc</v>
          </cell>
          <cell r="T6" t="e">
            <v>#VALUE!</v>
          </cell>
          <cell r="U6" t="e">
            <v>#VALUE!</v>
          </cell>
          <cell r="V6" t="e">
            <v>#VALUE!</v>
          </cell>
          <cell r="W6" t="e">
            <v>#VALUE!</v>
          </cell>
          <cell r="X6" t="e">
            <v>#VALUE!</v>
          </cell>
          <cell r="Y6" t="e">
            <v>#VALUE!</v>
          </cell>
          <cell r="Z6" t="e">
            <v>#VALUE!</v>
          </cell>
        </row>
        <row r="7">
          <cell r="A7">
            <v>39807</v>
          </cell>
          <cell r="B7" t="str">
            <v>#Calc</v>
          </cell>
          <cell r="C7" t="str">
            <v>#Calc</v>
          </cell>
          <cell r="D7" t="str">
            <v>#Calc</v>
          </cell>
          <cell r="E7" t="e">
            <v>#VALUE!</v>
          </cell>
          <cell r="F7" t="e">
            <v>#VALUE!</v>
          </cell>
          <cell r="G7" t="e">
            <v>#VALUE!</v>
          </cell>
          <cell r="H7" t="e">
            <v>#VALUE!</v>
          </cell>
          <cell r="I7" t="str">
            <v>#Calc</v>
          </cell>
          <cell r="J7" t="str">
            <v>#Calc</v>
          </cell>
          <cell r="K7" t="e">
            <v>#VALUE!</v>
          </cell>
          <cell r="L7" t="e">
            <v>#VALUE!</v>
          </cell>
          <cell r="M7" t="str">
            <v>#Calc</v>
          </cell>
          <cell r="N7" t="str">
            <v>#Calc</v>
          </cell>
          <cell r="O7" t="e">
            <v>#VALUE!</v>
          </cell>
          <cell r="P7" t="e">
            <v>#VALUE!</v>
          </cell>
          <cell r="Q7" t="str">
            <v>#Calc</v>
          </cell>
          <cell r="R7" t="e">
            <v>#VALUE!</v>
          </cell>
          <cell r="S7" t="str">
            <v>#Calc</v>
          </cell>
          <cell r="T7" t="e">
            <v>#VALUE!</v>
          </cell>
          <cell r="U7" t="e">
            <v>#VALUE!</v>
          </cell>
          <cell r="V7" t="e">
            <v>#VALUE!</v>
          </cell>
          <cell r="W7" t="e">
            <v>#VALUE!</v>
          </cell>
          <cell r="X7" t="e">
            <v>#VALUE!</v>
          </cell>
          <cell r="Y7" t="e">
            <v>#VALUE!</v>
          </cell>
          <cell r="Z7" t="e">
            <v>#VALUE!</v>
          </cell>
        </row>
        <row r="8">
          <cell r="A8">
            <v>39777</v>
          </cell>
          <cell r="B8" t="str">
            <v>#Calc</v>
          </cell>
          <cell r="C8" t="str">
            <v>#Calc</v>
          </cell>
          <cell r="D8" t="str">
            <v>#Calc</v>
          </cell>
          <cell r="E8" t="e">
            <v>#VALUE!</v>
          </cell>
          <cell r="F8" t="e">
            <v>#VALUE!</v>
          </cell>
          <cell r="G8" t="e">
            <v>#VALUE!</v>
          </cell>
          <cell r="H8" t="e">
            <v>#VALUE!</v>
          </cell>
          <cell r="I8" t="str">
            <v>#Calc</v>
          </cell>
          <cell r="J8" t="str">
            <v>#Calc</v>
          </cell>
          <cell r="K8" t="e">
            <v>#VALUE!</v>
          </cell>
          <cell r="L8" t="e">
            <v>#VALUE!</v>
          </cell>
          <cell r="M8" t="str">
            <v>#Calc</v>
          </cell>
          <cell r="N8" t="str">
            <v>#Calc</v>
          </cell>
          <cell r="O8" t="e">
            <v>#VALUE!</v>
          </cell>
          <cell r="P8" t="e">
            <v>#VALUE!</v>
          </cell>
          <cell r="Q8" t="str">
            <v>#Calc</v>
          </cell>
          <cell r="R8" t="e">
            <v>#VALUE!</v>
          </cell>
          <cell r="S8" t="str">
            <v>#Calc</v>
          </cell>
          <cell r="T8" t="e">
            <v>#VALUE!</v>
          </cell>
          <cell r="U8" t="e">
            <v>#VALUE!</v>
          </cell>
          <cell r="V8" t="e">
            <v>#VALUE!</v>
          </cell>
          <cell r="W8" t="e">
            <v>#VALUE!</v>
          </cell>
          <cell r="X8" t="e">
            <v>#VALUE!</v>
          </cell>
          <cell r="Y8" t="e">
            <v>#VALUE!</v>
          </cell>
          <cell r="Z8" t="e">
            <v>#VALUE!</v>
          </cell>
        </row>
        <row r="9">
          <cell r="A9">
            <v>39747</v>
          </cell>
          <cell r="B9" t="str">
            <v>#Calc</v>
          </cell>
          <cell r="C9" t="str">
            <v>#Calc</v>
          </cell>
          <cell r="D9" t="str">
            <v>#Calc</v>
          </cell>
          <cell r="E9" t="e">
            <v>#VALUE!</v>
          </cell>
          <cell r="F9" t="e">
            <v>#VALUE!</v>
          </cell>
          <cell r="G9" t="e">
            <v>#VALUE!</v>
          </cell>
          <cell r="H9" t="e">
            <v>#VALUE!</v>
          </cell>
          <cell r="I9" t="str">
            <v>#Calc</v>
          </cell>
          <cell r="J9" t="str">
            <v>#Calc</v>
          </cell>
          <cell r="K9" t="e">
            <v>#VALUE!</v>
          </cell>
          <cell r="L9" t="e">
            <v>#VALUE!</v>
          </cell>
          <cell r="M9" t="str">
            <v>#Calc</v>
          </cell>
          <cell r="N9" t="str">
            <v>#Calc</v>
          </cell>
          <cell r="O9" t="e">
            <v>#VALUE!</v>
          </cell>
          <cell r="P9" t="e">
            <v>#VALUE!</v>
          </cell>
          <cell r="Q9" t="str">
            <v>#Calc</v>
          </cell>
          <cell r="R9" t="e">
            <v>#VALUE!</v>
          </cell>
          <cell r="S9" t="str">
            <v>#Calc</v>
          </cell>
          <cell r="T9" t="e">
            <v>#VALUE!</v>
          </cell>
          <cell r="U9" t="e">
            <v>#VALUE!</v>
          </cell>
          <cell r="V9" t="e">
            <v>#VALUE!</v>
          </cell>
          <cell r="W9" t="e">
            <v>#VALUE!</v>
          </cell>
          <cell r="X9" t="e">
            <v>#VALUE!</v>
          </cell>
          <cell r="Y9" t="e">
            <v>#VALUE!</v>
          </cell>
          <cell r="Z9" t="e">
            <v>#VALUE!</v>
          </cell>
        </row>
        <row r="10">
          <cell r="A10">
            <v>39717</v>
          </cell>
          <cell r="B10" t="str">
            <v>#Calc</v>
          </cell>
          <cell r="C10" t="str">
            <v>#Calc</v>
          </cell>
          <cell r="D10" t="str">
            <v>#Calc</v>
          </cell>
          <cell r="E10" t="e">
            <v>#VALUE!</v>
          </cell>
          <cell r="F10" t="e">
            <v>#VALUE!</v>
          </cell>
          <cell r="G10" t="e">
            <v>#VALUE!</v>
          </cell>
          <cell r="H10" t="e">
            <v>#VALUE!</v>
          </cell>
          <cell r="I10" t="str">
            <v>#Calc</v>
          </cell>
          <cell r="J10" t="str">
            <v>#Calc</v>
          </cell>
          <cell r="K10" t="e">
            <v>#VALUE!</v>
          </cell>
          <cell r="L10" t="e">
            <v>#VALUE!</v>
          </cell>
          <cell r="M10" t="str">
            <v>#Calc</v>
          </cell>
          <cell r="N10" t="str">
            <v>#Calc</v>
          </cell>
          <cell r="O10" t="e">
            <v>#VALUE!</v>
          </cell>
          <cell r="P10" t="e">
            <v>#VALUE!</v>
          </cell>
          <cell r="Q10" t="str">
            <v>#Calc</v>
          </cell>
          <cell r="R10" t="e">
            <v>#VALUE!</v>
          </cell>
          <cell r="S10" t="str">
            <v>#Calc</v>
          </cell>
          <cell r="T10" t="e">
            <v>#VALUE!</v>
          </cell>
          <cell r="U10" t="e">
            <v>#VALUE!</v>
          </cell>
          <cell r="V10" t="e">
            <v>#VALUE!</v>
          </cell>
          <cell r="W10" t="e">
            <v>#VALUE!</v>
          </cell>
          <cell r="X10" t="e">
            <v>#VALUE!</v>
          </cell>
          <cell r="Y10" t="e">
            <v>#VALUE!</v>
          </cell>
          <cell r="Z10" t="e">
            <v>#VALUE!</v>
          </cell>
        </row>
        <row r="11">
          <cell r="A11">
            <v>39687</v>
          </cell>
          <cell r="B11" t="str">
            <v>#Calc</v>
          </cell>
          <cell r="C11" t="str">
            <v>#Calc</v>
          </cell>
          <cell r="D11" t="str">
            <v>#Calc</v>
          </cell>
          <cell r="E11" t="e">
            <v>#VALUE!</v>
          </cell>
          <cell r="F11" t="e">
            <v>#VALUE!</v>
          </cell>
          <cell r="G11" t="e">
            <v>#VALUE!</v>
          </cell>
          <cell r="H11" t="e">
            <v>#VALUE!</v>
          </cell>
          <cell r="I11" t="str">
            <v>#Calc</v>
          </cell>
          <cell r="J11" t="str">
            <v>#Calc</v>
          </cell>
          <cell r="K11" t="e">
            <v>#VALUE!</v>
          </cell>
          <cell r="L11" t="e">
            <v>#VALUE!</v>
          </cell>
          <cell r="M11" t="str">
            <v>#Calc</v>
          </cell>
          <cell r="N11" t="str">
            <v>#Calc</v>
          </cell>
          <cell r="O11" t="e">
            <v>#VALUE!</v>
          </cell>
          <cell r="P11" t="e">
            <v>#VALUE!</v>
          </cell>
          <cell r="Q11" t="str">
            <v>#Calc</v>
          </cell>
          <cell r="R11" t="e">
            <v>#VALUE!</v>
          </cell>
          <cell r="S11" t="str">
            <v>#Calc</v>
          </cell>
          <cell r="T11" t="e">
            <v>#VALUE!</v>
          </cell>
          <cell r="U11" t="e">
            <v>#VALUE!</v>
          </cell>
          <cell r="V11" t="e">
            <v>#VALUE!</v>
          </cell>
          <cell r="W11" t="e">
            <v>#VALUE!</v>
          </cell>
          <cell r="X11" t="e">
            <v>#VALUE!</v>
          </cell>
          <cell r="Y11" t="e">
            <v>#VALUE!</v>
          </cell>
          <cell r="Z11" t="e">
            <v>#VALUE!</v>
          </cell>
        </row>
        <row r="12">
          <cell r="A12">
            <v>39657</v>
          </cell>
          <cell r="B12" t="str">
            <v>#Calc</v>
          </cell>
          <cell r="C12" t="str">
            <v>#Calc</v>
          </cell>
          <cell r="D12" t="str">
            <v>#Calc</v>
          </cell>
          <cell r="E12" t="e">
            <v>#VALUE!</v>
          </cell>
          <cell r="F12" t="e">
            <v>#VALUE!</v>
          </cell>
          <cell r="G12" t="e">
            <v>#VALUE!</v>
          </cell>
          <cell r="H12" t="e">
            <v>#VALUE!</v>
          </cell>
          <cell r="I12" t="str">
            <v>#Calc</v>
          </cell>
          <cell r="J12" t="str">
            <v>#Calc</v>
          </cell>
          <cell r="K12" t="e">
            <v>#VALUE!</v>
          </cell>
          <cell r="L12" t="e">
            <v>#VALUE!</v>
          </cell>
          <cell r="M12" t="str">
            <v>#Calc</v>
          </cell>
          <cell r="N12" t="str">
            <v>#Calc</v>
          </cell>
          <cell r="O12" t="e">
            <v>#VALUE!</v>
          </cell>
          <cell r="P12" t="e">
            <v>#VALUE!</v>
          </cell>
          <cell r="Q12" t="str">
            <v>#Calc</v>
          </cell>
          <cell r="R12" t="e">
            <v>#VALUE!</v>
          </cell>
          <cell r="S12" t="str">
            <v>#Calc</v>
          </cell>
          <cell r="T12" t="e">
            <v>#VALUE!</v>
          </cell>
          <cell r="U12" t="e">
            <v>#VALUE!</v>
          </cell>
          <cell r="V12" t="e">
            <v>#VALUE!</v>
          </cell>
          <cell r="W12" t="e">
            <v>#VALUE!</v>
          </cell>
          <cell r="X12" t="e">
            <v>#VALUE!</v>
          </cell>
          <cell r="Y12" t="e">
            <v>#VALUE!</v>
          </cell>
          <cell r="Z12" t="e">
            <v>#VALUE!</v>
          </cell>
        </row>
        <row r="13">
          <cell r="A13">
            <v>39627</v>
          </cell>
          <cell r="B13" t="str">
            <v>#Calc</v>
          </cell>
          <cell r="C13" t="str">
            <v>#Calc</v>
          </cell>
          <cell r="D13" t="str">
            <v>#Calc</v>
          </cell>
          <cell r="E13" t="e">
            <v>#VALUE!</v>
          </cell>
          <cell r="F13" t="e">
            <v>#VALUE!</v>
          </cell>
          <cell r="G13" t="e">
            <v>#VALUE!</v>
          </cell>
          <cell r="H13" t="e">
            <v>#VALUE!</v>
          </cell>
          <cell r="I13" t="str">
            <v>#Calc</v>
          </cell>
          <cell r="J13" t="str">
            <v>#Calc</v>
          </cell>
          <cell r="K13" t="e">
            <v>#VALUE!</v>
          </cell>
          <cell r="L13" t="e">
            <v>#VALUE!</v>
          </cell>
          <cell r="M13" t="str">
            <v>#Calc</v>
          </cell>
          <cell r="N13" t="str">
            <v>#Calc</v>
          </cell>
          <cell r="O13" t="e">
            <v>#VALUE!</v>
          </cell>
          <cell r="P13" t="e">
            <v>#VALUE!</v>
          </cell>
          <cell r="Q13" t="str">
            <v>#Calc</v>
          </cell>
          <cell r="R13" t="e">
            <v>#VALUE!</v>
          </cell>
          <cell r="S13" t="str">
            <v>#Calc</v>
          </cell>
          <cell r="T13" t="e">
            <v>#VALUE!</v>
          </cell>
          <cell r="U13" t="e">
            <v>#VALUE!</v>
          </cell>
          <cell r="V13" t="e">
            <v>#VALUE!</v>
          </cell>
          <cell r="W13" t="e">
            <v>#VALUE!</v>
          </cell>
          <cell r="X13" t="e">
            <v>#VALUE!</v>
          </cell>
          <cell r="Y13" t="e">
            <v>#VALUE!</v>
          </cell>
          <cell r="Z13" t="e">
            <v>#VALUE!</v>
          </cell>
        </row>
        <row r="14">
          <cell r="A14">
            <v>39597</v>
          </cell>
          <cell r="B14" t="str">
            <v>#Calc</v>
          </cell>
          <cell r="C14" t="str">
            <v>#Calc</v>
          </cell>
          <cell r="D14" t="str">
            <v>#Calc</v>
          </cell>
          <cell r="E14" t="e">
            <v>#VALUE!</v>
          </cell>
          <cell r="F14" t="e">
            <v>#VALUE!</v>
          </cell>
          <cell r="G14" t="e">
            <v>#VALUE!</v>
          </cell>
          <cell r="H14" t="e">
            <v>#VALUE!</v>
          </cell>
          <cell r="I14" t="str">
            <v>#Calc</v>
          </cell>
          <cell r="J14" t="str">
            <v>#Calc</v>
          </cell>
          <cell r="K14" t="e">
            <v>#VALUE!</v>
          </cell>
          <cell r="L14" t="e">
            <v>#VALUE!</v>
          </cell>
          <cell r="M14" t="str">
            <v>#Calc</v>
          </cell>
          <cell r="N14" t="str">
            <v>#Calc</v>
          </cell>
          <cell r="O14" t="e">
            <v>#VALUE!</v>
          </cell>
          <cell r="P14" t="e">
            <v>#VALUE!</v>
          </cell>
          <cell r="Q14" t="str">
            <v>#Calc</v>
          </cell>
          <cell r="R14" t="e">
            <v>#VALUE!</v>
          </cell>
          <cell r="S14" t="str">
            <v>#Calc</v>
          </cell>
          <cell r="T14" t="e">
            <v>#VALUE!</v>
          </cell>
          <cell r="U14" t="e">
            <v>#VALUE!</v>
          </cell>
          <cell r="V14" t="e">
            <v>#VALUE!</v>
          </cell>
          <cell r="W14" t="e">
            <v>#VALUE!</v>
          </cell>
          <cell r="X14" t="e">
            <v>#VALUE!</v>
          </cell>
          <cell r="Y14" t="e">
            <v>#VALUE!</v>
          </cell>
          <cell r="Z14" t="e">
            <v>#VALUE!</v>
          </cell>
        </row>
        <row r="15">
          <cell r="A15">
            <v>39567</v>
          </cell>
          <cell r="B15" t="str">
            <v>#Calc</v>
          </cell>
          <cell r="C15" t="str">
            <v>#Calc</v>
          </cell>
          <cell r="D15" t="str">
            <v>#Calc</v>
          </cell>
          <cell r="E15" t="e">
            <v>#VALUE!</v>
          </cell>
          <cell r="F15" t="e">
            <v>#VALUE!</v>
          </cell>
          <cell r="G15" t="e">
            <v>#VALUE!</v>
          </cell>
          <cell r="H15" t="e">
            <v>#VALUE!</v>
          </cell>
          <cell r="I15" t="str">
            <v>#Calc</v>
          </cell>
          <cell r="J15" t="str">
            <v>#Calc</v>
          </cell>
          <cell r="K15" t="e">
            <v>#VALUE!</v>
          </cell>
          <cell r="L15" t="e">
            <v>#VALUE!</v>
          </cell>
          <cell r="M15" t="str">
            <v>#Calc</v>
          </cell>
          <cell r="N15" t="str">
            <v>#Calc</v>
          </cell>
          <cell r="O15" t="e">
            <v>#VALUE!</v>
          </cell>
          <cell r="P15" t="e">
            <v>#VALUE!</v>
          </cell>
          <cell r="Q15" t="str">
            <v>#Calc</v>
          </cell>
          <cell r="R15" t="e">
            <v>#VALUE!</v>
          </cell>
          <cell r="S15" t="str">
            <v>#Calc</v>
          </cell>
          <cell r="T15" t="e">
            <v>#VALUE!</v>
          </cell>
          <cell r="U15" t="e">
            <v>#VALUE!</v>
          </cell>
          <cell r="V15" t="e">
            <v>#VALUE!</v>
          </cell>
          <cell r="W15" t="e">
            <v>#VALUE!</v>
          </cell>
          <cell r="X15" t="e">
            <v>#VALUE!</v>
          </cell>
          <cell r="Y15" t="e">
            <v>#VALUE!</v>
          </cell>
          <cell r="Z15" t="e">
            <v>#VALUE!</v>
          </cell>
        </row>
        <row r="16">
          <cell r="A16">
            <v>39537</v>
          </cell>
          <cell r="B16" t="str">
            <v>#Calc</v>
          </cell>
          <cell r="C16" t="str">
            <v>#Calc</v>
          </cell>
          <cell r="D16" t="str">
            <v>#Calc</v>
          </cell>
          <cell r="E16" t="e">
            <v>#VALUE!</v>
          </cell>
          <cell r="F16" t="e">
            <v>#VALUE!</v>
          </cell>
          <cell r="G16" t="e">
            <v>#VALUE!</v>
          </cell>
          <cell r="H16" t="e">
            <v>#VALUE!</v>
          </cell>
          <cell r="I16" t="str">
            <v>#Calc</v>
          </cell>
          <cell r="J16" t="str">
            <v>#Calc</v>
          </cell>
          <cell r="K16" t="e">
            <v>#VALUE!</v>
          </cell>
          <cell r="L16" t="e">
            <v>#VALUE!</v>
          </cell>
          <cell r="M16" t="str">
            <v>#Calc</v>
          </cell>
          <cell r="N16" t="str">
            <v>#Calc</v>
          </cell>
          <cell r="O16" t="e">
            <v>#VALUE!</v>
          </cell>
          <cell r="P16" t="e">
            <v>#VALUE!</v>
          </cell>
          <cell r="Q16" t="str">
            <v>#Calc</v>
          </cell>
          <cell r="R16" t="e">
            <v>#VALUE!</v>
          </cell>
          <cell r="S16" t="str">
            <v>#Calc</v>
          </cell>
          <cell r="T16" t="e">
            <v>#VALUE!</v>
          </cell>
          <cell r="U16" t="e">
            <v>#VALUE!</v>
          </cell>
          <cell r="V16" t="e">
            <v>#VALUE!</v>
          </cell>
          <cell r="W16" t="e">
            <v>#VALUE!</v>
          </cell>
          <cell r="X16" t="e">
            <v>#VALUE!</v>
          </cell>
          <cell r="Y16" t="e">
            <v>#VALUE!</v>
          </cell>
          <cell r="Z16" t="e">
            <v>#VALUE!</v>
          </cell>
        </row>
        <row r="17">
          <cell r="A17">
            <v>39506</v>
          </cell>
          <cell r="B17" t="str">
            <v>#Calc</v>
          </cell>
          <cell r="C17" t="str">
            <v>#Calc</v>
          </cell>
          <cell r="D17" t="str">
            <v>#Calc</v>
          </cell>
          <cell r="E17" t="e">
            <v>#VALUE!</v>
          </cell>
          <cell r="F17" t="e">
            <v>#VALUE!</v>
          </cell>
          <cell r="G17" t="e">
            <v>#VALUE!</v>
          </cell>
          <cell r="H17" t="e">
            <v>#VALUE!</v>
          </cell>
          <cell r="I17" t="str">
            <v>#Calc</v>
          </cell>
          <cell r="J17" t="str">
            <v>#Calc</v>
          </cell>
          <cell r="K17" t="e">
            <v>#VALUE!</v>
          </cell>
          <cell r="L17" t="e">
            <v>#VALUE!</v>
          </cell>
          <cell r="M17" t="str">
            <v>#Calc</v>
          </cell>
          <cell r="N17" t="str">
            <v>#Calc</v>
          </cell>
          <cell r="O17" t="e">
            <v>#VALUE!</v>
          </cell>
          <cell r="P17" t="e">
            <v>#VALUE!</v>
          </cell>
          <cell r="Q17" t="str">
            <v>#Calc</v>
          </cell>
          <cell r="R17" t="e">
            <v>#VALUE!</v>
          </cell>
          <cell r="S17" t="str">
            <v>#Calc</v>
          </cell>
          <cell r="T17" t="e">
            <v>#VALUE!</v>
          </cell>
          <cell r="U17" t="e">
            <v>#VALUE!</v>
          </cell>
          <cell r="V17" t="e">
            <v>#VALUE!</v>
          </cell>
          <cell r="W17" t="e">
            <v>#VALUE!</v>
          </cell>
          <cell r="X17" t="e">
            <v>#VALUE!</v>
          </cell>
          <cell r="Y17" t="e">
            <v>#VALUE!</v>
          </cell>
          <cell r="Z17" t="e">
            <v>#VALUE!</v>
          </cell>
        </row>
        <row r="18">
          <cell r="A18">
            <v>39477</v>
          </cell>
          <cell r="B18" t="str">
            <v>#Calc</v>
          </cell>
          <cell r="C18" t="str">
            <v>#Calc</v>
          </cell>
          <cell r="D18" t="str">
            <v>#Calc</v>
          </cell>
          <cell r="E18" t="e">
            <v>#VALUE!</v>
          </cell>
          <cell r="F18" t="e">
            <v>#VALUE!</v>
          </cell>
          <cell r="G18" t="e">
            <v>#VALUE!</v>
          </cell>
          <cell r="H18" t="e">
            <v>#VALUE!</v>
          </cell>
          <cell r="I18" t="str">
            <v>#Calc</v>
          </cell>
          <cell r="J18" t="str">
            <v>#Calc</v>
          </cell>
          <cell r="K18" t="e">
            <v>#VALUE!</v>
          </cell>
          <cell r="L18" t="e">
            <v>#VALUE!</v>
          </cell>
          <cell r="M18" t="str">
            <v>#Calc</v>
          </cell>
          <cell r="N18" t="str">
            <v>#Calc</v>
          </cell>
          <cell r="O18" t="e">
            <v>#VALUE!</v>
          </cell>
          <cell r="P18" t="e">
            <v>#VALUE!</v>
          </cell>
          <cell r="Q18" t="str">
            <v>#Calc</v>
          </cell>
          <cell r="R18" t="e">
            <v>#VALUE!</v>
          </cell>
          <cell r="S18" t="str">
            <v>#Calc</v>
          </cell>
          <cell r="T18" t="e">
            <v>#VALUE!</v>
          </cell>
          <cell r="U18" t="e">
            <v>#VALUE!</v>
          </cell>
          <cell r="V18" t="e">
            <v>#VALUE!</v>
          </cell>
          <cell r="W18" t="e">
            <v>#VALUE!</v>
          </cell>
          <cell r="X18" t="e">
            <v>#VALUE!</v>
          </cell>
          <cell r="Y18" t="e">
            <v>#VALUE!</v>
          </cell>
          <cell r="Z18" t="e">
            <v>#VALUE!</v>
          </cell>
        </row>
        <row r="19">
          <cell r="A19">
            <v>39446</v>
          </cell>
          <cell r="B19" t="str">
            <v>#Calc</v>
          </cell>
          <cell r="C19" t="str">
            <v>#Calc</v>
          </cell>
          <cell r="D19" t="str">
            <v>#Calc</v>
          </cell>
          <cell r="E19" t="e">
            <v>#VALUE!</v>
          </cell>
          <cell r="F19" t="e">
            <v>#VALUE!</v>
          </cell>
          <cell r="G19" t="e">
            <v>#VALUE!</v>
          </cell>
          <cell r="H19" t="e">
            <v>#VALUE!</v>
          </cell>
          <cell r="I19" t="str">
            <v>#Calc</v>
          </cell>
          <cell r="J19" t="str">
            <v>#Calc</v>
          </cell>
          <cell r="K19" t="e">
            <v>#VALUE!</v>
          </cell>
          <cell r="L19" t="e">
            <v>#VALUE!</v>
          </cell>
          <cell r="M19" t="str">
            <v>#Calc</v>
          </cell>
          <cell r="N19" t="str">
            <v>#Calc</v>
          </cell>
          <cell r="O19" t="e">
            <v>#VALUE!</v>
          </cell>
          <cell r="P19" t="e">
            <v>#VALUE!</v>
          </cell>
          <cell r="Q19" t="str">
            <v>#Calc</v>
          </cell>
          <cell r="R19" t="e">
            <v>#VALUE!</v>
          </cell>
          <cell r="S19" t="str">
            <v>#Calc</v>
          </cell>
          <cell r="T19" t="e">
            <v>#VALUE!</v>
          </cell>
          <cell r="U19" t="e">
            <v>#VALUE!</v>
          </cell>
          <cell r="V19" t="e">
            <v>#VALUE!</v>
          </cell>
          <cell r="W19" t="e">
            <v>#VALUE!</v>
          </cell>
          <cell r="X19" t="e">
            <v>#VALUE!</v>
          </cell>
          <cell r="Y19" t="e">
            <v>#VALUE!</v>
          </cell>
          <cell r="Z19" t="e">
            <v>#VALUE!</v>
          </cell>
        </row>
        <row r="20">
          <cell r="A20">
            <v>39416</v>
          </cell>
          <cell r="B20" t="str">
            <v>#Calc</v>
          </cell>
          <cell r="C20" t="str">
            <v>#Calc</v>
          </cell>
          <cell r="D20" t="str">
            <v>#Calc</v>
          </cell>
          <cell r="E20" t="e">
            <v>#VALUE!</v>
          </cell>
          <cell r="F20" t="e">
            <v>#VALUE!</v>
          </cell>
          <cell r="G20" t="e">
            <v>#VALUE!</v>
          </cell>
          <cell r="H20" t="e">
            <v>#VALUE!</v>
          </cell>
          <cell r="I20" t="str">
            <v>#Calc</v>
          </cell>
          <cell r="J20" t="str">
            <v>#Calc</v>
          </cell>
          <cell r="K20" t="e">
            <v>#VALUE!</v>
          </cell>
          <cell r="L20" t="e">
            <v>#VALUE!</v>
          </cell>
          <cell r="M20" t="str">
            <v>#Calc</v>
          </cell>
          <cell r="N20" t="str">
            <v>#Calc</v>
          </cell>
          <cell r="O20" t="e">
            <v>#VALUE!</v>
          </cell>
          <cell r="P20" t="e">
            <v>#VALUE!</v>
          </cell>
          <cell r="Q20" t="str">
            <v>#Calc</v>
          </cell>
          <cell r="R20" t="e">
            <v>#VALUE!</v>
          </cell>
          <cell r="S20" t="str">
            <v>#Calc</v>
          </cell>
          <cell r="T20" t="e">
            <v>#VALUE!</v>
          </cell>
          <cell r="U20" t="e">
            <v>#VALUE!</v>
          </cell>
          <cell r="V20" t="e">
            <v>#VALUE!</v>
          </cell>
          <cell r="W20" t="e">
            <v>#VALUE!</v>
          </cell>
          <cell r="X20" t="e">
            <v>#VALUE!</v>
          </cell>
          <cell r="Y20" t="e">
            <v>#VALUE!</v>
          </cell>
          <cell r="Z20" t="e">
            <v>#VALUE!</v>
          </cell>
        </row>
        <row r="21">
          <cell r="A21">
            <v>39385</v>
          </cell>
          <cell r="B21" t="str">
            <v>#Calc</v>
          </cell>
          <cell r="C21" t="str">
            <v>#Calc</v>
          </cell>
          <cell r="D21" t="str">
            <v>#Calc</v>
          </cell>
          <cell r="E21" t="e">
            <v>#VALUE!</v>
          </cell>
          <cell r="F21" t="e">
            <v>#VALUE!</v>
          </cell>
          <cell r="G21" t="e">
            <v>#VALUE!</v>
          </cell>
          <cell r="H21" t="e">
            <v>#VALUE!</v>
          </cell>
          <cell r="I21" t="str">
            <v>#Calc</v>
          </cell>
          <cell r="J21" t="str">
            <v>#Calc</v>
          </cell>
          <cell r="K21" t="e">
            <v>#VALUE!</v>
          </cell>
          <cell r="L21" t="e">
            <v>#VALUE!</v>
          </cell>
          <cell r="M21" t="str">
            <v>#Calc</v>
          </cell>
          <cell r="N21" t="str">
            <v>#Calc</v>
          </cell>
          <cell r="O21" t="e">
            <v>#VALUE!</v>
          </cell>
          <cell r="P21" t="e">
            <v>#VALUE!</v>
          </cell>
          <cell r="Q21" t="str">
            <v>#Calc</v>
          </cell>
          <cell r="R21" t="e">
            <v>#VALUE!</v>
          </cell>
          <cell r="S21" t="str">
            <v>#Calc</v>
          </cell>
          <cell r="T21" t="e">
            <v>#VALUE!</v>
          </cell>
          <cell r="U21" t="e">
            <v>#VALUE!</v>
          </cell>
          <cell r="V21" t="e">
            <v>#VALUE!</v>
          </cell>
          <cell r="W21" t="e">
            <v>#VALUE!</v>
          </cell>
          <cell r="X21" t="e">
            <v>#VALUE!</v>
          </cell>
          <cell r="Y21" t="e">
            <v>#VALUE!</v>
          </cell>
          <cell r="Z21" t="e">
            <v>#VALUE!</v>
          </cell>
        </row>
        <row r="22">
          <cell r="A22">
            <v>39355</v>
          </cell>
          <cell r="B22" t="str">
            <v>#Calc</v>
          </cell>
          <cell r="C22" t="str">
            <v>#Calc</v>
          </cell>
          <cell r="D22" t="str">
            <v>#Calc</v>
          </cell>
          <cell r="E22" t="e">
            <v>#VALUE!</v>
          </cell>
          <cell r="F22" t="e">
            <v>#VALUE!</v>
          </cell>
          <cell r="G22" t="e">
            <v>#VALUE!</v>
          </cell>
          <cell r="H22" t="e">
            <v>#VALUE!</v>
          </cell>
          <cell r="I22" t="str">
            <v>#Calc</v>
          </cell>
          <cell r="J22" t="str">
            <v>#Calc</v>
          </cell>
          <cell r="K22" t="e">
            <v>#VALUE!</v>
          </cell>
          <cell r="L22" t="e">
            <v>#VALUE!</v>
          </cell>
          <cell r="M22" t="str">
            <v>#Calc</v>
          </cell>
          <cell r="N22" t="str">
            <v>#Calc</v>
          </cell>
          <cell r="O22" t="e">
            <v>#VALUE!</v>
          </cell>
          <cell r="P22" t="e">
            <v>#VALUE!</v>
          </cell>
          <cell r="Q22" t="str">
            <v>#Calc</v>
          </cell>
          <cell r="R22" t="e">
            <v>#VALUE!</v>
          </cell>
          <cell r="S22" t="str">
            <v>#Calc</v>
          </cell>
          <cell r="T22" t="e">
            <v>#VALUE!</v>
          </cell>
          <cell r="U22" t="e">
            <v>#VALUE!</v>
          </cell>
          <cell r="V22" t="e">
            <v>#VALUE!</v>
          </cell>
          <cell r="W22" t="e">
            <v>#VALUE!</v>
          </cell>
          <cell r="X22" t="e">
            <v>#VALUE!</v>
          </cell>
          <cell r="Y22" t="e">
            <v>#VALUE!</v>
          </cell>
          <cell r="Z22" t="e">
            <v>#VALUE!</v>
          </cell>
        </row>
        <row r="23">
          <cell r="A23">
            <v>39324</v>
          </cell>
          <cell r="B23" t="str">
            <v>#Calc</v>
          </cell>
          <cell r="C23" t="str">
            <v>#Calc</v>
          </cell>
          <cell r="D23" t="str">
            <v>#Calc</v>
          </cell>
          <cell r="E23" t="e">
            <v>#VALUE!</v>
          </cell>
          <cell r="F23" t="e">
            <v>#VALUE!</v>
          </cell>
          <cell r="G23" t="e">
            <v>#VALUE!</v>
          </cell>
          <cell r="H23" t="e">
            <v>#VALUE!</v>
          </cell>
          <cell r="I23" t="str">
            <v>#Calc</v>
          </cell>
          <cell r="J23" t="str">
            <v>#Calc</v>
          </cell>
          <cell r="K23" t="e">
            <v>#VALUE!</v>
          </cell>
          <cell r="L23" t="e">
            <v>#VALUE!</v>
          </cell>
          <cell r="M23" t="str">
            <v>#Calc</v>
          </cell>
          <cell r="N23" t="str">
            <v>#Calc</v>
          </cell>
          <cell r="O23" t="e">
            <v>#VALUE!</v>
          </cell>
          <cell r="P23" t="e">
            <v>#VALUE!</v>
          </cell>
          <cell r="Q23" t="str">
            <v>#Calc</v>
          </cell>
          <cell r="R23" t="e">
            <v>#VALUE!</v>
          </cell>
          <cell r="S23" t="str">
            <v>#Calc</v>
          </cell>
          <cell r="T23" t="e">
            <v>#VALUE!</v>
          </cell>
          <cell r="U23" t="e">
            <v>#VALUE!</v>
          </cell>
          <cell r="V23" t="e">
            <v>#VALUE!</v>
          </cell>
          <cell r="W23" t="e">
            <v>#VALUE!</v>
          </cell>
          <cell r="X23" t="e">
            <v>#VALUE!</v>
          </cell>
          <cell r="Y23" t="e">
            <v>#VALUE!</v>
          </cell>
          <cell r="Z23" t="e">
            <v>#VALUE!</v>
          </cell>
        </row>
        <row r="24">
          <cell r="A24">
            <v>39293</v>
          </cell>
          <cell r="B24" t="str">
            <v>#Calc</v>
          </cell>
          <cell r="C24" t="str">
            <v>#Calc</v>
          </cell>
          <cell r="D24" t="str">
            <v>#Calc</v>
          </cell>
          <cell r="E24" t="e">
            <v>#VALUE!</v>
          </cell>
          <cell r="F24" t="e">
            <v>#VALUE!</v>
          </cell>
          <cell r="G24" t="e">
            <v>#VALUE!</v>
          </cell>
          <cell r="H24" t="e">
            <v>#VALUE!</v>
          </cell>
          <cell r="I24" t="str">
            <v>#Calc</v>
          </cell>
          <cell r="J24" t="str">
            <v>#Calc</v>
          </cell>
          <cell r="K24" t="e">
            <v>#VALUE!</v>
          </cell>
          <cell r="L24" t="e">
            <v>#VALUE!</v>
          </cell>
          <cell r="M24" t="str">
            <v>#Calc</v>
          </cell>
          <cell r="N24" t="str">
            <v>#Calc</v>
          </cell>
          <cell r="O24" t="e">
            <v>#VALUE!</v>
          </cell>
          <cell r="P24" t="e">
            <v>#VALUE!</v>
          </cell>
          <cell r="Q24" t="str">
            <v>#Calc</v>
          </cell>
          <cell r="R24" t="e">
            <v>#VALUE!</v>
          </cell>
          <cell r="S24" t="str">
            <v>#Calc</v>
          </cell>
          <cell r="T24" t="e">
            <v>#VALUE!</v>
          </cell>
          <cell r="U24" t="e">
            <v>#VALUE!</v>
          </cell>
          <cell r="V24" t="e">
            <v>#VALUE!</v>
          </cell>
          <cell r="W24" t="e">
            <v>#VALUE!</v>
          </cell>
          <cell r="X24" t="e">
            <v>#VALUE!</v>
          </cell>
          <cell r="Y24" t="e">
            <v>#VALUE!</v>
          </cell>
          <cell r="Z24" t="e">
            <v>#VALUE!</v>
          </cell>
        </row>
        <row r="25">
          <cell r="A25">
            <v>39263</v>
          </cell>
          <cell r="B25" t="str">
            <v>#Calc</v>
          </cell>
          <cell r="C25" t="str">
            <v>#Calc</v>
          </cell>
          <cell r="D25" t="str">
            <v>#Calc</v>
          </cell>
          <cell r="E25" t="e">
            <v>#VALUE!</v>
          </cell>
          <cell r="F25" t="e">
            <v>#VALUE!</v>
          </cell>
          <cell r="G25" t="e">
            <v>#VALUE!</v>
          </cell>
          <cell r="H25" t="e">
            <v>#VALUE!</v>
          </cell>
          <cell r="I25" t="str">
            <v>#Calc</v>
          </cell>
          <cell r="J25" t="str">
            <v>#Calc</v>
          </cell>
          <cell r="K25" t="e">
            <v>#VALUE!</v>
          </cell>
          <cell r="L25" t="e">
            <v>#VALUE!</v>
          </cell>
          <cell r="M25" t="str">
            <v>#Calc</v>
          </cell>
          <cell r="N25" t="str">
            <v>#Calc</v>
          </cell>
          <cell r="O25" t="e">
            <v>#VALUE!</v>
          </cell>
          <cell r="P25" t="e">
            <v>#VALUE!</v>
          </cell>
          <cell r="Q25" t="str">
            <v>#Calc</v>
          </cell>
          <cell r="R25" t="e">
            <v>#VALUE!</v>
          </cell>
          <cell r="S25" t="str">
            <v>#Calc</v>
          </cell>
          <cell r="T25" t="e">
            <v>#VALUE!</v>
          </cell>
          <cell r="U25" t="e">
            <v>#VALUE!</v>
          </cell>
          <cell r="V25" t="e">
            <v>#VALUE!</v>
          </cell>
          <cell r="W25" t="e">
            <v>#VALUE!</v>
          </cell>
          <cell r="X25" t="e">
            <v>#VALUE!</v>
          </cell>
          <cell r="Y25" t="e">
            <v>#VALUE!</v>
          </cell>
          <cell r="Z25" t="e">
            <v>#VALUE!</v>
          </cell>
        </row>
        <row r="26">
          <cell r="A26">
            <v>39232</v>
          </cell>
        </row>
        <row r="27">
          <cell r="A27">
            <v>39202</v>
          </cell>
          <cell r="G27" t="e">
            <v>#VALUE!</v>
          </cell>
        </row>
        <row r="28">
          <cell r="A28">
            <v>39171</v>
          </cell>
          <cell r="G28" t="e">
            <v>#VALUE!</v>
          </cell>
        </row>
        <row r="29">
          <cell r="G29" t="e">
            <v>#VALUE!</v>
          </cell>
        </row>
        <row r="34">
          <cell r="A34" t="str">
            <v>Since 2001</v>
          </cell>
          <cell r="AB34" t="str">
            <v>Price-to-Tangible Book:</v>
          </cell>
        </row>
        <row r="35">
          <cell r="A35" t="str">
            <v>Average</v>
          </cell>
          <cell r="F35" t="e">
            <v>#VALUE!</v>
          </cell>
          <cell r="G35" t="e">
            <v>#VALUE!</v>
          </cell>
          <cell r="H35" t="e">
            <v>#VALUE!</v>
          </cell>
          <cell r="L35" t="e">
            <v>#VALUE!</v>
          </cell>
          <cell r="P35" t="e">
            <v>#VALUE!</v>
          </cell>
          <cell r="R35" t="e">
            <v>#VALUE!</v>
          </cell>
          <cell r="X35" t="e">
            <v>#VALUE!</v>
          </cell>
          <cell r="Y35" t="e">
            <v>#VALUE!</v>
          </cell>
        </row>
        <row r="36">
          <cell r="A36" t="str">
            <v>Median</v>
          </cell>
          <cell r="F36" t="e">
            <v>#VALUE!</v>
          </cell>
          <cell r="G36" t="e">
            <v>#VALUE!</v>
          </cell>
          <cell r="H36" t="e">
            <v>#VALUE!</v>
          </cell>
          <cell r="L36" t="e">
            <v>#VALUE!</v>
          </cell>
          <cell r="P36" t="e">
            <v>#VALUE!</v>
          </cell>
          <cell r="R36" t="e">
            <v>#VALUE!</v>
          </cell>
          <cell r="X36" t="e">
            <v>#VALUE!</v>
          </cell>
          <cell r="Y36" t="e">
            <v>#VALUE!</v>
          </cell>
        </row>
        <row r="37">
          <cell r="A37" t="str">
            <v>Max</v>
          </cell>
          <cell r="F37" t="e">
            <v>#VALUE!</v>
          </cell>
          <cell r="G37" t="e">
            <v>#VALUE!</v>
          </cell>
          <cell r="H37" t="e">
            <v>#VALUE!</v>
          </cell>
          <cell r="L37" t="e">
            <v>#VALUE!</v>
          </cell>
          <cell r="P37" t="e">
            <v>#VALUE!</v>
          </cell>
          <cell r="R37" t="e">
            <v>#VALUE!</v>
          </cell>
          <cell r="X37" t="e">
            <v>#VALUE!</v>
          </cell>
          <cell r="Y37" t="e">
            <v>#VALUE!</v>
          </cell>
        </row>
        <row r="38">
          <cell r="A38" t="str">
            <v>Min</v>
          </cell>
          <cell r="F38" t="e">
            <v>#VALUE!</v>
          </cell>
          <cell r="G38" t="e">
            <v>#VALUE!</v>
          </cell>
          <cell r="H38" t="e">
            <v>#VALUE!</v>
          </cell>
          <cell r="L38" t="e">
            <v>#VALUE!</v>
          </cell>
          <cell r="P38" t="e">
            <v>#VALUE!</v>
          </cell>
          <cell r="R38" t="e">
            <v>#VALUE!</v>
          </cell>
          <cell r="X38" t="e">
            <v>#VALUE!</v>
          </cell>
          <cell r="Y38" t="e">
            <v>#VALUE!</v>
          </cell>
        </row>
        <row r="39">
          <cell r="A39" t="str">
            <v>75 Percentile</v>
          </cell>
          <cell r="F39" t="e">
            <v>#VALUE!</v>
          </cell>
          <cell r="G39" t="e">
            <v>#VALUE!</v>
          </cell>
          <cell r="H39" t="e">
            <v>#VALUE!</v>
          </cell>
          <cell r="L39" t="e">
            <v>#VALUE!</v>
          </cell>
          <cell r="P39" t="e">
            <v>#VALUE!</v>
          </cell>
          <cell r="R39" t="e">
            <v>#VALUE!</v>
          </cell>
          <cell r="X39" t="e">
            <v>#VALUE!</v>
          </cell>
          <cell r="Y39" t="e">
            <v>#VALUE!</v>
          </cell>
        </row>
        <row r="40">
          <cell r="A40" t="str">
            <v>25 Percentile</v>
          </cell>
          <cell r="F40" t="e">
            <v>#VALUE!</v>
          </cell>
          <cell r="G40" t="e">
            <v>#VALUE!</v>
          </cell>
          <cell r="H40" t="e">
            <v>#VALUE!</v>
          </cell>
          <cell r="L40" t="e">
            <v>#VALUE!</v>
          </cell>
          <cell r="P40" t="e">
            <v>#VALUE!</v>
          </cell>
          <cell r="R40" t="e">
            <v>#VALUE!</v>
          </cell>
          <cell r="X40" t="e">
            <v>#VALUE!</v>
          </cell>
          <cell r="Y40" t="e">
            <v>#VALUE!</v>
          </cell>
        </row>
        <row r="42">
          <cell r="A42" t="str">
            <v>Since 2005</v>
          </cell>
        </row>
        <row r="43">
          <cell r="A43" t="str">
            <v>Average</v>
          </cell>
          <cell r="F43" t="e">
            <v>#VALUE!</v>
          </cell>
          <cell r="G43" t="e">
            <v>#VALUE!</v>
          </cell>
          <cell r="H43" t="e">
            <v>#VALUE!</v>
          </cell>
          <cell r="L43" t="e">
            <v>#VALUE!</v>
          </cell>
          <cell r="P43" t="e">
            <v>#VALUE!</v>
          </cell>
          <cell r="R43" t="e">
            <v>#VALUE!</v>
          </cell>
          <cell r="X43" t="e">
            <v>#VALUE!</v>
          </cell>
          <cell r="Y43" t="e">
            <v>#VALUE!</v>
          </cell>
        </row>
        <row r="44">
          <cell r="A44" t="str">
            <v>Median</v>
          </cell>
          <cell r="F44" t="e">
            <v>#VALUE!</v>
          </cell>
          <cell r="G44" t="e">
            <v>#VALUE!</v>
          </cell>
          <cell r="H44" t="e">
            <v>#VALUE!</v>
          </cell>
          <cell r="L44" t="e">
            <v>#VALUE!</v>
          </cell>
          <cell r="P44" t="e">
            <v>#VALUE!</v>
          </cell>
          <cell r="R44" t="e">
            <v>#VALUE!</v>
          </cell>
          <cell r="X44" t="e">
            <v>#VALUE!</v>
          </cell>
          <cell r="Y44" t="e">
            <v>#VALUE!</v>
          </cell>
        </row>
        <row r="45">
          <cell r="A45" t="str">
            <v>Max</v>
          </cell>
          <cell r="F45" t="e">
            <v>#VALUE!</v>
          </cell>
          <cell r="G45" t="e">
            <v>#VALUE!</v>
          </cell>
          <cell r="H45" t="e">
            <v>#VALUE!</v>
          </cell>
          <cell r="L45" t="e">
            <v>#VALUE!</v>
          </cell>
          <cell r="P45" t="e">
            <v>#VALUE!</v>
          </cell>
          <cell r="R45" t="e">
            <v>#VALUE!</v>
          </cell>
          <cell r="X45" t="e">
            <v>#VALUE!</v>
          </cell>
          <cell r="Y45" t="e">
            <v>#VALUE!</v>
          </cell>
        </row>
        <row r="46">
          <cell r="A46" t="str">
            <v>Min</v>
          </cell>
          <cell r="F46" t="e">
            <v>#VALUE!</v>
          </cell>
          <cell r="G46" t="e">
            <v>#VALUE!</v>
          </cell>
          <cell r="H46" t="e">
            <v>#VALUE!</v>
          </cell>
          <cell r="L46" t="e">
            <v>#VALUE!</v>
          </cell>
          <cell r="P46" t="e">
            <v>#VALUE!</v>
          </cell>
          <cell r="R46" t="e">
            <v>#VALUE!</v>
          </cell>
          <cell r="X46" t="e">
            <v>#VALUE!</v>
          </cell>
          <cell r="Y46" t="e">
            <v>#VALUE!</v>
          </cell>
        </row>
        <row r="47">
          <cell r="A47" t="str">
            <v>75 Percentile</v>
          </cell>
          <cell r="F47" t="e">
            <v>#VALUE!</v>
          </cell>
          <cell r="G47" t="e">
            <v>#VALUE!</v>
          </cell>
          <cell r="H47" t="e">
            <v>#VALUE!</v>
          </cell>
          <cell r="L47" t="e">
            <v>#VALUE!</v>
          </cell>
          <cell r="P47" t="e">
            <v>#VALUE!</v>
          </cell>
          <cell r="R47" t="e">
            <v>#VALUE!</v>
          </cell>
          <cell r="X47" t="e">
            <v>#VALUE!</v>
          </cell>
          <cell r="Y47" t="e">
            <v>#VALUE!</v>
          </cell>
        </row>
        <row r="48">
          <cell r="A48" t="str">
            <v>25 Percentile</v>
          </cell>
          <cell r="F48" t="e">
            <v>#VALUE!</v>
          </cell>
          <cell r="G48" t="e">
            <v>#VALUE!</v>
          </cell>
          <cell r="H48" t="e">
            <v>#VALUE!</v>
          </cell>
          <cell r="L48" t="e">
            <v>#VALUE!</v>
          </cell>
          <cell r="P48" t="e">
            <v>#VALUE!</v>
          </cell>
          <cell r="R48" t="e">
            <v>#VALUE!</v>
          </cell>
          <cell r="X48" t="e">
            <v>#VALUE!</v>
          </cell>
          <cell r="Y48" t="e">
            <v>#VALUE!</v>
          </cell>
        </row>
        <row r="53">
          <cell r="A53">
            <v>2008</v>
          </cell>
          <cell r="B53" t="e">
            <v>#DIV/0!</v>
          </cell>
        </row>
      </sheetData>
      <sheetData sheetId="3"/>
      <sheetData sheetId="4"/>
      <sheetData sheetId="5" refreshError="1">
        <row r="1">
          <cell r="A1" t="str">
            <v>VALUATION</v>
          </cell>
          <cell r="T1" t="str">
            <v>INPUTS</v>
          </cell>
        </row>
        <row r="2">
          <cell r="C2" t="str">
            <v>Price</v>
          </cell>
          <cell r="D2" t="str">
            <v>Market</v>
          </cell>
          <cell r="E2" t="str">
            <v>Enterprise</v>
          </cell>
          <cell r="G2" t="str">
            <v>P/E</v>
          </cell>
          <cell r="J2" t="str">
            <v>EV/EBITDA</v>
          </cell>
          <cell r="M2" t="str">
            <v>FCF Yield</v>
          </cell>
          <cell r="P2" t="str">
            <v>PEG</v>
          </cell>
          <cell r="T2" t="str">
            <v>EPS</v>
          </cell>
          <cell r="X2" t="str">
            <v>EV</v>
          </cell>
          <cell r="Y2">
            <v>40118</v>
          </cell>
          <cell r="AD2" t="str">
            <v>EBITDA</v>
          </cell>
        </row>
        <row r="3">
          <cell r="C3">
            <v>40118</v>
          </cell>
          <cell r="D3" t="str">
            <v>Cap ($mm)</v>
          </cell>
          <cell r="E3" t="str">
            <v>Value</v>
          </cell>
          <cell r="G3" t="str">
            <v>C2010</v>
          </cell>
          <cell r="H3" t="str">
            <v>C2011</v>
          </cell>
          <cell r="J3" t="str">
            <v>C2010</v>
          </cell>
          <cell r="K3" t="str">
            <v>C2011</v>
          </cell>
          <cell r="M3" t="str">
            <v>C2010</v>
          </cell>
          <cell r="N3" t="str">
            <v>C2011</v>
          </cell>
          <cell r="P3" t="str">
            <v>C2010</v>
          </cell>
          <cell r="Q3" t="str">
            <v>C2011</v>
          </cell>
          <cell r="S3">
            <v>2008</v>
          </cell>
          <cell r="T3">
            <v>2009</v>
          </cell>
          <cell r="U3">
            <v>2010</v>
          </cell>
          <cell r="V3">
            <v>2011</v>
          </cell>
          <cell r="X3" t="str">
            <v>Shares</v>
          </cell>
          <cell r="Y3" t="str">
            <v>Price</v>
          </cell>
          <cell r="Z3" t="str">
            <v>Debt</v>
          </cell>
          <cell r="AA3" t="str">
            <v>Cash</v>
          </cell>
          <cell r="AB3" t="str">
            <v>EV</v>
          </cell>
          <cell r="AD3">
            <v>2009</v>
          </cell>
          <cell r="AE3">
            <v>2010</v>
          </cell>
          <cell r="AF3">
            <v>2011</v>
          </cell>
          <cell r="AH3" t="str">
            <v>CFFO</v>
          </cell>
          <cell r="AI3" t="str">
            <v>Capex</v>
          </cell>
          <cell r="AJ3" t="str">
            <v>FCF (2010)</v>
          </cell>
          <cell r="AK3" t="str">
            <v>FCF (2011)</v>
          </cell>
        </row>
        <row r="4">
          <cell r="A4" t="str">
            <v>Hospital Supply</v>
          </cell>
        </row>
        <row r="5">
          <cell r="A5" t="str">
            <v>HSP</v>
          </cell>
          <cell r="C5">
            <v>44.64</v>
          </cell>
          <cell r="D5">
            <v>7227.2160000000003</v>
          </cell>
          <cell r="E5">
            <v>8417.0159999999996</v>
          </cell>
          <cell r="G5">
            <v>13.663313788224146</v>
          </cell>
          <cell r="H5">
            <v>11.929449492250134</v>
          </cell>
          <cell r="J5">
            <v>8.6495940699885132</v>
          </cell>
          <cell r="K5">
            <v>7.7778192577588605</v>
          </cell>
          <cell r="M5">
            <v>6.6693938578838652E-2</v>
          </cell>
          <cell r="N5">
            <v>7.8951563091514076E-2</v>
          </cell>
          <cell r="P5">
            <v>1.0936035669353594</v>
          </cell>
          <cell r="Q5">
            <v>0.8207779900571871</v>
          </cell>
          <cell r="S5">
            <v>2.5300000000000002</v>
          </cell>
          <cell r="T5">
            <v>2.9042859999999999</v>
          </cell>
          <cell r="U5">
            <v>3.2671429999999999</v>
          </cell>
          <cell r="V5">
            <v>3.742</v>
          </cell>
          <cell r="X5">
            <v>161.9</v>
          </cell>
          <cell r="Y5">
            <v>44.64</v>
          </cell>
          <cell r="Z5">
            <v>2110.4</v>
          </cell>
          <cell r="AA5">
            <v>920.6</v>
          </cell>
          <cell r="AB5">
            <v>8417.0159999999996</v>
          </cell>
          <cell r="AD5">
            <v>920.67200000000003</v>
          </cell>
          <cell r="AE5">
            <v>973.11110000000008</v>
          </cell>
          <cell r="AF5">
            <v>1082.182</v>
          </cell>
          <cell r="AJ5">
            <v>482.01150000000001</v>
          </cell>
          <cell r="AK5">
            <v>570.6</v>
          </cell>
        </row>
        <row r="6">
          <cell r="A6" t="str">
            <v>BAX</v>
          </cell>
          <cell r="C6">
            <v>54.06</v>
          </cell>
          <cell r="D6">
            <v>32614.333128000002</v>
          </cell>
          <cell r="E6">
            <v>34212.333127999998</v>
          </cell>
          <cell r="G6">
            <v>12.609708075694636</v>
          </cell>
          <cell r="H6">
            <v>11.328896775853819</v>
          </cell>
          <cell r="J6">
            <v>8.4125660874989823</v>
          </cell>
          <cell r="K6">
            <v>7.7010731308951339</v>
          </cell>
          <cell r="M6">
            <v>5.397166923792758E-2</v>
          </cell>
          <cell r="N6">
            <v>5.5406621159719942E-2</v>
          </cell>
          <cell r="P6">
            <v>0.98362727405924755</v>
          </cell>
          <cell r="Q6">
            <v>1.0020516072422379</v>
          </cell>
          <cell r="S6">
            <v>3.38</v>
          </cell>
          <cell r="T6">
            <v>3.8000249999999998</v>
          </cell>
          <cell r="U6">
            <v>4.2871730000000001</v>
          </cell>
          <cell r="V6">
            <v>4.7718679999999996</v>
          </cell>
          <cell r="X6">
            <v>603.29880000000003</v>
          </cell>
          <cell r="Y6">
            <v>54.06</v>
          </cell>
          <cell r="Z6">
            <v>4169</v>
          </cell>
          <cell r="AA6">
            <v>2571</v>
          </cell>
          <cell r="AB6">
            <v>34212.333127999998</v>
          </cell>
          <cell r="AD6">
            <v>3606.5419999999999</v>
          </cell>
          <cell r="AE6">
            <v>4066.8130000000001</v>
          </cell>
          <cell r="AF6">
            <v>4442.5410000000002</v>
          </cell>
          <cell r="AJ6">
            <v>1760.25</v>
          </cell>
          <cell r="AK6">
            <v>1807.05</v>
          </cell>
        </row>
        <row r="7">
          <cell r="A7" t="str">
            <v>BDX</v>
          </cell>
          <cell r="C7">
            <v>68.36</v>
          </cell>
          <cell r="D7">
            <v>16364.700400000002</v>
          </cell>
          <cell r="E7">
            <v>16502.037400000001</v>
          </cell>
          <cell r="G7">
            <v>13.037526180901207</v>
          </cell>
          <cell r="H7">
            <v>11.955268826531602</v>
          </cell>
          <cell r="J7">
            <v>7.1658602378163936</v>
          </cell>
          <cell r="K7">
            <v>6.7229138318485004</v>
          </cell>
          <cell r="M7">
            <v>7.6997437728832469E-2</v>
          </cell>
          <cell r="N7">
            <v>0</v>
          </cell>
          <cell r="P7">
            <v>2.7155864367755012</v>
          </cell>
          <cell r="Q7">
            <v>1.3206512493314637</v>
          </cell>
          <cell r="S7">
            <v>4.5890379999999995</v>
          </cell>
          <cell r="T7">
            <v>5.003126</v>
          </cell>
          <cell r="U7">
            <v>5.2433259999999997</v>
          </cell>
          <cell r="V7">
            <v>5.717981</v>
          </cell>
          <cell r="X7">
            <v>239.39000000000001</v>
          </cell>
          <cell r="Y7">
            <v>68.36</v>
          </cell>
          <cell r="Z7">
            <v>1889.297</v>
          </cell>
          <cell r="AA7">
            <v>1751.96</v>
          </cell>
          <cell r="AB7">
            <v>16502.037400000001</v>
          </cell>
          <cell r="AD7">
            <v>2216.1210000000001</v>
          </cell>
          <cell r="AE7">
            <v>2302.8690000000001</v>
          </cell>
          <cell r="AF7">
            <v>2454.596</v>
          </cell>
          <cell r="AJ7">
            <v>1260.04</v>
          </cell>
          <cell r="AK7">
            <v>0</v>
          </cell>
        </row>
        <row r="8">
          <cell r="A8" t="str">
            <v>JNJ</v>
          </cell>
          <cell r="C8">
            <v>59.050000000000004</v>
          </cell>
          <cell r="D8">
            <v>162643.77700000003</v>
          </cell>
          <cell r="E8">
            <v>161541.77700000003</v>
          </cell>
          <cell r="G8">
            <v>12.000398319741011</v>
          </cell>
          <cell r="H8">
            <v>10.964981507154814</v>
          </cell>
          <cell r="J8">
            <v>7.6706444144134744</v>
          </cell>
          <cell r="K8">
            <v>7.1344370817054985</v>
          </cell>
          <cell r="M8">
            <v>7.4562336313672789E-2</v>
          </cell>
          <cell r="N8">
            <v>6.6566334105730943E-2</v>
          </cell>
          <cell r="P8">
            <v>1.5499620801510046</v>
          </cell>
          <cell r="Q8">
            <v>1.1611828008852034</v>
          </cell>
          <cell r="S8">
            <v>4.55</v>
          </cell>
          <cell r="T8">
            <v>4.5670700000000002</v>
          </cell>
          <cell r="U8">
            <v>4.9206700000000003</v>
          </cell>
          <cell r="V8">
            <v>5.3853260000000001</v>
          </cell>
          <cell r="X8">
            <v>2754.34</v>
          </cell>
          <cell r="Y8">
            <v>59.050000000000004</v>
          </cell>
          <cell r="Z8">
            <v>13614</v>
          </cell>
          <cell r="AA8">
            <v>14716</v>
          </cell>
          <cell r="AB8">
            <v>161541.77700000003</v>
          </cell>
          <cell r="AD8">
            <v>19834.29</v>
          </cell>
          <cell r="AE8">
            <v>21059.74</v>
          </cell>
          <cell r="AF8">
            <v>22642.54</v>
          </cell>
          <cell r="AJ8">
            <v>12127.1</v>
          </cell>
          <cell r="AK8">
            <v>10826.6</v>
          </cell>
        </row>
        <row r="9">
          <cell r="A9" t="str">
            <v>IART</v>
          </cell>
          <cell r="C9">
            <v>30.54</v>
          </cell>
          <cell r="D9">
            <v>867.00005999999996</v>
          </cell>
          <cell r="E9">
            <v>1184.43806</v>
          </cell>
          <cell r="G9">
            <v>12.866531850353892</v>
          </cell>
          <cell r="H9">
            <v>11.484156076224112</v>
          </cell>
          <cell r="J9">
            <v>9.3539037314906217</v>
          </cell>
          <cell r="K9">
            <v>6.8464627745664739</v>
          </cell>
          <cell r="M9">
            <v>7.8662047612776412E-2</v>
          </cell>
          <cell r="N9">
            <v>8.2352935477305517E-2</v>
          </cell>
          <cell r="P9">
            <v>0.81207482898381522</v>
          </cell>
          <cell r="Q9">
            <v>0.95405202587624005</v>
          </cell>
          <cell r="S9">
            <v>2.09</v>
          </cell>
          <cell r="T9">
            <v>2.048962</v>
          </cell>
          <cell r="U9">
            <v>2.3736000000000002</v>
          </cell>
          <cell r="V9">
            <v>2.659316</v>
          </cell>
          <cell r="X9">
            <v>28.388999999999999</v>
          </cell>
          <cell r="Y9">
            <v>30.54</v>
          </cell>
          <cell r="Z9">
            <v>456.15500000000003</v>
          </cell>
          <cell r="AA9">
            <v>138.71700000000001</v>
          </cell>
          <cell r="AB9">
            <v>1184.43806</v>
          </cell>
          <cell r="AD9">
            <v>141.80000000000001</v>
          </cell>
          <cell r="AE9">
            <v>126.625</v>
          </cell>
          <cell r="AF9">
            <v>173</v>
          </cell>
          <cell r="AJ9">
            <v>68.2</v>
          </cell>
          <cell r="AK9">
            <v>71.400000000000006</v>
          </cell>
        </row>
        <row r="10">
          <cell r="A10" t="str">
            <v>CFN</v>
          </cell>
          <cell r="C10">
            <v>22.37</v>
          </cell>
          <cell r="D10">
            <v>5055.62</v>
          </cell>
          <cell r="E10">
            <v>5561.62</v>
          </cell>
          <cell r="G10">
            <v>17.601810381999417</v>
          </cell>
          <cell r="H10">
            <v>14.749369508958743</v>
          </cell>
          <cell r="J10">
            <v>8.612717309043461</v>
          </cell>
          <cell r="K10">
            <v>7.7102061990300719</v>
          </cell>
          <cell r="M10">
            <v>6.9441295034041325E-2</v>
          </cell>
          <cell r="N10">
            <v>7.0907227995775007E-2</v>
          </cell>
          <cell r="P10" t="str">
            <v>n/a</v>
          </cell>
          <cell r="Q10">
            <v>0.76265875646320436</v>
          </cell>
          <cell r="S10">
            <v>0</v>
          </cell>
          <cell r="T10">
            <v>1.2997029999999998</v>
          </cell>
          <cell r="U10">
            <v>1.2708919999999999</v>
          </cell>
          <cell r="V10">
            <v>1.516675</v>
          </cell>
          <cell r="X10">
            <v>226</v>
          </cell>
          <cell r="Y10">
            <v>22.37</v>
          </cell>
          <cell r="Z10">
            <v>1289</v>
          </cell>
          <cell r="AA10">
            <v>783</v>
          </cell>
          <cell r="AB10">
            <v>5561.62</v>
          </cell>
          <cell r="AD10">
            <v>646.55110000000002</v>
          </cell>
          <cell r="AE10">
            <v>645.74509999999998</v>
          </cell>
          <cell r="AF10">
            <v>721.33220000000006</v>
          </cell>
          <cell r="AJ10">
            <v>351.06880000000001</v>
          </cell>
          <cell r="AK10">
            <v>358.48</v>
          </cell>
        </row>
        <row r="11">
          <cell r="A11" t="str">
            <v>ABT</v>
          </cell>
          <cell r="C11">
            <v>50.57</v>
          </cell>
          <cell r="D11">
            <v>78176.82041</v>
          </cell>
          <cell r="E11">
            <v>87028.330409999995</v>
          </cell>
          <cell r="G11">
            <v>12.196857325470615</v>
          </cell>
          <cell r="H11">
            <v>11.027550996153987</v>
          </cell>
          <cell r="J11">
            <v>8.4545236805036073</v>
          </cell>
          <cell r="K11">
            <v>7.6705908865673855</v>
          </cell>
          <cell r="M11">
            <v>6.2190249929608261E-2</v>
          </cell>
          <cell r="N11">
            <v>6.3260439271682067E-2</v>
          </cell>
          <cell r="P11">
            <v>1.0329061307187282</v>
          </cell>
          <cell r="Q11">
            <v>1.0399916422572251</v>
          </cell>
          <cell r="S11">
            <v>3.3200000000000003</v>
          </cell>
          <cell r="T11">
            <v>3.7082669999999998</v>
          </cell>
          <cell r="U11">
            <v>4.1461500000000004</v>
          </cell>
          <cell r="V11">
            <v>4.5857869999999998</v>
          </cell>
          <cell r="X11">
            <v>1545.913</v>
          </cell>
          <cell r="Y11">
            <v>50.57</v>
          </cell>
          <cell r="Z11">
            <v>15739.453</v>
          </cell>
          <cell r="AA11">
            <v>6887.9430000000002</v>
          </cell>
          <cell r="AB11">
            <v>87028.330409999995</v>
          </cell>
          <cell r="AD11">
            <v>9110.6489999999994</v>
          </cell>
          <cell r="AE11">
            <v>10293.700000000001</v>
          </cell>
          <cell r="AF11">
            <v>11345.714</v>
          </cell>
          <cell r="AJ11">
            <v>4861.8360000000002</v>
          </cell>
          <cell r="AK11">
            <v>4945.5</v>
          </cell>
        </row>
        <row r="12">
          <cell r="A12" t="str">
            <v>BCR</v>
          </cell>
          <cell r="C12">
            <v>75.070000000000007</v>
          </cell>
          <cell r="D12">
            <v>7246.9575200000008</v>
          </cell>
          <cell r="E12">
            <v>6764.6575200000007</v>
          </cell>
          <cell r="G12">
            <v>13.209967568975317</v>
          </cell>
          <cell r="H12">
            <v>11.752641878669277</v>
          </cell>
          <cell r="J12">
            <v>7.5624566114924088</v>
          </cell>
          <cell r="K12">
            <v>6.8635920817024934</v>
          </cell>
          <cell r="M12">
            <v>9.2872146434218372E-2</v>
          </cell>
          <cell r="N12">
            <v>8.1090857560318627E-2</v>
          </cell>
          <cell r="P12">
            <v>1.0733657862072918</v>
          </cell>
          <cell r="Q12">
            <v>0.94779493730906794</v>
          </cell>
          <cell r="S12">
            <v>4.4400000000000004</v>
          </cell>
          <cell r="T12">
            <v>5.0600829999999997</v>
          </cell>
          <cell r="U12">
            <v>5.68283</v>
          </cell>
          <cell r="V12">
            <v>6.3875000000000002</v>
          </cell>
          <cell r="X12">
            <v>96.536000000000001</v>
          </cell>
          <cell r="Y12">
            <v>75.070000000000007</v>
          </cell>
          <cell r="Z12">
            <v>149.80000000000001</v>
          </cell>
          <cell r="AA12">
            <v>632.1</v>
          </cell>
          <cell r="AB12">
            <v>6764.6575200000007</v>
          </cell>
          <cell r="AD12">
            <v>818.41800000000001</v>
          </cell>
          <cell r="AE12">
            <v>894.50530000000003</v>
          </cell>
          <cell r="AF12">
            <v>985.5856</v>
          </cell>
          <cell r="AJ12">
            <v>673.04050000000007</v>
          </cell>
          <cell r="AK12">
            <v>587.66200000000003</v>
          </cell>
        </row>
        <row r="13">
          <cell r="A13" t="str">
            <v>Average</v>
          </cell>
          <cell r="G13">
            <v>13.398264186420029</v>
          </cell>
          <cell r="H13">
            <v>11.899039382724562</v>
          </cell>
          <cell r="J13">
            <v>8.2352832677809324</v>
          </cell>
          <cell r="K13">
            <v>7.303386905509301</v>
          </cell>
          <cell r="M13">
            <v>7.192389010873948E-2</v>
          </cell>
          <cell r="N13">
            <v>6.2316997332755773E-2</v>
          </cell>
          <cell r="P13">
            <v>1.3230180148329926</v>
          </cell>
          <cell r="Q13">
            <v>1.0011451261777287</v>
          </cell>
        </row>
        <row r="14">
          <cell r="A14" t="str">
            <v>Median</v>
          </cell>
          <cell r="G14">
            <v>12.952029015627549</v>
          </cell>
          <cell r="H14">
            <v>11.618398977446695</v>
          </cell>
          <cell r="J14">
            <v>8.4335448840012948</v>
          </cell>
          <cell r="K14">
            <v>7.4025139841364425</v>
          </cell>
          <cell r="M14">
            <v>7.200181567385705E-2</v>
          </cell>
          <cell r="N14">
            <v>6.8736781050752982E-2</v>
          </cell>
          <cell r="P14">
            <v>1.0733657862072918</v>
          </cell>
          <cell r="Q14">
            <v>0.9780518165592389</v>
          </cell>
        </row>
        <row r="16">
          <cell r="A16" t="str">
            <v>Medical Devices</v>
          </cell>
        </row>
        <row r="17">
          <cell r="A17" t="str">
            <v>BSX</v>
          </cell>
          <cell r="C17">
            <v>8.120000000000001</v>
          </cell>
          <cell r="D17">
            <v>12263.230000000001</v>
          </cell>
          <cell r="E17">
            <v>17319.230000000003</v>
          </cell>
          <cell r="G17">
            <v>12.387758819489303</v>
          </cell>
          <cell r="H17">
            <v>10.387769552705459</v>
          </cell>
          <cell r="J17">
            <v>7.2651860465311406</v>
          </cell>
          <cell r="K17">
            <v>6.7282871008495428</v>
          </cell>
          <cell r="M17">
            <v>0.11811879904397128</v>
          </cell>
          <cell r="N17">
            <v>0.1775959514744484</v>
          </cell>
          <cell r="P17">
            <v>0.46335926713728226</v>
          </cell>
          <cell r="Q17">
            <v>0.53953167685562819</v>
          </cell>
          <cell r="S17">
            <v>0.51518000000000008</v>
          </cell>
          <cell r="T17">
            <v>0.51721109999999992</v>
          </cell>
          <cell r="U17">
            <v>0.65548580000000001</v>
          </cell>
          <cell r="V17">
            <v>0.78168850000000001</v>
          </cell>
          <cell r="X17">
            <v>1510.25</v>
          </cell>
          <cell r="Y17">
            <v>8.120000000000001</v>
          </cell>
          <cell r="Z17">
            <v>6250</v>
          </cell>
          <cell r="AA17">
            <v>1194</v>
          </cell>
          <cell r="AB17">
            <v>17319.230000000003</v>
          </cell>
          <cell r="AD17">
            <v>2206.98</v>
          </cell>
          <cell r="AE17">
            <v>2383.866</v>
          </cell>
          <cell r="AF17">
            <v>2574.0920000000001</v>
          </cell>
          <cell r="AJ17">
            <v>1448.518</v>
          </cell>
          <cell r="AK17">
            <v>2177.9</v>
          </cell>
        </row>
        <row r="18">
          <cell r="A18" t="str">
            <v>MDT</v>
          </cell>
          <cell r="C18">
            <v>35.700000000000003</v>
          </cell>
          <cell r="D18">
            <v>39627</v>
          </cell>
          <cell r="E18">
            <v>45048</v>
          </cell>
          <cell r="G18">
            <v>10.648359839397679</v>
          </cell>
          <cell r="H18">
            <v>9.6694667492227868</v>
          </cell>
          <cell r="J18">
            <v>7.6777944236796758</v>
          </cell>
          <cell r="K18">
            <v>7.0698518247069719</v>
          </cell>
          <cell r="M18">
            <v>0.10068741009917481</v>
          </cell>
          <cell r="N18">
            <v>0</v>
          </cell>
          <cell r="P18">
            <v>1.1692408308354794</v>
          </cell>
          <cell r="Q18">
            <v>0.95514605376998085</v>
          </cell>
          <cell r="S18">
            <v>2.819563</v>
          </cell>
          <cell r="T18">
            <v>3.0727880000000001</v>
          </cell>
          <cell r="U18">
            <v>3.3526289999999999</v>
          </cell>
          <cell r="V18">
            <v>3.692034</v>
          </cell>
          <cell r="X18">
            <v>1110</v>
          </cell>
          <cell r="Y18">
            <v>35.700000000000003</v>
          </cell>
          <cell r="Z18">
            <v>6965</v>
          </cell>
          <cell r="AA18">
            <v>1544</v>
          </cell>
          <cell r="AB18">
            <v>45048</v>
          </cell>
          <cell r="AD18">
            <v>5464.7860000000001</v>
          </cell>
          <cell r="AE18">
            <v>5867.31</v>
          </cell>
          <cell r="AF18">
            <v>6371.8450000000003</v>
          </cell>
          <cell r="AJ18">
            <v>3989.94</v>
          </cell>
          <cell r="AK18">
            <v>0</v>
          </cell>
        </row>
        <row r="19">
          <cell r="A19" t="str">
            <v>STJ</v>
          </cell>
          <cell r="C19">
            <v>34.08</v>
          </cell>
          <cell r="D19">
            <v>11847.571199999998</v>
          </cell>
          <cell r="E19">
            <v>12646.549199999998</v>
          </cell>
          <cell r="G19">
            <v>12.495265694885997</v>
          </cell>
          <cell r="H19">
            <v>11.000741452556237</v>
          </cell>
          <cell r="J19">
            <v>8.1545395458003931</v>
          </cell>
          <cell r="K19">
            <v>7.3179950281920938</v>
          </cell>
          <cell r="M19">
            <v>6.389832879839541E-2</v>
          </cell>
          <cell r="N19">
            <v>5.612120735767346E-2</v>
          </cell>
          <cell r="P19">
            <v>0.99786175909209984</v>
          </cell>
          <cell r="Q19">
            <v>0.80973134512251954</v>
          </cell>
          <cell r="S19">
            <v>2.31</v>
          </cell>
          <cell r="T19">
            <v>2.4239100000000002</v>
          </cell>
          <cell r="U19">
            <v>2.727433</v>
          </cell>
          <cell r="V19">
            <v>3.0979729999999996</v>
          </cell>
          <cell r="X19">
            <v>347.64</v>
          </cell>
          <cell r="Y19">
            <v>34.08</v>
          </cell>
          <cell r="Z19">
            <v>1285.547</v>
          </cell>
          <cell r="AA19">
            <v>486.56900000000002</v>
          </cell>
          <cell r="AB19">
            <v>12646.549199999998</v>
          </cell>
          <cell r="AD19">
            <v>1388.6000000000001</v>
          </cell>
          <cell r="AE19">
            <v>1550.8600000000001</v>
          </cell>
          <cell r="AF19">
            <v>1728.144</v>
          </cell>
          <cell r="AJ19">
            <v>757.04</v>
          </cell>
          <cell r="AK19">
            <v>664.90000000000009</v>
          </cell>
        </row>
        <row r="20">
          <cell r="A20" t="str">
            <v>EW</v>
          </cell>
          <cell r="C20">
            <v>76.94</v>
          </cell>
          <cell r="D20">
            <v>4339.4160000000002</v>
          </cell>
          <cell r="E20">
            <v>4265.0160000000005</v>
          </cell>
          <cell r="G20">
            <v>22.056304637299352</v>
          </cell>
          <cell r="H20">
            <v>18.35940333609496</v>
          </cell>
          <cell r="J20">
            <v>13.152685296432352</v>
          </cell>
          <cell r="K20">
            <v>11.257573098064576</v>
          </cell>
          <cell r="M20">
            <v>4.5474621469801468E-2</v>
          </cell>
          <cell r="N20">
            <v>5.6574433057351492E-2</v>
          </cell>
          <cell r="P20">
            <v>1.8070818654083789</v>
          </cell>
          <cell r="Q20">
            <v>0.91175734323121815</v>
          </cell>
          <cell r="S20">
            <v>2.5500000000000003</v>
          </cell>
          <cell r="T20">
            <v>3.1088900000000002</v>
          </cell>
          <cell r="U20">
            <v>3.4883449999999998</v>
          </cell>
          <cell r="V20">
            <v>4.1907679999999994</v>
          </cell>
          <cell r="X20">
            <v>56.400000000000006</v>
          </cell>
          <cell r="Y20">
            <v>76.94</v>
          </cell>
          <cell r="Z20">
            <v>113.9</v>
          </cell>
          <cell r="AA20">
            <v>188.3</v>
          </cell>
          <cell r="AB20">
            <v>4265.0160000000005</v>
          </cell>
          <cell r="AD20">
            <v>292.5129</v>
          </cell>
          <cell r="AE20">
            <v>324.26960000000003</v>
          </cell>
          <cell r="AF20">
            <v>378.85750000000002</v>
          </cell>
          <cell r="AJ20">
            <v>197.33330000000001</v>
          </cell>
          <cell r="AK20">
            <v>245.5</v>
          </cell>
        </row>
        <row r="21">
          <cell r="A21" t="str">
            <v>KCI</v>
          </cell>
          <cell r="C21">
            <v>33.19</v>
          </cell>
          <cell r="D21">
            <v>2359.4107200000003</v>
          </cell>
          <cell r="E21">
            <v>3520.2477200000003</v>
          </cell>
          <cell r="G21">
            <v>8.2380030822392971</v>
          </cell>
          <cell r="H21">
            <v>7.987966305655835</v>
          </cell>
          <cell r="J21">
            <v>5.2564547110646558</v>
          </cell>
          <cell r="K21">
            <v>5.0793560637760624</v>
          </cell>
          <cell r="M21">
            <v>0.13374737909133513</v>
          </cell>
          <cell r="N21">
            <v>0</v>
          </cell>
          <cell r="P21">
            <v>0.67576679245333116</v>
          </cell>
          <cell r="Q21">
            <v>2.5519288231182955</v>
          </cell>
          <cell r="S21">
            <v>3.7800000000000002</v>
          </cell>
          <cell r="T21">
            <v>3.5911109999999997</v>
          </cell>
          <cell r="U21">
            <v>4.0288889999999995</v>
          </cell>
          <cell r="V21">
            <v>4.1550000000000002</v>
          </cell>
          <cell r="X21">
            <v>71.088000000000008</v>
          </cell>
          <cell r="Y21">
            <v>33.19</v>
          </cell>
          <cell r="Z21">
            <v>1396.1110000000001</v>
          </cell>
          <cell r="AA21">
            <v>235.274</v>
          </cell>
          <cell r="AB21">
            <v>3520.2477200000003</v>
          </cell>
          <cell r="AD21">
            <v>627.46670000000006</v>
          </cell>
          <cell r="AE21">
            <v>669.7</v>
          </cell>
          <cell r="AF21">
            <v>693.05000000000007</v>
          </cell>
          <cell r="AJ21">
            <v>315.565</v>
          </cell>
          <cell r="AK21">
            <v>0</v>
          </cell>
        </row>
        <row r="22">
          <cell r="A22" t="str">
            <v>CNMD</v>
          </cell>
          <cell r="C22">
            <v>21.19</v>
          </cell>
          <cell r="D22">
            <v>616.14163000000008</v>
          </cell>
          <cell r="E22">
            <v>791.84163000000012</v>
          </cell>
          <cell r="G22">
            <v>17.404517453798768</v>
          </cell>
          <cell r="H22">
            <v>14.975265017667844</v>
          </cell>
          <cell r="J22">
            <v>8.5144261290322589</v>
          </cell>
          <cell r="K22" t="str">
            <v>n/a</v>
          </cell>
          <cell r="M22">
            <v>6.4920138572684971E-2</v>
          </cell>
          <cell r="N22">
            <v>8.1312473562287935E-2</v>
          </cell>
          <cell r="P22">
            <v>0.49335640026516181</v>
          </cell>
          <cell r="Q22">
            <v>0.92315874222838479</v>
          </cell>
          <cell r="S22">
            <v>1.54</v>
          </cell>
          <cell r="T22">
            <v>0.9</v>
          </cell>
          <cell r="U22">
            <v>1.2175</v>
          </cell>
          <cell r="V22">
            <v>1.415</v>
          </cell>
          <cell r="X22">
            <v>29.077000000000002</v>
          </cell>
          <cell r="Y22">
            <v>21.19</v>
          </cell>
          <cell r="Z22">
            <v>186.37899999999999</v>
          </cell>
          <cell r="AA22">
            <v>10.679</v>
          </cell>
          <cell r="AB22">
            <v>791.84163000000012</v>
          </cell>
          <cell r="AD22">
            <v>76</v>
          </cell>
          <cell r="AE22">
            <v>93</v>
          </cell>
          <cell r="AF22">
            <v>0</v>
          </cell>
          <cell r="AJ22">
            <v>40</v>
          </cell>
          <cell r="AK22">
            <v>50.1</v>
          </cell>
        </row>
        <row r="23">
          <cell r="A23" t="str">
            <v>VARI</v>
          </cell>
          <cell r="C23">
            <v>51.2</v>
          </cell>
          <cell r="D23">
            <v>1475.7888000000003</v>
          </cell>
          <cell r="E23">
            <v>1328.1618000000003</v>
          </cell>
          <cell r="G23">
            <v>18.953612514122664</v>
          </cell>
          <cell r="H23">
            <v>16.501176836859763</v>
          </cell>
          <cell r="J23">
            <v>9.265206551265651</v>
          </cell>
          <cell r="K23">
            <v>8.7075789978849993</v>
          </cell>
          <cell r="M23">
            <v>0</v>
          </cell>
          <cell r="N23">
            <v>0</v>
          </cell>
          <cell r="P23">
            <v>1.3251895527133057</v>
          </cell>
          <cell r="Q23">
            <v>1.1102792196581142</v>
          </cell>
          <cell r="S23">
            <v>2.5671439999999999</v>
          </cell>
          <cell r="T23">
            <v>2.3633169999999999</v>
          </cell>
          <cell r="U23">
            <v>2.7013319999999998</v>
          </cell>
          <cell r="V23">
            <v>3.1028089999999997</v>
          </cell>
          <cell r="X23">
            <v>28.824000000000002</v>
          </cell>
          <cell r="Y23">
            <v>51.2</v>
          </cell>
          <cell r="Z23">
            <v>18.75</v>
          </cell>
          <cell r="AA23">
            <v>166.37700000000001</v>
          </cell>
          <cell r="AB23">
            <v>1328.1618000000003</v>
          </cell>
          <cell r="AD23">
            <v>130.42180000000002</v>
          </cell>
          <cell r="AE23">
            <v>143.3494</v>
          </cell>
          <cell r="AF23">
            <v>152.52940000000001</v>
          </cell>
          <cell r="AJ23">
            <v>0</v>
          </cell>
          <cell r="AK23">
            <v>0</v>
          </cell>
        </row>
        <row r="24">
          <cell r="A24" t="str">
            <v>Average</v>
          </cell>
          <cell r="G24">
            <v>11.518059329443492</v>
          </cell>
          <cell r="H24">
            <v>10.028618150964123</v>
          </cell>
          <cell r="J24">
            <v>7.4714902351054082</v>
          </cell>
          <cell r="K24">
            <v>6.8990694627782574</v>
          </cell>
          <cell r="M24">
            <v>0.10940310457157304</v>
          </cell>
          <cell r="N24">
            <v>8.87979757372242E-2</v>
          </cell>
          <cell r="P24">
            <v>0.81630004898638076</v>
          </cell>
          <cell r="Q24">
            <v>0.74733886531280458</v>
          </cell>
        </row>
        <row r="25">
          <cell r="A25" t="str">
            <v>Median</v>
          </cell>
          <cell r="G25">
            <v>11.518059329443492</v>
          </cell>
          <cell r="H25">
            <v>10.028618150964123</v>
          </cell>
          <cell r="J25">
            <v>7.4714902351054082</v>
          </cell>
          <cell r="K25">
            <v>6.8990694627782574</v>
          </cell>
          <cell r="M25">
            <v>0.10940310457157304</v>
          </cell>
          <cell r="N25">
            <v>8.87979757372242E-2</v>
          </cell>
          <cell r="P25">
            <v>0.81630004898638076</v>
          </cell>
          <cell r="Q25">
            <v>0.74733886531280458</v>
          </cell>
        </row>
        <row r="27">
          <cell r="A27" t="str">
            <v>Pharmaceuticals</v>
          </cell>
        </row>
        <row r="28">
          <cell r="A28" t="str">
            <v>TEVA</v>
          </cell>
          <cell r="C28">
            <v>50.480000000000004</v>
          </cell>
          <cell r="D28">
            <v>43059.44</v>
          </cell>
          <cell r="E28">
            <v>49078.44</v>
          </cell>
          <cell r="G28">
            <v>11.304262925331852</v>
          </cell>
          <cell r="H28">
            <v>10.3620880592741</v>
          </cell>
          <cell r="J28">
            <v>8.5772602751696319</v>
          </cell>
          <cell r="K28">
            <v>8.5291360586422815</v>
          </cell>
          <cell r="M28">
            <v>8.5259678249415216E-2</v>
          </cell>
          <cell r="N28">
            <v>0.11219374892009742</v>
          </cell>
          <cell r="P28">
            <v>0.33806879562608438</v>
          </cell>
          <cell r="Q28">
            <v>1.1396278208674859</v>
          </cell>
          <cell r="S28">
            <v>2.930758</v>
          </cell>
          <cell r="T28">
            <v>3.3465579999999999</v>
          </cell>
          <cell r="U28">
            <v>4.4655719999999999</v>
          </cell>
          <cell r="V28">
            <v>4.8716049999999997</v>
          </cell>
          <cell r="X28">
            <v>853</v>
          </cell>
          <cell r="Y28">
            <v>50.480000000000004</v>
          </cell>
          <cell r="Z28">
            <v>8419</v>
          </cell>
          <cell r="AA28">
            <v>2400</v>
          </cell>
          <cell r="AB28">
            <v>49078.44</v>
          </cell>
          <cell r="AD28">
            <v>4427.9520000000002</v>
          </cell>
          <cell r="AE28">
            <v>5721.9250000000002</v>
          </cell>
          <cell r="AF28">
            <v>5754.21</v>
          </cell>
          <cell r="AJ28">
            <v>3671.2339999999999</v>
          </cell>
          <cell r="AK28">
            <v>4831</v>
          </cell>
        </row>
        <row r="29">
          <cell r="A29" t="str">
            <v>MYL</v>
          </cell>
          <cell r="C29">
            <v>16.240000000000002</v>
          </cell>
          <cell r="D29">
            <v>4955.1488000000008</v>
          </cell>
          <cell r="E29">
            <v>9576.4328000000005</v>
          </cell>
          <cell r="G29">
            <v>10.752218307108251</v>
          </cell>
          <cell r="H29">
            <v>9.3082332010463755</v>
          </cell>
          <cell r="J29">
            <v>6.6850908826908926</v>
          </cell>
          <cell r="K29">
            <v>6.114102277617242</v>
          </cell>
          <cell r="M29">
            <v>0.12357247475595484</v>
          </cell>
          <cell r="N29">
            <v>0.15954919456707331</v>
          </cell>
          <cell r="P29">
            <v>0.4839868935337136</v>
          </cell>
          <cell r="Q29">
            <v>0.60002838645171896</v>
          </cell>
          <cell r="S29">
            <v>0.8</v>
          </cell>
          <cell r="T29">
            <v>1.2358339999999999</v>
          </cell>
          <cell r="U29">
            <v>1.510386</v>
          </cell>
          <cell r="V29">
            <v>1.7446919999999999</v>
          </cell>
          <cell r="X29">
            <v>305.12</v>
          </cell>
          <cell r="Y29">
            <v>16.240000000000002</v>
          </cell>
          <cell r="Z29">
            <v>5136.9279999999999</v>
          </cell>
          <cell r="AA29">
            <v>515.64400000000001</v>
          </cell>
          <cell r="AB29">
            <v>9576.4328000000005</v>
          </cell>
          <cell r="AD29">
            <v>1336.0070000000001</v>
          </cell>
          <cell r="AE29">
            <v>1432.5060000000001</v>
          </cell>
          <cell r="AF29">
            <v>1566.2860000000001</v>
          </cell>
          <cell r="AJ29">
            <v>612.32000000000005</v>
          </cell>
          <cell r="AK29">
            <v>790.59</v>
          </cell>
        </row>
        <row r="30">
          <cell r="A30" t="str">
            <v>WPI</v>
          </cell>
          <cell r="C30">
            <v>34.42</v>
          </cell>
          <cell r="D30">
            <v>3634.7520000000004</v>
          </cell>
          <cell r="E30">
            <v>3860.2520000000004</v>
          </cell>
          <cell r="G30">
            <v>13.114859036221702</v>
          </cell>
          <cell r="H30">
            <v>12.513319487004798</v>
          </cell>
          <cell r="J30">
            <v>5.509275744513598</v>
          </cell>
          <cell r="K30">
            <v>5.8679053523051916</v>
          </cell>
          <cell r="M30">
            <v>0.11445086212209252</v>
          </cell>
          <cell r="N30">
            <v>0.1293045577800081</v>
          </cell>
          <cell r="P30">
            <v>2.3731805084576485</v>
          </cell>
          <cell r="Q30">
            <v>2.6030402288211563</v>
          </cell>
          <cell r="S30">
            <v>2.0300000000000002</v>
          </cell>
          <cell r="T30">
            <v>2.4870619999999999</v>
          </cell>
          <cell r="U30">
            <v>2.6245039999999999</v>
          </cell>
          <cell r="V30">
            <v>2.7506689999999998</v>
          </cell>
          <cell r="X30">
            <v>105.60000000000001</v>
          </cell>
          <cell r="Y30">
            <v>34.42</v>
          </cell>
          <cell r="Z30">
            <v>876.40000000000009</v>
          </cell>
          <cell r="AA30">
            <v>650.90000000000009</v>
          </cell>
          <cell r="AB30">
            <v>3860.2520000000004</v>
          </cell>
          <cell r="AD30">
            <v>659.95960000000002</v>
          </cell>
          <cell r="AE30">
            <v>700.68230000000005</v>
          </cell>
          <cell r="AF30">
            <v>657.85860000000002</v>
          </cell>
          <cell r="AJ30">
            <v>416.00050000000005</v>
          </cell>
          <cell r="AK30">
            <v>469.99</v>
          </cell>
        </row>
        <row r="31">
          <cell r="A31" t="str">
            <v>PRGO</v>
          </cell>
          <cell r="C31">
            <v>37.19</v>
          </cell>
          <cell r="D31">
            <v>3429.2527099999998</v>
          </cell>
          <cell r="E31">
            <v>4005.2977099999998</v>
          </cell>
          <cell r="G31">
            <v>16.726078200149853</v>
          </cell>
          <cell r="H31">
            <v>15.242865281597487</v>
          </cell>
          <cell r="J31">
            <v>10.486719668010682</v>
          </cell>
          <cell r="K31">
            <v>9.8241490540084442</v>
          </cell>
          <cell r="M31">
            <v>5.872638065218589E-2</v>
          </cell>
          <cell r="N31">
            <v>6.2233879520649273E-2</v>
          </cell>
          <cell r="P31">
            <v>1.4118519595997781</v>
          </cell>
          <cell r="Q31">
            <v>1.5664975613865419</v>
          </cell>
          <cell r="S31">
            <v>1.7283679999999999</v>
          </cell>
          <cell r="T31">
            <v>1.987962</v>
          </cell>
          <cell r="U31">
            <v>2.223474</v>
          </cell>
          <cell r="V31">
            <v>2.4398300000000002</v>
          </cell>
          <cell r="X31">
            <v>92.209000000000003</v>
          </cell>
          <cell r="Y31">
            <v>37.19</v>
          </cell>
          <cell r="Z31">
            <v>892.18100000000004</v>
          </cell>
          <cell r="AA31">
            <v>316.13600000000002</v>
          </cell>
          <cell r="AB31">
            <v>4005.2977099999998</v>
          </cell>
          <cell r="AD31">
            <v>352.82089999999999</v>
          </cell>
          <cell r="AE31">
            <v>381.94</v>
          </cell>
          <cell r="AF31">
            <v>407.69920000000002</v>
          </cell>
          <cell r="AJ31">
            <v>201.38760000000002</v>
          </cell>
          <cell r="AK31">
            <v>213.41570000000002</v>
          </cell>
        </row>
        <row r="32">
          <cell r="A32" t="str">
            <v>KV.A</v>
          </cell>
          <cell r="C32">
            <v>3.8000000000000003</v>
          </cell>
          <cell r="D32">
            <v>188.52560000000003</v>
          </cell>
          <cell r="E32">
            <v>322.41160000000002</v>
          </cell>
          <cell r="G32" t="str">
            <v>n/a</v>
          </cell>
          <cell r="H32" t="str">
            <v>n/a</v>
          </cell>
          <cell r="J32" t="str">
            <v>n/a</v>
          </cell>
          <cell r="K32" t="str">
            <v>n/a</v>
          </cell>
          <cell r="M32">
            <v>0</v>
          </cell>
          <cell r="N32" t="str">
            <v>n/a</v>
          </cell>
          <cell r="P32" t="str">
            <v>n/a</v>
          </cell>
          <cell r="Q32" t="str">
            <v>n/a</v>
          </cell>
          <cell r="S32">
            <v>0</v>
          </cell>
          <cell r="T32">
            <v>0</v>
          </cell>
          <cell r="U32">
            <v>0</v>
          </cell>
          <cell r="V32">
            <v>0</v>
          </cell>
          <cell r="X32">
            <v>49.612000000000002</v>
          </cell>
          <cell r="Y32">
            <v>3.8000000000000003</v>
          </cell>
          <cell r="Z32">
            <v>268.96300000000002</v>
          </cell>
          <cell r="AA32">
            <v>135.077</v>
          </cell>
          <cell r="AB32">
            <v>322.41160000000002</v>
          </cell>
          <cell r="AD32">
            <v>0</v>
          </cell>
          <cell r="AE32">
            <v>0</v>
          </cell>
          <cell r="AF32">
            <v>0</v>
          </cell>
          <cell r="AJ32">
            <v>0</v>
          </cell>
          <cell r="AK32">
            <v>0</v>
          </cell>
        </row>
        <row r="33">
          <cell r="A33" t="str">
            <v>Average</v>
          </cell>
          <cell r="G33">
            <v>12.974354617202916</v>
          </cell>
          <cell r="H33">
            <v>11.856626507230692</v>
          </cell>
          <cell r="J33">
            <v>7.8145866425962014</v>
          </cell>
          <cell r="K33">
            <v>7.5838231856432898</v>
          </cell>
          <cell r="M33">
            <v>7.6401879155929692E-2</v>
          </cell>
          <cell r="N33">
            <v>0.11582034519695704</v>
          </cell>
          <cell r="P33">
            <v>1.1517720393043061</v>
          </cell>
          <cell r="Q33">
            <v>1.4772984993817257</v>
          </cell>
        </row>
        <row r="34">
          <cell r="A34" t="str">
            <v>Median</v>
          </cell>
          <cell r="G34">
            <v>12.209560980776777</v>
          </cell>
          <cell r="H34">
            <v>11.43770377313945</v>
          </cell>
          <cell r="J34">
            <v>7.6311755789302627</v>
          </cell>
          <cell r="K34">
            <v>7.3216191681297618</v>
          </cell>
          <cell r="M34">
            <v>8.5259678249415216E-2</v>
          </cell>
          <cell r="N34">
            <v>0.12074915335005276</v>
          </cell>
          <cell r="P34">
            <v>0.94791942656674588</v>
          </cell>
          <cell r="Q34">
            <v>1.3530626911270138</v>
          </cell>
        </row>
        <row r="36">
          <cell r="A36" t="str">
            <v>Hospital Capex</v>
          </cell>
        </row>
        <row r="37">
          <cell r="A37" t="str">
            <v>HRC</v>
          </cell>
          <cell r="C37">
            <v>19.59</v>
          </cell>
          <cell r="D37">
            <v>1226.86293</v>
          </cell>
          <cell r="E37">
            <v>1296.86293</v>
          </cell>
          <cell r="G37">
            <v>15.547619047619047</v>
          </cell>
          <cell r="H37" t="str">
            <v>n/a</v>
          </cell>
          <cell r="J37">
            <v>6.8255943684210525</v>
          </cell>
          <cell r="K37" t="str">
            <v>n/a</v>
          </cell>
          <cell r="M37">
            <v>0.10729935413404333</v>
          </cell>
          <cell r="N37">
            <v>0.11312315060330333</v>
          </cell>
          <cell r="P37">
            <v>1.2269927763064461</v>
          </cell>
          <cell r="Q37" t="str">
            <v>n/a</v>
          </cell>
          <cell r="S37">
            <v>1.318206</v>
          </cell>
          <cell r="T37">
            <v>1.1182969999999999</v>
          </cell>
          <cell r="U37">
            <v>1.26</v>
          </cell>
          <cell r="V37">
            <v>0</v>
          </cell>
          <cell r="X37">
            <v>62.627000000000002</v>
          </cell>
          <cell r="Y37">
            <v>19.59</v>
          </cell>
          <cell r="Z37">
            <v>198.3</v>
          </cell>
          <cell r="AA37">
            <v>128.30000000000001</v>
          </cell>
          <cell r="AB37">
            <v>1296.86293</v>
          </cell>
          <cell r="AD37">
            <v>216.12140000000002</v>
          </cell>
          <cell r="AE37">
            <v>190</v>
          </cell>
          <cell r="AF37">
            <v>0</v>
          </cell>
          <cell r="AJ37">
            <v>131.64160000000001</v>
          </cell>
          <cell r="AK37">
            <v>138.78659999999999</v>
          </cell>
        </row>
        <row r="38">
          <cell r="A38" t="str">
            <v>SYK</v>
          </cell>
          <cell r="C38">
            <v>46</v>
          </cell>
          <cell r="D38">
            <v>18285</v>
          </cell>
          <cell r="E38">
            <v>15876.5</v>
          </cell>
          <cell r="G38">
            <v>14.084994367533232</v>
          </cell>
          <cell r="H38">
            <v>12.469747308703234</v>
          </cell>
          <cell r="J38">
            <v>7.6334941945248849</v>
          </cell>
          <cell r="K38">
            <v>6.9945058116098267</v>
          </cell>
          <cell r="M38">
            <v>6.6160568772217668E-2</v>
          </cell>
          <cell r="N38">
            <v>8.2571780147662019E-2</v>
          </cell>
          <cell r="P38">
            <v>1.3047544761030507</v>
          </cell>
          <cell r="Q38">
            <v>0.96266758136395392</v>
          </cell>
          <cell r="S38">
            <v>2.83</v>
          </cell>
          <cell r="T38">
            <v>2.9476809999999998</v>
          </cell>
          <cell r="U38">
            <v>3.2658869999999998</v>
          </cell>
          <cell r="V38">
            <v>3.6889279999999998</v>
          </cell>
          <cell r="X38">
            <v>397.5</v>
          </cell>
          <cell r="Y38">
            <v>46</v>
          </cell>
          <cell r="Z38">
            <v>19.400000000000002</v>
          </cell>
          <cell r="AA38">
            <v>2427.9</v>
          </cell>
          <cell r="AB38">
            <v>15876.5</v>
          </cell>
          <cell r="AD38">
            <v>1907.8590000000002</v>
          </cell>
          <cell r="AE38">
            <v>2079.8470000000002</v>
          </cell>
          <cell r="AF38">
            <v>2269.8530000000001</v>
          </cell>
          <cell r="AJ38">
            <v>1209.7460000000001</v>
          </cell>
          <cell r="AK38">
            <v>1509.825</v>
          </cell>
        </row>
        <row r="39">
          <cell r="A39" t="str">
            <v>HOLX</v>
          </cell>
          <cell r="C39">
            <v>14.780000000000001</v>
          </cell>
          <cell r="D39">
            <v>3792.5893840000003</v>
          </cell>
          <cell r="E39">
            <v>5554.652384</v>
          </cell>
          <cell r="G39">
            <v>11.537761970818364</v>
          </cell>
          <cell r="H39">
            <v>10.470128609732686</v>
          </cell>
          <cell r="J39">
            <v>7.8002893997192837</v>
          </cell>
          <cell r="K39">
            <v>8.0170081107541868</v>
          </cell>
          <cell r="M39">
            <v>7.0328951270223983E-2</v>
          </cell>
          <cell r="N39">
            <v>7.7747290165159966E-2</v>
          </cell>
          <cell r="P39">
            <v>1.3283342240036613</v>
          </cell>
          <cell r="Q39">
            <v>1.0267906296302576</v>
          </cell>
          <cell r="S39">
            <v>1.1243209999999999</v>
          </cell>
          <cell r="T39">
            <v>1.178636</v>
          </cell>
          <cell r="U39">
            <v>1.2810109999999999</v>
          </cell>
          <cell r="V39">
            <v>1.411635</v>
          </cell>
          <cell r="X39">
            <v>256.6028</v>
          </cell>
          <cell r="Y39">
            <v>14.780000000000001</v>
          </cell>
          <cell r="Z39">
            <v>2006.6949999999999</v>
          </cell>
          <cell r="AA39">
            <v>244.63200000000001</v>
          </cell>
          <cell r="AB39">
            <v>5554.652384</v>
          </cell>
          <cell r="AD39">
            <v>663.33680000000004</v>
          </cell>
          <cell r="AE39">
            <v>712.10850000000005</v>
          </cell>
          <cell r="AF39">
            <v>692.85852119182334</v>
          </cell>
          <cell r="AJ39">
            <v>266.72883397530484</v>
          </cell>
          <cell r="AK39">
            <v>294.86354731515331</v>
          </cell>
        </row>
        <row r="40">
          <cell r="A40" t="str">
            <v>ISRG</v>
          </cell>
          <cell r="C40">
            <v>246.35</v>
          </cell>
          <cell r="D40">
            <v>9408.1064999999999</v>
          </cell>
          <cell r="E40">
            <v>8895.3094999999994</v>
          </cell>
          <cell r="G40">
            <v>35.333469207387168</v>
          </cell>
          <cell r="H40">
            <v>29.885963848113548</v>
          </cell>
          <cell r="J40">
            <v>19.340892072227835</v>
          </cell>
          <cell r="K40">
            <v>16.138993172327606</v>
          </cell>
          <cell r="M40">
            <v>3.4437641623210793E-2</v>
          </cell>
          <cell r="N40">
            <v>4.309049860351815E-2</v>
          </cell>
          <cell r="P40">
            <v>1.5820751772201658</v>
          </cell>
          <cell r="Q40">
            <v>1.6395960650323198</v>
          </cell>
          <cell r="S40">
            <v>5.12</v>
          </cell>
          <cell r="T40">
            <v>5.6992859999999999</v>
          </cell>
          <cell r="U40">
            <v>6.972143</v>
          </cell>
          <cell r="V40">
            <v>8.2430000000000003</v>
          </cell>
          <cell r="X40">
            <v>38.19</v>
          </cell>
          <cell r="Y40">
            <v>246.35</v>
          </cell>
          <cell r="Z40">
            <v>0</v>
          </cell>
          <cell r="AA40">
            <v>512.79700000000003</v>
          </cell>
          <cell r="AB40">
            <v>8895.3094999999994</v>
          </cell>
          <cell r="AD40">
            <v>378.24860000000001</v>
          </cell>
          <cell r="AE40">
            <v>459.92240000000004</v>
          </cell>
          <cell r="AF40">
            <v>551.16880000000003</v>
          </cell>
          <cell r="AJ40">
            <v>323.99299999999999</v>
          </cell>
          <cell r="AK40">
            <v>405.40000000000003</v>
          </cell>
        </row>
        <row r="41">
          <cell r="A41" t="str">
            <v>VAR</v>
          </cell>
          <cell r="C41">
            <v>40.980000000000004</v>
          </cell>
          <cell r="D41">
            <v>5144.2194000000009</v>
          </cell>
          <cell r="E41">
            <v>4702.3294000000005</v>
          </cell>
          <cell r="G41">
            <v>14.713998010127455</v>
          </cell>
          <cell r="H41">
            <v>13.087960162523212</v>
          </cell>
          <cell r="J41">
            <v>8.491996736354432</v>
          </cell>
          <cell r="K41">
            <v>7.494374273943702</v>
          </cell>
          <cell r="M41">
            <v>6.9007165596397371E-2</v>
          </cell>
          <cell r="N41">
            <v>7.3692424549388374E-2</v>
          </cell>
          <cell r="P41">
            <v>3.7802916636122625</v>
          </cell>
          <cell r="Q41">
            <v>1.0534484266044319</v>
          </cell>
          <cell r="S41">
            <v>2.4023300000000001</v>
          </cell>
          <cell r="T41">
            <v>2.6807600000000003</v>
          </cell>
          <cell r="U41">
            <v>2.7851029999999999</v>
          </cell>
          <cell r="V41">
            <v>3.131122</v>
          </cell>
          <cell r="X41">
            <v>125.53</v>
          </cell>
          <cell r="Y41">
            <v>40.980000000000004</v>
          </cell>
          <cell r="Z41">
            <v>32.46</v>
          </cell>
          <cell r="AA41">
            <v>474.35</v>
          </cell>
          <cell r="AB41">
            <v>4702.3294000000005</v>
          </cell>
          <cell r="AD41">
            <v>523.50549999999998</v>
          </cell>
          <cell r="AE41">
            <v>553.73660000000007</v>
          </cell>
          <cell r="AF41">
            <v>627.4479</v>
          </cell>
          <cell r="AJ41">
            <v>354.988</v>
          </cell>
          <cell r="AK41">
            <v>379.09000000000003</v>
          </cell>
        </row>
        <row r="42">
          <cell r="A42" t="str">
            <v>ZOLL</v>
          </cell>
          <cell r="C42">
            <v>19.420000000000002</v>
          </cell>
          <cell r="D42">
            <v>408.92694000000006</v>
          </cell>
          <cell r="E42">
            <v>353.66294000000005</v>
          </cell>
          <cell r="G42">
            <v>22.176579932867316</v>
          </cell>
          <cell r="H42">
            <v>15.023866440767131</v>
          </cell>
          <cell r="J42" t="str">
            <v>n/a</v>
          </cell>
          <cell r="K42" t="str">
            <v>n/a</v>
          </cell>
          <cell r="M42" t="str">
            <v>n/a</v>
          </cell>
          <cell r="N42" t="str">
            <v>n/a</v>
          </cell>
          <cell r="P42">
            <v>0.2731926083631131</v>
          </cell>
          <cell r="Q42">
            <v>0.31556773954290435</v>
          </cell>
          <cell r="S42">
            <v>0.91927799999999993</v>
          </cell>
          <cell r="T42">
            <v>0.48334240000000001</v>
          </cell>
          <cell r="U42">
            <v>0.87569859999999999</v>
          </cell>
          <cell r="V42">
            <v>1.29261</v>
          </cell>
          <cell r="X42">
            <v>21.057000000000002</v>
          </cell>
          <cell r="Y42">
            <v>19.420000000000002</v>
          </cell>
          <cell r="Z42">
            <v>0</v>
          </cell>
          <cell r="AA42">
            <v>55.264000000000003</v>
          </cell>
          <cell r="AB42">
            <v>353.66294000000005</v>
          </cell>
          <cell r="AD42">
            <v>0</v>
          </cell>
          <cell r="AE42">
            <v>0</v>
          </cell>
          <cell r="AF42">
            <v>0</v>
          </cell>
          <cell r="AJ42">
            <v>0</v>
          </cell>
          <cell r="AK42">
            <v>0</v>
          </cell>
        </row>
        <row r="43">
          <cell r="A43" t="str">
            <v>Average</v>
          </cell>
          <cell r="G43">
            <v>18.89907042272543</v>
          </cell>
          <cell r="H43">
            <v>16.187533273967965</v>
          </cell>
          <cell r="J43">
            <v>10.018453354249498</v>
          </cell>
          <cell r="K43">
            <v>9.6612203421588312</v>
          </cell>
          <cell r="M43">
            <v>6.9446736279218629E-2</v>
          </cell>
          <cell r="N43">
            <v>7.8045028813806372E-2</v>
          </cell>
          <cell r="P43">
            <v>1.5826068209347832</v>
          </cell>
          <cell r="Q43">
            <v>0.99961408843477351</v>
          </cell>
        </row>
        <row r="44">
          <cell r="A44" t="str">
            <v>Median</v>
          </cell>
          <cell r="G44">
            <v>15.130808528873251</v>
          </cell>
          <cell r="H44">
            <v>13.087960162523212</v>
          </cell>
          <cell r="J44">
            <v>7.8002893997192837</v>
          </cell>
          <cell r="K44">
            <v>7.7556911923489444</v>
          </cell>
          <cell r="M44">
            <v>6.9007165596397371E-2</v>
          </cell>
          <cell r="N44">
            <v>7.7747290165159966E-2</v>
          </cell>
          <cell r="P44">
            <v>1.316544350053356</v>
          </cell>
          <cell r="Q44">
            <v>1.0267906296302576</v>
          </cell>
        </row>
        <row r="46">
          <cell r="A46" t="str">
            <v>Hospitals</v>
          </cell>
        </row>
        <row r="47">
          <cell r="A47" t="str">
            <v>CYH</v>
          </cell>
          <cell r="C47">
            <v>31.28</v>
          </cell>
          <cell r="D47">
            <v>2907.0068000000001</v>
          </cell>
          <cell r="E47">
            <v>11578.7258</v>
          </cell>
          <cell r="G47">
            <v>10.618215739196526</v>
          </cell>
          <cell r="H47">
            <v>9.568145660946886</v>
          </cell>
          <cell r="J47">
            <v>6.6905266624870352</v>
          </cell>
          <cell r="K47">
            <v>6.4785076754704995</v>
          </cell>
          <cell r="M47">
            <v>0.11539126774660451</v>
          </cell>
          <cell r="N47">
            <v>0.1496384528581082</v>
          </cell>
          <cell r="P47">
            <v>0.85780396219408694</v>
          </cell>
          <cell r="Q47">
            <v>0.87184096838279845</v>
          </cell>
          <cell r="S47">
            <v>2.173</v>
          </cell>
          <cell r="T47">
            <v>2.6213949999999997</v>
          </cell>
          <cell r="U47">
            <v>2.945881</v>
          </cell>
          <cell r="V47">
            <v>3.2691809999999997</v>
          </cell>
          <cell r="X47">
            <v>92.935000000000002</v>
          </cell>
          <cell r="Y47">
            <v>31.28</v>
          </cell>
          <cell r="Z47">
            <v>8940.5439999999999</v>
          </cell>
          <cell r="AA47">
            <v>268.82499999999999</v>
          </cell>
          <cell r="AB47">
            <v>11578.7258</v>
          </cell>
          <cell r="AD47">
            <v>1644.0810000000001</v>
          </cell>
          <cell r="AE47">
            <v>1730.615</v>
          </cell>
          <cell r="AF47">
            <v>1787.252</v>
          </cell>
          <cell r="AJ47">
            <v>335.44319999999999</v>
          </cell>
          <cell r="AK47">
            <v>435</v>
          </cell>
        </row>
        <row r="48">
          <cell r="A48" t="str">
            <v>HMA</v>
          </cell>
          <cell r="C48">
            <v>6.1000000000000005</v>
          </cell>
          <cell r="D48">
            <v>1504.3942000000002</v>
          </cell>
          <cell r="E48">
            <v>4370.9742000000006</v>
          </cell>
          <cell r="G48">
            <v>11.217010725484995</v>
          </cell>
          <cell r="H48">
            <v>10.348981219143919</v>
          </cell>
          <cell r="J48">
            <v>6.2868566811155437</v>
          </cell>
          <cell r="K48">
            <v>6.0913558259124549</v>
          </cell>
          <cell r="M48">
            <v>0.13621675754931784</v>
          </cell>
          <cell r="N48" t="str">
            <v>n/a</v>
          </cell>
          <cell r="P48">
            <v>0.88471177694996683</v>
          </cell>
          <cell r="Q48">
            <v>1.2338452954859569</v>
          </cell>
          <cell r="S48">
            <v>0.39</v>
          </cell>
          <cell r="T48">
            <v>0.4826261</v>
          </cell>
          <cell r="U48">
            <v>0.54381689999999994</v>
          </cell>
          <cell r="V48">
            <v>0.58943000000000001</v>
          </cell>
          <cell r="X48">
            <v>246.62200000000001</v>
          </cell>
          <cell r="Y48">
            <v>6.1000000000000005</v>
          </cell>
          <cell r="Z48">
            <v>3069.4569999999999</v>
          </cell>
          <cell r="AA48">
            <v>202.87700000000001</v>
          </cell>
          <cell r="AB48">
            <v>4370.9742000000006</v>
          </cell>
          <cell r="AD48">
            <v>670.60820000000001</v>
          </cell>
          <cell r="AE48">
            <v>695.2559</v>
          </cell>
          <cell r="AF48">
            <v>717.57</v>
          </cell>
          <cell r="AJ48">
            <v>204.9237</v>
          </cell>
          <cell r="AK48">
            <v>0</v>
          </cell>
        </row>
        <row r="49">
          <cell r="A49" t="str">
            <v>LPNT</v>
          </cell>
          <cell r="C49">
            <v>28.330000000000002</v>
          </cell>
          <cell r="D49">
            <v>1551.23748</v>
          </cell>
          <cell r="E49">
            <v>2868.8374800000001</v>
          </cell>
          <cell r="G49">
            <v>10.752582061975561</v>
          </cell>
          <cell r="H49">
            <v>9.8087892013990601</v>
          </cell>
          <cell r="J49">
            <v>5.9131939301511034</v>
          </cell>
          <cell r="K49">
            <v>5.7255596757261635</v>
          </cell>
          <cell r="M49">
            <v>9.7335386713322591E-2</v>
          </cell>
          <cell r="N49">
            <v>0</v>
          </cell>
          <cell r="P49">
            <v>1.2990437978736791</v>
          </cell>
          <cell r="Q49">
            <v>1.0194222653762499</v>
          </cell>
          <cell r="S49">
            <v>2.58</v>
          </cell>
          <cell r="T49">
            <v>2.4333039999999997</v>
          </cell>
          <cell r="U49">
            <v>2.6347160000000001</v>
          </cell>
          <cell r="V49">
            <v>2.888226</v>
          </cell>
          <cell r="X49">
            <v>54.756</v>
          </cell>
          <cell r="Y49">
            <v>28.330000000000002</v>
          </cell>
          <cell r="Z49">
            <v>1389.6000000000001</v>
          </cell>
          <cell r="AA49">
            <v>72</v>
          </cell>
          <cell r="AB49">
            <v>2868.8374800000001</v>
          </cell>
          <cell r="AD49">
            <v>463.79670000000004</v>
          </cell>
          <cell r="AE49">
            <v>485.15870000000001</v>
          </cell>
          <cell r="AF49">
            <v>501.05799999999999</v>
          </cell>
          <cell r="AJ49">
            <v>150.99030000000002</v>
          </cell>
          <cell r="AK49">
            <v>0</v>
          </cell>
        </row>
        <row r="50">
          <cell r="A50" t="str">
            <v>UHS</v>
          </cell>
          <cell r="C50">
            <v>55.65</v>
          </cell>
          <cell r="D50">
            <v>2732.0810999999999</v>
          </cell>
          <cell r="E50">
            <v>3643.3361</v>
          </cell>
          <cell r="G50">
            <v>11.126619732925137</v>
          </cell>
          <cell r="H50">
            <v>10.592063014114757</v>
          </cell>
          <cell r="J50">
            <v>5.2325334169772075</v>
          </cell>
          <cell r="K50">
            <v>5.0507091273407108</v>
          </cell>
          <cell r="M50">
            <v>7.5144182213331814E-2</v>
          </cell>
          <cell r="N50">
            <v>4.6484710867477547E-2</v>
          </cell>
          <cell r="P50">
            <v>1.7848026539903321</v>
          </cell>
          <cell r="Q50">
            <v>2.0987819430022876</v>
          </cell>
          <cell r="S50">
            <v>3.89</v>
          </cell>
          <cell r="T50">
            <v>4.7080169999999999</v>
          </cell>
          <cell r="U50">
            <v>5.001519</v>
          </cell>
          <cell r="V50">
            <v>5.2539340000000001</v>
          </cell>
          <cell r="X50">
            <v>49.094000000000001</v>
          </cell>
          <cell r="Y50">
            <v>55.65</v>
          </cell>
          <cell r="Z50">
            <v>921.87800000000004</v>
          </cell>
          <cell r="AA50">
            <v>10.623000000000001</v>
          </cell>
          <cell r="AB50">
            <v>3643.3361</v>
          </cell>
          <cell r="AD50">
            <v>675.28110000000004</v>
          </cell>
          <cell r="AE50">
            <v>696.28530000000001</v>
          </cell>
          <cell r="AF50">
            <v>721.35140000000001</v>
          </cell>
          <cell r="AJ50">
            <v>205.3</v>
          </cell>
          <cell r="AK50">
            <v>127</v>
          </cell>
        </row>
        <row r="51">
          <cell r="A51" t="str">
            <v>THC</v>
          </cell>
          <cell r="C51">
            <v>5.12</v>
          </cell>
          <cell r="D51">
            <v>2461.7774079999999</v>
          </cell>
          <cell r="E51">
            <v>6320.7774079999999</v>
          </cell>
          <cell r="G51">
            <v>36.92242900545255</v>
          </cell>
          <cell r="H51">
            <v>22.120175630738231</v>
          </cell>
          <cell r="J51">
            <v>6.4356014083273765</v>
          </cell>
          <cell r="K51">
            <v>6.1594551189788254</v>
          </cell>
          <cell r="M51">
            <v>1.1198888214023289E-2</v>
          </cell>
          <cell r="N51">
            <v>7.2508586446496465E-2</v>
          </cell>
          <cell r="P51">
            <v>0.43769122809713368</v>
          </cell>
          <cell r="Q51">
            <v>0.33055924496640965</v>
          </cell>
          <cell r="S51">
            <v>0.05</v>
          </cell>
          <cell r="T51">
            <v>7.5217599999999996E-2</v>
          </cell>
          <cell r="U51">
            <v>0.13866909999999999</v>
          </cell>
          <cell r="V51">
            <v>0.2314629</v>
          </cell>
          <cell r="X51">
            <v>480.8159</v>
          </cell>
          <cell r="Y51">
            <v>5.12</v>
          </cell>
          <cell r="Z51">
            <v>4626</v>
          </cell>
          <cell r="AA51">
            <v>767</v>
          </cell>
          <cell r="AB51">
            <v>6320.7774079999999</v>
          </cell>
          <cell r="AD51">
            <v>933.04930000000002</v>
          </cell>
          <cell r="AE51">
            <v>982.15800000000002</v>
          </cell>
          <cell r="AF51">
            <v>1026.191</v>
          </cell>
          <cell r="AJ51">
            <v>27.569170000000003</v>
          </cell>
          <cell r="AK51">
            <v>178.5</v>
          </cell>
        </row>
        <row r="52">
          <cell r="A52" t="str">
            <v>Average</v>
          </cell>
          <cell r="G52">
            <v>16.127371453006951</v>
          </cell>
          <cell r="H52">
            <v>12.48763094526857</v>
          </cell>
          <cell r="J52">
            <v>6.1117424198116534</v>
          </cell>
          <cell r="K52">
            <v>5.9011174846857308</v>
          </cell>
          <cell r="M52">
            <v>8.705729648732001E-2</v>
          </cell>
          <cell r="N52">
            <v>6.7157937543020546E-2</v>
          </cell>
          <cell r="P52">
            <v>1.0528106838210398</v>
          </cell>
          <cell r="Q52">
            <v>1.1108899434427406</v>
          </cell>
        </row>
        <row r="53">
          <cell r="A53" t="str">
            <v>Median</v>
          </cell>
          <cell r="G53">
            <v>11.126619732925137</v>
          </cell>
          <cell r="H53">
            <v>10.348981219143919</v>
          </cell>
          <cell r="J53">
            <v>6.2868566811155437</v>
          </cell>
          <cell r="K53">
            <v>6.0913558259124549</v>
          </cell>
          <cell r="M53">
            <v>9.7335386713322591E-2</v>
          </cell>
          <cell r="N53">
            <v>5.9496648656987006E-2</v>
          </cell>
          <cell r="P53">
            <v>0.88471177694996683</v>
          </cell>
          <cell r="Q53">
            <v>1.0194222653762499</v>
          </cell>
        </row>
        <row r="55">
          <cell r="A55" t="str">
            <v>COV</v>
          </cell>
          <cell r="C55">
            <v>42.12</v>
          </cell>
          <cell r="D55">
            <v>21146.131187999999</v>
          </cell>
          <cell r="E55">
            <v>22934.131187999999</v>
          </cell>
          <cell r="G55">
            <v>12.754746691699722</v>
          </cell>
          <cell r="H55">
            <v>11.496728263691056</v>
          </cell>
          <cell r="J55">
            <v>8.5969678704502002</v>
          </cell>
          <cell r="K55">
            <v>7.9726438399737463</v>
          </cell>
          <cell r="M55">
            <v>7.0499893656481183E-2</v>
          </cell>
          <cell r="N55">
            <v>0</v>
          </cell>
          <cell r="P55">
            <v>1.0978400487930966</v>
          </cell>
          <cell r="Q55">
            <v>1.0506583832668803</v>
          </cell>
          <cell r="S55">
            <v>2.7457389999999999</v>
          </cell>
          <cell r="T55">
            <v>2.9585719999999998</v>
          </cell>
          <cell r="U55">
            <v>3.3023000000000002</v>
          </cell>
          <cell r="V55">
            <v>3.6636509999999998</v>
          </cell>
          <cell r="X55">
            <v>502.04490000000004</v>
          </cell>
          <cell r="Y55">
            <v>42.12</v>
          </cell>
          <cell r="Z55">
            <v>3009</v>
          </cell>
          <cell r="AA55">
            <v>1221</v>
          </cell>
          <cell r="AB55">
            <v>22934.131187999999</v>
          </cell>
          <cell r="AD55">
            <v>2606.4749999999999</v>
          </cell>
          <cell r="AE55">
            <v>2667.7000000000003</v>
          </cell>
          <cell r="AF55">
            <v>2876.6030000000001</v>
          </cell>
          <cell r="AJ55">
            <v>1490.8000000000002</v>
          </cell>
          <cell r="AK55">
            <v>0</v>
          </cell>
        </row>
        <row r="57">
          <cell r="A57" t="str">
            <v>MCK</v>
          </cell>
          <cell r="G57">
            <v>12.502823407039605</v>
          </cell>
          <cell r="H57">
            <v>11.47302910238443</v>
          </cell>
          <cell r="J57">
            <v>5.8859493669399505</v>
          </cell>
          <cell r="K57">
            <v>5.4654683254423357</v>
          </cell>
          <cell r="M57">
            <v>9.6430413910356269E-2</v>
          </cell>
          <cell r="N57">
            <v>0.11775739470534269</v>
          </cell>
          <cell r="P57">
            <v>1.818811254368508</v>
          </cell>
          <cell r="Q57">
            <v>1.278220283304405</v>
          </cell>
          <cell r="S57">
            <v>3.8894169999999999</v>
          </cell>
          <cell r="T57">
            <v>4.3952049999999998</v>
          </cell>
          <cell r="U57">
            <v>4.6973389999999995</v>
          </cell>
          <cell r="V57">
            <v>5.1189619999999998</v>
          </cell>
          <cell r="X57">
            <v>268</v>
          </cell>
          <cell r="Y57">
            <v>58.730000000000004</v>
          </cell>
          <cell r="Z57">
            <v>2511</v>
          </cell>
          <cell r="AA57">
            <v>3215</v>
          </cell>
          <cell r="AB57">
            <v>15035.640000000001</v>
          </cell>
          <cell r="AD57">
            <v>2402.694</v>
          </cell>
          <cell r="AE57">
            <v>2554.4969999999998</v>
          </cell>
          <cell r="AF57">
            <v>2751.0250000000001</v>
          </cell>
          <cell r="AJ57">
            <v>1517.78</v>
          </cell>
          <cell r="AK57">
            <v>1853.4590000000001</v>
          </cell>
        </row>
        <row r="60">
          <cell r="A60" t="str">
            <v>RANGES</v>
          </cell>
        </row>
        <row r="62">
          <cell r="A62" t="str">
            <v>2011 P/E</v>
          </cell>
        </row>
        <row r="63">
          <cell r="A63" t="str">
            <v>Low</v>
          </cell>
        </row>
        <row r="64">
          <cell r="A64" t="str">
            <v>High</v>
          </cell>
        </row>
        <row r="66">
          <cell r="A66" t="str">
            <v>2011 EV/EBITDA</v>
          </cell>
        </row>
        <row r="67">
          <cell r="A67" t="str">
            <v>Low</v>
          </cell>
        </row>
        <row r="68">
          <cell r="A68" t="str">
            <v>High</v>
          </cell>
        </row>
        <row r="70">
          <cell r="A70" t="str">
            <v>FCF Yield</v>
          </cell>
        </row>
        <row r="71">
          <cell r="A71" t="str">
            <v xml:space="preserve">Low </v>
          </cell>
        </row>
        <row r="72">
          <cell r="A72" t="str">
            <v>High</v>
          </cell>
        </row>
        <row r="74">
          <cell r="A74" t="str">
            <v>DCF</v>
          </cell>
        </row>
        <row r="75">
          <cell r="A75" t="str">
            <v>Low</v>
          </cell>
        </row>
        <row r="76">
          <cell r="A76" t="str">
            <v>High</v>
          </cell>
        </row>
        <row r="78">
          <cell r="A78" t="str">
            <v>Residual Income</v>
          </cell>
        </row>
        <row r="79">
          <cell r="A79" t="str">
            <v>Low</v>
          </cell>
        </row>
        <row r="80">
          <cell r="A80" t="str">
            <v>High</v>
          </cell>
        </row>
      </sheetData>
      <sheetData sheetId="6"/>
      <sheetData sheetId="7"/>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s>
    <sheetDataSet>
      <sheetData sheetId="0" refreshError="1">
        <row r="7">
          <cell r="A7" t="str">
            <v>2005A Geographic Mix</v>
          </cell>
        </row>
        <row r="9">
          <cell r="B9" t="str">
            <v>US</v>
          </cell>
          <cell r="C9">
            <v>0.4</v>
          </cell>
        </row>
        <row r="10">
          <cell r="B10" t="str">
            <v>Europe</v>
          </cell>
          <cell r="C10">
            <v>0.41</v>
          </cell>
        </row>
        <row r="11">
          <cell r="B11" t="str">
            <v>Japan</v>
          </cell>
          <cell r="C11">
            <v>0.05</v>
          </cell>
        </row>
        <row r="12">
          <cell r="B12" t="str">
            <v>Latin America</v>
          </cell>
          <cell r="C12">
            <v>0.04</v>
          </cell>
        </row>
        <row r="13">
          <cell r="B13" t="str">
            <v>Asia</v>
          </cell>
          <cell r="C13">
            <v>0.04</v>
          </cell>
        </row>
        <row r="14">
          <cell r="B14" t="str">
            <v>Other</v>
          </cell>
          <cell r="C14">
            <v>0.06</v>
          </cell>
        </row>
        <row r="31">
          <cell r="A31" t="str">
            <v>2005A Product Mix</v>
          </cell>
        </row>
        <row r="32">
          <cell r="B32" t="str">
            <v>Consumable</v>
          </cell>
          <cell r="C32">
            <v>0.36</v>
          </cell>
        </row>
        <row r="33">
          <cell r="B33" t="str">
            <v>Laboratory Products</v>
          </cell>
          <cell r="C33">
            <v>0.28000000000000003</v>
          </cell>
        </row>
        <row r="34">
          <cell r="B34" t="str">
            <v>Specialty Products</v>
          </cell>
          <cell r="C34">
            <v>0.34</v>
          </cell>
        </row>
        <row r="51">
          <cell r="A51" t="str">
            <v>Edentulous rate</v>
          </cell>
        </row>
        <row r="52">
          <cell r="C52" t="str">
            <v>1971 - 1974</v>
          </cell>
          <cell r="D52" t="str">
            <v>1988 - 1994</v>
          </cell>
        </row>
        <row r="53">
          <cell r="B53" t="str">
            <v>Total</v>
          </cell>
          <cell r="C53">
            <v>0.15</v>
          </cell>
          <cell r="D53">
            <v>0.08</v>
          </cell>
        </row>
        <row r="54">
          <cell r="B54" t="str">
            <v>18 - 24</v>
          </cell>
          <cell r="C54">
            <v>0.01</v>
          </cell>
          <cell r="D54">
            <v>0</v>
          </cell>
        </row>
        <row r="55">
          <cell r="B55" t="str">
            <v>25 - 34</v>
          </cell>
          <cell r="C55">
            <v>0.03</v>
          </cell>
          <cell r="D55">
            <v>0.01</v>
          </cell>
        </row>
        <row r="56">
          <cell r="B56" t="str">
            <v>35 - 44</v>
          </cell>
          <cell r="C56">
            <v>0.09</v>
          </cell>
          <cell r="D56">
            <v>0.03</v>
          </cell>
        </row>
        <row r="57">
          <cell r="B57" t="str">
            <v>45 - 54</v>
          </cell>
          <cell r="C57">
            <v>0.16</v>
          </cell>
          <cell r="D57">
            <v>0.09</v>
          </cell>
        </row>
        <row r="58">
          <cell r="B58" t="str">
            <v>55 - 64</v>
          </cell>
          <cell r="C58">
            <v>0.33</v>
          </cell>
          <cell r="D58">
            <v>0.2</v>
          </cell>
        </row>
        <row r="59">
          <cell r="B59" t="str">
            <v>65 - 74</v>
          </cell>
          <cell r="C59">
            <v>0.46</v>
          </cell>
          <cell r="D59">
            <v>0.28999999999999998</v>
          </cell>
        </row>
        <row r="79">
          <cell r="A79" t="str">
            <v>XRAY Market Growth Rate Projections</v>
          </cell>
        </row>
        <row r="81">
          <cell r="B81" t="str">
            <v>Total</v>
          </cell>
          <cell r="C81">
            <v>4.4999999999999998E-2</v>
          </cell>
        </row>
        <row r="82">
          <cell r="B82" t="str">
            <v>US</v>
          </cell>
          <cell r="C82">
            <v>5.5E-2</v>
          </cell>
        </row>
        <row r="83">
          <cell r="B83" t="str">
            <v>Europe</v>
          </cell>
          <cell r="C83">
            <v>0.04</v>
          </cell>
        </row>
        <row r="84">
          <cell r="B84" t="str">
            <v>Japan</v>
          </cell>
          <cell r="C84">
            <v>0</v>
          </cell>
        </row>
        <row r="85">
          <cell r="B85" t="str">
            <v>Latin America</v>
          </cell>
          <cell r="C85">
            <v>0.03</v>
          </cell>
        </row>
        <row r="86">
          <cell r="B86" t="str">
            <v>Asia</v>
          </cell>
          <cell r="C86">
            <v>0.1</v>
          </cell>
        </row>
        <row r="87">
          <cell r="B87" t="str">
            <v>Other</v>
          </cell>
          <cell r="C87">
            <v>0.06</v>
          </cell>
        </row>
        <row r="104">
          <cell r="A104" t="str">
            <v>XRAY Estimated Total Retail Market Size</v>
          </cell>
        </row>
        <row r="106">
          <cell r="B106" t="str">
            <v>US</v>
          </cell>
          <cell r="C106">
            <v>5000</v>
          </cell>
        </row>
        <row r="107">
          <cell r="B107" t="str">
            <v>Europe</v>
          </cell>
          <cell r="C107">
            <v>3800</v>
          </cell>
        </row>
        <row r="108">
          <cell r="B108" t="str">
            <v>Japan</v>
          </cell>
          <cell r="C108">
            <v>1700</v>
          </cell>
        </row>
        <row r="109">
          <cell r="B109" t="str">
            <v>Latin America</v>
          </cell>
          <cell r="C109">
            <v>800</v>
          </cell>
        </row>
        <row r="110">
          <cell r="B110" t="str">
            <v>Asia</v>
          </cell>
          <cell r="C110">
            <v>440</v>
          </cell>
        </row>
        <row r="111">
          <cell r="B111" t="str">
            <v>Other</v>
          </cell>
          <cell r="C111">
            <v>760</v>
          </cell>
        </row>
      </sheetData>
      <sheetData sheetId="1" refreshError="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sheetName val="FX"/>
      <sheetName val="Guidance"/>
      <sheetName val="Variance"/>
      <sheetName val="EPS Preview"/>
      <sheetName val="Model Changes"/>
      <sheetName val="BBB"/>
      <sheetName val="Catalysts"/>
      <sheetName val="PPA"/>
      <sheetName val="Calcs"/>
      <sheetName val="Links"/>
      <sheetName val="DCF"/>
    </sheetNames>
    <sheetDataSet>
      <sheetData sheetId="0"/>
      <sheetData sheetId="1"/>
      <sheetData sheetId="2">
        <row r="5">
          <cell r="A5" t="str">
            <v>FY2018</v>
          </cell>
          <cell r="B5" t="str">
            <v>Guidance</v>
          </cell>
          <cell r="C5" t="str">
            <v>MS BDX</v>
          </cell>
          <cell r="E5" t="str">
            <v>PF Guidance</v>
          </cell>
          <cell r="F5" t="str">
            <v>Guidance</v>
          </cell>
          <cell r="G5" t="str">
            <v>Guidance</v>
          </cell>
          <cell r="H5" t="str">
            <v>MS PF Estimate</v>
          </cell>
        </row>
        <row r="6">
          <cell r="B6">
            <v>43041</v>
          </cell>
          <cell r="C6" t="str">
            <v>Standalone</v>
          </cell>
          <cell r="E6">
            <v>43137</v>
          </cell>
          <cell r="H6" t="str">
            <v>Current</v>
          </cell>
          <cell r="I6" t="str">
            <v>Prior</v>
          </cell>
        </row>
        <row r="7">
          <cell r="A7" t="str">
            <v>Reported Revenue</v>
          </cell>
          <cell r="B7" t="str">
            <v>5.0 - 6.0%</v>
          </cell>
          <cell r="C7">
            <v>5.7678466802591144E-2</v>
          </cell>
          <cell r="E7" t="str">
            <v>30 - 31%</v>
          </cell>
          <cell r="H7">
            <v>0.31490081860725128</v>
          </cell>
          <cell r="I7">
            <v>0.3143781771289138</v>
          </cell>
        </row>
        <row r="8">
          <cell r="A8" t="str">
            <v>FX Impact</v>
          </cell>
          <cell r="B8" t="str">
            <v>~1%</v>
          </cell>
          <cell r="C8">
            <v>9.8264513349701817E-3</v>
          </cell>
          <cell r="E8" t="str">
            <v>~2%</v>
          </cell>
          <cell r="H8">
            <v>2.1019317531931113E-2</v>
          </cell>
        </row>
        <row r="9">
          <cell r="A9" t="str">
            <v>Adj CC Revenue</v>
          </cell>
          <cell r="B9" t="str">
            <v>4.0 - 5.0%</v>
          </cell>
          <cell r="C9">
            <v>4.7684982305860706E-2</v>
          </cell>
          <cell r="E9" t="str">
            <v>4.5 - 5.5%</v>
          </cell>
          <cell r="H9">
            <v>4.992336531740469E-2</v>
          </cell>
        </row>
        <row r="10">
          <cell r="A10" t="str">
            <v>Medical</v>
          </cell>
          <cell r="B10" t="str">
            <v>4.0 - 5.0%</v>
          </cell>
          <cell r="C10">
            <v>4.8156412344673633E-2</v>
          </cell>
          <cell r="E10" t="str">
            <v>4.0 - 5.0%</v>
          </cell>
          <cell r="H10">
            <v>4.7913001096624996E-2</v>
          </cell>
        </row>
        <row r="11">
          <cell r="A11" t="str">
            <v>Life Science</v>
          </cell>
          <cell r="B11" t="str">
            <v>4.0 - 5.0%</v>
          </cell>
          <cell r="C11">
            <v>4.6727603057261057E-2</v>
          </cell>
          <cell r="E11" t="str">
            <v>4.5 - 5.5%</v>
          </cell>
          <cell r="H11">
            <v>5.3156140350877013E-2</v>
          </cell>
        </row>
        <row r="12">
          <cell r="A12" t="str">
            <v>Interventional</v>
          </cell>
          <cell r="E12" t="str">
            <v>5.5 - 6.0%</v>
          </cell>
          <cell r="H12">
            <v>5.8423556058890207E-2</v>
          </cell>
        </row>
        <row r="13">
          <cell r="A13" t="str">
            <v>Underlying Growth</v>
          </cell>
          <cell r="B13" t="str">
            <v>4.0 - 5.0%</v>
          </cell>
          <cell r="C13">
            <v>4.7684982305860525E-2</v>
          </cell>
          <cell r="E13" t="str">
            <v>5.0 - 6.0%</v>
          </cell>
          <cell r="H13">
            <v>5.646845014932958E-2</v>
          </cell>
        </row>
        <row r="14">
          <cell r="A14" t="str">
            <v>Gross Margin</v>
          </cell>
          <cell r="B14" t="str">
            <v>54.0 - 55.0%</v>
          </cell>
          <cell r="C14">
            <v>0.54478074552329636</v>
          </cell>
          <cell r="E14" t="str">
            <v>56 - 57%</v>
          </cell>
          <cell r="H14">
            <v>0.56668539708844257</v>
          </cell>
          <cell r="I14">
            <v>0.56821378613022744</v>
          </cell>
        </row>
        <row r="15">
          <cell r="A15" t="str">
            <v>SG&amp;A % Sales</v>
          </cell>
          <cell r="B15" t="str">
            <v>23.0 - 24.0%</v>
          </cell>
          <cell r="C15">
            <v>0.23671098774483951</v>
          </cell>
          <cell r="E15" t="str">
            <v>24.5 - 25.5%</v>
          </cell>
          <cell r="H15">
            <v>0.24472455874607127</v>
          </cell>
          <cell r="I15">
            <v>0.24279442410860344</v>
          </cell>
        </row>
        <row r="16">
          <cell r="A16" t="str">
            <v>R&amp;D % Sales</v>
          </cell>
          <cell r="B16" t="str">
            <v>6.0 - 7.0%</v>
          </cell>
          <cell r="C16">
            <v>6.4500000000000002E-2</v>
          </cell>
          <cell r="E16" t="str">
            <v>6 - 7%</v>
          </cell>
          <cell r="H16">
            <v>6.5577306078296663E-2</v>
          </cell>
          <cell r="I16">
            <v>6.6028938432453707E-2</v>
          </cell>
        </row>
        <row r="17">
          <cell r="A17" t="str">
            <v>Operating Margin</v>
          </cell>
          <cell r="B17" t="str">
            <v>24.0 - 25.0%</v>
          </cell>
          <cell r="C17">
            <v>0.24356975777845691</v>
          </cell>
          <cell r="E17" t="str">
            <v>25 - 26%</v>
          </cell>
          <cell r="H17">
            <v>0.25638353226407473</v>
          </cell>
          <cell r="I17">
            <v>0.25939042358917025</v>
          </cell>
        </row>
        <row r="18">
          <cell r="A18" t="str">
            <v>Tax rate</v>
          </cell>
          <cell r="B18" t="str">
            <v>17.0 - 19.0%</v>
          </cell>
          <cell r="C18">
            <v>0.18067266834556686</v>
          </cell>
          <cell r="E18" t="str">
            <v>17 - 19%</v>
          </cell>
          <cell r="H18">
            <v>0.16874714476545061</v>
          </cell>
          <cell r="I18">
            <v>0.17570349459342829</v>
          </cell>
        </row>
        <row r="19">
          <cell r="A19" t="str">
            <v xml:space="preserve">EPS </v>
          </cell>
          <cell r="B19" t="str">
            <v>$10.55 - 10.65</v>
          </cell>
          <cell r="C19">
            <v>10.59005418636149</v>
          </cell>
          <cell r="E19" t="str">
            <v>10.85 - 11.00</v>
          </cell>
          <cell r="H19">
            <v>10.993921011160797</v>
          </cell>
          <cell r="I19">
            <v>10.841677974828478</v>
          </cell>
        </row>
      </sheetData>
      <sheetData sheetId="3">
        <row r="12">
          <cell r="D12" t="str">
            <v>A vs E</v>
          </cell>
          <cell r="E12" t="str">
            <v>A vs E</v>
          </cell>
          <cell r="F12" t="str">
            <v>EPS</v>
          </cell>
          <cell r="G12" t="str">
            <v>Cons.</v>
          </cell>
          <cell r="H12" t="str">
            <v>2FQ17</v>
          </cell>
          <cell r="I12" t="str">
            <v>Y/Y</v>
          </cell>
        </row>
        <row r="13">
          <cell r="A13" t="str">
            <v>($ in millions, except EPS)</v>
          </cell>
          <cell r="B13" t="str">
            <v>2FQ18E</v>
          </cell>
          <cell r="C13" t="str">
            <v>2FQ18A</v>
          </cell>
          <cell r="D13" t="str">
            <v>($)</v>
          </cell>
          <cell r="E13" t="str">
            <v>(%)</v>
          </cell>
          <cell r="F13" t="str">
            <v>Impact</v>
          </cell>
          <cell r="G13" t="str">
            <v>Est</v>
          </cell>
          <cell r="H13" t="str">
            <v>Actual</v>
          </cell>
          <cell r="I13" t="str">
            <v>%</v>
          </cell>
        </row>
        <row r="14">
          <cell r="A14" t="str">
            <v>Revenues:</v>
          </cell>
        </row>
        <row r="15">
          <cell r="A15" t="str">
            <v>Medical</v>
          </cell>
          <cell r="B15">
            <v>2147.1558257138545</v>
          </cell>
          <cell r="C15">
            <v>2147.1558257138545</v>
          </cell>
          <cell r="D15">
            <v>0</v>
          </cell>
          <cell r="E15">
            <v>0</v>
          </cell>
          <cell r="F15">
            <v>0</v>
          </cell>
          <cell r="H15">
            <v>2006</v>
          </cell>
          <cell r="I15">
            <v>7.0366812419668134E-2</v>
          </cell>
        </row>
        <row r="16">
          <cell r="A16" t="str">
            <v>Life Sciences</v>
          </cell>
          <cell r="B16">
            <v>1085.9842642610665</v>
          </cell>
          <cell r="C16">
            <v>1085.9842642610665</v>
          </cell>
          <cell r="D16">
            <v>0</v>
          </cell>
          <cell r="E16">
            <v>0</v>
          </cell>
          <cell r="F16">
            <v>0</v>
          </cell>
          <cell r="H16">
            <v>983</v>
          </cell>
        </row>
        <row r="17">
          <cell r="A17" t="str">
            <v>Interventional</v>
          </cell>
        </row>
        <row r="18">
          <cell r="A18" t="str">
            <v>Total Revenues</v>
          </cell>
          <cell r="B18">
            <v>4160.5509999999995</v>
          </cell>
          <cell r="C18">
            <v>4160.5509999999995</v>
          </cell>
          <cell r="D18">
            <v>0</v>
          </cell>
          <cell r="E18">
            <v>0</v>
          </cell>
          <cell r="F18">
            <v>0</v>
          </cell>
          <cell r="G18">
            <v>4122.7969999999996</v>
          </cell>
          <cell r="H18">
            <v>2969</v>
          </cell>
          <cell r="I18">
            <v>0.40133075109464444</v>
          </cell>
        </row>
        <row r="19">
          <cell r="A19" t="str">
            <v>COGS</v>
          </cell>
          <cell r="B19">
            <v>1809.8396849999999</v>
          </cell>
          <cell r="C19">
            <v>1809.8396849999999</v>
          </cell>
          <cell r="D19">
            <v>0</v>
          </cell>
          <cell r="E19">
            <v>0</v>
          </cell>
          <cell r="F19">
            <v>0</v>
          </cell>
          <cell r="G19">
            <v>1799.2710667400002</v>
          </cell>
          <cell r="H19">
            <v>1406</v>
          </cell>
          <cell r="I19">
            <v>0.28722594950213365</v>
          </cell>
        </row>
        <row r="20">
          <cell r="A20" t="str">
            <v>Gross Profit</v>
          </cell>
          <cell r="B20">
            <v>2350.7113149999996</v>
          </cell>
          <cell r="C20">
            <v>2350.7113149999996</v>
          </cell>
          <cell r="D20">
            <v>0</v>
          </cell>
          <cell r="E20">
            <v>0</v>
          </cell>
          <cell r="F20">
            <v>0</v>
          </cell>
          <cell r="G20">
            <v>2323.5259332599994</v>
          </cell>
          <cell r="H20">
            <v>1563</v>
          </cell>
          <cell r="I20">
            <v>0.50397396992962218</v>
          </cell>
        </row>
        <row r="21">
          <cell r="A21" t="str">
            <v>Operating Expenses:</v>
          </cell>
        </row>
        <row r="22">
          <cell r="A22" t="str">
            <v>SG&amp;A</v>
          </cell>
          <cell r="B22">
            <v>1027.6560969999998</v>
          </cell>
          <cell r="C22">
            <v>1027.6560969999998</v>
          </cell>
          <cell r="D22">
            <v>0</v>
          </cell>
          <cell r="E22">
            <v>0</v>
          </cell>
          <cell r="F22">
            <v>0</v>
          </cell>
          <cell r="H22">
            <v>721</v>
          </cell>
          <cell r="I22">
            <v>0.42532052288488176</v>
          </cell>
        </row>
        <row r="23">
          <cell r="A23" t="str">
            <v>R&amp;D</v>
          </cell>
          <cell r="B23">
            <v>270.43581499999999</v>
          </cell>
          <cell r="C23">
            <v>270.43581499999999</v>
          </cell>
          <cell r="D23">
            <v>0</v>
          </cell>
          <cell r="E23">
            <v>0</v>
          </cell>
          <cell r="F23">
            <v>0</v>
          </cell>
          <cell r="H23">
            <v>187</v>
          </cell>
          <cell r="I23">
            <v>0.44618082887700528</v>
          </cell>
        </row>
        <row r="24">
          <cell r="A24" t="str">
            <v>Total Operating Expenses</v>
          </cell>
          <cell r="B24">
            <v>1298.0919119999999</v>
          </cell>
          <cell r="C24">
            <v>1298.0919119999999</v>
          </cell>
          <cell r="D24">
            <v>0</v>
          </cell>
          <cell r="E24">
            <v>0</v>
          </cell>
          <cell r="F24">
            <v>0</v>
          </cell>
          <cell r="G24">
            <v>1278.0679332599993</v>
          </cell>
          <cell r="H24">
            <v>908</v>
          </cell>
          <cell r="I24">
            <v>0.42961664317180603</v>
          </cell>
        </row>
        <row r="25">
          <cell r="A25" t="str">
            <v>Operating Income (Loss)</v>
          </cell>
          <cell r="B25">
            <v>1052.6194029999997</v>
          </cell>
          <cell r="C25">
            <v>1052.6194029999997</v>
          </cell>
          <cell r="D25">
            <v>0</v>
          </cell>
          <cell r="E25">
            <v>0</v>
          </cell>
          <cell r="F25">
            <v>0</v>
          </cell>
          <cell r="G25">
            <v>1045.4580000000001</v>
          </cell>
          <cell r="H25">
            <v>655</v>
          </cell>
          <cell r="I25">
            <v>0.60705252366412177</v>
          </cell>
        </row>
        <row r="26">
          <cell r="A26" t="str">
            <v>Interest (Expense)</v>
          </cell>
          <cell r="B26">
            <v>-185.254567775</v>
          </cell>
          <cell r="C26">
            <v>-185.254567775</v>
          </cell>
          <cell r="D26">
            <v>0</v>
          </cell>
          <cell r="E26" t="str">
            <v>--</v>
          </cell>
          <cell r="F26">
            <v>0</v>
          </cell>
          <cell r="H26">
            <v>-83</v>
          </cell>
          <cell r="I26">
            <v>1.2319827442771083</v>
          </cell>
        </row>
        <row r="27">
          <cell r="A27" t="str">
            <v>Other Income (Expense)</v>
          </cell>
          <cell r="B27">
            <v>47</v>
          </cell>
          <cell r="C27">
            <v>47</v>
          </cell>
          <cell r="D27">
            <v>0</v>
          </cell>
          <cell r="E27" t="str">
            <v>--</v>
          </cell>
          <cell r="F27">
            <v>0</v>
          </cell>
          <cell r="H27">
            <v>1</v>
          </cell>
          <cell r="I27">
            <v>46</v>
          </cell>
        </row>
        <row r="28">
          <cell r="A28" t="str">
            <v>Total Non-Operating (Expense)</v>
          </cell>
          <cell r="B28">
            <v>-138.254567775</v>
          </cell>
          <cell r="C28">
            <v>-138.254567775</v>
          </cell>
          <cell r="D28">
            <v>0</v>
          </cell>
          <cell r="E28" t="str">
            <v>--</v>
          </cell>
          <cell r="F28">
            <v>0</v>
          </cell>
          <cell r="H28">
            <v>-82</v>
          </cell>
          <cell r="I28">
            <v>0.68603131432926823</v>
          </cell>
        </row>
        <row r="29">
          <cell r="A29" t="str">
            <v>Pretax Income</v>
          </cell>
          <cell r="B29">
            <v>914.36483522499975</v>
          </cell>
          <cell r="C29">
            <v>914.36483522499975</v>
          </cell>
          <cell r="D29">
            <v>0</v>
          </cell>
          <cell r="E29">
            <v>0</v>
          </cell>
          <cell r="F29">
            <v>0</v>
          </cell>
          <cell r="G29">
            <v>888.26400000000001</v>
          </cell>
          <cell r="H29">
            <v>573</v>
          </cell>
          <cell r="I29">
            <v>0.59575014873472898</v>
          </cell>
        </row>
        <row r="30">
          <cell r="A30" t="str">
            <v>Income Taxes</v>
          </cell>
          <cell r="B30">
            <v>155.44202198824996</v>
          </cell>
          <cell r="C30">
            <v>155.44202198824996</v>
          </cell>
          <cell r="D30">
            <v>0</v>
          </cell>
          <cell r="E30">
            <v>0</v>
          </cell>
          <cell r="F30">
            <v>0</v>
          </cell>
          <cell r="G30">
            <v>169.66700000000003</v>
          </cell>
          <cell r="H30">
            <v>72</v>
          </cell>
          <cell r="I30">
            <v>1.1589169720590271</v>
          </cell>
        </row>
        <row r="31">
          <cell r="A31" t="str">
            <v>Net Income</v>
          </cell>
          <cell r="B31">
            <v>720.64156323674979</v>
          </cell>
          <cell r="C31">
            <v>720.64156323674979</v>
          </cell>
          <cell r="D31">
            <v>0</v>
          </cell>
          <cell r="E31">
            <v>0</v>
          </cell>
          <cell r="F31">
            <v>0</v>
          </cell>
          <cell r="G31">
            <v>718.59699999999998</v>
          </cell>
          <cell r="H31">
            <v>501</v>
          </cell>
          <cell r="I31">
            <v>0.43840631384580786</v>
          </cell>
        </row>
        <row r="32">
          <cell r="A32" t="str">
            <v>Diluted Shares Outstanding</v>
          </cell>
          <cell r="B32">
            <v>275.03952875317526</v>
          </cell>
          <cell r="C32">
            <v>275.03952875317526</v>
          </cell>
          <cell r="D32">
            <v>0</v>
          </cell>
          <cell r="E32">
            <v>0</v>
          </cell>
          <cell r="F32">
            <v>0</v>
          </cell>
          <cell r="G32">
            <v>273.95996950057184</v>
          </cell>
          <cell r="H32">
            <v>217.86600000000001</v>
          </cell>
          <cell r="I32" t="str">
            <v>--</v>
          </cell>
        </row>
        <row r="33">
          <cell r="A33" t="str">
            <v>EPS, Diluted</v>
          </cell>
          <cell r="B33">
            <v>2.6201381543358617</v>
          </cell>
          <cell r="C33">
            <v>2.6201381543358617</v>
          </cell>
          <cell r="D33">
            <v>0</v>
          </cell>
          <cell r="E33">
            <v>0</v>
          </cell>
          <cell r="F33">
            <v>0</v>
          </cell>
          <cell r="G33">
            <v>2.6230000000000002</v>
          </cell>
          <cell r="H33">
            <v>2.2995786400815179</v>
          </cell>
          <cell r="I33">
            <v>0.13939923978550284</v>
          </cell>
        </row>
        <row r="35">
          <cell r="A35" t="str">
            <v>Margin Analysis</v>
          </cell>
        </row>
        <row r="36">
          <cell r="A36" t="str">
            <v>Gross Profit</v>
          </cell>
          <cell r="B36">
            <v>0.56499999999999995</v>
          </cell>
          <cell r="C36">
            <v>0.56499999999999995</v>
          </cell>
          <cell r="E36" t="str">
            <v>0 bps</v>
          </cell>
          <cell r="G36">
            <v>0.56357999999999997</v>
          </cell>
          <cell r="H36">
            <v>0.52643987874705289</v>
          </cell>
          <cell r="I36" t="str">
            <v>390 bps</v>
          </cell>
        </row>
        <row r="37">
          <cell r="A37" t="str">
            <v>SG&amp;A</v>
          </cell>
          <cell r="B37">
            <v>0.247</v>
          </cell>
          <cell r="C37">
            <v>0.247</v>
          </cell>
          <cell r="E37" t="str">
            <v>0 bps</v>
          </cell>
          <cell r="H37">
            <v>0.24284270798248569</v>
          </cell>
          <cell r="I37" t="str">
            <v>40 bps</v>
          </cell>
        </row>
        <row r="38">
          <cell r="A38" t="str">
            <v>R&amp;D</v>
          </cell>
          <cell r="B38">
            <v>6.5000000000000002E-2</v>
          </cell>
          <cell r="C38">
            <v>6.5000000000000002E-2</v>
          </cell>
          <cell r="E38" t="str">
            <v>0 bps</v>
          </cell>
          <cell r="H38">
            <v>6.2984169754125963E-2</v>
          </cell>
          <cell r="I38" t="str">
            <v>20 bps</v>
          </cell>
        </row>
        <row r="39">
          <cell r="A39" t="str">
            <v>Operating Income</v>
          </cell>
          <cell r="B39">
            <v>0.25299999999999995</v>
          </cell>
          <cell r="C39">
            <v>0.25299999999999995</v>
          </cell>
          <cell r="E39" t="str">
            <v>0 bps</v>
          </cell>
          <cell r="G39">
            <v>0.25357979061302321</v>
          </cell>
          <cell r="H39">
            <v>0.22061300101044123</v>
          </cell>
          <cell r="I39" t="str">
            <v>320 bps</v>
          </cell>
        </row>
        <row r="40">
          <cell r="A40" t="str">
            <v>Tax Rate</v>
          </cell>
          <cell r="B40">
            <v>0.17</v>
          </cell>
          <cell r="C40">
            <v>0.17</v>
          </cell>
          <cell r="E40" t="str">
            <v>0 bps</v>
          </cell>
          <cell r="G40">
            <v>0.19100965478731552</v>
          </cell>
          <cell r="H40">
            <v>0.1256544502617801</v>
          </cell>
          <cell r="I40" t="str">
            <v>440 bps</v>
          </cell>
        </row>
        <row r="41">
          <cell r="A41" t="str">
            <v>Net Income</v>
          </cell>
          <cell r="B41">
            <v>0.17320820324922104</v>
          </cell>
          <cell r="C41">
            <v>0.17320820324922104</v>
          </cell>
          <cell r="E41" t="str">
            <v>0 bps</v>
          </cell>
          <cell r="G41">
            <v>0.17429841925275488</v>
          </cell>
          <cell r="H41">
            <v>0.16874368474233747</v>
          </cell>
          <cell r="I41" t="str">
            <v>40 bps</v>
          </cell>
        </row>
      </sheetData>
      <sheetData sheetId="4">
        <row r="8">
          <cell r="B8" t="str">
            <v>Current Quarter</v>
          </cell>
          <cell r="D8" t="str">
            <v>2FQ17</v>
          </cell>
          <cell r="E8" t="str">
            <v>Y/Y</v>
          </cell>
        </row>
        <row r="9">
          <cell r="A9" t="str">
            <v>($ in millions, except EPS)</v>
          </cell>
          <cell r="B9" t="str">
            <v>2FQ18E</v>
          </cell>
          <cell r="C9" t="str">
            <v>Cons. Est.</v>
          </cell>
          <cell r="D9" t="str">
            <v>Actual</v>
          </cell>
          <cell r="E9" t="str">
            <v>% Change</v>
          </cell>
        </row>
        <row r="10">
          <cell r="A10" t="str">
            <v>Total Revenues</v>
          </cell>
          <cell r="B10">
            <v>4160.5509999999995</v>
          </cell>
          <cell r="C10">
            <v>4122.7969999999996</v>
          </cell>
          <cell r="D10">
            <v>2969</v>
          </cell>
          <cell r="E10">
            <v>0.40133075109464444</v>
          </cell>
        </row>
        <row r="11">
          <cell r="A11" t="str">
            <v>COGS</v>
          </cell>
          <cell r="B11">
            <v>1809.8396849999999</v>
          </cell>
          <cell r="C11">
            <v>1799.2710667400002</v>
          </cell>
          <cell r="D11">
            <v>1406</v>
          </cell>
        </row>
        <row r="12">
          <cell r="A12" t="str">
            <v>Gross Profit</v>
          </cell>
          <cell r="B12">
            <v>2350.7113149999996</v>
          </cell>
          <cell r="C12">
            <v>2323.5259332599994</v>
          </cell>
          <cell r="D12">
            <v>1563</v>
          </cell>
          <cell r="E12">
            <v>0.50397396992962218</v>
          </cell>
        </row>
        <row r="13">
          <cell r="A13" t="str">
            <v>Operating Expenses:</v>
          </cell>
        </row>
        <row r="14">
          <cell r="A14" t="str">
            <v>SG&amp;A</v>
          </cell>
          <cell r="B14">
            <v>1027.6560969999998</v>
          </cell>
          <cell r="D14">
            <v>721</v>
          </cell>
          <cell r="E14">
            <v>0.42532052288488176</v>
          </cell>
        </row>
        <row r="15">
          <cell r="A15" t="str">
            <v>R&amp;D</v>
          </cell>
          <cell r="B15">
            <v>270.43581499999999</v>
          </cell>
          <cell r="D15">
            <v>187</v>
          </cell>
          <cell r="E15">
            <v>0.44618082887700528</v>
          </cell>
        </row>
        <row r="16">
          <cell r="A16" t="str">
            <v>Total OpEx</v>
          </cell>
          <cell r="B16">
            <v>1298.0919119999999</v>
          </cell>
          <cell r="C16">
            <v>1278.0679332599993</v>
          </cell>
          <cell r="D16">
            <v>908</v>
          </cell>
          <cell r="E16">
            <v>0.42961664317180603</v>
          </cell>
        </row>
        <row r="17">
          <cell r="A17" t="str">
            <v>Operating Income (Loss)</v>
          </cell>
          <cell r="B17">
            <v>1052.6194029999997</v>
          </cell>
          <cell r="C17">
            <v>1045.4580000000001</v>
          </cell>
          <cell r="D17">
            <v>655</v>
          </cell>
          <cell r="E17">
            <v>0.60705252366412177</v>
          </cell>
        </row>
        <row r="18">
          <cell r="A18" t="str">
            <v>Interest (Expense)</v>
          </cell>
          <cell r="B18">
            <v>-185.254567775</v>
          </cell>
          <cell r="D18">
            <v>-83</v>
          </cell>
          <cell r="E18">
            <v>1.2319827442771083</v>
          </cell>
        </row>
        <row r="19">
          <cell r="A19" t="str">
            <v>Other Income</v>
          </cell>
          <cell r="B19">
            <v>47</v>
          </cell>
          <cell r="D19">
            <v>1</v>
          </cell>
          <cell r="E19">
            <v>46</v>
          </cell>
        </row>
        <row r="20">
          <cell r="A20" t="str">
            <v>Total Non-Op (Expense)</v>
          </cell>
          <cell r="B20">
            <v>-138.254567775</v>
          </cell>
          <cell r="D20">
            <v>-82</v>
          </cell>
          <cell r="E20">
            <v>0.68603131432926823</v>
          </cell>
        </row>
        <row r="21">
          <cell r="A21" t="str">
            <v>Pretax Income</v>
          </cell>
          <cell r="B21">
            <v>914.36483522499975</v>
          </cell>
          <cell r="C21">
            <v>888.26400000000001</v>
          </cell>
          <cell r="D21">
            <v>573</v>
          </cell>
          <cell r="E21">
            <v>0.59575014873472898</v>
          </cell>
        </row>
        <row r="22">
          <cell r="A22" t="str">
            <v>Income Taxes</v>
          </cell>
          <cell r="B22">
            <v>155.44202198824996</v>
          </cell>
          <cell r="C22">
            <v>169.66700000000003</v>
          </cell>
          <cell r="D22">
            <v>72</v>
          </cell>
          <cell r="E22">
            <v>1.1589169720590271</v>
          </cell>
        </row>
        <row r="23">
          <cell r="A23" t="str">
            <v>Net Income (Loss)</v>
          </cell>
          <cell r="B23">
            <v>720.64156323674979</v>
          </cell>
          <cell r="C23">
            <v>718.59699999999998</v>
          </cell>
          <cell r="D23">
            <v>501</v>
          </cell>
          <cell r="E23">
            <v>0.43840631384580786</v>
          </cell>
        </row>
        <row r="24">
          <cell r="A24" t="str">
            <v>Diluted Shares Outstanding</v>
          </cell>
          <cell r="B24">
            <v>275.03952875317526</v>
          </cell>
          <cell r="C24">
            <v>273.95996950057184</v>
          </cell>
          <cell r="D24">
            <v>217.86600000000001</v>
          </cell>
          <cell r="E24" t="str">
            <v>--</v>
          </cell>
        </row>
        <row r="25">
          <cell r="A25" t="str">
            <v>EPS, Diluted</v>
          </cell>
          <cell r="B25">
            <v>2.6201381543358617</v>
          </cell>
          <cell r="C25">
            <v>2.6230000000000002</v>
          </cell>
          <cell r="D25">
            <v>2.2995786400815179</v>
          </cell>
          <cell r="E25">
            <v>0.13939923978550284</v>
          </cell>
        </row>
        <row r="27">
          <cell r="A27" t="str">
            <v>Margin Analysis</v>
          </cell>
        </row>
        <row r="28">
          <cell r="A28" t="str">
            <v>Gross Margin</v>
          </cell>
          <cell r="B28">
            <v>0.56499999999999995</v>
          </cell>
          <cell r="C28">
            <v>0.56357999999999997</v>
          </cell>
          <cell r="D28">
            <v>0.52643987874705289</v>
          </cell>
          <cell r="E28" t="str">
            <v>390 bps</v>
          </cell>
        </row>
        <row r="29">
          <cell r="A29" t="str">
            <v>SG&amp;A</v>
          </cell>
          <cell r="B29">
            <v>0.247</v>
          </cell>
          <cell r="D29">
            <v>0.24284270798248569</v>
          </cell>
          <cell r="E29" t="str">
            <v>40 bps</v>
          </cell>
        </row>
        <row r="30">
          <cell r="A30" t="str">
            <v>R&amp;D</v>
          </cell>
          <cell r="B30">
            <v>6.5000000000000002E-2</v>
          </cell>
          <cell r="D30">
            <v>6.2984169754125963E-2</v>
          </cell>
          <cell r="E30" t="str">
            <v>20 bps</v>
          </cell>
        </row>
        <row r="31">
          <cell r="A31" t="str">
            <v>Operating Income</v>
          </cell>
          <cell r="B31">
            <v>0.25299999999999995</v>
          </cell>
          <cell r="C31">
            <v>0.25357979061302321</v>
          </cell>
          <cell r="D31">
            <v>0.22061300101044123</v>
          </cell>
          <cell r="E31" t="str">
            <v>320 bps</v>
          </cell>
        </row>
        <row r="32">
          <cell r="A32" t="str">
            <v>Tax Rate</v>
          </cell>
          <cell r="B32">
            <v>0.17</v>
          </cell>
          <cell r="C32">
            <v>0.19100965478731552</v>
          </cell>
          <cell r="D32">
            <v>0.1256544502617801</v>
          </cell>
          <cell r="E32" t="str">
            <v>440 bps</v>
          </cell>
        </row>
        <row r="33">
          <cell r="A33" t="str">
            <v>Net Income</v>
          </cell>
          <cell r="B33">
            <v>0.17320820324922104</v>
          </cell>
          <cell r="C33">
            <v>0.17429841925275488</v>
          </cell>
          <cell r="D33">
            <v>0.16874368474233747</v>
          </cell>
          <cell r="E33" t="str">
            <v>40 bps</v>
          </cell>
        </row>
      </sheetData>
      <sheetData sheetId="5">
        <row r="7">
          <cell r="B7">
            <v>2016</v>
          </cell>
          <cell r="C7">
            <v>2017</v>
          </cell>
          <cell r="D7">
            <v>2018</v>
          </cell>
          <cell r="E7">
            <v>2019</v>
          </cell>
          <cell r="F7">
            <v>2020</v>
          </cell>
          <cell r="G7">
            <v>2021</v>
          </cell>
        </row>
        <row r="8">
          <cell r="A8" t="str">
            <v>Medical ($MM)</v>
          </cell>
        </row>
        <row r="9">
          <cell r="A9" t="str">
            <v xml:space="preserve">   Current</v>
          </cell>
          <cell r="B9">
            <v>7860</v>
          </cell>
          <cell r="C9">
            <v>8207</v>
          </cell>
          <cell r="D9">
            <v>8735.3079356422513</v>
          </cell>
          <cell r="E9">
            <v>9249.2461149982373</v>
          </cell>
          <cell r="F9">
            <v>9763.8766389723205</v>
          </cell>
          <cell r="G9">
            <v>10307.648872981355</v>
          </cell>
        </row>
        <row r="10">
          <cell r="A10" t="str">
            <v>% FXN growth</v>
          </cell>
          <cell r="B10">
            <v>0</v>
          </cell>
          <cell r="C10">
            <v>0.20126701359828242</v>
          </cell>
          <cell r="D10">
            <v>0.19034484416796038</v>
          </cell>
          <cell r="E10">
            <v>0.22128213303791891</v>
          </cell>
          <cell r="F10">
            <v>0.22257672033750353</v>
          </cell>
          <cell r="G10">
            <v>0.22278415621373648</v>
          </cell>
        </row>
        <row r="11">
          <cell r="A11" t="str">
            <v xml:space="preserve">   Prior</v>
          </cell>
          <cell r="B11">
            <v>7818.99</v>
          </cell>
          <cell r="C11">
            <v>8103.9</v>
          </cell>
          <cell r="D11">
            <v>8566.7725103037556</v>
          </cell>
          <cell r="E11">
            <v>9039.8320968869593</v>
          </cell>
          <cell r="F11">
            <v>9541.917931239248</v>
          </cell>
          <cell r="G11">
            <v>10072.394873561901</v>
          </cell>
        </row>
        <row r="12">
          <cell r="A12" t="str">
            <v>% FXN growth</v>
          </cell>
          <cell r="B12">
            <v>0.37353579914928409</v>
          </cell>
          <cell r="C12">
            <v>4.2065535318500095E-2</v>
          </cell>
          <cell r="D12">
            <v>4.8156412344673633E-2</v>
          </cell>
          <cell r="E12">
            <v>5.5220281151883821E-2</v>
          </cell>
          <cell r="F12">
            <v>5.5541499993699173E-2</v>
          </cell>
          <cell r="G12">
            <v>5.559437276083945E-2</v>
          </cell>
        </row>
        <row r="13">
          <cell r="A13" t="str">
            <v>Life Sciences ($MM)</v>
          </cell>
        </row>
        <row r="14">
          <cell r="A14" t="str">
            <v xml:space="preserve">   Current</v>
          </cell>
          <cell r="B14">
            <v>3828</v>
          </cell>
          <cell r="C14">
            <v>3990</v>
          </cell>
          <cell r="D14">
            <v>4351.1185662690859</v>
          </cell>
          <cell r="E14">
            <v>4595.026222378785</v>
          </cell>
          <cell r="F14">
            <v>4810.2938915940631</v>
          </cell>
          <cell r="G14">
            <v>5036.2619568313658</v>
          </cell>
        </row>
        <row r="15">
          <cell r="A15" t="str">
            <v>% FXN growth</v>
          </cell>
          <cell r="B15">
            <v>3.4138937230938367E-2</v>
          </cell>
          <cell r="C15">
            <v>4.8334378265412807E-2</v>
          </cell>
          <cell r="D15">
            <v>5.3156140350877013E-2</v>
          </cell>
          <cell r="E15">
            <v>4.6647487955406797E-2</v>
          </cell>
          <cell r="F15">
            <v>4.684797404786889E-2</v>
          </cell>
          <cell r="G15">
            <v>4.697593750605944E-2</v>
          </cell>
        </row>
        <row r="16">
          <cell r="A16" t="str">
            <v xml:space="preserve">   Prior</v>
          </cell>
          <cell r="B16">
            <v>3828.4</v>
          </cell>
          <cell r="C16">
            <v>3990.5</v>
          </cell>
          <cell r="D16">
            <v>4223.1937727219074</v>
          </cell>
          <cell r="E16">
            <v>4419.4142067177891</v>
          </cell>
          <cell r="F16">
            <v>4625.3201465118518</v>
          </cell>
          <cell r="G16">
            <v>4841.415521270148</v>
          </cell>
        </row>
        <row r="17">
          <cell r="A17" t="str">
            <v>% FXN growth</v>
          </cell>
          <cell r="B17">
            <v>3.4243617759051666E-2</v>
          </cell>
          <cell r="C17">
            <v>4.8349179814021405E-2</v>
          </cell>
          <cell r="D17">
            <v>4.6727603057261057E-2</v>
          </cell>
          <cell r="E17">
            <v>4.6462569457099478E-2</v>
          </cell>
          <cell r="F17">
            <v>4.6591229100244158E-2</v>
          </cell>
          <cell r="G17">
            <v>4.6720090266889391E-2</v>
          </cell>
        </row>
        <row r="18">
          <cell r="A18" t="str">
            <v>Interventional ($MM)</v>
          </cell>
        </row>
        <row r="19">
          <cell r="A19" t="str">
            <v xml:space="preserve">   Current</v>
          </cell>
          <cell r="B19">
            <v>3349</v>
          </cell>
          <cell r="C19">
            <v>3540</v>
          </cell>
          <cell r="D19">
            <v>3766.9984980886629</v>
          </cell>
          <cell r="E19">
            <v>3982.1782763584761</v>
          </cell>
          <cell r="F19">
            <v>4201.5497210495223</v>
          </cell>
          <cell r="G19">
            <v>4437.1557187165999</v>
          </cell>
        </row>
        <row r="20">
          <cell r="A20" t="str">
            <v>% FXN growth</v>
          </cell>
          <cell r="C20">
            <v>6.3804717826216772E-2</v>
          </cell>
          <cell r="D20">
            <v>5.0940395480225935E-2</v>
          </cell>
          <cell r="E20">
            <v>5.4050806534860205E-2</v>
          </cell>
          <cell r="F20">
            <v>5.5088303302094133E-2</v>
          </cell>
          <cell r="G20">
            <v>5.6075975130486899E-2</v>
          </cell>
        </row>
        <row r="21">
          <cell r="A21" t="str">
            <v xml:space="preserve">   Prior</v>
          </cell>
        </row>
        <row r="22">
          <cell r="A22" t="str">
            <v>% FXN growth</v>
          </cell>
        </row>
        <row r="23">
          <cell r="A23" t="str">
            <v>Total Revenues ($MM)</v>
          </cell>
        </row>
        <row r="24">
          <cell r="A24" t="str">
            <v xml:space="preserve">   Current</v>
          </cell>
          <cell r="B24">
            <v>12497.24</v>
          </cell>
          <cell r="C24">
            <v>12092.49</v>
          </cell>
          <cell r="D24">
            <v>15900.424999999999</v>
          </cell>
          <cell r="E24">
            <v>17826.450613735498</v>
          </cell>
          <cell r="F24">
            <v>18775.720251615905</v>
          </cell>
          <cell r="G24">
            <v>19781.066548529321</v>
          </cell>
        </row>
        <row r="25">
          <cell r="A25" t="str">
            <v>% FXN growth</v>
          </cell>
          <cell r="C25">
            <v>5.2348473764713674E-2</v>
          </cell>
          <cell r="D25">
            <v>4.992336531740469E-2</v>
          </cell>
          <cell r="E25">
            <v>5.279524514471802E-2</v>
          </cell>
          <cell r="F25">
            <v>5.3250625065484503E-2</v>
          </cell>
          <cell r="G25">
            <v>5.3545018962822155E-2</v>
          </cell>
        </row>
        <row r="26">
          <cell r="A26" t="str">
            <v xml:space="preserve">   Prior</v>
          </cell>
          <cell r="B26">
            <v>12497.24</v>
          </cell>
          <cell r="C26">
            <v>12092.49</v>
          </cell>
          <cell r="D26">
            <v>15894.104963149619</v>
          </cell>
          <cell r="E26">
            <v>17856.362548910136</v>
          </cell>
          <cell r="F26">
            <v>18713.024480754997</v>
          </cell>
          <cell r="G26">
            <v>19726.254264563009</v>
          </cell>
        </row>
        <row r="27">
          <cell r="A27" t="str">
            <v>% FXN growth</v>
          </cell>
          <cell r="B27">
            <v>0.24735109551625079</v>
          </cell>
          <cell r="C27">
            <v>4.4130916883524954E-2</v>
          </cell>
          <cell r="D27">
            <v>4.7684982305860706E-2</v>
          </cell>
          <cell r="E27">
            <v>5.2328521105432957E-2</v>
          </cell>
          <cell r="F27">
            <v>5.2602631542357114E-2</v>
          </cell>
          <cell r="G27">
            <v>5.2697096850048863E-2</v>
          </cell>
        </row>
        <row r="28">
          <cell r="A28" t="str">
            <v>Gross Profit ($MM)</v>
          </cell>
        </row>
        <row r="29">
          <cell r="A29" t="str">
            <v>Current ($MM)</v>
          </cell>
          <cell r="B29">
            <v>6564.49</v>
          </cell>
          <cell r="C29">
            <v>6470.49</v>
          </cell>
          <cell r="D29">
            <v>9010.5386549999985</v>
          </cell>
          <cell r="E29">
            <v>10263.775593681668</v>
          </cell>
          <cell r="F29">
            <v>10979.308460625754</v>
          </cell>
          <cell r="G29">
            <v>11672.533723256052</v>
          </cell>
        </row>
        <row r="30">
          <cell r="A30" t="str">
            <v>% sales</v>
          </cell>
          <cell r="B30">
            <v>0</v>
          </cell>
          <cell r="C30">
            <v>0.53508334511750677</v>
          </cell>
          <cell r="D30">
            <v>0.56668539708844257</v>
          </cell>
          <cell r="E30">
            <v>0.57576103151870872</v>
          </cell>
          <cell r="F30">
            <v>0.58476097393285542</v>
          </cell>
          <cell r="G30">
            <v>0.59008616621452492</v>
          </cell>
        </row>
        <row r="31">
          <cell r="A31" t="str">
            <v>Prior ($MM)</v>
          </cell>
          <cell r="B31">
            <v>6564.49</v>
          </cell>
          <cell r="C31">
            <v>6470.49</v>
          </cell>
          <cell r="D31">
            <v>9031.2495582624833</v>
          </cell>
          <cell r="E31">
            <v>10355.835572858849</v>
          </cell>
          <cell r="F31">
            <v>10942.174372340778</v>
          </cell>
          <cell r="G31">
            <v>11643.533084485738</v>
          </cell>
        </row>
        <row r="32">
          <cell r="A32" t="str">
            <v>% sales</v>
          </cell>
          <cell r="B32">
            <v>0</v>
          </cell>
          <cell r="C32">
            <v>0.53508334511750677</v>
          </cell>
          <cell r="D32">
            <v>0.56821378613022744</v>
          </cell>
          <cell r="E32">
            <v>0.57995213439989868</v>
          </cell>
          <cell r="F32">
            <v>0.584735748280243</v>
          </cell>
          <cell r="G32">
            <v>0.5902556526102688</v>
          </cell>
        </row>
        <row r="33">
          <cell r="A33" t="str">
            <v>SG&amp;A ($MM)</v>
          </cell>
        </row>
        <row r="34">
          <cell r="A34" t="str">
            <v>Current ($MM)</v>
          </cell>
          <cell r="B34">
            <v>3012.75</v>
          </cell>
          <cell r="C34">
            <v>2925</v>
          </cell>
          <cell r="D34">
            <v>3891.2244920000003</v>
          </cell>
          <cell r="E34">
            <v>4233.3697873725769</v>
          </cell>
          <cell r="F34">
            <v>4271.0423550839132</v>
          </cell>
          <cell r="G34">
            <v>4381.0492491871837</v>
          </cell>
        </row>
        <row r="35">
          <cell r="A35" t="str">
            <v>% sales</v>
          </cell>
          <cell r="B35">
            <v>0</v>
          </cell>
          <cell r="C35">
            <v>0.24188566622755114</v>
          </cell>
          <cell r="D35">
            <v>0.24472455874607127</v>
          </cell>
          <cell r="E35">
            <v>0.23747687518404328</v>
          </cell>
          <cell r="F35">
            <v>0.22747688492622978</v>
          </cell>
          <cell r="G35">
            <v>0.22147689753932429</v>
          </cell>
        </row>
        <row r="36">
          <cell r="A36" t="str">
            <v>Prior ($MM)</v>
          </cell>
          <cell r="B36">
            <v>3012.75</v>
          </cell>
          <cell r="C36">
            <v>2925</v>
          </cell>
          <cell r="D36">
            <v>3859.0000612496074</v>
          </cell>
          <cell r="E36">
            <v>4217.967644212782</v>
          </cell>
          <cell r="F36">
            <v>4313.4869658465559</v>
          </cell>
          <cell r="G36">
            <v>4455.8009152813493</v>
          </cell>
        </row>
        <row r="37">
          <cell r="A37" t="str">
            <v>% sales</v>
          </cell>
          <cell r="B37">
            <v>0</v>
          </cell>
          <cell r="C37">
            <v>0.24188566622755114</v>
          </cell>
          <cell r="D37">
            <v>0.24279442410860344</v>
          </cell>
          <cell r="E37">
            <v>0.23621651009041739</v>
          </cell>
          <cell r="F37">
            <v>0.23050720476974035</v>
          </cell>
          <cell r="G37">
            <v>0.22588175410908695</v>
          </cell>
        </row>
        <row r="38">
          <cell r="A38" t="str">
            <v>R&amp;D ($MM)</v>
          </cell>
        </row>
        <row r="39">
          <cell r="A39" t="str">
            <v>Current ($MM)</v>
          </cell>
          <cell r="B39">
            <v>828.75</v>
          </cell>
          <cell r="C39">
            <v>775</v>
          </cell>
          <cell r="D39">
            <v>1042.7070370000001</v>
          </cell>
          <cell r="E39">
            <v>1180.8679739010945</v>
          </cell>
          <cell r="F39">
            <v>1187.4232787014078</v>
          </cell>
          <cell r="G39">
            <v>1221.3328422830441</v>
          </cell>
        </row>
        <row r="40">
          <cell r="A40" t="str">
            <v>% sales</v>
          </cell>
          <cell r="B40">
            <v>0.24107322896895636</v>
          </cell>
          <cell r="C40">
            <v>6.4089364556017825E-2</v>
          </cell>
          <cell r="D40">
            <v>6.5577306078296663E-2</v>
          </cell>
          <cell r="E40">
            <v>6.6242461805112299E-2</v>
          </cell>
          <cell r="F40">
            <v>6.3242488852016956E-2</v>
          </cell>
          <cell r="G40">
            <v>6.1742517234180554E-2</v>
          </cell>
        </row>
        <row r="41">
          <cell r="A41" t="str">
            <v>Prior ($MM)</v>
          </cell>
          <cell r="B41">
            <v>828.75</v>
          </cell>
          <cell r="C41">
            <v>775</v>
          </cell>
          <cell r="D41">
            <v>1049.4708780507631</v>
          </cell>
          <cell r="E41">
            <v>1180.4770426128312</v>
          </cell>
          <cell r="F41">
            <v>1205.2157464663549</v>
          </cell>
          <cell r="G41">
            <v>1263.4304340086178</v>
          </cell>
        </row>
        <row r="42">
          <cell r="A42" t="str">
            <v>% sales</v>
          </cell>
          <cell r="B42">
            <v>0.24107322896895636</v>
          </cell>
          <cell r="C42">
            <v>6.4089364556017825E-2</v>
          </cell>
          <cell r="D42">
            <v>6.6028938432453707E-2</v>
          </cell>
          <cell r="E42">
            <v>6.6109603194906094E-2</v>
          </cell>
          <cell r="F42">
            <v>6.4405181947249243E-2</v>
          </cell>
          <cell r="G42">
            <v>6.404816733394196E-2</v>
          </cell>
        </row>
        <row r="43">
          <cell r="A43" t="str">
            <v>Interest Income (Expense)</v>
          </cell>
        </row>
        <row r="44">
          <cell r="A44" t="str">
            <v xml:space="preserve">   Current</v>
          </cell>
          <cell r="B44">
            <v>-399</v>
          </cell>
          <cell r="C44">
            <v>-328</v>
          </cell>
          <cell r="D44">
            <v>-615.81146126106398</v>
          </cell>
          <cell r="E44">
            <v>-686.54386584592464</v>
          </cell>
          <cell r="F44">
            <v>-624.14135636954643</v>
          </cell>
          <cell r="G44">
            <v>-538.81094823027479</v>
          </cell>
        </row>
        <row r="45">
          <cell r="A45" t="str">
            <v xml:space="preserve">   Prior</v>
          </cell>
          <cell r="B45">
            <v>-399</v>
          </cell>
          <cell r="C45">
            <v>-328</v>
          </cell>
          <cell r="D45">
            <v>-569.9441831823799</v>
          </cell>
          <cell r="E45">
            <v>-606.57709787317822</v>
          </cell>
          <cell r="F45">
            <v>-546.35779677426081</v>
          </cell>
          <cell r="G45">
            <v>-463.66407456691195</v>
          </cell>
        </row>
        <row r="46">
          <cell r="A46" t="str">
            <v>Other Income (Expense)</v>
          </cell>
        </row>
        <row r="47">
          <cell r="A47" t="str">
            <v xml:space="preserve">   Current</v>
          </cell>
          <cell r="B47">
            <v>12</v>
          </cell>
          <cell r="C47">
            <v>-1</v>
          </cell>
          <cell r="D47">
            <v>131</v>
          </cell>
          <cell r="E47">
            <v>161</v>
          </cell>
          <cell r="F47">
            <v>40</v>
          </cell>
          <cell r="G47">
            <v>40</v>
          </cell>
        </row>
        <row r="48">
          <cell r="A48" t="str">
            <v xml:space="preserve">   Prior</v>
          </cell>
          <cell r="B48">
            <v>12</v>
          </cell>
          <cell r="C48">
            <v>-1</v>
          </cell>
          <cell r="D48">
            <v>22</v>
          </cell>
          <cell r="E48">
            <v>28</v>
          </cell>
          <cell r="F48">
            <v>28</v>
          </cell>
          <cell r="G48">
            <v>28</v>
          </cell>
        </row>
        <row r="49">
          <cell r="A49" t="str">
            <v xml:space="preserve">EPS, diluted </v>
          </cell>
        </row>
        <row r="50">
          <cell r="A50" t="str">
            <v xml:space="preserve">   Current</v>
          </cell>
          <cell r="B50">
            <v>8.612588121457863</v>
          </cell>
          <cell r="C50">
            <v>9.4884923677903199</v>
          </cell>
          <cell r="D50">
            <v>10.993921011160797</v>
          </cell>
          <cell r="E50">
            <v>12.491554767027795</v>
          </cell>
          <cell r="F50">
            <v>14.200277828561807</v>
          </cell>
          <cell r="G50">
            <v>15.89554418576318</v>
          </cell>
        </row>
        <row r="51">
          <cell r="A51" t="str">
            <v xml:space="preserve">   Prior</v>
          </cell>
          <cell r="B51">
            <v>8.612588121457863</v>
          </cell>
          <cell r="C51">
            <v>9.4884923677903199</v>
          </cell>
          <cell r="D51">
            <v>10.841677974828478</v>
          </cell>
          <cell r="E51">
            <v>12.424738826180008</v>
          </cell>
          <cell r="F51">
            <v>13.846671848239385</v>
          </cell>
          <cell r="G51">
            <v>15.306606866781333</v>
          </cell>
        </row>
        <row r="52">
          <cell r="A52" t="str">
            <v>Diluted Shares Outstanding</v>
          </cell>
        </row>
        <row r="53">
          <cell r="A53" t="str">
            <v xml:space="preserve">   Current</v>
          </cell>
          <cell r="B53">
            <v>217.02999999999997</v>
          </cell>
          <cell r="C53">
            <v>218.10525000000001</v>
          </cell>
          <cell r="D53">
            <v>261.13036912116189</v>
          </cell>
          <cell r="E53">
            <v>275.91441109159865</v>
          </cell>
          <cell r="F53">
            <v>290.28627310038183</v>
          </cell>
          <cell r="G53">
            <v>292.6650019906524</v>
          </cell>
        </row>
        <row r="54">
          <cell r="A54" t="str">
            <v xml:space="preserve">   Prior</v>
          </cell>
          <cell r="B54">
            <v>217.02999999999997</v>
          </cell>
          <cell r="C54">
            <v>218.10525000000001</v>
          </cell>
          <cell r="D54">
            <v>261.20308953975456</v>
          </cell>
          <cell r="E54">
            <v>284.13617879575213</v>
          </cell>
          <cell r="F54">
            <v>289.5743912071859</v>
          </cell>
          <cell r="G54">
            <v>295.56861991309574</v>
          </cell>
        </row>
        <row r="55">
          <cell r="A55" t="str">
            <v>Free Cash Flow</v>
          </cell>
        </row>
        <row r="56">
          <cell r="A56" t="str">
            <v xml:space="preserve">   Current</v>
          </cell>
          <cell r="B56">
            <v>1866</v>
          </cell>
          <cell r="C56">
            <v>1823</v>
          </cell>
          <cell r="D56">
            <v>2567.8457343465725</v>
          </cell>
          <cell r="E56">
            <v>3670.729796809137</v>
          </cell>
          <cell r="F56">
            <v>4517.9715445260381</v>
          </cell>
          <cell r="G56">
            <v>5288.5958796136565</v>
          </cell>
        </row>
        <row r="57">
          <cell r="A57" t="str">
            <v xml:space="preserve">   Prior</v>
          </cell>
          <cell r="B57">
            <v>1866</v>
          </cell>
          <cell r="C57">
            <v>1823</v>
          </cell>
          <cell r="D57">
            <v>3798.4376317260158</v>
          </cell>
          <cell r="E57">
            <v>3782.412906564985</v>
          </cell>
          <cell r="F57">
            <v>4440.7379193554989</v>
          </cell>
          <cell r="G57">
            <v>5217.9327078110282</v>
          </cell>
        </row>
      </sheetData>
      <sheetData sheetId="6">
        <row r="31">
          <cell r="L31" t="str">
            <v>$250</v>
          </cell>
          <cell r="P31" t="str">
            <v>Our price target of $250 for BDX is based on a 15.6x multiple off of our base case CY19e EBITDA, which is slightly below BD's current multiple, and a premium to peers, as BD's EBITDA does not reflect the full benefit of synergies from Bard or deleveraging until year 3.</v>
          </cell>
        </row>
        <row r="34">
          <cell r="L34" t="str">
            <v>$275</v>
          </cell>
          <cell r="N34" t="str">
            <v>16.4x Bull Case CY19e EBITDA $5.9Bn</v>
          </cell>
          <cell r="P34" t="str">
            <v>Better pipeline execution drives organic sales acceleration while Bard drives additional growth in the high single digits. BD delivers synergies materially above forecasts and ahead of schedule. Manufacturing relocation and ERP implementation yield greater than expected benefits driving operating margin expansion. Share repurchases start earlier than expected.</v>
          </cell>
        </row>
        <row r="37">
          <cell r="L37" t="str">
            <v>$250</v>
          </cell>
          <cell r="N37" t="str">
            <v>15.6x Base Case CY19e EBITDA $5.8Bn</v>
          </cell>
          <cell r="P37" t="str">
            <v>Organic growth improvement becomes more evident in FY18 and FY19 as new products ramp, and cost programs gain traction. FX remains a manageable headwind. Our $250 base case reflects a 15.6x multiple on our CY19 EBITDA estimate, a slight discount to current levels and a premium to Device peers. On P/E, our valuation appears in line with peers given higher leverage but a slightly better growth profile.</v>
          </cell>
        </row>
        <row r="41">
          <cell r="L41" t="str">
            <v>$195</v>
          </cell>
          <cell r="N41" t="str">
            <v>13.6x Bear Case CY19e EBITDA $5.5Bn</v>
          </cell>
          <cell r="P41" t="str">
            <v>Bard integration takes longer than anticipated while organic growth slows due to additional EU austerity and poor pipeline execution. Dwindling US cash reserves push out buybacks. Poor execution on cost initiatives and additional price pressures limit margin expansion. We see BD's multiple contract to the low end of the device peer group.</v>
          </cell>
        </row>
      </sheetData>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arget="../printerSettings/printerSettings1.bin" Type="http://schemas.openxmlformats.org/officeDocument/2006/relationships/printerSettings"/>
<Relationship Id="rId2" Target="../drawings/drawing1.xml" Type="http://schemas.openxmlformats.org/officeDocument/2006/relationships/drawing"/>
</Relationships>

</file>

<file path=xl/worksheets/_rels/sheet2.xml.rels><?xml version="1.0" encoding="UTF-8" standalone="yes"?>
<Relationships xmlns="http://schemas.openxmlformats.org/package/2006/relationships">
<Relationship Id="rId1" Target="../printerSettings/printerSettings2.bin" Type="http://schemas.openxmlformats.org/officeDocument/2006/relationships/printerSettings"/>
<Relationship Id="rId2" Target="../drawings/drawing2.xml" Type="http://schemas.openxmlformats.org/officeDocument/2006/relationships/drawing"/>
</Relationships>

</file>

<file path=xl/worksheets/_rels/sheet3.xml.rels><?xml version="1.0" encoding="UTF-8" standalone="yes"?>
<Relationships xmlns="http://schemas.openxmlformats.org/package/2006/relationships">
<Relationship Id="rId1" Target="../printerSettings/printerSettings3.bin" Type="http://schemas.openxmlformats.org/officeDocument/2006/relationships/printerSettings"/>
</Relationships>

</file>

<file path=xl/worksheets/_rels/sheet4.xml.rels><?xml version="1.0" encoding="UTF-8" standalone="yes"?>
<Relationships xmlns="http://schemas.openxmlformats.org/package/2006/relationships">
<Relationship Id="rId1" Target="../printerSettings/printerSettings4.bin" Type="http://schemas.openxmlformats.org/officeDocument/2006/relationships/printerSettings"/>
</Relationships>

</file>

<file path=xl/worksheets/_rels/sheet5.xml.rels><?xml version="1.0" encoding="UTF-8" standalone="yes"?>
<Relationships xmlns="http://schemas.openxmlformats.org/package/2006/relationships">
<Relationship Id="rId1" Target="../printerSettings/printerSettings5.bin" Type="http://schemas.openxmlformats.org/officeDocument/2006/relationships/printerSettings"/>
</Relationships>

</file>

<file path=xl/worksheets/_rels/sheet6.xml.rels><?xml version="1.0" encoding="UTF-8" standalone="yes"?>
<Relationships xmlns="http://schemas.openxmlformats.org/package/2006/relationships">
<Relationship Id="rId1" Target="../printerSettings/printerSettings6.bin" Type="http://schemas.openxmlformats.org/officeDocument/2006/relationships/printerSettings"/>
</Relationships>

</file>

<file path=xl/worksheets/_rels/sheet7.xml.rels><?xml version="1.0" encoding="UTF-8" standalone="yes"?>
<Relationships xmlns="http://schemas.openxmlformats.org/package/2006/relationships">
<Relationship Id="rId1" Target="../printerSettings/printerSettings7.bin" Type="http://schemas.openxmlformats.org/officeDocument/2006/relationships/printerSettings"/>
</Relationships>

</file>

<file path=xl/worksheets/_rels/sheet8.xml.rels><?xml version="1.0" encoding="UTF-8" standalone="yes"?>
<Relationships xmlns="http://schemas.openxmlformats.org/package/2006/relationships">
<Relationship Id="rId1" Target="../printerSettings/printerSettings8.bin" Type="http://schemas.openxmlformats.org/officeDocument/2006/relationships/printerSettings"/>
</Relationships>

</file>

<file path=xl/worksheets/_rels/sheet9.xml.rels><?xml version="1.0" encoding="UTF-8" standalone="yes"?>
<Relationships xmlns="http://schemas.openxmlformats.org/package/2006/relationships">
<Relationship Id="rId1" Target="../printerSettings/printerSettings9.bin" Type="http://schemas.openxmlformats.org/officeDocument/2006/relationships/printerSettings"/>
</Relationships>

</file>

<file path=xl/worksheets/_rels/sheet10.xml.rels><?xml version="1.0" encoding="UTF-8" standalone="yes"?>
<Relationships xmlns="http://schemas.openxmlformats.org/package/2006/relationships">
<Relationship Id="rId1" Target="../printerSettings/printerSettings10.bin" Type="http://schemas.openxmlformats.org/officeDocument/2006/relationships/printerSettings"/>
</Relationships>

</file>

<file path=xl/worksheets/_rels/sheet12.xml.rels><?xml version="1.0" encoding="UTF-8" standalone="yes"?>
<Relationships xmlns="http://schemas.openxmlformats.org/package/2006/relationships">
<Relationship Id="rId1" Target="../printerSettings/printerSettings11.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H394"/>
  <sheetViews>
    <sheetView showGridLines="0" tabSelected="1" workbookViewId="0">
      <selection activeCell="Z1" sqref="Z1"/>
    </sheetView>
  </sheetViews>
  <sheetFormatPr defaultRowHeight="12.75" x14ac:dyDescent="0.2"/>
  <cols>
    <col min="1" max="1" width="25.7109375" style="781" customWidth="1"/>
    <col min="2" max="5" width="9.140625" style="781"/>
    <col min="6" max="6" width="18.7109375" style="781" customWidth="1"/>
    <col min="7" max="256" width="9.140625" style="781"/>
    <col min="257" max="257" width="100.7109375" style="781" customWidth="1"/>
    <col min="258" max="512" width="9.140625" style="781"/>
    <col min="513" max="513" width="100.7109375" style="781" customWidth="1"/>
    <col min="514" max="768" width="9.140625" style="781"/>
    <col min="769" max="769" width="100.7109375" style="781" customWidth="1"/>
    <col min="770" max="1024" width="9.140625" style="781"/>
    <col min="1025" max="1025" width="100.7109375" style="781" customWidth="1"/>
    <col min="1026" max="1280" width="9.140625" style="781"/>
    <col min="1281" max="1281" width="100.7109375" style="781" customWidth="1"/>
    <col min="1282" max="1536" width="9.140625" style="781"/>
    <col min="1537" max="1537" width="100.7109375" style="781" customWidth="1"/>
    <col min="1538" max="1792" width="9.140625" style="781"/>
    <col min="1793" max="1793" width="100.7109375" style="781" customWidth="1"/>
    <col min="1794" max="2048" width="9.140625" style="781"/>
    <col min="2049" max="2049" width="100.7109375" style="781" customWidth="1"/>
    <col min="2050" max="2304" width="9.140625" style="781"/>
    <col min="2305" max="2305" width="100.7109375" style="781" customWidth="1"/>
    <col min="2306" max="2560" width="9.140625" style="781"/>
    <col min="2561" max="2561" width="100.7109375" style="781" customWidth="1"/>
    <col min="2562" max="2816" width="9.140625" style="781"/>
    <col min="2817" max="2817" width="100.7109375" style="781" customWidth="1"/>
    <col min="2818" max="3072" width="9.140625" style="781"/>
    <col min="3073" max="3073" width="100.7109375" style="781" customWidth="1"/>
    <col min="3074" max="3328" width="9.140625" style="781"/>
    <col min="3329" max="3329" width="100.7109375" style="781" customWidth="1"/>
    <col min="3330" max="3584" width="9.140625" style="781"/>
    <col min="3585" max="3585" width="100.7109375" style="781" customWidth="1"/>
    <col min="3586" max="3840" width="9.140625" style="781"/>
    <col min="3841" max="3841" width="100.7109375" style="781" customWidth="1"/>
    <col min="3842" max="4096" width="9.140625" style="781"/>
    <col min="4097" max="4097" width="100.7109375" style="781" customWidth="1"/>
    <col min="4098" max="4352" width="9.140625" style="781"/>
    <col min="4353" max="4353" width="100.7109375" style="781" customWidth="1"/>
    <col min="4354" max="4608" width="9.140625" style="781"/>
    <col min="4609" max="4609" width="100.7109375" style="781" customWidth="1"/>
    <col min="4610" max="4864" width="9.140625" style="781"/>
    <col min="4865" max="4865" width="100.7109375" style="781" customWidth="1"/>
    <col min="4866" max="5120" width="9.140625" style="781"/>
    <col min="5121" max="5121" width="100.7109375" style="781" customWidth="1"/>
    <col min="5122" max="5376" width="9.140625" style="781"/>
    <col min="5377" max="5377" width="100.7109375" style="781" customWidth="1"/>
    <col min="5378" max="5632" width="9.140625" style="781"/>
    <col min="5633" max="5633" width="100.7109375" style="781" customWidth="1"/>
    <col min="5634" max="5888" width="9.140625" style="781"/>
    <col min="5889" max="5889" width="100.7109375" style="781" customWidth="1"/>
    <col min="5890" max="6144" width="9.140625" style="781"/>
    <col min="6145" max="6145" width="100.7109375" style="781" customWidth="1"/>
    <col min="6146" max="6400" width="9.140625" style="781"/>
    <col min="6401" max="6401" width="100.7109375" style="781" customWidth="1"/>
    <col min="6402" max="6656" width="9.140625" style="781"/>
    <col min="6657" max="6657" width="100.7109375" style="781" customWidth="1"/>
    <col min="6658" max="6912" width="9.140625" style="781"/>
    <col min="6913" max="6913" width="100.7109375" style="781" customWidth="1"/>
    <col min="6914" max="7168" width="9.140625" style="781"/>
    <col min="7169" max="7169" width="100.7109375" style="781" customWidth="1"/>
    <col min="7170" max="7424" width="9.140625" style="781"/>
    <col min="7425" max="7425" width="100.7109375" style="781" customWidth="1"/>
    <col min="7426" max="7680" width="9.140625" style="781"/>
    <col min="7681" max="7681" width="100.7109375" style="781" customWidth="1"/>
    <col min="7682" max="7936" width="9.140625" style="781"/>
    <col min="7937" max="7937" width="100.7109375" style="781" customWidth="1"/>
    <col min="7938" max="8192" width="9.140625" style="781"/>
    <col min="8193" max="8193" width="100.7109375" style="781" customWidth="1"/>
    <col min="8194" max="8448" width="9.140625" style="781"/>
    <col min="8449" max="8449" width="100.7109375" style="781" customWidth="1"/>
    <col min="8450" max="8704" width="9.140625" style="781"/>
    <col min="8705" max="8705" width="100.7109375" style="781" customWidth="1"/>
    <col min="8706" max="8960" width="9.140625" style="781"/>
    <col min="8961" max="8961" width="100.7109375" style="781" customWidth="1"/>
    <col min="8962" max="9216" width="9.140625" style="781"/>
    <col min="9217" max="9217" width="100.7109375" style="781" customWidth="1"/>
    <col min="9218" max="9472" width="9.140625" style="781"/>
    <col min="9473" max="9473" width="100.7109375" style="781" customWidth="1"/>
    <col min="9474" max="9728" width="9.140625" style="781"/>
    <col min="9729" max="9729" width="100.7109375" style="781" customWidth="1"/>
    <col min="9730" max="9984" width="9.140625" style="781"/>
    <col min="9985" max="9985" width="100.7109375" style="781" customWidth="1"/>
    <col min="9986" max="10240" width="9.140625" style="781"/>
    <col min="10241" max="10241" width="100.7109375" style="781" customWidth="1"/>
    <col min="10242" max="10496" width="9.140625" style="781"/>
    <col min="10497" max="10497" width="100.7109375" style="781" customWidth="1"/>
    <col min="10498" max="10752" width="9.140625" style="781"/>
    <col min="10753" max="10753" width="100.7109375" style="781" customWidth="1"/>
    <col min="10754" max="11008" width="9.140625" style="781"/>
    <col min="11009" max="11009" width="100.7109375" style="781" customWidth="1"/>
    <col min="11010" max="11264" width="9.140625" style="781"/>
    <col min="11265" max="11265" width="100.7109375" style="781" customWidth="1"/>
    <col min="11266" max="11520" width="9.140625" style="781"/>
    <col min="11521" max="11521" width="100.7109375" style="781" customWidth="1"/>
    <col min="11522" max="11776" width="9.140625" style="781"/>
    <col min="11777" max="11777" width="100.7109375" style="781" customWidth="1"/>
    <col min="11778" max="12032" width="9.140625" style="781"/>
    <col min="12033" max="12033" width="100.7109375" style="781" customWidth="1"/>
    <col min="12034" max="12288" width="9.140625" style="781"/>
    <col min="12289" max="12289" width="100.7109375" style="781" customWidth="1"/>
    <col min="12290" max="12544" width="9.140625" style="781"/>
    <col min="12545" max="12545" width="100.7109375" style="781" customWidth="1"/>
    <col min="12546" max="12800" width="9.140625" style="781"/>
    <col min="12801" max="12801" width="100.7109375" style="781" customWidth="1"/>
    <col min="12802" max="13056" width="9.140625" style="781"/>
    <col min="13057" max="13057" width="100.7109375" style="781" customWidth="1"/>
    <col min="13058" max="13312" width="9.140625" style="781"/>
    <col min="13313" max="13313" width="100.7109375" style="781" customWidth="1"/>
    <col min="13314" max="13568" width="9.140625" style="781"/>
    <col min="13569" max="13569" width="100.7109375" style="781" customWidth="1"/>
    <col min="13570" max="13824" width="9.140625" style="781"/>
    <col min="13825" max="13825" width="100.7109375" style="781" customWidth="1"/>
    <col min="13826" max="14080" width="9.140625" style="781"/>
    <col min="14081" max="14081" width="100.7109375" style="781" customWidth="1"/>
    <col min="14082" max="14336" width="9.140625" style="781"/>
    <col min="14337" max="14337" width="100.7109375" style="781" customWidth="1"/>
    <col min="14338" max="14592" width="9.140625" style="781"/>
    <col min="14593" max="14593" width="100.7109375" style="781" customWidth="1"/>
    <col min="14594" max="14848" width="9.140625" style="781"/>
    <col min="14849" max="14849" width="100.7109375" style="781" customWidth="1"/>
    <col min="14850" max="15104" width="9.140625" style="781"/>
    <col min="15105" max="15105" width="100.7109375" style="781" customWidth="1"/>
    <col min="15106" max="15360" width="9.140625" style="781"/>
    <col min="15361" max="15361" width="100.7109375" style="781" customWidth="1"/>
    <col min="15362" max="15616" width="9.140625" style="781"/>
    <col min="15617" max="15617" width="100.7109375" style="781" customWidth="1"/>
    <col min="15618" max="15872" width="9.140625" style="781"/>
    <col min="15873" max="15873" width="100.7109375" style="781" customWidth="1"/>
    <col min="15874" max="16128" width="9.140625" style="781"/>
    <col min="16129" max="16129" width="100.7109375" style="781" customWidth="1"/>
    <col min="16130" max="16384" width="9.140625" style="781"/>
  </cols>
  <sheetData>
    <row r="1" spans="1:8" ht="30" customHeight="1" x14ac:dyDescent="0.2">
      <c r="A1" s="779"/>
      <c r="B1" s="780"/>
      <c r="C1" s="780"/>
      <c r="D1" s="780"/>
      <c r="E1" s="780"/>
      <c r="F1" s="780"/>
      <c r="G1" s="780"/>
      <c r="H1" s="780"/>
    </row>
    <row r="2" spans="1:8" ht="14.25" x14ac:dyDescent="0.2">
      <c r="A2" s="782" t="s">
        <v>321</v>
      </c>
      <c r="B2" s="780"/>
      <c r="C2" s="780"/>
      <c r="D2" s="780"/>
      <c r="E2" s="780"/>
      <c r="F2" s="780"/>
      <c r="G2" s="780"/>
      <c r="H2" s="780"/>
    </row>
    <row r="3" spans="1:8" ht="14.25" x14ac:dyDescent="0.2">
      <c r="A3" s="782" t="s">
        <v>322</v>
      </c>
      <c r="B3" s="780"/>
      <c r="C3" s="780"/>
      <c r="D3" s="780"/>
      <c r="E3" s="780"/>
      <c r="F3" s="780"/>
      <c r="G3" s="780"/>
      <c r="H3" s="780"/>
    </row>
    <row r="4" spans="1:8" ht="14.25" x14ac:dyDescent="0.2">
      <c r="A4" s="782" t="s">
        <v>301</v>
      </c>
      <c r="B4" s="780"/>
      <c r="C4" s="780"/>
      <c r="D4" s="780"/>
      <c r="E4" s="780"/>
      <c r="F4" s="780"/>
      <c r="G4" s="780"/>
      <c r="H4" s="780"/>
    </row>
    <row r="5" spans="1:8" ht="14.25" x14ac:dyDescent="0.2">
      <c r="A5" s="782" t="s">
        <v>323</v>
      </c>
      <c r="B5" s="780"/>
      <c r="C5" s="780"/>
      <c r="D5" s="780"/>
      <c r="E5" s="780"/>
      <c r="F5" s="780"/>
      <c r="G5" s="780"/>
      <c r="H5" s="780"/>
    </row>
    <row r="6" spans="1:8" ht="14.25" x14ac:dyDescent="0.2">
      <c r="A6" s="782"/>
      <c r="B6" s="780"/>
      <c r="C6" s="780"/>
      <c r="D6" s="780"/>
      <c r="E6" s="780"/>
      <c r="F6" s="780"/>
      <c r="G6" s="780"/>
      <c r="H6" s="780"/>
    </row>
    <row r="7" spans="1:8" x14ac:dyDescent="0.2">
      <c r="A7" s="779" t="s">
        <v>324</v>
      </c>
      <c r="B7" s="780"/>
      <c r="C7" s="780"/>
      <c r="D7" s="780"/>
      <c r="E7" s="780"/>
      <c r="F7" s="780"/>
      <c r="G7" s="780"/>
      <c r="H7" s="780"/>
    </row>
    <row r="8" spans="1:8" x14ac:dyDescent="0.2">
      <c r="A8" s="779" t="s">
        <v>325</v>
      </c>
      <c r="B8" s="780"/>
      <c r="C8" s="780"/>
      <c r="D8" s="780"/>
      <c r="E8" s="780"/>
      <c r="F8" s="780"/>
      <c r="G8" s="780"/>
      <c r="H8" s="780"/>
    </row>
    <row r="9" spans="1:8" x14ac:dyDescent="0.2">
      <c r="A9" s="779"/>
      <c r="B9" s="780"/>
      <c r="C9" s="780"/>
      <c r="D9" s="780"/>
      <c r="E9" s="780"/>
      <c r="F9" s="780"/>
      <c r="G9" s="780"/>
      <c r="H9" s="780"/>
    </row>
    <row r="10" spans="1:8" x14ac:dyDescent="0.2">
      <c r="A10" s="783" t="s">
        <v>326</v>
      </c>
      <c r="B10" s="780"/>
      <c r="C10" s="780"/>
      <c r="D10" s="780"/>
      <c r="E10" s="780"/>
      <c r="F10" s="780"/>
      <c r="G10" s="780"/>
      <c r="H10" s="780"/>
    </row>
    <row r="11" spans="1:8" x14ac:dyDescent="0.2">
      <c r="A11" s="783" t="s">
        <v>327</v>
      </c>
      <c r="B11" s="780"/>
      <c r="C11" s="780"/>
      <c r="D11" s="780"/>
      <c r="E11" s="780"/>
      <c r="F11" s="780"/>
      <c r="G11" s="780"/>
      <c r="H11" s="780"/>
    </row>
    <row r="12" spans="1:8" x14ac:dyDescent="0.2">
      <c r="A12" s="783" t="s">
        <v>328</v>
      </c>
      <c r="B12" s="780"/>
      <c r="C12" s="780"/>
      <c r="D12" s="780"/>
      <c r="E12" s="780"/>
      <c r="F12" s="780"/>
      <c r="G12" s="780"/>
      <c r="H12" s="780"/>
    </row>
    <row r="13" spans="1:8" x14ac:dyDescent="0.2">
      <c r="A13" s="783" t="s">
        <v>329</v>
      </c>
      <c r="B13" s="780"/>
      <c r="C13" s="780"/>
      <c r="D13" s="780"/>
      <c r="E13" s="780"/>
      <c r="F13" s="780"/>
      <c r="G13" s="780"/>
      <c r="H13" s="780"/>
    </row>
    <row r="14" spans="1:8" x14ac:dyDescent="0.2">
      <c r="A14" s="783" t="s">
        <v>330</v>
      </c>
      <c r="B14" s="780"/>
      <c r="C14" s="780"/>
      <c r="D14" s="780"/>
      <c r="E14" s="780"/>
      <c r="F14" s="780"/>
      <c r="G14" s="780"/>
      <c r="H14" s="780"/>
    </row>
    <row r="15" spans="1:8" x14ac:dyDescent="0.2">
      <c r="A15" s="783" t="s">
        <v>331</v>
      </c>
      <c r="B15" s="780"/>
      <c r="C15" s="780"/>
      <c r="D15" s="780"/>
      <c r="E15" s="780"/>
      <c r="F15" s="780"/>
      <c r="G15" s="780"/>
      <c r="H15" s="780"/>
    </row>
    <row r="16" spans="1:8" x14ac:dyDescent="0.2">
      <c r="A16" s="783"/>
      <c r="B16" s="780"/>
      <c r="C16" s="780"/>
      <c r="D16" s="780"/>
      <c r="E16" s="780"/>
      <c r="F16" s="780"/>
      <c r="G16" s="780"/>
      <c r="H16" s="780"/>
    </row>
    <row r="17" spans="1:8" x14ac:dyDescent="0.2">
      <c r="A17" s="783" t="s">
        <v>318</v>
      </c>
      <c r="B17" s="780"/>
      <c r="C17" s="780"/>
      <c r="D17" s="780"/>
      <c r="E17" s="780"/>
      <c r="F17" s="780"/>
      <c r="G17" s="780"/>
      <c r="H17" s="780"/>
    </row>
    <row r="18" spans="1:8" x14ac:dyDescent="0.2">
      <c r="A18" s="783"/>
      <c r="B18" s="780"/>
      <c r="C18" s="780"/>
      <c r="D18" s="780"/>
      <c r="E18" s="780"/>
      <c r="F18" s="780"/>
      <c r="G18" s="780"/>
      <c r="H18" s="780"/>
    </row>
    <row r="19" spans="1:8" x14ac:dyDescent="0.2">
      <c r="A19" s="783" t="s">
        <v>319</v>
      </c>
      <c r="B19" s="780"/>
      <c r="C19" s="780"/>
      <c r="D19" s="780"/>
      <c r="E19" s="780"/>
      <c r="F19" s="780"/>
      <c r="G19" s="780"/>
      <c r="H19" s="780"/>
    </row>
    <row r="20" spans="1:8" x14ac:dyDescent="0.2">
      <c r="A20" s="779"/>
      <c r="B20" s="780"/>
      <c r="C20" s="780"/>
      <c r="D20" s="780"/>
      <c r="E20" s="780"/>
      <c r="F20" s="780"/>
      <c r="G20" s="780"/>
      <c r="H20" s="780"/>
    </row>
    <row r="21" spans="1:8" x14ac:dyDescent="0.2">
      <c r="A21" s="784" t="s">
        <v>320</v>
      </c>
      <c r="B21" s="780"/>
      <c r="C21" s="780"/>
      <c r="D21" s="780"/>
      <c r="E21" s="780"/>
      <c r="F21" s="780"/>
      <c r="G21" s="780"/>
      <c r="H21" s="780"/>
    </row>
    <row r="22" spans="1:8" x14ac:dyDescent="0.2">
      <c r="A22" s="785"/>
      <c r="B22" s="785"/>
      <c r="C22" s="785"/>
      <c r="D22" s="785"/>
      <c r="E22" s="785"/>
      <c r="F22" s="785"/>
      <c r="G22" s="785"/>
      <c r="H22" s="785"/>
    </row>
    <row r="23" spans="1:8" x14ac:dyDescent="0.2">
      <c r="A23" s="786" t="s">
        <v>612</v>
      </c>
      <c r="B23" s="785"/>
      <c r="C23" s="785"/>
      <c r="D23" s="785"/>
      <c r="E23" s="785"/>
      <c r="F23" s="785"/>
      <c r="G23" s="785"/>
      <c r="H23" s="785"/>
    </row>
    <row r="24" spans="1:8" x14ac:dyDescent="0.2">
      <c r="A24" s="786" t="s">
        <v>613</v>
      </c>
      <c r="B24" s="785"/>
      <c r="C24" s="785"/>
      <c r="D24" s="785"/>
      <c r="E24" s="785"/>
      <c r="F24" s="785"/>
      <c r="G24" s="785"/>
      <c r="H24" s="785"/>
    </row>
    <row r="25" spans="1:8" x14ac:dyDescent="0.2">
      <c r="A25" s="786" t="s">
        <v>614</v>
      </c>
      <c r="B25" s="785"/>
      <c r="C25" s="785"/>
      <c r="D25" s="785"/>
      <c r="E25" s="785"/>
      <c r="F25" s="785"/>
      <c r="G25" s="785"/>
      <c r="H25" s="785"/>
    </row>
    <row r="26" spans="1:8" x14ac:dyDescent="0.2">
      <c r="A26" s="786" t="s">
        <v>615</v>
      </c>
      <c r="B26" s="785"/>
      <c r="C26" s="785"/>
      <c r="D26" s="785"/>
      <c r="E26" s="785"/>
      <c r="F26" s="785"/>
      <c r="G26" s="785"/>
      <c r="H26" s="785"/>
    </row>
    <row r="27" spans="1:8" x14ac:dyDescent="0.2">
      <c r="A27" s="785"/>
      <c r="B27" s="785"/>
      <c r="C27" s="785"/>
      <c r="D27" s="785"/>
      <c r="E27" s="785"/>
      <c r="F27" s="785"/>
      <c r="G27" s="785"/>
      <c r="H27" s="785"/>
    </row>
    <row r="28" spans="1:8" x14ac:dyDescent="0.2">
      <c r="A28" s="785"/>
      <c r="B28" s="785"/>
      <c r="C28" s="785"/>
      <c r="D28" s="785"/>
      <c r="E28" s="785"/>
      <c r="F28" s="785"/>
      <c r="G28" s="785"/>
      <c r="H28" s="785"/>
    </row>
    <row r="29" spans="1:8" x14ac:dyDescent="0.2">
      <c r="A29" s="786" t="s">
        <v>607</v>
      </c>
      <c r="B29" s="785"/>
      <c r="C29" s="785"/>
      <c r="D29" s="785"/>
      <c r="E29" s="785"/>
      <c r="F29" s="785"/>
      <c r="G29" s="785"/>
      <c r="H29" s="785"/>
    </row>
    <row r="30" spans="1:8" x14ac:dyDescent="0.2">
      <c r="A30" s="786" t="s">
        <v>608</v>
      </c>
      <c r="B30" s="785"/>
      <c r="C30" s="785"/>
      <c r="D30" s="785"/>
      <c r="E30" s="785"/>
      <c r="F30" s="785"/>
      <c r="G30" s="785"/>
      <c r="H30" s="785"/>
    </row>
    <row r="31" spans="1:8" x14ac:dyDescent="0.2">
      <c r="A31" s="786" t="s">
        <v>609</v>
      </c>
      <c r="B31" s="785"/>
      <c r="C31" s="785"/>
      <c r="D31" s="785"/>
      <c r="E31" s="785"/>
      <c r="F31" s="785"/>
      <c r="G31" s="785"/>
      <c r="H31" s="785"/>
    </row>
    <row r="32" spans="1:8" x14ac:dyDescent="0.2">
      <c r="A32" s="786" t="s">
        <v>610</v>
      </c>
      <c r="B32" s="785"/>
      <c r="C32" s="785"/>
      <c r="D32" s="785"/>
      <c r="E32" s="785"/>
      <c r="F32" s="785"/>
      <c r="G32" s="785"/>
      <c r="H32" s="785"/>
    </row>
    <row r="33" spans="1:8" x14ac:dyDescent="0.2">
      <c r="A33" s="786" t="s">
        <v>611</v>
      </c>
      <c r="B33" s="785"/>
      <c r="C33" s="785"/>
      <c r="D33" s="785"/>
      <c r="E33" s="785"/>
      <c r="F33" s="785"/>
      <c r="G33" s="785"/>
      <c r="H33" s="785"/>
    </row>
    <row r="34" spans="1:8" x14ac:dyDescent="0.2">
      <c r="A34" s="785"/>
      <c r="B34" s="785"/>
      <c r="C34" s="785"/>
      <c r="D34" s="785"/>
      <c r="E34" s="785"/>
      <c r="F34" s="785"/>
      <c r="G34" s="785"/>
      <c r="H34" s="785"/>
    </row>
    <row r="35" spans="1:8" x14ac:dyDescent="0.2">
      <c r="A35" s="786" t="s">
        <v>603</v>
      </c>
      <c r="B35" s="785"/>
      <c r="C35" s="785"/>
      <c r="D35" s="785"/>
      <c r="E35" s="785"/>
      <c r="F35" s="785"/>
      <c r="G35" s="785"/>
      <c r="H35" s="785"/>
    </row>
    <row r="36" spans="1:8" x14ac:dyDescent="0.2">
      <c r="A36" s="786" t="s">
        <v>604</v>
      </c>
      <c r="B36" s="785"/>
      <c r="C36" s="785"/>
      <c r="D36" s="785"/>
      <c r="E36" s="785"/>
      <c r="F36" s="785"/>
      <c r="G36" s="785"/>
      <c r="H36" s="785"/>
    </row>
    <row r="37" spans="1:8" x14ac:dyDescent="0.2">
      <c r="A37" s="786" t="s">
        <v>605</v>
      </c>
      <c r="B37" s="785"/>
      <c r="C37" s="785"/>
      <c r="D37" s="785"/>
      <c r="E37" s="785"/>
      <c r="F37" s="785"/>
      <c r="G37" s="785"/>
      <c r="H37" s="785"/>
    </row>
    <row r="38" spans="1:8" x14ac:dyDescent="0.2">
      <c r="A38" s="786" t="s">
        <v>606</v>
      </c>
      <c r="B38" s="785"/>
      <c r="C38" s="785"/>
      <c r="D38" s="785"/>
      <c r="E38" s="785"/>
      <c r="F38" s="785"/>
      <c r="G38" s="785"/>
      <c r="H38" s="785"/>
    </row>
    <row r="39" spans="1:8" x14ac:dyDescent="0.2">
      <c r="A39" s="785"/>
      <c r="B39" s="785"/>
      <c r="C39" s="785"/>
      <c r="D39" s="785"/>
      <c r="E39" s="785"/>
      <c r="F39" s="785"/>
      <c r="G39" s="785"/>
      <c r="H39" s="785"/>
    </row>
    <row r="40" spans="1:8" x14ac:dyDescent="0.2">
      <c r="A40" s="786" t="s">
        <v>597</v>
      </c>
      <c r="B40" s="785"/>
      <c r="C40" s="785"/>
      <c r="D40" s="785"/>
      <c r="E40" s="785"/>
      <c r="F40" s="785"/>
      <c r="G40" s="785"/>
      <c r="H40" s="785"/>
    </row>
    <row r="41" spans="1:8" x14ac:dyDescent="0.2">
      <c r="A41" s="786" t="s">
        <v>598</v>
      </c>
      <c r="B41" s="785"/>
      <c r="C41" s="785"/>
      <c r="D41" s="785"/>
      <c r="E41" s="785"/>
      <c r="F41" s="785"/>
      <c r="G41" s="785"/>
      <c r="H41" s="785"/>
    </row>
    <row r="42" spans="1:8" x14ac:dyDescent="0.2">
      <c r="A42" s="786" t="s">
        <v>599</v>
      </c>
      <c r="B42" s="785"/>
      <c r="C42" s="785"/>
      <c r="D42" s="785"/>
      <c r="E42" s="785"/>
      <c r="F42" s="785"/>
      <c r="G42" s="785"/>
      <c r="H42" s="785"/>
    </row>
    <row r="43" spans="1:8" x14ac:dyDescent="0.2">
      <c r="A43" s="786" t="s">
        <v>600</v>
      </c>
      <c r="B43" s="785"/>
      <c r="C43" s="785"/>
      <c r="D43" s="785"/>
      <c r="E43" s="785"/>
      <c r="F43" s="785"/>
      <c r="G43" s="785"/>
      <c r="H43" s="785"/>
    </row>
    <row r="44" spans="1:8" x14ac:dyDescent="0.2">
      <c r="A44" s="786" t="s">
        <v>601</v>
      </c>
      <c r="B44" s="785"/>
      <c r="C44" s="785"/>
      <c r="D44" s="785"/>
      <c r="E44" s="785"/>
      <c r="F44" s="785"/>
      <c r="G44" s="785"/>
      <c r="H44" s="785"/>
    </row>
    <row r="45" spans="1:8" x14ac:dyDescent="0.2">
      <c r="A45" s="786" t="s">
        <v>602</v>
      </c>
      <c r="B45" s="785"/>
      <c r="C45" s="785"/>
      <c r="D45" s="785"/>
      <c r="E45" s="785"/>
      <c r="F45" s="785"/>
      <c r="G45" s="785"/>
      <c r="H45" s="785"/>
    </row>
    <row r="46" spans="1:8" x14ac:dyDescent="0.2">
      <c r="A46" s="785"/>
      <c r="B46" s="785"/>
      <c r="C46" s="785"/>
      <c r="D46" s="785"/>
      <c r="E46" s="785"/>
      <c r="F46" s="785"/>
      <c r="G46" s="785"/>
      <c r="H46" s="785"/>
    </row>
    <row r="47" spans="1:8" ht="15.75" x14ac:dyDescent="0.2">
      <c r="A47" s="787" t="s">
        <v>332</v>
      </c>
      <c r="B47" s="785"/>
      <c r="C47" s="785"/>
      <c r="D47" s="785"/>
      <c r="E47" s="785"/>
      <c r="F47" s="785"/>
      <c r="G47" s="785"/>
      <c r="H47" s="785"/>
    </row>
    <row r="48" spans="1:8" x14ac:dyDescent="0.2">
      <c r="A48" s="785"/>
      <c r="B48" s="785"/>
      <c r="C48" s="785"/>
      <c r="D48" s="785"/>
      <c r="E48" s="785"/>
      <c r="F48" s="785"/>
      <c r="G48" s="785"/>
      <c r="H48" s="785"/>
    </row>
    <row r="49" spans="1:8" x14ac:dyDescent="0.2">
      <c r="A49" s="786" t="s">
        <v>593</v>
      </c>
      <c r="B49" s="785"/>
      <c r="C49" s="785"/>
      <c r="D49" s="785"/>
      <c r="E49" s="785"/>
      <c r="F49" s="785"/>
      <c r="G49" s="785"/>
      <c r="H49" s="785"/>
    </row>
    <row r="50" spans="1:8" x14ac:dyDescent="0.2">
      <c r="A50" s="786" t="s">
        <v>594</v>
      </c>
      <c r="B50" s="785"/>
      <c r="C50" s="785"/>
      <c r="D50" s="785"/>
      <c r="E50" s="785"/>
      <c r="F50" s="785"/>
      <c r="G50" s="785"/>
      <c r="H50" s="785"/>
    </row>
    <row r="51" spans="1:8" x14ac:dyDescent="0.2">
      <c r="A51" s="786" t="s">
        <v>595</v>
      </c>
      <c r="B51" s="785"/>
      <c r="C51" s="785"/>
      <c r="D51" s="785"/>
      <c r="E51" s="785"/>
      <c r="F51" s="785"/>
      <c r="G51" s="785"/>
      <c r="H51" s="785"/>
    </row>
    <row r="52" spans="1:8" x14ac:dyDescent="0.2">
      <c r="A52" s="786" t="s">
        <v>596</v>
      </c>
      <c r="B52" s="785"/>
      <c r="C52" s="785"/>
      <c r="D52" s="785"/>
      <c r="E52" s="785"/>
      <c r="F52" s="785"/>
      <c r="G52" s="785"/>
      <c r="H52" s="785"/>
    </row>
    <row r="53" spans="1:8" x14ac:dyDescent="0.2">
      <c r="A53" s="785"/>
      <c r="B53" s="785"/>
      <c r="C53" s="785"/>
      <c r="D53" s="785"/>
      <c r="E53" s="785"/>
      <c r="F53" s="785"/>
      <c r="G53" s="785"/>
      <c r="H53" s="785"/>
    </row>
    <row r="54" spans="1:8" x14ac:dyDescent="0.2">
      <c r="A54" s="786" t="s">
        <v>333</v>
      </c>
      <c r="B54" s="785"/>
      <c r="C54" s="785"/>
      <c r="D54" s="785"/>
      <c r="E54" s="785"/>
      <c r="F54" s="785"/>
      <c r="G54" s="785"/>
      <c r="H54" s="785"/>
    </row>
    <row r="55" spans="1:8" x14ac:dyDescent="0.2">
      <c r="A55" s="785"/>
      <c r="B55" s="785"/>
      <c r="C55" s="785"/>
      <c r="D55" s="785"/>
      <c r="E55" s="785"/>
      <c r="F55" s="785"/>
      <c r="G55" s="785"/>
      <c r="H55" s="785"/>
    </row>
    <row r="56" spans="1:8" ht="15.75" x14ac:dyDescent="0.2">
      <c r="A56" s="787" t="s">
        <v>334</v>
      </c>
      <c r="B56" s="785"/>
      <c r="C56" s="785"/>
      <c r="D56" s="785"/>
      <c r="E56" s="785"/>
      <c r="F56" s="785"/>
      <c r="G56" s="785"/>
      <c r="H56" s="785"/>
    </row>
    <row r="57" spans="1:8" x14ac:dyDescent="0.2">
      <c r="A57" s="785"/>
      <c r="B57" s="785"/>
      <c r="C57" s="785"/>
      <c r="D57" s="785"/>
      <c r="E57" s="785"/>
      <c r="F57" s="785"/>
      <c r="G57" s="785"/>
      <c r="H57" s="785"/>
    </row>
    <row r="58" spans="1:8" x14ac:dyDescent="0.2">
      <c r="A58" s="786" t="s">
        <v>591</v>
      </c>
      <c r="B58" s="785"/>
      <c r="C58" s="785"/>
      <c r="D58" s="785"/>
      <c r="E58" s="785"/>
      <c r="F58" s="785"/>
      <c r="G58" s="785"/>
      <c r="H58" s="785"/>
    </row>
    <row r="59" spans="1:8" x14ac:dyDescent="0.2">
      <c r="A59" s="786" t="s">
        <v>592</v>
      </c>
      <c r="B59" s="785"/>
      <c r="C59" s="785"/>
      <c r="D59" s="785"/>
      <c r="E59" s="785"/>
      <c r="F59" s="785"/>
      <c r="G59" s="785"/>
      <c r="H59" s="785"/>
    </row>
    <row r="60" spans="1:8" x14ac:dyDescent="0.2">
      <c r="A60" s="785"/>
      <c r="B60" s="785"/>
      <c r="C60" s="785"/>
      <c r="D60" s="785"/>
      <c r="E60" s="785"/>
      <c r="F60" s="785"/>
      <c r="G60" s="785"/>
      <c r="H60" s="785"/>
    </row>
    <row r="61" spans="1:8" ht="15.75" x14ac:dyDescent="0.2">
      <c r="A61" s="787" t="s">
        <v>335</v>
      </c>
      <c r="B61" s="785"/>
      <c r="C61" s="785"/>
      <c r="D61" s="785"/>
      <c r="E61" s="785"/>
      <c r="F61" s="785"/>
      <c r="G61" s="785"/>
      <c r="H61" s="785"/>
    </row>
    <row r="62" spans="1:8" x14ac:dyDescent="0.2">
      <c r="A62" s="785"/>
      <c r="B62" s="785"/>
      <c r="C62" s="785"/>
      <c r="D62" s="785"/>
      <c r="E62" s="785"/>
      <c r="F62" s="785"/>
      <c r="G62" s="785"/>
      <c r="H62" s="785"/>
    </row>
    <row r="63" spans="1:8" x14ac:dyDescent="0.2">
      <c r="A63" s="786" t="s">
        <v>589</v>
      </c>
      <c r="B63" s="785"/>
      <c r="C63" s="785"/>
      <c r="D63" s="785"/>
      <c r="E63" s="785"/>
      <c r="F63" s="785"/>
      <c r="G63" s="785"/>
      <c r="H63" s="785"/>
    </row>
    <row r="64" spans="1:8" x14ac:dyDescent="0.2">
      <c r="A64" s="786" t="s">
        <v>590</v>
      </c>
      <c r="B64" s="785"/>
      <c r="C64" s="785"/>
      <c r="D64" s="785"/>
      <c r="E64" s="785"/>
      <c r="F64" s="785"/>
      <c r="G64" s="785"/>
      <c r="H64" s="785"/>
    </row>
    <row r="65" spans="1:8" x14ac:dyDescent="0.2">
      <c r="A65" s="785"/>
      <c r="B65" s="785"/>
      <c r="C65" s="785"/>
      <c r="D65" s="785"/>
      <c r="E65" s="785"/>
      <c r="F65" s="785"/>
      <c r="G65" s="785"/>
      <c r="H65" s="785"/>
    </row>
    <row r="66" spans="1:8" x14ac:dyDescent="0.2">
      <c r="A66" s="786" t="s">
        <v>587</v>
      </c>
      <c r="B66" s="785"/>
      <c r="C66" s="785"/>
      <c r="D66" s="785"/>
      <c r="E66" s="785"/>
      <c r="F66" s="785"/>
      <c r="G66" s="785"/>
      <c r="H66" s="785"/>
    </row>
    <row r="67" spans="1:8" x14ac:dyDescent="0.2">
      <c r="A67" s="786" t="s">
        <v>588</v>
      </c>
      <c r="B67" s="785"/>
      <c r="C67" s="785"/>
      <c r="D67" s="785"/>
      <c r="E67" s="785"/>
      <c r="F67" s="785"/>
      <c r="G67" s="785"/>
      <c r="H67" s="785"/>
    </row>
    <row r="68" spans="1:8" x14ac:dyDescent="0.2">
      <c r="A68" s="785"/>
      <c r="B68" s="785"/>
      <c r="C68" s="785"/>
      <c r="D68" s="785"/>
      <c r="E68" s="785"/>
      <c r="F68" s="785"/>
      <c r="G68" s="785"/>
      <c r="H68" s="785"/>
    </row>
    <row r="69" spans="1:8" x14ac:dyDescent="0.2">
      <c r="A69" s="786" t="s">
        <v>585</v>
      </c>
      <c r="B69" s="785"/>
      <c r="C69" s="785"/>
      <c r="D69" s="785"/>
      <c r="E69" s="785"/>
      <c r="F69" s="785"/>
      <c r="G69" s="785"/>
      <c r="H69" s="785"/>
    </row>
    <row r="70" spans="1:8" x14ac:dyDescent="0.2">
      <c r="A70" s="786" t="s">
        <v>586</v>
      </c>
      <c r="B70" s="785"/>
      <c r="C70" s="785"/>
      <c r="D70" s="785"/>
      <c r="E70" s="785"/>
      <c r="F70" s="785"/>
      <c r="G70" s="785"/>
      <c r="H70" s="785"/>
    </row>
    <row r="71" spans="1:8" x14ac:dyDescent="0.2">
      <c r="A71" s="785"/>
      <c r="B71" s="785"/>
      <c r="C71" s="785"/>
      <c r="D71" s="785"/>
      <c r="E71" s="785"/>
      <c r="F71" s="785"/>
      <c r="G71" s="785"/>
      <c r="H71" s="785"/>
    </row>
    <row r="72" spans="1:8" x14ac:dyDescent="0.2">
      <c r="A72" s="786" t="s">
        <v>583</v>
      </c>
      <c r="B72" s="785"/>
      <c r="C72" s="785"/>
      <c r="D72" s="785"/>
      <c r="E72" s="785"/>
      <c r="F72" s="785"/>
      <c r="G72" s="785"/>
      <c r="H72" s="785"/>
    </row>
    <row r="73" spans="1:8" x14ac:dyDescent="0.2">
      <c r="A73" s="786" t="s">
        <v>584</v>
      </c>
      <c r="B73" s="785"/>
      <c r="C73" s="785"/>
      <c r="D73" s="785"/>
      <c r="E73" s="785"/>
      <c r="F73" s="785"/>
      <c r="G73" s="785"/>
      <c r="H73" s="785"/>
    </row>
    <row r="74" spans="1:8" x14ac:dyDescent="0.2">
      <c r="A74" s="785"/>
      <c r="B74" s="785"/>
      <c r="C74" s="785"/>
      <c r="D74" s="785"/>
      <c r="E74" s="785"/>
      <c r="F74" s="785"/>
      <c r="G74" s="785"/>
      <c r="H74" s="785"/>
    </row>
    <row r="75" spans="1:8" x14ac:dyDescent="0.2">
      <c r="A75" s="786" t="s">
        <v>580</v>
      </c>
      <c r="B75" s="785"/>
      <c r="C75" s="785"/>
      <c r="D75" s="785"/>
      <c r="E75" s="785"/>
      <c r="F75" s="785"/>
      <c r="G75" s="785"/>
      <c r="H75" s="785"/>
    </row>
    <row r="76" spans="1:8" x14ac:dyDescent="0.2">
      <c r="A76" s="786" t="s">
        <v>581</v>
      </c>
      <c r="B76" s="785"/>
      <c r="C76" s="785"/>
      <c r="D76" s="785"/>
      <c r="E76" s="785"/>
      <c r="F76" s="785"/>
      <c r="G76" s="785"/>
      <c r="H76" s="785"/>
    </row>
    <row r="77" spans="1:8" x14ac:dyDescent="0.2">
      <c r="A77" s="786" t="s">
        <v>582</v>
      </c>
      <c r="B77" s="785"/>
      <c r="C77" s="785"/>
      <c r="D77" s="785"/>
      <c r="E77" s="785"/>
      <c r="F77" s="785"/>
      <c r="G77" s="785"/>
      <c r="H77" s="785"/>
    </row>
    <row r="78" spans="1:8" x14ac:dyDescent="0.2">
      <c r="A78" s="785"/>
      <c r="B78" s="785"/>
      <c r="C78" s="785"/>
      <c r="D78" s="785"/>
      <c r="E78" s="785"/>
      <c r="F78" s="785"/>
      <c r="G78" s="785"/>
      <c r="H78" s="785"/>
    </row>
    <row r="79" spans="1:8" x14ac:dyDescent="0.2">
      <c r="A79" s="786" t="s">
        <v>336</v>
      </c>
      <c r="B79" s="785"/>
      <c r="C79" s="785"/>
      <c r="D79" s="785"/>
      <c r="E79" s="785"/>
      <c r="F79" s="785"/>
      <c r="G79" s="785"/>
      <c r="H79" s="785"/>
    </row>
    <row r="80" spans="1:8" x14ac:dyDescent="0.2">
      <c r="A80" s="785"/>
      <c r="B80" s="785"/>
      <c r="C80" s="785"/>
      <c r="D80" s="785"/>
      <c r="E80" s="785"/>
      <c r="F80" s="785"/>
      <c r="G80" s="785"/>
      <c r="H80" s="785"/>
    </row>
    <row r="81" spans="1:8" x14ac:dyDescent="0.2">
      <c r="A81" s="786" t="s">
        <v>575</v>
      </c>
      <c r="B81" s="785"/>
      <c r="C81" s="785"/>
      <c r="D81" s="785"/>
      <c r="E81" s="785"/>
      <c r="F81" s="785"/>
      <c r="G81" s="785"/>
      <c r="H81" s="785"/>
    </row>
    <row r="82" spans="1:8" x14ac:dyDescent="0.2">
      <c r="A82" s="786" t="s">
        <v>576</v>
      </c>
      <c r="B82" s="785"/>
      <c r="C82" s="785"/>
      <c r="D82" s="785"/>
      <c r="E82" s="785"/>
      <c r="F82" s="785"/>
      <c r="G82" s="785"/>
      <c r="H82" s="785"/>
    </row>
    <row r="83" spans="1:8" x14ac:dyDescent="0.2">
      <c r="A83" s="786" t="s">
        <v>577</v>
      </c>
      <c r="B83" s="785"/>
      <c r="C83" s="785"/>
      <c r="D83" s="785"/>
      <c r="E83" s="785"/>
      <c r="F83" s="785"/>
      <c r="G83" s="785"/>
      <c r="H83" s="785"/>
    </row>
    <row r="84" spans="1:8" x14ac:dyDescent="0.2">
      <c r="A84" s="786" t="s">
        <v>578</v>
      </c>
      <c r="B84" s="785"/>
      <c r="C84" s="785"/>
      <c r="D84" s="785"/>
      <c r="E84" s="785"/>
      <c r="F84" s="785"/>
      <c r="G84" s="785"/>
      <c r="H84" s="785"/>
    </row>
    <row r="85" spans="1:8" x14ac:dyDescent="0.2">
      <c r="A85" s="786" t="s">
        <v>579</v>
      </c>
      <c r="B85" s="785"/>
      <c r="C85" s="785"/>
      <c r="D85" s="785"/>
      <c r="E85" s="785"/>
      <c r="F85" s="785"/>
      <c r="G85" s="785"/>
      <c r="H85" s="785"/>
    </row>
    <row r="86" spans="1:8" x14ac:dyDescent="0.2">
      <c r="A86" s="786" t="s">
        <v>462</v>
      </c>
      <c r="B86" s="785"/>
      <c r="C86" s="785"/>
      <c r="D86" s="785"/>
      <c r="E86" s="785"/>
      <c r="F86" s="785"/>
      <c r="G86" s="785"/>
      <c r="H86" s="785"/>
    </row>
    <row r="87" spans="1:8" x14ac:dyDescent="0.2">
      <c r="A87" s="785"/>
      <c r="B87" s="785"/>
      <c r="C87" s="785"/>
      <c r="D87" s="785"/>
      <c r="E87" s="785"/>
      <c r="F87" s="785"/>
      <c r="G87" s="785"/>
      <c r="H87" s="785"/>
    </row>
    <row r="88" spans="1:8" x14ac:dyDescent="0.2">
      <c r="A88" s="786" t="s">
        <v>568</v>
      </c>
      <c r="B88" s="785"/>
      <c r="C88" s="785"/>
      <c r="D88" s="785"/>
      <c r="E88" s="785"/>
      <c r="F88" s="785"/>
      <c r="G88" s="785"/>
      <c r="H88" s="785"/>
    </row>
    <row r="89" spans="1:8" x14ac:dyDescent="0.2">
      <c r="A89" s="786" t="s">
        <v>569</v>
      </c>
      <c r="B89" s="785"/>
      <c r="C89" s="785"/>
      <c r="D89" s="785"/>
      <c r="E89" s="785"/>
      <c r="F89" s="785"/>
      <c r="G89" s="785"/>
      <c r="H89" s="785"/>
    </row>
    <row r="90" spans="1:8" x14ac:dyDescent="0.2">
      <c r="A90" s="786" t="s">
        <v>570</v>
      </c>
      <c r="B90" s="785"/>
      <c r="C90" s="785"/>
      <c r="D90" s="785"/>
      <c r="E90" s="785"/>
      <c r="F90" s="785"/>
      <c r="G90" s="785"/>
      <c r="H90" s="785"/>
    </row>
    <row r="91" spans="1:8" x14ac:dyDescent="0.2">
      <c r="A91" s="786" t="s">
        <v>571</v>
      </c>
      <c r="B91" s="785"/>
      <c r="C91" s="785"/>
      <c r="D91" s="785"/>
      <c r="E91" s="785"/>
      <c r="F91" s="785"/>
      <c r="G91" s="785"/>
      <c r="H91" s="785"/>
    </row>
    <row r="92" spans="1:8" x14ac:dyDescent="0.2">
      <c r="A92" s="786" t="s">
        <v>572</v>
      </c>
      <c r="B92" s="785"/>
      <c r="C92" s="785"/>
      <c r="D92" s="785"/>
      <c r="E92" s="785"/>
      <c r="F92" s="785"/>
      <c r="G92" s="785"/>
      <c r="H92" s="785"/>
    </row>
    <row r="93" spans="1:8" x14ac:dyDescent="0.2">
      <c r="A93" s="786" t="s">
        <v>573</v>
      </c>
      <c r="B93" s="785"/>
      <c r="C93" s="785"/>
      <c r="D93" s="785"/>
      <c r="E93" s="785"/>
      <c r="F93" s="785"/>
      <c r="G93" s="785"/>
      <c r="H93" s="785"/>
    </row>
    <row r="94" spans="1:8" x14ac:dyDescent="0.2">
      <c r="A94" s="786" t="s">
        <v>574</v>
      </c>
      <c r="B94" s="785"/>
      <c r="C94" s="785"/>
      <c r="D94" s="785"/>
      <c r="E94" s="785"/>
      <c r="F94" s="785"/>
      <c r="G94" s="785"/>
      <c r="H94" s="785"/>
    </row>
    <row r="95" spans="1:8" x14ac:dyDescent="0.2">
      <c r="A95" s="785"/>
      <c r="B95" s="785"/>
      <c r="C95" s="785"/>
      <c r="D95" s="785"/>
      <c r="E95" s="785"/>
      <c r="F95" s="785"/>
      <c r="G95" s="785"/>
      <c r="H95" s="785"/>
    </row>
    <row r="96" spans="1:8" x14ac:dyDescent="0.2">
      <c r="A96" s="786" t="s">
        <v>566</v>
      </c>
      <c r="B96" s="785"/>
      <c r="C96" s="785"/>
      <c r="D96" s="785"/>
      <c r="E96" s="785"/>
      <c r="F96" s="785"/>
      <c r="G96" s="785"/>
      <c r="H96" s="785"/>
    </row>
    <row r="97" spans="1:8" x14ac:dyDescent="0.2">
      <c r="A97" s="786" t="s">
        <v>567</v>
      </c>
      <c r="B97" s="785"/>
      <c r="C97" s="785"/>
      <c r="D97" s="785"/>
      <c r="E97" s="785"/>
      <c r="F97" s="785"/>
      <c r="G97" s="785"/>
      <c r="H97" s="785"/>
    </row>
    <row r="98" spans="1:8" x14ac:dyDescent="0.2">
      <c r="A98" s="785"/>
      <c r="B98" s="785"/>
      <c r="C98" s="785"/>
      <c r="D98" s="785"/>
      <c r="E98" s="785"/>
      <c r="F98" s="785"/>
      <c r="G98" s="785"/>
      <c r="H98" s="785"/>
    </row>
    <row r="99" spans="1:8" ht="15.75" x14ac:dyDescent="0.2">
      <c r="A99" s="787" t="s">
        <v>337</v>
      </c>
      <c r="B99" s="785"/>
      <c r="C99" s="785"/>
      <c r="D99" s="785"/>
      <c r="E99" s="785"/>
      <c r="F99" s="785"/>
      <c r="G99" s="785"/>
      <c r="H99" s="785"/>
    </row>
    <row r="100" spans="1:8" x14ac:dyDescent="0.2">
      <c r="A100" s="785"/>
      <c r="B100" s="785"/>
      <c r="C100" s="785"/>
      <c r="D100" s="785"/>
      <c r="E100" s="785"/>
      <c r="F100" s="785"/>
      <c r="G100" s="785"/>
      <c r="H100" s="785"/>
    </row>
    <row r="101" spans="1:8" x14ac:dyDescent="0.2">
      <c r="A101" s="786" t="s">
        <v>557</v>
      </c>
      <c r="B101" s="785"/>
      <c r="C101" s="785"/>
      <c r="D101" s="785"/>
      <c r="E101" s="785"/>
      <c r="F101" s="785"/>
      <c r="G101" s="785"/>
      <c r="H101" s="785"/>
    </row>
    <row r="102" spans="1:8" x14ac:dyDescent="0.2">
      <c r="A102" s="786" t="s">
        <v>558</v>
      </c>
      <c r="B102" s="785"/>
      <c r="C102" s="785"/>
      <c r="D102" s="785"/>
      <c r="E102" s="785"/>
      <c r="F102" s="785"/>
      <c r="G102" s="785"/>
      <c r="H102" s="785"/>
    </row>
    <row r="103" spans="1:8" x14ac:dyDescent="0.2">
      <c r="A103" s="786" t="s">
        <v>559</v>
      </c>
      <c r="B103" s="785"/>
      <c r="C103" s="785"/>
      <c r="D103" s="785"/>
      <c r="E103" s="785"/>
      <c r="F103" s="785"/>
      <c r="G103" s="785"/>
      <c r="H103" s="785"/>
    </row>
    <row r="104" spans="1:8" x14ac:dyDescent="0.2">
      <c r="A104" s="786" t="s">
        <v>560</v>
      </c>
      <c r="B104" s="785"/>
      <c r="C104" s="785"/>
      <c r="D104" s="785"/>
      <c r="E104" s="785"/>
      <c r="F104" s="785"/>
      <c r="G104" s="785"/>
      <c r="H104" s="785"/>
    </row>
    <row r="105" spans="1:8" x14ac:dyDescent="0.2">
      <c r="A105" s="786" t="s">
        <v>561</v>
      </c>
      <c r="B105" s="785"/>
      <c r="C105" s="785"/>
      <c r="D105" s="785"/>
      <c r="E105" s="785"/>
      <c r="F105" s="785"/>
      <c r="G105" s="785"/>
      <c r="H105" s="785"/>
    </row>
    <row r="106" spans="1:8" x14ac:dyDescent="0.2">
      <c r="A106" s="786" t="s">
        <v>562</v>
      </c>
      <c r="B106" s="785"/>
      <c r="C106" s="785"/>
      <c r="D106" s="785"/>
      <c r="E106" s="785"/>
      <c r="F106" s="785"/>
      <c r="G106" s="785"/>
      <c r="H106" s="785"/>
    </row>
    <row r="107" spans="1:8" x14ac:dyDescent="0.2">
      <c r="A107" s="786" t="s">
        <v>563</v>
      </c>
      <c r="B107" s="785"/>
      <c r="C107" s="785"/>
      <c r="D107" s="785"/>
      <c r="E107" s="785"/>
      <c r="F107" s="785"/>
      <c r="G107" s="785"/>
      <c r="H107" s="785"/>
    </row>
    <row r="108" spans="1:8" x14ac:dyDescent="0.2">
      <c r="A108" s="786" t="s">
        <v>564</v>
      </c>
      <c r="B108" s="785"/>
      <c r="C108" s="785"/>
      <c r="D108" s="785"/>
      <c r="E108" s="785"/>
      <c r="F108" s="785"/>
      <c r="G108" s="785"/>
      <c r="H108" s="785"/>
    </row>
    <row r="109" spans="1:8" x14ac:dyDescent="0.2">
      <c r="A109" s="786" t="s">
        <v>565</v>
      </c>
      <c r="B109" s="785"/>
      <c r="C109" s="785"/>
      <c r="D109" s="785"/>
      <c r="E109" s="785"/>
      <c r="F109" s="785"/>
      <c r="G109" s="785"/>
      <c r="H109" s="785"/>
    </row>
    <row r="110" spans="1:8" x14ac:dyDescent="0.2">
      <c r="A110" s="785"/>
      <c r="B110" s="785"/>
      <c r="C110" s="785"/>
      <c r="D110" s="785"/>
      <c r="E110" s="785"/>
      <c r="F110" s="785"/>
      <c r="G110" s="785"/>
      <c r="H110" s="785"/>
    </row>
    <row r="111" spans="1:8" ht="15.75" x14ac:dyDescent="0.2">
      <c r="A111" s="788" t="s">
        <v>338</v>
      </c>
      <c r="B111" s="788"/>
      <c r="C111" s="788"/>
      <c r="D111" s="788"/>
      <c r="E111" s="788"/>
      <c r="F111" s="788"/>
      <c r="G111" s="788"/>
      <c r="H111" s="788"/>
    </row>
    <row r="112" spans="1:8" x14ac:dyDescent="0.2">
      <c r="A112" s="789" t="s">
        <v>339</v>
      </c>
      <c r="B112" s="789"/>
      <c r="C112" s="789"/>
      <c r="D112" s="789"/>
      <c r="E112" s="789"/>
      <c r="F112" s="789"/>
      <c r="G112" s="789"/>
      <c r="H112" s="789"/>
    </row>
    <row r="113" spans="1:8" x14ac:dyDescent="0.2">
      <c r="A113" s="790"/>
      <c r="B113" s="790"/>
      <c r="C113" s="790"/>
      <c r="D113" s="790"/>
      <c r="E113" s="790"/>
      <c r="F113" s="790"/>
      <c r="G113" s="790"/>
      <c r="H113" s="790"/>
    </row>
    <row r="114" spans="1:8" x14ac:dyDescent="0.2">
      <c r="A114" s="789" t="s">
        <v>555</v>
      </c>
      <c r="B114" s="789"/>
      <c r="C114" s="789"/>
      <c r="D114" s="789"/>
      <c r="E114" s="789"/>
      <c r="F114" s="789"/>
      <c r="G114" s="789"/>
      <c r="H114" s="789"/>
    </row>
    <row r="115" spans="1:8" x14ac:dyDescent="0.2">
      <c r="A115" s="786" t="s">
        <v>556</v>
      </c>
      <c r="B115" s="786"/>
      <c r="C115" s="786"/>
      <c r="D115" s="786"/>
      <c r="E115" s="786"/>
      <c r="F115" s="786"/>
      <c r="G115" s="786"/>
      <c r="H115" s="786"/>
    </row>
    <row r="116" spans="1:8" x14ac:dyDescent="0.2">
      <c r="A116" s="790"/>
      <c r="B116" s="790"/>
      <c r="C116" s="790"/>
      <c r="D116" s="790"/>
      <c r="E116" s="790"/>
      <c r="F116" s="790"/>
      <c r="G116" s="790"/>
      <c r="H116" s="790"/>
    </row>
    <row r="117" spans="1:8" x14ac:dyDescent="0.2">
      <c r="A117" s="789" t="s">
        <v>548</v>
      </c>
      <c r="B117" s="789"/>
      <c r="C117" s="789"/>
      <c r="D117" s="789"/>
      <c r="E117" s="789"/>
      <c r="F117" s="789"/>
      <c r="G117" s="789"/>
      <c r="H117" s="789"/>
    </row>
    <row r="118" spans="1:8" x14ac:dyDescent="0.2">
      <c r="A118" s="786" t="s">
        <v>549</v>
      </c>
      <c r="B118" s="786"/>
      <c r="C118" s="786"/>
      <c r="D118" s="786"/>
      <c r="E118" s="786"/>
      <c r="F118" s="786"/>
      <c r="G118" s="786"/>
      <c r="H118" s="786"/>
    </row>
    <row r="119" spans="1:8" x14ac:dyDescent="0.2">
      <c r="A119" s="786" t="s">
        <v>550</v>
      </c>
      <c r="B119" s="786"/>
      <c r="C119" s="786"/>
      <c r="D119" s="786"/>
      <c r="E119" s="786"/>
      <c r="F119" s="786"/>
      <c r="G119" s="786"/>
      <c r="H119" s="786"/>
    </row>
    <row r="120" spans="1:8" x14ac:dyDescent="0.2">
      <c r="A120" s="786" t="s">
        <v>551</v>
      </c>
      <c r="B120" s="786"/>
      <c r="C120" s="786"/>
      <c r="D120" s="786"/>
      <c r="E120" s="786"/>
      <c r="F120" s="786"/>
      <c r="G120" s="786"/>
      <c r="H120" s="786"/>
    </row>
    <row r="121" spans="1:8" x14ac:dyDescent="0.2">
      <c r="A121" s="786" t="s">
        <v>552</v>
      </c>
      <c r="B121" s="786"/>
      <c r="C121" s="786"/>
      <c r="D121" s="786"/>
      <c r="E121" s="786"/>
      <c r="F121" s="786"/>
      <c r="G121" s="786"/>
      <c r="H121" s="786"/>
    </row>
    <row r="122" spans="1:8" x14ac:dyDescent="0.2">
      <c r="A122" s="786" t="s">
        <v>553</v>
      </c>
      <c r="B122" s="786"/>
      <c r="C122" s="786"/>
      <c r="D122" s="786"/>
      <c r="E122" s="786"/>
      <c r="F122" s="786"/>
      <c r="G122" s="786"/>
      <c r="H122" s="786"/>
    </row>
    <row r="123" spans="1:8" x14ac:dyDescent="0.2">
      <c r="A123" s="786" t="s">
        <v>554</v>
      </c>
      <c r="B123" s="786"/>
      <c r="C123" s="786"/>
      <c r="D123" s="786"/>
      <c r="E123" s="786"/>
      <c r="F123" s="786"/>
      <c r="G123" s="786"/>
      <c r="H123" s="786"/>
    </row>
    <row r="124" spans="1:8" x14ac:dyDescent="0.2">
      <c r="A124" s="791"/>
      <c r="B124" s="791"/>
      <c r="C124" s="791"/>
      <c r="D124" s="791"/>
      <c r="E124" s="791"/>
      <c r="F124" s="791"/>
      <c r="G124" s="791"/>
      <c r="H124" s="791"/>
    </row>
    <row r="125" spans="1:8" x14ac:dyDescent="0.2">
      <c r="A125" s="792"/>
      <c r="B125" s="793" t="s">
        <v>340</v>
      </c>
      <c r="C125" s="794"/>
      <c r="D125" s="793" t="s">
        <v>341</v>
      </c>
      <c r="E125" s="795"/>
      <c r="F125" s="794"/>
      <c r="G125" s="793" t="s">
        <v>342</v>
      </c>
      <c r="H125" s="794"/>
    </row>
    <row r="126" spans="1:8" x14ac:dyDescent="0.2">
      <c r="A126" s="792" t="s">
        <v>343</v>
      </c>
      <c r="B126" s="792" t="s">
        <v>304</v>
      </c>
      <c r="C126" s="792" t="s">
        <v>344</v>
      </c>
      <c r="D126" s="792" t="s">
        <v>304</v>
      </c>
      <c r="E126" s="792" t="s">
        <v>345</v>
      </c>
      <c r="F126" s="792" t="s">
        <v>346</v>
      </c>
      <c r="G126" s="792" t="s">
        <v>304</v>
      </c>
      <c r="H126" s="792" t="s">
        <v>347</v>
      </c>
    </row>
    <row r="127" spans="1:8" x14ac:dyDescent="0.2">
      <c r="A127" s="792" t="s">
        <v>348</v>
      </c>
      <c r="B127" s="792">
        <v>1189</v>
      </c>
      <c r="C127" s="796">
        <v>0.38</v>
      </c>
      <c r="D127" s="792">
        <v>315</v>
      </c>
      <c r="E127" s="796">
        <v>0.41</v>
      </c>
      <c r="F127" s="796">
        <v>0.26</v>
      </c>
      <c r="G127" s="792">
        <v>555</v>
      </c>
      <c r="H127" s="796">
        <v>0.39</v>
      </c>
    </row>
    <row r="128" spans="1:8" x14ac:dyDescent="0.2">
      <c r="A128" s="792" t="s">
        <v>349</v>
      </c>
      <c r="B128" s="792">
        <v>1355</v>
      </c>
      <c r="C128" s="796">
        <v>0.43</v>
      </c>
      <c r="D128" s="792">
        <v>364</v>
      </c>
      <c r="E128" s="796">
        <v>0.47</v>
      </c>
      <c r="F128" s="796">
        <v>0.27</v>
      </c>
      <c r="G128" s="792">
        <v>644</v>
      </c>
      <c r="H128" s="796">
        <v>0.45</v>
      </c>
    </row>
    <row r="129" spans="1:8" x14ac:dyDescent="0.2">
      <c r="A129" s="792" t="s">
        <v>350</v>
      </c>
      <c r="B129" s="792">
        <v>53</v>
      </c>
      <c r="C129" s="796">
        <v>0.02</v>
      </c>
      <c r="D129" s="792">
        <v>4</v>
      </c>
      <c r="E129" s="796">
        <v>0.01</v>
      </c>
      <c r="F129" s="796">
        <v>0.08</v>
      </c>
      <c r="G129" s="792">
        <v>7</v>
      </c>
      <c r="H129" s="796">
        <v>0</v>
      </c>
    </row>
    <row r="130" spans="1:8" x14ac:dyDescent="0.2">
      <c r="A130" s="792" t="s">
        <v>351</v>
      </c>
      <c r="B130" s="792">
        <v>545</v>
      </c>
      <c r="C130" s="796">
        <v>0.17</v>
      </c>
      <c r="D130" s="792">
        <v>84</v>
      </c>
      <c r="E130" s="796">
        <v>0.11</v>
      </c>
      <c r="F130" s="796">
        <v>0.15</v>
      </c>
      <c r="G130" s="792">
        <v>214</v>
      </c>
      <c r="H130" s="796">
        <v>0.15</v>
      </c>
    </row>
    <row r="131" spans="1:8" x14ac:dyDescent="0.2">
      <c r="A131" s="792" t="s">
        <v>11</v>
      </c>
      <c r="B131" s="797">
        <v>3142</v>
      </c>
      <c r="C131" s="792"/>
      <c r="D131" s="792">
        <v>767</v>
      </c>
      <c r="E131" s="792"/>
      <c r="F131" s="792"/>
      <c r="G131" s="792">
        <v>1420</v>
      </c>
      <c r="H131" s="792"/>
    </row>
    <row r="132" spans="1:8" x14ac:dyDescent="0.2">
      <c r="A132" s="798"/>
      <c r="B132" s="798"/>
      <c r="C132" s="798"/>
      <c r="D132" s="798"/>
      <c r="E132" s="798"/>
      <c r="F132" s="798"/>
      <c r="G132" s="798"/>
      <c r="H132" s="798"/>
    </row>
    <row r="133" spans="1:8" x14ac:dyDescent="0.2">
      <c r="A133" s="789" t="s">
        <v>544</v>
      </c>
      <c r="B133" s="789"/>
      <c r="C133" s="789"/>
      <c r="D133" s="789"/>
      <c r="E133" s="789"/>
      <c r="F133" s="789"/>
      <c r="G133" s="789"/>
      <c r="H133" s="789"/>
    </row>
    <row r="134" spans="1:8" x14ac:dyDescent="0.2">
      <c r="A134" s="786" t="s">
        <v>545</v>
      </c>
      <c r="B134" s="786"/>
      <c r="C134" s="786"/>
      <c r="D134" s="786"/>
      <c r="E134" s="786"/>
      <c r="F134" s="786"/>
      <c r="G134" s="786"/>
      <c r="H134" s="786"/>
    </row>
    <row r="135" spans="1:8" x14ac:dyDescent="0.2">
      <c r="A135" s="786" t="s">
        <v>546</v>
      </c>
      <c r="B135" s="786"/>
      <c r="C135" s="786"/>
      <c r="D135" s="786"/>
      <c r="E135" s="786"/>
      <c r="F135" s="786"/>
      <c r="G135" s="786"/>
      <c r="H135" s="786"/>
    </row>
    <row r="136" spans="1:8" x14ac:dyDescent="0.2">
      <c r="A136" s="786" t="s">
        <v>547</v>
      </c>
      <c r="B136" s="786"/>
      <c r="C136" s="786"/>
      <c r="D136" s="786"/>
      <c r="E136" s="786"/>
      <c r="F136" s="786"/>
      <c r="G136" s="786"/>
      <c r="H136" s="786"/>
    </row>
    <row r="137" spans="1:8" x14ac:dyDescent="0.2">
      <c r="A137" s="785"/>
      <c r="B137" s="785"/>
      <c r="C137" s="785"/>
      <c r="D137" s="785"/>
      <c r="E137" s="785"/>
      <c r="F137" s="785"/>
      <c r="G137" s="785"/>
      <c r="H137" s="785"/>
    </row>
    <row r="138" spans="1:8" ht="15.75" x14ac:dyDescent="0.2">
      <c r="A138" s="787" t="s">
        <v>352</v>
      </c>
      <c r="B138" s="785"/>
      <c r="C138" s="785"/>
      <c r="D138" s="785"/>
      <c r="E138" s="785"/>
      <c r="F138" s="785"/>
      <c r="G138" s="785"/>
      <c r="H138" s="785"/>
    </row>
    <row r="139" spans="1:8" x14ac:dyDescent="0.2">
      <c r="A139" s="785"/>
      <c r="B139" s="785"/>
      <c r="C139" s="785"/>
      <c r="D139" s="785"/>
      <c r="E139" s="785"/>
      <c r="F139" s="785"/>
      <c r="G139" s="785"/>
      <c r="H139" s="785"/>
    </row>
    <row r="140" spans="1:8" x14ac:dyDescent="0.2">
      <c r="A140" s="786" t="s">
        <v>542</v>
      </c>
      <c r="B140" s="785"/>
      <c r="C140" s="785"/>
      <c r="D140" s="785"/>
      <c r="E140" s="785"/>
      <c r="F140" s="785"/>
      <c r="G140" s="785"/>
      <c r="H140" s="785"/>
    </row>
    <row r="141" spans="1:8" x14ac:dyDescent="0.2">
      <c r="A141" s="786" t="s">
        <v>543</v>
      </c>
      <c r="B141" s="785"/>
      <c r="C141" s="785"/>
      <c r="D141" s="785"/>
      <c r="E141" s="785"/>
      <c r="F141" s="785"/>
      <c r="G141" s="785"/>
      <c r="H141" s="785"/>
    </row>
    <row r="142" spans="1:8" x14ac:dyDescent="0.2">
      <c r="A142" s="785"/>
      <c r="B142" s="785"/>
      <c r="C142" s="785"/>
      <c r="D142" s="785"/>
      <c r="E142" s="785"/>
      <c r="F142" s="785"/>
      <c r="G142" s="785"/>
      <c r="H142" s="785"/>
    </row>
    <row r="143" spans="1:8" x14ac:dyDescent="0.2">
      <c r="A143" s="786" t="s">
        <v>539</v>
      </c>
      <c r="B143" s="785"/>
      <c r="C143" s="785"/>
      <c r="D143" s="785"/>
      <c r="E143" s="785"/>
      <c r="F143" s="785"/>
      <c r="G143" s="785"/>
      <c r="H143" s="785"/>
    </row>
    <row r="144" spans="1:8" x14ac:dyDescent="0.2">
      <c r="A144" s="786" t="s">
        <v>540</v>
      </c>
      <c r="B144" s="785"/>
      <c r="C144" s="785"/>
      <c r="D144" s="785"/>
      <c r="E144" s="785"/>
      <c r="F144" s="785"/>
      <c r="G144" s="785"/>
      <c r="H144" s="785"/>
    </row>
    <row r="145" spans="1:8" x14ac:dyDescent="0.2">
      <c r="A145" s="786" t="s">
        <v>541</v>
      </c>
      <c r="B145" s="785"/>
      <c r="C145" s="785"/>
      <c r="D145" s="785"/>
      <c r="E145" s="785"/>
      <c r="F145" s="785"/>
      <c r="G145" s="785"/>
      <c r="H145" s="785"/>
    </row>
    <row r="146" spans="1:8" x14ac:dyDescent="0.2">
      <c r="A146" s="785"/>
      <c r="B146" s="785"/>
      <c r="C146" s="785"/>
      <c r="D146" s="785"/>
      <c r="E146" s="785"/>
      <c r="F146" s="785"/>
      <c r="G146" s="785"/>
      <c r="H146" s="785"/>
    </row>
    <row r="147" spans="1:8" x14ac:dyDescent="0.2">
      <c r="A147" s="786" t="s">
        <v>536</v>
      </c>
      <c r="B147" s="785"/>
      <c r="C147" s="785"/>
      <c r="D147" s="785"/>
      <c r="E147" s="785"/>
      <c r="F147" s="785"/>
      <c r="G147" s="785"/>
      <c r="H147" s="785"/>
    </row>
    <row r="148" spans="1:8" x14ac:dyDescent="0.2">
      <c r="A148" s="786" t="s">
        <v>537</v>
      </c>
      <c r="B148" s="785"/>
      <c r="C148" s="785"/>
      <c r="D148" s="785"/>
      <c r="E148" s="785"/>
      <c r="F148" s="785"/>
      <c r="G148" s="785"/>
      <c r="H148" s="785"/>
    </row>
    <row r="149" spans="1:8" x14ac:dyDescent="0.2">
      <c r="A149" s="786" t="s">
        <v>538</v>
      </c>
      <c r="B149" s="785"/>
      <c r="C149" s="785"/>
      <c r="D149" s="785"/>
      <c r="E149" s="785"/>
      <c r="F149" s="785"/>
      <c r="G149" s="785"/>
      <c r="H149" s="785"/>
    </row>
    <row r="150" spans="1:8" x14ac:dyDescent="0.2">
      <c r="A150" s="785"/>
      <c r="B150" s="785"/>
      <c r="C150" s="785"/>
      <c r="D150" s="785"/>
      <c r="E150" s="785"/>
      <c r="F150" s="785"/>
      <c r="G150" s="785"/>
      <c r="H150" s="785"/>
    </row>
    <row r="151" spans="1:8" x14ac:dyDescent="0.2">
      <c r="A151" s="786" t="s">
        <v>533</v>
      </c>
      <c r="B151" s="785"/>
      <c r="C151" s="785"/>
      <c r="D151" s="785"/>
      <c r="E151" s="785"/>
      <c r="F151" s="785"/>
      <c r="G151" s="785"/>
      <c r="H151" s="785"/>
    </row>
    <row r="152" spans="1:8" x14ac:dyDescent="0.2">
      <c r="A152" s="786" t="s">
        <v>534</v>
      </c>
      <c r="B152" s="785"/>
      <c r="C152" s="785"/>
      <c r="D152" s="785"/>
      <c r="E152" s="785"/>
      <c r="F152" s="785"/>
      <c r="G152" s="785"/>
      <c r="H152" s="785"/>
    </row>
    <row r="153" spans="1:8" x14ac:dyDescent="0.2">
      <c r="A153" s="786" t="s">
        <v>535</v>
      </c>
      <c r="B153" s="785"/>
      <c r="C153" s="785"/>
      <c r="D153" s="785"/>
      <c r="E153" s="785"/>
      <c r="F153" s="785"/>
      <c r="G153" s="785"/>
      <c r="H153" s="785"/>
    </row>
    <row r="154" spans="1:8" x14ac:dyDescent="0.2">
      <c r="A154" s="785"/>
      <c r="B154" s="785"/>
      <c r="C154" s="785"/>
      <c r="D154" s="785"/>
      <c r="E154" s="785"/>
      <c r="F154" s="785"/>
      <c r="G154" s="785"/>
      <c r="H154" s="785"/>
    </row>
    <row r="155" spans="1:8" x14ac:dyDescent="0.2">
      <c r="A155" s="786" t="s">
        <v>531</v>
      </c>
      <c r="B155" s="785"/>
      <c r="C155" s="785"/>
      <c r="D155" s="785"/>
      <c r="E155" s="785"/>
      <c r="F155" s="785"/>
      <c r="G155" s="785"/>
      <c r="H155" s="785"/>
    </row>
    <row r="156" spans="1:8" x14ac:dyDescent="0.2">
      <c r="A156" s="786" t="s">
        <v>532</v>
      </c>
      <c r="B156" s="785"/>
      <c r="C156" s="785"/>
      <c r="D156" s="785"/>
      <c r="E156" s="785"/>
      <c r="F156" s="785"/>
      <c r="G156" s="785"/>
      <c r="H156" s="785"/>
    </row>
    <row r="157" spans="1:8" x14ac:dyDescent="0.2">
      <c r="A157" s="785"/>
      <c r="B157" s="785"/>
      <c r="C157" s="785"/>
      <c r="D157" s="785"/>
      <c r="E157" s="785"/>
      <c r="F157" s="785"/>
      <c r="G157" s="785"/>
      <c r="H157" s="785"/>
    </row>
    <row r="158" spans="1:8" ht="15.75" x14ac:dyDescent="0.2">
      <c r="A158" s="787" t="s">
        <v>353</v>
      </c>
      <c r="B158" s="785"/>
      <c r="C158" s="785"/>
      <c r="D158" s="785"/>
      <c r="E158" s="785"/>
      <c r="F158" s="785"/>
      <c r="G158" s="785"/>
      <c r="H158" s="785"/>
    </row>
    <row r="159" spans="1:8" x14ac:dyDescent="0.2">
      <c r="A159" s="785"/>
      <c r="B159" s="785"/>
      <c r="C159" s="785"/>
      <c r="D159" s="785"/>
      <c r="E159" s="785"/>
      <c r="F159" s="785"/>
      <c r="G159" s="785"/>
      <c r="H159" s="785"/>
    </row>
    <row r="160" spans="1:8" x14ac:dyDescent="0.2">
      <c r="A160" s="786" t="s">
        <v>529</v>
      </c>
      <c r="B160" s="785"/>
      <c r="C160" s="785"/>
      <c r="D160" s="785"/>
      <c r="E160" s="785"/>
      <c r="F160" s="785"/>
      <c r="G160" s="785"/>
      <c r="H160" s="785"/>
    </row>
    <row r="161" spans="1:8" x14ac:dyDescent="0.2">
      <c r="A161" s="786" t="s">
        <v>530</v>
      </c>
      <c r="B161" s="785"/>
      <c r="C161" s="785"/>
      <c r="D161" s="785"/>
      <c r="E161" s="785"/>
      <c r="F161" s="785"/>
      <c r="G161" s="785"/>
      <c r="H161" s="785"/>
    </row>
    <row r="162" spans="1:8" x14ac:dyDescent="0.2">
      <c r="A162" s="785"/>
      <c r="B162" s="785"/>
      <c r="C162" s="785"/>
      <c r="D162" s="785"/>
      <c r="E162" s="785"/>
      <c r="F162" s="785"/>
      <c r="G162" s="785"/>
      <c r="H162" s="785"/>
    </row>
    <row r="163" spans="1:8" x14ac:dyDescent="0.2">
      <c r="A163" s="786" t="s">
        <v>527</v>
      </c>
      <c r="B163" s="785"/>
      <c r="C163" s="785"/>
      <c r="D163" s="785"/>
      <c r="E163" s="785"/>
      <c r="F163" s="785"/>
      <c r="G163" s="785"/>
      <c r="H163" s="785"/>
    </row>
    <row r="164" spans="1:8" x14ac:dyDescent="0.2">
      <c r="A164" s="786" t="s">
        <v>528</v>
      </c>
      <c r="B164" s="785"/>
      <c r="C164" s="785"/>
      <c r="D164" s="785"/>
      <c r="E164" s="785"/>
      <c r="F164" s="785"/>
      <c r="G164" s="785"/>
      <c r="H164" s="785"/>
    </row>
    <row r="165" spans="1:8" x14ac:dyDescent="0.2">
      <c r="A165" s="785"/>
      <c r="B165" s="785"/>
      <c r="C165" s="785"/>
      <c r="D165" s="785"/>
      <c r="E165" s="785"/>
      <c r="F165" s="785"/>
      <c r="G165" s="785"/>
      <c r="H165" s="785"/>
    </row>
    <row r="166" spans="1:8" x14ac:dyDescent="0.2">
      <c r="A166" s="786" t="s">
        <v>525</v>
      </c>
      <c r="B166" s="785"/>
      <c r="C166" s="785"/>
      <c r="D166" s="785"/>
      <c r="E166" s="785"/>
      <c r="F166" s="785"/>
      <c r="G166" s="785"/>
      <c r="H166" s="785"/>
    </row>
    <row r="167" spans="1:8" x14ac:dyDescent="0.2">
      <c r="A167" s="786" t="s">
        <v>526</v>
      </c>
      <c r="B167" s="785"/>
      <c r="C167" s="785"/>
      <c r="D167" s="785"/>
      <c r="E167" s="785"/>
      <c r="F167" s="785"/>
      <c r="G167" s="785"/>
      <c r="H167" s="785"/>
    </row>
    <row r="168" spans="1:8" x14ac:dyDescent="0.2">
      <c r="A168" s="785"/>
      <c r="B168" s="785"/>
      <c r="C168" s="785"/>
      <c r="D168" s="785"/>
      <c r="E168" s="785"/>
      <c r="F168" s="785"/>
      <c r="G168" s="785"/>
      <c r="H168" s="785"/>
    </row>
    <row r="169" spans="1:8" x14ac:dyDescent="0.2">
      <c r="A169" s="786" t="s">
        <v>522</v>
      </c>
      <c r="B169" s="785"/>
      <c r="C169" s="785"/>
      <c r="D169" s="785"/>
      <c r="E169" s="785"/>
      <c r="F169" s="785"/>
      <c r="G169" s="785"/>
      <c r="H169" s="785"/>
    </row>
    <row r="170" spans="1:8" x14ac:dyDescent="0.2">
      <c r="A170" s="786" t="s">
        <v>523</v>
      </c>
      <c r="B170" s="785"/>
      <c r="C170" s="785"/>
      <c r="D170" s="785"/>
      <c r="E170" s="785"/>
      <c r="F170" s="785"/>
      <c r="G170" s="785"/>
      <c r="H170" s="785"/>
    </row>
    <row r="171" spans="1:8" x14ac:dyDescent="0.2">
      <c r="A171" s="786" t="s">
        <v>524</v>
      </c>
      <c r="B171" s="785"/>
      <c r="C171" s="785"/>
      <c r="D171" s="785"/>
      <c r="E171" s="785"/>
      <c r="F171" s="785"/>
      <c r="G171" s="785"/>
      <c r="H171" s="785"/>
    </row>
    <row r="172" spans="1:8" x14ac:dyDescent="0.2">
      <c r="A172" s="785"/>
      <c r="B172" s="785"/>
      <c r="C172" s="785"/>
      <c r="D172" s="785"/>
      <c r="E172" s="785"/>
      <c r="F172" s="785"/>
      <c r="G172" s="785"/>
      <c r="H172" s="785"/>
    </row>
    <row r="173" spans="1:8" x14ac:dyDescent="0.2">
      <c r="A173" s="785"/>
      <c r="B173" s="785"/>
      <c r="C173" s="785"/>
      <c r="D173" s="785"/>
      <c r="E173" s="785"/>
      <c r="F173" s="785"/>
      <c r="G173" s="785"/>
      <c r="H173" s="785"/>
    </row>
    <row r="174" spans="1:8" x14ac:dyDescent="0.2">
      <c r="A174" s="786" t="s">
        <v>354</v>
      </c>
      <c r="B174" s="785"/>
      <c r="C174" s="785"/>
      <c r="D174" s="785"/>
      <c r="E174" s="785"/>
      <c r="F174" s="785"/>
      <c r="G174" s="785"/>
      <c r="H174" s="785"/>
    </row>
    <row r="175" spans="1:8" x14ac:dyDescent="0.2">
      <c r="A175" s="785"/>
      <c r="B175" s="785"/>
      <c r="C175" s="785"/>
      <c r="D175" s="785"/>
      <c r="E175" s="785"/>
      <c r="F175" s="785"/>
      <c r="G175" s="785"/>
      <c r="H175" s="785"/>
    </row>
    <row r="176" spans="1:8" ht="15.75" x14ac:dyDescent="0.2">
      <c r="A176" s="787" t="s">
        <v>355</v>
      </c>
      <c r="B176" s="785"/>
      <c r="C176" s="785"/>
      <c r="D176" s="785"/>
      <c r="E176" s="785"/>
      <c r="F176" s="785"/>
      <c r="G176" s="785"/>
      <c r="H176" s="785"/>
    </row>
    <row r="177" spans="1:8" x14ac:dyDescent="0.2">
      <c r="A177" s="785"/>
      <c r="B177" s="785"/>
      <c r="C177" s="785"/>
      <c r="D177" s="785"/>
      <c r="E177" s="785"/>
      <c r="F177" s="785"/>
      <c r="G177" s="785"/>
      <c r="H177" s="785"/>
    </row>
    <row r="178" spans="1:8" x14ac:dyDescent="0.2">
      <c r="A178" s="785"/>
      <c r="B178" s="785"/>
      <c r="C178" s="785"/>
      <c r="D178" s="785"/>
      <c r="E178" s="785"/>
      <c r="F178" s="785"/>
      <c r="G178" s="785"/>
      <c r="H178" s="785"/>
    </row>
    <row r="179" spans="1:8" x14ac:dyDescent="0.2">
      <c r="A179" s="785"/>
      <c r="B179" s="785"/>
      <c r="C179" s="785"/>
      <c r="D179" s="785"/>
      <c r="E179" s="785"/>
      <c r="F179" s="785"/>
      <c r="G179" s="785"/>
      <c r="H179" s="785"/>
    </row>
    <row r="180" spans="1:8" x14ac:dyDescent="0.2">
      <c r="A180" s="785"/>
      <c r="B180" s="785"/>
      <c r="C180" s="785"/>
      <c r="D180" s="785"/>
      <c r="E180" s="785"/>
      <c r="F180" s="785"/>
      <c r="G180" s="785"/>
      <c r="H180" s="785"/>
    </row>
    <row r="181" spans="1:8" x14ac:dyDescent="0.2">
      <c r="A181" s="785"/>
      <c r="B181" s="785"/>
      <c r="C181" s="785"/>
      <c r="D181" s="785"/>
      <c r="E181" s="785"/>
      <c r="F181" s="785"/>
      <c r="G181" s="785"/>
      <c r="H181" s="785"/>
    </row>
    <row r="182" spans="1:8" x14ac:dyDescent="0.2">
      <c r="A182" s="785"/>
      <c r="B182" s="785"/>
      <c r="C182" s="785"/>
      <c r="D182" s="785"/>
      <c r="E182" s="785"/>
      <c r="F182" s="785"/>
      <c r="G182" s="785"/>
      <c r="H182" s="785"/>
    </row>
    <row r="183" spans="1:8" x14ac:dyDescent="0.2">
      <c r="A183" s="785"/>
      <c r="B183" s="785"/>
      <c r="C183" s="785"/>
      <c r="D183" s="785"/>
      <c r="E183" s="785"/>
      <c r="F183" s="785"/>
      <c r="G183" s="785"/>
      <c r="H183" s="785"/>
    </row>
    <row r="184" spans="1:8" x14ac:dyDescent="0.2">
      <c r="A184" s="785"/>
      <c r="B184" s="785"/>
      <c r="C184" s="785"/>
      <c r="D184" s="785"/>
      <c r="E184" s="785"/>
      <c r="F184" s="785"/>
      <c r="G184" s="785"/>
      <c r="H184" s="785"/>
    </row>
    <row r="185" spans="1:8" x14ac:dyDescent="0.2">
      <c r="A185" s="785"/>
      <c r="B185" s="785"/>
      <c r="C185" s="785"/>
      <c r="D185" s="785"/>
      <c r="E185" s="785"/>
      <c r="F185" s="785"/>
      <c r="G185" s="785"/>
      <c r="H185" s="785"/>
    </row>
    <row r="186" spans="1:8" x14ac:dyDescent="0.2">
      <c r="A186" s="785"/>
      <c r="B186" s="785"/>
      <c r="C186" s="785"/>
      <c r="D186" s="785"/>
      <c r="E186" s="785"/>
      <c r="F186" s="785"/>
      <c r="G186" s="785"/>
      <c r="H186" s="785"/>
    </row>
    <row r="187" spans="1:8" x14ac:dyDescent="0.2">
      <c r="A187" s="785"/>
      <c r="B187" s="785"/>
      <c r="C187" s="785"/>
      <c r="D187" s="785"/>
      <c r="E187" s="785"/>
      <c r="F187" s="785"/>
      <c r="G187" s="785"/>
      <c r="H187" s="785"/>
    </row>
    <row r="188" spans="1:8" x14ac:dyDescent="0.2">
      <c r="A188" s="785"/>
      <c r="B188" s="785"/>
      <c r="C188" s="785"/>
      <c r="D188" s="785"/>
      <c r="E188" s="785"/>
      <c r="F188" s="785"/>
      <c r="G188" s="785"/>
      <c r="H188" s="785"/>
    </row>
    <row r="189" spans="1:8" x14ac:dyDescent="0.2">
      <c r="A189" s="785"/>
      <c r="B189" s="785"/>
      <c r="C189" s="785"/>
      <c r="D189" s="785"/>
      <c r="E189" s="785"/>
      <c r="F189" s="785"/>
      <c r="G189" s="785"/>
      <c r="H189" s="785"/>
    </row>
    <row r="190" spans="1:8" x14ac:dyDescent="0.2">
      <c r="A190" s="785"/>
      <c r="B190" s="785"/>
      <c r="C190" s="785"/>
      <c r="D190" s="785"/>
      <c r="E190" s="785"/>
      <c r="F190" s="785"/>
      <c r="G190" s="785"/>
      <c r="H190" s="785"/>
    </row>
    <row r="191" spans="1:8" x14ac:dyDescent="0.2">
      <c r="A191" s="785"/>
      <c r="B191" s="785"/>
      <c r="C191" s="785"/>
      <c r="D191" s="785"/>
      <c r="E191" s="785"/>
      <c r="F191" s="785"/>
      <c r="G191" s="785"/>
      <c r="H191" s="785"/>
    </row>
    <row r="192" spans="1:8" x14ac:dyDescent="0.2">
      <c r="A192" s="785"/>
      <c r="B192" s="785"/>
      <c r="C192" s="785"/>
      <c r="D192" s="785"/>
      <c r="E192" s="785"/>
      <c r="F192" s="785"/>
      <c r="G192" s="785"/>
      <c r="H192" s="785"/>
    </row>
    <row r="193" spans="1:8" x14ac:dyDescent="0.2">
      <c r="A193" s="785"/>
      <c r="B193" s="785"/>
      <c r="C193" s="785"/>
      <c r="D193" s="785"/>
      <c r="E193" s="785"/>
      <c r="F193" s="785"/>
      <c r="G193" s="785"/>
      <c r="H193" s="785"/>
    </row>
    <row r="194" spans="1:8" x14ac:dyDescent="0.2">
      <c r="A194" s="785"/>
      <c r="B194" s="785"/>
      <c r="C194" s="785"/>
      <c r="D194" s="785"/>
      <c r="E194" s="785"/>
      <c r="F194" s="785"/>
      <c r="G194" s="785"/>
      <c r="H194" s="785"/>
    </row>
    <row r="195" spans="1:8" x14ac:dyDescent="0.2">
      <c r="A195" s="785"/>
      <c r="B195" s="785"/>
      <c r="C195" s="785"/>
      <c r="D195" s="785"/>
      <c r="E195" s="785"/>
      <c r="F195" s="785"/>
      <c r="G195" s="785"/>
      <c r="H195" s="785"/>
    </row>
    <row r="196" spans="1:8" x14ac:dyDescent="0.2">
      <c r="A196" s="785"/>
      <c r="B196" s="785"/>
      <c r="C196" s="785"/>
      <c r="D196" s="785"/>
      <c r="E196" s="785"/>
      <c r="F196" s="785"/>
      <c r="G196" s="785"/>
      <c r="H196" s="785"/>
    </row>
    <row r="197" spans="1:8" x14ac:dyDescent="0.2">
      <c r="A197" s="785"/>
      <c r="B197" s="785"/>
      <c r="C197" s="785"/>
      <c r="D197" s="785"/>
      <c r="E197" s="785"/>
      <c r="F197" s="785"/>
      <c r="G197" s="785"/>
      <c r="H197" s="785"/>
    </row>
    <row r="198" spans="1:8" x14ac:dyDescent="0.2">
      <c r="A198" s="785"/>
      <c r="B198" s="785"/>
      <c r="C198" s="785"/>
      <c r="D198" s="785"/>
      <c r="E198" s="785"/>
      <c r="F198" s="785"/>
      <c r="G198" s="785"/>
      <c r="H198" s="785"/>
    </row>
    <row r="199" spans="1:8" x14ac:dyDescent="0.2">
      <c r="A199" s="785"/>
      <c r="B199" s="785"/>
      <c r="C199" s="785"/>
      <c r="D199" s="785"/>
      <c r="E199" s="785"/>
      <c r="F199" s="785"/>
      <c r="G199" s="785"/>
      <c r="H199" s="785"/>
    </row>
    <row r="200" spans="1:8" x14ac:dyDescent="0.2">
      <c r="A200" s="785"/>
      <c r="B200" s="785"/>
      <c r="C200" s="785"/>
      <c r="D200" s="785"/>
      <c r="E200" s="785"/>
      <c r="F200" s="785"/>
      <c r="G200" s="785"/>
      <c r="H200" s="785"/>
    </row>
    <row r="201" spans="1:8" x14ac:dyDescent="0.2">
      <c r="A201" s="785"/>
      <c r="B201" s="785"/>
      <c r="C201" s="785"/>
      <c r="D201" s="785"/>
      <c r="E201" s="785"/>
      <c r="F201" s="785"/>
      <c r="G201" s="785"/>
      <c r="H201" s="785"/>
    </row>
    <row r="202" spans="1:8" x14ac:dyDescent="0.2">
      <c r="A202" s="785"/>
      <c r="B202" s="785"/>
      <c r="C202" s="785"/>
      <c r="D202" s="785"/>
      <c r="E202" s="785"/>
      <c r="F202" s="785"/>
      <c r="G202" s="785"/>
      <c r="H202" s="785"/>
    </row>
    <row r="203" spans="1:8" ht="15.75" x14ac:dyDescent="0.2">
      <c r="A203" s="787" t="s">
        <v>356</v>
      </c>
      <c r="B203" s="785"/>
      <c r="C203" s="785"/>
      <c r="D203" s="785"/>
      <c r="E203" s="785"/>
      <c r="F203" s="785"/>
      <c r="G203" s="785"/>
      <c r="H203" s="785"/>
    </row>
    <row r="204" spans="1:8" x14ac:dyDescent="0.2">
      <c r="A204" s="785"/>
      <c r="B204" s="785"/>
      <c r="C204" s="785"/>
      <c r="D204" s="785"/>
      <c r="E204" s="785"/>
      <c r="F204" s="785"/>
      <c r="G204" s="785"/>
      <c r="H204" s="785"/>
    </row>
    <row r="205" spans="1:8" x14ac:dyDescent="0.2">
      <c r="A205" s="786" t="s">
        <v>517</v>
      </c>
      <c r="B205" s="785"/>
      <c r="C205" s="785"/>
      <c r="D205" s="785"/>
      <c r="E205" s="785"/>
      <c r="F205" s="785"/>
      <c r="G205" s="785"/>
      <c r="H205" s="785"/>
    </row>
    <row r="206" spans="1:8" x14ac:dyDescent="0.2">
      <c r="A206" s="786" t="s">
        <v>518</v>
      </c>
      <c r="B206" s="785"/>
      <c r="C206" s="785"/>
      <c r="D206" s="785"/>
      <c r="E206" s="785"/>
      <c r="F206" s="785"/>
      <c r="G206" s="785"/>
      <c r="H206" s="785"/>
    </row>
    <row r="207" spans="1:8" x14ac:dyDescent="0.2">
      <c r="A207" s="786" t="s">
        <v>519</v>
      </c>
      <c r="B207" s="785"/>
      <c r="C207" s="785"/>
      <c r="D207" s="785"/>
      <c r="E207" s="785"/>
      <c r="F207" s="785"/>
      <c r="G207" s="785"/>
      <c r="H207" s="785"/>
    </row>
    <row r="208" spans="1:8" x14ac:dyDescent="0.2">
      <c r="A208" s="786" t="s">
        <v>520</v>
      </c>
      <c r="B208" s="785"/>
      <c r="C208" s="785"/>
      <c r="D208" s="785"/>
      <c r="E208" s="785"/>
      <c r="F208" s="785"/>
      <c r="G208" s="785"/>
      <c r="H208" s="785"/>
    </row>
    <row r="209" spans="1:8" x14ac:dyDescent="0.2">
      <c r="A209" s="786" t="s">
        <v>521</v>
      </c>
      <c r="B209" s="785"/>
      <c r="C209" s="785"/>
      <c r="D209" s="785"/>
      <c r="E209" s="785"/>
      <c r="F209" s="785"/>
      <c r="G209" s="785"/>
      <c r="H209" s="785"/>
    </row>
    <row r="210" spans="1:8" x14ac:dyDescent="0.2">
      <c r="A210" s="785"/>
      <c r="B210" s="785"/>
      <c r="C210" s="785"/>
      <c r="D210" s="785"/>
      <c r="E210" s="785"/>
      <c r="F210" s="785"/>
      <c r="G210" s="785"/>
      <c r="H210" s="785"/>
    </row>
    <row r="211" spans="1:8" x14ac:dyDescent="0.2">
      <c r="A211" s="786" t="s">
        <v>514</v>
      </c>
      <c r="B211" s="785"/>
      <c r="C211" s="785"/>
      <c r="D211" s="785"/>
      <c r="E211" s="785"/>
      <c r="F211" s="785"/>
      <c r="G211" s="785"/>
      <c r="H211" s="785"/>
    </row>
    <row r="212" spans="1:8" x14ac:dyDescent="0.2">
      <c r="A212" s="786" t="s">
        <v>515</v>
      </c>
      <c r="B212" s="785"/>
      <c r="C212" s="785"/>
      <c r="D212" s="785"/>
      <c r="E212" s="785"/>
      <c r="F212" s="785"/>
      <c r="G212" s="785"/>
      <c r="H212" s="785"/>
    </row>
    <row r="213" spans="1:8" x14ac:dyDescent="0.2">
      <c r="A213" s="786" t="s">
        <v>516</v>
      </c>
      <c r="B213" s="785"/>
      <c r="C213" s="785"/>
      <c r="D213" s="785"/>
      <c r="E213" s="785"/>
      <c r="F213" s="785"/>
      <c r="G213" s="785"/>
      <c r="H213" s="785"/>
    </row>
    <row r="214" spans="1:8" ht="15.75" x14ac:dyDescent="0.2">
      <c r="A214" s="787" t="s">
        <v>357</v>
      </c>
      <c r="B214" s="785"/>
      <c r="C214" s="785"/>
      <c r="D214" s="785"/>
      <c r="E214" s="785"/>
      <c r="F214" s="785"/>
      <c r="G214" s="785"/>
      <c r="H214" s="785"/>
    </row>
    <row r="215" spans="1:8" x14ac:dyDescent="0.2">
      <c r="A215" s="785"/>
      <c r="B215" s="785"/>
      <c r="C215" s="785"/>
      <c r="D215" s="785"/>
      <c r="E215" s="785"/>
      <c r="F215" s="785"/>
      <c r="G215" s="785"/>
      <c r="H215" s="785"/>
    </row>
    <row r="216" spans="1:8" x14ac:dyDescent="0.2">
      <c r="A216" s="786" t="s">
        <v>512</v>
      </c>
      <c r="B216" s="785"/>
      <c r="C216" s="785"/>
      <c r="D216" s="785"/>
      <c r="E216" s="785"/>
      <c r="F216" s="785"/>
      <c r="G216" s="785"/>
      <c r="H216" s="785"/>
    </row>
    <row r="217" spans="1:8" x14ac:dyDescent="0.2">
      <c r="A217" s="786" t="s">
        <v>513</v>
      </c>
      <c r="B217" s="785"/>
      <c r="C217" s="785"/>
      <c r="D217" s="785"/>
      <c r="E217" s="785"/>
      <c r="F217" s="785"/>
      <c r="G217" s="785"/>
      <c r="H217" s="785"/>
    </row>
    <row r="218" spans="1:8" x14ac:dyDescent="0.2">
      <c r="A218" s="785"/>
      <c r="B218" s="785"/>
      <c r="C218" s="785"/>
      <c r="D218" s="785"/>
      <c r="E218" s="785"/>
      <c r="F218" s="785"/>
      <c r="G218" s="785"/>
      <c r="H218" s="785"/>
    </row>
    <row r="219" spans="1:8" x14ac:dyDescent="0.2">
      <c r="A219" s="786" t="s">
        <v>505</v>
      </c>
      <c r="B219" s="785"/>
      <c r="C219" s="785"/>
      <c r="D219" s="785"/>
      <c r="E219" s="785"/>
      <c r="F219" s="785"/>
      <c r="G219" s="785"/>
      <c r="H219" s="785"/>
    </row>
    <row r="220" spans="1:8" x14ac:dyDescent="0.2">
      <c r="A220" s="786" t="s">
        <v>506</v>
      </c>
      <c r="B220" s="785"/>
      <c r="C220" s="785"/>
      <c r="D220" s="785"/>
      <c r="E220" s="785"/>
      <c r="F220" s="785"/>
      <c r="G220" s="785"/>
      <c r="H220" s="785"/>
    </row>
    <row r="221" spans="1:8" x14ac:dyDescent="0.2">
      <c r="A221" s="786" t="s">
        <v>507</v>
      </c>
      <c r="B221" s="785"/>
      <c r="C221" s="785"/>
      <c r="D221" s="785"/>
      <c r="E221" s="785"/>
      <c r="F221" s="785"/>
      <c r="G221" s="785"/>
      <c r="H221" s="785"/>
    </row>
    <row r="222" spans="1:8" x14ac:dyDescent="0.2">
      <c r="A222" s="786" t="s">
        <v>508</v>
      </c>
      <c r="B222" s="785"/>
      <c r="C222" s="785"/>
      <c r="D222" s="785"/>
      <c r="E222" s="785"/>
      <c r="F222" s="785"/>
      <c r="G222" s="785"/>
      <c r="H222" s="785"/>
    </row>
    <row r="223" spans="1:8" x14ac:dyDescent="0.2">
      <c r="A223" s="786" t="s">
        <v>509</v>
      </c>
      <c r="B223" s="785"/>
      <c r="C223" s="785"/>
      <c r="D223" s="785"/>
      <c r="E223" s="785"/>
      <c r="F223" s="785"/>
      <c r="G223" s="785"/>
      <c r="H223" s="785"/>
    </row>
    <row r="224" spans="1:8" x14ac:dyDescent="0.2">
      <c r="A224" s="786" t="s">
        <v>510</v>
      </c>
      <c r="B224" s="785"/>
      <c r="C224" s="785"/>
      <c r="D224" s="785"/>
      <c r="E224" s="785"/>
      <c r="F224" s="785"/>
      <c r="G224" s="785"/>
      <c r="H224" s="785"/>
    </row>
    <row r="225" spans="1:8" x14ac:dyDescent="0.2">
      <c r="A225" s="786" t="s">
        <v>511</v>
      </c>
      <c r="B225" s="785"/>
      <c r="C225" s="785"/>
      <c r="D225" s="785"/>
      <c r="E225" s="785"/>
      <c r="F225" s="785"/>
      <c r="G225" s="785"/>
      <c r="H225" s="785"/>
    </row>
    <row r="226" spans="1:8" x14ac:dyDescent="0.2">
      <c r="A226" s="785"/>
      <c r="B226" s="785"/>
      <c r="C226" s="785"/>
      <c r="D226" s="785"/>
      <c r="E226" s="785"/>
      <c r="F226" s="785"/>
      <c r="G226" s="785"/>
      <c r="H226" s="785"/>
    </row>
    <row r="227" spans="1:8" x14ac:dyDescent="0.2">
      <c r="A227" s="786" t="s">
        <v>502</v>
      </c>
      <c r="B227" s="785"/>
      <c r="C227" s="785"/>
      <c r="D227" s="785"/>
      <c r="E227" s="785"/>
      <c r="F227" s="785"/>
      <c r="G227" s="785"/>
      <c r="H227" s="785"/>
    </row>
    <row r="228" spans="1:8" x14ac:dyDescent="0.2">
      <c r="A228" s="786" t="s">
        <v>503</v>
      </c>
      <c r="B228" s="785"/>
      <c r="C228" s="785"/>
      <c r="D228" s="785"/>
      <c r="E228" s="785"/>
      <c r="F228" s="785"/>
      <c r="G228" s="785"/>
      <c r="H228" s="785"/>
    </row>
    <row r="229" spans="1:8" x14ac:dyDescent="0.2">
      <c r="A229" s="786" t="s">
        <v>504</v>
      </c>
      <c r="B229" s="785"/>
      <c r="C229" s="785"/>
      <c r="D229" s="785"/>
      <c r="E229" s="785"/>
      <c r="F229" s="785"/>
      <c r="G229" s="785"/>
      <c r="H229" s="785"/>
    </row>
    <row r="230" spans="1:8" x14ac:dyDescent="0.2">
      <c r="A230" s="785"/>
      <c r="B230" s="785"/>
      <c r="C230" s="785"/>
      <c r="D230" s="785"/>
      <c r="E230" s="785"/>
      <c r="F230" s="785"/>
      <c r="G230" s="785"/>
      <c r="H230" s="785"/>
    </row>
    <row r="231" spans="1:8" x14ac:dyDescent="0.2">
      <c r="A231" s="786" t="s">
        <v>497</v>
      </c>
      <c r="B231" s="785"/>
      <c r="C231" s="785"/>
      <c r="D231" s="785"/>
      <c r="E231" s="785"/>
      <c r="F231" s="785"/>
      <c r="G231" s="785"/>
      <c r="H231" s="785"/>
    </row>
    <row r="232" spans="1:8" x14ac:dyDescent="0.2">
      <c r="A232" s="786" t="s">
        <v>498</v>
      </c>
      <c r="B232" s="785"/>
      <c r="C232" s="785"/>
      <c r="D232" s="785"/>
      <c r="E232" s="785"/>
      <c r="F232" s="785"/>
      <c r="G232" s="785"/>
      <c r="H232" s="785"/>
    </row>
    <row r="233" spans="1:8" x14ac:dyDescent="0.2">
      <c r="A233" s="786" t="s">
        <v>499</v>
      </c>
      <c r="B233" s="785"/>
      <c r="C233" s="785"/>
      <c r="D233" s="785"/>
      <c r="E233" s="785"/>
      <c r="F233" s="785"/>
      <c r="G233" s="785"/>
      <c r="H233" s="785"/>
    </row>
    <row r="234" spans="1:8" x14ac:dyDescent="0.2">
      <c r="A234" s="786" t="s">
        <v>500</v>
      </c>
      <c r="B234" s="785"/>
      <c r="C234" s="785"/>
      <c r="D234" s="785"/>
      <c r="E234" s="785"/>
      <c r="F234" s="785"/>
      <c r="G234" s="785"/>
      <c r="H234" s="785"/>
    </row>
    <row r="235" spans="1:8" x14ac:dyDescent="0.2">
      <c r="A235" s="786" t="s">
        <v>501</v>
      </c>
      <c r="B235" s="785"/>
      <c r="C235" s="785"/>
      <c r="D235" s="785"/>
      <c r="E235" s="785"/>
      <c r="F235" s="785"/>
      <c r="G235" s="785"/>
      <c r="H235" s="785"/>
    </row>
    <row r="236" spans="1:8" x14ac:dyDescent="0.2">
      <c r="A236" s="785"/>
      <c r="B236" s="785"/>
      <c r="C236" s="785"/>
      <c r="D236" s="785"/>
      <c r="E236" s="785"/>
      <c r="F236" s="785"/>
      <c r="G236" s="785"/>
      <c r="H236" s="785"/>
    </row>
    <row r="237" spans="1:8" x14ac:dyDescent="0.2">
      <c r="A237" s="786" t="s">
        <v>491</v>
      </c>
      <c r="B237" s="785"/>
      <c r="C237" s="785"/>
      <c r="D237" s="785"/>
      <c r="E237" s="785"/>
      <c r="F237" s="785"/>
      <c r="G237" s="785"/>
      <c r="H237" s="785"/>
    </row>
    <row r="238" spans="1:8" x14ac:dyDescent="0.2">
      <c r="A238" s="786" t="s">
        <v>492</v>
      </c>
      <c r="B238" s="785"/>
      <c r="C238" s="785"/>
      <c r="D238" s="785"/>
      <c r="E238" s="785"/>
      <c r="F238" s="785"/>
      <c r="G238" s="785"/>
      <c r="H238" s="785"/>
    </row>
    <row r="239" spans="1:8" x14ac:dyDescent="0.2">
      <c r="A239" s="786" t="s">
        <v>493</v>
      </c>
      <c r="B239" s="785"/>
      <c r="C239" s="785"/>
      <c r="D239" s="785"/>
      <c r="E239" s="785"/>
      <c r="F239" s="785"/>
      <c r="G239" s="785"/>
      <c r="H239" s="785"/>
    </row>
    <row r="240" spans="1:8" x14ac:dyDescent="0.2">
      <c r="A240" s="786" t="s">
        <v>494</v>
      </c>
      <c r="B240" s="785"/>
      <c r="C240" s="785"/>
      <c r="D240" s="785"/>
      <c r="E240" s="785"/>
      <c r="F240" s="785"/>
      <c r="G240" s="785"/>
      <c r="H240" s="785"/>
    </row>
    <row r="241" spans="1:8" x14ac:dyDescent="0.2">
      <c r="A241" s="786" t="s">
        <v>495</v>
      </c>
      <c r="B241" s="785"/>
      <c r="C241" s="785"/>
      <c r="D241" s="785"/>
      <c r="E241" s="785"/>
      <c r="F241" s="785"/>
      <c r="G241" s="785"/>
      <c r="H241" s="785"/>
    </row>
    <row r="242" spans="1:8" x14ac:dyDescent="0.2">
      <c r="A242" s="786" t="s">
        <v>496</v>
      </c>
      <c r="B242" s="785"/>
      <c r="C242" s="785"/>
      <c r="D242" s="785"/>
      <c r="E242" s="785"/>
      <c r="F242" s="785"/>
      <c r="G242" s="785"/>
      <c r="H242" s="785"/>
    </row>
    <row r="243" spans="1:8" x14ac:dyDescent="0.2">
      <c r="A243" s="785"/>
      <c r="B243" s="785"/>
      <c r="C243" s="785"/>
      <c r="D243" s="785"/>
      <c r="E243" s="785"/>
      <c r="F243" s="785"/>
      <c r="G243" s="785"/>
      <c r="H243" s="785"/>
    </row>
    <row r="244" spans="1:8" x14ac:dyDescent="0.2">
      <c r="A244" s="786" t="s">
        <v>481</v>
      </c>
      <c r="B244" s="785"/>
      <c r="C244" s="785"/>
      <c r="D244" s="785"/>
      <c r="E244" s="785"/>
      <c r="F244" s="785"/>
      <c r="G244" s="785"/>
      <c r="H244" s="785"/>
    </row>
    <row r="245" spans="1:8" x14ac:dyDescent="0.2">
      <c r="A245" s="786" t="s">
        <v>482</v>
      </c>
      <c r="B245" s="785"/>
      <c r="C245" s="785"/>
      <c r="D245" s="785"/>
      <c r="E245" s="785"/>
      <c r="F245" s="785"/>
      <c r="G245" s="785"/>
      <c r="H245" s="785"/>
    </row>
    <row r="246" spans="1:8" x14ac:dyDescent="0.2">
      <c r="A246" s="786" t="s">
        <v>483</v>
      </c>
      <c r="B246" s="785"/>
      <c r="C246" s="785"/>
      <c r="D246" s="785"/>
      <c r="E246" s="785"/>
      <c r="F246" s="785"/>
      <c r="G246" s="785"/>
      <c r="H246" s="785"/>
    </row>
    <row r="247" spans="1:8" x14ac:dyDescent="0.2">
      <c r="A247" s="786" t="s">
        <v>484</v>
      </c>
      <c r="B247" s="785"/>
      <c r="C247" s="785"/>
      <c r="D247" s="785"/>
      <c r="E247" s="785"/>
      <c r="F247" s="785"/>
      <c r="G247" s="785"/>
      <c r="H247" s="785"/>
    </row>
    <row r="248" spans="1:8" x14ac:dyDescent="0.2">
      <c r="A248" s="786" t="s">
        <v>485</v>
      </c>
      <c r="B248" s="785"/>
      <c r="C248" s="785"/>
      <c r="D248" s="785"/>
      <c r="E248" s="785"/>
      <c r="F248" s="785"/>
      <c r="G248" s="785"/>
      <c r="H248" s="785"/>
    </row>
    <row r="249" spans="1:8" x14ac:dyDescent="0.2">
      <c r="A249" s="786" t="s">
        <v>486</v>
      </c>
      <c r="B249" s="785"/>
      <c r="C249" s="785"/>
      <c r="D249" s="785"/>
      <c r="E249" s="785"/>
      <c r="F249" s="785"/>
      <c r="G249" s="785"/>
      <c r="H249" s="785"/>
    </row>
    <row r="250" spans="1:8" x14ac:dyDescent="0.2">
      <c r="A250" s="786" t="s">
        <v>487</v>
      </c>
      <c r="B250" s="785"/>
      <c r="C250" s="785"/>
      <c r="D250" s="785"/>
      <c r="E250" s="785"/>
      <c r="F250" s="785"/>
      <c r="G250" s="785"/>
      <c r="H250" s="785"/>
    </row>
    <row r="251" spans="1:8" x14ac:dyDescent="0.2">
      <c r="A251" s="786" t="s">
        <v>488</v>
      </c>
      <c r="B251" s="785"/>
      <c r="C251" s="785"/>
      <c r="D251" s="785"/>
      <c r="E251" s="785"/>
      <c r="F251" s="785"/>
      <c r="G251" s="785"/>
      <c r="H251" s="785"/>
    </row>
    <row r="252" spans="1:8" x14ac:dyDescent="0.2">
      <c r="A252" s="786" t="s">
        <v>489</v>
      </c>
      <c r="B252" s="785"/>
      <c r="C252" s="785"/>
      <c r="D252" s="785"/>
      <c r="E252" s="785"/>
      <c r="F252" s="785"/>
      <c r="G252" s="785"/>
      <c r="H252" s="785"/>
    </row>
    <row r="253" spans="1:8" x14ac:dyDescent="0.2">
      <c r="A253" s="786" t="s">
        <v>490</v>
      </c>
      <c r="B253" s="785"/>
      <c r="C253" s="785"/>
      <c r="D253" s="785"/>
      <c r="E253" s="785"/>
      <c r="F253" s="785"/>
      <c r="G253" s="785"/>
      <c r="H253" s="785"/>
    </row>
    <row r="254" spans="1:8" x14ac:dyDescent="0.2">
      <c r="A254" s="785"/>
      <c r="B254" s="785"/>
      <c r="C254" s="785"/>
      <c r="D254" s="785"/>
      <c r="E254" s="785"/>
      <c r="F254" s="785"/>
      <c r="G254" s="785"/>
      <c r="H254" s="785"/>
    </row>
    <row r="255" spans="1:8" x14ac:dyDescent="0.2">
      <c r="A255" s="786" t="s">
        <v>479</v>
      </c>
      <c r="B255" s="785"/>
      <c r="C255" s="785"/>
      <c r="D255" s="785"/>
      <c r="E255" s="785"/>
      <c r="F255" s="785"/>
      <c r="G255" s="785"/>
      <c r="H255" s="785"/>
    </row>
    <row r="256" spans="1:8" x14ac:dyDescent="0.2">
      <c r="A256" s="786" t="s">
        <v>480</v>
      </c>
      <c r="B256" s="785"/>
      <c r="C256" s="785"/>
      <c r="D256" s="785"/>
      <c r="E256" s="785"/>
      <c r="F256" s="785"/>
      <c r="G256" s="785"/>
      <c r="H256" s="785"/>
    </row>
    <row r="257" spans="1:8" x14ac:dyDescent="0.2">
      <c r="A257" s="785"/>
      <c r="B257" s="785"/>
      <c r="C257" s="785"/>
      <c r="D257" s="785"/>
      <c r="E257" s="785"/>
      <c r="F257" s="785"/>
      <c r="G257" s="785"/>
      <c r="H257" s="785"/>
    </row>
    <row r="258" spans="1:8" x14ac:dyDescent="0.2">
      <c r="A258" s="786" t="s">
        <v>463</v>
      </c>
      <c r="B258" s="785"/>
      <c r="C258" s="785"/>
      <c r="D258" s="785"/>
      <c r="E258" s="785"/>
      <c r="F258" s="785"/>
      <c r="G258" s="785"/>
      <c r="H258" s="785"/>
    </row>
    <row r="259" spans="1:8" x14ac:dyDescent="0.2">
      <c r="A259" s="786" t="s">
        <v>464</v>
      </c>
      <c r="B259" s="785"/>
      <c r="C259" s="785"/>
      <c r="D259" s="785"/>
      <c r="E259" s="785"/>
      <c r="F259" s="785"/>
      <c r="G259" s="785"/>
      <c r="H259" s="785"/>
    </row>
    <row r="260" spans="1:8" x14ac:dyDescent="0.2">
      <c r="A260" s="786" t="s">
        <v>465</v>
      </c>
      <c r="B260" s="785"/>
      <c r="C260" s="785"/>
      <c r="D260" s="785"/>
      <c r="E260" s="785"/>
      <c r="F260" s="785"/>
      <c r="G260" s="785"/>
      <c r="H260" s="785"/>
    </row>
    <row r="261" spans="1:8" x14ac:dyDescent="0.2">
      <c r="A261" s="786" t="s">
        <v>466</v>
      </c>
      <c r="B261" s="785"/>
      <c r="C261" s="785"/>
      <c r="D261" s="785"/>
      <c r="E261" s="785"/>
      <c r="F261" s="785"/>
      <c r="G261" s="785"/>
      <c r="H261" s="785"/>
    </row>
    <row r="262" spans="1:8" x14ac:dyDescent="0.2">
      <c r="A262" s="786" t="s">
        <v>467</v>
      </c>
      <c r="B262" s="785"/>
      <c r="C262" s="785"/>
      <c r="D262" s="785"/>
      <c r="E262" s="785"/>
      <c r="F262" s="785"/>
      <c r="G262" s="785"/>
      <c r="H262" s="785"/>
    </row>
    <row r="263" spans="1:8" x14ac:dyDescent="0.2">
      <c r="A263" s="786" t="s">
        <v>468</v>
      </c>
      <c r="B263" s="785"/>
      <c r="C263" s="785"/>
      <c r="D263" s="785"/>
      <c r="E263" s="785"/>
      <c r="F263" s="785"/>
      <c r="G263" s="785"/>
      <c r="H263" s="785"/>
    </row>
    <row r="264" spans="1:8" x14ac:dyDescent="0.2">
      <c r="A264" s="786" t="s">
        <v>469</v>
      </c>
      <c r="B264" s="785"/>
      <c r="C264" s="785"/>
      <c r="D264" s="785"/>
      <c r="E264" s="785"/>
      <c r="F264" s="785"/>
      <c r="G264" s="785"/>
      <c r="H264" s="785"/>
    </row>
    <row r="265" spans="1:8" x14ac:dyDescent="0.2">
      <c r="A265" s="786" t="s">
        <v>470</v>
      </c>
      <c r="B265" s="785"/>
      <c r="C265" s="785"/>
      <c r="D265" s="785"/>
      <c r="E265" s="785"/>
      <c r="F265" s="785"/>
      <c r="G265" s="785"/>
      <c r="H265" s="785"/>
    </row>
    <row r="266" spans="1:8" x14ac:dyDescent="0.2">
      <c r="A266" s="786" t="s">
        <v>471</v>
      </c>
      <c r="B266" s="785"/>
      <c r="C266" s="785"/>
      <c r="D266" s="785"/>
      <c r="E266" s="785"/>
      <c r="F266" s="785"/>
      <c r="G266" s="785"/>
      <c r="H266" s="785"/>
    </row>
    <row r="267" spans="1:8" x14ac:dyDescent="0.2">
      <c r="A267" s="786" t="s">
        <v>472</v>
      </c>
      <c r="B267" s="785"/>
      <c r="C267" s="785"/>
      <c r="D267" s="785"/>
      <c r="E267" s="785"/>
      <c r="F267" s="785"/>
      <c r="G267" s="785"/>
      <c r="H267" s="785"/>
    </row>
    <row r="268" spans="1:8" x14ac:dyDescent="0.2">
      <c r="A268" s="786" t="s">
        <v>473</v>
      </c>
      <c r="B268" s="785"/>
      <c r="C268" s="785"/>
      <c r="D268" s="785"/>
      <c r="E268" s="785"/>
      <c r="F268" s="785"/>
      <c r="G268" s="785"/>
      <c r="H268" s="785"/>
    </row>
    <row r="269" spans="1:8" x14ac:dyDescent="0.2">
      <c r="A269" s="786" t="s">
        <v>474</v>
      </c>
      <c r="B269" s="785"/>
      <c r="C269" s="785"/>
      <c r="D269" s="785"/>
      <c r="E269" s="785"/>
      <c r="F269" s="785"/>
      <c r="G269" s="785"/>
      <c r="H269" s="785"/>
    </row>
    <row r="270" spans="1:8" x14ac:dyDescent="0.2">
      <c r="A270" s="786" t="s">
        <v>475</v>
      </c>
      <c r="B270" s="785"/>
      <c r="C270" s="785"/>
      <c r="D270" s="785"/>
      <c r="E270" s="785"/>
      <c r="F270" s="785"/>
      <c r="G270" s="785"/>
      <c r="H270" s="785"/>
    </row>
    <row r="271" spans="1:8" x14ac:dyDescent="0.2">
      <c r="A271" s="786" t="s">
        <v>476</v>
      </c>
      <c r="B271" s="785"/>
      <c r="C271" s="785"/>
      <c r="D271" s="785"/>
      <c r="E271" s="785"/>
      <c r="F271" s="785"/>
      <c r="G271" s="785"/>
      <c r="H271" s="785"/>
    </row>
    <row r="272" spans="1:8" x14ac:dyDescent="0.2">
      <c r="A272" s="786" t="s">
        <v>477</v>
      </c>
      <c r="B272" s="785"/>
      <c r="C272" s="785"/>
      <c r="D272" s="785"/>
      <c r="E272" s="785"/>
      <c r="F272" s="785"/>
      <c r="G272" s="785"/>
      <c r="H272" s="785"/>
    </row>
    <row r="273" spans="1:8" x14ac:dyDescent="0.2">
      <c r="A273" s="786" t="s">
        <v>478</v>
      </c>
      <c r="B273" s="785"/>
      <c r="C273" s="785"/>
      <c r="D273" s="785"/>
      <c r="E273" s="785"/>
      <c r="F273" s="785"/>
      <c r="G273" s="785"/>
      <c r="H273" s="785"/>
    </row>
    <row r="274" spans="1:8" x14ac:dyDescent="0.2">
      <c r="A274" s="785"/>
      <c r="B274" s="785"/>
      <c r="C274" s="785"/>
      <c r="D274" s="785"/>
      <c r="E274" s="785"/>
      <c r="F274" s="785"/>
      <c r="G274" s="785"/>
      <c r="H274" s="785"/>
    </row>
    <row r="275" spans="1:8" x14ac:dyDescent="0.2">
      <c r="A275" s="786" t="s">
        <v>456</v>
      </c>
      <c r="B275" s="785"/>
      <c r="C275" s="785"/>
      <c r="D275" s="785"/>
      <c r="E275" s="785"/>
      <c r="F275" s="785"/>
      <c r="G275" s="785"/>
      <c r="H275" s="785"/>
    </row>
    <row r="276" spans="1:8" x14ac:dyDescent="0.2">
      <c r="A276" s="786" t="s">
        <v>457</v>
      </c>
      <c r="B276" s="785"/>
      <c r="C276" s="785"/>
      <c r="D276" s="785"/>
      <c r="E276" s="785"/>
      <c r="F276" s="785"/>
      <c r="G276" s="785"/>
      <c r="H276" s="785"/>
    </row>
    <row r="277" spans="1:8" x14ac:dyDescent="0.2">
      <c r="A277" s="786" t="s">
        <v>458</v>
      </c>
      <c r="B277" s="785"/>
      <c r="C277" s="785"/>
      <c r="D277" s="785"/>
      <c r="E277" s="785"/>
      <c r="F277" s="785"/>
      <c r="G277" s="785"/>
      <c r="H277" s="785"/>
    </row>
    <row r="278" spans="1:8" x14ac:dyDescent="0.2">
      <c r="A278" s="786" t="s">
        <v>459</v>
      </c>
      <c r="B278" s="785"/>
      <c r="C278" s="785"/>
      <c r="D278" s="785"/>
      <c r="E278" s="785"/>
      <c r="F278" s="785"/>
      <c r="G278" s="785"/>
      <c r="H278" s="785"/>
    </row>
    <row r="279" spans="1:8" x14ac:dyDescent="0.2">
      <c r="A279" s="786" t="s">
        <v>460</v>
      </c>
      <c r="B279" s="785"/>
      <c r="C279" s="785"/>
      <c r="D279" s="785"/>
      <c r="E279" s="785"/>
      <c r="F279" s="785"/>
      <c r="G279" s="785"/>
      <c r="H279" s="785"/>
    </row>
    <row r="280" spans="1:8" x14ac:dyDescent="0.2">
      <c r="A280" s="786" t="s">
        <v>461</v>
      </c>
      <c r="B280" s="785"/>
      <c r="C280" s="785"/>
      <c r="D280" s="785"/>
      <c r="E280" s="785"/>
      <c r="F280" s="785"/>
      <c r="G280" s="785"/>
      <c r="H280" s="785"/>
    </row>
    <row r="281" spans="1:8" x14ac:dyDescent="0.2">
      <c r="A281" s="786" t="s">
        <v>462</v>
      </c>
      <c r="B281" s="785"/>
      <c r="C281" s="785"/>
      <c r="D281" s="785"/>
      <c r="E281" s="785"/>
      <c r="F281" s="785"/>
      <c r="G281" s="785"/>
      <c r="H281" s="785"/>
    </row>
    <row r="282" spans="1:8" x14ac:dyDescent="0.2">
      <c r="A282" s="785"/>
      <c r="B282" s="785"/>
      <c r="C282" s="785"/>
      <c r="D282" s="785"/>
      <c r="E282" s="785"/>
      <c r="F282" s="785"/>
      <c r="G282" s="785"/>
      <c r="H282" s="785"/>
    </row>
    <row r="283" spans="1:8" x14ac:dyDescent="0.2">
      <c r="A283" s="786" t="s">
        <v>447</v>
      </c>
      <c r="B283" s="785"/>
      <c r="C283" s="785"/>
      <c r="D283" s="785"/>
      <c r="E283" s="785"/>
      <c r="F283" s="785"/>
      <c r="G283" s="785"/>
      <c r="H283" s="785"/>
    </row>
    <row r="284" spans="1:8" x14ac:dyDescent="0.2">
      <c r="A284" s="786" t="s">
        <v>448</v>
      </c>
      <c r="B284" s="785"/>
      <c r="C284" s="785"/>
      <c r="D284" s="785"/>
      <c r="E284" s="785"/>
      <c r="F284" s="785"/>
      <c r="G284" s="785"/>
      <c r="H284" s="785"/>
    </row>
    <row r="285" spans="1:8" x14ac:dyDescent="0.2">
      <c r="A285" s="786" t="s">
        <v>449</v>
      </c>
      <c r="B285" s="785"/>
      <c r="C285" s="785"/>
      <c r="D285" s="785"/>
      <c r="E285" s="785"/>
      <c r="F285" s="785"/>
      <c r="G285" s="785"/>
      <c r="H285" s="785"/>
    </row>
    <row r="286" spans="1:8" x14ac:dyDescent="0.2">
      <c r="A286" s="786" t="s">
        <v>450</v>
      </c>
      <c r="B286" s="785"/>
      <c r="C286" s="785"/>
      <c r="D286" s="785"/>
      <c r="E286" s="785"/>
      <c r="F286" s="785"/>
      <c r="G286" s="785"/>
      <c r="H286" s="785"/>
    </row>
    <row r="287" spans="1:8" x14ac:dyDescent="0.2">
      <c r="A287" s="786" t="s">
        <v>451</v>
      </c>
      <c r="B287" s="785"/>
      <c r="C287" s="785"/>
      <c r="D287" s="785"/>
      <c r="E287" s="785"/>
      <c r="F287" s="785"/>
      <c r="G287" s="785"/>
      <c r="H287" s="785"/>
    </row>
    <row r="288" spans="1:8" x14ac:dyDescent="0.2">
      <c r="A288" s="786" t="s">
        <v>452</v>
      </c>
      <c r="B288" s="785"/>
      <c r="C288" s="785"/>
      <c r="D288" s="785"/>
      <c r="E288" s="785"/>
      <c r="F288" s="785"/>
      <c r="G288" s="785"/>
      <c r="H288" s="785"/>
    </row>
    <row r="289" spans="1:8" x14ac:dyDescent="0.2">
      <c r="A289" s="786" t="s">
        <v>453</v>
      </c>
      <c r="B289" s="785"/>
      <c r="C289" s="785"/>
      <c r="D289" s="785"/>
      <c r="E289" s="785"/>
      <c r="F289" s="785"/>
      <c r="G289" s="785"/>
      <c r="H289" s="785"/>
    </row>
    <row r="290" spans="1:8" x14ac:dyDescent="0.2">
      <c r="A290" s="786" t="s">
        <v>454</v>
      </c>
      <c r="B290" s="785"/>
      <c r="C290" s="785"/>
      <c r="D290" s="785"/>
      <c r="E290" s="785"/>
      <c r="F290" s="785"/>
      <c r="G290" s="785"/>
      <c r="H290" s="785"/>
    </row>
    <row r="291" spans="1:8" x14ac:dyDescent="0.2">
      <c r="A291" s="786" t="s">
        <v>455</v>
      </c>
      <c r="B291" s="785"/>
      <c r="C291" s="785"/>
      <c r="D291" s="785"/>
      <c r="E291" s="785"/>
      <c r="F291" s="785"/>
      <c r="G291" s="785"/>
      <c r="H291" s="785"/>
    </row>
    <row r="292" spans="1:8" x14ac:dyDescent="0.2">
      <c r="A292" s="785"/>
      <c r="B292" s="785"/>
      <c r="C292" s="785"/>
      <c r="D292" s="785"/>
      <c r="E292" s="785"/>
      <c r="F292" s="785"/>
      <c r="G292" s="785"/>
      <c r="H292" s="785"/>
    </row>
    <row r="293" spans="1:8" x14ac:dyDescent="0.2">
      <c r="A293" s="786" t="s">
        <v>440</v>
      </c>
      <c r="B293" s="785"/>
      <c r="C293" s="785"/>
      <c r="D293" s="785"/>
      <c r="E293" s="785"/>
      <c r="F293" s="785"/>
      <c r="G293" s="785"/>
      <c r="H293" s="785"/>
    </row>
    <row r="294" spans="1:8" x14ac:dyDescent="0.2">
      <c r="A294" s="786" t="s">
        <v>441</v>
      </c>
      <c r="B294" s="785"/>
      <c r="C294" s="785"/>
      <c r="D294" s="785"/>
      <c r="E294" s="785"/>
      <c r="F294" s="785"/>
      <c r="G294" s="785"/>
      <c r="H294" s="785"/>
    </row>
    <row r="295" spans="1:8" x14ac:dyDescent="0.2">
      <c r="A295" s="786" t="s">
        <v>442</v>
      </c>
      <c r="B295" s="785"/>
      <c r="C295" s="785"/>
      <c r="D295" s="785"/>
      <c r="E295" s="785"/>
      <c r="F295" s="785"/>
      <c r="G295" s="785"/>
      <c r="H295" s="785"/>
    </row>
    <row r="296" spans="1:8" x14ac:dyDescent="0.2">
      <c r="A296" s="786" t="s">
        <v>443</v>
      </c>
      <c r="B296" s="785"/>
      <c r="C296" s="785"/>
      <c r="D296" s="785"/>
      <c r="E296" s="785"/>
      <c r="F296" s="785"/>
      <c r="G296" s="785"/>
      <c r="H296" s="785"/>
    </row>
    <row r="297" spans="1:8" x14ac:dyDescent="0.2">
      <c r="A297" s="786" t="s">
        <v>444</v>
      </c>
      <c r="B297" s="785"/>
      <c r="C297" s="785"/>
      <c r="D297" s="785"/>
      <c r="E297" s="785"/>
      <c r="F297" s="785"/>
      <c r="G297" s="785"/>
      <c r="H297" s="785"/>
    </row>
    <row r="298" spans="1:8" x14ac:dyDescent="0.2">
      <c r="A298" s="786" t="s">
        <v>445</v>
      </c>
      <c r="B298" s="785"/>
      <c r="C298" s="785"/>
      <c r="D298" s="785"/>
      <c r="E298" s="785"/>
      <c r="F298" s="785"/>
      <c r="G298" s="785"/>
      <c r="H298" s="785"/>
    </row>
    <row r="299" spans="1:8" x14ac:dyDescent="0.2">
      <c r="A299" s="786" t="s">
        <v>446</v>
      </c>
      <c r="B299" s="785"/>
      <c r="C299" s="785"/>
      <c r="D299" s="785"/>
      <c r="E299" s="785"/>
      <c r="F299" s="785"/>
      <c r="G299" s="785"/>
      <c r="H299" s="785"/>
    </row>
    <row r="300" spans="1:8" x14ac:dyDescent="0.2">
      <c r="A300" s="785"/>
      <c r="B300" s="785"/>
      <c r="C300" s="785"/>
      <c r="D300" s="785"/>
      <c r="E300" s="785"/>
      <c r="F300" s="785"/>
      <c r="G300" s="785"/>
      <c r="H300" s="785"/>
    </row>
    <row r="301" spans="1:8" x14ac:dyDescent="0.2">
      <c r="A301" s="786" t="s">
        <v>437</v>
      </c>
      <c r="B301" s="785"/>
      <c r="C301" s="785"/>
      <c r="D301" s="785"/>
      <c r="E301" s="785"/>
      <c r="F301" s="785"/>
      <c r="G301" s="785"/>
      <c r="H301" s="785"/>
    </row>
    <row r="302" spans="1:8" x14ac:dyDescent="0.2">
      <c r="A302" s="786" t="s">
        <v>438</v>
      </c>
      <c r="B302" s="785"/>
      <c r="C302" s="785"/>
      <c r="D302" s="785"/>
      <c r="E302" s="785"/>
      <c r="F302" s="785"/>
      <c r="G302" s="785"/>
      <c r="H302" s="785"/>
    </row>
    <row r="303" spans="1:8" x14ac:dyDescent="0.2">
      <c r="A303" s="786" t="s">
        <v>439</v>
      </c>
      <c r="B303" s="785"/>
      <c r="C303" s="785"/>
      <c r="D303" s="785"/>
      <c r="E303" s="785"/>
      <c r="F303" s="785"/>
      <c r="G303" s="785"/>
      <c r="H303" s="785"/>
    </row>
    <row r="304" spans="1:8" x14ac:dyDescent="0.2">
      <c r="A304" s="785"/>
      <c r="B304" s="785"/>
      <c r="C304" s="785"/>
      <c r="D304" s="785"/>
      <c r="E304" s="785"/>
      <c r="F304" s="785"/>
      <c r="G304" s="785"/>
      <c r="H304" s="785"/>
    </row>
    <row r="305" spans="1:8" x14ac:dyDescent="0.2">
      <c r="A305" s="786" t="s">
        <v>435</v>
      </c>
      <c r="B305" s="785"/>
      <c r="C305" s="785"/>
      <c r="D305" s="785"/>
      <c r="E305" s="785"/>
      <c r="F305" s="785"/>
      <c r="G305" s="785"/>
      <c r="H305" s="785"/>
    </row>
    <row r="306" spans="1:8" x14ac:dyDescent="0.2">
      <c r="A306" s="786" t="s">
        <v>436</v>
      </c>
      <c r="B306" s="785"/>
      <c r="C306" s="785"/>
      <c r="D306" s="785"/>
      <c r="E306" s="785"/>
      <c r="F306" s="785"/>
      <c r="G306" s="785"/>
      <c r="H306" s="785"/>
    </row>
    <row r="307" spans="1:8" x14ac:dyDescent="0.2">
      <c r="A307" s="785"/>
      <c r="B307" s="785"/>
      <c r="C307" s="785"/>
      <c r="D307" s="785"/>
      <c r="E307" s="785"/>
      <c r="F307" s="785"/>
      <c r="G307" s="785"/>
      <c r="H307" s="785"/>
    </row>
    <row r="308" spans="1:8" x14ac:dyDescent="0.2">
      <c r="A308" s="786" t="s">
        <v>422</v>
      </c>
      <c r="B308" s="785"/>
      <c r="C308" s="785"/>
      <c r="D308" s="785"/>
      <c r="E308" s="785"/>
      <c r="F308" s="785"/>
      <c r="G308" s="785"/>
      <c r="H308" s="785"/>
    </row>
    <row r="309" spans="1:8" x14ac:dyDescent="0.2">
      <c r="A309" s="786" t="s">
        <v>423</v>
      </c>
      <c r="B309" s="785"/>
      <c r="C309" s="785"/>
      <c r="D309" s="785"/>
      <c r="E309" s="785"/>
      <c r="F309" s="785"/>
      <c r="G309" s="785"/>
      <c r="H309" s="785"/>
    </row>
    <row r="310" spans="1:8" x14ac:dyDescent="0.2">
      <c r="A310" s="786" t="s">
        <v>424</v>
      </c>
      <c r="B310" s="785"/>
      <c r="C310" s="785"/>
      <c r="D310" s="785"/>
      <c r="E310" s="785"/>
      <c r="F310" s="785"/>
      <c r="G310" s="785"/>
      <c r="H310" s="785"/>
    </row>
    <row r="311" spans="1:8" x14ac:dyDescent="0.2">
      <c r="A311" s="786" t="s">
        <v>425</v>
      </c>
      <c r="B311" s="785"/>
      <c r="C311" s="785"/>
      <c r="D311" s="785"/>
      <c r="E311" s="785"/>
      <c r="F311" s="785"/>
      <c r="G311" s="785"/>
      <c r="H311" s="785"/>
    </row>
    <row r="312" spans="1:8" x14ac:dyDescent="0.2">
      <c r="A312" s="786" t="s">
        <v>426</v>
      </c>
      <c r="B312" s="785"/>
      <c r="C312" s="785"/>
      <c r="D312" s="785"/>
      <c r="E312" s="785"/>
      <c r="F312" s="785"/>
      <c r="G312" s="785"/>
      <c r="H312" s="785"/>
    </row>
    <row r="313" spans="1:8" x14ac:dyDescent="0.2">
      <c r="A313" s="786" t="s">
        <v>427</v>
      </c>
      <c r="B313" s="785"/>
      <c r="C313" s="785"/>
      <c r="D313" s="785"/>
      <c r="E313" s="785"/>
      <c r="F313" s="785"/>
      <c r="G313" s="785"/>
      <c r="H313" s="785"/>
    </row>
    <row r="314" spans="1:8" x14ac:dyDescent="0.2">
      <c r="A314" s="786" t="s">
        <v>428</v>
      </c>
      <c r="B314" s="785"/>
      <c r="C314" s="785"/>
      <c r="D314" s="785"/>
      <c r="E314" s="785"/>
      <c r="F314" s="785"/>
      <c r="G314" s="785"/>
      <c r="H314" s="785"/>
    </row>
    <row r="315" spans="1:8" x14ac:dyDescent="0.2">
      <c r="A315" s="786" t="s">
        <v>429</v>
      </c>
      <c r="B315" s="785"/>
      <c r="C315" s="785"/>
      <c r="D315" s="785"/>
      <c r="E315" s="785"/>
      <c r="F315" s="785"/>
      <c r="G315" s="785"/>
      <c r="H315" s="785"/>
    </row>
    <row r="316" spans="1:8" x14ac:dyDescent="0.2">
      <c r="A316" s="786" t="s">
        <v>430</v>
      </c>
      <c r="B316" s="785"/>
      <c r="C316" s="785"/>
      <c r="D316" s="785"/>
      <c r="E316" s="785"/>
      <c r="F316" s="785"/>
      <c r="G316" s="785"/>
      <c r="H316" s="785"/>
    </row>
    <row r="317" spans="1:8" x14ac:dyDescent="0.2">
      <c r="A317" s="786" t="s">
        <v>431</v>
      </c>
      <c r="B317" s="785"/>
      <c r="C317" s="785"/>
      <c r="D317" s="785"/>
      <c r="E317" s="785"/>
      <c r="F317" s="785"/>
      <c r="G317" s="785"/>
      <c r="H317" s="785"/>
    </row>
    <row r="318" spans="1:8" x14ac:dyDescent="0.2">
      <c r="A318" s="786" t="s">
        <v>432</v>
      </c>
      <c r="B318" s="785"/>
      <c r="C318" s="785"/>
      <c r="D318" s="785"/>
      <c r="E318" s="785"/>
      <c r="F318" s="785"/>
      <c r="G318" s="785"/>
      <c r="H318" s="785"/>
    </row>
    <row r="319" spans="1:8" x14ac:dyDescent="0.2">
      <c r="A319" s="786" t="s">
        <v>433</v>
      </c>
      <c r="B319" s="785"/>
      <c r="C319" s="785"/>
      <c r="D319" s="785"/>
      <c r="E319" s="785"/>
      <c r="F319" s="785"/>
      <c r="G319" s="785"/>
      <c r="H319" s="785"/>
    </row>
    <row r="320" spans="1:8" x14ac:dyDescent="0.2">
      <c r="A320" s="786" t="s">
        <v>434</v>
      </c>
      <c r="B320" s="785"/>
      <c r="C320" s="785"/>
      <c r="D320" s="785"/>
      <c r="E320" s="785"/>
      <c r="F320" s="785"/>
      <c r="G320" s="785"/>
      <c r="H320" s="785"/>
    </row>
    <row r="321" spans="1:8" x14ac:dyDescent="0.2">
      <c r="A321" s="785"/>
      <c r="B321" s="785"/>
      <c r="C321" s="785"/>
      <c r="D321" s="785"/>
      <c r="E321" s="785"/>
      <c r="F321" s="785"/>
      <c r="G321" s="785"/>
      <c r="H321" s="785"/>
    </row>
    <row r="322" spans="1:8" x14ac:dyDescent="0.2">
      <c r="A322" s="786" t="s">
        <v>414</v>
      </c>
      <c r="B322" s="785"/>
      <c r="C322" s="785"/>
      <c r="D322" s="785"/>
      <c r="E322" s="785"/>
      <c r="F322" s="785"/>
      <c r="G322" s="785"/>
      <c r="H322" s="785"/>
    </row>
    <row r="323" spans="1:8" x14ac:dyDescent="0.2">
      <c r="A323" s="786" t="s">
        <v>415</v>
      </c>
      <c r="B323" s="785"/>
      <c r="C323" s="785"/>
      <c r="D323" s="785"/>
      <c r="E323" s="785"/>
      <c r="F323" s="785"/>
      <c r="G323" s="785"/>
      <c r="H323" s="785"/>
    </row>
    <row r="324" spans="1:8" x14ac:dyDescent="0.2">
      <c r="A324" s="786" t="s">
        <v>416</v>
      </c>
      <c r="B324" s="785"/>
      <c r="C324" s="785"/>
      <c r="D324" s="785"/>
      <c r="E324" s="785"/>
      <c r="F324" s="785"/>
      <c r="G324" s="785"/>
      <c r="H324" s="785"/>
    </row>
    <row r="325" spans="1:8" x14ac:dyDescent="0.2">
      <c r="A325" s="786" t="s">
        <v>417</v>
      </c>
      <c r="B325" s="785"/>
      <c r="C325" s="785"/>
      <c r="D325" s="785"/>
      <c r="E325" s="785"/>
      <c r="F325" s="785"/>
      <c r="G325" s="785"/>
      <c r="H325" s="785"/>
    </row>
    <row r="326" spans="1:8" x14ac:dyDescent="0.2">
      <c r="A326" s="786" t="s">
        <v>418</v>
      </c>
      <c r="B326" s="785"/>
      <c r="C326" s="785"/>
      <c r="D326" s="785"/>
      <c r="E326" s="785"/>
      <c r="F326" s="785"/>
      <c r="G326" s="785"/>
      <c r="H326" s="785"/>
    </row>
    <row r="327" spans="1:8" x14ac:dyDescent="0.2">
      <c r="A327" s="786" t="s">
        <v>419</v>
      </c>
      <c r="B327" s="785"/>
      <c r="C327" s="785"/>
      <c r="D327" s="785"/>
      <c r="E327" s="785"/>
      <c r="F327" s="785"/>
      <c r="G327" s="785"/>
      <c r="H327" s="785"/>
    </row>
    <row r="328" spans="1:8" x14ac:dyDescent="0.2">
      <c r="A328" s="786" t="s">
        <v>420</v>
      </c>
      <c r="B328" s="785"/>
      <c r="C328" s="785"/>
      <c r="D328" s="785"/>
      <c r="E328" s="785"/>
      <c r="F328" s="785"/>
      <c r="G328" s="785"/>
      <c r="H328" s="785"/>
    </row>
    <row r="329" spans="1:8" x14ac:dyDescent="0.2">
      <c r="A329" s="786" t="s">
        <v>421</v>
      </c>
      <c r="B329" s="785"/>
      <c r="C329" s="785"/>
      <c r="D329" s="785"/>
      <c r="E329" s="785"/>
      <c r="F329" s="785"/>
      <c r="G329" s="785"/>
      <c r="H329" s="785"/>
    </row>
    <row r="330" spans="1:8" x14ac:dyDescent="0.2">
      <c r="A330" s="785"/>
      <c r="B330" s="785"/>
      <c r="C330" s="785"/>
      <c r="D330" s="785"/>
      <c r="E330" s="785"/>
      <c r="F330" s="785"/>
      <c r="G330" s="785"/>
      <c r="H330" s="785"/>
    </row>
    <row r="331" spans="1:8" x14ac:dyDescent="0.2">
      <c r="A331" s="786" t="s">
        <v>379</v>
      </c>
      <c r="B331" s="785"/>
      <c r="C331" s="785"/>
      <c r="D331" s="785"/>
      <c r="E331" s="785"/>
      <c r="F331" s="785"/>
      <c r="G331" s="785"/>
      <c r="H331" s="785"/>
    </row>
    <row r="332" spans="1:8" x14ac:dyDescent="0.2">
      <c r="A332" s="786" t="s">
        <v>380</v>
      </c>
      <c r="B332" s="785"/>
      <c r="C332" s="785"/>
      <c r="D332" s="785"/>
      <c r="E332" s="785"/>
      <c r="F332" s="785"/>
      <c r="G332" s="785"/>
      <c r="H332" s="785"/>
    </row>
    <row r="333" spans="1:8" x14ac:dyDescent="0.2">
      <c r="A333" s="786" t="s">
        <v>381</v>
      </c>
      <c r="B333" s="785"/>
      <c r="C333" s="785"/>
      <c r="D333" s="785"/>
      <c r="E333" s="785"/>
      <c r="F333" s="785"/>
      <c r="G333" s="785"/>
      <c r="H333" s="785"/>
    </row>
    <row r="334" spans="1:8" x14ac:dyDescent="0.2">
      <c r="A334" s="786" t="s">
        <v>382</v>
      </c>
      <c r="B334" s="785"/>
      <c r="C334" s="785"/>
      <c r="D334" s="785"/>
      <c r="E334" s="785"/>
      <c r="F334" s="785"/>
      <c r="G334" s="785"/>
      <c r="H334" s="785"/>
    </row>
    <row r="335" spans="1:8" x14ac:dyDescent="0.2">
      <c r="A335" s="786" t="s">
        <v>383</v>
      </c>
      <c r="B335" s="785"/>
      <c r="C335" s="785"/>
      <c r="D335" s="785"/>
      <c r="E335" s="785"/>
      <c r="F335" s="785"/>
      <c r="G335" s="785"/>
      <c r="H335" s="785"/>
    </row>
    <row r="336" spans="1:8" x14ac:dyDescent="0.2">
      <c r="A336" s="786" t="s">
        <v>384</v>
      </c>
      <c r="B336" s="785"/>
      <c r="C336" s="785"/>
      <c r="D336" s="785"/>
      <c r="E336" s="785"/>
      <c r="F336" s="785"/>
      <c r="G336" s="785"/>
      <c r="H336" s="785"/>
    </row>
    <row r="337" spans="1:8" x14ac:dyDescent="0.2">
      <c r="A337" s="786" t="s">
        <v>385</v>
      </c>
      <c r="B337" s="785"/>
      <c r="C337" s="785"/>
      <c r="D337" s="785"/>
      <c r="E337" s="785"/>
      <c r="F337" s="785"/>
      <c r="G337" s="785"/>
      <c r="H337" s="785"/>
    </row>
    <row r="338" spans="1:8" x14ac:dyDescent="0.2">
      <c r="A338" s="786" t="s">
        <v>386</v>
      </c>
      <c r="B338" s="785"/>
      <c r="C338" s="785"/>
      <c r="D338" s="785"/>
      <c r="E338" s="785"/>
      <c r="F338" s="785"/>
      <c r="G338" s="785"/>
      <c r="H338" s="785"/>
    </row>
    <row r="339" spans="1:8" x14ac:dyDescent="0.2">
      <c r="A339" s="786" t="s">
        <v>387</v>
      </c>
      <c r="B339" s="785"/>
      <c r="C339" s="785"/>
      <c r="D339" s="785"/>
      <c r="E339" s="785"/>
      <c r="F339" s="785"/>
      <c r="G339" s="785"/>
      <c r="H339" s="785"/>
    </row>
    <row r="340" spans="1:8" x14ac:dyDescent="0.2">
      <c r="A340" s="786" t="s">
        <v>388</v>
      </c>
      <c r="B340" s="785"/>
      <c r="C340" s="785"/>
      <c r="D340" s="785"/>
      <c r="E340" s="785"/>
      <c r="F340" s="785"/>
      <c r="G340" s="785"/>
      <c r="H340" s="785"/>
    </row>
    <row r="341" spans="1:8" x14ac:dyDescent="0.2">
      <c r="A341" s="786" t="s">
        <v>389</v>
      </c>
      <c r="B341" s="785"/>
      <c r="C341" s="785"/>
      <c r="D341" s="785"/>
      <c r="E341" s="785"/>
      <c r="F341" s="785"/>
      <c r="G341" s="785"/>
      <c r="H341" s="785"/>
    </row>
    <row r="342" spans="1:8" x14ac:dyDescent="0.2">
      <c r="A342" s="786" t="s">
        <v>390</v>
      </c>
      <c r="B342" s="785"/>
      <c r="C342" s="785"/>
      <c r="D342" s="785"/>
      <c r="E342" s="785"/>
      <c r="F342" s="785"/>
      <c r="G342" s="785"/>
      <c r="H342" s="785"/>
    </row>
    <row r="343" spans="1:8" x14ac:dyDescent="0.2">
      <c r="A343" s="786" t="s">
        <v>391</v>
      </c>
      <c r="B343" s="785"/>
      <c r="C343" s="785"/>
      <c r="D343" s="785"/>
      <c r="E343" s="785"/>
      <c r="F343" s="785"/>
      <c r="G343" s="785"/>
      <c r="H343" s="785"/>
    </row>
    <row r="344" spans="1:8" x14ac:dyDescent="0.2">
      <c r="A344" s="786" t="s">
        <v>392</v>
      </c>
      <c r="B344" s="785"/>
      <c r="C344" s="785"/>
      <c r="D344" s="785"/>
      <c r="E344" s="785"/>
      <c r="F344" s="785"/>
      <c r="G344" s="785"/>
      <c r="H344" s="785"/>
    </row>
    <row r="345" spans="1:8" x14ac:dyDescent="0.2">
      <c r="A345" s="786" t="s">
        <v>393</v>
      </c>
      <c r="B345" s="785"/>
      <c r="C345" s="785"/>
      <c r="D345" s="785"/>
      <c r="E345" s="785"/>
      <c r="F345" s="785"/>
      <c r="G345" s="785"/>
      <c r="H345" s="785"/>
    </row>
    <row r="346" spans="1:8" x14ac:dyDescent="0.2">
      <c r="A346" s="786" t="s">
        <v>394</v>
      </c>
      <c r="B346" s="785"/>
      <c r="C346" s="785"/>
      <c r="D346" s="785"/>
      <c r="E346" s="785"/>
      <c r="F346" s="785"/>
      <c r="G346" s="785"/>
      <c r="H346" s="785"/>
    </row>
    <row r="347" spans="1:8" x14ac:dyDescent="0.2">
      <c r="A347" s="786" t="s">
        <v>395</v>
      </c>
      <c r="B347" s="785"/>
      <c r="C347" s="785"/>
      <c r="D347" s="785"/>
      <c r="E347" s="785"/>
      <c r="F347" s="785"/>
      <c r="G347" s="785"/>
      <c r="H347" s="785"/>
    </row>
    <row r="348" spans="1:8" x14ac:dyDescent="0.2">
      <c r="A348" s="786" t="s">
        <v>396</v>
      </c>
      <c r="B348" s="785"/>
      <c r="C348" s="785"/>
      <c r="D348" s="785"/>
      <c r="E348" s="785"/>
      <c r="F348" s="785"/>
      <c r="G348" s="785"/>
      <c r="H348" s="785"/>
    </row>
    <row r="349" spans="1:8" x14ac:dyDescent="0.2">
      <c r="A349" s="786" t="s">
        <v>397</v>
      </c>
      <c r="B349" s="785"/>
      <c r="C349" s="785"/>
      <c r="D349" s="785"/>
      <c r="E349" s="785"/>
      <c r="F349" s="785"/>
      <c r="G349" s="785"/>
      <c r="H349" s="785"/>
    </row>
    <row r="350" spans="1:8" x14ac:dyDescent="0.2">
      <c r="A350" s="786" t="s">
        <v>398</v>
      </c>
      <c r="B350" s="785"/>
      <c r="C350" s="785"/>
      <c r="D350" s="785"/>
      <c r="E350" s="785"/>
      <c r="F350" s="785"/>
      <c r="G350" s="785"/>
      <c r="H350" s="785"/>
    </row>
    <row r="351" spans="1:8" x14ac:dyDescent="0.2">
      <c r="A351" s="786" t="s">
        <v>399</v>
      </c>
      <c r="B351" s="785"/>
      <c r="C351" s="785"/>
      <c r="D351" s="785"/>
      <c r="E351" s="785"/>
      <c r="F351" s="785"/>
      <c r="G351" s="785"/>
      <c r="H351" s="785"/>
    </row>
    <row r="352" spans="1:8" x14ac:dyDescent="0.2">
      <c r="A352" s="786" t="s">
        <v>400</v>
      </c>
      <c r="B352" s="785"/>
      <c r="C352" s="785"/>
      <c r="D352" s="785"/>
      <c r="E352" s="785"/>
      <c r="F352" s="785"/>
      <c r="G352" s="785"/>
      <c r="H352" s="785"/>
    </row>
    <row r="353" spans="1:8" x14ac:dyDescent="0.2">
      <c r="A353" s="786" t="s">
        <v>401</v>
      </c>
      <c r="B353" s="785"/>
      <c r="C353" s="785"/>
      <c r="D353" s="785"/>
      <c r="E353" s="785"/>
      <c r="F353" s="785"/>
      <c r="G353" s="785"/>
      <c r="H353" s="785"/>
    </row>
    <row r="354" spans="1:8" x14ac:dyDescent="0.2">
      <c r="A354" s="786" t="s">
        <v>402</v>
      </c>
      <c r="B354" s="785"/>
      <c r="C354" s="785"/>
      <c r="D354" s="785"/>
      <c r="E354" s="785"/>
      <c r="F354" s="785"/>
      <c r="G354" s="785"/>
      <c r="H354" s="785"/>
    </row>
    <row r="355" spans="1:8" x14ac:dyDescent="0.2">
      <c r="A355" s="786" t="s">
        <v>403</v>
      </c>
      <c r="B355" s="785"/>
      <c r="C355" s="785"/>
      <c r="D355" s="785"/>
      <c r="E355" s="785"/>
      <c r="F355" s="785"/>
      <c r="G355" s="785"/>
      <c r="H355" s="785"/>
    </row>
    <row r="356" spans="1:8" x14ac:dyDescent="0.2">
      <c r="A356" s="786" t="s">
        <v>404</v>
      </c>
      <c r="B356" s="785"/>
      <c r="C356" s="785"/>
      <c r="D356" s="785"/>
      <c r="E356" s="785"/>
      <c r="F356" s="785"/>
      <c r="G356" s="785"/>
      <c r="H356" s="785"/>
    </row>
    <row r="357" spans="1:8" x14ac:dyDescent="0.2">
      <c r="A357" s="786" t="s">
        <v>405</v>
      </c>
      <c r="B357" s="785"/>
      <c r="C357" s="785"/>
      <c r="D357" s="785"/>
      <c r="E357" s="785"/>
      <c r="F357" s="785"/>
      <c r="G357" s="785"/>
      <c r="H357" s="785"/>
    </row>
    <row r="358" spans="1:8" x14ac:dyDescent="0.2">
      <c r="A358" s="786" t="s">
        <v>406</v>
      </c>
      <c r="B358" s="785"/>
      <c r="C358" s="785"/>
      <c r="D358" s="785"/>
      <c r="E358" s="785"/>
      <c r="F358" s="785"/>
      <c r="G358" s="785"/>
      <c r="H358" s="785"/>
    </row>
    <row r="359" spans="1:8" x14ac:dyDescent="0.2">
      <c r="A359" s="786" t="s">
        <v>407</v>
      </c>
      <c r="B359" s="785"/>
      <c r="C359" s="785"/>
      <c r="D359" s="785"/>
      <c r="E359" s="785"/>
      <c r="F359" s="785"/>
      <c r="G359" s="785"/>
      <c r="H359" s="785"/>
    </row>
    <row r="360" spans="1:8" x14ac:dyDescent="0.2">
      <c r="A360" s="786" t="s">
        <v>408</v>
      </c>
      <c r="B360" s="785"/>
      <c r="C360" s="785"/>
      <c r="D360" s="785"/>
      <c r="E360" s="785"/>
      <c r="F360" s="785"/>
      <c r="G360" s="785"/>
      <c r="H360" s="785"/>
    </row>
    <row r="361" spans="1:8" x14ac:dyDescent="0.2">
      <c r="A361" s="786" t="s">
        <v>409</v>
      </c>
      <c r="B361" s="785"/>
      <c r="C361" s="785"/>
      <c r="D361" s="785"/>
      <c r="E361" s="785"/>
      <c r="F361" s="785"/>
      <c r="G361" s="785"/>
      <c r="H361" s="785"/>
    </row>
    <row r="362" spans="1:8" x14ac:dyDescent="0.2">
      <c r="A362" s="786" t="s">
        <v>410</v>
      </c>
      <c r="B362" s="785"/>
      <c r="C362" s="785"/>
      <c r="D362" s="785"/>
      <c r="E362" s="785"/>
      <c r="F362" s="785"/>
      <c r="G362" s="785"/>
      <c r="H362" s="785"/>
    </row>
    <row r="363" spans="1:8" x14ac:dyDescent="0.2">
      <c r="A363" s="786" t="s">
        <v>411</v>
      </c>
      <c r="B363" s="785"/>
      <c r="C363" s="785"/>
      <c r="D363" s="785"/>
      <c r="E363" s="785"/>
      <c r="F363" s="785"/>
      <c r="G363" s="785"/>
      <c r="H363" s="785"/>
    </row>
    <row r="364" spans="1:8" x14ac:dyDescent="0.2">
      <c r="A364" s="786" t="s">
        <v>412</v>
      </c>
      <c r="B364" s="785"/>
      <c r="C364" s="785"/>
      <c r="D364" s="785"/>
      <c r="E364" s="785"/>
      <c r="F364" s="785"/>
      <c r="G364" s="785"/>
      <c r="H364" s="785"/>
    </row>
    <row r="365" spans="1:8" x14ac:dyDescent="0.2">
      <c r="A365" s="786" t="s">
        <v>413</v>
      </c>
      <c r="B365" s="785"/>
      <c r="C365" s="785"/>
      <c r="D365" s="785"/>
      <c r="E365" s="785"/>
      <c r="F365" s="785"/>
      <c r="G365" s="785"/>
      <c r="H365" s="785"/>
    </row>
    <row r="366" spans="1:8" x14ac:dyDescent="0.2">
      <c r="A366" s="785"/>
      <c r="B366" s="785"/>
      <c r="C366" s="785"/>
      <c r="D366" s="785"/>
      <c r="E366" s="785"/>
      <c r="F366" s="785"/>
      <c r="G366" s="785"/>
      <c r="H366" s="785"/>
    </row>
    <row r="367" spans="1:8" x14ac:dyDescent="0.2">
      <c r="A367" s="786" t="s">
        <v>371</v>
      </c>
      <c r="B367" s="785"/>
      <c r="C367" s="785"/>
      <c r="D367" s="785"/>
      <c r="E367" s="785"/>
      <c r="F367" s="785"/>
      <c r="G367" s="785"/>
      <c r="H367" s="785"/>
    </row>
    <row r="368" spans="1:8" x14ac:dyDescent="0.2">
      <c r="A368" s="786" t="s">
        <v>375</v>
      </c>
      <c r="B368" s="785"/>
      <c r="C368" s="785"/>
      <c r="D368" s="785"/>
      <c r="E368" s="785"/>
      <c r="F368" s="785"/>
      <c r="G368" s="785"/>
      <c r="H368" s="785"/>
    </row>
    <row r="369" spans="1:8" x14ac:dyDescent="0.2">
      <c r="A369" s="786" t="s">
        <v>376</v>
      </c>
      <c r="B369" s="785"/>
      <c r="C369" s="785"/>
      <c r="D369" s="785"/>
      <c r="E369" s="785"/>
      <c r="F369" s="785"/>
      <c r="G369" s="785"/>
      <c r="H369" s="785"/>
    </row>
    <row r="370" spans="1:8" x14ac:dyDescent="0.2">
      <c r="A370" s="786" t="s">
        <v>377</v>
      </c>
      <c r="B370" s="785"/>
      <c r="C370" s="785"/>
      <c r="D370" s="785"/>
      <c r="E370" s="785"/>
      <c r="F370" s="785"/>
      <c r="G370" s="785"/>
      <c r="H370" s="785"/>
    </row>
    <row r="371" spans="1:8" x14ac:dyDescent="0.2">
      <c r="A371" s="786" t="s">
        <v>378</v>
      </c>
      <c r="B371" s="785"/>
      <c r="C371" s="785"/>
      <c r="D371" s="785"/>
      <c r="E371" s="785"/>
      <c r="F371" s="785"/>
      <c r="G371" s="785"/>
      <c r="H371" s="785"/>
    </row>
    <row r="372" spans="1:8" x14ac:dyDescent="0.2">
      <c r="A372" s="785"/>
      <c r="B372" s="785"/>
      <c r="C372" s="785"/>
      <c r="D372" s="785"/>
      <c r="E372" s="785"/>
      <c r="F372" s="785"/>
      <c r="G372" s="785"/>
      <c r="H372" s="785"/>
    </row>
    <row r="373" spans="1:8" x14ac:dyDescent="0.2">
      <c r="A373" s="786" t="s">
        <v>371</v>
      </c>
      <c r="B373" s="785"/>
      <c r="C373" s="785"/>
      <c r="D373" s="785"/>
      <c r="E373" s="785"/>
      <c r="F373" s="785"/>
      <c r="G373" s="785"/>
      <c r="H373" s="785"/>
    </row>
    <row r="374" spans="1:8" x14ac:dyDescent="0.2">
      <c r="A374" s="786" t="s">
        <v>372</v>
      </c>
      <c r="B374" s="785"/>
      <c r="C374" s="785"/>
      <c r="D374" s="785"/>
      <c r="E374" s="785"/>
      <c r="F374" s="785"/>
      <c r="G374" s="785"/>
      <c r="H374" s="785"/>
    </row>
    <row r="375" spans="1:8" x14ac:dyDescent="0.2">
      <c r="A375" s="786" t="s">
        <v>373</v>
      </c>
      <c r="B375" s="785"/>
      <c r="C375" s="785"/>
      <c r="D375" s="785"/>
      <c r="E375" s="785"/>
      <c r="F375" s="785"/>
      <c r="G375" s="785"/>
      <c r="H375" s="785"/>
    </row>
    <row r="376" spans="1:8" x14ac:dyDescent="0.2">
      <c r="A376" s="786" t="s">
        <v>374</v>
      </c>
      <c r="B376" s="785"/>
      <c r="C376" s="785"/>
      <c r="D376" s="785"/>
      <c r="E376" s="785"/>
      <c r="F376" s="785"/>
      <c r="G376" s="785"/>
      <c r="H376" s="785"/>
    </row>
    <row r="377" spans="1:8" x14ac:dyDescent="0.2">
      <c r="A377" s="785"/>
      <c r="B377" s="785"/>
      <c r="C377" s="785"/>
      <c r="D377" s="785"/>
      <c r="E377" s="785"/>
      <c r="F377" s="785"/>
      <c r="G377" s="785"/>
      <c r="H377" s="785"/>
    </row>
    <row r="378" spans="1:8" x14ac:dyDescent="0.2">
      <c r="A378" s="786" t="s">
        <v>365</v>
      </c>
      <c r="B378" s="785"/>
      <c r="C378" s="785"/>
      <c r="D378" s="785"/>
      <c r="E378" s="785"/>
      <c r="F378" s="785"/>
      <c r="G378" s="785"/>
      <c r="H378" s="785"/>
    </row>
    <row r="379" spans="1:8" x14ac:dyDescent="0.2">
      <c r="A379" s="786" t="s">
        <v>366</v>
      </c>
      <c r="B379" s="785"/>
      <c r="C379" s="785"/>
      <c r="D379" s="785"/>
      <c r="E379" s="785"/>
      <c r="F379" s="785"/>
      <c r="G379" s="785"/>
      <c r="H379" s="785"/>
    </row>
    <row r="380" spans="1:8" x14ac:dyDescent="0.2">
      <c r="A380" s="786" t="s">
        <v>367</v>
      </c>
      <c r="B380" s="785"/>
      <c r="C380" s="785"/>
      <c r="D380" s="785"/>
      <c r="E380" s="785"/>
      <c r="F380" s="785"/>
      <c r="G380" s="785"/>
      <c r="H380" s="785"/>
    </row>
    <row r="381" spans="1:8" x14ac:dyDescent="0.2">
      <c r="A381" s="786" t="s">
        <v>368</v>
      </c>
      <c r="B381" s="785"/>
      <c r="C381" s="785"/>
      <c r="D381" s="785"/>
      <c r="E381" s="785"/>
      <c r="F381" s="785"/>
      <c r="G381" s="785"/>
      <c r="H381" s="785"/>
    </row>
    <row r="382" spans="1:8" x14ac:dyDescent="0.2">
      <c r="A382" s="786" t="s">
        <v>369</v>
      </c>
      <c r="B382" s="785"/>
      <c r="C382" s="785"/>
      <c r="D382" s="785"/>
      <c r="E382" s="785"/>
      <c r="F382" s="785"/>
      <c r="G382" s="785"/>
      <c r="H382" s="785"/>
    </row>
    <row r="383" spans="1:8" x14ac:dyDescent="0.2">
      <c r="A383" s="786" t="s">
        <v>370</v>
      </c>
      <c r="B383" s="785"/>
      <c r="C383" s="785"/>
      <c r="D383" s="785"/>
      <c r="E383" s="785"/>
      <c r="F383" s="785"/>
      <c r="G383" s="785"/>
      <c r="H383" s="785"/>
    </row>
    <row r="384" spans="1:8" x14ac:dyDescent="0.2">
      <c r="A384" s="785"/>
      <c r="B384" s="785"/>
      <c r="C384" s="785"/>
      <c r="D384" s="785"/>
      <c r="E384" s="785"/>
      <c r="F384" s="785"/>
      <c r="G384" s="785"/>
      <c r="H384" s="785"/>
    </row>
    <row r="385" spans="1:8" x14ac:dyDescent="0.2">
      <c r="A385" s="786" t="s">
        <v>360</v>
      </c>
      <c r="B385" s="785"/>
      <c r="C385" s="785"/>
      <c r="D385" s="785"/>
      <c r="E385" s="785"/>
      <c r="F385" s="785"/>
      <c r="G385" s="785"/>
      <c r="H385" s="785"/>
    </row>
    <row r="386" spans="1:8" x14ac:dyDescent="0.2">
      <c r="A386" s="786" t="s">
        <v>361</v>
      </c>
      <c r="B386" s="785"/>
      <c r="C386" s="785"/>
      <c r="D386" s="785"/>
      <c r="E386" s="785"/>
      <c r="F386" s="785"/>
      <c r="G386" s="785"/>
      <c r="H386" s="785"/>
    </row>
    <row r="387" spans="1:8" x14ac:dyDescent="0.2">
      <c r="A387" s="786" t="s">
        <v>362</v>
      </c>
      <c r="B387" s="785"/>
      <c r="C387" s="785"/>
      <c r="D387" s="785"/>
      <c r="E387" s="785"/>
      <c r="F387" s="785"/>
      <c r="G387" s="785"/>
      <c r="H387" s="785"/>
    </row>
    <row r="388" spans="1:8" x14ac:dyDescent="0.2">
      <c r="A388" s="786" t="s">
        <v>363</v>
      </c>
      <c r="B388" s="785"/>
      <c r="C388" s="785"/>
      <c r="D388" s="785"/>
      <c r="E388" s="785"/>
      <c r="F388" s="785"/>
      <c r="G388" s="785"/>
      <c r="H388" s="785"/>
    </row>
    <row r="389" spans="1:8" x14ac:dyDescent="0.2">
      <c r="A389" s="786" t="s">
        <v>364</v>
      </c>
      <c r="B389" s="785"/>
      <c r="C389" s="785"/>
      <c r="D389" s="785"/>
      <c r="E389" s="785"/>
      <c r="F389" s="785"/>
      <c r="G389" s="785"/>
      <c r="H389" s="785"/>
    </row>
    <row r="390" spans="1:8" x14ac:dyDescent="0.2">
      <c r="A390" s="785"/>
      <c r="B390" s="785"/>
      <c r="C390" s="785"/>
      <c r="D390" s="785"/>
      <c r="E390" s="785"/>
      <c r="F390" s="785"/>
      <c r="G390" s="785"/>
      <c r="H390" s="785"/>
    </row>
    <row r="391" spans="1:8" x14ac:dyDescent="0.2">
      <c r="A391" s="786" t="s">
        <v>358</v>
      </c>
      <c r="B391" s="785"/>
      <c r="C391" s="785"/>
      <c r="D391" s="785"/>
      <c r="E391" s="785"/>
      <c r="F391" s="785"/>
      <c r="G391" s="785"/>
      <c r="H391" s="785"/>
    </row>
    <row r="392" spans="1:8" x14ac:dyDescent="0.2">
      <c r="A392" s="786" t="s">
        <v>359</v>
      </c>
      <c r="B392" s="785"/>
      <c r="C392" s="785"/>
      <c r="D392" s="785"/>
      <c r="E392" s="785"/>
      <c r="F392" s="785"/>
      <c r="G392" s="785"/>
      <c r="H392" s="785"/>
    </row>
    <row r="394" spans="1:8" x14ac:dyDescent="0.2">
      <c r="A394" s="781" t="s">
        <v>616</v>
      </c>
    </row>
  </sheetData>
  <mergeCells count="12">
    <mergeCell ref="A132:H132"/>
    <mergeCell ref="A133:H133"/>
    <mergeCell ref="B125:C125"/>
    <mergeCell ref="D125:F125"/>
    <mergeCell ref="G125:H125"/>
    <mergeCell ref="A111:H111"/>
    <mergeCell ref="A112:H112"/>
    <mergeCell ref="A113:H113"/>
    <mergeCell ref="A114:H114"/>
    <mergeCell ref="A116:H116"/>
    <mergeCell ref="A117:H117"/>
    <mergeCell ref="A124:H124"/>
  </mergeCells>
  <pageMargins left="0.5" right="0.5" top="0.5" bottom="0.5" header="0.5" footer="0.5"/>
  <pageSetup orientation="portrait" horizontalDpi="300" verticalDpi="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R45"/>
  <sheetViews>
    <sheetView showGridLines="0" workbookViewId="0">
      <selection activeCell="C32" sqref="C32"/>
    </sheetView>
  </sheetViews>
  <sheetFormatPr defaultRowHeight="12.75" x14ac:dyDescent="0.2"/>
  <cols>
    <col min="1" max="1" width="14.7109375" customWidth="1"/>
    <col min="2" max="2" width="48.140625" customWidth="1"/>
    <col min="3" max="3" width="12" customWidth="1"/>
    <col min="257" max="257" width="14.7109375" customWidth="1"/>
    <col min="258" max="258" width="48.140625" customWidth="1"/>
    <col min="259" max="259" width="12" customWidth="1"/>
    <col min="513" max="513" width="14.7109375" customWidth="1"/>
    <col min="514" max="514" width="48.140625" customWidth="1"/>
    <col min="515" max="515" width="12" customWidth="1"/>
    <col min="769" max="769" width="14.7109375" customWidth="1"/>
    <col min="770" max="770" width="48.140625" customWidth="1"/>
    <col min="771" max="771" width="12" customWidth="1"/>
    <col min="1025" max="1025" width="14.7109375" customWidth="1"/>
    <col min="1026" max="1026" width="48.140625" customWidth="1"/>
    <col min="1027" max="1027" width="12" customWidth="1"/>
    <col min="1281" max="1281" width="14.7109375" customWidth="1"/>
    <col min="1282" max="1282" width="48.140625" customWidth="1"/>
    <col min="1283" max="1283" width="12" customWidth="1"/>
    <col min="1537" max="1537" width="14.7109375" customWidth="1"/>
    <col min="1538" max="1538" width="48.140625" customWidth="1"/>
    <col min="1539" max="1539" width="12" customWidth="1"/>
    <col min="1793" max="1793" width="14.7109375" customWidth="1"/>
    <col min="1794" max="1794" width="48.140625" customWidth="1"/>
    <col min="1795" max="1795" width="12" customWidth="1"/>
    <col min="2049" max="2049" width="14.7109375" customWidth="1"/>
    <col min="2050" max="2050" width="48.140625" customWidth="1"/>
    <col min="2051" max="2051" width="12" customWidth="1"/>
    <col min="2305" max="2305" width="14.7109375" customWidth="1"/>
    <col min="2306" max="2306" width="48.140625" customWidth="1"/>
    <col min="2307" max="2307" width="12" customWidth="1"/>
    <col min="2561" max="2561" width="14.7109375" customWidth="1"/>
    <col min="2562" max="2562" width="48.140625" customWidth="1"/>
    <col min="2563" max="2563" width="12" customWidth="1"/>
    <col min="2817" max="2817" width="14.7109375" customWidth="1"/>
    <col min="2818" max="2818" width="48.140625" customWidth="1"/>
    <col min="2819" max="2819" width="12" customWidth="1"/>
    <col min="3073" max="3073" width="14.7109375" customWidth="1"/>
    <col min="3074" max="3074" width="48.140625" customWidth="1"/>
    <col min="3075" max="3075" width="12" customWidth="1"/>
    <col min="3329" max="3329" width="14.7109375" customWidth="1"/>
    <col min="3330" max="3330" width="48.140625" customWidth="1"/>
    <col min="3331" max="3331" width="12" customWidth="1"/>
    <col min="3585" max="3585" width="14.7109375" customWidth="1"/>
    <col min="3586" max="3586" width="48.140625" customWidth="1"/>
    <col min="3587" max="3587" width="12" customWidth="1"/>
    <col min="3841" max="3841" width="14.7109375" customWidth="1"/>
    <col min="3842" max="3842" width="48.140625" customWidth="1"/>
    <col min="3843" max="3843" width="12" customWidth="1"/>
    <col min="4097" max="4097" width="14.7109375" customWidth="1"/>
    <col min="4098" max="4098" width="48.140625" customWidth="1"/>
    <col min="4099" max="4099" width="12" customWidth="1"/>
    <col min="4353" max="4353" width="14.7109375" customWidth="1"/>
    <col min="4354" max="4354" width="48.140625" customWidth="1"/>
    <col min="4355" max="4355" width="12" customWidth="1"/>
    <col min="4609" max="4609" width="14.7109375" customWidth="1"/>
    <col min="4610" max="4610" width="48.140625" customWidth="1"/>
    <col min="4611" max="4611" width="12" customWidth="1"/>
    <col min="4865" max="4865" width="14.7109375" customWidth="1"/>
    <col min="4866" max="4866" width="48.140625" customWidth="1"/>
    <col min="4867" max="4867" width="12" customWidth="1"/>
    <col min="5121" max="5121" width="14.7109375" customWidth="1"/>
    <col min="5122" max="5122" width="48.140625" customWidth="1"/>
    <col min="5123" max="5123" width="12" customWidth="1"/>
    <col min="5377" max="5377" width="14.7109375" customWidth="1"/>
    <col min="5378" max="5378" width="48.140625" customWidth="1"/>
    <col min="5379" max="5379" width="12" customWidth="1"/>
    <col min="5633" max="5633" width="14.7109375" customWidth="1"/>
    <col min="5634" max="5634" width="48.140625" customWidth="1"/>
    <col min="5635" max="5635" width="12" customWidth="1"/>
    <col min="5889" max="5889" width="14.7109375" customWidth="1"/>
    <col min="5890" max="5890" width="48.140625" customWidth="1"/>
    <col min="5891" max="5891" width="12" customWidth="1"/>
    <col min="6145" max="6145" width="14.7109375" customWidth="1"/>
    <col min="6146" max="6146" width="48.140625" customWidth="1"/>
    <col min="6147" max="6147" width="12" customWidth="1"/>
    <col min="6401" max="6401" width="14.7109375" customWidth="1"/>
    <col min="6402" max="6402" width="48.140625" customWidth="1"/>
    <col min="6403" max="6403" width="12" customWidth="1"/>
    <col min="6657" max="6657" width="14.7109375" customWidth="1"/>
    <col min="6658" max="6658" width="48.140625" customWidth="1"/>
    <col min="6659" max="6659" width="12" customWidth="1"/>
    <col min="6913" max="6913" width="14.7109375" customWidth="1"/>
    <col min="6914" max="6914" width="48.140625" customWidth="1"/>
    <col min="6915" max="6915" width="12" customWidth="1"/>
    <col min="7169" max="7169" width="14.7109375" customWidth="1"/>
    <col min="7170" max="7170" width="48.140625" customWidth="1"/>
    <col min="7171" max="7171" width="12" customWidth="1"/>
    <col min="7425" max="7425" width="14.7109375" customWidth="1"/>
    <col min="7426" max="7426" width="48.140625" customWidth="1"/>
    <col min="7427" max="7427" width="12" customWidth="1"/>
    <col min="7681" max="7681" width="14.7109375" customWidth="1"/>
    <col min="7682" max="7682" width="48.140625" customWidth="1"/>
    <col min="7683" max="7683" width="12" customWidth="1"/>
    <col min="7937" max="7937" width="14.7109375" customWidth="1"/>
    <col min="7938" max="7938" width="48.140625" customWidth="1"/>
    <col min="7939" max="7939" width="12" customWidth="1"/>
    <col min="8193" max="8193" width="14.7109375" customWidth="1"/>
    <col min="8194" max="8194" width="48.140625" customWidth="1"/>
    <col min="8195" max="8195" width="12" customWidth="1"/>
    <col min="8449" max="8449" width="14.7109375" customWidth="1"/>
    <col min="8450" max="8450" width="48.140625" customWidth="1"/>
    <col min="8451" max="8451" width="12" customWidth="1"/>
    <col min="8705" max="8705" width="14.7109375" customWidth="1"/>
    <col min="8706" max="8706" width="48.140625" customWidth="1"/>
    <col min="8707" max="8707" width="12" customWidth="1"/>
    <col min="8961" max="8961" width="14.7109375" customWidth="1"/>
    <col min="8962" max="8962" width="48.140625" customWidth="1"/>
    <col min="8963" max="8963" width="12" customWidth="1"/>
    <col min="9217" max="9217" width="14.7109375" customWidth="1"/>
    <col min="9218" max="9218" width="48.140625" customWidth="1"/>
    <col min="9219" max="9219" width="12" customWidth="1"/>
    <col min="9473" max="9473" width="14.7109375" customWidth="1"/>
    <col min="9474" max="9474" width="48.140625" customWidth="1"/>
    <col min="9475" max="9475" width="12" customWidth="1"/>
    <col min="9729" max="9729" width="14.7109375" customWidth="1"/>
    <col min="9730" max="9730" width="48.140625" customWidth="1"/>
    <col min="9731" max="9731" width="12" customWidth="1"/>
    <col min="9985" max="9985" width="14.7109375" customWidth="1"/>
    <col min="9986" max="9986" width="48.140625" customWidth="1"/>
    <col min="9987" max="9987" width="12" customWidth="1"/>
    <col min="10241" max="10241" width="14.7109375" customWidth="1"/>
    <col min="10242" max="10242" width="48.140625" customWidth="1"/>
    <col min="10243" max="10243" width="12" customWidth="1"/>
    <col min="10497" max="10497" width="14.7109375" customWidth="1"/>
    <col min="10498" max="10498" width="48.140625" customWidth="1"/>
    <col min="10499" max="10499" width="12" customWidth="1"/>
    <col min="10753" max="10753" width="14.7109375" customWidth="1"/>
    <col min="10754" max="10754" width="48.140625" customWidth="1"/>
    <col min="10755" max="10755" width="12" customWidth="1"/>
    <col min="11009" max="11009" width="14.7109375" customWidth="1"/>
    <col min="11010" max="11010" width="48.140625" customWidth="1"/>
    <col min="11011" max="11011" width="12" customWidth="1"/>
    <col min="11265" max="11265" width="14.7109375" customWidth="1"/>
    <col min="11266" max="11266" width="48.140625" customWidth="1"/>
    <col min="11267" max="11267" width="12" customWidth="1"/>
    <col min="11521" max="11521" width="14.7109375" customWidth="1"/>
    <col min="11522" max="11522" width="48.140625" customWidth="1"/>
    <col min="11523" max="11523" width="12" customWidth="1"/>
    <col min="11777" max="11777" width="14.7109375" customWidth="1"/>
    <col min="11778" max="11778" width="48.140625" customWidth="1"/>
    <col min="11779" max="11779" width="12" customWidth="1"/>
    <col min="12033" max="12033" width="14.7109375" customWidth="1"/>
    <col min="12034" max="12034" width="48.140625" customWidth="1"/>
    <col min="12035" max="12035" width="12" customWidth="1"/>
    <col min="12289" max="12289" width="14.7109375" customWidth="1"/>
    <col min="12290" max="12290" width="48.140625" customWidth="1"/>
    <col min="12291" max="12291" width="12" customWidth="1"/>
    <col min="12545" max="12545" width="14.7109375" customWidth="1"/>
    <col min="12546" max="12546" width="48.140625" customWidth="1"/>
    <col min="12547" max="12547" width="12" customWidth="1"/>
    <col min="12801" max="12801" width="14.7109375" customWidth="1"/>
    <col min="12802" max="12802" width="48.140625" customWidth="1"/>
    <col min="12803" max="12803" width="12" customWidth="1"/>
    <col min="13057" max="13057" width="14.7109375" customWidth="1"/>
    <col min="13058" max="13058" width="48.140625" customWidth="1"/>
    <col min="13059" max="13059" width="12" customWidth="1"/>
    <col min="13313" max="13313" width="14.7109375" customWidth="1"/>
    <col min="13314" max="13314" width="48.140625" customWidth="1"/>
    <col min="13315" max="13315" width="12" customWidth="1"/>
    <col min="13569" max="13569" width="14.7109375" customWidth="1"/>
    <col min="13570" max="13570" width="48.140625" customWidth="1"/>
    <col min="13571" max="13571" width="12" customWidth="1"/>
    <col min="13825" max="13825" width="14.7109375" customWidth="1"/>
    <col min="13826" max="13826" width="48.140625" customWidth="1"/>
    <col min="13827" max="13827" width="12" customWidth="1"/>
    <col min="14081" max="14081" width="14.7109375" customWidth="1"/>
    <col min="14082" max="14082" width="48.140625" customWidth="1"/>
    <col min="14083" max="14083" width="12" customWidth="1"/>
    <col min="14337" max="14337" width="14.7109375" customWidth="1"/>
    <col min="14338" max="14338" width="48.140625" customWidth="1"/>
    <col min="14339" max="14339" width="12" customWidth="1"/>
    <col min="14593" max="14593" width="14.7109375" customWidth="1"/>
    <col min="14594" max="14594" width="48.140625" customWidth="1"/>
    <col min="14595" max="14595" width="12" customWidth="1"/>
    <col min="14849" max="14849" width="14.7109375" customWidth="1"/>
    <col min="14850" max="14850" width="48.140625" customWidth="1"/>
    <col min="14851" max="14851" width="12" customWidth="1"/>
    <col min="15105" max="15105" width="14.7109375" customWidth="1"/>
    <col min="15106" max="15106" width="48.140625" customWidth="1"/>
    <col min="15107" max="15107" width="12" customWidth="1"/>
    <col min="15361" max="15361" width="14.7109375" customWidth="1"/>
    <col min="15362" max="15362" width="48.140625" customWidth="1"/>
    <col min="15363" max="15363" width="12" customWidth="1"/>
    <col min="15617" max="15617" width="14.7109375" customWidth="1"/>
    <col min="15618" max="15618" width="48.140625" customWidth="1"/>
    <col min="15619" max="15619" width="12" customWidth="1"/>
    <col min="15873" max="15873" width="14.7109375" customWidth="1"/>
    <col min="15874" max="15874" width="48.140625" customWidth="1"/>
    <col min="15875" max="15875" width="12" customWidth="1"/>
    <col min="16129" max="16129" width="14.7109375" customWidth="1"/>
    <col min="16130" max="16130" width="48.140625" customWidth="1"/>
    <col min="16131" max="16131" width="12" customWidth="1"/>
  </cols>
  <sheetData>
    <row r="1" spans="1:18" ht="12.75" customHeight="1" x14ac:dyDescent="0.2">
      <c r="A1" s="32"/>
      <c r="B1" s="33"/>
      <c r="C1" s="33"/>
      <c r="D1" s="33"/>
      <c r="E1" s="33"/>
      <c r="F1" s="33"/>
      <c r="G1" s="33"/>
      <c r="H1" s="33"/>
      <c r="I1" s="33"/>
      <c r="J1" s="33"/>
      <c r="K1" s="33"/>
      <c r="L1" s="33"/>
      <c r="M1" s="33"/>
      <c r="N1" s="33"/>
      <c r="O1" s="33"/>
      <c r="P1" s="33"/>
      <c r="Q1" s="33"/>
      <c r="R1" s="33"/>
    </row>
    <row r="2" spans="1:18" ht="36.75" customHeight="1" x14ac:dyDescent="0.2">
      <c r="A2" s="34"/>
      <c r="B2" s="34"/>
      <c r="C2" s="35"/>
      <c r="D2" s="33"/>
      <c r="E2" s="33"/>
      <c r="F2" s="33"/>
      <c r="G2" s="33"/>
      <c r="H2" s="33"/>
      <c r="I2" s="33"/>
      <c r="J2" s="33"/>
      <c r="K2" s="33"/>
      <c r="L2" s="33"/>
      <c r="M2" s="33"/>
      <c r="N2" s="33"/>
      <c r="O2" s="33"/>
      <c r="P2" s="33"/>
      <c r="Q2" s="33"/>
      <c r="R2" s="33"/>
    </row>
    <row r="3" spans="1:18" ht="27" customHeight="1" x14ac:dyDescent="0.2">
      <c r="A3" s="34"/>
      <c r="B3" s="34"/>
      <c r="C3" s="35"/>
      <c r="D3" s="33"/>
      <c r="E3" s="33"/>
      <c r="F3" s="33"/>
      <c r="G3" s="33"/>
      <c r="H3" s="33"/>
      <c r="I3" s="33"/>
      <c r="J3" s="33"/>
      <c r="K3" s="33"/>
      <c r="L3" s="33"/>
      <c r="M3" s="33"/>
      <c r="N3" s="33"/>
      <c r="O3" s="33"/>
      <c r="P3" s="33"/>
      <c r="Q3" s="33"/>
      <c r="R3" s="33"/>
    </row>
    <row r="4" spans="1:18" ht="20.25" x14ac:dyDescent="0.3">
      <c r="A4" s="36" t="s">
        <v>26</v>
      </c>
      <c r="B4" s="37"/>
      <c r="C4" s="37"/>
      <c r="D4" s="38" t="s">
        <v>27</v>
      </c>
      <c r="E4" s="38"/>
      <c r="F4" s="33"/>
      <c r="G4" s="33"/>
      <c r="H4" s="33"/>
      <c r="I4" s="33"/>
      <c r="J4" s="33"/>
      <c r="K4" s="33"/>
      <c r="L4" s="33"/>
      <c r="M4" s="33"/>
      <c r="N4" s="33"/>
      <c r="O4" s="33"/>
      <c r="P4" s="33"/>
      <c r="Q4" s="33"/>
      <c r="R4" s="33"/>
    </row>
    <row r="5" spans="1:18" ht="12.75" customHeight="1" x14ac:dyDescent="0.2">
      <c r="A5" s="39"/>
      <c r="B5" s="39"/>
      <c r="C5" s="39"/>
      <c r="D5" s="33"/>
      <c r="E5" s="33"/>
      <c r="F5" s="33"/>
      <c r="G5" s="33"/>
      <c r="H5" s="33"/>
      <c r="I5" s="33"/>
      <c r="J5" s="33"/>
      <c r="K5" s="33"/>
      <c r="L5" s="33"/>
      <c r="M5" s="33"/>
      <c r="N5" s="33"/>
      <c r="O5" s="33"/>
      <c r="P5" s="33"/>
      <c r="Q5" s="33"/>
      <c r="R5" s="33"/>
    </row>
    <row r="6" spans="1:18" ht="12.75" customHeight="1" x14ac:dyDescent="0.2">
      <c r="A6" s="40" t="s">
        <v>28</v>
      </c>
      <c r="B6" s="39"/>
      <c r="C6" s="39"/>
      <c r="D6" s="33"/>
      <c r="E6" s="33"/>
      <c r="F6" s="33"/>
      <c r="G6" s="33"/>
      <c r="H6" s="33"/>
      <c r="I6" s="33"/>
      <c r="J6" s="33"/>
      <c r="K6" s="33"/>
      <c r="L6" s="33"/>
      <c r="M6" s="33"/>
      <c r="N6" s="33"/>
      <c r="O6" s="33"/>
      <c r="P6" s="33"/>
      <c r="Q6" s="33"/>
      <c r="R6" s="33"/>
    </row>
    <row r="7" spans="1:18" ht="12.75" customHeight="1" x14ac:dyDescent="0.2">
      <c r="A7" s="40"/>
      <c r="B7" s="39"/>
      <c r="C7" s="39"/>
      <c r="D7" s="33"/>
      <c r="E7" s="33"/>
      <c r="F7" s="33"/>
      <c r="G7" s="33"/>
      <c r="H7" s="33"/>
      <c r="I7" s="33"/>
      <c r="J7" s="33"/>
      <c r="K7" s="33"/>
      <c r="L7" s="33"/>
      <c r="M7" s="33"/>
      <c r="N7" s="33"/>
      <c r="O7" s="33"/>
      <c r="P7" s="33"/>
      <c r="Q7" s="33"/>
      <c r="R7" s="33"/>
    </row>
    <row r="8" spans="1:18" ht="12.75" customHeight="1" x14ac:dyDescent="0.2">
      <c r="A8" s="41"/>
      <c r="B8" s="42"/>
      <c r="C8" s="41"/>
      <c r="D8" s="42"/>
      <c r="E8" s="42"/>
      <c r="F8" s="42"/>
      <c r="G8" s="42"/>
      <c r="H8" s="33"/>
      <c r="I8" s="33"/>
      <c r="J8" s="33"/>
      <c r="K8" s="33"/>
      <c r="L8" s="33"/>
      <c r="M8" s="33"/>
      <c r="N8" s="33"/>
      <c r="O8" s="33"/>
      <c r="P8" s="33"/>
      <c r="Q8" s="33"/>
      <c r="R8" s="33"/>
    </row>
    <row r="9" spans="1:18" ht="15" customHeight="1" x14ac:dyDescent="0.2">
      <c r="A9" s="43" t="s">
        <v>29</v>
      </c>
      <c r="B9" s="44"/>
      <c r="C9" s="42"/>
      <c r="D9" s="42"/>
      <c r="E9" s="42"/>
      <c r="F9" s="42"/>
      <c r="G9" s="42"/>
      <c r="H9" s="33"/>
      <c r="I9" s="33"/>
      <c r="J9" s="33"/>
      <c r="K9" s="33"/>
      <c r="L9" s="33"/>
      <c r="M9" s="33"/>
      <c r="N9" s="33"/>
      <c r="O9" s="33"/>
      <c r="P9" s="33"/>
      <c r="Q9" s="33"/>
      <c r="R9" s="33"/>
    </row>
    <row r="10" spans="1:18" ht="15" customHeight="1" x14ac:dyDescent="0.25">
      <c r="A10" s="43"/>
      <c r="B10" s="44"/>
      <c r="C10" s="45"/>
      <c r="D10" s="42"/>
      <c r="E10" s="42"/>
      <c r="F10" s="42"/>
      <c r="G10" s="42"/>
      <c r="H10" s="33"/>
      <c r="I10" s="33"/>
      <c r="J10" s="33"/>
      <c r="K10" s="33"/>
      <c r="L10" s="33"/>
      <c r="M10" s="33"/>
      <c r="N10" s="33"/>
      <c r="O10" s="33"/>
      <c r="P10" s="33"/>
      <c r="Q10" s="33"/>
      <c r="R10" s="33"/>
    </row>
    <row r="11" spans="1:18" ht="15" customHeight="1" x14ac:dyDescent="0.2">
      <c r="A11" s="43" t="s">
        <v>30</v>
      </c>
      <c r="B11" s="41"/>
      <c r="C11" s="42"/>
      <c r="D11" s="42"/>
      <c r="E11" s="42"/>
      <c r="F11" s="42"/>
      <c r="G11" s="42"/>
      <c r="H11" s="33"/>
      <c r="I11" s="33"/>
      <c r="J11" s="33"/>
      <c r="K11" s="33"/>
      <c r="L11" s="33"/>
      <c r="M11" s="33"/>
      <c r="N11" s="33"/>
      <c r="O11" s="33"/>
      <c r="P11" s="33"/>
      <c r="Q11" s="33"/>
      <c r="R11" s="33"/>
    </row>
    <row r="12" spans="1:18" ht="15" customHeight="1" x14ac:dyDescent="0.2">
      <c r="A12" s="46"/>
      <c r="B12" s="42"/>
      <c r="C12" s="42"/>
      <c r="D12" s="42"/>
      <c r="E12" s="42"/>
      <c r="F12" s="42"/>
      <c r="G12" s="42"/>
      <c r="H12" s="33"/>
      <c r="I12" s="33"/>
      <c r="J12" s="33"/>
      <c r="K12" s="33"/>
      <c r="L12" s="33"/>
      <c r="M12" s="33"/>
      <c r="N12" s="33"/>
      <c r="O12" s="33"/>
      <c r="P12" s="33"/>
      <c r="Q12" s="33"/>
      <c r="R12" s="33"/>
    </row>
    <row r="13" spans="1:18" ht="15" customHeight="1" x14ac:dyDescent="0.25">
      <c r="A13" s="43" t="s">
        <v>31</v>
      </c>
      <c r="B13" s="47"/>
      <c r="C13" s="42"/>
      <c r="D13" s="42"/>
      <c r="E13" s="42"/>
      <c r="F13" s="42"/>
      <c r="G13" s="42"/>
      <c r="H13" s="33"/>
      <c r="I13" s="33"/>
      <c r="J13" s="33"/>
      <c r="K13" s="33"/>
      <c r="L13" s="33"/>
      <c r="M13" s="33"/>
      <c r="N13" s="33"/>
      <c r="O13" s="33"/>
      <c r="P13" s="33"/>
      <c r="Q13" s="33"/>
      <c r="R13" s="33"/>
    </row>
    <row r="14" spans="1:18" ht="15" customHeight="1" x14ac:dyDescent="0.2">
      <c r="A14" s="46"/>
      <c r="B14" s="41"/>
      <c r="C14" s="42"/>
      <c r="D14" s="42"/>
      <c r="E14" s="42"/>
      <c r="F14" s="42"/>
      <c r="G14" s="42"/>
      <c r="H14" s="33"/>
      <c r="I14" s="33"/>
      <c r="J14" s="33"/>
      <c r="K14" s="33"/>
      <c r="L14" s="33"/>
      <c r="M14" s="33"/>
      <c r="N14" s="33"/>
      <c r="O14" s="33"/>
      <c r="P14" s="33"/>
      <c r="Q14" s="33"/>
      <c r="R14" s="33"/>
    </row>
    <row r="15" spans="1:18" ht="15" customHeight="1" x14ac:dyDescent="0.2">
      <c r="A15" s="43" t="s">
        <v>32</v>
      </c>
      <c r="B15" s="44"/>
      <c r="C15" s="42"/>
      <c r="D15" s="42"/>
      <c r="E15" s="42"/>
      <c r="F15" s="42"/>
      <c r="G15" s="42"/>
      <c r="H15" s="33"/>
      <c r="I15" s="33"/>
      <c r="J15" s="33"/>
      <c r="K15" s="33"/>
      <c r="L15" s="33"/>
      <c r="M15" s="33"/>
      <c r="N15" s="33"/>
      <c r="O15" s="33"/>
      <c r="P15" s="33"/>
      <c r="Q15" s="33"/>
      <c r="R15" s="33"/>
    </row>
    <row r="16" spans="1:18" ht="15" customHeight="1" x14ac:dyDescent="0.25">
      <c r="A16" s="42"/>
      <c r="B16" s="44"/>
      <c r="C16" s="45"/>
      <c r="D16" s="42"/>
      <c r="E16" s="42"/>
      <c r="F16" s="42"/>
      <c r="G16" s="42"/>
      <c r="H16" s="33"/>
      <c r="I16" s="33"/>
      <c r="J16" s="33"/>
      <c r="K16" s="33"/>
      <c r="L16" s="33"/>
      <c r="M16" s="33"/>
      <c r="N16" s="33"/>
      <c r="O16" s="33"/>
      <c r="P16" s="33"/>
      <c r="Q16" s="33"/>
      <c r="R16" s="33"/>
    </row>
    <row r="17" spans="1:18" ht="15" customHeight="1" x14ac:dyDescent="0.25">
      <c r="A17" s="42"/>
      <c r="B17" s="48"/>
      <c r="C17" s="43"/>
      <c r="D17" s="42"/>
      <c r="E17" s="42"/>
      <c r="F17" s="42"/>
      <c r="G17" s="42"/>
      <c r="H17" s="33"/>
      <c r="I17" s="33"/>
      <c r="J17" s="33"/>
      <c r="K17" s="33"/>
      <c r="L17" s="33"/>
      <c r="M17" s="33"/>
      <c r="N17" s="33"/>
      <c r="O17" s="33"/>
      <c r="P17" s="33"/>
      <c r="Q17" s="33"/>
      <c r="R17" s="33"/>
    </row>
    <row r="18" spans="1:18" ht="15" customHeight="1" x14ac:dyDescent="0.25">
      <c r="A18" s="49"/>
      <c r="B18" s="50"/>
      <c r="C18" s="51"/>
      <c r="D18" s="42"/>
      <c r="E18" s="42"/>
      <c r="F18" s="42"/>
      <c r="G18" s="42"/>
      <c r="H18" s="33"/>
      <c r="I18" s="33"/>
      <c r="J18" s="33"/>
      <c r="K18" s="33"/>
      <c r="L18" s="33"/>
      <c r="M18" s="33"/>
      <c r="N18" s="33"/>
      <c r="O18" s="33"/>
      <c r="P18" s="33"/>
      <c r="Q18" s="33"/>
      <c r="R18" s="33"/>
    </row>
    <row r="19" spans="1:18" x14ac:dyDescent="0.2">
      <c r="A19" s="42"/>
      <c r="B19" s="42"/>
      <c r="C19" s="42"/>
      <c r="D19" s="42"/>
      <c r="E19" s="42"/>
      <c r="F19" s="42"/>
      <c r="G19" s="42"/>
      <c r="H19" s="33"/>
      <c r="I19" s="33"/>
      <c r="J19" s="33"/>
      <c r="K19" s="33"/>
      <c r="L19" s="33"/>
      <c r="M19" s="33"/>
      <c r="N19" s="33"/>
      <c r="O19" s="33"/>
      <c r="P19" s="33"/>
      <c r="Q19" s="33"/>
      <c r="R19" s="33"/>
    </row>
    <row r="20" spans="1:18" x14ac:dyDescent="0.2">
      <c r="A20" s="42"/>
      <c r="B20" s="42"/>
      <c r="C20" s="42"/>
      <c r="D20" s="42"/>
      <c r="E20" s="42"/>
      <c r="F20" s="42"/>
      <c r="G20" s="42"/>
      <c r="H20" s="33"/>
      <c r="I20" s="33"/>
      <c r="J20" s="33"/>
      <c r="K20" s="33"/>
      <c r="L20" s="33"/>
      <c r="M20" s="33"/>
      <c r="N20" s="33"/>
      <c r="O20" s="33"/>
      <c r="P20" s="33"/>
      <c r="Q20" s="33"/>
      <c r="R20" s="33"/>
    </row>
    <row r="21" spans="1:18" x14ac:dyDescent="0.2">
      <c r="A21" s="42"/>
      <c r="B21" s="42"/>
      <c r="C21" s="42"/>
      <c r="D21" s="42"/>
      <c r="E21" s="42"/>
      <c r="F21" s="42"/>
      <c r="G21" s="42"/>
      <c r="H21" s="33"/>
      <c r="I21" s="33"/>
      <c r="J21" s="33"/>
      <c r="K21" s="33"/>
      <c r="L21" s="33"/>
      <c r="M21" s="33"/>
      <c r="N21" s="33"/>
      <c r="O21" s="33"/>
      <c r="P21" s="33"/>
      <c r="Q21" s="33"/>
      <c r="R21" s="33"/>
    </row>
    <row r="22" spans="1:18" x14ac:dyDescent="0.2">
      <c r="A22" s="42"/>
      <c r="B22" s="42"/>
      <c r="C22" s="42"/>
      <c r="D22" s="42" t="s">
        <v>33</v>
      </c>
      <c r="E22" s="42"/>
      <c r="F22" s="42"/>
      <c r="G22" s="42"/>
      <c r="H22" s="33"/>
      <c r="I22" s="33"/>
      <c r="J22" s="33"/>
      <c r="K22" s="33"/>
      <c r="L22" s="33"/>
      <c r="M22" s="33"/>
      <c r="N22" s="33"/>
      <c r="O22" s="33"/>
      <c r="P22" s="33"/>
      <c r="Q22" s="33"/>
      <c r="R22" s="33"/>
    </row>
    <row r="23" spans="1:18" x14ac:dyDescent="0.2">
      <c r="A23" s="33"/>
      <c r="B23" s="33"/>
      <c r="C23" s="33"/>
      <c r="D23" s="33"/>
      <c r="E23" s="33"/>
      <c r="F23" s="33"/>
      <c r="G23" s="33"/>
      <c r="H23" s="33"/>
      <c r="I23" s="33"/>
      <c r="J23" s="33"/>
      <c r="K23" s="33"/>
      <c r="L23" s="33"/>
      <c r="M23" s="33"/>
      <c r="N23" s="33"/>
      <c r="O23" s="33"/>
      <c r="P23" s="33"/>
      <c r="Q23" s="33"/>
      <c r="R23" s="33"/>
    </row>
    <row r="24" spans="1:18" x14ac:dyDescent="0.2">
      <c r="A24" s="33"/>
      <c r="B24" s="33"/>
      <c r="C24" s="33"/>
      <c r="D24" s="33"/>
      <c r="E24" s="33"/>
      <c r="F24" s="33"/>
      <c r="G24" s="33"/>
      <c r="H24" s="33"/>
      <c r="I24" s="33"/>
      <c r="J24" s="33"/>
      <c r="K24" s="33"/>
      <c r="L24" s="33"/>
      <c r="M24" s="33"/>
      <c r="N24" s="33"/>
      <c r="O24" s="33"/>
      <c r="P24" s="33"/>
      <c r="Q24" s="33"/>
      <c r="R24" s="33"/>
    </row>
    <row r="25" spans="1:18" x14ac:dyDescent="0.2">
      <c r="A25" s="33"/>
      <c r="B25" s="33"/>
      <c r="C25" s="33"/>
      <c r="D25" s="33"/>
      <c r="E25" s="33"/>
      <c r="F25" s="33"/>
      <c r="G25" s="33"/>
      <c r="H25" s="33"/>
      <c r="I25" s="33"/>
      <c r="J25" s="33"/>
      <c r="K25" s="33"/>
      <c r="L25" s="33"/>
      <c r="M25" s="33"/>
      <c r="N25" s="33"/>
      <c r="O25" s="33"/>
      <c r="P25" s="33"/>
      <c r="Q25" s="33"/>
      <c r="R25" s="33"/>
    </row>
    <row r="26" spans="1:18" x14ac:dyDescent="0.2">
      <c r="A26" s="33"/>
      <c r="B26" s="33"/>
      <c r="C26" s="33"/>
      <c r="D26" s="33"/>
      <c r="E26" s="33"/>
      <c r="F26" s="33"/>
      <c r="G26" s="33"/>
      <c r="H26" s="33"/>
      <c r="I26" s="33"/>
      <c r="J26" s="33"/>
      <c r="K26" s="33"/>
      <c r="L26" s="33"/>
      <c r="M26" s="33"/>
      <c r="N26" s="33"/>
      <c r="O26" s="33"/>
      <c r="P26" s="33"/>
      <c r="Q26" s="33"/>
      <c r="R26" s="33"/>
    </row>
    <row r="27" spans="1:18" x14ac:dyDescent="0.2">
      <c r="A27" s="33"/>
      <c r="B27" s="33"/>
      <c r="C27" s="33"/>
      <c r="D27" s="33"/>
      <c r="E27" s="33"/>
      <c r="F27" s="33"/>
      <c r="G27" s="33"/>
      <c r="H27" s="33"/>
      <c r="I27" s="33"/>
      <c r="J27" s="33"/>
      <c r="K27" s="33"/>
      <c r="L27" s="33"/>
      <c r="M27" s="33"/>
      <c r="N27" s="33"/>
      <c r="O27" s="33"/>
      <c r="P27" s="33"/>
      <c r="Q27" s="33"/>
      <c r="R27" s="33"/>
    </row>
    <row r="28" spans="1:18" x14ac:dyDescent="0.2">
      <c r="A28" s="33"/>
      <c r="B28" s="33"/>
      <c r="C28" s="33"/>
      <c r="D28" s="33"/>
      <c r="E28" s="33"/>
      <c r="F28" s="33"/>
      <c r="G28" s="33"/>
      <c r="H28" s="33"/>
      <c r="I28" s="33"/>
      <c r="J28" s="33"/>
      <c r="K28" s="33"/>
      <c r="L28" s="33"/>
      <c r="M28" s="33"/>
      <c r="N28" s="33"/>
      <c r="O28" s="33"/>
      <c r="P28" s="33"/>
      <c r="Q28" s="33"/>
      <c r="R28" s="33"/>
    </row>
    <row r="29" spans="1:18" x14ac:dyDescent="0.2">
      <c r="A29" s="33"/>
      <c r="B29" s="33"/>
      <c r="C29" s="33"/>
      <c r="D29" s="33"/>
      <c r="E29" s="33"/>
      <c r="F29" s="33"/>
      <c r="G29" s="33"/>
      <c r="H29" s="33"/>
      <c r="I29" s="33"/>
      <c r="J29" s="33"/>
      <c r="K29" s="33"/>
      <c r="L29" s="33"/>
      <c r="M29" s="33"/>
      <c r="N29" s="33"/>
      <c r="O29" s="33"/>
      <c r="P29" s="33"/>
      <c r="Q29" s="33"/>
      <c r="R29" s="33"/>
    </row>
    <row r="30" spans="1:18" x14ac:dyDescent="0.2">
      <c r="A30" s="33"/>
      <c r="B30" s="33"/>
      <c r="C30" s="33"/>
      <c r="D30" s="33"/>
      <c r="E30" s="33"/>
      <c r="F30" s="33"/>
      <c r="G30" s="33"/>
      <c r="H30" s="33"/>
      <c r="I30" s="33"/>
      <c r="J30" s="33"/>
      <c r="K30" s="33"/>
      <c r="L30" s="33"/>
      <c r="M30" s="33"/>
      <c r="N30" s="33"/>
      <c r="O30" s="33"/>
      <c r="P30" s="33"/>
      <c r="Q30" s="33"/>
      <c r="R30" s="33"/>
    </row>
    <row r="31" spans="1:18" x14ac:dyDescent="0.2">
      <c r="A31" s="33"/>
      <c r="B31" s="33"/>
      <c r="C31" s="33"/>
      <c r="D31" s="33"/>
      <c r="E31" s="33"/>
      <c r="F31" s="33"/>
      <c r="G31" s="33"/>
      <c r="H31" s="33"/>
      <c r="I31" s="33"/>
      <c r="J31" s="33"/>
      <c r="K31" s="33"/>
      <c r="L31" s="33"/>
      <c r="M31" s="33"/>
      <c r="N31" s="33"/>
      <c r="O31" s="33"/>
      <c r="P31" s="33"/>
      <c r="Q31" s="33"/>
      <c r="R31" s="33"/>
    </row>
    <row r="32" spans="1:18" x14ac:dyDescent="0.2">
      <c r="A32" s="33"/>
      <c r="B32" s="33"/>
      <c r="C32" s="33"/>
      <c r="D32" s="33"/>
      <c r="E32" s="33"/>
      <c r="F32" s="33"/>
      <c r="G32" s="33"/>
      <c r="H32" s="33"/>
      <c r="I32" s="33"/>
      <c r="J32" s="33"/>
      <c r="K32" s="33"/>
      <c r="L32" s="33"/>
      <c r="M32" s="33"/>
      <c r="N32" s="33"/>
      <c r="O32" s="33"/>
      <c r="P32" s="33"/>
      <c r="Q32" s="33"/>
      <c r="R32" s="33"/>
    </row>
    <row r="33" spans="1:18" x14ac:dyDescent="0.2">
      <c r="A33" s="33"/>
      <c r="B33" s="33"/>
      <c r="C33" s="33"/>
      <c r="D33" s="33"/>
      <c r="E33" s="33"/>
      <c r="F33" s="33"/>
      <c r="G33" s="33"/>
      <c r="H33" s="33"/>
      <c r="I33" s="33"/>
      <c r="J33" s="33"/>
      <c r="K33" s="33"/>
      <c r="L33" s="33"/>
      <c r="M33" s="33"/>
      <c r="N33" s="33"/>
      <c r="O33" s="33"/>
      <c r="P33" s="33"/>
      <c r="Q33" s="33"/>
      <c r="R33" s="33"/>
    </row>
    <row r="34" spans="1:18" x14ac:dyDescent="0.2">
      <c r="A34" s="33"/>
      <c r="B34" s="33"/>
      <c r="C34" s="33"/>
      <c r="D34" s="33"/>
      <c r="E34" s="33"/>
      <c r="F34" s="33"/>
      <c r="G34" s="33"/>
      <c r="H34" s="33"/>
      <c r="I34" s="33"/>
      <c r="J34" s="33"/>
      <c r="K34" s="33"/>
      <c r="L34" s="33"/>
      <c r="M34" s="33"/>
      <c r="N34" s="33"/>
      <c r="O34" s="33"/>
      <c r="P34" s="33"/>
      <c r="Q34" s="33"/>
      <c r="R34" s="33"/>
    </row>
    <row r="35" spans="1:18" x14ac:dyDescent="0.2">
      <c r="A35" s="33"/>
      <c r="B35" s="33"/>
      <c r="C35" s="33"/>
      <c r="D35" s="33"/>
      <c r="E35" s="33"/>
      <c r="F35" s="33"/>
      <c r="G35" s="33"/>
      <c r="H35" s="33"/>
      <c r="I35" s="33"/>
      <c r="J35" s="33"/>
      <c r="K35" s="33"/>
      <c r="L35" s="33"/>
      <c r="M35" s="33"/>
      <c r="N35" s="33"/>
      <c r="O35" s="33"/>
      <c r="P35" s="33"/>
      <c r="Q35" s="33"/>
      <c r="R35" s="33"/>
    </row>
    <row r="36" spans="1:18" x14ac:dyDescent="0.2">
      <c r="A36" s="33"/>
      <c r="B36" s="33"/>
      <c r="C36" s="33"/>
      <c r="D36" s="33"/>
      <c r="E36" s="33"/>
      <c r="F36" s="33"/>
      <c r="G36" s="33"/>
      <c r="H36" s="33"/>
      <c r="I36" s="33"/>
      <c r="J36" s="33"/>
      <c r="K36" s="33"/>
      <c r="L36" s="33"/>
      <c r="M36" s="33"/>
      <c r="N36" s="33"/>
      <c r="O36" s="33"/>
      <c r="P36" s="33"/>
      <c r="Q36" s="33"/>
      <c r="R36" s="33"/>
    </row>
    <row r="37" spans="1:18" x14ac:dyDescent="0.2">
      <c r="A37" s="33"/>
      <c r="B37" s="33"/>
      <c r="C37" s="33"/>
      <c r="D37" s="33"/>
      <c r="E37" s="33"/>
      <c r="F37" s="33"/>
      <c r="G37" s="33"/>
      <c r="H37" s="33"/>
      <c r="I37" s="33"/>
      <c r="J37" s="33"/>
      <c r="K37" s="33"/>
      <c r="L37" s="33"/>
      <c r="M37" s="33"/>
      <c r="N37" s="33"/>
      <c r="O37" s="33"/>
      <c r="P37" s="33"/>
      <c r="Q37" s="33"/>
      <c r="R37" s="33"/>
    </row>
    <row r="38" spans="1:18" x14ac:dyDescent="0.2">
      <c r="A38" s="33"/>
      <c r="B38" s="33"/>
      <c r="C38" s="33"/>
      <c r="D38" s="33"/>
      <c r="E38" s="33"/>
      <c r="F38" s="33"/>
      <c r="G38" s="33"/>
      <c r="H38" s="33"/>
      <c r="I38" s="33"/>
      <c r="J38" s="33"/>
      <c r="K38" s="33"/>
      <c r="L38" s="33"/>
      <c r="M38" s="33"/>
      <c r="N38" s="33"/>
      <c r="O38" s="33"/>
      <c r="P38" s="33"/>
      <c r="Q38" s="33"/>
      <c r="R38" s="33"/>
    </row>
    <row r="39" spans="1:18" x14ac:dyDescent="0.2">
      <c r="A39" s="33"/>
      <c r="B39" s="33"/>
      <c r="C39" s="33"/>
      <c r="D39" s="33"/>
      <c r="E39" s="33"/>
      <c r="F39" s="33"/>
      <c r="G39" s="33"/>
      <c r="H39" s="33"/>
      <c r="I39" s="33"/>
      <c r="J39" s="33"/>
      <c r="K39" s="33"/>
      <c r="L39" s="33"/>
      <c r="M39" s="33"/>
      <c r="N39" s="33"/>
      <c r="O39" s="33"/>
      <c r="P39" s="33"/>
      <c r="Q39" s="33"/>
      <c r="R39" s="33"/>
    </row>
    <row r="40" spans="1:18" x14ac:dyDescent="0.2">
      <c r="A40" s="33"/>
      <c r="B40" s="33"/>
      <c r="C40" s="33"/>
      <c r="D40" s="33"/>
      <c r="E40" s="33"/>
      <c r="F40" s="33"/>
      <c r="G40" s="33"/>
      <c r="H40" s="33"/>
      <c r="I40" s="33"/>
      <c r="J40" s="33"/>
      <c r="K40" s="33"/>
      <c r="L40" s="33"/>
      <c r="M40" s="33"/>
      <c r="N40" s="33"/>
      <c r="O40" s="33"/>
      <c r="P40" s="33"/>
      <c r="Q40" s="33"/>
      <c r="R40" s="33"/>
    </row>
    <row r="41" spans="1:18" x14ac:dyDescent="0.2">
      <c r="A41" s="33"/>
      <c r="B41" s="33"/>
      <c r="C41" s="33"/>
      <c r="D41" s="33"/>
      <c r="E41" s="33"/>
      <c r="F41" s="33"/>
      <c r="G41" s="33"/>
      <c r="H41" s="33"/>
      <c r="I41" s="33"/>
      <c r="J41" s="33"/>
      <c r="K41" s="33"/>
      <c r="L41" s="33"/>
      <c r="M41" s="33"/>
      <c r="N41" s="33"/>
      <c r="O41" s="33"/>
      <c r="P41" s="33"/>
      <c r="Q41" s="33"/>
      <c r="R41" s="33"/>
    </row>
    <row r="42" spans="1:18" x14ac:dyDescent="0.2">
      <c r="A42" s="33"/>
      <c r="B42" s="33"/>
      <c r="C42" s="33"/>
      <c r="D42" s="33"/>
      <c r="E42" s="33"/>
      <c r="F42" s="33"/>
      <c r="G42" s="33"/>
      <c r="H42" s="33"/>
      <c r="I42" s="33"/>
      <c r="J42" s="33"/>
      <c r="K42" s="33"/>
      <c r="L42" s="33"/>
      <c r="M42" s="33"/>
      <c r="N42" s="33"/>
      <c r="O42" s="33"/>
      <c r="P42" s="33"/>
      <c r="Q42" s="33"/>
      <c r="R42" s="33"/>
    </row>
    <row r="43" spans="1:18" x14ac:dyDescent="0.2">
      <c r="A43" s="33"/>
      <c r="B43" s="33"/>
      <c r="C43" s="33"/>
      <c r="D43" s="33"/>
      <c r="E43" s="33"/>
      <c r="F43" s="33"/>
      <c r="G43" s="33"/>
      <c r="H43" s="33"/>
      <c r="I43" s="33"/>
      <c r="J43" s="33"/>
      <c r="K43" s="33"/>
      <c r="L43" s="33"/>
      <c r="M43" s="33"/>
      <c r="N43" s="33"/>
      <c r="O43" s="33"/>
      <c r="P43" s="33"/>
      <c r="Q43" s="33"/>
      <c r="R43" s="33"/>
    </row>
    <row r="44" spans="1:18" x14ac:dyDescent="0.2">
      <c r="A44" s="33"/>
      <c r="B44" s="33"/>
      <c r="C44" s="33"/>
      <c r="D44" s="33"/>
      <c r="E44" s="33"/>
      <c r="F44" s="33"/>
      <c r="G44" s="33"/>
      <c r="H44" s="33"/>
      <c r="I44" s="33"/>
      <c r="J44" s="33"/>
      <c r="K44" s="33"/>
      <c r="L44" s="33"/>
      <c r="M44" s="33"/>
      <c r="N44" s="33"/>
      <c r="O44" s="33"/>
      <c r="P44" s="33"/>
      <c r="Q44" s="33"/>
      <c r="R44" s="33"/>
    </row>
    <row r="45" spans="1:18" x14ac:dyDescent="0.2">
      <c r="A45" s="33"/>
      <c r="B45" s="33"/>
      <c r="C45" s="33"/>
      <c r="D45" s="33"/>
      <c r="E45" s="33"/>
      <c r="F45" s="33"/>
      <c r="G45" s="33"/>
      <c r="H45" s="33"/>
      <c r="I45" s="33"/>
      <c r="J45" s="33"/>
      <c r="K45" s="33"/>
      <c r="L45" s="33"/>
      <c r="M45" s="33"/>
      <c r="N45" s="33"/>
      <c r="O45" s="33"/>
      <c r="P45" s="33"/>
      <c r="Q45" s="33"/>
      <c r="R45" s="33"/>
    </row>
  </sheetData>
  <hyperlinks>
    <hyperlink ref="A11" location="BDX!A1" display="Quarterly Sales by Segment"/>
    <hyperlink ref="A9" location="IS!A1" display="Quarterly Income Statement"/>
    <hyperlink ref="A13" location="BS!A1" display="Quarterly Balance Sheet"/>
    <hyperlink ref="A15" location="CFS!A1" display="Quarterly Cash Flow Statement"/>
  </hyperlinks>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CW130"/>
  <sheetViews>
    <sheetView showGridLines="0" workbookViewId="0">
      <pane xSplit="2" ySplit="6" topLeftCell="C7" activePane="bottomRight" state="frozen"/>
      <selection pane="topRight" activeCell="C1" sqref="C1"/>
      <selection pane="bottomLeft" activeCell="A7" sqref="A7"/>
      <selection pane="bottomRight"/>
    </sheetView>
  </sheetViews>
  <sheetFormatPr defaultRowHeight="12.75" outlineLevelRow="1" outlineLevelCol="1" x14ac:dyDescent="0.2"/>
  <cols>
    <col min="1" max="1" width="25.7109375" style="10" customWidth="1"/>
    <col min="2" max="2" width="0.85546875" style="11" customWidth="1"/>
    <col min="3" max="7" width="8.28515625" style="11" hidden="1" customWidth="1" outlineLevel="1"/>
    <col min="8" max="8" width="0.85546875" style="11" hidden="1" customWidth="1" outlineLevel="1"/>
    <col min="9" max="13" width="8.28515625" style="11" hidden="1" customWidth="1" outlineLevel="1"/>
    <col min="14" max="14" width="0.85546875" style="11" hidden="1" customWidth="1" outlineLevel="1"/>
    <col min="15" max="19" width="8.28515625" style="11" hidden="1" customWidth="1" outlineLevel="1"/>
    <col min="20" max="20" width="0.85546875" style="11" hidden="1" customWidth="1" outlineLevel="1"/>
    <col min="21" max="25" width="8.28515625" style="11" hidden="1" customWidth="1" outlineLevel="1"/>
    <col min="26" max="26" width="0.85546875" style="11" hidden="1" customWidth="1" outlineLevel="1"/>
    <col min="27" max="31" width="8.28515625" style="11" hidden="1" customWidth="1" outlineLevel="1"/>
    <col min="32" max="32" width="0.85546875" style="11" hidden="1" customWidth="1" outlineLevel="1"/>
    <col min="33" max="37" width="8.28515625" style="11" hidden="1" customWidth="1" outlineLevel="1"/>
    <col min="38" max="38" width="0.85546875" style="11" hidden="1" customWidth="1" outlineLevel="1"/>
    <col min="39" max="43" width="8.28515625" style="11" hidden="1" customWidth="1" outlineLevel="1"/>
    <col min="44" max="44" width="0.85546875" style="11" hidden="1" customWidth="1" outlineLevel="1"/>
    <col min="45" max="49" width="8.28515625" style="11" hidden="1" customWidth="1" outlineLevel="1"/>
    <col min="50" max="50" width="0.85546875" style="11" hidden="1" customWidth="1" outlineLevel="1"/>
    <col min="51" max="54" width="8.28515625" style="11" hidden="1" customWidth="1" outlineLevel="1"/>
    <col min="55" max="55" width="8.28515625" style="11" customWidth="1" collapsed="1"/>
    <col min="56" max="56" width="0.85546875" style="11" customWidth="1"/>
    <col min="57" max="60" width="8.28515625" style="11" hidden="1" customWidth="1" outlineLevel="1"/>
    <col min="61" max="61" width="8.28515625" style="11" customWidth="1" collapsed="1"/>
    <col min="62" max="62" width="0.85546875" style="11" customWidth="1"/>
    <col min="63" max="66" width="8.28515625" style="11" hidden="1" customWidth="1" outlineLevel="1"/>
    <col min="67" max="67" width="8.28515625" style="11" customWidth="1" collapsed="1"/>
    <col min="68" max="68" width="0.85546875" style="11" customWidth="1"/>
    <col min="69" max="72" width="8.28515625" style="11" hidden="1" customWidth="1" outlineLevel="1"/>
    <col min="73" max="73" width="8.28515625" style="11" customWidth="1" collapsed="1"/>
    <col min="74" max="74" width="0.85546875" style="11" customWidth="1"/>
    <col min="75" max="78" width="8.28515625" style="11" hidden="1" customWidth="1" outlineLevel="1"/>
    <col min="79" max="79" width="8.28515625" style="11" customWidth="1" collapsed="1"/>
    <col min="80" max="80" width="0.85546875" style="11" customWidth="1"/>
    <col min="81" max="84" width="8.28515625" style="11" hidden="1" customWidth="1" outlineLevel="1"/>
    <col min="85" max="85" width="8.28515625" style="11" customWidth="1" collapsed="1"/>
    <col min="86" max="86" width="0.85546875" style="11" customWidth="1"/>
    <col min="87" max="90" width="8.28515625" style="11" hidden="1" customWidth="1" outlineLevel="1"/>
    <col min="91" max="91" width="8.28515625" style="11" customWidth="1" collapsed="1"/>
    <col min="92" max="94" width="9.140625" style="11" customWidth="1"/>
    <col min="95" max="95" width="25.7109375" hidden="1" customWidth="1" outlineLevel="1"/>
    <col min="96" max="100" width="9.140625" hidden="1" customWidth="1" outlineLevel="1"/>
    <col min="101" max="101" width="9.140625" style="3" collapsed="1"/>
    <col min="102" max="256" width="9.140625" style="3"/>
    <col min="257" max="257" width="25.7109375" style="3" customWidth="1"/>
    <col min="258" max="258" width="0.85546875" style="3" customWidth="1"/>
    <col min="259" max="263" width="8.28515625" style="3" customWidth="1"/>
    <col min="264" max="264" width="0.85546875" style="3" customWidth="1"/>
    <col min="265" max="269" width="8.28515625" style="3" customWidth="1"/>
    <col min="270" max="270" width="0.85546875" style="3" customWidth="1"/>
    <col min="271" max="275" width="8.28515625" style="3" customWidth="1"/>
    <col min="276" max="276" width="0.85546875" style="3" customWidth="1"/>
    <col min="277" max="281" width="8.28515625" style="3" customWidth="1"/>
    <col min="282" max="282" width="0.85546875" style="3" customWidth="1"/>
    <col min="283" max="287" width="8.28515625" style="3" customWidth="1"/>
    <col min="288" max="288" width="0.85546875" style="3" customWidth="1"/>
    <col min="289" max="293" width="8.28515625" style="3" customWidth="1"/>
    <col min="294" max="294" width="0.85546875" style="3" customWidth="1"/>
    <col min="295" max="299" width="8.28515625" style="3" customWidth="1"/>
    <col min="300" max="300" width="0.85546875" style="3" customWidth="1"/>
    <col min="301" max="305" width="8.28515625" style="3" customWidth="1"/>
    <col min="306" max="306" width="0.85546875" style="3" customWidth="1"/>
    <col min="307" max="311" width="8.28515625" style="3" customWidth="1"/>
    <col min="312" max="312" width="0.85546875" style="3" customWidth="1"/>
    <col min="313" max="317" width="8.28515625" style="3" customWidth="1"/>
    <col min="318" max="318" width="0.85546875" style="3" customWidth="1"/>
    <col min="319" max="323" width="8.28515625" style="3" customWidth="1"/>
    <col min="324" max="324" width="0.85546875" style="3" customWidth="1"/>
    <col min="325" max="329" width="8.28515625" style="3" customWidth="1"/>
    <col min="330" max="330" width="0.85546875" style="3" customWidth="1"/>
    <col min="331" max="335" width="8.28515625" style="3" customWidth="1"/>
    <col min="336" max="336" width="0.85546875" style="3" customWidth="1"/>
    <col min="337" max="341" width="8.28515625" style="3" customWidth="1"/>
    <col min="342" max="342" width="0.85546875" style="3" customWidth="1"/>
    <col min="343" max="347" width="8.28515625" style="3" customWidth="1"/>
    <col min="348" max="350" width="9.140625" style="3" customWidth="1"/>
    <col min="351" max="351" width="25.7109375" style="3" customWidth="1"/>
    <col min="352" max="356" width="9.140625" style="3" customWidth="1"/>
    <col min="357" max="512" width="9.140625" style="3"/>
    <col min="513" max="513" width="25.7109375" style="3" customWidth="1"/>
    <col min="514" max="514" width="0.85546875" style="3" customWidth="1"/>
    <col min="515" max="519" width="8.28515625" style="3" customWidth="1"/>
    <col min="520" max="520" width="0.85546875" style="3" customWidth="1"/>
    <col min="521" max="525" width="8.28515625" style="3" customWidth="1"/>
    <col min="526" max="526" width="0.85546875" style="3" customWidth="1"/>
    <col min="527" max="531" width="8.28515625" style="3" customWidth="1"/>
    <col min="532" max="532" width="0.85546875" style="3" customWidth="1"/>
    <col min="533" max="537" width="8.28515625" style="3" customWidth="1"/>
    <col min="538" max="538" width="0.85546875" style="3" customWidth="1"/>
    <col min="539" max="543" width="8.28515625" style="3" customWidth="1"/>
    <col min="544" max="544" width="0.85546875" style="3" customWidth="1"/>
    <col min="545" max="549" width="8.28515625" style="3" customWidth="1"/>
    <col min="550" max="550" width="0.85546875" style="3" customWidth="1"/>
    <col min="551" max="555" width="8.28515625" style="3" customWidth="1"/>
    <col min="556" max="556" width="0.85546875" style="3" customWidth="1"/>
    <col min="557" max="561" width="8.28515625" style="3" customWidth="1"/>
    <col min="562" max="562" width="0.85546875" style="3" customWidth="1"/>
    <col min="563" max="567" width="8.28515625" style="3" customWidth="1"/>
    <col min="568" max="568" width="0.85546875" style="3" customWidth="1"/>
    <col min="569" max="573" width="8.28515625" style="3" customWidth="1"/>
    <col min="574" max="574" width="0.85546875" style="3" customWidth="1"/>
    <col min="575" max="579" width="8.28515625" style="3" customWidth="1"/>
    <col min="580" max="580" width="0.85546875" style="3" customWidth="1"/>
    <col min="581" max="585" width="8.28515625" style="3" customWidth="1"/>
    <col min="586" max="586" width="0.85546875" style="3" customWidth="1"/>
    <col min="587" max="591" width="8.28515625" style="3" customWidth="1"/>
    <col min="592" max="592" width="0.85546875" style="3" customWidth="1"/>
    <col min="593" max="597" width="8.28515625" style="3" customWidth="1"/>
    <col min="598" max="598" width="0.85546875" style="3" customWidth="1"/>
    <col min="599" max="603" width="8.28515625" style="3" customWidth="1"/>
    <col min="604" max="606" width="9.140625" style="3" customWidth="1"/>
    <col min="607" max="607" width="25.7109375" style="3" customWidth="1"/>
    <col min="608" max="612" width="9.140625" style="3" customWidth="1"/>
    <col min="613" max="768" width="9.140625" style="3"/>
    <col min="769" max="769" width="25.7109375" style="3" customWidth="1"/>
    <col min="770" max="770" width="0.85546875" style="3" customWidth="1"/>
    <col min="771" max="775" width="8.28515625" style="3" customWidth="1"/>
    <col min="776" max="776" width="0.85546875" style="3" customWidth="1"/>
    <col min="777" max="781" width="8.28515625" style="3" customWidth="1"/>
    <col min="782" max="782" width="0.85546875" style="3" customWidth="1"/>
    <col min="783" max="787" width="8.28515625" style="3" customWidth="1"/>
    <col min="788" max="788" width="0.85546875" style="3" customWidth="1"/>
    <col min="789" max="793" width="8.28515625" style="3" customWidth="1"/>
    <col min="794" max="794" width="0.85546875" style="3" customWidth="1"/>
    <col min="795" max="799" width="8.28515625" style="3" customWidth="1"/>
    <col min="800" max="800" width="0.85546875" style="3" customWidth="1"/>
    <col min="801" max="805" width="8.28515625" style="3" customWidth="1"/>
    <col min="806" max="806" width="0.85546875" style="3" customWidth="1"/>
    <col min="807" max="811" width="8.28515625" style="3" customWidth="1"/>
    <col min="812" max="812" width="0.85546875" style="3" customWidth="1"/>
    <col min="813" max="817" width="8.28515625" style="3" customWidth="1"/>
    <col min="818" max="818" width="0.85546875" style="3" customWidth="1"/>
    <col min="819" max="823" width="8.28515625" style="3" customWidth="1"/>
    <col min="824" max="824" width="0.85546875" style="3" customWidth="1"/>
    <col min="825" max="829" width="8.28515625" style="3" customWidth="1"/>
    <col min="830" max="830" width="0.85546875" style="3" customWidth="1"/>
    <col min="831" max="835" width="8.28515625" style="3" customWidth="1"/>
    <col min="836" max="836" width="0.85546875" style="3" customWidth="1"/>
    <col min="837" max="841" width="8.28515625" style="3" customWidth="1"/>
    <col min="842" max="842" width="0.85546875" style="3" customWidth="1"/>
    <col min="843" max="847" width="8.28515625" style="3" customWidth="1"/>
    <col min="848" max="848" width="0.85546875" style="3" customWidth="1"/>
    <col min="849" max="853" width="8.28515625" style="3" customWidth="1"/>
    <col min="854" max="854" width="0.85546875" style="3" customWidth="1"/>
    <col min="855" max="859" width="8.28515625" style="3" customWidth="1"/>
    <col min="860" max="862" width="9.140625" style="3" customWidth="1"/>
    <col min="863" max="863" width="25.7109375" style="3" customWidth="1"/>
    <col min="864" max="868" width="9.140625" style="3" customWidth="1"/>
    <col min="869" max="1024" width="9.140625" style="3"/>
    <col min="1025" max="1025" width="25.7109375" style="3" customWidth="1"/>
    <col min="1026" max="1026" width="0.85546875" style="3" customWidth="1"/>
    <col min="1027" max="1031" width="8.28515625" style="3" customWidth="1"/>
    <col min="1032" max="1032" width="0.85546875" style="3" customWidth="1"/>
    <col min="1033" max="1037" width="8.28515625" style="3" customWidth="1"/>
    <col min="1038" max="1038" width="0.85546875" style="3" customWidth="1"/>
    <col min="1039" max="1043" width="8.28515625" style="3" customWidth="1"/>
    <col min="1044" max="1044" width="0.85546875" style="3" customWidth="1"/>
    <col min="1045" max="1049" width="8.28515625" style="3" customWidth="1"/>
    <col min="1050" max="1050" width="0.85546875" style="3" customWidth="1"/>
    <col min="1051" max="1055" width="8.28515625" style="3" customWidth="1"/>
    <col min="1056" max="1056" width="0.85546875" style="3" customWidth="1"/>
    <col min="1057" max="1061" width="8.28515625" style="3" customWidth="1"/>
    <col min="1062" max="1062" width="0.85546875" style="3" customWidth="1"/>
    <col min="1063" max="1067" width="8.28515625" style="3" customWidth="1"/>
    <col min="1068" max="1068" width="0.85546875" style="3" customWidth="1"/>
    <col min="1069" max="1073" width="8.28515625" style="3" customWidth="1"/>
    <col min="1074" max="1074" width="0.85546875" style="3" customWidth="1"/>
    <col min="1075" max="1079" width="8.28515625" style="3" customWidth="1"/>
    <col min="1080" max="1080" width="0.85546875" style="3" customWidth="1"/>
    <col min="1081" max="1085" width="8.28515625" style="3" customWidth="1"/>
    <col min="1086" max="1086" width="0.85546875" style="3" customWidth="1"/>
    <col min="1087" max="1091" width="8.28515625" style="3" customWidth="1"/>
    <col min="1092" max="1092" width="0.85546875" style="3" customWidth="1"/>
    <col min="1093" max="1097" width="8.28515625" style="3" customWidth="1"/>
    <col min="1098" max="1098" width="0.85546875" style="3" customWidth="1"/>
    <col min="1099" max="1103" width="8.28515625" style="3" customWidth="1"/>
    <col min="1104" max="1104" width="0.85546875" style="3" customWidth="1"/>
    <col min="1105" max="1109" width="8.28515625" style="3" customWidth="1"/>
    <col min="1110" max="1110" width="0.85546875" style="3" customWidth="1"/>
    <col min="1111" max="1115" width="8.28515625" style="3" customWidth="1"/>
    <col min="1116" max="1118" width="9.140625" style="3" customWidth="1"/>
    <col min="1119" max="1119" width="25.7109375" style="3" customWidth="1"/>
    <col min="1120" max="1124" width="9.140625" style="3" customWidth="1"/>
    <col min="1125" max="1280" width="9.140625" style="3"/>
    <col min="1281" max="1281" width="25.7109375" style="3" customWidth="1"/>
    <col min="1282" max="1282" width="0.85546875" style="3" customWidth="1"/>
    <col min="1283" max="1287" width="8.28515625" style="3" customWidth="1"/>
    <col min="1288" max="1288" width="0.85546875" style="3" customWidth="1"/>
    <col min="1289" max="1293" width="8.28515625" style="3" customWidth="1"/>
    <col min="1294" max="1294" width="0.85546875" style="3" customWidth="1"/>
    <col min="1295" max="1299" width="8.28515625" style="3" customWidth="1"/>
    <col min="1300" max="1300" width="0.85546875" style="3" customWidth="1"/>
    <col min="1301" max="1305" width="8.28515625" style="3" customWidth="1"/>
    <col min="1306" max="1306" width="0.85546875" style="3" customWidth="1"/>
    <col min="1307" max="1311" width="8.28515625" style="3" customWidth="1"/>
    <col min="1312" max="1312" width="0.85546875" style="3" customWidth="1"/>
    <col min="1313" max="1317" width="8.28515625" style="3" customWidth="1"/>
    <col min="1318" max="1318" width="0.85546875" style="3" customWidth="1"/>
    <col min="1319" max="1323" width="8.28515625" style="3" customWidth="1"/>
    <col min="1324" max="1324" width="0.85546875" style="3" customWidth="1"/>
    <col min="1325" max="1329" width="8.28515625" style="3" customWidth="1"/>
    <col min="1330" max="1330" width="0.85546875" style="3" customWidth="1"/>
    <col min="1331" max="1335" width="8.28515625" style="3" customWidth="1"/>
    <col min="1336" max="1336" width="0.85546875" style="3" customWidth="1"/>
    <col min="1337" max="1341" width="8.28515625" style="3" customWidth="1"/>
    <col min="1342" max="1342" width="0.85546875" style="3" customWidth="1"/>
    <col min="1343" max="1347" width="8.28515625" style="3" customWidth="1"/>
    <col min="1348" max="1348" width="0.85546875" style="3" customWidth="1"/>
    <col min="1349" max="1353" width="8.28515625" style="3" customWidth="1"/>
    <col min="1354" max="1354" width="0.85546875" style="3" customWidth="1"/>
    <col min="1355" max="1359" width="8.28515625" style="3" customWidth="1"/>
    <col min="1360" max="1360" width="0.85546875" style="3" customWidth="1"/>
    <col min="1361" max="1365" width="8.28515625" style="3" customWidth="1"/>
    <col min="1366" max="1366" width="0.85546875" style="3" customWidth="1"/>
    <col min="1367" max="1371" width="8.28515625" style="3" customWidth="1"/>
    <col min="1372" max="1374" width="9.140625" style="3" customWidth="1"/>
    <col min="1375" max="1375" width="25.7109375" style="3" customWidth="1"/>
    <col min="1376" max="1380" width="9.140625" style="3" customWidth="1"/>
    <col min="1381" max="1536" width="9.140625" style="3"/>
    <col min="1537" max="1537" width="25.7109375" style="3" customWidth="1"/>
    <col min="1538" max="1538" width="0.85546875" style="3" customWidth="1"/>
    <col min="1539" max="1543" width="8.28515625" style="3" customWidth="1"/>
    <col min="1544" max="1544" width="0.85546875" style="3" customWidth="1"/>
    <col min="1545" max="1549" width="8.28515625" style="3" customWidth="1"/>
    <col min="1550" max="1550" width="0.85546875" style="3" customWidth="1"/>
    <col min="1551" max="1555" width="8.28515625" style="3" customWidth="1"/>
    <col min="1556" max="1556" width="0.85546875" style="3" customWidth="1"/>
    <col min="1557" max="1561" width="8.28515625" style="3" customWidth="1"/>
    <col min="1562" max="1562" width="0.85546875" style="3" customWidth="1"/>
    <col min="1563" max="1567" width="8.28515625" style="3" customWidth="1"/>
    <col min="1568" max="1568" width="0.85546875" style="3" customWidth="1"/>
    <col min="1569" max="1573" width="8.28515625" style="3" customWidth="1"/>
    <col min="1574" max="1574" width="0.85546875" style="3" customWidth="1"/>
    <col min="1575" max="1579" width="8.28515625" style="3" customWidth="1"/>
    <col min="1580" max="1580" width="0.85546875" style="3" customWidth="1"/>
    <col min="1581" max="1585" width="8.28515625" style="3" customWidth="1"/>
    <col min="1586" max="1586" width="0.85546875" style="3" customWidth="1"/>
    <col min="1587" max="1591" width="8.28515625" style="3" customWidth="1"/>
    <col min="1592" max="1592" width="0.85546875" style="3" customWidth="1"/>
    <col min="1593" max="1597" width="8.28515625" style="3" customWidth="1"/>
    <col min="1598" max="1598" width="0.85546875" style="3" customWidth="1"/>
    <col min="1599" max="1603" width="8.28515625" style="3" customWidth="1"/>
    <col min="1604" max="1604" width="0.85546875" style="3" customWidth="1"/>
    <col min="1605" max="1609" width="8.28515625" style="3" customWidth="1"/>
    <col min="1610" max="1610" width="0.85546875" style="3" customWidth="1"/>
    <col min="1611" max="1615" width="8.28515625" style="3" customWidth="1"/>
    <col min="1616" max="1616" width="0.85546875" style="3" customWidth="1"/>
    <col min="1617" max="1621" width="8.28515625" style="3" customWidth="1"/>
    <col min="1622" max="1622" width="0.85546875" style="3" customWidth="1"/>
    <col min="1623" max="1627" width="8.28515625" style="3" customWidth="1"/>
    <col min="1628" max="1630" width="9.140625" style="3" customWidth="1"/>
    <col min="1631" max="1631" width="25.7109375" style="3" customWidth="1"/>
    <col min="1632" max="1636" width="9.140625" style="3" customWidth="1"/>
    <col min="1637" max="1792" width="9.140625" style="3"/>
    <col min="1793" max="1793" width="25.7109375" style="3" customWidth="1"/>
    <col min="1794" max="1794" width="0.85546875" style="3" customWidth="1"/>
    <col min="1795" max="1799" width="8.28515625" style="3" customWidth="1"/>
    <col min="1800" max="1800" width="0.85546875" style="3" customWidth="1"/>
    <col min="1801" max="1805" width="8.28515625" style="3" customWidth="1"/>
    <col min="1806" max="1806" width="0.85546875" style="3" customWidth="1"/>
    <col min="1807" max="1811" width="8.28515625" style="3" customWidth="1"/>
    <col min="1812" max="1812" width="0.85546875" style="3" customWidth="1"/>
    <col min="1813" max="1817" width="8.28515625" style="3" customWidth="1"/>
    <col min="1818" max="1818" width="0.85546875" style="3" customWidth="1"/>
    <col min="1819" max="1823" width="8.28515625" style="3" customWidth="1"/>
    <col min="1824" max="1824" width="0.85546875" style="3" customWidth="1"/>
    <col min="1825" max="1829" width="8.28515625" style="3" customWidth="1"/>
    <col min="1830" max="1830" width="0.85546875" style="3" customWidth="1"/>
    <col min="1831" max="1835" width="8.28515625" style="3" customWidth="1"/>
    <col min="1836" max="1836" width="0.85546875" style="3" customWidth="1"/>
    <col min="1837" max="1841" width="8.28515625" style="3" customWidth="1"/>
    <col min="1842" max="1842" width="0.85546875" style="3" customWidth="1"/>
    <col min="1843" max="1847" width="8.28515625" style="3" customWidth="1"/>
    <col min="1848" max="1848" width="0.85546875" style="3" customWidth="1"/>
    <col min="1849" max="1853" width="8.28515625" style="3" customWidth="1"/>
    <col min="1854" max="1854" width="0.85546875" style="3" customWidth="1"/>
    <col min="1855" max="1859" width="8.28515625" style="3" customWidth="1"/>
    <col min="1860" max="1860" width="0.85546875" style="3" customWidth="1"/>
    <col min="1861" max="1865" width="8.28515625" style="3" customWidth="1"/>
    <col min="1866" max="1866" width="0.85546875" style="3" customWidth="1"/>
    <col min="1867" max="1871" width="8.28515625" style="3" customWidth="1"/>
    <col min="1872" max="1872" width="0.85546875" style="3" customWidth="1"/>
    <col min="1873" max="1877" width="8.28515625" style="3" customWidth="1"/>
    <col min="1878" max="1878" width="0.85546875" style="3" customWidth="1"/>
    <col min="1879" max="1883" width="8.28515625" style="3" customWidth="1"/>
    <col min="1884" max="1886" width="9.140625" style="3" customWidth="1"/>
    <col min="1887" max="1887" width="25.7109375" style="3" customWidth="1"/>
    <col min="1888" max="1892" width="9.140625" style="3" customWidth="1"/>
    <col min="1893" max="2048" width="9.140625" style="3"/>
    <col min="2049" max="2049" width="25.7109375" style="3" customWidth="1"/>
    <col min="2050" max="2050" width="0.85546875" style="3" customWidth="1"/>
    <col min="2051" max="2055" width="8.28515625" style="3" customWidth="1"/>
    <col min="2056" max="2056" width="0.85546875" style="3" customWidth="1"/>
    <col min="2057" max="2061" width="8.28515625" style="3" customWidth="1"/>
    <col min="2062" max="2062" width="0.85546875" style="3" customWidth="1"/>
    <col min="2063" max="2067" width="8.28515625" style="3" customWidth="1"/>
    <col min="2068" max="2068" width="0.85546875" style="3" customWidth="1"/>
    <col min="2069" max="2073" width="8.28515625" style="3" customWidth="1"/>
    <col min="2074" max="2074" width="0.85546875" style="3" customWidth="1"/>
    <col min="2075" max="2079" width="8.28515625" style="3" customWidth="1"/>
    <col min="2080" max="2080" width="0.85546875" style="3" customWidth="1"/>
    <col min="2081" max="2085" width="8.28515625" style="3" customWidth="1"/>
    <col min="2086" max="2086" width="0.85546875" style="3" customWidth="1"/>
    <col min="2087" max="2091" width="8.28515625" style="3" customWidth="1"/>
    <col min="2092" max="2092" width="0.85546875" style="3" customWidth="1"/>
    <col min="2093" max="2097" width="8.28515625" style="3" customWidth="1"/>
    <col min="2098" max="2098" width="0.85546875" style="3" customWidth="1"/>
    <col min="2099" max="2103" width="8.28515625" style="3" customWidth="1"/>
    <col min="2104" max="2104" width="0.85546875" style="3" customWidth="1"/>
    <col min="2105" max="2109" width="8.28515625" style="3" customWidth="1"/>
    <col min="2110" max="2110" width="0.85546875" style="3" customWidth="1"/>
    <col min="2111" max="2115" width="8.28515625" style="3" customWidth="1"/>
    <col min="2116" max="2116" width="0.85546875" style="3" customWidth="1"/>
    <col min="2117" max="2121" width="8.28515625" style="3" customWidth="1"/>
    <col min="2122" max="2122" width="0.85546875" style="3" customWidth="1"/>
    <col min="2123" max="2127" width="8.28515625" style="3" customWidth="1"/>
    <col min="2128" max="2128" width="0.85546875" style="3" customWidth="1"/>
    <col min="2129" max="2133" width="8.28515625" style="3" customWidth="1"/>
    <col min="2134" max="2134" width="0.85546875" style="3" customWidth="1"/>
    <col min="2135" max="2139" width="8.28515625" style="3" customWidth="1"/>
    <col min="2140" max="2142" width="9.140625" style="3" customWidth="1"/>
    <col min="2143" max="2143" width="25.7109375" style="3" customWidth="1"/>
    <col min="2144" max="2148" width="9.140625" style="3" customWidth="1"/>
    <col min="2149" max="2304" width="9.140625" style="3"/>
    <col min="2305" max="2305" width="25.7109375" style="3" customWidth="1"/>
    <col min="2306" max="2306" width="0.85546875" style="3" customWidth="1"/>
    <col min="2307" max="2311" width="8.28515625" style="3" customWidth="1"/>
    <col min="2312" max="2312" width="0.85546875" style="3" customWidth="1"/>
    <col min="2313" max="2317" width="8.28515625" style="3" customWidth="1"/>
    <col min="2318" max="2318" width="0.85546875" style="3" customWidth="1"/>
    <col min="2319" max="2323" width="8.28515625" style="3" customWidth="1"/>
    <col min="2324" max="2324" width="0.85546875" style="3" customWidth="1"/>
    <col min="2325" max="2329" width="8.28515625" style="3" customWidth="1"/>
    <col min="2330" max="2330" width="0.85546875" style="3" customWidth="1"/>
    <col min="2331" max="2335" width="8.28515625" style="3" customWidth="1"/>
    <col min="2336" max="2336" width="0.85546875" style="3" customWidth="1"/>
    <col min="2337" max="2341" width="8.28515625" style="3" customWidth="1"/>
    <col min="2342" max="2342" width="0.85546875" style="3" customWidth="1"/>
    <col min="2343" max="2347" width="8.28515625" style="3" customWidth="1"/>
    <col min="2348" max="2348" width="0.85546875" style="3" customWidth="1"/>
    <col min="2349" max="2353" width="8.28515625" style="3" customWidth="1"/>
    <col min="2354" max="2354" width="0.85546875" style="3" customWidth="1"/>
    <col min="2355" max="2359" width="8.28515625" style="3" customWidth="1"/>
    <col min="2360" max="2360" width="0.85546875" style="3" customWidth="1"/>
    <col min="2361" max="2365" width="8.28515625" style="3" customWidth="1"/>
    <col min="2366" max="2366" width="0.85546875" style="3" customWidth="1"/>
    <col min="2367" max="2371" width="8.28515625" style="3" customWidth="1"/>
    <col min="2372" max="2372" width="0.85546875" style="3" customWidth="1"/>
    <col min="2373" max="2377" width="8.28515625" style="3" customWidth="1"/>
    <col min="2378" max="2378" width="0.85546875" style="3" customWidth="1"/>
    <col min="2379" max="2383" width="8.28515625" style="3" customWidth="1"/>
    <col min="2384" max="2384" width="0.85546875" style="3" customWidth="1"/>
    <col min="2385" max="2389" width="8.28515625" style="3" customWidth="1"/>
    <col min="2390" max="2390" width="0.85546875" style="3" customWidth="1"/>
    <col min="2391" max="2395" width="8.28515625" style="3" customWidth="1"/>
    <col min="2396" max="2398" width="9.140625" style="3" customWidth="1"/>
    <col min="2399" max="2399" width="25.7109375" style="3" customWidth="1"/>
    <col min="2400" max="2404" width="9.140625" style="3" customWidth="1"/>
    <col min="2405" max="2560" width="9.140625" style="3"/>
    <col min="2561" max="2561" width="25.7109375" style="3" customWidth="1"/>
    <col min="2562" max="2562" width="0.85546875" style="3" customWidth="1"/>
    <col min="2563" max="2567" width="8.28515625" style="3" customWidth="1"/>
    <col min="2568" max="2568" width="0.85546875" style="3" customWidth="1"/>
    <col min="2569" max="2573" width="8.28515625" style="3" customWidth="1"/>
    <col min="2574" max="2574" width="0.85546875" style="3" customWidth="1"/>
    <col min="2575" max="2579" width="8.28515625" style="3" customWidth="1"/>
    <col min="2580" max="2580" width="0.85546875" style="3" customWidth="1"/>
    <col min="2581" max="2585" width="8.28515625" style="3" customWidth="1"/>
    <col min="2586" max="2586" width="0.85546875" style="3" customWidth="1"/>
    <col min="2587" max="2591" width="8.28515625" style="3" customWidth="1"/>
    <col min="2592" max="2592" width="0.85546875" style="3" customWidth="1"/>
    <col min="2593" max="2597" width="8.28515625" style="3" customWidth="1"/>
    <col min="2598" max="2598" width="0.85546875" style="3" customWidth="1"/>
    <col min="2599" max="2603" width="8.28515625" style="3" customWidth="1"/>
    <col min="2604" max="2604" width="0.85546875" style="3" customWidth="1"/>
    <col min="2605" max="2609" width="8.28515625" style="3" customWidth="1"/>
    <col min="2610" max="2610" width="0.85546875" style="3" customWidth="1"/>
    <col min="2611" max="2615" width="8.28515625" style="3" customWidth="1"/>
    <col min="2616" max="2616" width="0.85546875" style="3" customWidth="1"/>
    <col min="2617" max="2621" width="8.28515625" style="3" customWidth="1"/>
    <col min="2622" max="2622" width="0.85546875" style="3" customWidth="1"/>
    <col min="2623" max="2627" width="8.28515625" style="3" customWidth="1"/>
    <col min="2628" max="2628" width="0.85546875" style="3" customWidth="1"/>
    <col min="2629" max="2633" width="8.28515625" style="3" customWidth="1"/>
    <col min="2634" max="2634" width="0.85546875" style="3" customWidth="1"/>
    <col min="2635" max="2639" width="8.28515625" style="3" customWidth="1"/>
    <col min="2640" max="2640" width="0.85546875" style="3" customWidth="1"/>
    <col min="2641" max="2645" width="8.28515625" style="3" customWidth="1"/>
    <col min="2646" max="2646" width="0.85546875" style="3" customWidth="1"/>
    <col min="2647" max="2651" width="8.28515625" style="3" customWidth="1"/>
    <col min="2652" max="2654" width="9.140625" style="3" customWidth="1"/>
    <col min="2655" max="2655" width="25.7109375" style="3" customWidth="1"/>
    <col min="2656" max="2660" width="9.140625" style="3" customWidth="1"/>
    <col min="2661" max="2816" width="9.140625" style="3"/>
    <col min="2817" max="2817" width="25.7109375" style="3" customWidth="1"/>
    <col min="2818" max="2818" width="0.85546875" style="3" customWidth="1"/>
    <col min="2819" max="2823" width="8.28515625" style="3" customWidth="1"/>
    <col min="2824" max="2824" width="0.85546875" style="3" customWidth="1"/>
    <col min="2825" max="2829" width="8.28515625" style="3" customWidth="1"/>
    <col min="2830" max="2830" width="0.85546875" style="3" customWidth="1"/>
    <col min="2831" max="2835" width="8.28515625" style="3" customWidth="1"/>
    <col min="2836" max="2836" width="0.85546875" style="3" customWidth="1"/>
    <col min="2837" max="2841" width="8.28515625" style="3" customWidth="1"/>
    <col min="2842" max="2842" width="0.85546875" style="3" customWidth="1"/>
    <col min="2843" max="2847" width="8.28515625" style="3" customWidth="1"/>
    <col min="2848" max="2848" width="0.85546875" style="3" customWidth="1"/>
    <col min="2849" max="2853" width="8.28515625" style="3" customWidth="1"/>
    <col min="2854" max="2854" width="0.85546875" style="3" customWidth="1"/>
    <col min="2855" max="2859" width="8.28515625" style="3" customWidth="1"/>
    <col min="2860" max="2860" width="0.85546875" style="3" customWidth="1"/>
    <col min="2861" max="2865" width="8.28515625" style="3" customWidth="1"/>
    <col min="2866" max="2866" width="0.85546875" style="3" customWidth="1"/>
    <col min="2867" max="2871" width="8.28515625" style="3" customWidth="1"/>
    <col min="2872" max="2872" width="0.85546875" style="3" customWidth="1"/>
    <col min="2873" max="2877" width="8.28515625" style="3" customWidth="1"/>
    <col min="2878" max="2878" width="0.85546875" style="3" customWidth="1"/>
    <col min="2879" max="2883" width="8.28515625" style="3" customWidth="1"/>
    <col min="2884" max="2884" width="0.85546875" style="3" customWidth="1"/>
    <col min="2885" max="2889" width="8.28515625" style="3" customWidth="1"/>
    <col min="2890" max="2890" width="0.85546875" style="3" customWidth="1"/>
    <col min="2891" max="2895" width="8.28515625" style="3" customWidth="1"/>
    <col min="2896" max="2896" width="0.85546875" style="3" customWidth="1"/>
    <col min="2897" max="2901" width="8.28515625" style="3" customWidth="1"/>
    <col min="2902" max="2902" width="0.85546875" style="3" customWidth="1"/>
    <col min="2903" max="2907" width="8.28515625" style="3" customWidth="1"/>
    <col min="2908" max="2910" width="9.140625" style="3" customWidth="1"/>
    <col min="2911" max="2911" width="25.7109375" style="3" customWidth="1"/>
    <col min="2912" max="2916" width="9.140625" style="3" customWidth="1"/>
    <col min="2917" max="3072" width="9.140625" style="3"/>
    <col min="3073" max="3073" width="25.7109375" style="3" customWidth="1"/>
    <col min="3074" max="3074" width="0.85546875" style="3" customWidth="1"/>
    <col min="3075" max="3079" width="8.28515625" style="3" customWidth="1"/>
    <col min="3080" max="3080" width="0.85546875" style="3" customWidth="1"/>
    <col min="3081" max="3085" width="8.28515625" style="3" customWidth="1"/>
    <col min="3086" max="3086" width="0.85546875" style="3" customWidth="1"/>
    <col min="3087" max="3091" width="8.28515625" style="3" customWidth="1"/>
    <col min="3092" max="3092" width="0.85546875" style="3" customWidth="1"/>
    <col min="3093" max="3097" width="8.28515625" style="3" customWidth="1"/>
    <col min="3098" max="3098" width="0.85546875" style="3" customWidth="1"/>
    <col min="3099" max="3103" width="8.28515625" style="3" customWidth="1"/>
    <col min="3104" max="3104" width="0.85546875" style="3" customWidth="1"/>
    <col min="3105" max="3109" width="8.28515625" style="3" customWidth="1"/>
    <col min="3110" max="3110" width="0.85546875" style="3" customWidth="1"/>
    <col min="3111" max="3115" width="8.28515625" style="3" customWidth="1"/>
    <col min="3116" max="3116" width="0.85546875" style="3" customWidth="1"/>
    <col min="3117" max="3121" width="8.28515625" style="3" customWidth="1"/>
    <col min="3122" max="3122" width="0.85546875" style="3" customWidth="1"/>
    <col min="3123" max="3127" width="8.28515625" style="3" customWidth="1"/>
    <col min="3128" max="3128" width="0.85546875" style="3" customWidth="1"/>
    <col min="3129" max="3133" width="8.28515625" style="3" customWidth="1"/>
    <col min="3134" max="3134" width="0.85546875" style="3" customWidth="1"/>
    <col min="3135" max="3139" width="8.28515625" style="3" customWidth="1"/>
    <col min="3140" max="3140" width="0.85546875" style="3" customWidth="1"/>
    <col min="3141" max="3145" width="8.28515625" style="3" customWidth="1"/>
    <col min="3146" max="3146" width="0.85546875" style="3" customWidth="1"/>
    <col min="3147" max="3151" width="8.28515625" style="3" customWidth="1"/>
    <col min="3152" max="3152" width="0.85546875" style="3" customWidth="1"/>
    <col min="3153" max="3157" width="8.28515625" style="3" customWidth="1"/>
    <col min="3158" max="3158" width="0.85546875" style="3" customWidth="1"/>
    <col min="3159" max="3163" width="8.28515625" style="3" customWidth="1"/>
    <col min="3164" max="3166" width="9.140625" style="3" customWidth="1"/>
    <col min="3167" max="3167" width="25.7109375" style="3" customWidth="1"/>
    <col min="3168" max="3172" width="9.140625" style="3" customWidth="1"/>
    <col min="3173" max="3328" width="9.140625" style="3"/>
    <col min="3329" max="3329" width="25.7109375" style="3" customWidth="1"/>
    <col min="3330" max="3330" width="0.85546875" style="3" customWidth="1"/>
    <col min="3331" max="3335" width="8.28515625" style="3" customWidth="1"/>
    <col min="3336" max="3336" width="0.85546875" style="3" customWidth="1"/>
    <col min="3337" max="3341" width="8.28515625" style="3" customWidth="1"/>
    <col min="3342" max="3342" width="0.85546875" style="3" customWidth="1"/>
    <col min="3343" max="3347" width="8.28515625" style="3" customWidth="1"/>
    <col min="3348" max="3348" width="0.85546875" style="3" customWidth="1"/>
    <col min="3349" max="3353" width="8.28515625" style="3" customWidth="1"/>
    <col min="3354" max="3354" width="0.85546875" style="3" customWidth="1"/>
    <col min="3355" max="3359" width="8.28515625" style="3" customWidth="1"/>
    <col min="3360" max="3360" width="0.85546875" style="3" customWidth="1"/>
    <col min="3361" max="3365" width="8.28515625" style="3" customWidth="1"/>
    <col min="3366" max="3366" width="0.85546875" style="3" customWidth="1"/>
    <col min="3367" max="3371" width="8.28515625" style="3" customWidth="1"/>
    <col min="3372" max="3372" width="0.85546875" style="3" customWidth="1"/>
    <col min="3373" max="3377" width="8.28515625" style="3" customWidth="1"/>
    <col min="3378" max="3378" width="0.85546875" style="3" customWidth="1"/>
    <col min="3379" max="3383" width="8.28515625" style="3" customWidth="1"/>
    <col min="3384" max="3384" width="0.85546875" style="3" customWidth="1"/>
    <col min="3385" max="3389" width="8.28515625" style="3" customWidth="1"/>
    <col min="3390" max="3390" width="0.85546875" style="3" customWidth="1"/>
    <col min="3391" max="3395" width="8.28515625" style="3" customWidth="1"/>
    <col min="3396" max="3396" width="0.85546875" style="3" customWidth="1"/>
    <col min="3397" max="3401" width="8.28515625" style="3" customWidth="1"/>
    <col min="3402" max="3402" width="0.85546875" style="3" customWidth="1"/>
    <col min="3403" max="3407" width="8.28515625" style="3" customWidth="1"/>
    <col min="3408" max="3408" width="0.85546875" style="3" customWidth="1"/>
    <col min="3409" max="3413" width="8.28515625" style="3" customWidth="1"/>
    <col min="3414" max="3414" width="0.85546875" style="3" customWidth="1"/>
    <col min="3415" max="3419" width="8.28515625" style="3" customWidth="1"/>
    <col min="3420" max="3422" width="9.140625" style="3" customWidth="1"/>
    <col min="3423" max="3423" width="25.7109375" style="3" customWidth="1"/>
    <col min="3424" max="3428" width="9.140625" style="3" customWidth="1"/>
    <col min="3429" max="3584" width="9.140625" style="3"/>
    <col min="3585" max="3585" width="25.7109375" style="3" customWidth="1"/>
    <col min="3586" max="3586" width="0.85546875" style="3" customWidth="1"/>
    <col min="3587" max="3591" width="8.28515625" style="3" customWidth="1"/>
    <col min="3592" max="3592" width="0.85546875" style="3" customWidth="1"/>
    <col min="3593" max="3597" width="8.28515625" style="3" customWidth="1"/>
    <col min="3598" max="3598" width="0.85546875" style="3" customWidth="1"/>
    <col min="3599" max="3603" width="8.28515625" style="3" customWidth="1"/>
    <col min="3604" max="3604" width="0.85546875" style="3" customWidth="1"/>
    <col min="3605" max="3609" width="8.28515625" style="3" customWidth="1"/>
    <col min="3610" max="3610" width="0.85546875" style="3" customWidth="1"/>
    <col min="3611" max="3615" width="8.28515625" style="3" customWidth="1"/>
    <col min="3616" max="3616" width="0.85546875" style="3" customWidth="1"/>
    <col min="3617" max="3621" width="8.28515625" style="3" customWidth="1"/>
    <col min="3622" max="3622" width="0.85546875" style="3" customWidth="1"/>
    <col min="3623" max="3627" width="8.28515625" style="3" customWidth="1"/>
    <col min="3628" max="3628" width="0.85546875" style="3" customWidth="1"/>
    <col min="3629" max="3633" width="8.28515625" style="3" customWidth="1"/>
    <col min="3634" max="3634" width="0.85546875" style="3" customWidth="1"/>
    <col min="3635" max="3639" width="8.28515625" style="3" customWidth="1"/>
    <col min="3640" max="3640" width="0.85546875" style="3" customWidth="1"/>
    <col min="3641" max="3645" width="8.28515625" style="3" customWidth="1"/>
    <col min="3646" max="3646" width="0.85546875" style="3" customWidth="1"/>
    <col min="3647" max="3651" width="8.28515625" style="3" customWidth="1"/>
    <col min="3652" max="3652" width="0.85546875" style="3" customWidth="1"/>
    <col min="3653" max="3657" width="8.28515625" style="3" customWidth="1"/>
    <col min="3658" max="3658" width="0.85546875" style="3" customWidth="1"/>
    <col min="3659" max="3663" width="8.28515625" style="3" customWidth="1"/>
    <col min="3664" max="3664" width="0.85546875" style="3" customWidth="1"/>
    <col min="3665" max="3669" width="8.28515625" style="3" customWidth="1"/>
    <col min="3670" max="3670" width="0.85546875" style="3" customWidth="1"/>
    <col min="3671" max="3675" width="8.28515625" style="3" customWidth="1"/>
    <col min="3676" max="3678" width="9.140625" style="3" customWidth="1"/>
    <col min="3679" max="3679" width="25.7109375" style="3" customWidth="1"/>
    <col min="3680" max="3684" width="9.140625" style="3" customWidth="1"/>
    <col min="3685" max="3840" width="9.140625" style="3"/>
    <col min="3841" max="3841" width="25.7109375" style="3" customWidth="1"/>
    <col min="3842" max="3842" width="0.85546875" style="3" customWidth="1"/>
    <col min="3843" max="3847" width="8.28515625" style="3" customWidth="1"/>
    <col min="3848" max="3848" width="0.85546875" style="3" customWidth="1"/>
    <col min="3849" max="3853" width="8.28515625" style="3" customWidth="1"/>
    <col min="3854" max="3854" width="0.85546875" style="3" customWidth="1"/>
    <col min="3855" max="3859" width="8.28515625" style="3" customWidth="1"/>
    <col min="3860" max="3860" width="0.85546875" style="3" customWidth="1"/>
    <col min="3861" max="3865" width="8.28515625" style="3" customWidth="1"/>
    <col min="3866" max="3866" width="0.85546875" style="3" customWidth="1"/>
    <col min="3867" max="3871" width="8.28515625" style="3" customWidth="1"/>
    <col min="3872" max="3872" width="0.85546875" style="3" customWidth="1"/>
    <col min="3873" max="3877" width="8.28515625" style="3" customWidth="1"/>
    <col min="3878" max="3878" width="0.85546875" style="3" customWidth="1"/>
    <col min="3879" max="3883" width="8.28515625" style="3" customWidth="1"/>
    <col min="3884" max="3884" width="0.85546875" style="3" customWidth="1"/>
    <col min="3885" max="3889" width="8.28515625" style="3" customWidth="1"/>
    <col min="3890" max="3890" width="0.85546875" style="3" customWidth="1"/>
    <col min="3891" max="3895" width="8.28515625" style="3" customWidth="1"/>
    <col min="3896" max="3896" width="0.85546875" style="3" customWidth="1"/>
    <col min="3897" max="3901" width="8.28515625" style="3" customWidth="1"/>
    <col min="3902" max="3902" width="0.85546875" style="3" customWidth="1"/>
    <col min="3903" max="3907" width="8.28515625" style="3" customWidth="1"/>
    <col min="3908" max="3908" width="0.85546875" style="3" customWidth="1"/>
    <col min="3909" max="3913" width="8.28515625" style="3" customWidth="1"/>
    <col min="3914" max="3914" width="0.85546875" style="3" customWidth="1"/>
    <col min="3915" max="3919" width="8.28515625" style="3" customWidth="1"/>
    <col min="3920" max="3920" width="0.85546875" style="3" customWidth="1"/>
    <col min="3921" max="3925" width="8.28515625" style="3" customWidth="1"/>
    <col min="3926" max="3926" width="0.85546875" style="3" customWidth="1"/>
    <col min="3927" max="3931" width="8.28515625" style="3" customWidth="1"/>
    <col min="3932" max="3934" width="9.140625" style="3" customWidth="1"/>
    <col min="3935" max="3935" width="25.7109375" style="3" customWidth="1"/>
    <col min="3936" max="3940" width="9.140625" style="3" customWidth="1"/>
    <col min="3941" max="4096" width="9.140625" style="3"/>
    <col min="4097" max="4097" width="25.7109375" style="3" customWidth="1"/>
    <col min="4098" max="4098" width="0.85546875" style="3" customWidth="1"/>
    <col min="4099" max="4103" width="8.28515625" style="3" customWidth="1"/>
    <col min="4104" max="4104" width="0.85546875" style="3" customWidth="1"/>
    <col min="4105" max="4109" width="8.28515625" style="3" customWidth="1"/>
    <col min="4110" max="4110" width="0.85546875" style="3" customWidth="1"/>
    <col min="4111" max="4115" width="8.28515625" style="3" customWidth="1"/>
    <col min="4116" max="4116" width="0.85546875" style="3" customWidth="1"/>
    <col min="4117" max="4121" width="8.28515625" style="3" customWidth="1"/>
    <col min="4122" max="4122" width="0.85546875" style="3" customWidth="1"/>
    <col min="4123" max="4127" width="8.28515625" style="3" customWidth="1"/>
    <col min="4128" max="4128" width="0.85546875" style="3" customWidth="1"/>
    <col min="4129" max="4133" width="8.28515625" style="3" customWidth="1"/>
    <col min="4134" max="4134" width="0.85546875" style="3" customWidth="1"/>
    <col min="4135" max="4139" width="8.28515625" style="3" customWidth="1"/>
    <col min="4140" max="4140" width="0.85546875" style="3" customWidth="1"/>
    <col min="4141" max="4145" width="8.28515625" style="3" customWidth="1"/>
    <col min="4146" max="4146" width="0.85546875" style="3" customWidth="1"/>
    <col min="4147" max="4151" width="8.28515625" style="3" customWidth="1"/>
    <col min="4152" max="4152" width="0.85546875" style="3" customWidth="1"/>
    <col min="4153" max="4157" width="8.28515625" style="3" customWidth="1"/>
    <col min="4158" max="4158" width="0.85546875" style="3" customWidth="1"/>
    <col min="4159" max="4163" width="8.28515625" style="3" customWidth="1"/>
    <col min="4164" max="4164" width="0.85546875" style="3" customWidth="1"/>
    <col min="4165" max="4169" width="8.28515625" style="3" customWidth="1"/>
    <col min="4170" max="4170" width="0.85546875" style="3" customWidth="1"/>
    <col min="4171" max="4175" width="8.28515625" style="3" customWidth="1"/>
    <col min="4176" max="4176" width="0.85546875" style="3" customWidth="1"/>
    <col min="4177" max="4181" width="8.28515625" style="3" customWidth="1"/>
    <col min="4182" max="4182" width="0.85546875" style="3" customWidth="1"/>
    <col min="4183" max="4187" width="8.28515625" style="3" customWidth="1"/>
    <col min="4188" max="4190" width="9.140625" style="3" customWidth="1"/>
    <col min="4191" max="4191" width="25.7109375" style="3" customWidth="1"/>
    <col min="4192" max="4196" width="9.140625" style="3" customWidth="1"/>
    <col min="4197" max="4352" width="9.140625" style="3"/>
    <col min="4353" max="4353" width="25.7109375" style="3" customWidth="1"/>
    <col min="4354" max="4354" width="0.85546875" style="3" customWidth="1"/>
    <col min="4355" max="4359" width="8.28515625" style="3" customWidth="1"/>
    <col min="4360" max="4360" width="0.85546875" style="3" customWidth="1"/>
    <col min="4361" max="4365" width="8.28515625" style="3" customWidth="1"/>
    <col min="4366" max="4366" width="0.85546875" style="3" customWidth="1"/>
    <col min="4367" max="4371" width="8.28515625" style="3" customWidth="1"/>
    <col min="4372" max="4372" width="0.85546875" style="3" customWidth="1"/>
    <col min="4373" max="4377" width="8.28515625" style="3" customWidth="1"/>
    <col min="4378" max="4378" width="0.85546875" style="3" customWidth="1"/>
    <col min="4379" max="4383" width="8.28515625" style="3" customWidth="1"/>
    <col min="4384" max="4384" width="0.85546875" style="3" customWidth="1"/>
    <col min="4385" max="4389" width="8.28515625" style="3" customWidth="1"/>
    <col min="4390" max="4390" width="0.85546875" style="3" customWidth="1"/>
    <col min="4391" max="4395" width="8.28515625" style="3" customWidth="1"/>
    <col min="4396" max="4396" width="0.85546875" style="3" customWidth="1"/>
    <col min="4397" max="4401" width="8.28515625" style="3" customWidth="1"/>
    <col min="4402" max="4402" width="0.85546875" style="3" customWidth="1"/>
    <col min="4403" max="4407" width="8.28515625" style="3" customWidth="1"/>
    <col min="4408" max="4408" width="0.85546875" style="3" customWidth="1"/>
    <col min="4409" max="4413" width="8.28515625" style="3" customWidth="1"/>
    <col min="4414" max="4414" width="0.85546875" style="3" customWidth="1"/>
    <col min="4415" max="4419" width="8.28515625" style="3" customWidth="1"/>
    <col min="4420" max="4420" width="0.85546875" style="3" customWidth="1"/>
    <col min="4421" max="4425" width="8.28515625" style="3" customWidth="1"/>
    <col min="4426" max="4426" width="0.85546875" style="3" customWidth="1"/>
    <col min="4427" max="4431" width="8.28515625" style="3" customWidth="1"/>
    <col min="4432" max="4432" width="0.85546875" style="3" customWidth="1"/>
    <col min="4433" max="4437" width="8.28515625" style="3" customWidth="1"/>
    <col min="4438" max="4438" width="0.85546875" style="3" customWidth="1"/>
    <col min="4439" max="4443" width="8.28515625" style="3" customWidth="1"/>
    <col min="4444" max="4446" width="9.140625" style="3" customWidth="1"/>
    <col min="4447" max="4447" width="25.7109375" style="3" customWidth="1"/>
    <col min="4448" max="4452" width="9.140625" style="3" customWidth="1"/>
    <col min="4453" max="4608" width="9.140625" style="3"/>
    <col min="4609" max="4609" width="25.7109375" style="3" customWidth="1"/>
    <col min="4610" max="4610" width="0.85546875" style="3" customWidth="1"/>
    <col min="4611" max="4615" width="8.28515625" style="3" customWidth="1"/>
    <col min="4616" max="4616" width="0.85546875" style="3" customWidth="1"/>
    <col min="4617" max="4621" width="8.28515625" style="3" customWidth="1"/>
    <col min="4622" max="4622" width="0.85546875" style="3" customWidth="1"/>
    <col min="4623" max="4627" width="8.28515625" style="3" customWidth="1"/>
    <col min="4628" max="4628" width="0.85546875" style="3" customWidth="1"/>
    <col min="4629" max="4633" width="8.28515625" style="3" customWidth="1"/>
    <col min="4634" max="4634" width="0.85546875" style="3" customWidth="1"/>
    <col min="4635" max="4639" width="8.28515625" style="3" customWidth="1"/>
    <col min="4640" max="4640" width="0.85546875" style="3" customWidth="1"/>
    <col min="4641" max="4645" width="8.28515625" style="3" customWidth="1"/>
    <col min="4646" max="4646" width="0.85546875" style="3" customWidth="1"/>
    <col min="4647" max="4651" width="8.28515625" style="3" customWidth="1"/>
    <col min="4652" max="4652" width="0.85546875" style="3" customWidth="1"/>
    <col min="4653" max="4657" width="8.28515625" style="3" customWidth="1"/>
    <col min="4658" max="4658" width="0.85546875" style="3" customWidth="1"/>
    <col min="4659" max="4663" width="8.28515625" style="3" customWidth="1"/>
    <col min="4664" max="4664" width="0.85546875" style="3" customWidth="1"/>
    <col min="4665" max="4669" width="8.28515625" style="3" customWidth="1"/>
    <col min="4670" max="4670" width="0.85546875" style="3" customWidth="1"/>
    <col min="4671" max="4675" width="8.28515625" style="3" customWidth="1"/>
    <col min="4676" max="4676" width="0.85546875" style="3" customWidth="1"/>
    <col min="4677" max="4681" width="8.28515625" style="3" customWidth="1"/>
    <col min="4682" max="4682" width="0.85546875" style="3" customWidth="1"/>
    <col min="4683" max="4687" width="8.28515625" style="3" customWidth="1"/>
    <col min="4688" max="4688" width="0.85546875" style="3" customWidth="1"/>
    <col min="4689" max="4693" width="8.28515625" style="3" customWidth="1"/>
    <col min="4694" max="4694" width="0.85546875" style="3" customWidth="1"/>
    <col min="4695" max="4699" width="8.28515625" style="3" customWidth="1"/>
    <col min="4700" max="4702" width="9.140625" style="3" customWidth="1"/>
    <col min="4703" max="4703" width="25.7109375" style="3" customWidth="1"/>
    <col min="4704" max="4708" width="9.140625" style="3" customWidth="1"/>
    <col min="4709" max="4864" width="9.140625" style="3"/>
    <col min="4865" max="4865" width="25.7109375" style="3" customWidth="1"/>
    <col min="4866" max="4866" width="0.85546875" style="3" customWidth="1"/>
    <col min="4867" max="4871" width="8.28515625" style="3" customWidth="1"/>
    <col min="4872" max="4872" width="0.85546875" style="3" customWidth="1"/>
    <col min="4873" max="4877" width="8.28515625" style="3" customWidth="1"/>
    <col min="4878" max="4878" width="0.85546875" style="3" customWidth="1"/>
    <col min="4879" max="4883" width="8.28515625" style="3" customWidth="1"/>
    <col min="4884" max="4884" width="0.85546875" style="3" customWidth="1"/>
    <col min="4885" max="4889" width="8.28515625" style="3" customWidth="1"/>
    <col min="4890" max="4890" width="0.85546875" style="3" customWidth="1"/>
    <col min="4891" max="4895" width="8.28515625" style="3" customWidth="1"/>
    <col min="4896" max="4896" width="0.85546875" style="3" customWidth="1"/>
    <col min="4897" max="4901" width="8.28515625" style="3" customWidth="1"/>
    <col min="4902" max="4902" width="0.85546875" style="3" customWidth="1"/>
    <col min="4903" max="4907" width="8.28515625" style="3" customWidth="1"/>
    <col min="4908" max="4908" width="0.85546875" style="3" customWidth="1"/>
    <col min="4909" max="4913" width="8.28515625" style="3" customWidth="1"/>
    <col min="4914" max="4914" width="0.85546875" style="3" customWidth="1"/>
    <col min="4915" max="4919" width="8.28515625" style="3" customWidth="1"/>
    <col min="4920" max="4920" width="0.85546875" style="3" customWidth="1"/>
    <col min="4921" max="4925" width="8.28515625" style="3" customWidth="1"/>
    <col min="4926" max="4926" width="0.85546875" style="3" customWidth="1"/>
    <col min="4927" max="4931" width="8.28515625" style="3" customWidth="1"/>
    <col min="4932" max="4932" width="0.85546875" style="3" customWidth="1"/>
    <col min="4933" max="4937" width="8.28515625" style="3" customWidth="1"/>
    <col min="4938" max="4938" width="0.85546875" style="3" customWidth="1"/>
    <col min="4939" max="4943" width="8.28515625" style="3" customWidth="1"/>
    <col min="4944" max="4944" width="0.85546875" style="3" customWidth="1"/>
    <col min="4945" max="4949" width="8.28515625" style="3" customWidth="1"/>
    <col min="4950" max="4950" width="0.85546875" style="3" customWidth="1"/>
    <col min="4951" max="4955" width="8.28515625" style="3" customWidth="1"/>
    <col min="4956" max="4958" width="9.140625" style="3" customWidth="1"/>
    <col min="4959" max="4959" width="25.7109375" style="3" customWidth="1"/>
    <col min="4960" max="4964" width="9.140625" style="3" customWidth="1"/>
    <col min="4965" max="5120" width="9.140625" style="3"/>
    <col min="5121" max="5121" width="25.7109375" style="3" customWidth="1"/>
    <col min="5122" max="5122" width="0.85546875" style="3" customWidth="1"/>
    <col min="5123" max="5127" width="8.28515625" style="3" customWidth="1"/>
    <col min="5128" max="5128" width="0.85546875" style="3" customWidth="1"/>
    <col min="5129" max="5133" width="8.28515625" style="3" customWidth="1"/>
    <col min="5134" max="5134" width="0.85546875" style="3" customWidth="1"/>
    <col min="5135" max="5139" width="8.28515625" style="3" customWidth="1"/>
    <col min="5140" max="5140" width="0.85546875" style="3" customWidth="1"/>
    <col min="5141" max="5145" width="8.28515625" style="3" customWidth="1"/>
    <col min="5146" max="5146" width="0.85546875" style="3" customWidth="1"/>
    <col min="5147" max="5151" width="8.28515625" style="3" customWidth="1"/>
    <col min="5152" max="5152" width="0.85546875" style="3" customWidth="1"/>
    <col min="5153" max="5157" width="8.28515625" style="3" customWidth="1"/>
    <col min="5158" max="5158" width="0.85546875" style="3" customWidth="1"/>
    <col min="5159" max="5163" width="8.28515625" style="3" customWidth="1"/>
    <col min="5164" max="5164" width="0.85546875" style="3" customWidth="1"/>
    <col min="5165" max="5169" width="8.28515625" style="3" customWidth="1"/>
    <col min="5170" max="5170" width="0.85546875" style="3" customWidth="1"/>
    <col min="5171" max="5175" width="8.28515625" style="3" customWidth="1"/>
    <col min="5176" max="5176" width="0.85546875" style="3" customWidth="1"/>
    <col min="5177" max="5181" width="8.28515625" style="3" customWidth="1"/>
    <col min="5182" max="5182" width="0.85546875" style="3" customWidth="1"/>
    <col min="5183" max="5187" width="8.28515625" style="3" customWidth="1"/>
    <col min="5188" max="5188" width="0.85546875" style="3" customWidth="1"/>
    <col min="5189" max="5193" width="8.28515625" style="3" customWidth="1"/>
    <col min="5194" max="5194" width="0.85546875" style="3" customWidth="1"/>
    <col min="5195" max="5199" width="8.28515625" style="3" customWidth="1"/>
    <col min="5200" max="5200" width="0.85546875" style="3" customWidth="1"/>
    <col min="5201" max="5205" width="8.28515625" style="3" customWidth="1"/>
    <col min="5206" max="5206" width="0.85546875" style="3" customWidth="1"/>
    <col min="5207" max="5211" width="8.28515625" style="3" customWidth="1"/>
    <col min="5212" max="5214" width="9.140625" style="3" customWidth="1"/>
    <col min="5215" max="5215" width="25.7109375" style="3" customWidth="1"/>
    <col min="5216" max="5220" width="9.140625" style="3" customWidth="1"/>
    <col min="5221" max="5376" width="9.140625" style="3"/>
    <col min="5377" max="5377" width="25.7109375" style="3" customWidth="1"/>
    <col min="5378" max="5378" width="0.85546875" style="3" customWidth="1"/>
    <col min="5379" max="5383" width="8.28515625" style="3" customWidth="1"/>
    <col min="5384" max="5384" width="0.85546875" style="3" customWidth="1"/>
    <col min="5385" max="5389" width="8.28515625" style="3" customWidth="1"/>
    <col min="5390" max="5390" width="0.85546875" style="3" customWidth="1"/>
    <col min="5391" max="5395" width="8.28515625" style="3" customWidth="1"/>
    <col min="5396" max="5396" width="0.85546875" style="3" customWidth="1"/>
    <col min="5397" max="5401" width="8.28515625" style="3" customWidth="1"/>
    <col min="5402" max="5402" width="0.85546875" style="3" customWidth="1"/>
    <col min="5403" max="5407" width="8.28515625" style="3" customWidth="1"/>
    <col min="5408" max="5408" width="0.85546875" style="3" customWidth="1"/>
    <col min="5409" max="5413" width="8.28515625" style="3" customWidth="1"/>
    <col min="5414" max="5414" width="0.85546875" style="3" customWidth="1"/>
    <col min="5415" max="5419" width="8.28515625" style="3" customWidth="1"/>
    <col min="5420" max="5420" width="0.85546875" style="3" customWidth="1"/>
    <col min="5421" max="5425" width="8.28515625" style="3" customWidth="1"/>
    <col min="5426" max="5426" width="0.85546875" style="3" customWidth="1"/>
    <col min="5427" max="5431" width="8.28515625" style="3" customWidth="1"/>
    <col min="5432" max="5432" width="0.85546875" style="3" customWidth="1"/>
    <col min="5433" max="5437" width="8.28515625" style="3" customWidth="1"/>
    <col min="5438" max="5438" width="0.85546875" style="3" customWidth="1"/>
    <col min="5439" max="5443" width="8.28515625" style="3" customWidth="1"/>
    <col min="5444" max="5444" width="0.85546875" style="3" customWidth="1"/>
    <col min="5445" max="5449" width="8.28515625" style="3" customWidth="1"/>
    <col min="5450" max="5450" width="0.85546875" style="3" customWidth="1"/>
    <col min="5451" max="5455" width="8.28515625" style="3" customWidth="1"/>
    <col min="5456" max="5456" width="0.85546875" style="3" customWidth="1"/>
    <col min="5457" max="5461" width="8.28515625" style="3" customWidth="1"/>
    <col min="5462" max="5462" width="0.85546875" style="3" customWidth="1"/>
    <col min="5463" max="5467" width="8.28515625" style="3" customWidth="1"/>
    <col min="5468" max="5470" width="9.140625" style="3" customWidth="1"/>
    <col min="5471" max="5471" width="25.7109375" style="3" customWidth="1"/>
    <col min="5472" max="5476" width="9.140625" style="3" customWidth="1"/>
    <col min="5477" max="5632" width="9.140625" style="3"/>
    <col min="5633" max="5633" width="25.7109375" style="3" customWidth="1"/>
    <col min="5634" max="5634" width="0.85546875" style="3" customWidth="1"/>
    <col min="5635" max="5639" width="8.28515625" style="3" customWidth="1"/>
    <col min="5640" max="5640" width="0.85546875" style="3" customWidth="1"/>
    <col min="5641" max="5645" width="8.28515625" style="3" customWidth="1"/>
    <col min="5646" max="5646" width="0.85546875" style="3" customWidth="1"/>
    <col min="5647" max="5651" width="8.28515625" style="3" customWidth="1"/>
    <col min="5652" max="5652" width="0.85546875" style="3" customWidth="1"/>
    <col min="5653" max="5657" width="8.28515625" style="3" customWidth="1"/>
    <col min="5658" max="5658" width="0.85546875" style="3" customWidth="1"/>
    <col min="5659" max="5663" width="8.28515625" style="3" customWidth="1"/>
    <col min="5664" max="5664" width="0.85546875" style="3" customWidth="1"/>
    <col min="5665" max="5669" width="8.28515625" style="3" customWidth="1"/>
    <col min="5670" max="5670" width="0.85546875" style="3" customWidth="1"/>
    <col min="5671" max="5675" width="8.28515625" style="3" customWidth="1"/>
    <col min="5676" max="5676" width="0.85546875" style="3" customWidth="1"/>
    <col min="5677" max="5681" width="8.28515625" style="3" customWidth="1"/>
    <col min="5682" max="5682" width="0.85546875" style="3" customWidth="1"/>
    <col min="5683" max="5687" width="8.28515625" style="3" customWidth="1"/>
    <col min="5688" max="5688" width="0.85546875" style="3" customWidth="1"/>
    <col min="5689" max="5693" width="8.28515625" style="3" customWidth="1"/>
    <col min="5694" max="5694" width="0.85546875" style="3" customWidth="1"/>
    <col min="5695" max="5699" width="8.28515625" style="3" customWidth="1"/>
    <col min="5700" max="5700" width="0.85546875" style="3" customWidth="1"/>
    <col min="5701" max="5705" width="8.28515625" style="3" customWidth="1"/>
    <col min="5706" max="5706" width="0.85546875" style="3" customWidth="1"/>
    <col min="5707" max="5711" width="8.28515625" style="3" customWidth="1"/>
    <col min="5712" max="5712" width="0.85546875" style="3" customWidth="1"/>
    <col min="5713" max="5717" width="8.28515625" style="3" customWidth="1"/>
    <col min="5718" max="5718" width="0.85546875" style="3" customWidth="1"/>
    <col min="5719" max="5723" width="8.28515625" style="3" customWidth="1"/>
    <col min="5724" max="5726" width="9.140625" style="3" customWidth="1"/>
    <col min="5727" max="5727" width="25.7109375" style="3" customWidth="1"/>
    <col min="5728" max="5732" width="9.140625" style="3" customWidth="1"/>
    <col min="5733" max="5888" width="9.140625" style="3"/>
    <col min="5889" max="5889" width="25.7109375" style="3" customWidth="1"/>
    <col min="5890" max="5890" width="0.85546875" style="3" customWidth="1"/>
    <col min="5891" max="5895" width="8.28515625" style="3" customWidth="1"/>
    <col min="5896" max="5896" width="0.85546875" style="3" customWidth="1"/>
    <col min="5897" max="5901" width="8.28515625" style="3" customWidth="1"/>
    <col min="5902" max="5902" width="0.85546875" style="3" customWidth="1"/>
    <col min="5903" max="5907" width="8.28515625" style="3" customWidth="1"/>
    <col min="5908" max="5908" width="0.85546875" style="3" customWidth="1"/>
    <col min="5909" max="5913" width="8.28515625" style="3" customWidth="1"/>
    <col min="5914" max="5914" width="0.85546875" style="3" customWidth="1"/>
    <col min="5915" max="5919" width="8.28515625" style="3" customWidth="1"/>
    <col min="5920" max="5920" width="0.85546875" style="3" customWidth="1"/>
    <col min="5921" max="5925" width="8.28515625" style="3" customWidth="1"/>
    <col min="5926" max="5926" width="0.85546875" style="3" customWidth="1"/>
    <col min="5927" max="5931" width="8.28515625" style="3" customWidth="1"/>
    <col min="5932" max="5932" width="0.85546875" style="3" customWidth="1"/>
    <col min="5933" max="5937" width="8.28515625" style="3" customWidth="1"/>
    <col min="5938" max="5938" width="0.85546875" style="3" customWidth="1"/>
    <col min="5939" max="5943" width="8.28515625" style="3" customWidth="1"/>
    <col min="5944" max="5944" width="0.85546875" style="3" customWidth="1"/>
    <col min="5945" max="5949" width="8.28515625" style="3" customWidth="1"/>
    <col min="5950" max="5950" width="0.85546875" style="3" customWidth="1"/>
    <col min="5951" max="5955" width="8.28515625" style="3" customWidth="1"/>
    <col min="5956" max="5956" width="0.85546875" style="3" customWidth="1"/>
    <col min="5957" max="5961" width="8.28515625" style="3" customWidth="1"/>
    <col min="5962" max="5962" width="0.85546875" style="3" customWidth="1"/>
    <col min="5963" max="5967" width="8.28515625" style="3" customWidth="1"/>
    <col min="5968" max="5968" width="0.85546875" style="3" customWidth="1"/>
    <col min="5969" max="5973" width="8.28515625" style="3" customWidth="1"/>
    <col min="5974" max="5974" width="0.85546875" style="3" customWidth="1"/>
    <col min="5975" max="5979" width="8.28515625" style="3" customWidth="1"/>
    <col min="5980" max="5982" width="9.140625" style="3" customWidth="1"/>
    <col min="5983" max="5983" width="25.7109375" style="3" customWidth="1"/>
    <col min="5984" max="5988" width="9.140625" style="3" customWidth="1"/>
    <col min="5989" max="6144" width="9.140625" style="3"/>
    <col min="6145" max="6145" width="25.7109375" style="3" customWidth="1"/>
    <col min="6146" max="6146" width="0.85546875" style="3" customWidth="1"/>
    <col min="6147" max="6151" width="8.28515625" style="3" customWidth="1"/>
    <col min="6152" max="6152" width="0.85546875" style="3" customWidth="1"/>
    <col min="6153" max="6157" width="8.28515625" style="3" customWidth="1"/>
    <col min="6158" max="6158" width="0.85546875" style="3" customWidth="1"/>
    <col min="6159" max="6163" width="8.28515625" style="3" customWidth="1"/>
    <col min="6164" max="6164" width="0.85546875" style="3" customWidth="1"/>
    <col min="6165" max="6169" width="8.28515625" style="3" customWidth="1"/>
    <col min="6170" max="6170" width="0.85546875" style="3" customWidth="1"/>
    <col min="6171" max="6175" width="8.28515625" style="3" customWidth="1"/>
    <col min="6176" max="6176" width="0.85546875" style="3" customWidth="1"/>
    <col min="6177" max="6181" width="8.28515625" style="3" customWidth="1"/>
    <col min="6182" max="6182" width="0.85546875" style="3" customWidth="1"/>
    <col min="6183" max="6187" width="8.28515625" style="3" customWidth="1"/>
    <col min="6188" max="6188" width="0.85546875" style="3" customWidth="1"/>
    <col min="6189" max="6193" width="8.28515625" style="3" customWidth="1"/>
    <col min="6194" max="6194" width="0.85546875" style="3" customWidth="1"/>
    <col min="6195" max="6199" width="8.28515625" style="3" customWidth="1"/>
    <col min="6200" max="6200" width="0.85546875" style="3" customWidth="1"/>
    <col min="6201" max="6205" width="8.28515625" style="3" customWidth="1"/>
    <col min="6206" max="6206" width="0.85546875" style="3" customWidth="1"/>
    <col min="6207" max="6211" width="8.28515625" style="3" customWidth="1"/>
    <col min="6212" max="6212" width="0.85546875" style="3" customWidth="1"/>
    <col min="6213" max="6217" width="8.28515625" style="3" customWidth="1"/>
    <col min="6218" max="6218" width="0.85546875" style="3" customWidth="1"/>
    <col min="6219" max="6223" width="8.28515625" style="3" customWidth="1"/>
    <col min="6224" max="6224" width="0.85546875" style="3" customWidth="1"/>
    <col min="6225" max="6229" width="8.28515625" style="3" customWidth="1"/>
    <col min="6230" max="6230" width="0.85546875" style="3" customWidth="1"/>
    <col min="6231" max="6235" width="8.28515625" style="3" customWidth="1"/>
    <col min="6236" max="6238" width="9.140625" style="3" customWidth="1"/>
    <col min="6239" max="6239" width="25.7109375" style="3" customWidth="1"/>
    <col min="6240" max="6244" width="9.140625" style="3" customWidth="1"/>
    <col min="6245" max="6400" width="9.140625" style="3"/>
    <col min="6401" max="6401" width="25.7109375" style="3" customWidth="1"/>
    <col min="6402" max="6402" width="0.85546875" style="3" customWidth="1"/>
    <col min="6403" max="6407" width="8.28515625" style="3" customWidth="1"/>
    <col min="6408" max="6408" width="0.85546875" style="3" customWidth="1"/>
    <col min="6409" max="6413" width="8.28515625" style="3" customWidth="1"/>
    <col min="6414" max="6414" width="0.85546875" style="3" customWidth="1"/>
    <col min="6415" max="6419" width="8.28515625" style="3" customWidth="1"/>
    <col min="6420" max="6420" width="0.85546875" style="3" customWidth="1"/>
    <col min="6421" max="6425" width="8.28515625" style="3" customWidth="1"/>
    <col min="6426" max="6426" width="0.85546875" style="3" customWidth="1"/>
    <col min="6427" max="6431" width="8.28515625" style="3" customWidth="1"/>
    <col min="6432" max="6432" width="0.85546875" style="3" customWidth="1"/>
    <col min="6433" max="6437" width="8.28515625" style="3" customWidth="1"/>
    <col min="6438" max="6438" width="0.85546875" style="3" customWidth="1"/>
    <col min="6439" max="6443" width="8.28515625" style="3" customWidth="1"/>
    <col min="6444" max="6444" width="0.85546875" style="3" customWidth="1"/>
    <col min="6445" max="6449" width="8.28515625" style="3" customWidth="1"/>
    <col min="6450" max="6450" width="0.85546875" style="3" customWidth="1"/>
    <col min="6451" max="6455" width="8.28515625" style="3" customWidth="1"/>
    <col min="6456" max="6456" width="0.85546875" style="3" customWidth="1"/>
    <col min="6457" max="6461" width="8.28515625" style="3" customWidth="1"/>
    <col min="6462" max="6462" width="0.85546875" style="3" customWidth="1"/>
    <col min="6463" max="6467" width="8.28515625" style="3" customWidth="1"/>
    <col min="6468" max="6468" width="0.85546875" style="3" customWidth="1"/>
    <col min="6469" max="6473" width="8.28515625" style="3" customWidth="1"/>
    <col min="6474" max="6474" width="0.85546875" style="3" customWidth="1"/>
    <col min="6475" max="6479" width="8.28515625" style="3" customWidth="1"/>
    <col min="6480" max="6480" width="0.85546875" style="3" customWidth="1"/>
    <col min="6481" max="6485" width="8.28515625" style="3" customWidth="1"/>
    <col min="6486" max="6486" width="0.85546875" style="3" customWidth="1"/>
    <col min="6487" max="6491" width="8.28515625" style="3" customWidth="1"/>
    <col min="6492" max="6494" width="9.140625" style="3" customWidth="1"/>
    <col min="6495" max="6495" width="25.7109375" style="3" customWidth="1"/>
    <col min="6496" max="6500" width="9.140625" style="3" customWidth="1"/>
    <col min="6501" max="6656" width="9.140625" style="3"/>
    <col min="6657" max="6657" width="25.7109375" style="3" customWidth="1"/>
    <col min="6658" max="6658" width="0.85546875" style="3" customWidth="1"/>
    <col min="6659" max="6663" width="8.28515625" style="3" customWidth="1"/>
    <col min="6664" max="6664" width="0.85546875" style="3" customWidth="1"/>
    <col min="6665" max="6669" width="8.28515625" style="3" customWidth="1"/>
    <col min="6670" max="6670" width="0.85546875" style="3" customWidth="1"/>
    <col min="6671" max="6675" width="8.28515625" style="3" customWidth="1"/>
    <col min="6676" max="6676" width="0.85546875" style="3" customWidth="1"/>
    <col min="6677" max="6681" width="8.28515625" style="3" customWidth="1"/>
    <col min="6682" max="6682" width="0.85546875" style="3" customWidth="1"/>
    <col min="6683" max="6687" width="8.28515625" style="3" customWidth="1"/>
    <col min="6688" max="6688" width="0.85546875" style="3" customWidth="1"/>
    <col min="6689" max="6693" width="8.28515625" style="3" customWidth="1"/>
    <col min="6694" max="6694" width="0.85546875" style="3" customWidth="1"/>
    <col min="6695" max="6699" width="8.28515625" style="3" customWidth="1"/>
    <col min="6700" max="6700" width="0.85546875" style="3" customWidth="1"/>
    <col min="6701" max="6705" width="8.28515625" style="3" customWidth="1"/>
    <col min="6706" max="6706" width="0.85546875" style="3" customWidth="1"/>
    <col min="6707" max="6711" width="8.28515625" style="3" customWidth="1"/>
    <col min="6712" max="6712" width="0.85546875" style="3" customWidth="1"/>
    <col min="6713" max="6717" width="8.28515625" style="3" customWidth="1"/>
    <col min="6718" max="6718" width="0.85546875" style="3" customWidth="1"/>
    <col min="6719" max="6723" width="8.28515625" style="3" customWidth="1"/>
    <col min="6724" max="6724" width="0.85546875" style="3" customWidth="1"/>
    <col min="6725" max="6729" width="8.28515625" style="3" customWidth="1"/>
    <col min="6730" max="6730" width="0.85546875" style="3" customWidth="1"/>
    <col min="6731" max="6735" width="8.28515625" style="3" customWidth="1"/>
    <col min="6736" max="6736" width="0.85546875" style="3" customWidth="1"/>
    <col min="6737" max="6741" width="8.28515625" style="3" customWidth="1"/>
    <col min="6742" max="6742" width="0.85546875" style="3" customWidth="1"/>
    <col min="6743" max="6747" width="8.28515625" style="3" customWidth="1"/>
    <col min="6748" max="6750" width="9.140625" style="3" customWidth="1"/>
    <col min="6751" max="6751" width="25.7109375" style="3" customWidth="1"/>
    <col min="6752" max="6756" width="9.140625" style="3" customWidth="1"/>
    <col min="6757" max="6912" width="9.140625" style="3"/>
    <col min="6913" max="6913" width="25.7109375" style="3" customWidth="1"/>
    <col min="6914" max="6914" width="0.85546875" style="3" customWidth="1"/>
    <col min="6915" max="6919" width="8.28515625" style="3" customWidth="1"/>
    <col min="6920" max="6920" width="0.85546875" style="3" customWidth="1"/>
    <col min="6921" max="6925" width="8.28515625" style="3" customWidth="1"/>
    <col min="6926" max="6926" width="0.85546875" style="3" customWidth="1"/>
    <col min="6927" max="6931" width="8.28515625" style="3" customWidth="1"/>
    <col min="6932" max="6932" width="0.85546875" style="3" customWidth="1"/>
    <col min="6933" max="6937" width="8.28515625" style="3" customWidth="1"/>
    <col min="6938" max="6938" width="0.85546875" style="3" customWidth="1"/>
    <col min="6939" max="6943" width="8.28515625" style="3" customWidth="1"/>
    <col min="6944" max="6944" width="0.85546875" style="3" customWidth="1"/>
    <col min="6945" max="6949" width="8.28515625" style="3" customWidth="1"/>
    <col min="6950" max="6950" width="0.85546875" style="3" customWidth="1"/>
    <col min="6951" max="6955" width="8.28515625" style="3" customWidth="1"/>
    <col min="6956" max="6956" width="0.85546875" style="3" customWidth="1"/>
    <col min="6957" max="6961" width="8.28515625" style="3" customWidth="1"/>
    <col min="6962" max="6962" width="0.85546875" style="3" customWidth="1"/>
    <col min="6963" max="6967" width="8.28515625" style="3" customWidth="1"/>
    <col min="6968" max="6968" width="0.85546875" style="3" customWidth="1"/>
    <col min="6969" max="6973" width="8.28515625" style="3" customWidth="1"/>
    <col min="6974" max="6974" width="0.85546875" style="3" customWidth="1"/>
    <col min="6975" max="6979" width="8.28515625" style="3" customWidth="1"/>
    <col min="6980" max="6980" width="0.85546875" style="3" customWidth="1"/>
    <col min="6981" max="6985" width="8.28515625" style="3" customWidth="1"/>
    <col min="6986" max="6986" width="0.85546875" style="3" customWidth="1"/>
    <col min="6987" max="6991" width="8.28515625" style="3" customWidth="1"/>
    <col min="6992" max="6992" width="0.85546875" style="3" customWidth="1"/>
    <col min="6993" max="6997" width="8.28515625" style="3" customWidth="1"/>
    <col min="6998" max="6998" width="0.85546875" style="3" customWidth="1"/>
    <col min="6999" max="7003" width="8.28515625" style="3" customWidth="1"/>
    <col min="7004" max="7006" width="9.140625" style="3" customWidth="1"/>
    <col min="7007" max="7007" width="25.7109375" style="3" customWidth="1"/>
    <col min="7008" max="7012" width="9.140625" style="3" customWidth="1"/>
    <col min="7013" max="7168" width="9.140625" style="3"/>
    <col min="7169" max="7169" width="25.7109375" style="3" customWidth="1"/>
    <col min="7170" max="7170" width="0.85546875" style="3" customWidth="1"/>
    <col min="7171" max="7175" width="8.28515625" style="3" customWidth="1"/>
    <col min="7176" max="7176" width="0.85546875" style="3" customWidth="1"/>
    <col min="7177" max="7181" width="8.28515625" style="3" customWidth="1"/>
    <col min="7182" max="7182" width="0.85546875" style="3" customWidth="1"/>
    <col min="7183" max="7187" width="8.28515625" style="3" customWidth="1"/>
    <col min="7188" max="7188" width="0.85546875" style="3" customWidth="1"/>
    <col min="7189" max="7193" width="8.28515625" style="3" customWidth="1"/>
    <col min="7194" max="7194" width="0.85546875" style="3" customWidth="1"/>
    <col min="7195" max="7199" width="8.28515625" style="3" customWidth="1"/>
    <col min="7200" max="7200" width="0.85546875" style="3" customWidth="1"/>
    <col min="7201" max="7205" width="8.28515625" style="3" customWidth="1"/>
    <col min="7206" max="7206" width="0.85546875" style="3" customWidth="1"/>
    <col min="7207" max="7211" width="8.28515625" style="3" customWidth="1"/>
    <col min="7212" max="7212" width="0.85546875" style="3" customWidth="1"/>
    <col min="7213" max="7217" width="8.28515625" style="3" customWidth="1"/>
    <col min="7218" max="7218" width="0.85546875" style="3" customWidth="1"/>
    <col min="7219" max="7223" width="8.28515625" style="3" customWidth="1"/>
    <col min="7224" max="7224" width="0.85546875" style="3" customWidth="1"/>
    <col min="7225" max="7229" width="8.28515625" style="3" customWidth="1"/>
    <col min="7230" max="7230" width="0.85546875" style="3" customWidth="1"/>
    <col min="7231" max="7235" width="8.28515625" style="3" customWidth="1"/>
    <col min="7236" max="7236" width="0.85546875" style="3" customWidth="1"/>
    <col min="7237" max="7241" width="8.28515625" style="3" customWidth="1"/>
    <col min="7242" max="7242" width="0.85546875" style="3" customWidth="1"/>
    <col min="7243" max="7247" width="8.28515625" style="3" customWidth="1"/>
    <col min="7248" max="7248" width="0.85546875" style="3" customWidth="1"/>
    <col min="7249" max="7253" width="8.28515625" style="3" customWidth="1"/>
    <col min="7254" max="7254" width="0.85546875" style="3" customWidth="1"/>
    <col min="7255" max="7259" width="8.28515625" style="3" customWidth="1"/>
    <col min="7260" max="7262" width="9.140625" style="3" customWidth="1"/>
    <col min="7263" max="7263" width="25.7109375" style="3" customWidth="1"/>
    <col min="7264" max="7268" width="9.140625" style="3" customWidth="1"/>
    <col min="7269" max="7424" width="9.140625" style="3"/>
    <col min="7425" max="7425" width="25.7109375" style="3" customWidth="1"/>
    <col min="7426" max="7426" width="0.85546875" style="3" customWidth="1"/>
    <col min="7427" max="7431" width="8.28515625" style="3" customWidth="1"/>
    <col min="7432" max="7432" width="0.85546875" style="3" customWidth="1"/>
    <col min="7433" max="7437" width="8.28515625" style="3" customWidth="1"/>
    <col min="7438" max="7438" width="0.85546875" style="3" customWidth="1"/>
    <col min="7439" max="7443" width="8.28515625" style="3" customWidth="1"/>
    <col min="7444" max="7444" width="0.85546875" style="3" customWidth="1"/>
    <col min="7445" max="7449" width="8.28515625" style="3" customWidth="1"/>
    <col min="7450" max="7450" width="0.85546875" style="3" customWidth="1"/>
    <col min="7451" max="7455" width="8.28515625" style="3" customWidth="1"/>
    <col min="7456" max="7456" width="0.85546875" style="3" customWidth="1"/>
    <col min="7457" max="7461" width="8.28515625" style="3" customWidth="1"/>
    <col min="7462" max="7462" width="0.85546875" style="3" customWidth="1"/>
    <col min="7463" max="7467" width="8.28515625" style="3" customWidth="1"/>
    <col min="7468" max="7468" width="0.85546875" style="3" customWidth="1"/>
    <col min="7469" max="7473" width="8.28515625" style="3" customWidth="1"/>
    <col min="7474" max="7474" width="0.85546875" style="3" customWidth="1"/>
    <col min="7475" max="7479" width="8.28515625" style="3" customWidth="1"/>
    <col min="7480" max="7480" width="0.85546875" style="3" customWidth="1"/>
    <col min="7481" max="7485" width="8.28515625" style="3" customWidth="1"/>
    <col min="7486" max="7486" width="0.85546875" style="3" customWidth="1"/>
    <col min="7487" max="7491" width="8.28515625" style="3" customWidth="1"/>
    <col min="7492" max="7492" width="0.85546875" style="3" customWidth="1"/>
    <col min="7493" max="7497" width="8.28515625" style="3" customWidth="1"/>
    <col min="7498" max="7498" width="0.85546875" style="3" customWidth="1"/>
    <col min="7499" max="7503" width="8.28515625" style="3" customWidth="1"/>
    <col min="7504" max="7504" width="0.85546875" style="3" customWidth="1"/>
    <col min="7505" max="7509" width="8.28515625" style="3" customWidth="1"/>
    <col min="7510" max="7510" width="0.85546875" style="3" customWidth="1"/>
    <col min="7511" max="7515" width="8.28515625" style="3" customWidth="1"/>
    <col min="7516" max="7518" width="9.140625" style="3" customWidth="1"/>
    <col min="7519" max="7519" width="25.7109375" style="3" customWidth="1"/>
    <col min="7520" max="7524" width="9.140625" style="3" customWidth="1"/>
    <col min="7525" max="7680" width="9.140625" style="3"/>
    <col min="7681" max="7681" width="25.7109375" style="3" customWidth="1"/>
    <col min="7682" max="7682" width="0.85546875" style="3" customWidth="1"/>
    <col min="7683" max="7687" width="8.28515625" style="3" customWidth="1"/>
    <col min="7688" max="7688" width="0.85546875" style="3" customWidth="1"/>
    <col min="7689" max="7693" width="8.28515625" style="3" customWidth="1"/>
    <col min="7694" max="7694" width="0.85546875" style="3" customWidth="1"/>
    <col min="7695" max="7699" width="8.28515625" style="3" customWidth="1"/>
    <col min="7700" max="7700" width="0.85546875" style="3" customWidth="1"/>
    <col min="7701" max="7705" width="8.28515625" style="3" customWidth="1"/>
    <col min="7706" max="7706" width="0.85546875" style="3" customWidth="1"/>
    <col min="7707" max="7711" width="8.28515625" style="3" customWidth="1"/>
    <col min="7712" max="7712" width="0.85546875" style="3" customWidth="1"/>
    <col min="7713" max="7717" width="8.28515625" style="3" customWidth="1"/>
    <col min="7718" max="7718" width="0.85546875" style="3" customWidth="1"/>
    <col min="7719" max="7723" width="8.28515625" style="3" customWidth="1"/>
    <col min="7724" max="7724" width="0.85546875" style="3" customWidth="1"/>
    <col min="7725" max="7729" width="8.28515625" style="3" customWidth="1"/>
    <col min="7730" max="7730" width="0.85546875" style="3" customWidth="1"/>
    <col min="7731" max="7735" width="8.28515625" style="3" customWidth="1"/>
    <col min="7736" max="7736" width="0.85546875" style="3" customWidth="1"/>
    <col min="7737" max="7741" width="8.28515625" style="3" customWidth="1"/>
    <col min="7742" max="7742" width="0.85546875" style="3" customWidth="1"/>
    <col min="7743" max="7747" width="8.28515625" style="3" customWidth="1"/>
    <col min="7748" max="7748" width="0.85546875" style="3" customWidth="1"/>
    <col min="7749" max="7753" width="8.28515625" style="3" customWidth="1"/>
    <col min="7754" max="7754" width="0.85546875" style="3" customWidth="1"/>
    <col min="7755" max="7759" width="8.28515625" style="3" customWidth="1"/>
    <col min="7760" max="7760" width="0.85546875" style="3" customWidth="1"/>
    <col min="7761" max="7765" width="8.28515625" style="3" customWidth="1"/>
    <col min="7766" max="7766" width="0.85546875" style="3" customWidth="1"/>
    <col min="7767" max="7771" width="8.28515625" style="3" customWidth="1"/>
    <col min="7772" max="7774" width="9.140625" style="3" customWidth="1"/>
    <col min="7775" max="7775" width="25.7109375" style="3" customWidth="1"/>
    <col min="7776" max="7780" width="9.140625" style="3" customWidth="1"/>
    <col min="7781" max="7936" width="9.140625" style="3"/>
    <col min="7937" max="7937" width="25.7109375" style="3" customWidth="1"/>
    <col min="7938" max="7938" width="0.85546875" style="3" customWidth="1"/>
    <col min="7939" max="7943" width="8.28515625" style="3" customWidth="1"/>
    <col min="7944" max="7944" width="0.85546875" style="3" customWidth="1"/>
    <col min="7945" max="7949" width="8.28515625" style="3" customWidth="1"/>
    <col min="7950" max="7950" width="0.85546875" style="3" customWidth="1"/>
    <col min="7951" max="7955" width="8.28515625" style="3" customWidth="1"/>
    <col min="7956" max="7956" width="0.85546875" style="3" customWidth="1"/>
    <col min="7957" max="7961" width="8.28515625" style="3" customWidth="1"/>
    <col min="7962" max="7962" width="0.85546875" style="3" customWidth="1"/>
    <col min="7963" max="7967" width="8.28515625" style="3" customWidth="1"/>
    <col min="7968" max="7968" width="0.85546875" style="3" customWidth="1"/>
    <col min="7969" max="7973" width="8.28515625" style="3" customWidth="1"/>
    <col min="7974" max="7974" width="0.85546875" style="3" customWidth="1"/>
    <col min="7975" max="7979" width="8.28515625" style="3" customWidth="1"/>
    <col min="7980" max="7980" width="0.85546875" style="3" customWidth="1"/>
    <col min="7981" max="7985" width="8.28515625" style="3" customWidth="1"/>
    <col min="7986" max="7986" width="0.85546875" style="3" customWidth="1"/>
    <col min="7987" max="7991" width="8.28515625" style="3" customWidth="1"/>
    <col min="7992" max="7992" width="0.85546875" style="3" customWidth="1"/>
    <col min="7993" max="7997" width="8.28515625" style="3" customWidth="1"/>
    <col min="7998" max="7998" width="0.85546875" style="3" customWidth="1"/>
    <col min="7999" max="8003" width="8.28515625" style="3" customWidth="1"/>
    <col min="8004" max="8004" width="0.85546875" style="3" customWidth="1"/>
    <col min="8005" max="8009" width="8.28515625" style="3" customWidth="1"/>
    <col min="8010" max="8010" width="0.85546875" style="3" customWidth="1"/>
    <col min="8011" max="8015" width="8.28515625" style="3" customWidth="1"/>
    <col min="8016" max="8016" width="0.85546875" style="3" customWidth="1"/>
    <col min="8017" max="8021" width="8.28515625" style="3" customWidth="1"/>
    <col min="8022" max="8022" width="0.85546875" style="3" customWidth="1"/>
    <col min="8023" max="8027" width="8.28515625" style="3" customWidth="1"/>
    <col min="8028" max="8030" width="9.140625" style="3" customWidth="1"/>
    <col min="8031" max="8031" width="25.7109375" style="3" customWidth="1"/>
    <col min="8032" max="8036" width="9.140625" style="3" customWidth="1"/>
    <col min="8037" max="8192" width="9.140625" style="3"/>
    <col min="8193" max="8193" width="25.7109375" style="3" customWidth="1"/>
    <col min="8194" max="8194" width="0.85546875" style="3" customWidth="1"/>
    <col min="8195" max="8199" width="8.28515625" style="3" customWidth="1"/>
    <col min="8200" max="8200" width="0.85546875" style="3" customWidth="1"/>
    <col min="8201" max="8205" width="8.28515625" style="3" customWidth="1"/>
    <col min="8206" max="8206" width="0.85546875" style="3" customWidth="1"/>
    <col min="8207" max="8211" width="8.28515625" style="3" customWidth="1"/>
    <col min="8212" max="8212" width="0.85546875" style="3" customWidth="1"/>
    <col min="8213" max="8217" width="8.28515625" style="3" customWidth="1"/>
    <col min="8218" max="8218" width="0.85546875" style="3" customWidth="1"/>
    <col min="8219" max="8223" width="8.28515625" style="3" customWidth="1"/>
    <col min="8224" max="8224" width="0.85546875" style="3" customWidth="1"/>
    <col min="8225" max="8229" width="8.28515625" style="3" customWidth="1"/>
    <col min="8230" max="8230" width="0.85546875" style="3" customWidth="1"/>
    <col min="8231" max="8235" width="8.28515625" style="3" customWidth="1"/>
    <col min="8236" max="8236" width="0.85546875" style="3" customWidth="1"/>
    <col min="8237" max="8241" width="8.28515625" style="3" customWidth="1"/>
    <col min="8242" max="8242" width="0.85546875" style="3" customWidth="1"/>
    <col min="8243" max="8247" width="8.28515625" style="3" customWidth="1"/>
    <col min="8248" max="8248" width="0.85546875" style="3" customWidth="1"/>
    <col min="8249" max="8253" width="8.28515625" style="3" customWidth="1"/>
    <col min="8254" max="8254" width="0.85546875" style="3" customWidth="1"/>
    <col min="8255" max="8259" width="8.28515625" style="3" customWidth="1"/>
    <col min="8260" max="8260" width="0.85546875" style="3" customWidth="1"/>
    <col min="8261" max="8265" width="8.28515625" style="3" customWidth="1"/>
    <col min="8266" max="8266" width="0.85546875" style="3" customWidth="1"/>
    <col min="8267" max="8271" width="8.28515625" style="3" customWidth="1"/>
    <col min="8272" max="8272" width="0.85546875" style="3" customWidth="1"/>
    <col min="8273" max="8277" width="8.28515625" style="3" customWidth="1"/>
    <col min="8278" max="8278" width="0.85546875" style="3" customWidth="1"/>
    <col min="8279" max="8283" width="8.28515625" style="3" customWidth="1"/>
    <col min="8284" max="8286" width="9.140625" style="3" customWidth="1"/>
    <col min="8287" max="8287" width="25.7109375" style="3" customWidth="1"/>
    <col min="8288" max="8292" width="9.140625" style="3" customWidth="1"/>
    <col min="8293" max="8448" width="9.140625" style="3"/>
    <col min="8449" max="8449" width="25.7109375" style="3" customWidth="1"/>
    <col min="8450" max="8450" width="0.85546875" style="3" customWidth="1"/>
    <col min="8451" max="8455" width="8.28515625" style="3" customWidth="1"/>
    <col min="8456" max="8456" width="0.85546875" style="3" customWidth="1"/>
    <col min="8457" max="8461" width="8.28515625" style="3" customWidth="1"/>
    <col min="8462" max="8462" width="0.85546875" style="3" customWidth="1"/>
    <col min="8463" max="8467" width="8.28515625" style="3" customWidth="1"/>
    <col min="8468" max="8468" width="0.85546875" style="3" customWidth="1"/>
    <col min="8469" max="8473" width="8.28515625" style="3" customWidth="1"/>
    <col min="8474" max="8474" width="0.85546875" style="3" customWidth="1"/>
    <col min="8475" max="8479" width="8.28515625" style="3" customWidth="1"/>
    <col min="8480" max="8480" width="0.85546875" style="3" customWidth="1"/>
    <col min="8481" max="8485" width="8.28515625" style="3" customWidth="1"/>
    <col min="8486" max="8486" width="0.85546875" style="3" customWidth="1"/>
    <col min="8487" max="8491" width="8.28515625" style="3" customWidth="1"/>
    <col min="8492" max="8492" width="0.85546875" style="3" customWidth="1"/>
    <col min="8493" max="8497" width="8.28515625" style="3" customWidth="1"/>
    <col min="8498" max="8498" width="0.85546875" style="3" customWidth="1"/>
    <col min="8499" max="8503" width="8.28515625" style="3" customWidth="1"/>
    <col min="8504" max="8504" width="0.85546875" style="3" customWidth="1"/>
    <col min="8505" max="8509" width="8.28515625" style="3" customWidth="1"/>
    <col min="8510" max="8510" width="0.85546875" style="3" customWidth="1"/>
    <col min="8511" max="8515" width="8.28515625" style="3" customWidth="1"/>
    <col min="8516" max="8516" width="0.85546875" style="3" customWidth="1"/>
    <col min="8517" max="8521" width="8.28515625" style="3" customWidth="1"/>
    <col min="8522" max="8522" width="0.85546875" style="3" customWidth="1"/>
    <col min="8523" max="8527" width="8.28515625" style="3" customWidth="1"/>
    <col min="8528" max="8528" width="0.85546875" style="3" customWidth="1"/>
    <col min="8529" max="8533" width="8.28515625" style="3" customWidth="1"/>
    <col min="8534" max="8534" width="0.85546875" style="3" customWidth="1"/>
    <col min="8535" max="8539" width="8.28515625" style="3" customWidth="1"/>
    <col min="8540" max="8542" width="9.140625" style="3" customWidth="1"/>
    <col min="8543" max="8543" width="25.7109375" style="3" customWidth="1"/>
    <col min="8544" max="8548" width="9.140625" style="3" customWidth="1"/>
    <col min="8549" max="8704" width="9.140625" style="3"/>
    <col min="8705" max="8705" width="25.7109375" style="3" customWidth="1"/>
    <col min="8706" max="8706" width="0.85546875" style="3" customWidth="1"/>
    <col min="8707" max="8711" width="8.28515625" style="3" customWidth="1"/>
    <col min="8712" max="8712" width="0.85546875" style="3" customWidth="1"/>
    <col min="8713" max="8717" width="8.28515625" style="3" customWidth="1"/>
    <col min="8718" max="8718" width="0.85546875" style="3" customWidth="1"/>
    <col min="8719" max="8723" width="8.28515625" style="3" customWidth="1"/>
    <col min="8724" max="8724" width="0.85546875" style="3" customWidth="1"/>
    <col min="8725" max="8729" width="8.28515625" style="3" customWidth="1"/>
    <col min="8730" max="8730" width="0.85546875" style="3" customWidth="1"/>
    <col min="8731" max="8735" width="8.28515625" style="3" customWidth="1"/>
    <col min="8736" max="8736" width="0.85546875" style="3" customWidth="1"/>
    <col min="8737" max="8741" width="8.28515625" style="3" customWidth="1"/>
    <col min="8742" max="8742" width="0.85546875" style="3" customWidth="1"/>
    <col min="8743" max="8747" width="8.28515625" style="3" customWidth="1"/>
    <col min="8748" max="8748" width="0.85546875" style="3" customWidth="1"/>
    <col min="8749" max="8753" width="8.28515625" style="3" customWidth="1"/>
    <col min="8754" max="8754" width="0.85546875" style="3" customWidth="1"/>
    <col min="8755" max="8759" width="8.28515625" style="3" customWidth="1"/>
    <col min="8760" max="8760" width="0.85546875" style="3" customWidth="1"/>
    <col min="8761" max="8765" width="8.28515625" style="3" customWidth="1"/>
    <col min="8766" max="8766" width="0.85546875" style="3" customWidth="1"/>
    <col min="8767" max="8771" width="8.28515625" style="3" customWidth="1"/>
    <col min="8772" max="8772" width="0.85546875" style="3" customWidth="1"/>
    <col min="8773" max="8777" width="8.28515625" style="3" customWidth="1"/>
    <col min="8778" max="8778" width="0.85546875" style="3" customWidth="1"/>
    <col min="8779" max="8783" width="8.28515625" style="3" customWidth="1"/>
    <col min="8784" max="8784" width="0.85546875" style="3" customWidth="1"/>
    <col min="8785" max="8789" width="8.28515625" style="3" customWidth="1"/>
    <col min="8790" max="8790" width="0.85546875" style="3" customWidth="1"/>
    <col min="8791" max="8795" width="8.28515625" style="3" customWidth="1"/>
    <col min="8796" max="8798" width="9.140625" style="3" customWidth="1"/>
    <col min="8799" max="8799" width="25.7109375" style="3" customWidth="1"/>
    <col min="8800" max="8804" width="9.140625" style="3" customWidth="1"/>
    <col min="8805" max="8960" width="9.140625" style="3"/>
    <col min="8961" max="8961" width="25.7109375" style="3" customWidth="1"/>
    <col min="8962" max="8962" width="0.85546875" style="3" customWidth="1"/>
    <col min="8963" max="8967" width="8.28515625" style="3" customWidth="1"/>
    <col min="8968" max="8968" width="0.85546875" style="3" customWidth="1"/>
    <col min="8969" max="8973" width="8.28515625" style="3" customWidth="1"/>
    <col min="8974" max="8974" width="0.85546875" style="3" customWidth="1"/>
    <col min="8975" max="8979" width="8.28515625" style="3" customWidth="1"/>
    <col min="8980" max="8980" width="0.85546875" style="3" customWidth="1"/>
    <col min="8981" max="8985" width="8.28515625" style="3" customWidth="1"/>
    <col min="8986" max="8986" width="0.85546875" style="3" customWidth="1"/>
    <col min="8987" max="8991" width="8.28515625" style="3" customWidth="1"/>
    <col min="8992" max="8992" width="0.85546875" style="3" customWidth="1"/>
    <col min="8993" max="8997" width="8.28515625" style="3" customWidth="1"/>
    <col min="8998" max="8998" width="0.85546875" style="3" customWidth="1"/>
    <col min="8999" max="9003" width="8.28515625" style="3" customWidth="1"/>
    <col min="9004" max="9004" width="0.85546875" style="3" customWidth="1"/>
    <col min="9005" max="9009" width="8.28515625" style="3" customWidth="1"/>
    <col min="9010" max="9010" width="0.85546875" style="3" customWidth="1"/>
    <col min="9011" max="9015" width="8.28515625" style="3" customWidth="1"/>
    <col min="9016" max="9016" width="0.85546875" style="3" customWidth="1"/>
    <col min="9017" max="9021" width="8.28515625" style="3" customWidth="1"/>
    <col min="9022" max="9022" width="0.85546875" style="3" customWidth="1"/>
    <col min="9023" max="9027" width="8.28515625" style="3" customWidth="1"/>
    <col min="9028" max="9028" width="0.85546875" style="3" customWidth="1"/>
    <col min="9029" max="9033" width="8.28515625" style="3" customWidth="1"/>
    <col min="9034" max="9034" width="0.85546875" style="3" customWidth="1"/>
    <col min="9035" max="9039" width="8.28515625" style="3" customWidth="1"/>
    <col min="9040" max="9040" width="0.85546875" style="3" customWidth="1"/>
    <col min="9041" max="9045" width="8.28515625" style="3" customWidth="1"/>
    <col min="9046" max="9046" width="0.85546875" style="3" customWidth="1"/>
    <col min="9047" max="9051" width="8.28515625" style="3" customWidth="1"/>
    <col min="9052" max="9054" width="9.140625" style="3" customWidth="1"/>
    <col min="9055" max="9055" width="25.7109375" style="3" customWidth="1"/>
    <col min="9056" max="9060" width="9.140625" style="3" customWidth="1"/>
    <col min="9061" max="9216" width="9.140625" style="3"/>
    <col min="9217" max="9217" width="25.7109375" style="3" customWidth="1"/>
    <col min="9218" max="9218" width="0.85546875" style="3" customWidth="1"/>
    <col min="9219" max="9223" width="8.28515625" style="3" customWidth="1"/>
    <col min="9224" max="9224" width="0.85546875" style="3" customWidth="1"/>
    <col min="9225" max="9229" width="8.28515625" style="3" customWidth="1"/>
    <col min="9230" max="9230" width="0.85546875" style="3" customWidth="1"/>
    <col min="9231" max="9235" width="8.28515625" style="3" customWidth="1"/>
    <col min="9236" max="9236" width="0.85546875" style="3" customWidth="1"/>
    <col min="9237" max="9241" width="8.28515625" style="3" customWidth="1"/>
    <col min="9242" max="9242" width="0.85546875" style="3" customWidth="1"/>
    <col min="9243" max="9247" width="8.28515625" style="3" customWidth="1"/>
    <col min="9248" max="9248" width="0.85546875" style="3" customWidth="1"/>
    <col min="9249" max="9253" width="8.28515625" style="3" customWidth="1"/>
    <col min="9254" max="9254" width="0.85546875" style="3" customWidth="1"/>
    <col min="9255" max="9259" width="8.28515625" style="3" customWidth="1"/>
    <col min="9260" max="9260" width="0.85546875" style="3" customWidth="1"/>
    <col min="9261" max="9265" width="8.28515625" style="3" customWidth="1"/>
    <col min="9266" max="9266" width="0.85546875" style="3" customWidth="1"/>
    <col min="9267" max="9271" width="8.28515625" style="3" customWidth="1"/>
    <col min="9272" max="9272" width="0.85546875" style="3" customWidth="1"/>
    <col min="9273" max="9277" width="8.28515625" style="3" customWidth="1"/>
    <col min="9278" max="9278" width="0.85546875" style="3" customWidth="1"/>
    <col min="9279" max="9283" width="8.28515625" style="3" customWidth="1"/>
    <col min="9284" max="9284" width="0.85546875" style="3" customWidth="1"/>
    <col min="9285" max="9289" width="8.28515625" style="3" customWidth="1"/>
    <col min="9290" max="9290" width="0.85546875" style="3" customWidth="1"/>
    <col min="9291" max="9295" width="8.28515625" style="3" customWidth="1"/>
    <col min="9296" max="9296" width="0.85546875" style="3" customWidth="1"/>
    <col min="9297" max="9301" width="8.28515625" style="3" customWidth="1"/>
    <col min="9302" max="9302" width="0.85546875" style="3" customWidth="1"/>
    <col min="9303" max="9307" width="8.28515625" style="3" customWidth="1"/>
    <col min="9308" max="9310" width="9.140625" style="3" customWidth="1"/>
    <col min="9311" max="9311" width="25.7109375" style="3" customWidth="1"/>
    <col min="9312" max="9316" width="9.140625" style="3" customWidth="1"/>
    <col min="9317" max="9472" width="9.140625" style="3"/>
    <col min="9473" max="9473" width="25.7109375" style="3" customWidth="1"/>
    <col min="9474" max="9474" width="0.85546875" style="3" customWidth="1"/>
    <col min="9475" max="9479" width="8.28515625" style="3" customWidth="1"/>
    <col min="9480" max="9480" width="0.85546875" style="3" customWidth="1"/>
    <col min="9481" max="9485" width="8.28515625" style="3" customWidth="1"/>
    <col min="9486" max="9486" width="0.85546875" style="3" customWidth="1"/>
    <col min="9487" max="9491" width="8.28515625" style="3" customWidth="1"/>
    <col min="9492" max="9492" width="0.85546875" style="3" customWidth="1"/>
    <col min="9493" max="9497" width="8.28515625" style="3" customWidth="1"/>
    <col min="9498" max="9498" width="0.85546875" style="3" customWidth="1"/>
    <col min="9499" max="9503" width="8.28515625" style="3" customWidth="1"/>
    <col min="9504" max="9504" width="0.85546875" style="3" customWidth="1"/>
    <col min="9505" max="9509" width="8.28515625" style="3" customWidth="1"/>
    <col min="9510" max="9510" width="0.85546875" style="3" customWidth="1"/>
    <col min="9511" max="9515" width="8.28515625" style="3" customWidth="1"/>
    <col min="9516" max="9516" width="0.85546875" style="3" customWidth="1"/>
    <col min="9517" max="9521" width="8.28515625" style="3" customWidth="1"/>
    <col min="9522" max="9522" width="0.85546875" style="3" customWidth="1"/>
    <col min="9523" max="9527" width="8.28515625" style="3" customWidth="1"/>
    <col min="9528" max="9528" width="0.85546875" style="3" customWidth="1"/>
    <col min="9529" max="9533" width="8.28515625" style="3" customWidth="1"/>
    <col min="9534" max="9534" width="0.85546875" style="3" customWidth="1"/>
    <col min="9535" max="9539" width="8.28515625" style="3" customWidth="1"/>
    <col min="9540" max="9540" width="0.85546875" style="3" customWidth="1"/>
    <col min="9541" max="9545" width="8.28515625" style="3" customWidth="1"/>
    <col min="9546" max="9546" width="0.85546875" style="3" customWidth="1"/>
    <col min="9547" max="9551" width="8.28515625" style="3" customWidth="1"/>
    <col min="9552" max="9552" width="0.85546875" style="3" customWidth="1"/>
    <col min="9553" max="9557" width="8.28515625" style="3" customWidth="1"/>
    <col min="9558" max="9558" width="0.85546875" style="3" customWidth="1"/>
    <col min="9559" max="9563" width="8.28515625" style="3" customWidth="1"/>
    <col min="9564" max="9566" width="9.140625" style="3" customWidth="1"/>
    <col min="9567" max="9567" width="25.7109375" style="3" customWidth="1"/>
    <col min="9568" max="9572" width="9.140625" style="3" customWidth="1"/>
    <col min="9573" max="9728" width="9.140625" style="3"/>
    <col min="9729" max="9729" width="25.7109375" style="3" customWidth="1"/>
    <col min="9730" max="9730" width="0.85546875" style="3" customWidth="1"/>
    <col min="9731" max="9735" width="8.28515625" style="3" customWidth="1"/>
    <col min="9736" max="9736" width="0.85546875" style="3" customWidth="1"/>
    <col min="9737" max="9741" width="8.28515625" style="3" customWidth="1"/>
    <col min="9742" max="9742" width="0.85546875" style="3" customWidth="1"/>
    <col min="9743" max="9747" width="8.28515625" style="3" customWidth="1"/>
    <col min="9748" max="9748" width="0.85546875" style="3" customWidth="1"/>
    <col min="9749" max="9753" width="8.28515625" style="3" customWidth="1"/>
    <col min="9754" max="9754" width="0.85546875" style="3" customWidth="1"/>
    <col min="9755" max="9759" width="8.28515625" style="3" customWidth="1"/>
    <col min="9760" max="9760" width="0.85546875" style="3" customWidth="1"/>
    <col min="9761" max="9765" width="8.28515625" style="3" customWidth="1"/>
    <col min="9766" max="9766" width="0.85546875" style="3" customWidth="1"/>
    <col min="9767" max="9771" width="8.28515625" style="3" customWidth="1"/>
    <col min="9772" max="9772" width="0.85546875" style="3" customWidth="1"/>
    <col min="9773" max="9777" width="8.28515625" style="3" customWidth="1"/>
    <col min="9778" max="9778" width="0.85546875" style="3" customWidth="1"/>
    <col min="9779" max="9783" width="8.28515625" style="3" customWidth="1"/>
    <col min="9784" max="9784" width="0.85546875" style="3" customWidth="1"/>
    <col min="9785" max="9789" width="8.28515625" style="3" customWidth="1"/>
    <col min="9790" max="9790" width="0.85546875" style="3" customWidth="1"/>
    <col min="9791" max="9795" width="8.28515625" style="3" customWidth="1"/>
    <col min="9796" max="9796" width="0.85546875" style="3" customWidth="1"/>
    <col min="9797" max="9801" width="8.28515625" style="3" customWidth="1"/>
    <col min="9802" max="9802" width="0.85546875" style="3" customWidth="1"/>
    <col min="9803" max="9807" width="8.28515625" style="3" customWidth="1"/>
    <col min="9808" max="9808" width="0.85546875" style="3" customWidth="1"/>
    <col min="9809" max="9813" width="8.28515625" style="3" customWidth="1"/>
    <col min="9814" max="9814" width="0.85546875" style="3" customWidth="1"/>
    <col min="9815" max="9819" width="8.28515625" style="3" customWidth="1"/>
    <col min="9820" max="9822" width="9.140625" style="3" customWidth="1"/>
    <col min="9823" max="9823" width="25.7109375" style="3" customWidth="1"/>
    <col min="9824" max="9828" width="9.140625" style="3" customWidth="1"/>
    <col min="9829" max="9984" width="9.140625" style="3"/>
    <col min="9985" max="9985" width="25.7109375" style="3" customWidth="1"/>
    <col min="9986" max="9986" width="0.85546875" style="3" customWidth="1"/>
    <col min="9987" max="9991" width="8.28515625" style="3" customWidth="1"/>
    <col min="9992" max="9992" width="0.85546875" style="3" customWidth="1"/>
    <col min="9993" max="9997" width="8.28515625" style="3" customWidth="1"/>
    <col min="9998" max="9998" width="0.85546875" style="3" customWidth="1"/>
    <col min="9999" max="10003" width="8.28515625" style="3" customWidth="1"/>
    <col min="10004" max="10004" width="0.85546875" style="3" customWidth="1"/>
    <col min="10005" max="10009" width="8.28515625" style="3" customWidth="1"/>
    <col min="10010" max="10010" width="0.85546875" style="3" customWidth="1"/>
    <col min="10011" max="10015" width="8.28515625" style="3" customWidth="1"/>
    <col min="10016" max="10016" width="0.85546875" style="3" customWidth="1"/>
    <col min="10017" max="10021" width="8.28515625" style="3" customWidth="1"/>
    <col min="10022" max="10022" width="0.85546875" style="3" customWidth="1"/>
    <col min="10023" max="10027" width="8.28515625" style="3" customWidth="1"/>
    <col min="10028" max="10028" width="0.85546875" style="3" customWidth="1"/>
    <col min="10029" max="10033" width="8.28515625" style="3" customWidth="1"/>
    <col min="10034" max="10034" width="0.85546875" style="3" customWidth="1"/>
    <col min="10035" max="10039" width="8.28515625" style="3" customWidth="1"/>
    <col min="10040" max="10040" width="0.85546875" style="3" customWidth="1"/>
    <col min="10041" max="10045" width="8.28515625" style="3" customWidth="1"/>
    <col min="10046" max="10046" width="0.85546875" style="3" customWidth="1"/>
    <col min="10047" max="10051" width="8.28515625" style="3" customWidth="1"/>
    <col min="10052" max="10052" width="0.85546875" style="3" customWidth="1"/>
    <col min="10053" max="10057" width="8.28515625" style="3" customWidth="1"/>
    <col min="10058" max="10058" width="0.85546875" style="3" customWidth="1"/>
    <col min="10059" max="10063" width="8.28515625" style="3" customWidth="1"/>
    <col min="10064" max="10064" width="0.85546875" style="3" customWidth="1"/>
    <col min="10065" max="10069" width="8.28515625" style="3" customWidth="1"/>
    <col min="10070" max="10070" width="0.85546875" style="3" customWidth="1"/>
    <col min="10071" max="10075" width="8.28515625" style="3" customWidth="1"/>
    <col min="10076" max="10078" width="9.140625" style="3" customWidth="1"/>
    <col min="10079" max="10079" width="25.7109375" style="3" customWidth="1"/>
    <col min="10080" max="10084" width="9.140625" style="3" customWidth="1"/>
    <col min="10085" max="10240" width="9.140625" style="3"/>
    <col min="10241" max="10241" width="25.7109375" style="3" customWidth="1"/>
    <col min="10242" max="10242" width="0.85546875" style="3" customWidth="1"/>
    <col min="10243" max="10247" width="8.28515625" style="3" customWidth="1"/>
    <col min="10248" max="10248" width="0.85546875" style="3" customWidth="1"/>
    <col min="10249" max="10253" width="8.28515625" style="3" customWidth="1"/>
    <col min="10254" max="10254" width="0.85546875" style="3" customWidth="1"/>
    <col min="10255" max="10259" width="8.28515625" style="3" customWidth="1"/>
    <col min="10260" max="10260" width="0.85546875" style="3" customWidth="1"/>
    <col min="10261" max="10265" width="8.28515625" style="3" customWidth="1"/>
    <col min="10266" max="10266" width="0.85546875" style="3" customWidth="1"/>
    <col min="10267" max="10271" width="8.28515625" style="3" customWidth="1"/>
    <col min="10272" max="10272" width="0.85546875" style="3" customWidth="1"/>
    <col min="10273" max="10277" width="8.28515625" style="3" customWidth="1"/>
    <col min="10278" max="10278" width="0.85546875" style="3" customWidth="1"/>
    <col min="10279" max="10283" width="8.28515625" style="3" customWidth="1"/>
    <col min="10284" max="10284" width="0.85546875" style="3" customWidth="1"/>
    <col min="10285" max="10289" width="8.28515625" style="3" customWidth="1"/>
    <col min="10290" max="10290" width="0.85546875" style="3" customWidth="1"/>
    <col min="10291" max="10295" width="8.28515625" style="3" customWidth="1"/>
    <col min="10296" max="10296" width="0.85546875" style="3" customWidth="1"/>
    <col min="10297" max="10301" width="8.28515625" style="3" customWidth="1"/>
    <col min="10302" max="10302" width="0.85546875" style="3" customWidth="1"/>
    <col min="10303" max="10307" width="8.28515625" style="3" customWidth="1"/>
    <col min="10308" max="10308" width="0.85546875" style="3" customWidth="1"/>
    <col min="10309" max="10313" width="8.28515625" style="3" customWidth="1"/>
    <col min="10314" max="10314" width="0.85546875" style="3" customWidth="1"/>
    <col min="10315" max="10319" width="8.28515625" style="3" customWidth="1"/>
    <col min="10320" max="10320" width="0.85546875" style="3" customWidth="1"/>
    <col min="10321" max="10325" width="8.28515625" style="3" customWidth="1"/>
    <col min="10326" max="10326" width="0.85546875" style="3" customWidth="1"/>
    <col min="10327" max="10331" width="8.28515625" style="3" customWidth="1"/>
    <col min="10332" max="10334" width="9.140625" style="3" customWidth="1"/>
    <col min="10335" max="10335" width="25.7109375" style="3" customWidth="1"/>
    <col min="10336" max="10340" width="9.140625" style="3" customWidth="1"/>
    <col min="10341" max="10496" width="9.140625" style="3"/>
    <col min="10497" max="10497" width="25.7109375" style="3" customWidth="1"/>
    <col min="10498" max="10498" width="0.85546875" style="3" customWidth="1"/>
    <col min="10499" max="10503" width="8.28515625" style="3" customWidth="1"/>
    <col min="10504" max="10504" width="0.85546875" style="3" customWidth="1"/>
    <col min="10505" max="10509" width="8.28515625" style="3" customWidth="1"/>
    <col min="10510" max="10510" width="0.85546875" style="3" customWidth="1"/>
    <col min="10511" max="10515" width="8.28515625" style="3" customWidth="1"/>
    <col min="10516" max="10516" width="0.85546875" style="3" customWidth="1"/>
    <col min="10517" max="10521" width="8.28515625" style="3" customWidth="1"/>
    <col min="10522" max="10522" width="0.85546875" style="3" customWidth="1"/>
    <col min="10523" max="10527" width="8.28515625" style="3" customWidth="1"/>
    <col min="10528" max="10528" width="0.85546875" style="3" customWidth="1"/>
    <col min="10529" max="10533" width="8.28515625" style="3" customWidth="1"/>
    <col min="10534" max="10534" width="0.85546875" style="3" customWidth="1"/>
    <col min="10535" max="10539" width="8.28515625" style="3" customWidth="1"/>
    <col min="10540" max="10540" width="0.85546875" style="3" customWidth="1"/>
    <col min="10541" max="10545" width="8.28515625" style="3" customWidth="1"/>
    <col min="10546" max="10546" width="0.85546875" style="3" customWidth="1"/>
    <col min="10547" max="10551" width="8.28515625" style="3" customWidth="1"/>
    <col min="10552" max="10552" width="0.85546875" style="3" customWidth="1"/>
    <col min="10553" max="10557" width="8.28515625" style="3" customWidth="1"/>
    <col min="10558" max="10558" width="0.85546875" style="3" customWidth="1"/>
    <col min="10559" max="10563" width="8.28515625" style="3" customWidth="1"/>
    <col min="10564" max="10564" width="0.85546875" style="3" customWidth="1"/>
    <col min="10565" max="10569" width="8.28515625" style="3" customWidth="1"/>
    <col min="10570" max="10570" width="0.85546875" style="3" customWidth="1"/>
    <col min="10571" max="10575" width="8.28515625" style="3" customWidth="1"/>
    <col min="10576" max="10576" width="0.85546875" style="3" customWidth="1"/>
    <col min="10577" max="10581" width="8.28515625" style="3" customWidth="1"/>
    <col min="10582" max="10582" width="0.85546875" style="3" customWidth="1"/>
    <col min="10583" max="10587" width="8.28515625" style="3" customWidth="1"/>
    <col min="10588" max="10590" width="9.140625" style="3" customWidth="1"/>
    <col min="10591" max="10591" width="25.7109375" style="3" customWidth="1"/>
    <col min="10592" max="10596" width="9.140625" style="3" customWidth="1"/>
    <col min="10597" max="10752" width="9.140625" style="3"/>
    <col min="10753" max="10753" width="25.7109375" style="3" customWidth="1"/>
    <col min="10754" max="10754" width="0.85546875" style="3" customWidth="1"/>
    <col min="10755" max="10759" width="8.28515625" style="3" customWidth="1"/>
    <col min="10760" max="10760" width="0.85546875" style="3" customWidth="1"/>
    <col min="10761" max="10765" width="8.28515625" style="3" customWidth="1"/>
    <col min="10766" max="10766" width="0.85546875" style="3" customWidth="1"/>
    <col min="10767" max="10771" width="8.28515625" style="3" customWidth="1"/>
    <col min="10772" max="10772" width="0.85546875" style="3" customWidth="1"/>
    <col min="10773" max="10777" width="8.28515625" style="3" customWidth="1"/>
    <col min="10778" max="10778" width="0.85546875" style="3" customWidth="1"/>
    <col min="10779" max="10783" width="8.28515625" style="3" customWidth="1"/>
    <col min="10784" max="10784" width="0.85546875" style="3" customWidth="1"/>
    <col min="10785" max="10789" width="8.28515625" style="3" customWidth="1"/>
    <col min="10790" max="10790" width="0.85546875" style="3" customWidth="1"/>
    <col min="10791" max="10795" width="8.28515625" style="3" customWidth="1"/>
    <col min="10796" max="10796" width="0.85546875" style="3" customWidth="1"/>
    <col min="10797" max="10801" width="8.28515625" style="3" customWidth="1"/>
    <col min="10802" max="10802" width="0.85546875" style="3" customWidth="1"/>
    <col min="10803" max="10807" width="8.28515625" style="3" customWidth="1"/>
    <col min="10808" max="10808" width="0.85546875" style="3" customWidth="1"/>
    <col min="10809" max="10813" width="8.28515625" style="3" customWidth="1"/>
    <col min="10814" max="10814" width="0.85546875" style="3" customWidth="1"/>
    <col min="10815" max="10819" width="8.28515625" style="3" customWidth="1"/>
    <col min="10820" max="10820" width="0.85546875" style="3" customWidth="1"/>
    <col min="10821" max="10825" width="8.28515625" style="3" customWidth="1"/>
    <col min="10826" max="10826" width="0.85546875" style="3" customWidth="1"/>
    <col min="10827" max="10831" width="8.28515625" style="3" customWidth="1"/>
    <col min="10832" max="10832" width="0.85546875" style="3" customWidth="1"/>
    <col min="10833" max="10837" width="8.28515625" style="3" customWidth="1"/>
    <col min="10838" max="10838" width="0.85546875" style="3" customWidth="1"/>
    <col min="10839" max="10843" width="8.28515625" style="3" customWidth="1"/>
    <col min="10844" max="10846" width="9.140625" style="3" customWidth="1"/>
    <col min="10847" max="10847" width="25.7109375" style="3" customWidth="1"/>
    <col min="10848" max="10852" width="9.140625" style="3" customWidth="1"/>
    <col min="10853" max="11008" width="9.140625" style="3"/>
    <col min="11009" max="11009" width="25.7109375" style="3" customWidth="1"/>
    <col min="11010" max="11010" width="0.85546875" style="3" customWidth="1"/>
    <col min="11011" max="11015" width="8.28515625" style="3" customWidth="1"/>
    <col min="11016" max="11016" width="0.85546875" style="3" customWidth="1"/>
    <col min="11017" max="11021" width="8.28515625" style="3" customWidth="1"/>
    <col min="11022" max="11022" width="0.85546875" style="3" customWidth="1"/>
    <col min="11023" max="11027" width="8.28515625" style="3" customWidth="1"/>
    <col min="11028" max="11028" width="0.85546875" style="3" customWidth="1"/>
    <col min="11029" max="11033" width="8.28515625" style="3" customWidth="1"/>
    <col min="11034" max="11034" width="0.85546875" style="3" customWidth="1"/>
    <col min="11035" max="11039" width="8.28515625" style="3" customWidth="1"/>
    <col min="11040" max="11040" width="0.85546875" style="3" customWidth="1"/>
    <col min="11041" max="11045" width="8.28515625" style="3" customWidth="1"/>
    <col min="11046" max="11046" width="0.85546875" style="3" customWidth="1"/>
    <col min="11047" max="11051" width="8.28515625" style="3" customWidth="1"/>
    <col min="11052" max="11052" width="0.85546875" style="3" customWidth="1"/>
    <col min="11053" max="11057" width="8.28515625" style="3" customWidth="1"/>
    <col min="11058" max="11058" width="0.85546875" style="3" customWidth="1"/>
    <col min="11059" max="11063" width="8.28515625" style="3" customWidth="1"/>
    <col min="11064" max="11064" width="0.85546875" style="3" customWidth="1"/>
    <col min="11065" max="11069" width="8.28515625" style="3" customWidth="1"/>
    <col min="11070" max="11070" width="0.85546875" style="3" customWidth="1"/>
    <col min="11071" max="11075" width="8.28515625" style="3" customWidth="1"/>
    <col min="11076" max="11076" width="0.85546875" style="3" customWidth="1"/>
    <col min="11077" max="11081" width="8.28515625" style="3" customWidth="1"/>
    <col min="11082" max="11082" width="0.85546875" style="3" customWidth="1"/>
    <col min="11083" max="11087" width="8.28515625" style="3" customWidth="1"/>
    <col min="11088" max="11088" width="0.85546875" style="3" customWidth="1"/>
    <col min="11089" max="11093" width="8.28515625" style="3" customWidth="1"/>
    <col min="11094" max="11094" width="0.85546875" style="3" customWidth="1"/>
    <col min="11095" max="11099" width="8.28515625" style="3" customWidth="1"/>
    <col min="11100" max="11102" width="9.140625" style="3" customWidth="1"/>
    <col min="11103" max="11103" width="25.7109375" style="3" customWidth="1"/>
    <col min="11104" max="11108" width="9.140625" style="3" customWidth="1"/>
    <col min="11109" max="11264" width="9.140625" style="3"/>
    <col min="11265" max="11265" width="25.7109375" style="3" customWidth="1"/>
    <col min="11266" max="11266" width="0.85546875" style="3" customWidth="1"/>
    <col min="11267" max="11271" width="8.28515625" style="3" customWidth="1"/>
    <col min="11272" max="11272" width="0.85546875" style="3" customWidth="1"/>
    <col min="11273" max="11277" width="8.28515625" style="3" customWidth="1"/>
    <col min="11278" max="11278" width="0.85546875" style="3" customWidth="1"/>
    <col min="11279" max="11283" width="8.28515625" style="3" customWidth="1"/>
    <col min="11284" max="11284" width="0.85546875" style="3" customWidth="1"/>
    <col min="11285" max="11289" width="8.28515625" style="3" customWidth="1"/>
    <col min="11290" max="11290" width="0.85546875" style="3" customWidth="1"/>
    <col min="11291" max="11295" width="8.28515625" style="3" customWidth="1"/>
    <col min="11296" max="11296" width="0.85546875" style="3" customWidth="1"/>
    <col min="11297" max="11301" width="8.28515625" style="3" customWidth="1"/>
    <col min="11302" max="11302" width="0.85546875" style="3" customWidth="1"/>
    <col min="11303" max="11307" width="8.28515625" style="3" customWidth="1"/>
    <col min="11308" max="11308" width="0.85546875" style="3" customWidth="1"/>
    <col min="11309" max="11313" width="8.28515625" style="3" customWidth="1"/>
    <col min="11314" max="11314" width="0.85546875" style="3" customWidth="1"/>
    <col min="11315" max="11319" width="8.28515625" style="3" customWidth="1"/>
    <col min="11320" max="11320" width="0.85546875" style="3" customWidth="1"/>
    <col min="11321" max="11325" width="8.28515625" style="3" customWidth="1"/>
    <col min="11326" max="11326" width="0.85546875" style="3" customWidth="1"/>
    <col min="11327" max="11331" width="8.28515625" style="3" customWidth="1"/>
    <col min="11332" max="11332" width="0.85546875" style="3" customWidth="1"/>
    <col min="11333" max="11337" width="8.28515625" style="3" customWidth="1"/>
    <col min="11338" max="11338" width="0.85546875" style="3" customWidth="1"/>
    <col min="11339" max="11343" width="8.28515625" style="3" customWidth="1"/>
    <col min="11344" max="11344" width="0.85546875" style="3" customWidth="1"/>
    <col min="11345" max="11349" width="8.28515625" style="3" customWidth="1"/>
    <col min="11350" max="11350" width="0.85546875" style="3" customWidth="1"/>
    <col min="11351" max="11355" width="8.28515625" style="3" customWidth="1"/>
    <col min="11356" max="11358" width="9.140625" style="3" customWidth="1"/>
    <col min="11359" max="11359" width="25.7109375" style="3" customWidth="1"/>
    <col min="11360" max="11364" width="9.140625" style="3" customWidth="1"/>
    <col min="11365" max="11520" width="9.140625" style="3"/>
    <col min="11521" max="11521" width="25.7109375" style="3" customWidth="1"/>
    <col min="11522" max="11522" width="0.85546875" style="3" customWidth="1"/>
    <col min="11523" max="11527" width="8.28515625" style="3" customWidth="1"/>
    <col min="11528" max="11528" width="0.85546875" style="3" customWidth="1"/>
    <col min="11529" max="11533" width="8.28515625" style="3" customWidth="1"/>
    <col min="11534" max="11534" width="0.85546875" style="3" customWidth="1"/>
    <col min="11535" max="11539" width="8.28515625" style="3" customWidth="1"/>
    <col min="11540" max="11540" width="0.85546875" style="3" customWidth="1"/>
    <col min="11541" max="11545" width="8.28515625" style="3" customWidth="1"/>
    <col min="11546" max="11546" width="0.85546875" style="3" customWidth="1"/>
    <col min="11547" max="11551" width="8.28515625" style="3" customWidth="1"/>
    <col min="11552" max="11552" width="0.85546875" style="3" customWidth="1"/>
    <col min="11553" max="11557" width="8.28515625" style="3" customWidth="1"/>
    <col min="11558" max="11558" width="0.85546875" style="3" customWidth="1"/>
    <col min="11559" max="11563" width="8.28515625" style="3" customWidth="1"/>
    <col min="11564" max="11564" width="0.85546875" style="3" customWidth="1"/>
    <col min="11565" max="11569" width="8.28515625" style="3" customWidth="1"/>
    <col min="11570" max="11570" width="0.85546875" style="3" customWidth="1"/>
    <col min="11571" max="11575" width="8.28515625" style="3" customWidth="1"/>
    <col min="11576" max="11576" width="0.85546875" style="3" customWidth="1"/>
    <col min="11577" max="11581" width="8.28515625" style="3" customWidth="1"/>
    <col min="11582" max="11582" width="0.85546875" style="3" customWidth="1"/>
    <col min="11583" max="11587" width="8.28515625" style="3" customWidth="1"/>
    <col min="11588" max="11588" width="0.85546875" style="3" customWidth="1"/>
    <col min="11589" max="11593" width="8.28515625" style="3" customWidth="1"/>
    <col min="11594" max="11594" width="0.85546875" style="3" customWidth="1"/>
    <col min="11595" max="11599" width="8.28515625" style="3" customWidth="1"/>
    <col min="11600" max="11600" width="0.85546875" style="3" customWidth="1"/>
    <col min="11601" max="11605" width="8.28515625" style="3" customWidth="1"/>
    <col min="11606" max="11606" width="0.85546875" style="3" customWidth="1"/>
    <col min="11607" max="11611" width="8.28515625" style="3" customWidth="1"/>
    <col min="11612" max="11614" width="9.140625" style="3" customWidth="1"/>
    <col min="11615" max="11615" width="25.7109375" style="3" customWidth="1"/>
    <col min="11616" max="11620" width="9.140625" style="3" customWidth="1"/>
    <col min="11621" max="11776" width="9.140625" style="3"/>
    <col min="11777" max="11777" width="25.7109375" style="3" customWidth="1"/>
    <col min="11778" max="11778" width="0.85546875" style="3" customWidth="1"/>
    <col min="11779" max="11783" width="8.28515625" style="3" customWidth="1"/>
    <col min="11784" max="11784" width="0.85546875" style="3" customWidth="1"/>
    <col min="11785" max="11789" width="8.28515625" style="3" customWidth="1"/>
    <col min="11790" max="11790" width="0.85546875" style="3" customWidth="1"/>
    <col min="11791" max="11795" width="8.28515625" style="3" customWidth="1"/>
    <col min="11796" max="11796" width="0.85546875" style="3" customWidth="1"/>
    <col min="11797" max="11801" width="8.28515625" style="3" customWidth="1"/>
    <col min="11802" max="11802" width="0.85546875" style="3" customWidth="1"/>
    <col min="11803" max="11807" width="8.28515625" style="3" customWidth="1"/>
    <col min="11808" max="11808" width="0.85546875" style="3" customWidth="1"/>
    <col min="11809" max="11813" width="8.28515625" style="3" customWidth="1"/>
    <col min="11814" max="11814" width="0.85546875" style="3" customWidth="1"/>
    <col min="11815" max="11819" width="8.28515625" style="3" customWidth="1"/>
    <col min="11820" max="11820" width="0.85546875" style="3" customWidth="1"/>
    <col min="11821" max="11825" width="8.28515625" style="3" customWidth="1"/>
    <col min="11826" max="11826" width="0.85546875" style="3" customWidth="1"/>
    <col min="11827" max="11831" width="8.28515625" style="3" customWidth="1"/>
    <col min="11832" max="11832" width="0.85546875" style="3" customWidth="1"/>
    <col min="11833" max="11837" width="8.28515625" style="3" customWidth="1"/>
    <col min="11838" max="11838" width="0.85546875" style="3" customWidth="1"/>
    <col min="11839" max="11843" width="8.28515625" style="3" customWidth="1"/>
    <col min="11844" max="11844" width="0.85546875" style="3" customWidth="1"/>
    <col min="11845" max="11849" width="8.28515625" style="3" customWidth="1"/>
    <col min="11850" max="11850" width="0.85546875" style="3" customWidth="1"/>
    <col min="11851" max="11855" width="8.28515625" style="3" customWidth="1"/>
    <col min="11856" max="11856" width="0.85546875" style="3" customWidth="1"/>
    <col min="11857" max="11861" width="8.28515625" style="3" customWidth="1"/>
    <col min="11862" max="11862" width="0.85546875" style="3" customWidth="1"/>
    <col min="11863" max="11867" width="8.28515625" style="3" customWidth="1"/>
    <col min="11868" max="11870" width="9.140625" style="3" customWidth="1"/>
    <col min="11871" max="11871" width="25.7109375" style="3" customWidth="1"/>
    <col min="11872" max="11876" width="9.140625" style="3" customWidth="1"/>
    <col min="11877" max="12032" width="9.140625" style="3"/>
    <col min="12033" max="12033" width="25.7109375" style="3" customWidth="1"/>
    <col min="12034" max="12034" width="0.85546875" style="3" customWidth="1"/>
    <col min="12035" max="12039" width="8.28515625" style="3" customWidth="1"/>
    <col min="12040" max="12040" width="0.85546875" style="3" customWidth="1"/>
    <col min="12041" max="12045" width="8.28515625" style="3" customWidth="1"/>
    <col min="12046" max="12046" width="0.85546875" style="3" customWidth="1"/>
    <col min="12047" max="12051" width="8.28515625" style="3" customWidth="1"/>
    <col min="12052" max="12052" width="0.85546875" style="3" customWidth="1"/>
    <col min="12053" max="12057" width="8.28515625" style="3" customWidth="1"/>
    <col min="12058" max="12058" width="0.85546875" style="3" customWidth="1"/>
    <col min="12059" max="12063" width="8.28515625" style="3" customWidth="1"/>
    <col min="12064" max="12064" width="0.85546875" style="3" customWidth="1"/>
    <col min="12065" max="12069" width="8.28515625" style="3" customWidth="1"/>
    <col min="12070" max="12070" width="0.85546875" style="3" customWidth="1"/>
    <col min="12071" max="12075" width="8.28515625" style="3" customWidth="1"/>
    <col min="12076" max="12076" width="0.85546875" style="3" customWidth="1"/>
    <col min="12077" max="12081" width="8.28515625" style="3" customWidth="1"/>
    <col min="12082" max="12082" width="0.85546875" style="3" customWidth="1"/>
    <col min="12083" max="12087" width="8.28515625" style="3" customWidth="1"/>
    <col min="12088" max="12088" width="0.85546875" style="3" customWidth="1"/>
    <col min="12089" max="12093" width="8.28515625" style="3" customWidth="1"/>
    <col min="12094" max="12094" width="0.85546875" style="3" customWidth="1"/>
    <col min="12095" max="12099" width="8.28515625" style="3" customWidth="1"/>
    <col min="12100" max="12100" width="0.85546875" style="3" customWidth="1"/>
    <col min="12101" max="12105" width="8.28515625" style="3" customWidth="1"/>
    <col min="12106" max="12106" width="0.85546875" style="3" customWidth="1"/>
    <col min="12107" max="12111" width="8.28515625" style="3" customWidth="1"/>
    <col min="12112" max="12112" width="0.85546875" style="3" customWidth="1"/>
    <col min="12113" max="12117" width="8.28515625" style="3" customWidth="1"/>
    <col min="12118" max="12118" width="0.85546875" style="3" customWidth="1"/>
    <col min="12119" max="12123" width="8.28515625" style="3" customWidth="1"/>
    <col min="12124" max="12126" width="9.140625" style="3" customWidth="1"/>
    <col min="12127" max="12127" width="25.7109375" style="3" customWidth="1"/>
    <col min="12128" max="12132" width="9.140625" style="3" customWidth="1"/>
    <col min="12133" max="12288" width="9.140625" style="3"/>
    <col min="12289" max="12289" width="25.7109375" style="3" customWidth="1"/>
    <col min="12290" max="12290" width="0.85546875" style="3" customWidth="1"/>
    <col min="12291" max="12295" width="8.28515625" style="3" customWidth="1"/>
    <col min="12296" max="12296" width="0.85546875" style="3" customWidth="1"/>
    <col min="12297" max="12301" width="8.28515625" style="3" customWidth="1"/>
    <col min="12302" max="12302" width="0.85546875" style="3" customWidth="1"/>
    <col min="12303" max="12307" width="8.28515625" style="3" customWidth="1"/>
    <col min="12308" max="12308" width="0.85546875" style="3" customWidth="1"/>
    <col min="12309" max="12313" width="8.28515625" style="3" customWidth="1"/>
    <col min="12314" max="12314" width="0.85546875" style="3" customWidth="1"/>
    <col min="12315" max="12319" width="8.28515625" style="3" customWidth="1"/>
    <col min="12320" max="12320" width="0.85546875" style="3" customWidth="1"/>
    <col min="12321" max="12325" width="8.28515625" style="3" customWidth="1"/>
    <col min="12326" max="12326" width="0.85546875" style="3" customWidth="1"/>
    <col min="12327" max="12331" width="8.28515625" style="3" customWidth="1"/>
    <col min="12332" max="12332" width="0.85546875" style="3" customWidth="1"/>
    <col min="12333" max="12337" width="8.28515625" style="3" customWidth="1"/>
    <col min="12338" max="12338" width="0.85546875" style="3" customWidth="1"/>
    <col min="12339" max="12343" width="8.28515625" style="3" customWidth="1"/>
    <col min="12344" max="12344" width="0.85546875" style="3" customWidth="1"/>
    <col min="12345" max="12349" width="8.28515625" style="3" customWidth="1"/>
    <col min="12350" max="12350" width="0.85546875" style="3" customWidth="1"/>
    <col min="12351" max="12355" width="8.28515625" style="3" customWidth="1"/>
    <col min="12356" max="12356" width="0.85546875" style="3" customWidth="1"/>
    <col min="12357" max="12361" width="8.28515625" style="3" customWidth="1"/>
    <col min="12362" max="12362" width="0.85546875" style="3" customWidth="1"/>
    <col min="12363" max="12367" width="8.28515625" style="3" customWidth="1"/>
    <col min="12368" max="12368" width="0.85546875" style="3" customWidth="1"/>
    <col min="12369" max="12373" width="8.28515625" style="3" customWidth="1"/>
    <col min="12374" max="12374" width="0.85546875" style="3" customWidth="1"/>
    <col min="12375" max="12379" width="8.28515625" style="3" customWidth="1"/>
    <col min="12380" max="12382" width="9.140625" style="3" customWidth="1"/>
    <col min="12383" max="12383" width="25.7109375" style="3" customWidth="1"/>
    <col min="12384" max="12388" width="9.140625" style="3" customWidth="1"/>
    <col min="12389" max="12544" width="9.140625" style="3"/>
    <col min="12545" max="12545" width="25.7109375" style="3" customWidth="1"/>
    <col min="12546" max="12546" width="0.85546875" style="3" customWidth="1"/>
    <col min="12547" max="12551" width="8.28515625" style="3" customWidth="1"/>
    <col min="12552" max="12552" width="0.85546875" style="3" customWidth="1"/>
    <col min="12553" max="12557" width="8.28515625" style="3" customWidth="1"/>
    <col min="12558" max="12558" width="0.85546875" style="3" customWidth="1"/>
    <col min="12559" max="12563" width="8.28515625" style="3" customWidth="1"/>
    <col min="12564" max="12564" width="0.85546875" style="3" customWidth="1"/>
    <col min="12565" max="12569" width="8.28515625" style="3" customWidth="1"/>
    <col min="12570" max="12570" width="0.85546875" style="3" customWidth="1"/>
    <col min="12571" max="12575" width="8.28515625" style="3" customWidth="1"/>
    <col min="12576" max="12576" width="0.85546875" style="3" customWidth="1"/>
    <col min="12577" max="12581" width="8.28515625" style="3" customWidth="1"/>
    <col min="12582" max="12582" width="0.85546875" style="3" customWidth="1"/>
    <col min="12583" max="12587" width="8.28515625" style="3" customWidth="1"/>
    <col min="12588" max="12588" width="0.85546875" style="3" customWidth="1"/>
    <col min="12589" max="12593" width="8.28515625" style="3" customWidth="1"/>
    <col min="12594" max="12594" width="0.85546875" style="3" customWidth="1"/>
    <col min="12595" max="12599" width="8.28515625" style="3" customWidth="1"/>
    <col min="12600" max="12600" width="0.85546875" style="3" customWidth="1"/>
    <col min="12601" max="12605" width="8.28515625" style="3" customWidth="1"/>
    <col min="12606" max="12606" width="0.85546875" style="3" customWidth="1"/>
    <col min="12607" max="12611" width="8.28515625" style="3" customWidth="1"/>
    <col min="12612" max="12612" width="0.85546875" style="3" customWidth="1"/>
    <col min="12613" max="12617" width="8.28515625" style="3" customWidth="1"/>
    <col min="12618" max="12618" width="0.85546875" style="3" customWidth="1"/>
    <col min="12619" max="12623" width="8.28515625" style="3" customWidth="1"/>
    <col min="12624" max="12624" width="0.85546875" style="3" customWidth="1"/>
    <col min="12625" max="12629" width="8.28515625" style="3" customWidth="1"/>
    <col min="12630" max="12630" width="0.85546875" style="3" customWidth="1"/>
    <col min="12631" max="12635" width="8.28515625" style="3" customWidth="1"/>
    <col min="12636" max="12638" width="9.140625" style="3" customWidth="1"/>
    <col min="12639" max="12639" width="25.7109375" style="3" customWidth="1"/>
    <col min="12640" max="12644" width="9.140625" style="3" customWidth="1"/>
    <col min="12645" max="12800" width="9.140625" style="3"/>
    <col min="12801" max="12801" width="25.7109375" style="3" customWidth="1"/>
    <col min="12802" max="12802" width="0.85546875" style="3" customWidth="1"/>
    <col min="12803" max="12807" width="8.28515625" style="3" customWidth="1"/>
    <col min="12808" max="12808" width="0.85546875" style="3" customWidth="1"/>
    <col min="12809" max="12813" width="8.28515625" style="3" customWidth="1"/>
    <col min="12814" max="12814" width="0.85546875" style="3" customWidth="1"/>
    <col min="12815" max="12819" width="8.28515625" style="3" customWidth="1"/>
    <col min="12820" max="12820" width="0.85546875" style="3" customWidth="1"/>
    <col min="12821" max="12825" width="8.28515625" style="3" customWidth="1"/>
    <col min="12826" max="12826" width="0.85546875" style="3" customWidth="1"/>
    <col min="12827" max="12831" width="8.28515625" style="3" customWidth="1"/>
    <col min="12832" max="12832" width="0.85546875" style="3" customWidth="1"/>
    <col min="12833" max="12837" width="8.28515625" style="3" customWidth="1"/>
    <col min="12838" max="12838" width="0.85546875" style="3" customWidth="1"/>
    <col min="12839" max="12843" width="8.28515625" style="3" customWidth="1"/>
    <col min="12844" max="12844" width="0.85546875" style="3" customWidth="1"/>
    <col min="12845" max="12849" width="8.28515625" style="3" customWidth="1"/>
    <col min="12850" max="12850" width="0.85546875" style="3" customWidth="1"/>
    <col min="12851" max="12855" width="8.28515625" style="3" customWidth="1"/>
    <col min="12856" max="12856" width="0.85546875" style="3" customWidth="1"/>
    <col min="12857" max="12861" width="8.28515625" style="3" customWidth="1"/>
    <col min="12862" max="12862" width="0.85546875" style="3" customWidth="1"/>
    <col min="12863" max="12867" width="8.28515625" style="3" customWidth="1"/>
    <col min="12868" max="12868" width="0.85546875" style="3" customWidth="1"/>
    <col min="12869" max="12873" width="8.28515625" style="3" customWidth="1"/>
    <col min="12874" max="12874" width="0.85546875" style="3" customWidth="1"/>
    <col min="12875" max="12879" width="8.28515625" style="3" customWidth="1"/>
    <col min="12880" max="12880" width="0.85546875" style="3" customWidth="1"/>
    <col min="12881" max="12885" width="8.28515625" style="3" customWidth="1"/>
    <col min="12886" max="12886" width="0.85546875" style="3" customWidth="1"/>
    <col min="12887" max="12891" width="8.28515625" style="3" customWidth="1"/>
    <col min="12892" max="12894" width="9.140625" style="3" customWidth="1"/>
    <col min="12895" max="12895" width="25.7109375" style="3" customWidth="1"/>
    <col min="12896" max="12900" width="9.140625" style="3" customWidth="1"/>
    <col min="12901" max="13056" width="9.140625" style="3"/>
    <col min="13057" max="13057" width="25.7109375" style="3" customWidth="1"/>
    <col min="13058" max="13058" width="0.85546875" style="3" customWidth="1"/>
    <col min="13059" max="13063" width="8.28515625" style="3" customWidth="1"/>
    <col min="13064" max="13064" width="0.85546875" style="3" customWidth="1"/>
    <col min="13065" max="13069" width="8.28515625" style="3" customWidth="1"/>
    <col min="13070" max="13070" width="0.85546875" style="3" customWidth="1"/>
    <col min="13071" max="13075" width="8.28515625" style="3" customWidth="1"/>
    <col min="13076" max="13076" width="0.85546875" style="3" customWidth="1"/>
    <col min="13077" max="13081" width="8.28515625" style="3" customWidth="1"/>
    <col min="13082" max="13082" width="0.85546875" style="3" customWidth="1"/>
    <col min="13083" max="13087" width="8.28515625" style="3" customWidth="1"/>
    <col min="13088" max="13088" width="0.85546875" style="3" customWidth="1"/>
    <col min="13089" max="13093" width="8.28515625" style="3" customWidth="1"/>
    <col min="13094" max="13094" width="0.85546875" style="3" customWidth="1"/>
    <col min="13095" max="13099" width="8.28515625" style="3" customWidth="1"/>
    <col min="13100" max="13100" width="0.85546875" style="3" customWidth="1"/>
    <col min="13101" max="13105" width="8.28515625" style="3" customWidth="1"/>
    <col min="13106" max="13106" width="0.85546875" style="3" customWidth="1"/>
    <col min="13107" max="13111" width="8.28515625" style="3" customWidth="1"/>
    <col min="13112" max="13112" width="0.85546875" style="3" customWidth="1"/>
    <col min="13113" max="13117" width="8.28515625" style="3" customWidth="1"/>
    <col min="13118" max="13118" width="0.85546875" style="3" customWidth="1"/>
    <col min="13119" max="13123" width="8.28515625" style="3" customWidth="1"/>
    <col min="13124" max="13124" width="0.85546875" style="3" customWidth="1"/>
    <col min="13125" max="13129" width="8.28515625" style="3" customWidth="1"/>
    <col min="13130" max="13130" width="0.85546875" style="3" customWidth="1"/>
    <col min="13131" max="13135" width="8.28515625" style="3" customWidth="1"/>
    <col min="13136" max="13136" width="0.85546875" style="3" customWidth="1"/>
    <col min="13137" max="13141" width="8.28515625" style="3" customWidth="1"/>
    <col min="13142" max="13142" width="0.85546875" style="3" customWidth="1"/>
    <col min="13143" max="13147" width="8.28515625" style="3" customWidth="1"/>
    <col min="13148" max="13150" width="9.140625" style="3" customWidth="1"/>
    <col min="13151" max="13151" width="25.7109375" style="3" customWidth="1"/>
    <col min="13152" max="13156" width="9.140625" style="3" customWidth="1"/>
    <col min="13157" max="13312" width="9.140625" style="3"/>
    <col min="13313" max="13313" width="25.7109375" style="3" customWidth="1"/>
    <col min="13314" max="13314" width="0.85546875" style="3" customWidth="1"/>
    <col min="13315" max="13319" width="8.28515625" style="3" customWidth="1"/>
    <col min="13320" max="13320" width="0.85546875" style="3" customWidth="1"/>
    <col min="13321" max="13325" width="8.28515625" style="3" customWidth="1"/>
    <col min="13326" max="13326" width="0.85546875" style="3" customWidth="1"/>
    <col min="13327" max="13331" width="8.28515625" style="3" customWidth="1"/>
    <col min="13332" max="13332" width="0.85546875" style="3" customWidth="1"/>
    <col min="13333" max="13337" width="8.28515625" style="3" customWidth="1"/>
    <col min="13338" max="13338" width="0.85546875" style="3" customWidth="1"/>
    <col min="13339" max="13343" width="8.28515625" style="3" customWidth="1"/>
    <col min="13344" max="13344" width="0.85546875" style="3" customWidth="1"/>
    <col min="13345" max="13349" width="8.28515625" style="3" customWidth="1"/>
    <col min="13350" max="13350" width="0.85546875" style="3" customWidth="1"/>
    <col min="13351" max="13355" width="8.28515625" style="3" customWidth="1"/>
    <col min="13356" max="13356" width="0.85546875" style="3" customWidth="1"/>
    <col min="13357" max="13361" width="8.28515625" style="3" customWidth="1"/>
    <col min="13362" max="13362" width="0.85546875" style="3" customWidth="1"/>
    <col min="13363" max="13367" width="8.28515625" style="3" customWidth="1"/>
    <col min="13368" max="13368" width="0.85546875" style="3" customWidth="1"/>
    <col min="13369" max="13373" width="8.28515625" style="3" customWidth="1"/>
    <col min="13374" max="13374" width="0.85546875" style="3" customWidth="1"/>
    <col min="13375" max="13379" width="8.28515625" style="3" customWidth="1"/>
    <col min="13380" max="13380" width="0.85546875" style="3" customWidth="1"/>
    <col min="13381" max="13385" width="8.28515625" style="3" customWidth="1"/>
    <col min="13386" max="13386" width="0.85546875" style="3" customWidth="1"/>
    <col min="13387" max="13391" width="8.28515625" style="3" customWidth="1"/>
    <col min="13392" max="13392" width="0.85546875" style="3" customWidth="1"/>
    <col min="13393" max="13397" width="8.28515625" style="3" customWidth="1"/>
    <col min="13398" max="13398" width="0.85546875" style="3" customWidth="1"/>
    <col min="13399" max="13403" width="8.28515625" style="3" customWidth="1"/>
    <col min="13404" max="13406" width="9.140625" style="3" customWidth="1"/>
    <col min="13407" max="13407" width="25.7109375" style="3" customWidth="1"/>
    <col min="13408" max="13412" width="9.140625" style="3" customWidth="1"/>
    <col min="13413" max="13568" width="9.140625" style="3"/>
    <col min="13569" max="13569" width="25.7109375" style="3" customWidth="1"/>
    <col min="13570" max="13570" width="0.85546875" style="3" customWidth="1"/>
    <col min="13571" max="13575" width="8.28515625" style="3" customWidth="1"/>
    <col min="13576" max="13576" width="0.85546875" style="3" customWidth="1"/>
    <col min="13577" max="13581" width="8.28515625" style="3" customWidth="1"/>
    <col min="13582" max="13582" width="0.85546875" style="3" customWidth="1"/>
    <col min="13583" max="13587" width="8.28515625" style="3" customWidth="1"/>
    <col min="13588" max="13588" width="0.85546875" style="3" customWidth="1"/>
    <col min="13589" max="13593" width="8.28515625" style="3" customWidth="1"/>
    <col min="13594" max="13594" width="0.85546875" style="3" customWidth="1"/>
    <col min="13595" max="13599" width="8.28515625" style="3" customWidth="1"/>
    <col min="13600" max="13600" width="0.85546875" style="3" customWidth="1"/>
    <col min="13601" max="13605" width="8.28515625" style="3" customWidth="1"/>
    <col min="13606" max="13606" width="0.85546875" style="3" customWidth="1"/>
    <col min="13607" max="13611" width="8.28515625" style="3" customWidth="1"/>
    <col min="13612" max="13612" width="0.85546875" style="3" customWidth="1"/>
    <col min="13613" max="13617" width="8.28515625" style="3" customWidth="1"/>
    <col min="13618" max="13618" width="0.85546875" style="3" customWidth="1"/>
    <col min="13619" max="13623" width="8.28515625" style="3" customWidth="1"/>
    <col min="13624" max="13624" width="0.85546875" style="3" customWidth="1"/>
    <col min="13625" max="13629" width="8.28515625" style="3" customWidth="1"/>
    <col min="13630" max="13630" width="0.85546875" style="3" customWidth="1"/>
    <col min="13631" max="13635" width="8.28515625" style="3" customWidth="1"/>
    <col min="13636" max="13636" width="0.85546875" style="3" customWidth="1"/>
    <col min="13637" max="13641" width="8.28515625" style="3" customWidth="1"/>
    <col min="13642" max="13642" width="0.85546875" style="3" customWidth="1"/>
    <col min="13643" max="13647" width="8.28515625" style="3" customWidth="1"/>
    <col min="13648" max="13648" width="0.85546875" style="3" customWidth="1"/>
    <col min="13649" max="13653" width="8.28515625" style="3" customWidth="1"/>
    <col min="13654" max="13654" width="0.85546875" style="3" customWidth="1"/>
    <col min="13655" max="13659" width="8.28515625" style="3" customWidth="1"/>
    <col min="13660" max="13662" width="9.140625" style="3" customWidth="1"/>
    <col min="13663" max="13663" width="25.7109375" style="3" customWidth="1"/>
    <col min="13664" max="13668" width="9.140625" style="3" customWidth="1"/>
    <col min="13669" max="13824" width="9.140625" style="3"/>
    <col min="13825" max="13825" width="25.7109375" style="3" customWidth="1"/>
    <col min="13826" max="13826" width="0.85546875" style="3" customWidth="1"/>
    <col min="13827" max="13831" width="8.28515625" style="3" customWidth="1"/>
    <col min="13832" max="13832" width="0.85546875" style="3" customWidth="1"/>
    <col min="13833" max="13837" width="8.28515625" style="3" customWidth="1"/>
    <col min="13838" max="13838" width="0.85546875" style="3" customWidth="1"/>
    <col min="13839" max="13843" width="8.28515625" style="3" customWidth="1"/>
    <col min="13844" max="13844" width="0.85546875" style="3" customWidth="1"/>
    <col min="13845" max="13849" width="8.28515625" style="3" customWidth="1"/>
    <col min="13850" max="13850" width="0.85546875" style="3" customWidth="1"/>
    <col min="13851" max="13855" width="8.28515625" style="3" customWidth="1"/>
    <col min="13856" max="13856" width="0.85546875" style="3" customWidth="1"/>
    <col min="13857" max="13861" width="8.28515625" style="3" customWidth="1"/>
    <col min="13862" max="13862" width="0.85546875" style="3" customWidth="1"/>
    <col min="13863" max="13867" width="8.28515625" style="3" customWidth="1"/>
    <col min="13868" max="13868" width="0.85546875" style="3" customWidth="1"/>
    <col min="13869" max="13873" width="8.28515625" style="3" customWidth="1"/>
    <col min="13874" max="13874" width="0.85546875" style="3" customWidth="1"/>
    <col min="13875" max="13879" width="8.28515625" style="3" customWidth="1"/>
    <col min="13880" max="13880" width="0.85546875" style="3" customWidth="1"/>
    <col min="13881" max="13885" width="8.28515625" style="3" customWidth="1"/>
    <col min="13886" max="13886" width="0.85546875" style="3" customWidth="1"/>
    <col min="13887" max="13891" width="8.28515625" style="3" customWidth="1"/>
    <col min="13892" max="13892" width="0.85546875" style="3" customWidth="1"/>
    <col min="13893" max="13897" width="8.28515625" style="3" customWidth="1"/>
    <col min="13898" max="13898" width="0.85546875" style="3" customWidth="1"/>
    <col min="13899" max="13903" width="8.28515625" style="3" customWidth="1"/>
    <col min="13904" max="13904" width="0.85546875" style="3" customWidth="1"/>
    <col min="13905" max="13909" width="8.28515625" style="3" customWidth="1"/>
    <col min="13910" max="13910" width="0.85546875" style="3" customWidth="1"/>
    <col min="13911" max="13915" width="8.28515625" style="3" customWidth="1"/>
    <col min="13916" max="13918" width="9.140625" style="3" customWidth="1"/>
    <col min="13919" max="13919" width="25.7109375" style="3" customWidth="1"/>
    <col min="13920" max="13924" width="9.140625" style="3" customWidth="1"/>
    <col min="13925" max="14080" width="9.140625" style="3"/>
    <col min="14081" max="14081" width="25.7109375" style="3" customWidth="1"/>
    <col min="14082" max="14082" width="0.85546875" style="3" customWidth="1"/>
    <col min="14083" max="14087" width="8.28515625" style="3" customWidth="1"/>
    <col min="14088" max="14088" width="0.85546875" style="3" customWidth="1"/>
    <col min="14089" max="14093" width="8.28515625" style="3" customWidth="1"/>
    <col min="14094" max="14094" width="0.85546875" style="3" customWidth="1"/>
    <col min="14095" max="14099" width="8.28515625" style="3" customWidth="1"/>
    <col min="14100" max="14100" width="0.85546875" style="3" customWidth="1"/>
    <col min="14101" max="14105" width="8.28515625" style="3" customWidth="1"/>
    <col min="14106" max="14106" width="0.85546875" style="3" customWidth="1"/>
    <col min="14107" max="14111" width="8.28515625" style="3" customWidth="1"/>
    <col min="14112" max="14112" width="0.85546875" style="3" customWidth="1"/>
    <col min="14113" max="14117" width="8.28515625" style="3" customWidth="1"/>
    <col min="14118" max="14118" width="0.85546875" style="3" customWidth="1"/>
    <col min="14119" max="14123" width="8.28515625" style="3" customWidth="1"/>
    <col min="14124" max="14124" width="0.85546875" style="3" customWidth="1"/>
    <col min="14125" max="14129" width="8.28515625" style="3" customWidth="1"/>
    <col min="14130" max="14130" width="0.85546875" style="3" customWidth="1"/>
    <col min="14131" max="14135" width="8.28515625" style="3" customWidth="1"/>
    <col min="14136" max="14136" width="0.85546875" style="3" customWidth="1"/>
    <col min="14137" max="14141" width="8.28515625" style="3" customWidth="1"/>
    <col min="14142" max="14142" width="0.85546875" style="3" customWidth="1"/>
    <col min="14143" max="14147" width="8.28515625" style="3" customWidth="1"/>
    <col min="14148" max="14148" width="0.85546875" style="3" customWidth="1"/>
    <col min="14149" max="14153" width="8.28515625" style="3" customWidth="1"/>
    <col min="14154" max="14154" width="0.85546875" style="3" customWidth="1"/>
    <col min="14155" max="14159" width="8.28515625" style="3" customWidth="1"/>
    <col min="14160" max="14160" width="0.85546875" style="3" customWidth="1"/>
    <col min="14161" max="14165" width="8.28515625" style="3" customWidth="1"/>
    <col min="14166" max="14166" width="0.85546875" style="3" customWidth="1"/>
    <col min="14167" max="14171" width="8.28515625" style="3" customWidth="1"/>
    <col min="14172" max="14174" width="9.140625" style="3" customWidth="1"/>
    <col min="14175" max="14175" width="25.7109375" style="3" customWidth="1"/>
    <col min="14176" max="14180" width="9.140625" style="3" customWidth="1"/>
    <col min="14181" max="14336" width="9.140625" style="3"/>
    <col min="14337" max="14337" width="25.7109375" style="3" customWidth="1"/>
    <col min="14338" max="14338" width="0.85546875" style="3" customWidth="1"/>
    <col min="14339" max="14343" width="8.28515625" style="3" customWidth="1"/>
    <col min="14344" max="14344" width="0.85546875" style="3" customWidth="1"/>
    <col min="14345" max="14349" width="8.28515625" style="3" customWidth="1"/>
    <col min="14350" max="14350" width="0.85546875" style="3" customWidth="1"/>
    <col min="14351" max="14355" width="8.28515625" style="3" customWidth="1"/>
    <col min="14356" max="14356" width="0.85546875" style="3" customWidth="1"/>
    <col min="14357" max="14361" width="8.28515625" style="3" customWidth="1"/>
    <col min="14362" max="14362" width="0.85546875" style="3" customWidth="1"/>
    <col min="14363" max="14367" width="8.28515625" style="3" customWidth="1"/>
    <col min="14368" max="14368" width="0.85546875" style="3" customWidth="1"/>
    <col min="14369" max="14373" width="8.28515625" style="3" customWidth="1"/>
    <col min="14374" max="14374" width="0.85546875" style="3" customWidth="1"/>
    <col min="14375" max="14379" width="8.28515625" style="3" customWidth="1"/>
    <col min="14380" max="14380" width="0.85546875" style="3" customWidth="1"/>
    <col min="14381" max="14385" width="8.28515625" style="3" customWidth="1"/>
    <col min="14386" max="14386" width="0.85546875" style="3" customWidth="1"/>
    <col min="14387" max="14391" width="8.28515625" style="3" customWidth="1"/>
    <col min="14392" max="14392" width="0.85546875" style="3" customWidth="1"/>
    <col min="14393" max="14397" width="8.28515625" style="3" customWidth="1"/>
    <col min="14398" max="14398" width="0.85546875" style="3" customWidth="1"/>
    <col min="14399" max="14403" width="8.28515625" style="3" customWidth="1"/>
    <col min="14404" max="14404" width="0.85546875" style="3" customWidth="1"/>
    <col min="14405" max="14409" width="8.28515625" style="3" customWidth="1"/>
    <col min="14410" max="14410" width="0.85546875" style="3" customWidth="1"/>
    <col min="14411" max="14415" width="8.28515625" style="3" customWidth="1"/>
    <col min="14416" max="14416" width="0.85546875" style="3" customWidth="1"/>
    <col min="14417" max="14421" width="8.28515625" style="3" customWidth="1"/>
    <col min="14422" max="14422" width="0.85546875" style="3" customWidth="1"/>
    <col min="14423" max="14427" width="8.28515625" style="3" customWidth="1"/>
    <col min="14428" max="14430" width="9.140625" style="3" customWidth="1"/>
    <col min="14431" max="14431" width="25.7109375" style="3" customWidth="1"/>
    <col min="14432" max="14436" width="9.140625" style="3" customWidth="1"/>
    <col min="14437" max="14592" width="9.140625" style="3"/>
    <col min="14593" max="14593" width="25.7109375" style="3" customWidth="1"/>
    <col min="14594" max="14594" width="0.85546875" style="3" customWidth="1"/>
    <col min="14595" max="14599" width="8.28515625" style="3" customWidth="1"/>
    <col min="14600" max="14600" width="0.85546875" style="3" customWidth="1"/>
    <col min="14601" max="14605" width="8.28515625" style="3" customWidth="1"/>
    <col min="14606" max="14606" width="0.85546875" style="3" customWidth="1"/>
    <col min="14607" max="14611" width="8.28515625" style="3" customWidth="1"/>
    <col min="14612" max="14612" width="0.85546875" style="3" customWidth="1"/>
    <col min="14613" max="14617" width="8.28515625" style="3" customWidth="1"/>
    <col min="14618" max="14618" width="0.85546875" style="3" customWidth="1"/>
    <col min="14619" max="14623" width="8.28515625" style="3" customWidth="1"/>
    <col min="14624" max="14624" width="0.85546875" style="3" customWidth="1"/>
    <col min="14625" max="14629" width="8.28515625" style="3" customWidth="1"/>
    <col min="14630" max="14630" width="0.85546875" style="3" customWidth="1"/>
    <col min="14631" max="14635" width="8.28515625" style="3" customWidth="1"/>
    <col min="14636" max="14636" width="0.85546875" style="3" customWidth="1"/>
    <col min="14637" max="14641" width="8.28515625" style="3" customWidth="1"/>
    <col min="14642" max="14642" width="0.85546875" style="3" customWidth="1"/>
    <col min="14643" max="14647" width="8.28515625" style="3" customWidth="1"/>
    <col min="14648" max="14648" width="0.85546875" style="3" customWidth="1"/>
    <col min="14649" max="14653" width="8.28515625" style="3" customWidth="1"/>
    <col min="14654" max="14654" width="0.85546875" style="3" customWidth="1"/>
    <col min="14655" max="14659" width="8.28515625" style="3" customWidth="1"/>
    <col min="14660" max="14660" width="0.85546875" style="3" customWidth="1"/>
    <col min="14661" max="14665" width="8.28515625" style="3" customWidth="1"/>
    <col min="14666" max="14666" width="0.85546875" style="3" customWidth="1"/>
    <col min="14667" max="14671" width="8.28515625" style="3" customWidth="1"/>
    <col min="14672" max="14672" width="0.85546875" style="3" customWidth="1"/>
    <col min="14673" max="14677" width="8.28515625" style="3" customWidth="1"/>
    <col min="14678" max="14678" width="0.85546875" style="3" customWidth="1"/>
    <col min="14679" max="14683" width="8.28515625" style="3" customWidth="1"/>
    <col min="14684" max="14686" width="9.140625" style="3" customWidth="1"/>
    <col min="14687" max="14687" width="25.7109375" style="3" customWidth="1"/>
    <col min="14688" max="14692" width="9.140625" style="3" customWidth="1"/>
    <col min="14693" max="14848" width="9.140625" style="3"/>
    <col min="14849" max="14849" width="25.7109375" style="3" customWidth="1"/>
    <col min="14850" max="14850" width="0.85546875" style="3" customWidth="1"/>
    <col min="14851" max="14855" width="8.28515625" style="3" customWidth="1"/>
    <col min="14856" max="14856" width="0.85546875" style="3" customWidth="1"/>
    <col min="14857" max="14861" width="8.28515625" style="3" customWidth="1"/>
    <col min="14862" max="14862" width="0.85546875" style="3" customWidth="1"/>
    <col min="14863" max="14867" width="8.28515625" style="3" customWidth="1"/>
    <col min="14868" max="14868" width="0.85546875" style="3" customWidth="1"/>
    <col min="14869" max="14873" width="8.28515625" style="3" customWidth="1"/>
    <col min="14874" max="14874" width="0.85546875" style="3" customWidth="1"/>
    <col min="14875" max="14879" width="8.28515625" style="3" customWidth="1"/>
    <col min="14880" max="14880" width="0.85546875" style="3" customWidth="1"/>
    <col min="14881" max="14885" width="8.28515625" style="3" customWidth="1"/>
    <col min="14886" max="14886" width="0.85546875" style="3" customWidth="1"/>
    <col min="14887" max="14891" width="8.28515625" style="3" customWidth="1"/>
    <col min="14892" max="14892" width="0.85546875" style="3" customWidth="1"/>
    <col min="14893" max="14897" width="8.28515625" style="3" customWidth="1"/>
    <col min="14898" max="14898" width="0.85546875" style="3" customWidth="1"/>
    <col min="14899" max="14903" width="8.28515625" style="3" customWidth="1"/>
    <col min="14904" max="14904" width="0.85546875" style="3" customWidth="1"/>
    <col min="14905" max="14909" width="8.28515625" style="3" customWidth="1"/>
    <col min="14910" max="14910" width="0.85546875" style="3" customWidth="1"/>
    <col min="14911" max="14915" width="8.28515625" style="3" customWidth="1"/>
    <col min="14916" max="14916" width="0.85546875" style="3" customWidth="1"/>
    <col min="14917" max="14921" width="8.28515625" style="3" customWidth="1"/>
    <col min="14922" max="14922" width="0.85546875" style="3" customWidth="1"/>
    <col min="14923" max="14927" width="8.28515625" style="3" customWidth="1"/>
    <col min="14928" max="14928" width="0.85546875" style="3" customWidth="1"/>
    <col min="14929" max="14933" width="8.28515625" style="3" customWidth="1"/>
    <col min="14934" max="14934" width="0.85546875" style="3" customWidth="1"/>
    <col min="14935" max="14939" width="8.28515625" style="3" customWidth="1"/>
    <col min="14940" max="14942" width="9.140625" style="3" customWidth="1"/>
    <col min="14943" max="14943" width="25.7109375" style="3" customWidth="1"/>
    <col min="14944" max="14948" width="9.140625" style="3" customWidth="1"/>
    <col min="14949" max="15104" width="9.140625" style="3"/>
    <col min="15105" max="15105" width="25.7109375" style="3" customWidth="1"/>
    <col min="15106" max="15106" width="0.85546875" style="3" customWidth="1"/>
    <col min="15107" max="15111" width="8.28515625" style="3" customWidth="1"/>
    <col min="15112" max="15112" width="0.85546875" style="3" customWidth="1"/>
    <col min="15113" max="15117" width="8.28515625" style="3" customWidth="1"/>
    <col min="15118" max="15118" width="0.85546875" style="3" customWidth="1"/>
    <col min="15119" max="15123" width="8.28515625" style="3" customWidth="1"/>
    <col min="15124" max="15124" width="0.85546875" style="3" customWidth="1"/>
    <col min="15125" max="15129" width="8.28515625" style="3" customWidth="1"/>
    <col min="15130" max="15130" width="0.85546875" style="3" customWidth="1"/>
    <col min="15131" max="15135" width="8.28515625" style="3" customWidth="1"/>
    <col min="15136" max="15136" width="0.85546875" style="3" customWidth="1"/>
    <col min="15137" max="15141" width="8.28515625" style="3" customWidth="1"/>
    <col min="15142" max="15142" width="0.85546875" style="3" customWidth="1"/>
    <col min="15143" max="15147" width="8.28515625" style="3" customWidth="1"/>
    <col min="15148" max="15148" width="0.85546875" style="3" customWidth="1"/>
    <col min="15149" max="15153" width="8.28515625" style="3" customWidth="1"/>
    <col min="15154" max="15154" width="0.85546875" style="3" customWidth="1"/>
    <col min="15155" max="15159" width="8.28515625" style="3" customWidth="1"/>
    <col min="15160" max="15160" width="0.85546875" style="3" customWidth="1"/>
    <col min="15161" max="15165" width="8.28515625" style="3" customWidth="1"/>
    <col min="15166" max="15166" width="0.85546875" style="3" customWidth="1"/>
    <col min="15167" max="15171" width="8.28515625" style="3" customWidth="1"/>
    <col min="15172" max="15172" width="0.85546875" style="3" customWidth="1"/>
    <col min="15173" max="15177" width="8.28515625" style="3" customWidth="1"/>
    <col min="15178" max="15178" width="0.85546875" style="3" customWidth="1"/>
    <col min="15179" max="15183" width="8.28515625" style="3" customWidth="1"/>
    <col min="15184" max="15184" width="0.85546875" style="3" customWidth="1"/>
    <col min="15185" max="15189" width="8.28515625" style="3" customWidth="1"/>
    <col min="15190" max="15190" width="0.85546875" style="3" customWidth="1"/>
    <col min="15191" max="15195" width="8.28515625" style="3" customWidth="1"/>
    <col min="15196" max="15198" width="9.140625" style="3" customWidth="1"/>
    <col min="15199" max="15199" width="25.7109375" style="3" customWidth="1"/>
    <col min="15200" max="15204" width="9.140625" style="3" customWidth="1"/>
    <col min="15205" max="15360" width="9.140625" style="3"/>
    <col min="15361" max="15361" width="25.7109375" style="3" customWidth="1"/>
    <col min="15362" max="15362" width="0.85546875" style="3" customWidth="1"/>
    <col min="15363" max="15367" width="8.28515625" style="3" customWidth="1"/>
    <col min="15368" max="15368" width="0.85546875" style="3" customWidth="1"/>
    <col min="15369" max="15373" width="8.28515625" style="3" customWidth="1"/>
    <col min="15374" max="15374" width="0.85546875" style="3" customWidth="1"/>
    <col min="15375" max="15379" width="8.28515625" style="3" customWidth="1"/>
    <col min="15380" max="15380" width="0.85546875" style="3" customWidth="1"/>
    <col min="15381" max="15385" width="8.28515625" style="3" customWidth="1"/>
    <col min="15386" max="15386" width="0.85546875" style="3" customWidth="1"/>
    <col min="15387" max="15391" width="8.28515625" style="3" customWidth="1"/>
    <col min="15392" max="15392" width="0.85546875" style="3" customWidth="1"/>
    <col min="15393" max="15397" width="8.28515625" style="3" customWidth="1"/>
    <col min="15398" max="15398" width="0.85546875" style="3" customWidth="1"/>
    <col min="15399" max="15403" width="8.28515625" style="3" customWidth="1"/>
    <col min="15404" max="15404" width="0.85546875" style="3" customWidth="1"/>
    <col min="15405" max="15409" width="8.28515625" style="3" customWidth="1"/>
    <col min="15410" max="15410" width="0.85546875" style="3" customWidth="1"/>
    <col min="15411" max="15415" width="8.28515625" style="3" customWidth="1"/>
    <col min="15416" max="15416" width="0.85546875" style="3" customWidth="1"/>
    <col min="15417" max="15421" width="8.28515625" style="3" customWidth="1"/>
    <col min="15422" max="15422" width="0.85546875" style="3" customWidth="1"/>
    <col min="15423" max="15427" width="8.28515625" style="3" customWidth="1"/>
    <col min="15428" max="15428" width="0.85546875" style="3" customWidth="1"/>
    <col min="15429" max="15433" width="8.28515625" style="3" customWidth="1"/>
    <col min="15434" max="15434" width="0.85546875" style="3" customWidth="1"/>
    <col min="15435" max="15439" width="8.28515625" style="3" customWidth="1"/>
    <col min="15440" max="15440" width="0.85546875" style="3" customWidth="1"/>
    <col min="15441" max="15445" width="8.28515625" style="3" customWidth="1"/>
    <col min="15446" max="15446" width="0.85546875" style="3" customWidth="1"/>
    <col min="15447" max="15451" width="8.28515625" style="3" customWidth="1"/>
    <col min="15452" max="15454" width="9.140625" style="3" customWidth="1"/>
    <col min="15455" max="15455" width="25.7109375" style="3" customWidth="1"/>
    <col min="15456" max="15460" width="9.140625" style="3" customWidth="1"/>
    <col min="15461" max="15616" width="9.140625" style="3"/>
    <col min="15617" max="15617" width="25.7109375" style="3" customWidth="1"/>
    <col min="15618" max="15618" width="0.85546875" style="3" customWidth="1"/>
    <col min="15619" max="15623" width="8.28515625" style="3" customWidth="1"/>
    <col min="15624" max="15624" width="0.85546875" style="3" customWidth="1"/>
    <col min="15625" max="15629" width="8.28515625" style="3" customWidth="1"/>
    <col min="15630" max="15630" width="0.85546875" style="3" customWidth="1"/>
    <col min="15631" max="15635" width="8.28515625" style="3" customWidth="1"/>
    <col min="15636" max="15636" width="0.85546875" style="3" customWidth="1"/>
    <col min="15637" max="15641" width="8.28515625" style="3" customWidth="1"/>
    <col min="15642" max="15642" width="0.85546875" style="3" customWidth="1"/>
    <col min="15643" max="15647" width="8.28515625" style="3" customWidth="1"/>
    <col min="15648" max="15648" width="0.85546875" style="3" customWidth="1"/>
    <col min="15649" max="15653" width="8.28515625" style="3" customWidth="1"/>
    <col min="15654" max="15654" width="0.85546875" style="3" customWidth="1"/>
    <col min="15655" max="15659" width="8.28515625" style="3" customWidth="1"/>
    <col min="15660" max="15660" width="0.85546875" style="3" customWidth="1"/>
    <col min="15661" max="15665" width="8.28515625" style="3" customWidth="1"/>
    <col min="15666" max="15666" width="0.85546875" style="3" customWidth="1"/>
    <col min="15667" max="15671" width="8.28515625" style="3" customWidth="1"/>
    <col min="15672" max="15672" width="0.85546875" style="3" customWidth="1"/>
    <col min="15673" max="15677" width="8.28515625" style="3" customWidth="1"/>
    <col min="15678" max="15678" width="0.85546875" style="3" customWidth="1"/>
    <col min="15679" max="15683" width="8.28515625" style="3" customWidth="1"/>
    <col min="15684" max="15684" width="0.85546875" style="3" customWidth="1"/>
    <col min="15685" max="15689" width="8.28515625" style="3" customWidth="1"/>
    <col min="15690" max="15690" width="0.85546875" style="3" customWidth="1"/>
    <col min="15691" max="15695" width="8.28515625" style="3" customWidth="1"/>
    <col min="15696" max="15696" width="0.85546875" style="3" customWidth="1"/>
    <col min="15697" max="15701" width="8.28515625" style="3" customWidth="1"/>
    <col min="15702" max="15702" width="0.85546875" style="3" customWidth="1"/>
    <col min="15703" max="15707" width="8.28515625" style="3" customWidth="1"/>
    <col min="15708" max="15710" width="9.140625" style="3" customWidth="1"/>
    <col min="15711" max="15711" width="25.7109375" style="3" customWidth="1"/>
    <col min="15712" max="15716" width="9.140625" style="3" customWidth="1"/>
    <col min="15717" max="15872" width="9.140625" style="3"/>
    <col min="15873" max="15873" width="25.7109375" style="3" customWidth="1"/>
    <col min="15874" max="15874" width="0.85546875" style="3" customWidth="1"/>
    <col min="15875" max="15879" width="8.28515625" style="3" customWidth="1"/>
    <col min="15880" max="15880" width="0.85546875" style="3" customWidth="1"/>
    <col min="15881" max="15885" width="8.28515625" style="3" customWidth="1"/>
    <col min="15886" max="15886" width="0.85546875" style="3" customWidth="1"/>
    <col min="15887" max="15891" width="8.28515625" style="3" customWidth="1"/>
    <col min="15892" max="15892" width="0.85546875" style="3" customWidth="1"/>
    <col min="15893" max="15897" width="8.28515625" style="3" customWidth="1"/>
    <col min="15898" max="15898" width="0.85546875" style="3" customWidth="1"/>
    <col min="15899" max="15903" width="8.28515625" style="3" customWidth="1"/>
    <col min="15904" max="15904" width="0.85546875" style="3" customWidth="1"/>
    <col min="15905" max="15909" width="8.28515625" style="3" customWidth="1"/>
    <col min="15910" max="15910" width="0.85546875" style="3" customWidth="1"/>
    <col min="15911" max="15915" width="8.28515625" style="3" customWidth="1"/>
    <col min="15916" max="15916" width="0.85546875" style="3" customWidth="1"/>
    <col min="15917" max="15921" width="8.28515625" style="3" customWidth="1"/>
    <col min="15922" max="15922" width="0.85546875" style="3" customWidth="1"/>
    <col min="15923" max="15927" width="8.28515625" style="3" customWidth="1"/>
    <col min="15928" max="15928" width="0.85546875" style="3" customWidth="1"/>
    <col min="15929" max="15933" width="8.28515625" style="3" customWidth="1"/>
    <col min="15934" max="15934" width="0.85546875" style="3" customWidth="1"/>
    <col min="15935" max="15939" width="8.28515625" style="3" customWidth="1"/>
    <col min="15940" max="15940" width="0.85546875" style="3" customWidth="1"/>
    <col min="15941" max="15945" width="8.28515625" style="3" customWidth="1"/>
    <col min="15946" max="15946" width="0.85546875" style="3" customWidth="1"/>
    <col min="15947" max="15951" width="8.28515625" style="3" customWidth="1"/>
    <col min="15952" max="15952" width="0.85546875" style="3" customWidth="1"/>
    <col min="15953" max="15957" width="8.28515625" style="3" customWidth="1"/>
    <col min="15958" max="15958" width="0.85546875" style="3" customWidth="1"/>
    <col min="15959" max="15963" width="8.28515625" style="3" customWidth="1"/>
    <col min="15964" max="15966" width="9.140625" style="3" customWidth="1"/>
    <col min="15967" max="15967" width="25.7109375" style="3" customWidth="1"/>
    <col min="15968" max="15972" width="9.140625" style="3" customWidth="1"/>
    <col min="15973" max="16128" width="9.140625" style="3"/>
    <col min="16129" max="16129" width="25.7109375" style="3" customWidth="1"/>
    <col min="16130" max="16130" width="0.85546875" style="3" customWidth="1"/>
    <col min="16131" max="16135" width="8.28515625" style="3" customWidth="1"/>
    <col min="16136" max="16136" width="0.85546875" style="3" customWidth="1"/>
    <col min="16137" max="16141" width="8.28515625" style="3" customWidth="1"/>
    <col min="16142" max="16142" width="0.85546875" style="3" customWidth="1"/>
    <col min="16143" max="16147" width="8.28515625" style="3" customWidth="1"/>
    <col min="16148" max="16148" width="0.85546875" style="3" customWidth="1"/>
    <col min="16149" max="16153" width="8.28515625" style="3" customWidth="1"/>
    <col min="16154" max="16154" width="0.85546875" style="3" customWidth="1"/>
    <col min="16155" max="16159" width="8.28515625" style="3" customWidth="1"/>
    <col min="16160" max="16160" width="0.85546875" style="3" customWidth="1"/>
    <col min="16161" max="16165" width="8.28515625" style="3" customWidth="1"/>
    <col min="16166" max="16166" width="0.85546875" style="3" customWidth="1"/>
    <col min="16167" max="16171" width="8.28515625" style="3" customWidth="1"/>
    <col min="16172" max="16172" width="0.85546875" style="3" customWidth="1"/>
    <col min="16173" max="16177" width="8.28515625" style="3" customWidth="1"/>
    <col min="16178" max="16178" width="0.85546875" style="3" customWidth="1"/>
    <col min="16179" max="16183" width="8.28515625" style="3" customWidth="1"/>
    <col min="16184" max="16184" width="0.85546875" style="3" customWidth="1"/>
    <col min="16185" max="16189" width="8.28515625" style="3" customWidth="1"/>
    <col min="16190" max="16190" width="0.85546875" style="3" customWidth="1"/>
    <col min="16191" max="16195" width="8.28515625" style="3" customWidth="1"/>
    <col min="16196" max="16196" width="0.85546875" style="3" customWidth="1"/>
    <col min="16197" max="16201" width="8.28515625" style="3" customWidth="1"/>
    <col min="16202" max="16202" width="0.85546875" style="3" customWidth="1"/>
    <col min="16203" max="16207" width="8.28515625" style="3" customWidth="1"/>
    <col min="16208" max="16208" width="0.85546875" style="3" customWidth="1"/>
    <col min="16209" max="16213" width="8.28515625" style="3" customWidth="1"/>
    <col min="16214" max="16214" width="0.85546875" style="3" customWidth="1"/>
    <col min="16215" max="16219" width="8.28515625" style="3" customWidth="1"/>
    <col min="16220" max="16222" width="9.140625" style="3" customWidth="1"/>
    <col min="16223" max="16223" width="25.7109375" style="3" customWidth="1"/>
    <col min="16224" max="16228" width="9.140625" style="3" customWidth="1"/>
    <col min="16229" max="16384" width="9.140625" style="3"/>
  </cols>
  <sheetData>
    <row r="1" spans="1:94" x14ac:dyDescent="0.2">
      <c r="A1" s="2" t="s">
        <v>26</v>
      </c>
      <c r="R1" s="52"/>
      <c r="S1" s="53"/>
      <c r="Y1" s="54"/>
      <c r="Z1" s="54"/>
      <c r="AA1" s="55"/>
      <c r="AB1" s="54"/>
      <c r="AC1" s="54"/>
      <c r="AD1" s="56"/>
      <c r="AE1" s="57"/>
      <c r="AF1" s="57"/>
      <c r="AG1" s="58"/>
      <c r="AH1" s="59"/>
      <c r="AI1" s="54"/>
      <c r="AJ1" s="54"/>
      <c r="AK1" s="57"/>
      <c r="AL1" s="54"/>
      <c r="AM1" s="54"/>
      <c r="AN1" s="54"/>
      <c r="AO1" s="60"/>
      <c r="AP1" s="54"/>
      <c r="AQ1" s="61"/>
      <c r="AR1" s="61"/>
      <c r="AS1" s="61"/>
      <c r="AT1" s="61"/>
      <c r="AU1" s="61"/>
      <c r="AV1" s="61"/>
      <c r="AW1" s="10"/>
      <c r="AX1" s="10"/>
      <c r="AY1" s="10"/>
      <c r="AZ1" s="10"/>
      <c r="BA1" s="10"/>
      <c r="BB1" s="10"/>
      <c r="BC1" s="10"/>
      <c r="BD1" s="10"/>
      <c r="BE1" s="61"/>
      <c r="BF1" s="10"/>
      <c r="BG1" s="10"/>
      <c r="BH1" s="10"/>
      <c r="BI1" s="10"/>
      <c r="BJ1" s="10"/>
      <c r="BK1" s="10"/>
      <c r="BL1" s="10"/>
      <c r="BM1" s="10"/>
      <c r="BN1" s="10"/>
      <c r="BO1" s="10"/>
      <c r="BP1" s="10"/>
      <c r="BQ1" s="10"/>
      <c r="BR1" s="10"/>
      <c r="BS1" s="10"/>
      <c r="BT1" s="10"/>
      <c r="BU1" s="62"/>
      <c r="BV1" s="10"/>
      <c r="BW1" s="10"/>
      <c r="BX1" s="10"/>
      <c r="BY1" s="10"/>
      <c r="BZ1" s="10"/>
      <c r="CA1" s="62"/>
      <c r="CB1" s="10"/>
      <c r="CC1" s="10"/>
      <c r="CD1" s="10"/>
      <c r="CE1" s="10"/>
      <c r="CF1" s="10"/>
      <c r="CG1" s="62"/>
      <c r="CH1" s="53"/>
      <c r="CI1" s="53"/>
      <c r="CJ1" s="53"/>
      <c r="CK1" s="53"/>
      <c r="CL1" s="53"/>
      <c r="CM1" s="53"/>
      <c r="CN1" s="53"/>
      <c r="CO1" s="53"/>
      <c r="CP1" s="53"/>
    </row>
    <row r="2" spans="1:94" ht="12.75" customHeight="1" x14ac:dyDescent="0.2">
      <c r="A2" s="4" t="s">
        <v>34</v>
      </c>
      <c r="B2" s="5"/>
      <c r="C2" s="63"/>
      <c r="D2" s="6"/>
      <c r="E2" s="6"/>
      <c r="F2" s="6"/>
      <c r="G2" s="5"/>
      <c r="H2" s="5"/>
      <c r="I2" s="63"/>
      <c r="J2" s="6"/>
      <c r="K2" s="6"/>
      <c r="L2" s="6"/>
      <c r="M2" s="64"/>
      <c r="N2" s="5"/>
      <c r="O2" s="63"/>
      <c r="P2" s="6"/>
      <c r="Q2" s="6"/>
      <c r="R2" s="6"/>
      <c r="S2" s="6"/>
      <c r="T2" s="5"/>
      <c r="U2" s="63"/>
      <c r="V2" s="6"/>
      <c r="W2" s="6"/>
      <c r="X2" s="6"/>
      <c r="Y2" s="6"/>
      <c r="Z2" s="5"/>
      <c r="AA2" s="65"/>
      <c r="AB2" s="6"/>
      <c r="AC2" s="6"/>
      <c r="AD2" s="6"/>
      <c r="AE2" s="66"/>
      <c r="AF2" s="67"/>
      <c r="AG2" s="68"/>
      <c r="AH2" s="6"/>
      <c r="AI2" s="7"/>
      <c r="AJ2" s="7"/>
      <c r="AK2" s="67"/>
      <c r="AL2" s="5"/>
      <c r="AM2" s="7"/>
      <c r="AN2" s="7"/>
      <c r="AO2" s="69"/>
      <c r="AP2" s="70"/>
      <c r="AQ2" s="7"/>
      <c r="AR2" s="5"/>
      <c r="AS2" s="71"/>
      <c r="AT2" s="71"/>
      <c r="AU2" s="71"/>
      <c r="AV2" s="72"/>
      <c r="AW2" s="68"/>
      <c r="AX2" s="68"/>
      <c r="AY2" s="68"/>
      <c r="AZ2" s="68"/>
      <c r="BA2" s="68"/>
      <c r="BB2" s="68"/>
      <c r="BC2" s="68"/>
      <c r="BD2" s="68"/>
      <c r="BE2" s="68"/>
      <c r="BF2" s="68"/>
      <c r="BG2" s="68"/>
      <c r="BH2" s="68"/>
      <c r="BI2" s="68"/>
      <c r="BJ2" s="68"/>
      <c r="BK2" s="6"/>
      <c r="BL2" s="68"/>
      <c r="BM2" s="68"/>
      <c r="BN2" s="68"/>
      <c r="BO2" s="68"/>
      <c r="BP2" s="68"/>
      <c r="BQ2" s="68"/>
      <c r="BR2" s="68"/>
      <c r="BS2" s="68"/>
      <c r="BT2" s="68"/>
      <c r="BU2" s="6"/>
      <c r="BV2" s="68"/>
      <c r="BW2" s="68"/>
      <c r="BX2" s="68"/>
      <c r="BY2" s="68"/>
      <c r="BZ2" s="68"/>
      <c r="CA2" s="69"/>
      <c r="CB2" s="68"/>
      <c r="CC2" s="68"/>
      <c r="CD2" s="68"/>
      <c r="CE2" s="68"/>
      <c r="CF2" s="68"/>
      <c r="CG2" s="68"/>
      <c r="CH2" s="68"/>
      <c r="CI2" s="68"/>
      <c r="CJ2" s="68"/>
      <c r="CK2" s="68"/>
      <c r="CL2" s="68"/>
      <c r="CM2" s="68"/>
      <c r="CN2" s="53"/>
      <c r="CO2" s="53"/>
      <c r="CP2" s="53"/>
    </row>
    <row r="3" spans="1:94" x14ac:dyDescent="0.2">
      <c r="A3" s="8" t="s">
        <v>0</v>
      </c>
      <c r="C3" s="73"/>
      <c r="D3" s="53"/>
      <c r="E3" s="53"/>
      <c r="F3" s="53"/>
      <c r="I3" s="73"/>
      <c r="J3" s="53"/>
      <c r="K3" s="53"/>
      <c r="L3" s="53"/>
      <c r="M3" s="74"/>
      <c r="O3" s="73"/>
      <c r="P3" s="53"/>
      <c r="Q3" s="53"/>
      <c r="R3" s="53"/>
      <c r="U3" s="73"/>
      <c r="V3" s="53"/>
      <c r="W3" s="53"/>
      <c r="X3" s="53"/>
      <c r="Y3" s="53"/>
      <c r="AA3" s="73"/>
      <c r="AB3" s="53"/>
      <c r="AC3" s="53"/>
      <c r="AD3" s="53"/>
      <c r="AG3" s="53"/>
      <c r="AH3" s="53"/>
      <c r="AK3" s="60"/>
      <c r="AP3" s="75"/>
      <c r="AQ3" s="76"/>
      <c r="AS3" s="76"/>
      <c r="AT3" s="53"/>
      <c r="AU3" s="53"/>
      <c r="AV3" s="76"/>
      <c r="AW3" s="10"/>
      <c r="AX3" s="10"/>
      <c r="AY3" s="10"/>
      <c r="AZ3" s="10"/>
      <c r="BA3" s="10"/>
      <c r="BB3" s="10"/>
      <c r="BC3" s="10"/>
      <c r="BD3" s="10"/>
      <c r="BE3" s="10"/>
      <c r="BF3" s="10"/>
      <c r="BG3" s="10"/>
      <c r="BH3" s="10"/>
      <c r="BI3" s="53"/>
      <c r="BJ3" s="10"/>
      <c r="BK3" s="10"/>
      <c r="BL3" s="61"/>
      <c r="BM3" s="10"/>
      <c r="BN3" s="10"/>
      <c r="BO3" s="10"/>
      <c r="BP3" s="10"/>
      <c r="BQ3" s="10"/>
      <c r="BR3" s="10"/>
      <c r="BS3" s="10"/>
      <c r="BT3" s="10"/>
      <c r="BU3" s="62"/>
      <c r="BV3" s="10"/>
      <c r="BW3" s="10"/>
      <c r="BX3" s="10"/>
      <c r="BY3" s="10"/>
      <c r="BZ3" s="10"/>
      <c r="CA3" s="10"/>
      <c r="CB3" s="10"/>
      <c r="CC3" s="10"/>
      <c r="CD3" s="10"/>
      <c r="CE3" s="10"/>
      <c r="CF3" s="10"/>
      <c r="CG3" s="10"/>
    </row>
    <row r="4" spans="1:94" x14ac:dyDescent="0.2">
      <c r="A4" s="8" t="s">
        <v>1</v>
      </c>
      <c r="AQ4" s="76"/>
      <c r="AT4" s="76"/>
      <c r="AV4" s="53"/>
      <c r="AW4" s="10"/>
      <c r="AX4" s="10"/>
      <c r="AY4" s="10"/>
      <c r="AZ4" s="10"/>
      <c r="BA4" s="10"/>
      <c r="BB4" s="10"/>
      <c r="BC4" s="10"/>
      <c r="BD4" s="10"/>
      <c r="BE4" s="10"/>
      <c r="BF4" s="10"/>
      <c r="BG4" s="10"/>
      <c r="BH4" s="10"/>
      <c r="BI4" s="10"/>
      <c r="BJ4" s="10"/>
      <c r="BK4" s="10"/>
      <c r="BL4" s="10"/>
      <c r="BM4" s="10"/>
      <c r="BN4" s="60"/>
      <c r="BO4" s="10"/>
      <c r="BP4" s="10"/>
      <c r="BQ4" s="10"/>
      <c r="BR4" s="10"/>
      <c r="BS4" s="10"/>
      <c r="BT4" s="10"/>
      <c r="BU4" s="10"/>
      <c r="BV4" s="10"/>
      <c r="BW4" s="10"/>
      <c r="BX4" s="10"/>
      <c r="BY4" s="10"/>
      <c r="BZ4" s="10"/>
      <c r="CA4" s="10"/>
      <c r="CB4" s="10"/>
      <c r="CC4" s="10"/>
      <c r="CD4" s="10"/>
      <c r="CE4" s="10"/>
      <c r="CF4" s="10"/>
      <c r="CG4" s="10"/>
    </row>
    <row r="5" spans="1:94" x14ac:dyDescent="0.2">
      <c r="C5" s="12">
        <v>2007</v>
      </c>
      <c r="D5" s="13"/>
      <c r="E5" s="13"/>
      <c r="F5" s="13"/>
      <c r="G5" s="14">
        <f>C5</f>
        <v>2007</v>
      </c>
      <c r="H5" s="15"/>
      <c r="I5" s="12">
        <f>C5+1</f>
        <v>2008</v>
      </c>
      <c r="J5" s="13"/>
      <c r="K5" s="13"/>
      <c r="L5" s="13"/>
      <c r="M5" s="14">
        <f>I5</f>
        <v>2008</v>
      </c>
      <c r="N5" s="16"/>
      <c r="O5" s="12">
        <f>I5+1</f>
        <v>2009</v>
      </c>
      <c r="P5" s="13"/>
      <c r="Q5" s="13"/>
      <c r="R5" s="13"/>
      <c r="S5" s="14">
        <f>O5</f>
        <v>2009</v>
      </c>
      <c r="T5" s="16"/>
      <c r="U5" s="12">
        <f>O5+1</f>
        <v>2010</v>
      </c>
      <c r="V5" s="13"/>
      <c r="W5" s="13"/>
      <c r="X5" s="13"/>
      <c r="Y5" s="14">
        <f>U5</f>
        <v>2010</v>
      </c>
      <c r="Z5" s="16"/>
      <c r="AA5" s="12">
        <f>U5+1</f>
        <v>2011</v>
      </c>
      <c r="AB5" s="13"/>
      <c r="AC5" s="13"/>
      <c r="AD5" s="13"/>
      <c r="AE5" s="14">
        <f>AA5</f>
        <v>2011</v>
      </c>
      <c r="AF5" s="16"/>
      <c r="AG5" s="12">
        <f>AA5+1</f>
        <v>2012</v>
      </c>
      <c r="AH5" s="13"/>
      <c r="AI5" s="13"/>
      <c r="AJ5" s="13"/>
      <c r="AK5" s="14">
        <f>AG5</f>
        <v>2012</v>
      </c>
      <c r="AL5" s="16"/>
      <c r="AM5" s="12">
        <f>AG5+1</f>
        <v>2013</v>
      </c>
      <c r="AN5" s="13"/>
      <c r="AO5" s="13"/>
      <c r="AP5" s="13"/>
      <c r="AQ5" s="14">
        <f>AM5</f>
        <v>2013</v>
      </c>
      <c r="AR5" s="16"/>
      <c r="AS5" s="12">
        <f>AM5+1</f>
        <v>2014</v>
      </c>
      <c r="AT5" s="13"/>
      <c r="AU5" s="13"/>
      <c r="AV5" s="13"/>
      <c r="AW5" s="14">
        <f>AS5</f>
        <v>2014</v>
      </c>
      <c r="AX5" s="16"/>
      <c r="AY5" s="12">
        <f>AS5+1</f>
        <v>2015</v>
      </c>
      <c r="AZ5" s="13"/>
      <c r="BA5" s="13"/>
      <c r="BB5" s="13"/>
      <c r="BC5" s="14">
        <f>AY5</f>
        <v>2015</v>
      </c>
      <c r="BD5" s="16"/>
      <c r="BE5" s="12">
        <f>AY5+1</f>
        <v>2016</v>
      </c>
      <c r="BF5" s="13"/>
      <c r="BG5" s="13"/>
      <c r="BH5" s="13"/>
      <c r="BI5" s="14">
        <f>BE5</f>
        <v>2016</v>
      </c>
      <c r="BJ5" s="16"/>
      <c r="BK5" s="12">
        <f>BE5+1</f>
        <v>2017</v>
      </c>
      <c r="BL5" s="13"/>
      <c r="BM5" s="13"/>
      <c r="BN5" s="13"/>
      <c r="BO5" s="14">
        <f>BK5</f>
        <v>2017</v>
      </c>
      <c r="BP5" s="16"/>
      <c r="BQ5" s="17">
        <f>BK5+1</f>
        <v>2018</v>
      </c>
      <c r="BR5" s="13"/>
      <c r="BS5" s="13"/>
      <c r="BT5" s="13"/>
      <c r="BU5" s="18">
        <f>BQ5</f>
        <v>2018</v>
      </c>
      <c r="BV5" s="16"/>
      <c r="BW5" s="17">
        <f>BQ5+1</f>
        <v>2019</v>
      </c>
      <c r="BX5" s="13"/>
      <c r="BY5" s="13"/>
      <c r="BZ5" s="13"/>
      <c r="CA5" s="18">
        <f>BW5</f>
        <v>2019</v>
      </c>
      <c r="CB5" s="16"/>
      <c r="CC5" s="17">
        <f>BW5+1</f>
        <v>2020</v>
      </c>
      <c r="CD5" s="13"/>
      <c r="CE5" s="13"/>
      <c r="CF5" s="13"/>
      <c r="CG5" s="18">
        <f>CC5</f>
        <v>2020</v>
      </c>
      <c r="CH5" s="16"/>
      <c r="CI5" s="17">
        <f>CC5+1</f>
        <v>2021</v>
      </c>
      <c r="CJ5" s="13"/>
      <c r="CK5" s="13"/>
      <c r="CL5" s="13"/>
      <c r="CM5" s="18">
        <f>CI5</f>
        <v>2021</v>
      </c>
    </row>
    <row r="6" spans="1:94" x14ac:dyDescent="0.2">
      <c r="C6" s="19">
        <v>39082</v>
      </c>
      <c r="D6" s="19">
        <v>39172</v>
      </c>
      <c r="E6" s="19">
        <v>39263</v>
      </c>
      <c r="F6" s="19">
        <v>39355</v>
      </c>
      <c r="G6" s="15"/>
      <c r="H6" s="15"/>
      <c r="I6" s="19">
        <f>F6+FLOOR(365/4,1)+1</f>
        <v>39447</v>
      </c>
      <c r="J6" s="19">
        <f>D6+365+1</f>
        <v>39538</v>
      </c>
      <c r="K6" s="19">
        <f>J6+FLOOR(365/4,1)</f>
        <v>39629</v>
      </c>
      <c r="L6" s="19">
        <f>K6+FLOOR(365/4,1)+1</f>
        <v>39721</v>
      </c>
      <c r="M6" s="15"/>
      <c r="N6" s="16"/>
      <c r="O6" s="19">
        <f>L6+FLOOR(365/4,1)+1</f>
        <v>39813</v>
      </c>
      <c r="P6" s="19">
        <f>J6+365</f>
        <v>39903</v>
      </c>
      <c r="Q6" s="19">
        <f>P6+FLOOR(365/4,1)</f>
        <v>39994</v>
      </c>
      <c r="R6" s="19">
        <f>Q6+FLOOR(365/4,1)+1</f>
        <v>40086</v>
      </c>
      <c r="S6" s="15"/>
      <c r="T6" s="16"/>
      <c r="U6" s="19">
        <f>R6+FLOOR(365/4,1)+1</f>
        <v>40178</v>
      </c>
      <c r="V6" s="19">
        <f>P6+365</f>
        <v>40268</v>
      </c>
      <c r="W6" s="19">
        <f>V6+FLOOR(365/4,1)</f>
        <v>40359</v>
      </c>
      <c r="X6" s="19">
        <f>W6+FLOOR(365/4,1)+1</f>
        <v>40451</v>
      </c>
      <c r="Y6" s="15"/>
      <c r="Z6" s="16"/>
      <c r="AA6" s="19">
        <f>X6+FLOOR(365/4,1)+1</f>
        <v>40543</v>
      </c>
      <c r="AB6" s="19">
        <f>V6+365</f>
        <v>40633</v>
      </c>
      <c r="AC6" s="19">
        <f>AB6+FLOOR(365/4,1)</f>
        <v>40724</v>
      </c>
      <c r="AD6" s="19">
        <f>AC6+FLOOR(365/4,1)+1</f>
        <v>40816</v>
      </c>
      <c r="AE6" s="15"/>
      <c r="AF6" s="16"/>
      <c r="AG6" s="19">
        <f>AD6+FLOOR(365/4,1)+1</f>
        <v>40908</v>
      </c>
      <c r="AH6" s="19">
        <f>AB6+365+1</f>
        <v>40999</v>
      </c>
      <c r="AI6" s="19">
        <f>AH6+FLOOR(365/4,1)</f>
        <v>41090</v>
      </c>
      <c r="AJ6" s="19">
        <f>AI6+FLOOR(365/4,1)+1</f>
        <v>41182</v>
      </c>
      <c r="AK6" s="15"/>
      <c r="AL6" s="16"/>
      <c r="AM6" s="19">
        <f>AJ6+FLOOR(365/4,1)+1</f>
        <v>41274</v>
      </c>
      <c r="AN6" s="19">
        <f>AH6+365</f>
        <v>41364</v>
      </c>
      <c r="AO6" s="19">
        <f>AN6+FLOOR(365/4,1)</f>
        <v>41455</v>
      </c>
      <c r="AP6" s="19">
        <f>AO6+FLOOR(365/4,1)+1</f>
        <v>41547</v>
      </c>
      <c r="AQ6" s="15"/>
      <c r="AR6" s="16"/>
      <c r="AS6" s="19">
        <f>AP6+FLOOR(365/4,1)+1</f>
        <v>41639</v>
      </c>
      <c r="AT6" s="19">
        <f>AN6+365</f>
        <v>41729</v>
      </c>
      <c r="AU6" s="19">
        <f>AT6+FLOOR(365/4,1)</f>
        <v>41820</v>
      </c>
      <c r="AV6" s="19">
        <f>AU6+FLOOR(365/4,1)+1</f>
        <v>41912</v>
      </c>
      <c r="AW6" s="15"/>
      <c r="AX6" s="16"/>
      <c r="AY6" s="20">
        <f>AV6+FLOOR(365/4,1)+1</f>
        <v>42004</v>
      </c>
      <c r="AZ6" s="20">
        <f>AT6+365</f>
        <v>42094</v>
      </c>
      <c r="BA6" s="20">
        <f>AZ6+FLOOR(365/4,1)</f>
        <v>42185</v>
      </c>
      <c r="BB6" s="20">
        <f>BA6+FLOOR(365/4,1)+1</f>
        <v>42277</v>
      </c>
      <c r="BC6" s="15"/>
      <c r="BD6" s="16"/>
      <c r="BE6" s="20">
        <f>BB6+FLOOR(365/4,1)+1</f>
        <v>42369</v>
      </c>
      <c r="BF6" s="20">
        <f>AZ6+365+1</f>
        <v>42460</v>
      </c>
      <c r="BG6" s="20">
        <f>BF6+FLOOR(365/4,1)</f>
        <v>42551</v>
      </c>
      <c r="BH6" s="20">
        <f>BG6+FLOOR(365/4,1)+1</f>
        <v>42643</v>
      </c>
      <c r="BI6" s="15"/>
      <c r="BJ6" s="16"/>
      <c r="BK6" s="20">
        <f>BH6+FLOOR(365/4,1)+1</f>
        <v>42735</v>
      </c>
      <c r="BL6" s="20">
        <f>BF6+365</f>
        <v>42825</v>
      </c>
      <c r="BM6" s="20">
        <f>BL6+FLOOR(365/4,1)</f>
        <v>42916</v>
      </c>
      <c r="BN6" s="20">
        <f>BM6+FLOOR(365/4,1)+1</f>
        <v>43008</v>
      </c>
      <c r="BO6" s="15"/>
      <c r="BP6" s="16"/>
      <c r="BQ6" s="20">
        <f>BN6+FLOOR(365/4,1)+1</f>
        <v>43100</v>
      </c>
      <c r="BR6" s="21">
        <f>BL6+365</f>
        <v>43190</v>
      </c>
      <c r="BS6" s="21">
        <f>BR6+FLOOR(365/4,1)</f>
        <v>43281</v>
      </c>
      <c r="BT6" s="21">
        <f>BS6+FLOOR(365/4,1)+1</f>
        <v>43373</v>
      </c>
      <c r="BU6" s="15"/>
      <c r="BV6" s="16"/>
      <c r="BW6" s="21">
        <f>BT6+FLOOR(365/4,1)+1</f>
        <v>43465</v>
      </c>
      <c r="BX6" s="21">
        <f>BR6+365</f>
        <v>43555</v>
      </c>
      <c r="BY6" s="21">
        <f>BX6+FLOOR(365/4,1)</f>
        <v>43646</v>
      </c>
      <c r="BZ6" s="21">
        <f>BY6+FLOOR(365/4,1)+1</f>
        <v>43738</v>
      </c>
      <c r="CA6" s="15"/>
      <c r="CB6" s="16"/>
      <c r="CC6" s="21">
        <f>BZ6+FLOOR(365/4,1)+1</f>
        <v>43830</v>
      </c>
      <c r="CD6" s="21">
        <f>BX6+365+1</f>
        <v>43921</v>
      </c>
      <c r="CE6" s="21">
        <f>CD6+FLOOR(365/4,1)</f>
        <v>44012</v>
      </c>
      <c r="CF6" s="21">
        <f>CE6+FLOOR(365/4,1)+1</f>
        <v>44104</v>
      </c>
      <c r="CG6" s="15"/>
      <c r="CH6" s="16"/>
      <c r="CI6" s="21">
        <f>CF6+FLOOR(365/4,1)+1</f>
        <v>44196</v>
      </c>
      <c r="CJ6" s="21">
        <f>CD6+365</f>
        <v>44286</v>
      </c>
      <c r="CK6" s="21">
        <f>CJ6+FLOOR(365/4,1)</f>
        <v>44377</v>
      </c>
      <c r="CL6" s="21">
        <f>CK6+FLOOR(365/4,1)+1</f>
        <v>44469</v>
      </c>
      <c r="CM6" s="15"/>
    </row>
    <row r="7" spans="1:94" x14ac:dyDescent="0.2">
      <c r="A7" s="77" t="s">
        <v>35</v>
      </c>
      <c r="B7" s="78"/>
      <c r="C7" s="84">
        <v>1501.5339999999999</v>
      </c>
      <c r="D7" s="82">
        <v>1575.922</v>
      </c>
      <c r="E7" s="82">
        <v>1631.1590000000001</v>
      </c>
      <c r="F7" s="83">
        <v>1651.1010000000001</v>
      </c>
      <c r="G7" s="307">
        <v>6359.7160000000003</v>
      </c>
      <c r="H7" s="78"/>
      <c r="I7" s="84">
        <v>1705.7670000000001</v>
      </c>
      <c r="J7" s="82">
        <v>1746.925</v>
      </c>
      <c r="K7" s="82">
        <v>1867.5880000000002</v>
      </c>
      <c r="L7" s="83">
        <v>1835.6309999999999</v>
      </c>
      <c r="M7" s="307">
        <v>7155.9110000000001</v>
      </c>
      <c r="N7" s="79"/>
      <c r="O7" s="84">
        <v>1673.1479999999999</v>
      </c>
      <c r="P7" s="82">
        <v>1683.1420000000001</v>
      </c>
      <c r="Q7" s="82">
        <v>1776.4089999999999</v>
      </c>
      <c r="R7" s="83">
        <v>1854.0229999999999</v>
      </c>
      <c r="S7" s="80">
        <f t="shared" ref="S7:S15" si="0">SUM(O7:R7)</f>
        <v>6986.7219999999998</v>
      </c>
      <c r="T7" s="79"/>
      <c r="U7" s="84">
        <v>1868.818</v>
      </c>
      <c r="V7" s="82">
        <v>1799.4090000000001</v>
      </c>
      <c r="W7" s="82">
        <v>1830.9110000000001</v>
      </c>
      <c r="X7" s="83">
        <v>1873.1949999999999</v>
      </c>
      <c r="Y7" s="81">
        <f t="shared" ref="Y7:Y15" si="1">SUM(U7:X7)</f>
        <v>7372.3329999999996</v>
      </c>
      <c r="Z7" s="79"/>
      <c r="AA7" s="84">
        <v>1783.3537000000001</v>
      </c>
      <c r="AB7" s="82">
        <v>1860.614</v>
      </c>
      <c r="AC7" s="82">
        <v>1951.8889999999999</v>
      </c>
      <c r="AD7" s="83">
        <v>1988.181</v>
      </c>
      <c r="AE7" s="81">
        <f t="shared" ref="AE7" si="2">SUM(AA7:AD7)</f>
        <v>7584.0377000000008</v>
      </c>
      <c r="AF7" s="79"/>
      <c r="AG7" s="84">
        <v>1831.72</v>
      </c>
      <c r="AH7" s="82">
        <v>1928.9609999999998</v>
      </c>
      <c r="AI7" s="82">
        <v>1980.5299999999997</v>
      </c>
      <c r="AJ7" s="83">
        <v>1967.1709999999998</v>
      </c>
      <c r="AK7" s="80">
        <f>SUM(AG7:AJ7)</f>
        <v>7708.3819999999996</v>
      </c>
      <c r="AL7" s="79"/>
      <c r="AM7" s="84">
        <v>1900.192</v>
      </c>
      <c r="AN7" s="82">
        <v>2000.375</v>
      </c>
      <c r="AO7" s="82">
        <v>2052.6639999999998</v>
      </c>
      <c r="AP7" s="83">
        <v>2100</v>
      </c>
      <c r="AQ7" s="80">
        <f>SUM(AM7:AP7)</f>
        <v>8053.2309999999998</v>
      </c>
      <c r="AR7" s="79"/>
      <c r="AS7" s="84">
        <v>2014.9</v>
      </c>
      <c r="AT7" s="82">
        <v>2072</v>
      </c>
      <c r="AU7" s="82">
        <v>2156.8000000000002</v>
      </c>
      <c r="AV7" s="83">
        <v>2201.9900000000002</v>
      </c>
      <c r="AW7" s="80">
        <f>SUM(AS7:AV7)</f>
        <v>8445.69</v>
      </c>
      <c r="AX7" s="79"/>
      <c r="AY7" s="84">
        <v>2051.1400000000003</v>
      </c>
      <c r="AZ7" s="82">
        <v>2050.4499999999998</v>
      </c>
      <c r="BA7" s="82">
        <v>3133</v>
      </c>
      <c r="BB7" s="83">
        <v>3067</v>
      </c>
      <c r="BC7" s="80">
        <f>SUM(AY7:BB7)</f>
        <v>10301.59</v>
      </c>
      <c r="BD7" s="79"/>
      <c r="BE7" s="84">
        <v>2992.24</v>
      </c>
      <c r="BF7" s="82">
        <v>3071</v>
      </c>
      <c r="BG7" s="82">
        <v>3200</v>
      </c>
      <c r="BH7" s="83">
        <v>3234</v>
      </c>
      <c r="BI7" s="80">
        <f>SUM(BE7:BH7)</f>
        <v>12497.24</v>
      </c>
      <c r="BJ7" s="79"/>
      <c r="BK7" s="84">
        <v>2922</v>
      </c>
      <c r="BL7" s="82">
        <v>2969</v>
      </c>
      <c r="BM7" s="82">
        <v>3035</v>
      </c>
      <c r="BN7" s="83">
        <v>3166.49</v>
      </c>
      <c r="BO7" s="80">
        <f>SUM(BK7:BN7)</f>
        <v>12092.49</v>
      </c>
      <c r="BP7" s="79"/>
      <c r="BQ7" s="84">
        <v>3080</v>
      </c>
      <c r="BR7" s="680">
        <f>BDX!BR69</f>
        <v>4160.5509999999995</v>
      </c>
      <c r="BS7" s="680">
        <f>BDX!BS69</f>
        <v>4300.1050000000005</v>
      </c>
      <c r="BT7" s="681">
        <f>BDX!BT69</f>
        <v>4359.7690000000002</v>
      </c>
      <c r="BU7" s="80">
        <f>SUM(BQ7:BT7)</f>
        <v>15900.424999999999</v>
      </c>
      <c r="BV7" s="79"/>
      <c r="BW7" s="682">
        <f>BDX!BW69</f>
        <v>4322.2333945516148</v>
      </c>
      <c r="BX7" s="680">
        <f>BDX!BX69</f>
        <v>4385.9799926799769</v>
      </c>
      <c r="BY7" s="680">
        <f>BDX!BY69</f>
        <v>4527.9818309649645</v>
      </c>
      <c r="BZ7" s="681">
        <f>BDX!BZ69</f>
        <v>4590.255395538943</v>
      </c>
      <c r="CA7" s="80">
        <f>SUM(BW7:BZ7)</f>
        <v>17826.450613735498</v>
      </c>
      <c r="CB7" s="79"/>
      <c r="CC7" s="682">
        <f>BDX!CC69</f>
        <v>4552.902849605809</v>
      </c>
      <c r="CD7" s="680">
        <f>BDX!CD69</f>
        <v>4618.0673984119258</v>
      </c>
      <c r="CE7" s="680">
        <f>BDX!CE69</f>
        <v>4769.8668617706935</v>
      </c>
      <c r="CF7" s="681">
        <f>BDX!CF69</f>
        <v>4834.8831418274767</v>
      </c>
      <c r="CG7" s="80">
        <f>SUM(CC7:CF7)</f>
        <v>18775.720251615905</v>
      </c>
      <c r="CH7" s="79"/>
      <c r="CI7" s="682">
        <f>BDX!CI69</f>
        <v>4797.2495484906703</v>
      </c>
      <c r="CJ7" s="680">
        <f>BDX!CJ69</f>
        <v>4863.7670622715814</v>
      </c>
      <c r="CK7" s="680">
        <f>BDX!CK69</f>
        <v>5026.0855403450514</v>
      </c>
      <c r="CL7" s="681">
        <f>BDX!CL69</f>
        <v>5093.9643974220198</v>
      </c>
      <c r="CM7" s="80">
        <f>SUM(CI7:CL7)</f>
        <v>19781.066548529321</v>
      </c>
      <c r="CN7" s="85"/>
      <c r="CO7" s="85"/>
      <c r="CP7" s="85"/>
    </row>
    <row r="8" spans="1:94" hidden="1" outlineLevel="1" x14ac:dyDescent="0.2">
      <c r="A8" s="86" t="s">
        <v>36</v>
      </c>
      <c r="B8" s="87"/>
      <c r="C8" s="88"/>
      <c r="D8" s="89"/>
      <c r="E8" s="89"/>
      <c r="F8" s="90"/>
      <c r="G8" s="91"/>
      <c r="H8" s="87"/>
      <c r="I8" s="88"/>
      <c r="J8" s="89"/>
      <c r="K8" s="89"/>
      <c r="L8" s="90"/>
      <c r="M8" s="91"/>
      <c r="N8" s="92"/>
      <c r="O8" s="88"/>
      <c r="P8" s="89"/>
      <c r="Q8" s="89"/>
      <c r="R8" s="90"/>
      <c r="S8" s="93"/>
      <c r="T8" s="92"/>
      <c r="U8" s="88"/>
      <c r="V8" s="89"/>
      <c r="W8" s="89"/>
      <c r="X8" s="90"/>
      <c r="Y8" s="94"/>
      <c r="Z8" s="92"/>
      <c r="AA8" s="88"/>
      <c r="AB8" s="89"/>
      <c r="AC8" s="89"/>
      <c r="AD8" s="90"/>
      <c r="AE8" s="91"/>
      <c r="AF8" s="92"/>
      <c r="AG8" s="88"/>
      <c r="AH8" s="89"/>
      <c r="AI8" s="89"/>
      <c r="AJ8" s="90"/>
      <c r="AK8" s="93"/>
      <c r="AL8" s="92"/>
      <c r="AM8" s="95">
        <v>894.06299999999999</v>
      </c>
      <c r="AN8" s="96">
        <v>982.25599999999997</v>
      </c>
      <c r="AO8" s="96">
        <v>992.673</v>
      </c>
      <c r="AP8" s="97">
        <v>1014</v>
      </c>
      <c r="AQ8" s="93">
        <f>SUM(AM8:AP8)</f>
        <v>3882.9920000000002</v>
      </c>
      <c r="AR8" s="92"/>
      <c r="AS8" s="95">
        <v>980</v>
      </c>
      <c r="AT8" s="96">
        <v>1019</v>
      </c>
      <c r="AU8" s="96">
        <v>1046</v>
      </c>
      <c r="AV8" s="97">
        <v>1079</v>
      </c>
      <c r="AW8" s="93">
        <f>SUM(AS8:AV8)</f>
        <v>4124</v>
      </c>
      <c r="AX8" s="92"/>
      <c r="AY8" s="98">
        <f>AY9+AY10</f>
        <v>1005.6</v>
      </c>
      <c r="AZ8" s="92">
        <f>AZ9+AZ10</f>
        <v>1005.6</v>
      </c>
      <c r="BA8" s="92">
        <f>BA9+BA10</f>
        <v>1641.2</v>
      </c>
      <c r="BB8" s="99">
        <f>BB9+BB10</f>
        <v>1597.6</v>
      </c>
      <c r="BC8" s="93">
        <f>SUM(AY8:BB8)</f>
        <v>5250</v>
      </c>
      <c r="BD8" s="92"/>
      <c r="BE8" s="98">
        <f>BE9+BE10</f>
        <v>1562.8</v>
      </c>
      <c r="BF8" s="92">
        <f>BF9+BF10</f>
        <v>1569.95</v>
      </c>
      <c r="BG8" s="92">
        <f>BG9+BG10</f>
        <v>1635.7</v>
      </c>
      <c r="BH8" s="99">
        <f>BH9+BH10</f>
        <v>1661.1</v>
      </c>
      <c r="BI8" s="93">
        <f>SUM(BE8:BH8)</f>
        <v>6429.5499999999993</v>
      </c>
      <c r="BJ8" s="92"/>
      <c r="BK8" s="98">
        <f>BK9+BK10</f>
        <v>1458.3</v>
      </c>
      <c r="BL8" s="92">
        <f>BL9+BL10</f>
        <v>1523.9</v>
      </c>
      <c r="BM8" s="92">
        <f>BM9+BM10</f>
        <v>1518.8</v>
      </c>
      <c r="BN8" s="99">
        <f>BN9+BN10</f>
        <v>1600.7</v>
      </c>
      <c r="BO8" s="93">
        <f>SUM(BK8:BN8)</f>
        <v>6101.7</v>
      </c>
      <c r="BP8" s="92"/>
      <c r="BQ8" s="98">
        <f>BQ9+BQ10</f>
        <v>1512.5</v>
      </c>
      <c r="BR8" s="92">
        <f>BR9+BR10</f>
        <v>2016.9441492857143</v>
      </c>
      <c r="BS8" s="92">
        <f>BS9+BS10</f>
        <v>2043.2492992857149</v>
      </c>
      <c r="BT8" s="99">
        <f>BT9+BT10</f>
        <v>2060.0062892857145</v>
      </c>
      <c r="BU8" s="93">
        <f>SUM(BQ8:BT8)</f>
        <v>7632.6997378571432</v>
      </c>
      <c r="BV8" s="92"/>
      <c r="BW8" s="98">
        <f>BW9+BW10</f>
        <v>2044.053656970151</v>
      </c>
      <c r="BX8" s="92">
        <f>BX9+BX10</f>
        <v>2066.7599811820246</v>
      </c>
      <c r="BY8" s="92">
        <f>BY9+BY10</f>
        <v>2131.4967424458241</v>
      </c>
      <c r="BZ8" s="99">
        <f>BZ9+BZ10</f>
        <v>2148.7824965986874</v>
      </c>
      <c r="CA8" s="93">
        <f>SUM(BW8:BZ8)</f>
        <v>8391.0928771966865</v>
      </c>
      <c r="CB8" s="92"/>
      <c r="CC8" s="98">
        <f>CC9+CC10</f>
        <v>2101.1120497217307</v>
      </c>
      <c r="CD8" s="92">
        <f>CD9+CD10</f>
        <v>2123.6024346266636</v>
      </c>
      <c r="CE8" s="92">
        <f>CE9+CE10</f>
        <v>2191.369078782323</v>
      </c>
      <c r="CF8" s="99">
        <f>CF9+CF10</f>
        <v>2208.7460850022899</v>
      </c>
      <c r="CG8" s="93">
        <f>SUM(CC8:CF8)</f>
        <v>8624.8296481330071</v>
      </c>
      <c r="CH8" s="92"/>
      <c r="CI8" s="98">
        <f>CI9+CI10</f>
        <v>2178.7740287153797</v>
      </c>
      <c r="CJ8" s="92">
        <f>CJ9+CJ10</f>
        <v>2235.2953292529637</v>
      </c>
      <c r="CK8" s="92">
        <f>CK9+CK10</f>
        <v>2252.72127920615</v>
      </c>
      <c r="CL8" s="99">
        <f>CL9+CL10</f>
        <v>2270.1600452416324</v>
      </c>
      <c r="CM8" s="93">
        <f>SUM(CI8:CL8)</f>
        <v>8936.9506824161253</v>
      </c>
      <c r="CN8" s="100"/>
      <c r="CO8" s="100"/>
      <c r="CP8" s="100"/>
    </row>
    <row r="9" spans="1:94" hidden="1" outlineLevel="1" x14ac:dyDescent="0.2">
      <c r="A9" s="86" t="s">
        <v>37</v>
      </c>
      <c r="B9" s="87"/>
      <c r="C9" s="88"/>
      <c r="D9" s="89"/>
      <c r="E9" s="89"/>
      <c r="F9" s="90"/>
      <c r="G9" s="91"/>
      <c r="H9" s="87"/>
      <c r="I9" s="88"/>
      <c r="J9" s="89"/>
      <c r="K9" s="89"/>
      <c r="L9" s="90"/>
      <c r="M9" s="91"/>
      <c r="N9" s="92"/>
      <c r="O9" s="88"/>
      <c r="P9" s="89"/>
      <c r="Q9" s="89"/>
      <c r="R9" s="90"/>
      <c r="S9" s="93"/>
      <c r="T9" s="92"/>
      <c r="U9" s="88"/>
      <c r="V9" s="89"/>
      <c r="W9" s="89"/>
      <c r="X9" s="90"/>
      <c r="Y9" s="94"/>
      <c r="Z9" s="92"/>
      <c r="AA9" s="88"/>
      <c r="AB9" s="89"/>
      <c r="AC9" s="89"/>
      <c r="AD9" s="90"/>
      <c r="AE9" s="91"/>
      <c r="AF9" s="92"/>
      <c r="AG9" s="88"/>
      <c r="AH9" s="89"/>
      <c r="AI9" s="89"/>
      <c r="AJ9" s="90"/>
      <c r="AK9" s="93"/>
      <c r="AL9" s="92"/>
      <c r="AM9" s="101">
        <f>CFS!AM13*0.925</f>
        <v>17.870075</v>
      </c>
      <c r="AN9" s="102">
        <f>CFS!AN13*0.925</f>
        <v>19.887499999999999</v>
      </c>
      <c r="AO9" s="102">
        <f>CFS!AO13*0.925</f>
        <v>19.94115</v>
      </c>
      <c r="AP9" s="103">
        <f>CFS!AP13*0.925</f>
        <v>19.076275000000003</v>
      </c>
      <c r="AQ9" s="93">
        <f>SUM(AM9:AP9)</f>
        <v>76.775000000000006</v>
      </c>
      <c r="AR9" s="92"/>
      <c r="AS9" s="101">
        <f>CFS!AS13*0.88</f>
        <v>18.48</v>
      </c>
      <c r="AT9" s="102">
        <f>CFS!AT13*0.88</f>
        <v>18.48</v>
      </c>
      <c r="AU9" s="102">
        <f>CFS!AU13*0.88</f>
        <v>18.48</v>
      </c>
      <c r="AV9" s="103">
        <f>CFS!AV13*0.88</f>
        <v>18.920000000000002</v>
      </c>
      <c r="AW9" s="93">
        <f>SUM(AS9:AV9)</f>
        <v>74.36</v>
      </c>
      <c r="AX9" s="92"/>
      <c r="AY9" s="101">
        <f>CFS!AY13*0.88</f>
        <v>17.600000000000001</v>
      </c>
      <c r="AZ9" s="102">
        <f>CFS!AZ13*0.88</f>
        <v>17.600000000000001</v>
      </c>
      <c r="BA9" s="102">
        <f>CFS!BA13*0.9</f>
        <v>136.80000000000001</v>
      </c>
      <c r="BB9" s="103">
        <f>CFS!BB13*0.9</f>
        <v>138.6</v>
      </c>
      <c r="BC9" s="93">
        <f>SUM(AY9:BB9)</f>
        <v>310.60000000000002</v>
      </c>
      <c r="BD9" s="92"/>
      <c r="BE9" s="101">
        <f>CFS!BE13*0.9</f>
        <v>136.80000000000001</v>
      </c>
      <c r="BF9" s="102">
        <f>CFS!BF13*0.9</f>
        <v>124.2</v>
      </c>
      <c r="BG9" s="102">
        <f>CFS!BG13*0.9</f>
        <v>119.7</v>
      </c>
      <c r="BH9" s="103">
        <f>CFS!BH13*0.9</f>
        <v>116.10000000000001</v>
      </c>
      <c r="BI9" s="93">
        <f>SUM(BE9:BH9)</f>
        <v>496.8</v>
      </c>
      <c r="BJ9" s="92"/>
      <c r="BK9" s="101">
        <f>CFS!BK13*0.9</f>
        <v>123.3</v>
      </c>
      <c r="BL9" s="102">
        <f>CFS!BL13*0.9</f>
        <v>117.9</v>
      </c>
      <c r="BM9" s="102">
        <f>CFS!BM13*0.9</f>
        <v>118.8</v>
      </c>
      <c r="BN9" s="103">
        <f>CFS!BN13*0.9</f>
        <v>119.7</v>
      </c>
      <c r="BO9" s="93">
        <f>SUM(BK9:BN9)</f>
        <v>479.7</v>
      </c>
      <c r="BP9" s="92"/>
      <c r="BQ9" s="101">
        <f>CFS!BQ13*0.9</f>
        <v>121.5</v>
      </c>
      <c r="BR9" s="102">
        <f>CFS!BR13*0.9</f>
        <v>207.1044642857143</v>
      </c>
      <c r="BS9" s="102">
        <f>CFS!BS13*0.9</f>
        <v>207.1044642857143</v>
      </c>
      <c r="BT9" s="103">
        <f>CFS!BT13*0.9</f>
        <v>207.1044642857143</v>
      </c>
      <c r="BU9" s="93">
        <f>SUM(BQ9:BT9)</f>
        <v>742.81339285714284</v>
      </c>
      <c r="BV9" s="92"/>
      <c r="BW9" s="101">
        <f>CFS!BW13*0.9</f>
        <v>207.1044642857143</v>
      </c>
      <c r="BX9" s="102">
        <f>CFS!BX13*0.9</f>
        <v>207.1044642857143</v>
      </c>
      <c r="BY9" s="102">
        <f>CFS!BY13*0.9</f>
        <v>207.1044642857143</v>
      </c>
      <c r="BZ9" s="103">
        <f>CFS!BZ13*0.9</f>
        <v>207.1044642857143</v>
      </c>
      <c r="CA9" s="93">
        <f>SUM(BW9:BZ9)</f>
        <v>828.4178571428572</v>
      </c>
      <c r="CB9" s="92"/>
      <c r="CC9" s="101">
        <f>CFS!CC13*0.9</f>
        <v>207.1044642857143</v>
      </c>
      <c r="CD9" s="102">
        <f>CFS!CD13*0.9</f>
        <v>207.1044642857143</v>
      </c>
      <c r="CE9" s="102">
        <f>CFS!CE13*0.9</f>
        <v>207.1044642857143</v>
      </c>
      <c r="CF9" s="103">
        <f>CFS!CF13*0.9</f>
        <v>207.1044642857143</v>
      </c>
      <c r="CG9" s="93">
        <f>SUM(CC9:CF9)</f>
        <v>828.4178571428572</v>
      </c>
      <c r="CH9" s="92"/>
      <c r="CI9" s="101">
        <f>CFS!CI13*0.9</f>
        <v>207.1044642857143</v>
      </c>
      <c r="CJ9" s="102">
        <f>CFS!CJ13*0.9</f>
        <v>207.1044642857143</v>
      </c>
      <c r="CK9" s="102">
        <f>CFS!CK13*0.9</f>
        <v>207.1044642857143</v>
      </c>
      <c r="CL9" s="103">
        <f>CFS!CL13*0.9</f>
        <v>207.1044642857143</v>
      </c>
      <c r="CM9" s="93">
        <f>SUM(CI9:CL9)</f>
        <v>828.4178571428572</v>
      </c>
      <c r="CN9" s="100"/>
      <c r="CO9" s="100"/>
      <c r="CP9" s="100"/>
    </row>
    <row r="10" spans="1:94" collapsed="1" x14ac:dyDescent="0.2">
      <c r="A10" s="86" t="s">
        <v>38</v>
      </c>
      <c r="B10" s="92"/>
      <c r="C10" s="104">
        <v>708.93299999999999</v>
      </c>
      <c r="D10" s="105">
        <v>764.54</v>
      </c>
      <c r="E10" s="105">
        <v>791.07100000000003</v>
      </c>
      <c r="F10" s="106">
        <v>807.37699999999995</v>
      </c>
      <c r="G10" s="94">
        <f>SUM(C10:F10)</f>
        <v>3071.9209999999998</v>
      </c>
      <c r="H10" s="92"/>
      <c r="I10" s="104">
        <v>829.846</v>
      </c>
      <c r="J10" s="105">
        <v>853.80700000000002</v>
      </c>
      <c r="K10" s="105">
        <v>917.36199999999997</v>
      </c>
      <c r="L10" s="106">
        <v>891.54600000000005</v>
      </c>
      <c r="M10" s="94">
        <f t="shared" ref="M10:M15" si="3">SUM(I10:L10)</f>
        <v>3492.5609999999997</v>
      </c>
      <c r="N10" s="92"/>
      <c r="O10" s="104">
        <v>775.54200000000003</v>
      </c>
      <c r="P10" s="105">
        <v>807.38199999999995</v>
      </c>
      <c r="Q10" s="105">
        <v>838.55499999999995</v>
      </c>
      <c r="R10" s="106">
        <v>890.197</v>
      </c>
      <c r="S10" s="94">
        <f t="shared" si="0"/>
        <v>3311.6759999999999</v>
      </c>
      <c r="T10" s="92"/>
      <c r="U10" s="104">
        <v>894.32399999999996</v>
      </c>
      <c r="V10" s="105">
        <v>864.49199999999996</v>
      </c>
      <c r="W10" s="105">
        <v>883.43399999999997</v>
      </c>
      <c r="X10" s="106">
        <v>900.93299999999999</v>
      </c>
      <c r="Y10" s="94">
        <f t="shared" si="1"/>
        <v>3543.183</v>
      </c>
      <c r="Z10" s="92"/>
      <c r="AA10" s="107">
        <v>840.16600000000005</v>
      </c>
      <c r="AB10" s="108">
        <v>891.26199999999994</v>
      </c>
      <c r="AC10" s="108">
        <v>922.65200000000004</v>
      </c>
      <c r="AD10" s="109">
        <v>971.04100000000005</v>
      </c>
      <c r="AE10" s="94">
        <f>AE7-AE11</f>
        <v>3625.1210000000005</v>
      </c>
      <c r="AF10" s="92"/>
      <c r="AG10" s="104">
        <v>900.46500000000003</v>
      </c>
      <c r="AH10" s="105">
        <v>941.18399999999997</v>
      </c>
      <c r="AI10" s="105">
        <v>947.39499999999998</v>
      </c>
      <c r="AJ10" s="109">
        <f>966.345-10</f>
        <v>956.34500000000003</v>
      </c>
      <c r="AK10" s="94">
        <f>AK7-AK11</f>
        <v>3745.3890000000001</v>
      </c>
      <c r="AL10" s="92"/>
      <c r="AM10" s="98">
        <f>AM8-AM9</f>
        <v>876.19292499999995</v>
      </c>
      <c r="AN10" s="92">
        <f>AN8-AN9</f>
        <v>962.36849999999993</v>
      </c>
      <c r="AO10" s="92">
        <f>AO8-AO9</f>
        <v>972.73185000000001</v>
      </c>
      <c r="AP10" s="99">
        <f>AP8-AP9</f>
        <v>994.92372499999999</v>
      </c>
      <c r="AQ10" s="94">
        <f>AQ8-AQ9</f>
        <v>3806.2170000000001</v>
      </c>
      <c r="AR10" s="92"/>
      <c r="AS10" s="98">
        <f>AS8-AS9</f>
        <v>961.52</v>
      </c>
      <c r="AT10" s="92">
        <f>AT8-AT9</f>
        <v>1000.52</v>
      </c>
      <c r="AU10" s="92">
        <f>AU8-AU9</f>
        <v>1027.52</v>
      </c>
      <c r="AV10" s="99">
        <f>AV8-AV9</f>
        <v>1060.08</v>
      </c>
      <c r="AW10" s="94">
        <f>AW7-AW11</f>
        <v>4049.6399999999994</v>
      </c>
      <c r="AX10" s="92"/>
      <c r="AY10" s="95">
        <v>988</v>
      </c>
      <c r="AZ10" s="96">
        <f>2051-1063</f>
        <v>988</v>
      </c>
      <c r="BA10" s="96">
        <f>1932+13-444+3+0.4</f>
        <v>1504.4</v>
      </c>
      <c r="BB10" s="97">
        <f>1630-178+7</f>
        <v>1459</v>
      </c>
      <c r="BC10" s="94">
        <f>BC7-BC11</f>
        <v>4939.3999999999996</v>
      </c>
      <c r="BD10" s="92"/>
      <c r="BE10" s="95">
        <f>2992-1566</f>
        <v>1426</v>
      </c>
      <c r="BF10" s="96">
        <v>1445.75</v>
      </c>
      <c r="BG10" s="96">
        <f>3200-1684</f>
        <v>1516</v>
      </c>
      <c r="BH10" s="97">
        <f>3234-1689</f>
        <v>1545</v>
      </c>
      <c r="BI10" s="94">
        <f>BI7-BI11</f>
        <v>5932.75</v>
      </c>
      <c r="BJ10" s="92"/>
      <c r="BK10" s="95">
        <f>2922-1587</f>
        <v>1335</v>
      </c>
      <c r="BL10" s="96">
        <f>2969-1563</f>
        <v>1406</v>
      </c>
      <c r="BM10" s="96">
        <f>3035-1635</f>
        <v>1400</v>
      </c>
      <c r="BN10" s="97">
        <v>1481</v>
      </c>
      <c r="BO10" s="94">
        <f>BO7-BO11</f>
        <v>5622</v>
      </c>
      <c r="BP10" s="92"/>
      <c r="BQ10" s="95">
        <f>1530-133-6</f>
        <v>1391</v>
      </c>
      <c r="BR10" s="92">
        <f>BR7-BR11</f>
        <v>1809.8396849999999</v>
      </c>
      <c r="BS10" s="92">
        <f>BS7-BS11</f>
        <v>1836.1448350000005</v>
      </c>
      <c r="BT10" s="99">
        <f>BT7-BT11</f>
        <v>1852.9018250000004</v>
      </c>
      <c r="BU10" s="94">
        <f>BU7-BU11</f>
        <v>6889.8863450000008</v>
      </c>
      <c r="BV10" s="92"/>
      <c r="BW10" s="98">
        <f>BW7-BW11</f>
        <v>1836.9491926844366</v>
      </c>
      <c r="BX10" s="92">
        <f>BX7-BX11</f>
        <v>1859.6555168963105</v>
      </c>
      <c r="BY10" s="92">
        <f>BY7-BY11</f>
        <v>1924.39227816011</v>
      </c>
      <c r="BZ10" s="99">
        <f>BZ7-BZ11</f>
        <v>1941.6780323129733</v>
      </c>
      <c r="CA10" s="94">
        <f>CA7-CA11</f>
        <v>7562.6750200538299</v>
      </c>
      <c r="CB10" s="92"/>
      <c r="CC10" s="98">
        <f>CC7-CC11</f>
        <v>1894.0075854360166</v>
      </c>
      <c r="CD10" s="92">
        <f>CD7-CD11</f>
        <v>1916.4979703409495</v>
      </c>
      <c r="CE10" s="92">
        <f>CE7-CE11</f>
        <v>1984.2646144966088</v>
      </c>
      <c r="CF10" s="99">
        <f>CF7-CF11</f>
        <v>2001.6416207165757</v>
      </c>
      <c r="CG10" s="94">
        <f>CG7-CG11</f>
        <v>7796.4117909901506</v>
      </c>
      <c r="CH10" s="92"/>
      <c r="CI10" s="98">
        <f>CI7-CI11</f>
        <v>1971.6695644296656</v>
      </c>
      <c r="CJ10" s="92">
        <f>CJ7-CJ11</f>
        <v>2028.1908649672496</v>
      </c>
      <c r="CK10" s="92">
        <f>CK7-CK11</f>
        <v>2045.6168149204359</v>
      </c>
      <c r="CL10" s="99">
        <f>CL7-CL11</f>
        <v>2063.0555809559182</v>
      </c>
      <c r="CM10" s="94">
        <f>CM7-CM11</f>
        <v>8108.5328252732688</v>
      </c>
      <c r="CN10" s="110"/>
      <c r="CO10" s="110"/>
      <c r="CP10" s="110"/>
    </row>
    <row r="11" spans="1:94" x14ac:dyDescent="0.2">
      <c r="A11" s="111" t="s">
        <v>39</v>
      </c>
      <c r="B11" s="92"/>
      <c r="C11" s="112">
        <f>C7-C10</f>
        <v>792.60099999999989</v>
      </c>
      <c r="D11" s="113">
        <f>D7-D10</f>
        <v>811.38200000000006</v>
      </c>
      <c r="E11" s="113">
        <f>E7-E10</f>
        <v>840.08800000000008</v>
      </c>
      <c r="F11" s="114">
        <f>F7-F10</f>
        <v>843.72400000000016</v>
      </c>
      <c r="G11" s="115">
        <f>G7-G10</f>
        <v>3287.7950000000005</v>
      </c>
      <c r="H11" s="92"/>
      <c r="I11" s="112">
        <f>I7-I10</f>
        <v>875.92100000000005</v>
      </c>
      <c r="J11" s="113">
        <f>J7-J10</f>
        <v>893.11799999999994</v>
      </c>
      <c r="K11" s="113">
        <f>K7-K10</f>
        <v>950.22600000000023</v>
      </c>
      <c r="L11" s="114">
        <f>L7-L10</f>
        <v>944.08499999999981</v>
      </c>
      <c r="M11" s="115">
        <f t="shared" si="3"/>
        <v>3663.3500000000004</v>
      </c>
      <c r="N11" s="92"/>
      <c r="O11" s="112">
        <f>O7-O10</f>
        <v>897.60599999999988</v>
      </c>
      <c r="P11" s="113">
        <f>P7-P10</f>
        <v>875.7600000000001</v>
      </c>
      <c r="Q11" s="113">
        <f>Q7-Q10</f>
        <v>937.85399999999993</v>
      </c>
      <c r="R11" s="114">
        <f>R7-R10</f>
        <v>963.82599999999991</v>
      </c>
      <c r="S11" s="115">
        <f t="shared" si="0"/>
        <v>3675.0459999999998</v>
      </c>
      <c r="T11" s="92"/>
      <c r="U11" s="112">
        <f>U7-U10</f>
        <v>974.49400000000003</v>
      </c>
      <c r="V11" s="113">
        <f>V7-V10</f>
        <v>934.91700000000014</v>
      </c>
      <c r="W11" s="113">
        <f>W7-W10</f>
        <v>947.47700000000009</v>
      </c>
      <c r="X11" s="114">
        <f>X7-X10</f>
        <v>972.26199999999994</v>
      </c>
      <c r="Y11" s="115">
        <f t="shared" si="1"/>
        <v>3829.1499999999996</v>
      </c>
      <c r="Z11" s="92"/>
      <c r="AA11" s="112">
        <f>AA7-AA10</f>
        <v>943.18770000000006</v>
      </c>
      <c r="AB11" s="113">
        <f>AB7-AB10</f>
        <v>969.35200000000009</v>
      </c>
      <c r="AC11" s="113">
        <f>AC7-AC10</f>
        <v>1029.2369999999999</v>
      </c>
      <c r="AD11" s="114">
        <f>AD7-AD10</f>
        <v>1017.14</v>
      </c>
      <c r="AE11" s="115">
        <f>SUM(AA11:AD11)</f>
        <v>3958.9167000000002</v>
      </c>
      <c r="AF11" s="116"/>
      <c r="AG11" s="112">
        <f>AG7-AG10</f>
        <v>931.255</v>
      </c>
      <c r="AH11" s="113">
        <f>AH7-AH10</f>
        <v>987.77699999999982</v>
      </c>
      <c r="AI11" s="113">
        <f>AI7-AI10</f>
        <v>1033.1349999999998</v>
      </c>
      <c r="AJ11" s="114">
        <f>AJ7-AJ10</f>
        <v>1010.8259999999998</v>
      </c>
      <c r="AK11" s="115">
        <f>SUM(AG11:AJ11)</f>
        <v>3962.9929999999995</v>
      </c>
      <c r="AL11" s="92"/>
      <c r="AM11" s="112">
        <f>AM7-AM10</f>
        <v>1023.9990750000001</v>
      </c>
      <c r="AN11" s="113">
        <f>AN7-AN10</f>
        <v>1038.0065</v>
      </c>
      <c r="AO11" s="113">
        <f>AO7-AO10</f>
        <v>1079.9321499999996</v>
      </c>
      <c r="AP11" s="114">
        <f>AP7-AP10</f>
        <v>1105.0762749999999</v>
      </c>
      <c r="AQ11" s="115">
        <f>SUM(AM11:AP11)</f>
        <v>4247.0139999999992</v>
      </c>
      <c r="AR11" s="92"/>
      <c r="AS11" s="112">
        <f>AS7-AS10</f>
        <v>1053.3800000000001</v>
      </c>
      <c r="AT11" s="113">
        <f>AT7-AT10</f>
        <v>1071.48</v>
      </c>
      <c r="AU11" s="113">
        <f>AU7-AU10</f>
        <v>1129.2800000000002</v>
      </c>
      <c r="AV11" s="117">
        <f>AV7-AV10</f>
        <v>1141.9100000000003</v>
      </c>
      <c r="AW11" s="115">
        <f>SUM(AS11:AV11)</f>
        <v>4396.0500000000011</v>
      </c>
      <c r="AX11" s="92"/>
      <c r="AY11" s="118">
        <f>AY7-AY10</f>
        <v>1063.1400000000003</v>
      </c>
      <c r="AZ11" s="113">
        <f>AZ7-AZ10</f>
        <v>1062.4499999999998</v>
      </c>
      <c r="BA11" s="113">
        <f>BA7-BA10</f>
        <v>1628.6</v>
      </c>
      <c r="BB11" s="117">
        <f>BB7-BB10</f>
        <v>1608</v>
      </c>
      <c r="BC11" s="115">
        <f>SUM(AY11:BB11)</f>
        <v>5362.1900000000005</v>
      </c>
      <c r="BD11" s="92"/>
      <c r="BE11" s="118">
        <f>BE7-BE10</f>
        <v>1566.2399999999998</v>
      </c>
      <c r="BF11" s="113">
        <f>BF7-BF10</f>
        <v>1625.25</v>
      </c>
      <c r="BG11" s="113">
        <f>BG7-BG10</f>
        <v>1684</v>
      </c>
      <c r="BH11" s="117">
        <f>BH7-BH10</f>
        <v>1689</v>
      </c>
      <c r="BI11" s="115">
        <f>SUM(BE11:BH11)</f>
        <v>6564.49</v>
      </c>
      <c r="BJ11" s="92"/>
      <c r="BK11" s="112">
        <f>BK7-BK10</f>
        <v>1587</v>
      </c>
      <c r="BL11" s="113">
        <f>BL7-BL10</f>
        <v>1563</v>
      </c>
      <c r="BM11" s="113">
        <f>BM7-BM10</f>
        <v>1635</v>
      </c>
      <c r="BN11" s="117">
        <f>BN7-BN10</f>
        <v>1685.4899999999998</v>
      </c>
      <c r="BO11" s="115">
        <f>SUM(BK11:BN11)</f>
        <v>6470.49</v>
      </c>
      <c r="BP11" s="92"/>
      <c r="BQ11" s="112">
        <f>BQ7-BQ10</f>
        <v>1689</v>
      </c>
      <c r="BR11" s="116">
        <f>BR7*BR37</f>
        <v>2350.7113149999996</v>
      </c>
      <c r="BS11" s="116">
        <f>BS7*BS37</f>
        <v>2463.960165</v>
      </c>
      <c r="BT11" s="117">
        <f>BT7*BT37</f>
        <v>2506.8671749999999</v>
      </c>
      <c r="BU11" s="115">
        <f>SUM(BQ11:BT11)</f>
        <v>9010.5386549999985</v>
      </c>
      <c r="BV11" s="92"/>
      <c r="BW11" s="118">
        <f>BW7*BW37</f>
        <v>2485.2842018671781</v>
      </c>
      <c r="BX11" s="116">
        <f>BX7*BX37</f>
        <v>2526.3244757836665</v>
      </c>
      <c r="BY11" s="116">
        <f>BY7*BY37</f>
        <v>2603.5895528048545</v>
      </c>
      <c r="BZ11" s="117">
        <f>BZ7*BZ37</f>
        <v>2648.5773632259697</v>
      </c>
      <c r="CA11" s="115">
        <f>SUM(BW11:BZ11)</f>
        <v>10263.775593681668</v>
      </c>
      <c r="CB11" s="92"/>
      <c r="CC11" s="118">
        <f>CC7*CC37</f>
        <v>2658.8952641697924</v>
      </c>
      <c r="CD11" s="116">
        <f>CD7*CD37</f>
        <v>2701.5694280709763</v>
      </c>
      <c r="CE11" s="116">
        <f>CE7*CE37</f>
        <v>2785.6022472740847</v>
      </c>
      <c r="CF11" s="117">
        <f>CF7*CF37</f>
        <v>2833.241521110901</v>
      </c>
      <c r="CG11" s="115">
        <f>SUM(CC11:CF11)</f>
        <v>10979.308460625754</v>
      </c>
      <c r="CH11" s="92"/>
      <c r="CI11" s="118">
        <f>CI7*CI37</f>
        <v>2825.5799840610048</v>
      </c>
      <c r="CJ11" s="116">
        <f>CJ7*CJ37</f>
        <v>2835.5761973043318</v>
      </c>
      <c r="CK11" s="116">
        <f>CK7*CK37</f>
        <v>2980.4687254246155</v>
      </c>
      <c r="CL11" s="117">
        <f>CL7*CL37</f>
        <v>3030.9088164661016</v>
      </c>
      <c r="CM11" s="115">
        <f>SUM(CI11:CL11)</f>
        <v>11672.533723256052</v>
      </c>
      <c r="CN11" s="110"/>
      <c r="CO11" s="110"/>
      <c r="CP11" s="110"/>
    </row>
    <row r="12" spans="1:94" x14ac:dyDescent="0.2">
      <c r="A12" s="86" t="s">
        <v>40</v>
      </c>
      <c r="B12" s="92"/>
      <c r="C12" s="104">
        <v>384.084</v>
      </c>
      <c r="D12" s="105">
        <v>406.63099999999997</v>
      </c>
      <c r="E12" s="105">
        <v>412.16399999999999</v>
      </c>
      <c r="F12" s="106">
        <v>399.52499999999998</v>
      </c>
      <c r="G12" s="94">
        <f>SUM(C12:F12)</f>
        <v>1602.404</v>
      </c>
      <c r="H12" s="92"/>
      <c r="I12" s="104">
        <f>421.718</f>
        <v>421.71800000000002</v>
      </c>
      <c r="J12" s="105">
        <v>415.52300000000002</v>
      </c>
      <c r="K12" s="105">
        <v>440.58800000000002</v>
      </c>
      <c r="L12" s="106">
        <v>437.21600000000001</v>
      </c>
      <c r="M12" s="94">
        <f t="shared" si="3"/>
        <v>1715.0450000000001</v>
      </c>
      <c r="N12" s="92"/>
      <c r="O12" s="104">
        <v>399.66800000000001</v>
      </c>
      <c r="P12" s="105">
        <v>430.608</v>
      </c>
      <c r="Q12" s="105">
        <v>423.51299999999998</v>
      </c>
      <c r="R12" s="106">
        <v>427.00799999999998</v>
      </c>
      <c r="S12" s="94">
        <f t="shared" si="0"/>
        <v>1680.797</v>
      </c>
      <c r="T12" s="92"/>
      <c r="U12" s="104">
        <v>445.673</v>
      </c>
      <c r="V12" s="105">
        <v>421.07600000000002</v>
      </c>
      <c r="W12" s="105">
        <v>416.46800000000002</v>
      </c>
      <c r="X12" s="106">
        <v>438.13900000000001</v>
      </c>
      <c r="Y12" s="94">
        <f t="shared" si="1"/>
        <v>1721.3560000000002</v>
      </c>
      <c r="Z12" s="92"/>
      <c r="AA12" s="107">
        <v>440.95499999999998</v>
      </c>
      <c r="AB12" s="108">
        <v>435.024</v>
      </c>
      <c r="AC12" s="108">
        <v>467.96800000000002</v>
      </c>
      <c r="AD12" s="109">
        <v>479.59100000000001</v>
      </c>
      <c r="AE12" s="94">
        <f>SUM(AA12:AD12)</f>
        <v>1823.538</v>
      </c>
      <c r="AF12" s="92"/>
      <c r="AG12" s="104">
        <v>482.27100000000002</v>
      </c>
      <c r="AH12" s="105">
        <v>487.69400000000002</v>
      </c>
      <c r="AI12" s="105">
        <v>469.13</v>
      </c>
      <c r="AJ12" s="109">
        <f>484.259-8</f>
        <v>476.25900000000001</v>
      </c>
      <c r="AK12" s="94">
        <f>SUM(AG12:AJ12)</f>
        <v>1915.354</v>
      </c>
      <c r="AL12" s="92"/>
      <c r="AM12" s="104">
        <v>495.87799999999999</v>
      </c>
      <c r="AN12" s="105">
        <f>514.61</f>
        <v>514.61</v>
      </c>
      <c r="AO12" s="105">
        <f>534.32-22</f>
        <v>512.32000000000005</v>
      </c>
      <c r="AP12" s="105">
        <f>877-341-6</f>
        <v>530</v>
      </c>
      <c r="AQ12" s="94">
        <f>SUM(AM12:AP12)</f>
        <v>2052.808</v>
      </c>
      <c r="AR12" s="92"/>
      <c r="AS12" s="95">
        <f>531</f>
        <v>531</v>
      </c>
      <c r="AT12" s="96">
        <f>525-11</f>
        <v>514</v>
      </c>
      <c r="AU12" s="96">
        <v>528</v>
      </c>
      <c r="AV12" s="97">
        <v>542</v>
      </c>
      <c r="AW12" s="94">
        <f>SUM(AS12:AV12)</f>
        <v>2115</v>
      </c>
      <c r="AX12" s="92"/>
      <c r="AY12" s="95">
        <v>532</v>
      </c>
      <c r="AZ12" s="96">
        <v>511</v>
      </c>
      <c r="BA12" s="96">
        <f>764-3+0.4</f>
        <v>761.4</v>
      </c>
      <c r="BB12" s="97">
        <f>756-9</f>
        <v>747</v>
      </c>
      <c r="BC12" s="94">
        <f>SUM(AY12:BB12)</f>
        <v>2551.4</v>
      </c>
      <c r="BD12" s="92"/>
      <c r="BE12" s="95">
        <v>745</v>
      </c>
      <c r="BF12" s="96">
        <v>750.75</v>
      </c>
      <c r="BG12" s="96">
        <v>728</v>
      </c>
      <c r="BH12" s="97">
        <v>789</v>
      </c>
      <c r="BI12" s="94">
        <f>SUM(BE12:BH12)</f>
        <v>3012.75</v>
      </c>
      <c r="BJ12" s="92"/>
      <c r="BK12" s="95">
        <v>711</v>
      </c>
      <c r="BL12" s="96">
        <v>721</v>
      </c>
      <c r="BM12" s="96">
        <v>719</v>
      </c>
      <c r="BN12" s="97">
        <v>774</v>
      </c>
      <c r="BO12" s="94">
        <f>SUM(BK12:BN12)</f>
        <v>2925</v>
      </c>
      <c r="BP12" s="92"/>
      <c r="BQ12" s="95">
        <f>774-1-1</f>
        <v>772</v>
      </c>
      <c r="BR12" s="92">
        <f>BR13+BR14</f>
        <v>1027.6560969999998</v>
      </c>
      <c r="BS12" s="92">
        <f>BS13+BS14</f>
        <v>1023.4249900000001</v>
      </c>
      <c r="BT12" s="99">
        <f>BT13+BT14</f>
        <v>1068.143405</v>
      </c>
      <c r="BU12" s="94">
        <f>SUM(BQ12:BT12)</f>
        <v>3891.2244920000003</v>
      </c>
      <c r="BV12" s="92"/>
      <c r="BW12" s="98">
        <f>BW13+BW14</f>
        <v>1037.3360146923876</v>
      </c>
      <c r="BX12" s="92">
        <f>BX13+BX14</f>
        <v>1039.4772582651544</v>
      </c>
      <c r="BY12" s="92">
        <f>BY13+BY14</f>
        <v>1064.0757302767665</v>
      </c>
      <c r="BZ12" s="99">
        <f>BZ13+BZ14</f>
        <v>1092.4807841382683</v>
      </c>
      <c r="CA12" s="94">
        <f>SUM(BW12:BZ12)</f>
        <v>4233.3697873725769</v>
      </c>
      <c r="CB12" s="92"/>
      <c r="CC12" s="98">
        <f>CC13+CC14</f>
        <v>1047.167655409336</v>
      </c>
      <c r="CD12" s="92">
        <f>CD13+CD14</f>
        <v>1048.3012994395071</v>
      </c>
      <c r="CE12" s="92">
        <f>CE13+CE14</f>
        <v>1073.2200438984059</v>
      </c>
      <c r="CF12" s="99">
        <f>CF13+CF14</f>
        <v>1102.3533563366645</v>
      </c>
      <c r="CG12" s="94">
        <f>SUM(CC12:CF12)</f>
        <v>4271.0423550839132</v>
      </c>
      <c r="CH12" s="92"/>
      <c r="CI12" s="98">
        <f>CI13+CI14</f>
        <v>1074.58389886191</v>
      </c>
      <c r="CJ12" s="92">
        <f>CJ13+CJ14</f>
        <v>1074.8925207620193</v>
      </c>
      <c r="CK12" s="92">
        <f>CK13+CK14</f>
        <v>1100.7127333355661</v>
      </c>
      <c r="CL12" s="99">
        <f>CL13+CL14</f>
        <v>1130.8600962276882</v>
      </c>
      <c r="CM12" s="94">
        <f>SUM(CI12:CL12)</f>
        <v>4381.0492491871837</v>
      </c>
      <c r="CN12" s="119"/>
      <c r="CO12" s="119"/>
      <c r="CP12" s="110"/>
    </row>
    <row r="13" spans="1:94" hidden="1" outlineLevel="1" x14ac:dyDescent="0.2">
      <c r="A13" s="120" t="s">
        <v>41</v>
      </c>
      <c r="B13" s="92"/>
      <c r="C13" s="98">
        <f>C12-C14</f>
        <v>384.084</v>
      </c>
      <c r="D13" s="92">
        <f>D12-D14</f>
        <v>406.63099999999997</v>
      </c>
      <c r="E13" s="92">
        <f>E12-E14</f>
        <v>412.16399999999999</v>
      </c>
      <c r="F13" s="99">
        <f>F12-F14</f>
        <v>399.52499999999998</v>
      </c>
      <c r="G13" s="94">
        <f>SUM(C13:F13)</f>
        <v>1602.404</v>
      </c>
      <c r="H13" s="92"/>
      <c r="I13" s="98">
        <f>I12-I14</f>
        <v>421.71800000000002</v>
      </c>
      <c r="J13" s="92">
        <f>J12-J14</f>
        <v>415.52300000000002</v>
      </c>
      <c r="K13" s="92">
        <f>K12-K14</f>
        <v>440.58800000000002</v>
      </c>
      <c r="L13" s="99">
        <f>L12-L14</f>
        <v>437.21600000000001</v>
      </c>
      <c r="M13" s="94">
        <f t="shared" si="3"/>
        <v>1715.0450000000001</v>
      </c>
      <c r="N13" s="92"/>
      <c r="O13" s="98">
        <f>O12-O14</f>
        <v>399.66800000000001</v>
      </c>
      <c r="P13" s="92">
        <f>P12-P14</f>
        <v>430.608</v>
      </c>
      <c r="Q13" s="92">
        <f>Q12-Q14</f>
        <v>423.51299999999998</v>
      </c>
      <c r="R13" s="99">
        <f>R12-R14</f>
        <v>427.00799999999998</v>
      </c>
      <c r="S13" s="94">
        <f t="shared" si="0"/>
        <v>1680.797</v>
      </c>
      <c r="T13" s="92"/>
      <c r="U13" s="98">
        <f>U12-U14</f>
        <v>445.673</v>
      </c>
      <c r="V13" s="92">
        <f>V12-V14</f>
        <v>421.07600000000002</v>
      </c>
      <c r="W13" s="92">
        <f>W12-W14</f>
        <v>416.46800000000002</v>
      </c>
      <c r="X13" s="99">
        <f>X12-X14</f>
        <v>438.13900000000001</v>
      </c>
      <c r="Y13" s="94">
        <f t="shared" si="1"/>
        <v>1721.3560000000002</v>
      </c>
      <c r="Z13" s="92"/>
      <c r="AA13" s="98">
        <f>AA12-AA14</f>
        <v>440.95499999999998</v>
      </c>
      <c r="AB13" s="92">
        <f>AB12-AB14</f>
        <v>435.024</v>
      </c>
      <c r="AC13" s="92">
        <f>AC12-AC14</f>
        <v>467.96800000000002</v>
      </c>
      <c r="AD13" s="99">
        <f>AD12-AD14</f>
        <v>479.59100000000001</v>
      </c>
      <c r="AE13" s="94">
        <f>SUM(AA13:AD13)</f>
        <v>1823.538</v>
      </c>
      <c r="AF13" s="92"/>
      <c r="AG13" s="98">
        <f>AG12-AG14</f>
        <v>482.27100000000002</v>
      </c>
      <c r="AH13" s="92">
        <f>AH12-AH14</f>
        <v>487.69400000000002</v>
      </c>
      <c r="AI13" s="92">
        <f>AI12-AI14</f>
        <v>469.13</v>
      </c>
      <c r="AJ13" s="99">
        <f>AJ12-AJ14</f>
        <v>476.25900000000001</v>
      </c>
      <c r="AK13" s="94">
        <f>SUM(AG13:AJ13)</f>
        <v>1915.354</v>
      </c>
      <c r="AL13" s="92"/>
      <c r="AM13" s="98">
        <f>AM12-AM14</f>
        <v>495.87799999999999</v>
      </c>
      <c r="AN13" s="92">
        <f>AN12-AN14</f>
        <v>500.60737499999999</v>
      </c>
      <c r="AO13" s="92">
        <f>AO12-AO14</f>
        <v>497.95135200000004</v>
      </c>
      <c r="AP13" s="99">
        <f>AP12-AP14</f>
        <v>516.98</v>
      </c>
      <c r="AQ13" s="94">
        <f>SUM(AM13:AP13)</f>
        <v>2011.416727</v>
      </c>
      <c r="AR13" s="92"/>
      <c r="AS13" s="98">
        <f>AS12-AS14</f>
        <v>518.50761999999997</v>
      </c>
      <c r="AT13" s="92">
        <f>AT12-AT14</f>
        <v>499.49599999999998</v>
      </c>
      <c r="AU13" s="92">
        <f>AU12-AU14</f>
        <v>512.90239999999994</v>
      </c>
      <c r="AV13" s="99">
        <f>AV12-AV14</f>
        <v>526.58606999999995</v>
      </c>
      <c r="AW13" s="94">
        <f>SUM(AS13:AV13)</f>
        <v>2057.4920899999997</v>
      </c>
      <c r="AX13" s="92"/>
      <c r="AY13" s="98">
        <f>AY12-AY14</f>
        <v>519.28293199999996</v>
      </c>
      <c r="AZ13" s="92">
        <f>AZ12-AZ14</f>
        <v>498.69729999999998</v>
      </c>
      <c r="BA13" s="92">
        <f>BA12-BA14</f>
        <v>742.60199999999998</v>
      </c>
      <c r="BB13" s="99">
        <f>BB12-BB14</f>
        <v>728.59799999999996</v>
      </c>
      <c r="BC13" s="94">
        <f>SUM(AY13:BB13)</f>
        <v>2489.1802319999997</v>
      </c>
      <c r="BD13" s="92"/>
      <c r="BE13" s="98">
        <f>BE12-BE14</f>
        <v>745</v>
      </c>
      <c r="BF13" s="92">
        <f>BF12-BF14</f>
        <v>750.75</v>
      </c>
      <c r="BG13" s="92">
        <f>BG12-BG14</f>
        <v>728</v>
      </c>
      <c r="BH13" s="99">
        <f>BH12-BH14</f>
        <v>789</v>
      </c>
      <c r="BI13" s="94">
        <f>SUM(BE13:BH13)</f>
        <v>3012.75</v>
      </c>
      <c r="BJ13" s="92"/>
      <c r="BK13" s="98">
        <f>+BK12-BK14</f>
        <v>711</v>
      </c>
      <c r="BL13" s="92">
        <f>BL12-BL14</f>
        <v>721</v>
      </c>
      <c r="BM13" s="92">
        <f>BM12-BM14</f>
        <v>719</v>
      </c>
      <c r="BN13" s="99">
        <f>BN12-BN14</f>
        <v>774</v>
      </c>
      <c r="BO13" s="94">
        <f>SUM(BK13:BN13)</f>
        <v>2925</v>
      </c>
      <c r="BP13" s="92"/>
      <c r="BQ13" s="98">
        <f>+BQ12-BQ14</f>
        <v>772</v>
      </c>
      <c r="BR13" s="92">
        <f>BR7*BR39</f>
        <v>1027.6560969999998</v>
      </c>
      <c r="BS13" s="92">
        <f>BS7*BS39</f>
        <v>1023.4249900000001</v>
      </c>
      <c r="BT13" s="99">
        <f>BT7*BT39</f>
        <v>1068.143405</v>
      </c>
      <c r="BU13" s="94">
        <f>SUM(BQ13:BT13)</f>
        <v>3891.2244920000003</v>
      </c>
      <c r="BV13" s="92"/>
      <c r="BW13" s="98">
        <f>BW7*BW39</f>
        <v>1037.3360146923876</v>
      </c>
      <c r="BX13" s="92">
        <f>BX7*BX39</f>
        <v>1039.4772582651544</v>
      </c>
      <c r="BY13" s="92">
        <f>BY7*BY39</f>
        <v>1064.0757302767665</v>
      </c>
      <c r="BZ13" s="99">
        <f>BZ7*BZ39</f>
        <v>1092.4807841382683</v>
      </c>
      <c r="CA13" s="94">
        <f>SUM(BW13:BZ13)</f>
        <v>4233.3697873725769</v>
      </c>
      <c r="CB13" s="92"/>
      <c r="CC13" s="98">
        <f>CC7*CC39</f>
        <v>1047.167655409336</v>
      </c>
      <c r="CD13" s="92">
        <f>CD7*CD39</f>
        <v>1048.3012994395071</v>
      </c>
      <c r="CE13" s="92">
        <f>CE7*CE39</f>
        <v>1073.2200438984059</v>
      </c>
      <c r="CF13" s="99">
        <f>CF7*CF39</f>
        <v>1102.3533563366645</v>
      </c>
      <c r="CG13" s="94">
        <f>SUM(CC13:CF13)</f>
        <v>4271.0423550839132</v>
      </c>
      <c r="CH13" s="92"/>
      <c r="CI13" s="98">
        <f>CI7*CI39</f>
        <v>1074.58389886191</v>
      </c>
      <c r="CJ13" s="92">
        <f>CJ7*CJ39</f>
        <v>1074.8925207620193</v>
      </c>
      <c r="CK13" s="92">
        <f>CK7*CK39</f>
        <v>1100.7127333355661</v>
      </c>
      <c r="CL13" s="99">
        <f>CL7*CL39</f>
        <v>1130.8600962276882</v>
      </c>
      <c r="CM13" s="94">
        <f>SUM(CI13:CL13)</f>
        <v>4381.0492491871837</v>
      </c>
      <c r="CN13" s="119"/>
      <c r="CO13" s="119"/>
      <c r="CP13" s="110"/>
    </row>
    <row r="14" spans="1:94" hidden="1" outlineLevel="1" x14ac:dyDescent="0.2">
      <c r="A14" s="120" t="s">
        <v>42</v>
      </c>
      <c r="B14" s="92"/>
      <c r="C14" s="104">
        <v>0</v>
      </c>
      <c r="D14" s="105">
        <v>0</v>
      </c>
      <c r="E14" s="105">
        <v>0</v>
      </c>
      <c r="F14" s="106">
        <v>0</v>
      </c>
      <c r="G14" s="94">
        <f>SUM(C14:F14)</f>
        <v>0</v>
      </c>
      <c r="H14" s="92"/>
      <c r="I14" s="104">
        <v>0</v>
      </c>
      <c r="J14" s="105">
        <v>0</v>
      </c>
      <c r="K14" s="105">
        <v>0</v>
      </c>
      <c r="L14" s="106">
        <v>0</v>
      </c>
      <c r="M14" s="94">
        <f t="shared" si="3"/>
        <v>0</v>
      </c>
      <c r="N14" s="92"/>
      <c r="O14" s="104">
        <v>0</v>
      </c>
      <c r="P14" s="105">
        <v>0</v>
      </c>
      <c r="Q14" s="105">
        <v>0</v>
      </c>
      <c r="R14" s="106">
        <v>0</v>
      </c>
      <c r="S14" s="94">
        <f t="shared" si="0"/>
        <v>0</v>
      </c>
      <c r="T14" s="92"/>
      <c r="U14" s="104">
        <v>0</v>
      </c>
      <c r="V14" s="105">
        <v>0</v>
      </c>
      <c r="W14" s="105">
        <v>0</v>
      </c>
      <c r="X14" s="106">
        <v>0</v>
      </c>
      <c r="Y14" s="94">
        <f t="shared" si="1"/>
        <v>0</v>
      </c>
      <c r="Z14" s="92"/>
      <c r="AA14" s="104">
        <v>0</v>
      </c>
      <c r="AB14" s="105">
        <v>0</v>
      </c>
      <c r="AC14" s="105">
        <v>0</v>
      </c>
      <c r="AD14" s="106">
        <v>0</v>
      </c>
      <c r="AE14" s="94">
        <f>SUM(AA14:AD14)</f>
        <v>0</v>
      </c>
      <c r="AF14" s="92"/>
      <c r="AG14" s="104">
        <v>0</v>
      </c>
      <c r="AH14" s="105">
        <v>0</v>
      </c>
      <c r="AI14" s="105">
        <v>0</v>
      </c>
      <c r="AJ14" s="106">
        <v>0</v>
      </c>
      <c r="AK14" s="94">
        <f>SUM(AG14:AJ14)</f>
        <v>0</v>
      </c>
      <c r="AL14" s="92"/>
      <c r="AM14" s="104">
        <v>0</v>
      </c>
      <c r="AN14" s="92">
        <f>AN7*AN40</f>
        <v>14.002625</v>
      </c>
      <c r="AO14" s="92">
        <f>AO7*AO40</f>
        <v>14.368647999999999</v>
      </c>
      <c r="AP14" s="99">
        <f>AP7*AP40</f>
        <v>13.02</v>
      </c>
      <c r="AQ14" s="94">
        <f>SUM(AM14:AP14)</f>
        <v>41.391272999999998</v>
      </c>
      <c r="AR14" s="92"/>
      <c r="AS14" s="98">
        <f>AS7*AS40</f>
        <v>12.492380000000001</v>
      </c>
      <c r="AT14" s="92">
        <f>AT7*AT40</f>
        <v>14.504</v>
      </c>
      <c r="AU14" s="92">
        <f>AU7*AU40</f>
        <v>15.097600000000002</v>
      </c>
      <c r="AV14" s="99">
        <f>AV7*AV40</f>
        <v>15.413930000000002</v>
      </c>
      <c r="AW14" s="94">
        <f>SUM(AS14:AV14)</f>
        <v>57.507910000000003</v>
      </c>
      <c r="AX14" s="92"/>
      <c r="AY14" s="98">
        <f>AY7*AY40</f>
        <v>12.717068000000001</v>
      </c>
      <c r="AZ14" s="92">
        <f>AZ7*AZ40</f>
        <v>12.3027</v>
      </c>
      <c r="BA14" s="92">
        <f>BA7*BA40</f>
        <v>18.798000000000002</v>
      </c>
      <c r="BB14" s="99">
        <f>BB7*BB40</f>
        <v>18.402000000000001</v>
      </c>
      <c r="BC14" s="94">
        <f>SUM(AY14:BB14)</f>
        <v>62.219768000000002</v>
      </c>
      <c r="BD14" s="92"/>
      <c r="BE14" s="98">
        <f>BE7*BE40</f>
        <v>0</v>
      </c>
      <c r="BF14" s="92">
        <f>BF7*BF40</f>
        <v>0</v>
      </c>
      <c r="BG14" s="92">
        <f>BG7*BG40</f>
        <v>0</v>
      </c>
      <c r="BH14" s="99">
        <f>BH7*BH40</f>
        <v>0</v>
      </c>
      <c r="BI14" s="94">
        <f>SUM(BE14:BH14)</f>
        <v>0</v>
      </c>
      <c r="BJ14" s="92"/>
      <c r="BK14" s="98">
        <f>BK7*BK40</f>
        <v>0</v>
      </c>
      <c r="BL14" s="92">
        <f>BL7*BL40</f>
        <v>0</v>
      </c>
      <c r="BM14" s="92">
        <f>BM7*BM40</f>
        <v>0</v>
      </c>
      <c r="BN14" s="99">
        <f>BN7*BN40</f>
        <v>0</v>
      </c>
      <c r="BO14" s="94">
        <f>SUM(BK14:BN14)</f>
        <v>0</v>
      </c>
      <c r="BP14" s="92"/>
      <c r="BQ14" s="98">
        <f>BQ7*BQ40</f>
        <v>0</v>
      </c>
      <c r="BR14" s="92">
        <f>BR7*BR40</f>
        <v>0</v>
      </c>
      <c r="BS14" s="92">
        <f>BS7*BS40</f>
        <v>0</v>
      </c>
      <c r="BT14" s="99">
        <f>BT7*BT40</f>
        <v>0</v>
      </c>
      <c r="BU14" s="94">
        <f>SUM(BQ14:BT14)</f>
        <v>0</v>
      </c>
      <c r="BV14" s="92"/>
      <c r="BW14" s="98">
        <f>BW7*BW40</f>
        <v>0</v>
      </c>
      <c r="BX14" s="92">
        <f>BX7*BX40</f>
        <v>0</v>
      </c>
      <c r="BY14" s="92">
        <f>BY7*BY40</f>
        <v>0</v>
      </c>
      <c r="BZ14" s="99">
        <f>BZ7*BZ40</f>
        <v>0</v>
      </c>
      <c r="CA14" s="94">
        <f>SUM(BW14:BZ14)</f>
        <v>0</v>
      </c>
      <c r="CB14" s="92"/>
      <c r="CC14" s="98">
        <f>CC7*CC40</f>
        <v>0</v>
      </c>
      <c r="CD14" s="92">
        <f>CD7*CD40</f>
        <v>0</v>
      </c>
      <c r="CE14" s="92">
        <f>CE7*CE40</f>
        <v>0</v>
      </c>
      <c r="CF14" s="99">
        <f>CF7*CF40</f>
        <v>0</v>
      </c>
      <c r="CG14" s="94">
        <f>SUM(CC14:CF14)</f>
        <v>0</v>
      </c>
      <c r="CH14" s="92"/>
      <c r="CI14" s="98">
        <f>CI7*CI40</f>
        <v>0</v>
      </c>
      <c r="CJ14" s="92">
        <f>CJ7*CJ40</f>
        <v>0</v>
      </c>
      <c r="CK14" s="92">
        <f>CK7*CK40</f>
        <v>0</v>
      </c>
      <c r="CL14" s="99">
        <f>CL7*CL40</f>
        <v>0</v>
      </c>
      <c r="CM14" s="94">
        <f>SUM(CI14:CL14)</f>
        <v>0</v>
      </c>
      <c r="CN14" s="121"/>
      <c r="CO14" s="121"/>
      <c r="CP14" s="121"/>
    </row>
    <row r="15" spans="1:94" collapsed="1" x14ac:dyDescent="0.2">
      <c r="A15" s="122" t="s">
        <v>43</v>
      </c>
      <c r="B15" s="123"/>
      <c r="C15" s="124">
        <v>79.94</v>
      </c>
      <c r="D15" s="125">
        <v>86.686999999999998</v>
      </c>
      <c r="E15" s="125">
        <v>92.992999999999995</v>
      </c>
      <c r="F15" s="126">
        <v>100.43</v>
      </c>
      <c r="G15" s="127">
        <f>SUM(C15:F15)</f>
        <v>360.05</v>
      </c>
      <c r="H15" s="123"/>
      <c r="I15" s="124">
        <v>91.527000000000001</v>
      </c>
      <c r="J15" s="125">
        <v>96.034000000000006</v>
      </c>
      <c r="K15" s="125">
        <v>100.071</v>
      </c>
      <c r="L15" s="126">
        <v>108.60599999999999</v>
      </c>
      <c r="M15" s="127">
        <f t="shared" si="3"/>
        <v>396.238</v>
      </c>
      <c r="N15" s="123"/>
      <c r="O15" s="124">
        <v>96.355999999999995</v>
      </c>
      <c r="P15" s="125">
        <v>97.7</v>
      </c>
      <c r="Q15" s="125">
        <v>97.620999999999995</v>
      </c>
      <c r="R15" s="126">
        <v>112.89</v>
      </c>
      <c r="S15" s="127">
        <f t="shared" si="0"/>
        <v>404.56699999999995</v>
      </c>
      <c r="T15" s="123"/>
      <c r="U15" s="124">
        <v>99.150999999999996</v>
      </c>
      <c r="V15" s="125">
        <v>100.193</v>
      </c>
      <c r="W15" s="125">
        <v>108.047</v>
      </c>
      <c r="X15" s="126">
        <v>123.60599999999999</v>
      </c>
      <c r="Y15" s="127">
        <f t="shared" si="1"/>
        <v>430.99699999999996</v>
      </c>
      <c r="Z15" s="123"/>
      <c r="AA15" s="124">
        <v>113.568</v>
      </c>
      <c r="AB15" s="125">
        <v>117.343</v>
      </c>
      <c r="AC15" s="125">
        <v>114.078</v>
      </c>
      <c r="AD15" s="126">
        <f>124.528-9.27</f>
        <v>115.25800000000001</v>
      </c>
      <c r="AE15" s="127">
        <f>SUM(AA15:AD15)</f>
        <v>460.24700000000007</v>
      </c>
      <c r="AF15" s="123"/>
      <c r="AG15" s="124">
        <v>112.227</v>
      </c>
      <c r="AH15" s="125">
        <v>116.753</v>
      </c>
      <c r="AI15" s="125">
        <v>114.98699999999999</v>
      </c>
      <c r="AJ15" s="126">
        <f>127.787-2</f>
        <v>125.78700000000001</v>
      </c>
      <c r="AK15" s="127">
        <f>SUM(AG15:AJ15)</f>
        <v>469.75400000000002</v>
      </c>
      <c r="AL15" s="123"/>
      <c r="AM15" s="124">
        <v>118.16200000000001</v>
      </c>
      <c r="AN15" s="125">
        <v>122.377</v>
      </c>
      <c r="AO15" s="125">
        <v>121.116</v>
      </c>
      <c r="AP15" s="126">
        <v>133</v>
      </c>
      <c r="AQ15" s="127">
        <f>SUM(AM15:AP15)</f>
        <v>494.65499999999997</v>
      </c>
      <c r="AR15" s="123"/>
      <c r="AS15" s="128">
        <v>126</v>
      </c>
      <c r="AT15" s="129">
        <f>147-20</f>
        <v>127</v>
      </c>
      <c r="AU15" s="129">
        <v>128</v>
      </c>
      <c r="AV15" s="130">
        <v>133</v>
      </c>
      <c r="AW15" s="127">
        <f>SUM(AS15:AV15)</f>
        <v>514</v>
      </c>
      <c r="AX15" s="123"/>
      <c r="AY15" s="128">
        <v>129</v>
      </c>
      <c r="AZ15" s="129">
        <v>129</v>
      </c>
      <c r="BA15" s="129">
        <f>178+2+0.1</f>
        <v>180.1</v>
      </c>
      <c r="BB15" s="130">
        <v>196</v>
      </c>
      <c r="BC15" s="127">
        <f>SUM(AY15:BB15)</f>
        <v>634.1</v>
      </c>
      <c r="BD15" s="123"/>
      <c r="BE15" s="128">
        <v>187</v>
      </c>
      <c r="BF15" s="129">
        <v>181.75</v>
      </c>
      <c r="BG15" s="129">
        <v>207</v>
      </c>
      <c r="BH15" s="130">
        <v>253</v>
      </c>
      <c r="BI15" s="127">
        <f>SUM(BE15:BH15)</f>
        <v>828.75</v>
      </c>
      <c r="BJ15" s="123"/>
      <c r="BK15" s="128">
        <v>182</v>
      </c>
      <c r="BL15" s="129">
        <v>187</v>
      </c>
      <c r="BM15" s="129">
        <f>186-1</f>
        <v>185</v>
      </c>
      <c r="BN15" s="130">
        <v>221</v>
      </c>
      <c r="BO15" s="127">
        <f>SUM(BK15:BN15)</f>
        <v>775</v>
      </c>
      <c r="BP15" s="123"/>
      <c r="BQ15" s="128">
        <v>192</v>
      </c>
      <c r="BR15" s="123">
        <f>BR7*BR41</f>
        <v>270.43581499999999</v>
      </c>
      <c r="BS15" s="123">
        <f>BS7*BS41</f>
        <v>283.80693000000002</v>
      </c>
      <c r="BT15" s="132">
        <f>BT7*BT41</f>
        <v>296.46429200000006</v>
      </c>
      <c r="BU15" s="127">
        <f>SUM(BQ15:BT15)</f>
        <v>1042.7070370000001</v>
      </c>
      <c r="BV15" s="123"/>
      <c r="BW15" s="131">
        <f>BW7*BW41</f>
        <v>289.58963743495821</v>
      </c>
      <c r="BX15" s="123">
        <f>BX7*BX41</f>
        <v>289.4746795168785</v>
      </c>
      <c r="BY15" s="123">
        <f>BY7*BY41</f>
        <v>298.84680084368767</v>
      </c>
      <c r="BZ15" s="132">
        <f>BZ7*BZ41</f>
        <v>302.95685610557024</v>
      </c>
      <c r="CA15" s="127">
        <f>SUM(BW15:BZ15)</f>
        <v>1180.8679739010945</v>
      </c>
      <c r="CB15" s="123"/>
      <c r="CC15" s="131">
        <f>CC7*CC41</f>
        <v>291.38578237477179</v>
      </c>
      <c r="CD15" s="123">
        <f>CD7*CD41</f>
        <v>290.9382460999513</v>
      </c>
      <c r="CE15" s="123">
        <f>CE7*CE41</f>
        <v>300.50161229155367</v>
      </c>
      <c r="CF15" s="132">
        <f>CF7*CF41</f>
        <v>304.59763793513105</v>
      </c>
      <c r="CG15" s="127">
        <f>SUM(CC15:CF15)</f>
        <v>1187.4232787014078</v>
      </c>
      <c r="CH15" s="123"/>
      <c r="CI15" s="131">
        <f>CI7*CI41</f>
        <v>299.8280967806669</v>
      </c>
      <c r="CJ15" s="123">
        <f>CJ7*CJ41</f>
        <v>299.12167432970227</v>
      </c>
      <c r="CK15" s="123">
        <f>CK7*CK41</f>
        <v>309.10426073122068</v>
      </c>
      <c r="CL15" s="132">
        <f>CL7*CL41</f>
        <v>313.2788104414542</v>
      </c>
      <c r="CM15" s="127">
        <f>SUM(CI15:CL15)</f>
        <v>1221.3328422830441</v>
      </c>
      <c r="CN15" s="110"/>
      <c r="CO15" s="110"/>
      <c r="CP15" s="110"/>
    </row>
    <row r="16" spans="1:94" x14ac:dyDescent="0.2">
      <c r="A16" s="133" t="s">
        <v>44</v>
      </c>
      <c r="B16" s="134"/>
      <c r="C16" s="135">
        <f>C12+C15</f>
        <v>464.024</v>
      </c>
      <c r="D16" s="134">
        <f>D12+D15</f>
        <v>493.31799999999998</v>
      </c>
      <c r="E16" s="134">
        <f>E12+E15</f>
        <v>505.15699999999998</v>
      </c>
      <c r="F16" s="136">
        <f>F12+F15</f>
        <v>499.95499999999998</v>
      </c>
      <c r="G16" s="137">
        <f>G12+G15</f>
        <v>1962.454</v>
      </c>
      <c r="H16" s="134"/>
      <c r="I16" s="135">
        <f>I12+I15</f>
        <v>513.245</v>
      </c>
      <c r="J16" s="134">
        <f>J12+J15</f>
        <v>511.55700000000002</v>
      </c>
      <c r="K16" s="134">
        <f>K12+K15</f>
        <v>540.65899999999999</v>
      </c>
      <c r="L16" s="136">
        <f>L12+L15</f>
        <v>545.822</v>
      </c>
      <c r="M16" s="137">
        <f>M12+M15</f>
        <v>2111.2829999999999</v>
      </c>
      <c r="N16" s="134"/>
      <c r="O16" s="135">
        <f>O12+O15</f>
        <v>496.024</v>
      </c>
      <c r="P16" s="134">
        <f>P12+P15</f>
        <v>528.30799999999999</v>
      </c>
      <c r="Q16" s="134">
        <f>Q12+Q15</f>
        <v>521.13400000000001</v>
      </c>
      <c r="R16" s="136">
        <f>R12+R15</f>
        <v>539.89800000000002</v>
      </c>
      <c r="S16" s="137">
        <f>S12+S15</f>
        <v>2085.364</v>
      </c>
      <c r="T16" s="134"/>
      <c r="U16" s="135">
        <f>U12+U15</f>
        <v>544.82399999999996</v>
      </c>
      <c r="V16" s="134">
        <f>V12+V15</f>
        <v>521.26900000000001</v>
      </c>
      <c r="W16" s="134">
        <f>W12+W15</f>
        <v>524.51499999999999</v>
      </c>
      <c r="X16" s="136">
        <f>X12+X15</f>
        <v>561.745</v>
      </c>
      <c r="Y16" s="137">
        <f>Y12+Y15</f>
        <v>2152.3530000000001</v>
      </c>
      <c r="Z16" s="134"/>
      <c r="AA16" s="135">
        <f>AA12+AA15</f>
        <v>554.52300000000002</v>
      </c>
      <c r="AB16" s="134">
        <f>AB12+AB15</f>
        <v>552.36699999999996</v>
      </c>
      <c r="AC16" s="134">
        <f>AC12+AC15</f>
        <v>582.04600000000005</v>
      </c>
      <c r="AD16" s="136">
        <f>AD12+AD15</f>
        <v>594.84900000000005</v>
      </c>
      <c r="AE16" s="137">
        <f>AE12+AE15</f>
        <v>2283.7849999999999</v>
      </c>
      <c r="AF16" s="134"/>
      <c r="AG16" s="135">
        <f>AG12+AG15</f>
        <v>594.49800000000005</v>
      </c>
      <c r="AH16" s="134">
        <f>AH12+AH15</f>
        <v>604.447</v>
      </c>
      <c r="AI16" s="134">
        <f>AI12+AI15</f>
        <v>584.11699999999996</v>
      </c>
      <c r="AJ16" s="136">
        <f>AJ12+AJ15</f>
        <v>602.04600000000005</v>
      </c>
      <c r="AK16" s="137">
        <f>AK12+AK15</f>
        <v>2385.1080000000002</v>
      </c>
      <c r="AL16" s="134"/>
      <c r="AM16" s="135">
        <f>AM12+AM15</f>
        <v>614.04</v>
      </c>
      <c r="AN16" s="134">
        <f>AN12+AN15</f>
        <v>636.98699999999997</v>
      </c>
      <c r="AO16" s="134">
        <f>AO12+AO15</f>
        <v>633.43600000000004</v>
      </c>
      <c r="AP16" s="136">
        <f>AP12+AP15</f>
        <v>663</v>
      </c>
      <c r="AQ16" s="137">
        <f>AQ12+AQ15</f>
        <v>2547.4629999999997</v>
      </c>
      <c r="AR16" s="134"/>
      <c r="AS16" s="135">
        <f>AS12+AS15</f>
        <v>657</v>
      </c>
      <c r="AT16" s="134">
        <f>AT12+AT15</f>
        <v>641</v>
      </c>
      <c r="AU16" s="134">
        <f>AU12+AU15</f>
        <v>656</v>
      </c>
      <c r="AV16" s="136">
        <f>AV12+AV15</f>
        <v>675</v>
      </c>
      <c r="AW16" s="137">
        <f>AW12+AW15</f>
        <v>2629</v>
      </c>
      <c r="AX16" s="134"/>
      <c r="AY16" s="135">
        <f>AY12+AY15</f>
        <v>661</v>
      </c>
      <c r="AZ16" s="134">
        <f>AZ12+AZ15</f>
        <v>640</v>
      </c>
      <c r="BA16" s="134">
        <f>BA12+BA15</f>
        <v>941.5</v>
      </c>
      <c r="BB16" s="136">
        <f>BB12+BB15</f>
        <v>943</v>
      </c>
      <c r="BC16" s="137">
        <f>BC12+BC15</f>
        <v>3185.5</v>
      </c>
      <c r="BD16" s="134"/>
      <c r="BE16" s="135">
        <f>BE12+BE15</f>
        <v>932</v>
      </c>
      <c r="BF16" s="134">
        <f>BF12+BF15</f>
        <v>932.5</v>
      </c>
      <c r="BG16" s="134">
        <f>BG12+BG15</f>
        <v>935</v>
      </c>
      <c r="BH16" s="136">
        <f>BH12+BH15</f>
        <v>1042</v>
      </c>
      <c r="BI16" s="137">
        <f>BI12+BI15</f>
        <v>3841.5</v>
      </c>
      <c r="BJ16" s="134"/>
      <c r="BK16" s="135">
        <f>BK12+BK15</f>
        <v>893</v>
      </c>
      <c r="BL16" s="134">
        <f>BL12+BL15</f>
        <v>908</v>
      </c>
      <c r="BM16" s="134">
        <f>BM12+BM15</f>
        <v>904</v>
      </c>
      <c r="BN16" s="136">
        <f>BN12+BN15</f>
        <v>995</v>
      </c>
      <c r="BO16" s="137">
        <f>BO12+BO15</f>
        <v>3700</v>
      </c>
      <c r="BP16" s="134"/>
      <c r="BQ16" s="135">
        <f>BQ12+BQ15</f>
        <v>964</v>
      </c>
      <c r="BR16" s="134">
        <f>BR12+BR15</f>
        <v>1298.0919119999999</v>
      </c>
      <c r="BS16" s="134">
        <f>BS12+BS15</f>
        <v>1307.2319200000002</v>
      </c>
      <c r="BT16" s="136">
        <f>BT12+BT15</f>
        <v>1364.6076970000001</v>
      </c>
      <c r="BU16" s="137">
        <f>BU12+BU15</f>
        <v>4933.9315290000004</v>
      </c>
      <c r="BV16" s="134"/>
      <c r="BW16" s="135">
        <f>BW12+BW15</f>
        <v>1326.9256521273458</v>
      </c>
      <c r="BX16" s="134">
        <f>BX12+BX15</f>
        <v>1328.9519377820329</v>
      </c>
      <c r="BY16" s="134">
        <f>BY12+BY15</f>
        <v>1362.9225311204541</v>
      </c>
      <c r="BZ16" s="136">
        <f>BZ12+BZ15</f>
        <v>1395.4376402438386</v>
      </c>
      <c r="CA16" s="137">
        <f>CA12+CA15</f>
        <v>5414.2377612736709</v>
      </c>
      <c r="CB16" s="134"/>
      <c r="CC16" s="135">
        <f>CC12+CC15</f>
        <v>1338.5534377841077</v>
      </c>
      <c r="CD16" s="134">
        <f>CD12+CD15</f>
        <v>1339.2395455394585</v>
      </c>
      <c r="CE16" s="134">
        <f>CE12+CE15</f>
        <v>1373.7216561899595</v>
      </c>
      <c r="CF16" s="136">
        <f>CF12+CF15</f>
        <v>1406.9509942717955</v>
      </c>
      <c r="CG16" s="137">
        <f>CG12+CG15</f>
        <v>5458.4656337853212</v>
      </c>
      <c r="CH16" s="134"/>
      <c r="CI16" s="135">
        <f>CI12+CI15</f>
        <v>1374.411995642577</v>
      </c>
      <c r="CJ16" s="134">
        <f>CJ12+CJ15</f>
        <v>1374.0141950917216</v>
      </c>
      <c r="CK16" s="134">
        <f>CK12+CK15</f>
        <v>1409.8169940667867</v>
      </c>
      <c r="CL16" s="136">
        <f>CL12+CL15</f>
        <v>1444.1389066691424</v>
      </c>
      <c r="CM16" s="137">
        <f>CM12+CM15</f>
        <v>5602.3820914702283</v>
      </c>
      <c r="CN16" s="100"/>
      <c r="CO16" s="100"/>
      <c r="CP16" s="100"/>
    </row>
    <row r="17" spans="1:94" x14ac:dyDescent="0.2">
      <c r="A17" s="111" t="s">
        <v>45</v>
      </c>
      <c r="B17" s="92"/>
      <c r="C17" s="112">
        <f>C11-C12-C15</f>
        <v>328.57699999999988</v>
      </c>
      <c r="D17" s="113">
        <f>D11-D12-D15</f>
        <v>318.06400000000008</v>
      </c>
      <c r="E17" s="113">
        <f>E11-E12-E15</f>
        <v>334.9310000000001</v>
      </c>
      <c r="F17" s="114">
        <f>F11-F12-F15</f>
        <v>343.76900000000018</v>
      </c>
      <c r="G17" s="115">
        <f>G11-G12-G15</f>
        <v>1325.3410000000006</v>
      </c>
      <c r="H17" s="92"/>
      <c r="I17" s="112">
        <f>I11-I12-I15</f>
        <v>362.67600000000004</v>
      </c>
      <c r="J17" s="113">
        <f>J11-J12-J15</f>
        <v>381.56099999999992</v>
      </c>
      <c r="K17" s="113">
        <f>K11-K12-K15</f>
        <v>409.56700000000023</v>
      </c>
      <c r="L17" s="114">
        <f>L11-L12-L15</f>
        <v>398.26299999999981</v>
      </c>
      <c r="M17" s="115">
        <f>M11-M12-M15</f>
        <v>1552.0670000000002</v>
      </c>
      <c r="N17" s="92"/>
      <c r="O17" s="112">
        <f>O11-O12-O15</f>
        <v>401.58199999999988</v>
      </c>
      <c r="P17" s="113">
        <f>P11-P12-P15</f>
        <v>347.45200000000011</v>
      </c>
      <c r="Q17" s="113">
        <f>Q11-Q12-Q15</f>
        <v>416.71999999999991</v>
      </c>
      <c r="R17" s="114">
        <f>R11-R12-R15</f>
        <v>423.928</v>
      </c>
      <c r="S17" s="115">
        <f>S11-S12-S15</f>
        <v>1589.6819999999998</v>
      </c>
      <c r="T17" s="92"/>
      <c r="U17" s="112">
        <f>U11-U12-U15</f>
        <v>429.67</v>
      </c>
      <c r="V17" s="113">
        <f>V11-V12-V15</f>
        <v>413.64800000000014</v>
      </c>
      <c r="W17" s="113">
        <f>W11-W12-W15</f>
        <v>422.96199999999999</v>
      </c>
      <c r="X17" s="114">
        <f>X11-X12-X15</f>
        <v>410.51699999999994</v>
      </c>
      <c r="Y17" s="115">
        <f>Y11-Y12-Y15</f>
        <v>1676.7969999999996</v>
      </c>
      <c r="Z17" s="92"/>
      <c r="AA17" s="112">
        <f>AA11-AA12-AA15</f>
        <v>388.6647000000001</v>
      </c>
      <c r="AB17" s="113">
        <f>AB11-AB12-AB15</f>
        <v>416.98500000000007</v>
      </c>
      <c r="AC17" s="113">
        <f>AC11-AC12-AC15</f>
        <v>447.1909999999998</v>
      </c>
      <c r="AD17" s="114">
        <f>AD11-AD12-AD15</f>
        <v>422.29099999999994</v>
      </c>
      <c r="AE17" s="115">
        <f>AE11-AE12-AE15</f>
        <v>1675.1317000000001</v>
      </c>
      <c r="AF17" s="116"/>
      <c r="AG17" s="112">
        <f>AG11-AG12-AG15</f>
        <v>336.75699999999995</v>
      </c>
      <c r="AH17" s="113">
        <f>AH11-AH12-AH15</f>
        <v>383.32999999999981</v>
      </c>
      <c r="AI17" s="113">
        <f>AI11-AI12-AI15</f>
        <v>449.0179999999998</v>
      </c>
      <c r="AJ17" s="114">
        <f>AJ11-AJ12-AJ15</f>
        <v>408.77999999999975</v>
      </c>
      <c r="AK17" s="115">
        <f t="shared" ref="AK17:AK23" si="4">SUM(AG17:AJ17)</f>
        <v>1577.8849999999993</v>
      </c>
      <c r="AL17" s="116"/>
      <c r="AM17" s="112">
        <f>AM11-AM12-AM15</f>
        <v>409.95907499999998</v>
      </c>
      <c r="AN17" s="113">
        <f>AN11-AN12-AN15</f>
        <v>401.01949999999994</v>
      </c>
      <c r="AO17" s="113">
        <f>AO11-AO12-AO15</f>
        <v>446.4961499999996</v>
      </c>
      <c r="AP17" s="114">
        <f>AP11-AP12-AP15</f>
        <v>442.0762749999999</v>
      </c>
      <c r="AQ17" s="115">
        <f t="shared" ref="AQ17:AQ23" si="5">SUM(AM17:AP17)</f>
        <v>1699.5509999999995</v>
      </c>
      <c r="AR17" s="116"/>
      <c r="AS17" s="112">
        <f>AS11-AS12-AS15</f>
        <v>396.38000000000011</v>
      </c>
      <c r="AT17" s="113">
        <f>AT11-AT12-AT15</f>
        <v>430.48</v>
      </c>
      <c r="AU17" s="116">
        <f>AU11-AU12-AU15</f>
        <v>473.2800000000002</v>
      </c>
      <c r="AV17" s="117">
        <f>AV11-AV12-AV15</f>
        <v>466.91000000000031</v>
      </c>
      <c r="AW17" s="115">
        <f t="shared" ref="AW17:AW23" si="6">SUM(AS17:AV17)</f>
        <v>1767.0500000000006</v>
      </c>
      <c r="AX17" s="116"/>
      <c r="AY17" s="118">
        <f>AY11-AY12-AY15</f>
        <v>402.14000000000033</v>
      </c>
      <c r="AZ17" s="113">
        <f>AZ11-AZ12-AZ15</f>
        <v>422.44999999999982</v>
      </c>
      <c r="BA17" s="113">
        <f>BA11-BA12-BA15</f>
        <v>687.09999999999991</v>
      </c>
      <c r="BB17" s="117">
        <f>BB11-BB12-BB15</f>
        <v>665</v>
      </c>
      <c r="BC17" s="115">
        <f t="shared" ref="BC17:BC23" si="7">SUM(AY17:BB17)</f>
        <v>2176.69</v>
      </c>
      <c r="BD17" s="116"/>
      <c r="BE17" s="118">
        <f>BE11-BE12-BE15</f>
        <v>634.23999999999978</v>
      </c>
      <c r="BF17" s="113">
        <f>BF11-BF12-BF15</f>
        <v>692.75</v>
      </c>
      <c r="BG17" s="113">
        <f>BG11-BG12-BG15</f>
        <v>749</v>
      </c>
      <c r="BH17" s="117">
        <f>BH11-BH12-BH15</f>
        <v>647</v>
      </c>
      <c r="BI17" s="115">
        <f t="shared" ref="BI17:BI23" si="8">SUM(BE17:BH17)</f>
        <v>2722.99</v>
      </c>
      <c r="BJ17" s="116"/>
      <c r="BK17" s="118">
        <f>BK11-BK12-BK15</f>
        <v>694</v>
      </c>
      <c r="BL17" s="113">
        <f>BL11-BL12-BL15</f>
        <v>655</v>
      </c>
      <c r="BM17" s="113">
        <f>BM11-BM12-BM15</f>
        <v>731</v>
      </c>
      <c r="BN17" s="117">
        <f>BN11-BN12-BN15</f>
        <v>690.48999999999978</v>
      </c>
      <c r="BO17" s="115">
        <f t="shared" ref="BO17:BO24" si="9">SUM(BK17:BN17)</f>
        <v>2770.49</v>
      </c>
      <c r="BP17" s="116"/>
      <c r="BQ17" s="118">
        <f>BQ11-BQ12-BQ15</f>
        <v>725</v>
      </c>
      <c r="BR17" s="116">
        <f>BR11-BR12-BR15</f>
        <v>1052.6194029999997</v>
      </c>
      <c r="BS17" s="116">
        <f>BS11-BS12-BS15</f>
        <v>1156.728245</v>
      </c>
      <c r="BT17" s="117">
        <f>BT11-BT12-BT15</f>
        <v>1142.2594779999997</v>
      </c>
      <c r="BU17" s="115">
        <f t="shared" ref="BU17:BU23" si="10">SUM(BQ17:BT17)</f>
        <v>4076.6071259999999</v>
      </c>
      <c r="BV17" s="116"/>
      <c r="BW17" s="118">
        <f>BW11-BW12-BW15</f>
        <v>1158.3585497398324</v>
      </c>
      <c r="BX17" s="116">
        <f>BX11-BX12-BX15</f>
        <v>1197.3725380016335</v>
      </c>
      <c r="BY17" s="116">
        <f>BY11-BY12-BY15</f>
        <v>1240.6670216844004</v>
      </c>
      <c r="BZ17" s="117">
        <f>BZ11-BZ12-BZ15</f>
        <v>1253.1397229821312</v>
      </c>
      <c r="CA17" s="115">
        <f t="shared" ref="CA17:CA24" si="11">SUM(BW17:BZ17)</f>
        <v>4849.5378324079975</v>
      </c>
      <c r="CB17" s="116"/>
      <c r="CC17" s="118">
        <f>CC11-CC12-CC15</f>
        <v>1320.3418263856847</v>
      </c>
      <c r="CD17" s="116">
        <f>CD11-CD12-CD15</f>
        <v>1362.3298825315178</v>
      </c>
      <c r="CE17" s="116">
        <f>CE11-CE12-CE15</f>
        <v>1411.8805910841252</v>
      </c>
      <c r="CF17" s="117">
        <f>CF11-CF12-CF15</f>
        <v>1426.2905268391055</v>
      </c>
      <c r="CG17" s="115">
        <f t="shared" ref="CG17:CG24" si="12">SUM(CC17:CF17)</f>
        <v>5520.8428268404332</v>
      </c>
      <c r="CH17" s="116"/>
      <c r="CI17" s="118">
        <f>CI11-CI12-CI15</f>
        <v>1451.1679884184277</v>
      </c>
      <c r="CJ17" s="116">
        <f>CJ11-CJ12-CJ15</f>
        <v>1461.5620022126102</v>
      </c>
      <c r="CK17" s="116">
        <f>CK11-CK12-CK15</f>
        <v>1570.6517313578288</v>
      </c>
      <c r="CL17" s="117">
        <f>CL11-CL12-CL15</f>
        <v>1586.7699097969592</v>
      </c>
      <c r="CM17" s="115">
        <f t="shared" ref="CM17:CM24" si="13">SUM(CI17:CL17)</f>
        <v>6070.1516317858259</v>
      </c>
      <c r="CN17" s="138"/>
      <c r="CO17" s="138"/>
      <c r="CP17" s="139"/>
    </row>
    <row r="18" spans="1:94" hidden="1" outlineLevel="1" x14ac:dyDescent="0.2">
      <c r="A18" s="140" t="s">
        <v>46</v>
      </c>
      <c r="B18" s="87"/>
      <c r="C18" s="141">
        <f>CFS!C11+C17</f>
        <v>429.6579999999999</v>
      </c>
      <c r="D18" s="142">
        <f>CFS!D11+D17</f>
        <v>428.01100000000008</v>
      </c>
      <c r="E18" s="142">
        <f>CFS!E11+E17</f>
        <v>447.46800000000007</v>
      </c>
      <c r="F18" s="143">
        <f>CFS!F11+F17</f>
        <v>461.54500000000019</v>
      </c>
      <c r="G18" s="115">
        <f>SUM(C18:F18)</f>
        <v>1766.6820000000002</v>
      </c>
      <c r="H18" s="87"/>
      <c r="I18" s="141">
        <f>CFS!I11+I17</f>
        <v>477.88800000000003</v>
      </c>
      <c r="J18" s="142">
        <f>CFS!J11+J17</f>
        <v>498.4079999999999</v>
      </c>
      <c r="K18" s="142">
        <f>CFS!K11+K17</f>
        <v>530.62100000000021</v>
      </c>
      <c r="L18" s="143">
        <f>CFS!L11+L17</f>
        <v>522.57199999999989</v>
      </c>
      <c r="M18" s="115">
        <f>SUM(I18:L18)</f>
        <v>2029.489</v>
      </c>
      <c r="N18" s="87"/>
      <c r="O18" s="141">
        <f>CFS!O11+O17</f>
        <v>518.09999999999991</v>
      </c>
      <c r="P18" s="142">
        <f>CFS!P11+P17</f>
        <v>464.73000000000013</v>
      </c>
      <c r="Q18" s="142">
        <f>CFS!Q11+Q17</f>
        <v>535.16999999999985</v>
      </c>
      <c r="R18" s="143">
        <f>CFS!R11+R17</f>
        <v>541.875</v>
      </c>
      <c r="S18" s="115">
        <f>SUM(O18:R18)</f>
        <v>2059.875</v>
      </c>
      <c r="T18" s="87"/>
      <c r="U18" s="141">
        <f>CFS!U11+U17</f>
        <v>554.89100000000008</v>
      </c>
      <c r="V18" s="142">
        <f>CFS!V11+V17</f>
        <v>540.45400000000018</v>
      </c>
      <c r="W18" s="142">
        <f>CFS!W11+W17</f>
        <v>553.94000000000005</v>
      </c>
      <c r="X18" s="143">
        <f>CFS!X11+X17</f>
        <v>529.625</v>
      </c>
      <c r="Y18" s="115">
        <f t="shared" ref="Y18:Y24" si="14">SUM(U18:X18)</f>
        <v>2178.9100000000003</v>
      </c>
      <c r="Z18" s="87"/>
      <c r="AA18" s="141">
        <f>CFS!AA11+AA17</f>
        <v>511.8567000000001</v>
      </c>
      <c r="AB18" s="142">
        <f>CFS!AB11+AB17</f>
        <v>539.19000000000005</v>
      </c>
      <c r="AC18" s="142">
        <f>CFS!AC11+AC17</f>
        <v>574.00399999999979</v>
      </c>
      <c r="AD18" s="143">
        <f>CFS!AD11+AD17</f>
        <v>554.16999999999996</v>
      </c>
      <c r="AE18" s="115">
        <f t="shared" ref="AE18:AE24" si="15">SUM(AA18:AD18)</f>
        <v>2179.2206999999999</v>
      </c>
      <c r="AF18" s="113"/>
      <c r="AG18" s="141">
        <f>CFS!AG11+AG17</f>
        <v>472.37499999999994</v>
      </c>
      <c r="AH18" s="142">
        <f>CFS!AH11+AH17</f>
        <v>513.59299999999985</v>
      </c>
      <c r="AI18" s="142">
        <f>CFS!AI11+AI17</f>
        <v>566.69599999999991</v>
      </c>
      <c r="AJ18" s="143">
        <f>CFS!AJ11+AJ17</f>
        <v>536.15899999999965</v>
      </c>
      <c r="AK18" s="115">
        <f>SUM(AG18:AJ18)</f>
        <v>2088.8229999999994</v>
      </c>
      <c r="AL18" s="113"/>
      <c r="AM18" s="141">
        <f>CFS!AM11+AM17</f>
        <v>538.79207499999995</v>
      </c>
      <c r="AN18" s="142">
        <f>CFS!AN11+AN17</f>
        <v>537.66349999999989</v>
      </c>
      <c r="AO18" s="142">
        <f>CFS!AO11+AO17</f>
        <v>584.70014999999967</v>
      </c>
      <c r="AP18" s="143">
        <f>CFS!AP11+AP17</f>
        <v>584.39527499999986</v>
      </c>
      <c r="AQ18" s="115">
        <f>SUM(AM18:AP18)</f>
        <v>2245.5509999999995</v>
      </c>
      <c r="AR18" s="113"/>
      <c r="AS18" s="141">
        <f>CFS!AS11+AS17</f>
        <v>538.38000000000011</v>
      </c>
      <c r="AT18" s="142">
        <f>CFS!AT11+AT17</f>
        <v>560.48</v>
      </c>
      <c r="AU18" s="142">
        <f>CFS!AU11+AU17</f>
        <v>614.2800000000002</v>
      </c>
      <c r="AV18" s="143">
        <f>CFS!AV11+AV17</f>
        <v>616.41000000000031</v>
      </c>
      <c r="AW18" s="115">
        <f>SUM(AS18:AV18)</f>
        <v>2329.5500000000006</v>
      </c>
      <c r="AX18" s="113"/>
      <c r="AY18" s="141">
        <f>CFS!AY12+AY17</f>
        <v>511.14000000000033</v>
      </c>
      <c r="AZ18" s="142">
        <f>CFS!AZ12+AZ17</f>
        <v>530.44999999999982</v>
      </c>
      <c r="BA18" s="142">
        <f>CFS!BA12+BA17</f>
        <v>811.59999999999991</v>
      </c>
      <c r="BB18" s="143">
        <f>CFS!BB12+BB17</f>
        <v>803.5</v>
      </c>
      <c r="BC18" s="115">
        <f>SUM(AY18:BB18)</f>
        <v>2656.69</v>
      </c>
      <c r="BD18" s="113"/>
      <c r="BE18" s="141">
        <f>CFS!BE12+BE17</f>
        <v>771.23999999999978</v>
      </c>
      <c r="BF18" s="142">
        <f>CFS!BF12+BF17</f>
        <v>834.75</v>
      </c>
      <c r="BG18" s="142">
        <f>CFS!BG12+BG17</f>
        <v>888</v>
      </c>
      <c r="BH18" s="143">
        <f>CFS!BH12+BH17</f>
        <v>791</v>
      </c>
      <c r="BI18" s="115">
        <f>SUM(BE18:BH18)</f>
        <v>3284.99</v>
      </c>
      <c r="BJ18" s="113"/>
      <c r="BK18" s="141">
        <f>CFS!BK12+BK17</f>
        <v>819</v>
      </c>
      <c r="BL18" s="142">
        <f>CFS!BL12+BL17</f>
        <v>785</v>
      </c>
      <c r="BM18" s="142">
        <f>CFS!BM12+BM17</f>
        <v>878</v>
      </c>
      <c r="BN18" s="143">
        <f>CFS!BN12+BN17</f>
        <v>843.48999999999978</v>
      </c>
      <c r="BO18" s="115">
        <f t="shared" si="9"/>
        <v>3325.49</v>
      </c>
      <c r="BP18" s="113"/>
      <c r="BQ18" s="141">
        <f>CFS!BQ12+BQ17</f>
        <v>880</v>
      </c>
      <c r="BR18" s="142">
        <f>CFS!BR12+BR17</f>
        <v>1226.9125064482755</v>
      </c>
      <c r="BS18" s="142">
        <f>CFS!BS12+BS17</f>
        <v>1334.9006587931035</v>
      </c>
      <c r="BT18" s="143">
        <f>CFS!BT12+BT17</f>
        <v>1324.3112021379306</v>
      </c>
      <c r="BU18" s="115">
        <f>SUM(BQ18:BT18)</f>
        <v>4766.1243673793097</v>
      </c>
      <c r="BV18" s="113"/>
      <c r="BW18" s="141">
        <f>CFS!BW12+BW17</f>
        <v>1344.289584222591</v>
      </c>
      <c r="BX18" s="142">
        <f>CFS!BX12+BX17</f>
        <v>1386.9242621395647</v>
      </c>
      <c r="BY18" s="142">
        <f>CFS!BY12+BY17</f>
        <v>1433.8394354775039</v>
      </c>
      <c r="BZ18" s="143">
        <f>CFS!BZ12+BZ17</f>
        <v>1449.932826430407</v>
      </c>
      <c r="CA18" s="115">
        <f t="shared" si="11"/>
        <v>5614.9861082700663</v>
      </c>
      <c r="CB18" s="113"/>
      <c r="CC18" s="141">
        <f>CFS!CC12+CC17</f>
        <v>1520.7556194891331</v>
      </c>
      <c r="CD18" s="142">
        <f>CFS!CD12+CD17</f>
        <v>1566.3643652901385</v>
      </c>
      <c r="CE18" s="142">
        <f>CFS!CE12+CE17</f>
        <v>1619.5357634979182</v>
      </c>
      <c r="CF18" s="143">
        <f>CFS!CF12+CF17</f>
        <v>1637.5663889080711</v>
      </c>
      <c r="CG18" s="115">
        <f t="shared" si="12"/>
        <v>6344.2221371852611</v>
      </c>
      <c r="CH18" s="113"/>
      <c r="CI18" s="141">
        <f>CFS!CI12+CI17</f>
        <v>1666.0645401425656</v>
      </c>
      <c r="CJ18" s="142">
        <f>CFS!CJ12+CJ17</f>
        <v>1680.0792435919207</v>
      </c>
      <c r="CK18" s="142">
        <f>CFS!CK12+CK17</f>
        <v>1792.7896623923116</v>
      </c>
      <c r="CL18" s="143">
        <f>CFS!CL12+CL17</f>
        <v>1812.5285304866143</v>
      </c>
      <c r="CM18" s="115">
        <f t="shared" si="13"/>
        <v>6951.4619766134128</v>
      </c>
      <c r="CN18" s="144"/>
      <c r="CO18" s="144"/>
      <c r="CP18" s="145"/>
    </row>
    <row r="19" spans="1:94" collapsed="1" x14ac:dyDescent="0.2">
      <c r="A19" s="86" t="s">
        <v>47</v>
      </c>
      <c r="B19" s="92"/>
      <c r="C19" s="146">
        <f>C21-C20</f>
        <v>3.2460000000000004</v>
      </c>
      <c r="D19" s="87">
        <f>D21-D20</f>
        <v>-2.5999999999999996</v>
      </c>
      <c r="E19" s="87">
        <f>E21-E20</f>
        <v>0.33999999999999986</v>
      </c>
      <c r="F19" s="147">
        <f>F21-F20</f>
        <v>-1.1850000000000005</v>
      </c>
      <c r="G19" s="94">
        <f>G21-G20</f>
        <v>-0.19899999999999807</v>
      </c>
      <c r="H19" s="92"/>
      <c r="I19" s="146">
        <f>I21-I20</f>
        <v>3.1890000000000001</v>
      </c>
      <c r="J19" s="87">
        <f>J21-J20</f>
        <v>-9.2999999999999972E-2</v>
      </c>
      <c r="K19" s="87">
        <f>K21-K20</f>
        <v>1.9390000000000001</v>
      </c>
      <c r="L19" s="147">
        <f>L21-L20</f>
        <v>-2.0099999999999998</v>
      </c>
      <c r="M19" s="94">
        <f>SUM(I19:L19)</f>
        <v>3.0250000000000004</v>
      </c>
      <c r="N19" s="92"/>
      <c r="O19" s="146">
        <f>O21-O20</f>
        <v>-6.173</v>
      </c>
      <c r="P19" s="87">
        <f>P21-P20</f>
        <v>-3.1829999999999998</v>
      </c>
      <c r="Q19" s="87">
        <f>Q21-Q20</f>
        <v>1.4789999999999992</v>
      </c>
      <c r="R19" s="147">
        <f>R21-R20</f>
        <v>0.63599999999999923</v>
      </c>
      <c r="S19" s="94">
        <f>SUM(O19:R19)</f>
        <v>-7.2410000000000014</v>
      </c>
      <c r="T19" s="92"/>
      <c r="U19" s="146">
        <f>U21-U20</f>
        <v>-4.1980000000000004</v>
      </c>
      <c r="V19" s="87">
        <f>V21-V20</f>
        <v>-3.261000000000001</v>
      </c>
      <c r="W19" s="87">
        <f>W21-W20</f>
        <v>-10.991000000000001</v>
      </c>
      <c r="X19" s="147">
        <f>X21-X20</f>
        <v>2.3159999999999989</v>
      </c>
      <c r="Y19" s="94">
        <f t="shared" si="14"/>
        <v>-16.134000000000004</v>
      </c>
      <c r="Z19" s="92"/>
      <c r="AA19" s="146">
        <f>AA21-AA20</f>
        <v>-0.33100000000000129</v>
      </c>
      <c r="AB19" s="87">
        <f>AB21-AB20</f>
        <v>-9.3569999999999993</v>
      </c>
      <c r="AC19" s="87">
        <f>AC21-AC20</f>
        <v>-10.702999999999999</v>
      </c>
      <c r="AD19" s="147">
        <f>AD21-AD20</f>
        <v>-20.419</v>
      </c>
      <c r="AE19" s="93">
        <f t="shared" si="15"/>
        <v>-40.81</v>
      </c>
      <c r="AF19" s="92"/>
      <c r="AG19" s="146">
        <f>AG21-AG20</f>
        <v>-13.93</v>
      </c>
      <c r="AH19" s="87">
        <f>AH21-AH20</f>
        <v>-18.462</v>
      </c>
      <c r="AI19" s="87">
        <f>AI21-AI20</f>
        <v>-28.595999999999997</v>
      </c>
      <c r="AJ19" s="147">
        <f>AJ21-AJ20</f>
        <v>-23.338000000000001</v>
      </c>
      <c r="AK19" s="93">
        <f t="shared" si="4"/>
        <v>-84.325999999999993</v>
      </c>
      <c r="AL19" s="92"/>
      <c r="AM19" s="146">
        <f>AM21-AM20</f>
        <v>-27.107000000000003</v>
      </c>
      <c r="AN19" s="87">
        <f>AN21-AN20</f>
        <v>-22.914000000000001</v>
      </c>
      <c r="AO19" s="87">
        <f>AO21-AO20</f>
        <v>-28.301000000000002</v>
      </c>
      <c r="AP19" s="147">
        <f>AP21-AP20</f>
        <v>-20</v>
      </c>
      <c r="AQ19" s="93">
        <f t="shared" si="5"/>
        <v>-98.322000000000003</v>
      </c>
      <c r="AR19" s="92"/>
      <c r="AS19" s="146">
        <f>AS21-AS20</f>
        <v>-20</v>
      </c>
      <c r="AT19" s="87">
        <f>AT21-AT20</f>
        <v>-23</v>
      </c>
      <c r="AU19" s="92">
        <f>AU21-AU20</f>
        <v>-21</v>
      </c>
      <c r="AV19" s="99">
        <f>AV21-AV20</f>
        <v>-26</v>
      </c>
      <c r="AW19" s="93">
        <f t="shared" si="6"/>
        <v>-90</v>
      </c>
      <c r="AX19" s="92"/>
      <c r="AY19" s="98">
        <f>AY21-AY20</f>
        <v>-22</v>
      </c>
      <c r="AZ19" s="87">
        <f>AZ21-AZ20</f>
        <v>-25</v>
      </c>
      <c r="BA19" s="87">
        <f>BA21-BA20</f>
        <v>-106</v>
      </c>
      <c r="BB19" s="99">
        <f>BB21-BB20</f>
        <v>-112</v>
      </c>
      <c r="BC19" s="93">
        <f t="shared" si="7"/>
        <v>-265</v>
      </c>
      <c r="BD19" s="92"/>
      <c r="BE19" s="98">
        <f>BE21-BE20</f>
        <v>-99</v>
      </c>
      <c r="BF19" s="87">
        <f>BF21-BF20</f>
        <v>-104</v>
      </c>
      <c r="BG19" s="87">
        <f>BG21-BG20</f>
        <v>-100</v>
      </c>
      <c r="BH19" s="99">
        <f>BH21-BH20</f>
        <v>-96</v>
      </c>
      <c r="BI19" s="93">
        <f t="shared" si="8"/>
        <v>-399</v>
      </c>
      <c r="BJ19" s="92"/>
      <c r="BK19" s="98">
        <f>BK21-BK20</f>
        <v>-96</v>
      </c>
      <c r="BL19" s="87">
        <f>BL21-BL20</f>
        <v>-83</v>
      </c>
      <c r="BM19" s="87">
        <f>BM21-BM20</f>
        <v>-81</v>
      </c>
      <c r="BN19" s="99">
        <f>BN21-BN20</f>
        <v>-68</v>
      </c>
      <c r="BO19" s="93">
        <f t="shared" si="9"/>
        <v>-328</v>
      </c>
      <c r="BP19" s="92"/>
      <c r="BQ19" s="98">
        <f>BQ21-BQ20</f>
        <v>-65</v>
      </c>
      <c r="BR19" s="92">
        <f>BR21-BR20</f>
        <v>-185.254567775</v>
      </c>
      <c r="BS19" s="92">
        <f>BS21-BS20</f>
        <v>-184.75879806078748</v>
      </c>
      <c r="BT19" s="99">
        <f>BT21-BT20</f>
        <v>-180.79809542527653</v>
      </c>
      <c r="BU19" s="93">
        <f t="shared" si="10"/>
        <v>-615.81146126106398</v>
      </c>
      <c r="BV19" s="92"/>
      <c r="BW19" s="98">
        <f>BW21-BW20</f>
        <v>-176.72911504506456</v>
      </c>
      <c r="BX19" s="92">
        <f>BX21-BX20</f>
        <v>-172.32783008231948</v>
      </c>
      <c r="BY19" s="92">
        <f>BY21-BY20</f>
        <v>-169.46153868409331</v>
      </c>
      <c r="BZ19" s="99">
        <f>BZ21-BZ20</f>
        <v>-168.02538203444723</v>
      </c>
      <c r="CA19" s="93">
        <f t="shared" si="11"/>
        <v>-686.54386584592464</v>
      </c>
      <c r="CB19" s="92"/>
      <c r="CC19" s="98">
        <f>CC21-CC20</f>
        <v>-163.77349047049952</v>
      </c>
      <c r="CD19" s="92">
        <f>CD21-CD20</f>
        <v>-158.95452895653256</v>
      </c>
      <c r="CE19" s="92">
        <f>CE21-CE20</f>
        <v>-153.12141215510553</v>
      </c>
      <c r="CF19" s="99">
        <f>CF21-CF20</f>
        <v>-148.29192478740873</v>
      </c>
      <c r="CG19" s="93">
        <f t="shared" si="12"/>
        <v>-624.14135636954643</v>
      </c>
      <c r="CH19" s="92"/>
      <c r="CI19" s="98">
        <f>CI21-CI20</f>
        <v>-142.22454258157029</v>
      </c>
      <c r="CJ19" s="92">
        <f>CJ21-CJ20</f>
        <v>-138.63761762166806</v>
      </c>
      <c r="CK19" s="92">
        <f>CK21-CK20</f>
        <v>-132.35500663267666</v>
      </c>
      <c r="CL19" s="99">
        <f>CL21-CL20</f>
        <v>-125.59378139435972</v>
      </c>
      <c r="CM19" s="93">
        <f t="shared" si="13"/>
        <v>-538.81094823027479</v>
      </c>
      <c r="CN19" s="110"/>
      <c r="CO19" s="110"/>
      <c r="CP19" s="139"/>
    </row>
    <row r="20" spans="1:94" hidden="1" outlineLevel="1" x14ac:dyDescent="0.2">
      <c r="A20" s="120" t="s">
        <v>48</v>
      </c>
      <c r="B20" s="92"/>
      <c r="C20" s="104">
        <v>12.868</v>
      </c>
      <c r="D20" s="105">
        <v>11.686</v>
      </c>
      <c r="E20" s="105">
        <v>11.598000000000001</v>
      </c>
      <c r="F20" s="106">
        <v>10.268000000000001</v>
      </c>
      <c r="G20" s="94">
        <f>SUM(C20:F20)</f>
        <v>46.42</v>
      </c>
      <c r="H20" s="92"/>
      <c r="I20" s="104">
        <v>10.339</v>
      </c>
      <c r="J20" s="105">
        <v>8.0980000000000008</v>
      </c>
      <c r="K20" s="105">
        <v>9.0169999999999995</v>
      </c>
      <c r="L20" s="106">
        <v>8.8889999999999993</v>
      </c>
      <c r="M20" s="94">
        <f>SUM(I20:L20)</f>
        <v>36.343000000000004</v>
      </c>
      <c r="N20" s="92"/>
      <c r="O20" s="104">
        <v>7.8239999999999998</v>
      </c>
      <c r="P20" s="105">
        <v>7.4950000000000001</v>
      </c>
      <c r="Q20" s="105">
        <v>11.288</v>
      </c>
      <c r="R20" s="106">
        <v>13.782</v>
      </c>
      <c r="S20" s="94">
        <f>SUM(O20:R20)</f>
        <v>40.388999999999996</v>
      </c>
      <c r="T20" s="92"/>
      <c r="U20" s="104">
        <v>12.987</v>
      </c>
      <c r="V20" s="105">
        <v>12.913</v>
      </c>
      <c r="W20" s="105">
        <v>13.085000000000001</v>
      </c>
      <c r="X20" s="106">
        <v>12.278</v>
      </c>
      <c r="Y20" s="94">
        <f t="shared" si="14"/>
        <v>51.262999999999998</v>
      </c>
      <c r="Z20" s="92"/>
      <c r="AA20" s="104">
        <v>15.553000000000001</v>
      </c>
      <c r="AB20" s="105">
        <v>23.920999999999999</v>
      </c>
      <c r="AC20" s="105">
        <v>22.210999999999999</v>
      </c>
      <c r="AD20" s="106">
        <v>22.334</v>
      </c>
      <c r="AE20" s="94">
        <f t="shared" si="15"/>
        <v>84.019000000000005</v>
      </c>
      <c r="AF20" s="92"/>
      <c r="AG20" s="104">
        <v>29.378</v>
      </c>
      <c r="AH20" s="105">
        <v>35.14</v>
      </c>
      <c r="AI20" s="105">
        <v>34.848999999999997</v>
      </c>
      <c r="AJ20" s="106">
        <v>35.292000000000002</v>
      </c>
      <c r="AK20" s="94">
        <f t="shared" si="4"/>
        <v>134.65899999999999</v>
      </c>
      <c r="AL20" s="92"/>
      <c r="AM20" s="104">
        <v>35.029000000000003</v>
      </c>
      <c r="AN20" s="105">
        <v>34.731999999999999</v>
      </c>
      <c r="AO20" s="105">
        <v>34.573</v>
      </c>
      <c r="AP20" s="106">
        <v>34</v>
      </c>
      <c r="AQ20" s="94">
        <f t="shared" si="5"/>
        <v>138.334</v>
      </c>
      <c r="AR20" s="92"/>
      <c r="AS20" s="95">
        <v>34</v>
      </c>
      <c r="AT20" s="96">
        <v>33</v>
      </c>
      <c r="AU20" s="96">
        <v>33</v>
      </c>
      <c r="AV20" s="97">
        <v>35</v>
      </c>
      <c r="AW20" s="94">
        <f t="shared" si="6"/>
        <v>135</v>
      </c>
      <c r="AX20" s="92"/>
      <c r="AY20" s="95">
        <v>32</v>
      </c>
      <c r="AZ20" s="96">
        <v>33</v>
      </c>
      <c r="BA20" s="96">
        <f>105+8-5</f>
        <v>108</v>
      </c>
      <c r="BB20" s="97">
        <f>99+8</f>
        <v>107</v>
      </c>
      <c r="BC20" s="94">
        <f t="shared" si="7"/>
        <v>280</v>
      </c>
      <c r="BD20" s="92"/>
      <c r="BE20" s="95">
        <f>97+8</f>
        <v>105</v>
      </c>
      <c r="BF20" s="96">
        <v>107</v>
      </c>
      <c r="BG20" s="96">
        <v>105</v>
      </c>
      <c r="BH20" s="97">
        <f>95+8</f>
        <v>103</v>
      </c>
      <c r="BI20" s="94">
        <f t="shared" si="8"/>
        <v>420</v>
      </c>
      <c r="BJ20" s="92"/>
      <c r="BK20" s="95">
        <v>101</v>
      </c>
      <c r="BL20" s="96">
        <f>86+4</f>
        <v>90</v>
      </c>
      <c r="BM20" s="96">
        <f>184-87</f>
        <v>97</v>
      </c>
      <c r="BN20" s="97">
        <f>156-44+1</f>
        <v>113</v>
      </c>
      <c r="BO20" s="94">
        <f t="shared" si="9"/>
        <v>401</v>
      </c>
      <c r="BP20" s="92"/>
      <c r="BQ20" s="95">
        <f>158-50+1</f>
        <v>109</v>
      </c>
      <c r="BR20" s="89">
        <v>187.51956777499998</v>
      </c>
      <c r="BS20" s="89">
        <v>186.58206777499998</v>
      </c>
      <c r="BT20" s="90">
        <v>183.194567775</v>
      </c>
      <c r="BU20" s="94">
        <f t="shared" si="10"/>
        <v>666.29620332499996</v>
      </c>
      <c r="BV20" s="92"/>
      <c r="BW20" s="88">
        <v>179.850817775</v>
      </c>
      <c r="BX20" s="89">
        <v>175.788317775</v>
      </c>
      <c r="BY20" s="89">
        <v>173.288317775</v>
      </c>
      <c r="BZ20" s="90">
        <v>171.43619527499999</v>
      </c>
      <c r="CA20" s="94">
        <f t="shared" si="11"/>
        <v>700.36364860000003</v>
      </c>
      <c r="CB20" s="92"/>
      <c r="CC20" s="88">
        <v>168.84869527500001</v>
      </c>
      <c r="CD20" s="89">
        <v>163.73150777500001</v>
      </c>
      <c r="CE20" s="89">
        <v>156.22701427499999</v>
      </c>
      <c r="CF20" s="90">
        <v>152.092014275</v>
      </c>
      <c r="CG20" s="94">
        <f t="shared" si="12"/>
        <v>640.89923160000001</v>
      </c>
      <c r="CH20" s="92"/>
      <c r="CI20" s="88">
        <v>145.779514275</v>
      </c>
      <c r="CJ20" s="89">
        <v>144.154514275</v>
      </c>
      <c r="CK20" s="89">
        <v>139.40009427499999</v>
      </c>
      <c r="CL20" s="90">
        <v>133.15009427499999</v>
      </c>
      <c r="CM20" s="94">
        <f t="shared" si="13"/>
        <v>562.48421710000002</v>
      </c>
      <c r="CN20" s="148"/>
      <c r="CO20" s="148"/>
      <c r="CP20" s="149"/>
    </row>
    <row r="21" spans="1:94" hidden="1" outlineLevel="1" x14ac:dyDescent="0.2">
      <c r="A21" s="120" t="s">
        <v>49</v>
      </c>
      <c r="B21" s="92"/>
      <c r="C21" s="104">
        <v>16.114000000000001</v>
      </c>
      <c r="D21" s="105">
        <v>9.0860000000000003</v>
      </c>
      <c r="E21" s="105">
        <v>11.938000000000001</v>
      </c>
      <c r="F21" s="106">
        <v>9.0830000000000002</v>
      </c>
      <c r="G21" s="94">
        <f>SUM(C21:F21)</f>
        <v>46.221000000000004</v>
      </c>
      <c r="H21" s="92"/>
      <c r="I21" s="104">
        <v>13.528</v>
      </c>
      <c r="J21" s="105">
        <v>8.0050000000000008</v>
      </c>
      <c r="K21" s="105">
        <v>10.956</v>
      </c>
      <c r="L21" s="106">
        <v>6.8789999999999996</v>
      </c>
      <c r="M21" s="94">
        <f>SUM(I21:L21)</f>
        <v>39.368000000000002</v>
      </c>
      <c r="N21" s="92"/>
      <c r="O21" s="104">
        <v>1.651</v>
      </c>
      <c r="P21" s="105">
        <v>4.3120000000000003</v>
      </c>
      <c r="Q21" s="105">
        <v>12.766999999999999</v>
      </c>
      <c r="R21" s="106">
        <v>14.417999999999999</v>
      </c>
      <c r="S21" s="94">
        <f>SUM(O21:R21)</f>
        <v>33.147999999999996</v>
      </c>
      <c r="T21" s="92"/>
      <c r="U21" s="104">
        <v>8.7889999999999997</v>
      </c>
      <c r="V21" s="105">
        <v>9.6519999999999992</v>
      </c>
      <c r="W21" s="105">
        <v>2.0939999999999999</v>
      </c>
      <c r="X21" s="106">
        <v>14.593999999999999</v>
      </c>
      <c r="Y21" s="94">
        <f t="shared" si="14"/>
        <v>35.128999999999998</v>
      </c>
      <c r="Z21" s="92"/>
      <c r="AA21" s="104">
        <v>15.222</v>
      </c>
      <c r="AB21" s="105">
        <v>14.564</v>
      </c>
      <c r="AC21" s="105">
        <v>11.507999999999999</v>
      </c>
      <c r="AD21" s="106">
        <v>1.915</v>
      </c>
      <c r="AE21" s="94">
        <f t="shared" si="15"/>
        <v>43.208999999999996</v>
      </c>
      <c r="AF21" s="92"/>
      <c r="AG21" s="104">
        <v>15.448</v>
      </c>
      <c r="AH21" s="105">
        <v>16.678000000000001</v>
      </c>
      <c r="AI21" s="105">
        <v>6.2530000000000001</v>
      </c>
      <c r="AJ21" s="106">
        <v>11.954000000000001</v>
      </c>
      <c r="AK21" s="94">
        <f t="shared" si="4"/>
        <v>50.333000000000006</v>
      </c>
      <c r="AL21" s="92"/>
      <c r="AM21" s="104">
        <v>7.9219999999999997</v>
      </c>
      <c r="AN21" s="105">
        <v>11.818</v>
      </c>
      <c r="AO21" s="105">
        <v>6.2720000000000002</v>
      </c>
      <c r="AP21" s="106">
        <v>14</v>
      </c>
      <c r="AQ21" s="94">
        <f t="shared" si="5"/>
        <v>40.012</v>
      </c>
      <c r="AR21" s="92"/>
      <c r="AS21" s="95">
        <v>14</v>
      </c>
      <c r="AT21" s="96">
        <v>10</v>
      </c>
      <c r="AU21" s="96">
        <v>12</v>
      </c>
      <c r="AV21" s="97">
        <v>9</v>
      </c>
      <c r="AW21" s="94">
        <f t="shared" si="6"/>
        <v>45</v>
      </c>
      <c r="AX21" s="92"/>
      <c r="AY21" s="95">
        <v>10</v>
      </c>
      <c r="AZ21" s="96">
        <v>8</v>
      </c>
      <c r="BA21" s="96">
        <v>2</v>
      </c>
      <c r="BB21" s="97">
        <v>-5</v>
      </c>
      <c r="BC21" s="94">
        <f t="shared" si="7"/>
        <v>15</v>
      </c>
      <c r="BD21" s="92"/>
      <c r="BE21" s="95">
        <v>6</v>
      </c>
      <c r="BF21" s="96">
        <v>3</v>
      </c>
      <c r="BG21" s="96">
        <v>5</v>
      </c>
      <c r="BH21" s="97">
        <v>7</v>
      </c>
      <c r="BI21" s="94">
        <f t="shared" si="8"/>
        <v>21</v>
      </c>
      <c r="BJ21" s="92"/>
      <c r="BK21" s="95">
        <v>5</v>
      </c>
      <c r="BL21" s="96">
        <v>7</v>
      </c>
      <c r="BM21" s="96">
        <f>19-3</f>
        <v>16</v>
      </c>
      <c r="BN21" s="97">
        <v>45</v>
      </c>
      <c r="BO21" s="94">
        <f t="shared" si="9"/>
        <v>73</v>
      </c>
      <c r="BP21" s="92"/>
      <c r="BQ21" s="95">
        <v>44</v>
      </c>
      <c r="BR21" s="89">
        <v>2.2650000000000001</v>
      </c>
      <c r="BS21" s="89">
        <v>1.8232697142124918</v>
      </c>
      <c r="BT21" s="90">
        <v>2.3964723497234659</v>
      </c>
      <c r="BU21" s="94">
        <f t="shared" si="10"/>
        <v>50.484742063935961</v>
      </c>
      <c r="BV21" s="92"/>
      <c r="BW21" s="88">
        <v>3.1217027299354392</v>
      </c>
      <c r="BX21" s="89">
        <v>3.460487692680525</v>
      </c>
      <c r="BY21" s="89">
        <v>3.8267790909066925</v>
      </c>
      <c r="BZ21" s="90">
        <v>3.4108132405527627</v>
      </c>
      <c r="CA21" s="94">
        <f t="shared" si="11"/>
        <v>13.819782754075419</v>
      </c>
      <c r="CB21" s="92"/>
      <c r="CC21" s="88">
        <v>5.075204804500494</v>
      </c>
      <c r="CD21" s="89">
        <v>4.776978818467466</v>
      </c>
      <c r="CE21" s="89">
        <v>3.1056021198944466</v>
      </c>
      <c r="CF21" s="90">
        <v>3.8000894875912765</v>
      </c>
      <c r="CG21" s="94">
        <f t="shared" si="12"/>
        <v>16.757875230453681</v>
      </c>
      <c r="CH21" s="92"/>
      <c r="CI21" s="88">
        <v>3.5549716934297</v>
      </c>
      <c r="CJ21" s="89">
        <v>5.5168966533319397</v>
      </c>
      <c r="CK21" s="89">
        <v>7.045087642323332</v>
      </c>
      <c r="CL21" s="90">
        <v>7.5563128806402666</v>
      </c>
      <c r="CM21" s="94">
        <f t="shared" si="13"/>
        <v>23.673268869725238</v>
      </c>
      <c r="CN21" s="148"/>
      <c r="CO21" s="148"/>
      <c r="CP21" s="149"/>
    </row>
    <row r="22" spans="1:94" collapsed="1" x14ac:dyDescent="0.2">
      <c r="A22" s="86" t="s">
        <v>50</v>
      </c>
      <c r="B22" s="92"/>
      <c r="C22" s="104">
        <v>-2.3679999999999999</v>
      </c>
      <c r="D22" s="105">
        <v>5.8719999999999999</v>
      </c>
      <c r="E22" s="105">
        <v>1.774</v>
      </c>
      <c r="F22" s="106">
        <v>-4.3339999999999996</v>
      </c>
      <c r="G22" s="94">
        <f>SUM(C22:F22)</f>
        <v>0.94400000000000084</v>
      </c>
      <c r="H22" s="92"/>
      <c r="I22" s="104">
        <v>0.70699999999999996</v>
      </c>
      <c r="J22" s="105">
        <v>0.82799999999999996</v>
      </c>
      <c r="K22" s="105">
        <v>-1.2849999999999999</v>
      </c>
      <c r="L22" s="106">
        <f>-1.734-1.804</f>
        <v>-3.5380000000000003</v>
      </c>
      <c r="M22" s="94">
        <f>SUM(I22:L22)</f>
        <v>-3.2880000000000003</v>
      </c>
      <c r="N22" s="92"/>
      <c r="O22" s="104">
        <v>9.4109999999999996</v>
      </c>
      <c r="P22" s="105">
        <v>-5.7009999999999996</v>
      </c>
      <c r="Q22" s="105">
        <f>-4.246</f>
        <v>-4.2460000000000004</v>
      </c>
      <c r="R22" s="106">
        <f>-3.312</f>
        <v>-3.3119999999999998</v>
      </c>
      <c r="S22" s="94">
        <f>SUM(O22:R22)</f>
        <v>-3.8480000000000003</v>
      </c>
      <c r="T22" s="92"/>
      <c r="U22" s="104">
        <v>-2.3540000000000001</v>
      </c>
      <c r="V22" s="105">
        <v>0.16400000000000001</v>
      </c>
      <c r="W22" s="105">
        <v>1.4019999999999999</v>
      </c>
      <c r="X22" s="106">
        <v>1.2849999999999999</v>
      </c>
      <c r="Y22" s="94">
        <f t="shared" si="14"/>
        <v>0.49699999999999989</v>
      </c>
      <c r="Z22" s="92"/>
      <c r="AA22" s="104">
        <v>-4.5960000000000001</v>
      </c>
      <c r="AB22" s="105">
        <v>-2.5219999999999998</v>
      </c>
      <c r="AC22" s="105">
        <v>-1.3180000000000001</v>
      </c>
      <c r="AD22" s="106">
        <v>1.272</v>
      </c>
      <c r="AE22" s="93">
        <f t="shared" si="15"/>
        <v>-7.1639999999999997</v>
      </c>
      <c r="AF22" s="92"/>
      <c r="AG22" s="104">
        <v>-0.38500000000000001</v>
      </c>
      <c r="AH22" s="105">
        <v>4.657</v>
      </c>
      <c r="AI22" s="105">
        <v>-1.881</v>
      </c>
      <c r="AJ22" s="106">
        <v>-3.5430000000000001</v>
      </c>
      <c r="AK22" s="93">
        <f t="shared" si="4"/>
        <v>-1.1520000000000001</v>
      </c>
      <c r="AL22" s="92"/>
      <c r="AM22" s="104">
        <v>0.71399999999999997</v>
      </c>
      <c r="AN22" s="105">
        <v>2.2530000000000001</v>
      </c>
      <c r="AO22" s="105">
        <v>2.8090000000000002</v>
      </c>
      <c r="AP22" s="106">
        <v>3</v>
      </c>
      <c r="AQ22" s="93">
        <f t="shared" si="5"/>
        <v>8.7759999999999998</v>
      </c>
      <c r="AR22" s="92"/>
      <c r="AS22" s="95">
        <v>1</v>
      </c>
      <c r="AT22" s="96">
        <f>5-8</f>
        <v>-3</v>
      </c>
      <c r="AU22" s="96">
        <v>-2</v>
      </c>
      <c r="AV22" s="97">
        <v>1</v>
      </c>
      <c r="AW22" s="93">
        <f t="shared" si="6"/>
        <v>-3</v>
      </c>
      <c r="AX22" s="92"/>
      <c r="AY22" s="95">
        <v>2</v>
      </c>
      <c r="AZ22" s="96">
        <v>6</v>
      </c>
      <c r="BA22" s="96">
        <v>5</v>
      </c>
      <c r="BB22" s="97">
        <v>-2</v>
      </c>
      <c r="BC22" s="93">
        <f t="shared" si="7"/>
        <v>11</v>
      </c>
      <c r="BD22" s="92"/>
      <c r="BE22" s="95">
        <v>6</v>
      </c>
      <c r="BF22" s="96">
        <v>6</v>
      </c>
      <c r="BG22" s="96">
        <v>-1</v>
      </c>
      <c r="BH22" s="97">
        <v>1</v>
      </c>
      <c r="BI22" s="93">
        <f t="shared" si="8"/>
        <v>12</v>
      </c>
      <c r="BJ22" s="92"/>
      <c r="BK22" s="95">
        <v>13</v>
      </c>
      <c r="BL22" s="96">
        <v>1</v>
      </c>
      <c r="BM22" s="96">
        <v>-7</v>
      </c>
      <c r="BN22" s="97">
        <v>-8</v>
      </c>
      <c r="BO22" s="93">
        <f>SUM(BK22:BN22)</f>
        <v>-1</v>
      </c>
      <c r="BP22" s="92"/>
      <c r="BQ22" s="95">
        <f>-11+1</f>
        <v>-10</v>
      </c>
      <c r="BR22" s="105">
        <v>47</v>
      </c>
      <c r="BS22" s="105">
        <v>47</v>
      </c>
      <c r="BT22" s="106">
        <v>47</v>
      </c>
      <c r="BU22" s="93">
        <f t="shared" si="10"/>
        <v>131</v>
      </c>
      <c r="BV22" s="92"/>
      <c r="BW22" s="104">
        <v>47</v>
      </c>
      <c r="BX22" s="105">
        <v>47</v>
      </c>
      <c r="BY22" s="105">
        <v>47</v>
      </c>
      <c r="BZ22" s="106">
        <v>20</v>
      </c>
      <c r="CA22" s="93">
        <f t="shared" si="11"/>
        <v>161</v>
      </c>
      <c r="CB22" s="92"/>
      <c r="CC22" s="104">
        <v>10</v>
      </c>
      <c r="CD22" s="105">
        <v>10</v>
      </c>
      <c r="CE22" s="105">
        <v>10</v>
      </c>
      <c r="CF22" s="106">
        <v>10</v>
      </c>
      <c r="CG22" s="93">
        <f t="shared" si="12"/>
        <v>40</v>
      </c>
      <c r="CH22" s="92"/>
      <c r="CI22" s="104">
        <v>10</v>
      </c>
      <c r="CJ22" s="105">
        <v>10</v>
      </c>
      <c r="CK22" s="105">
        <v>10</v>
      </c>
      <c r="CL22" s="106">
        <v>10</v>
      </c>
      <c r="CM22" s="93">
        <f t="shared" si="13"/>
        <v>40</v>
      </c>
      <c r="CN22" s="110"/>
      <c r="CO22" s="110"/>
      <c r="CP22" s="139"/>
    </row>
    <row r="23" spans="1:94" x14ac:dyDescent="0.2">
      <c r="A23" s="111" t="s">
        <v>51</v>
      </c>
      <c r="B23" s="116"/>
      <c r="C23" s="112">
        <f>C17+C19+C22</f>
        <v>329.45499999999987</v>
      </c>
      <c r="D23" s="113">
        <f>D17+D19+D22</f>
        <v>321.33600000000007</v>
      </c>
      <c r="E23" s="113">
        <f>E17+E19+E22</f>
        <v>337.04500000000007</v>
      </c>
      <c r="F23" s="114">
        <f>F17+F19+F22</f>
        <v>338.25000000000017</v>
      </c>
      <c r="G23" s="115">
        <f>G17+G19+G22</f>
        <v>1326.0860000000005</v>
      </c>
      <c r="H23" s="116"/>
      <c r="I23" s="112">
        <f>I17+I19+I22</f>
        <v>366.57200000000006</v>
      </c>
      <c r="J23" s="113">
        <f>J17+J19+J22</f>
        <v>382.29599999999988</v>
      </c>
      <c r="K23" s="113">
        <f>K17+K19+K22</f>
        <v>410.22100000000023</v>
      </c>
      <c r="L23" s="114">
        <f>L17+L19+L22</f>
        <v>392.7149999999998</v>
      </c>
      <c r="M23" s="115">
        <f>M17+M19+M22</f>
        <v>1551.8040000000003</v>
      </c>
      <c r="N23" s="116"/>
      <c r="O23" s="112">
        <f>O17+O19+O22</f>
        <v>404.81999999999988</v>
      </c>
      <c r="P23" s="113">
        <f>P17+P19+P22</f>
        <v>338.5680000000001</v>
      </c>
      <c r="Q23" s="113">
        <f>Q17+Q19+Q22</f>
        <v>413.95299999999992</v>
      </c>
      <c r="R23" s="114">
        <f>R17+R19+R22</f>
        <v>421.25200000000001</v>
      </c>
      <c r="S23" s="115">
        <f>S17+S19+S22</f>
        <v>1578.5929999999998</v>
      </c>
      <c r="T23" s="116"/>
      <c r="U23" s="112">
        <f>U17+U19+U22</f>
        <v>423.11800000000005</v>
      </c>
      <c r="V23" s="113">
        <f>V17+V19+V22</f>
        <v>410.5510000000001</v>
      </c>
      <c r="W23" s="113">
        <f>W17+W19+W22</f>
        <v>413.37299999999999</v>
      </c>
      <c r="X23" s="114">
        <f>X17+X19+X22</f>
        <v>414.11799999999994</v>
      </c>
      <c r="Y23" s="115">
        <f t="shared" si="14"/>
        <v>1661.16</v>
      </c>
      <c r="Z23" s="116"/>
      <c r="AA23" s="112">
        <f>AA17+AA19+AA22</f>
        <v>383.73770000000007</v>
      </c>
      <c r="AB23" s="113">
        <f>AB17+AB19+AB22</f>
        <v>405.10600000000005</v>
      </c>
      <c r="AC23" s="113">
        <f>AC17+AC19+AC22</f>
        <v>435.16999999999985</v>
      </c>
      <c r="AD23" s="114">
        <f>AD17+AD19+AD22</f>
        <v>403.14399999999995</v>
      </c>
      <c r="AE23" s="115">
        <f t="shared" si="15"/>
        <v>1627.1577</v>
      </c>
      <c r="AF23" s="116"/>
      <c r="AG23" s="112">
        <f>AG17+AG19+AG22</f>
        <v>322.44199999999995</v>
      </c>
      <c r="AH23" s="113">
        <f>AH17+AH19+AH22</f>
        <v>369.52499999999981</v>
      </c>
      <c r="AI23" s="113">
        <f>AI17+AI19+AI22</f>
        <v>418.54099999999983</v>
      </c>
      <c r="AJ23" s="114">
        <f>AJ17+AJ19+AJ22</f>
        <v>381.89899999999972</v>
      </c>
      <c r="AK23" s="115">
        <f t="shared" si="4"/>
        <v>1492.4069999999992</v>
      </c>
      <c r="AL23" s="92"/>
      <c r="AM23" s="112">
        <f>AM17+AM19+AM22</f>
        <v>383.56607499999996</v>
      </c>
      <c r="AN23" s="113">
        <f>AN17+AN19+AN22</f>
        <v>380.35849999999994</v>
      </c>
      <c r="AO23" s="113">
        <f>AO17+AO19+AO22</f>
        <v>421.00414999999964</v>
      </c>
      <c r="AP23" s="114">
        <f>AP17+AP19+AP22</f>
        <v>425.0762749999999</v>
      </c>
      <c r="AQ23" s="115">
        <f t="shared" si="5"/>
        <v>1610.0049999999994</v>
      </c>
      <c r="AR23" s="92"/>
      <c r="AS23" s="112">
        <f>AS17+AS19+AS22</f>
        <v>377.38000000000011</v>
      </c>
      <c r="AT23" s="113">
        <f>AT17+AT19+AT22</f>
        <v>404.48</v>
      </c>
      <c r="AU23" s="113">
        <f>AU17+AU19+AU22</f>
        <v>450.2800000000002</v>
      </c>
      <c r="AV23" s="114">
        <f>AV17+AV19+AV22</f>
        <v>441.91000000000031</v>
      </c>
      <c r="AW23" s="115">
        <f t="shared" si="6"/>
        <v>1674.0500000000006</v>
      </c>
      <c r="AX23" s="92"/>
      <c r="AY23" s="112">
        <f>AY17+AY19+AY22</f>
        <v>382.14000000000033</v>
      </c>
      <c r="AZ23" s="113">
        <f>AZ17+AZ19+AZ22</f>
        <v>403.44999999999982</v>
      </c>
      <c r="BA23" s="113">
        <f>BA17+BA19+BA22</f>
        <v>586.09999999999991</v>
      </c>
      <c r="BB23" s="114">
        <f>BB17+BB19+BB22</f>
        <v>551</v>
      </c>
      <c r="BC23" s="115">
        <f t="shared" si="7"/>
        <v>1922.69</v>
      </c>
      <c r="BD23" s="92"/>
      <c r="BE23" s="112">
        <f>BE17+BE19+BE22</f>
        <v>541.23999999999978</v>
      </c>
      <c r="BF23" s="113">
        <f>BF17+BF19+BF22</f>
        <v>594.75</v>
      </c>
      <c r="BG23" s="113">
        <f>BG17+BG19+BG22</f>
        <v>648</v>
      </c>
      <c r="BH23" s="114">
        <f>BH17+BH19+BH22</f>
        <v>552</v>
      </c>
      <c r="BI23" s="115">
        <f t="shared" si="8"/>
        <v>2335.9899999999998</v>
      </c>
      <c r="BJ23" s="92"/>
      <c r="BK23" s="112">
        <f>BK17+BK19+BK22</f>
        <v>611</v>
      </c>
      <c r="BL23" s="113">
        <f>BL17+BL19+BL22</f>
        <v>573</v>
      </c>
      <c r="BM23" s="113">
        <f>BM17+BM19+BM22</f>
        <v>643</v>
      </c>
      <c r="BN23" s="114">
        <f>BN17+BN19+BN22</f>
        <v>614.48999999999978</v>
      </c>
      <c r="BO23" s="115">
        <f t="shared" si="9"/>
        <v>2441.4899999999998</v>
      </c>
      <c r="BP23" s="92"/>
      <c r="BQ23" s="112">
        <f>BQ17+BQ19+BQ22</f>
        <v>650</v>
      </c>
      <c r="BR23" s="113">
        <f>BR17+BR19+BR22</f>
        <v>914.36483522499975</v>
      </c>
      <c r="BS23" s="113">
        <f>BS17+BS19+BS22</f>
        <v>1018.9694469392125</v>
      </c>
      <c r="BT23" s="114">
        <f>BT17+BT19+BT22</f>
        <v>1008.4613825747232</v>
      </c>
      <c r="BU23" s="115">
        <f t="shared" si="10"/>
        <v>3591.7956647389356</v>
      </c>
      <c r="BV23" s="92"/>
      <c r="BW23" s="112">
        <f>BW17+BW19+BW22</f>
        <v>1028.629434694768</v>
      </c>
      <c r="BX23" s="113">
        <f>BX17+BX19+BX22</f>
        <v>1072.0447079193141</v>
      </c>
      <c r="BY23" s="113">
        <f>BY17+BY19+BY22</f>
        <v>1118.2054830003071</v>
      </c>
      <c r="BZ23" s="114">
        <f>BZ17+BZ19+BZ22</f>
        <v>1105.114340947684</v>
      </c>
      <c r="CA23" s="115">
        <f t="shared" si="11"/>
        <v>4323.9939665620732</v>
      </c>
      <c r="CB23" s="92"/>
      <c r="CC23" s="112">
        <f>CC17+CC19+CC22</f>
        <v>1166.5683359151851</v>
      </c>
      <c r="CD23" s="113">
        <f>CD17+CD19+CD22</f>
        <v>1213.3753535749852</v>
      </c>
      <c r="CE23" s="113">
        <f>CE17+CE19+CE22</f>
        <v>1268.7591789290195</v>
      </c>
      <c r="CF23" s="114">
        <f>CF17+CF19+CF22</f>
        <v>1287.9986020516967</v>
      </c>
      <c r="CG23" s="115">
        <f t="shared" si="12"/>
        <v>4936.7014704708863</v>
      </c>
      <c r="CH23" s="92"/>
      <c r="CI23" s="112">
        <f>CI17+CI19+CI22</f>
        <v>1318.9434458368573</v>
      </c>
      <c r="CJ23" s="113">
        <f>CJ17+CJ19+CJ22</f>
        <v>1332.9243845909421</v>
      </c>
      <c r="CK23" s="113">
        <f>CK17+CK19+CK22</f>
        <v>1448.2967247251522</v>
      </c>
      <c r="CL23" s="114">
        <f>CL17+CL19+CL22</f>
        <v>1471.1761284025995</v>
      </c>
      <c r="CM23" s="115">
        <f t="shared" si="13"/>
        <v>5571.3406835555506</v>
      </c>
      <c r="CN23" s="121"/>
      <c r="CO23" s="121"/>
      <c r="CP23" s="139"/>
    </row>
    <row r="24" spans="1:94" x14ac:dyDescent="0.2">
      <c r="A24" s="86" t="s">
        <v>52</v>
      </c>
      <c r="B24" s="92"/>
      <c r="C24" s="104">
        <v>83.656999999999996</v>
      </c>
      <c r="D24" s="105">
        <v>85.796712000000028</v>
      </c>
      <c r="E24" s="105">
        <v>89.182000000000002</v>
      </c>
      <c r="F24" s="106">
        <v>89.141999999999996</v>
      </c>
      <c r="G24" s="94">
        <f>SUM(C24:F24)</f>
        <v>347.77771200000001</v>
      </c>
      <c r="H24" s="92"/>
      <c r="I24" s="104">
        <v>95.676000000000002</v>
      </c>
      <c r="J24" s="105">
        <v>106.661</v>
      </c>
      <c r="K24" s="105">
        <v>112.81100000000001</v>
      </c>
      <c r="L24" s="106">
        <v>110.541</v>
      </c>
      <c r="M24" s="94">
        <f>SUM(I24:L24)</f>
        <v>425.68900000000002</v>
      </c>
      <c r="N24" s="92"/>
      <c r="O24" s="104">
        <v>108.21299999999999</v>
      </c>
      <c r="P24" s="105">
        <v>89.701999999999998</v>
      </c>
      <c r="Q24" s="105">
        <v>86.507999999999996</v>
      </c>
      <c r="R24" s="106">
        <v>126.824</v>
      </c>
      <c r="S24" s="94">
        <f>SUM(O24:R24)</f>
        <v>411.24700000000001</v>
      </c>
      <c r="T24" s="92"/>
      <c r="U24" s="104">
        <v>119.02500000000001</v>
      </c>
      <c r="V24" s="105">
        <v>125.517</v>
      </c>
      <c r="W24" s="105">
        <v>119.21299999999999</v>
      </c>
      <c r="X24" s="106">
        <v>121.065</v>
      </c>
      <c r="Y24" s="94">
        <f t="shared" si="14"/>
        <v>484.82</v>
      </c>
      <c r="Z24" s="92"/>
      <c r="AA24" s="104">
        <v>85.290999999999997</v>
      </c>
      <c r="AB24" s="105">
        <v>109.256</v>
      </c>
      <c r="AC24" s="105">
        <v>113.63</v>
      </c>
      <c r="AD24" s="106">
        <f>108.827+(9.27-6)</f>
        <v>112.09699999999999</v>
      </c>
      <c r="AE24" s="94">
        <f t="shared" si="15"/>
        <v>420.274</v>
      </c>
      <c r="AF24" s="92"/>
      <c r="AG24" s="104">
        <v>73.897999999999996</v>
      </c>
      <c r="AH24" s="105">
        <v>94.400999999999996</v>
      </c>
      <c r="AI24" s="105">
        <v>106.96</v>
      </c>
      <c r="AJ24" s="106">
        <f>87.621+7</f>
        <v>94.620999999999995</v>
      </c>
      <c r="AK24" s="94">
        <f>SUM(AG24:AJ24)</f>
        <v>369.87999999999994</v>
      </c>
      <c r="AL24" s="92"/>
      <c r="AM24" s="95">
        <v>100.80802250000001</v>
      </c>
      <c r="AN24" s="96">
        <v>90.317250000000001</v>
      </c>
      <c r="AO24" s="96">
        <v>101.167345</v>
      </c>
      <c r="AP24" s="97">
        <v>106.7228825</v>
      </c>
      <c r="AQ24" s="94">
        <f>SUM(AM24:AP24)</f>
        <v>399.01549999999997</v>
      </c>
      <c r="AR24" s="92"/>
      <c r="AS24" s="95">
        <v>93.821200000000005</v>
      </c>
      <c r="AT24" s="96">
        <v>89.821200000000005</v>
      </c>
      <c r="AU24" s="96">
        <v>105.8212</v>
      </c>
      <c r="AV24" s="97">
        <v>98.959800000000001</v>
      </c>
      <c r="AW24" s="94">
        <f>SUM(AS24:AV24)</f>
        <v>388.42340000000002</v>
      </c>
      <c r="AX24" s="92"/>
      <c r="AY24" s="95">
        <v>80.099999999999994</v>
      </c>
      <c r="AZ24" s="96">
        <v>86</v>
      </c>
      <c r="BA24" s="96">
        <f>-23+2+3+9+28+128-2+0</f>
        <v>145</v>
      </c>
      <c r="BB24" s="97">
        <f>9+3+15+51+54</f>
        <v>132</v>
      </c>
      <c r="BC24" s="94">
        <f>SUM(AY24:BB24)</f>
        <v>443.1</v>
      </c>
      <c r="BD24" s="92"/>
      <c r="BE24" s="95">
        <v>116.4</v>
      </c>
      <c r="BF24" s="96">
        <v>122.4</v>
      </c>
      <c r="BG24" s="96">
        <v>138</v>
      </c>
      <c r="BH24" s="97">
        <v>90</v>
      </c>
      <c r="BI24" s="94">
        <f>SUM(BE24:BH24)</f>
        <v>466.8</v>
      </c>
      <c r="BJ24" s="92"/>
      <c r="BK24" s="95">
        <v>104</v>
      </c>
      <c r="BL24" s="96">
        <v>72</v>
      </c>
      <c r="BM24" s="96">
        <v>106</v>
      </c>
      <c r="BN24" s="97">
        <v>90</v>
      </c>
      <c r="BO24" s="94">
        <f t="shared" si="9"/>
        <v>372</v>
      </c>
      <c r="BP24" s="92"/>
      <c r="BQ24" s="95">
        <f>241-135</f>
        <v>106</v>
      </c>
      <c r="BR24" s="87">
        <f>BR23*BR25</f>
        <v>155.44202198824996</v>
      </c>
      <c r="BS24" s="87">
        <f>BS23*BS25</f>
        <v>173.22480597966614</v>
      </c>
      <c r="BT24" s="147">
        <f>BT23*BT25</f>
        <v>171.43843503770296</v>
      </c>
      <c r="BU24" s="94">
        <f>SUM(BQ24:BT24)</f>
        <v>606.10526300561901</v>
      </c>
      <c r="BV24" s="92"/>
      <c r="BW24" s="146">
        <f>BW23*BW25</f>
        <v>172.29543031137365</v>
      </c>
      <c r="BX24" s="87">
        <f>BX23*BX25</f>
        <v>179.56748857648512</v>
      </c>
      <c r="BY24" s="87">
        <f>BY23*BY25</f>
        <v>187.29941840255145</v>
      </c>
      <c r="BZ24" s="147">
        <f>BZ23*BZ25</f>
        <v>185.10665210873708</v>
      </c>
      <c r="CA24" s="94">
        <f t="shared" si="11"/>
        <v>724.26898939914736</v>
      </c>
      <c r="CB24" s="92"/>
      <c r="CC24" s="146">
        <f>CC23*CC25</f>
        <v>192.48377542600556</v>
      </c>
      <c r="CD24" s="87">
        <f>CD23*CD25</f>
        <v>200.20693333987256</v>
      </c>
      <c r="CE24" s="87">
        <f>CE23*CE25</f>
        <v>209.34526452328822</v>
      </c>
      <c r="CF24" s="147">
        <f>CF23*CF25</f>
        <v>212.51976933852995</v>
      </c>
      <c r="CG24" s="94">
        <f t="shared" si="12"/>
        <v>814.5557426276963</v>
      </c>
      <c r="CH24" s="92"/>
      <c r="CI24" s="146">
        <f>CI23*CI25</f>
        <v>217.62566856308146</v>
      </c>
      <c r="CJ24" s="87">
        <f>CJ23*CJ25</f>
        <v>219.93252345750545</v>
      </c>
      <c r="CK24" s="87">
        <f>CK23*CK25</f>
        <v>238.96895957965012</v>
      </c>
      <c r="CL24" s="147">
        <f>CL23*CL25</f>
        <v>242.74406118642892</v>
      </c>
      <c r="CM24" s="94">
        <f t="shared" si="13"/>
        <v>919.27121278666596</v>
      </c>
      <c r="CN24" s="121"/>
      <c r="CO24" s="121"/>
      <c r="CP24" s="139"/>
    </row>
    <row r="25" spans="1:94" x14ac:dyDescent="0.2">
      <c r="A25" s="150" t="s">
        <v>53</v>
      </c>
      <c r="B25" s="151"/>
      <c r="C25" s="152">
        <f>C24/C23</f>
        <v>0.25392542228832476</v>
      </c>
      <c r="D25" s="151">
        <f>D24/D23</f>
        <v>0.26700000000000002</v>
      </c>
      <c r="E25" s="151">
        <f>E24/E23</f>
        <v>0.26459968253497301</v>
      </c>
      <c r="F25" s="153">
        <f>F24/F23</f>
        <v>0.26353880266075375</v>
      </c>
      <c r="G25" s="154">
        <f>G24/G23</f>
        <v>0.26225879166207916</v>
      </c>
      <c r="H25" s="151"/>
      <c r="I25" s="152">
        <f>I24/I23</f>
        <v>0.26100193140774525</v>
      </c>
      <c r="J25" s="151">
        <f>J24/J23</f>
        <v>0.27900108816205255</v>
      </c>
      <c r="K25" s="151">
        <f>K24/K23</f>
        <v>0.27500054848484096</v>
      </c>
      <c r="L25" s="153">
        <f>L24/L23</f>
        <v>0.28147893510561106</v>
      </c>
      <c r="M25" s="154">
        <f>M24/M23</f>
        <v>0.2743187928372397</v>
      </c>
      <c r="N25" s="151"/>
      <c r="O25" s="152">
        <f>O24/O23</f>
        <v>0.26731139765821854</v>
      </c>
      <c r="P25" s="151">
        <f>P24/P23</f>
        <v>0.26494529902412506</v>
      </c>
      <c r="Q25" s="151">
        <f>Q24/Q23</f>
        <v>0.2089802465497291</v>
      </c>
      <c r="R25" s="153">
        <f>R24/R23</f>
        <v>0.30106444598482618</v>
      </c>
      <c r="S25" s="154">
        <f>S24/S23</f>
        <v>0.26051490156107371</v>
      </c>
      <c r="T25" s="151"/>
      <c r="U25" s="152">
        <f>U24/U23</f>
        <v>0.2813045060715923</v>
      </c>
      <c r="V25" s="151">
        <f>V24/V23</f>
        <v>0.30572815557628641</v>
      </c>
      <c r="W25" s="151">
        <f>W24/W23</f>
        <v>0.28839087216630016</v>
      </c>
      <c r="X25" s="153">
        <f>X24/X23</f>
        <v>0.2923442110702747</v>
      </c>
      <c r="Y25" s="154">
        <f>Y24/Y23</f>
        <v>0.29185629319270867</v>
      </c>
      <c r="Z25" s="151"/>
      <c r="AA25" s="152">
        <f>AA24/AA23</f>
        <v>0.2222638015498607</v>
      </c>
      <c r="AB25" s="151">
        <f>AB24/AB23</f>
        <v>0.26969731378947731</v>
      </c>
      <c r="AC25" s="151">
        <f>AC24/AC23</f>
        <v>0.26111634533630546</v>
      </c>
      <c r="AD25" s="153">
        <f>AD24/AD23</f>
        <v>0.27805697219851966</v>
      </c>
      <c r="AE25" s="154">
        <f>AE24/AE23</f>
        <v>0.25828719613347867</v>
      </c>
      <c r="AF25" s="151"/>
      <c r="AG25" s="152">
        <f>AG24/AG23</f>
        <v>0.22918230255363758</v>
      </c>
      <c r="AH25" s="151">
        <f>AH24/AH23</f>
        <v>0.25546580069007524</v>
      </c>
      <c r="AI25" s="151">
        <f>AI24/AI23</f>
        <v>0.25555441402395473</v>
      </c>
      <c r="AJ25" s="153">
        <f>AJ24/AJ23</f>
        <v>0.24776446128426644</v>
      </c>
      <c r="AK25" s="154">
        <f>AK24/AK23</f>
        <v>0.2478412390185788</v>
      </c>
      <c r="AL25" s="151"/>
      <c r="AM25" s="152">
        <f>AM24/AM23</f>
        <v>0.26281787955308616</v>
      </c>
      <c r="AN25" s="151">
        <f>AN24/AN23</f>
        <v>0.23745295556691914</v>
      </c>
      <c r="AO25" s="151">
        <f>AO24/AO23</f>
        <v>0.2403001134311861</v>
      </c>
      <c r="AP25" s="153">
        <f>AP24/AP23</f>
        <v>0.25106760545504458</v>
      </c>
      <c r="AQ25" s="154">
        <f>AQ24/AQ23</f>
        <v>0.24783494461197333</v>
      </c>
      <c r="AR25" s="151"/>
      <c r="AS25" s="152">
        <f>AS24/AS23</f>
        <v>0.24861200911548037</v>
      </c>
      <c r="AT25" s="151">
        <f>AT24/AT23</f>
        <v>0.22206586234177214</v>
      </c>
      <c r="AU25" s="151">
        <f>AU24/AU23</f>
        <v>0.23501199253797628</v>
      </c>
      <c r="AV25" s="153">
        <f>AV24/AV23</f>
        <v>0.22393654816591599</v>
      </c>
      <c r="AW25" s="154">
        <f>AW24/AW23</f>
        <v>0.23202616409306764</v>
      </c>
      <c r="AX25" s="151"/>
      <c r="AY25" s="152">
        <f>AY24/AY23</f>
        <v>0.20960904380593481</v>
      </c>
      <c r="AZ25" s="151">
        <f>AZ24/AZ23</f>
        <v>0.21316148221588807</v>
      </c>
      <c r="BA25" s="151">
        <f>BA24/BA23</f>
        <v>0.24739805493943018</v>
      </c>
      <c r="BB25" s="155">
        <f>BB24/BB23</f>
        <v>0.23956442831215971</v>
      </c>
      <c r="BC25" s="156">
        <f>BC24/BC23</f>
        <v>0.23045836822368662</v>
      </c>
      <c r="BD25" s="151"/>
      <c r="BE25" s="152">
        <f>BE24/BE23</f>
        <v>0.21506171014706979</v>
      </c>
      <c r="BF25" s="151">
        <f>BF24/BF23</f>
        <v>0.20580075662042877</v>
      </c>
      <c r="BG25" s="151">
        <f>BG24/BG23</f>
        <v>0.21296296296296297</v>
      </c>
      <c r="BH25" s="155">
        <f>BH24/BH23</f>
        <v>0.16304347826086957</v>
      </c>
      <c r="BI25" s="156">
        <f>BI24/BI23</f>
        <v>0.19982962255831577</v>
      </c>
      <c r="BJ25" s="151"/>
      <c r="BK25" s="152">
        <f>+BK24/BK23</f>
        <v>0.1702127659574468</v>
      </c>
      <c r="BL25" s="151">
        <f>BL24/BL23</f>
        <v>0.1256544502617801</v>
      </c>
      <c r="BM25" s="151">
        <f>BM24/BM23</f>
        <v>0.16485225505443235</v>
      </c>
      <c r="BN25" s="155">
        <f>BN24/BN23</f>
        <v>0.14646292047063425</v>
      </c>
      <c r="BO25" s="156">
        <f>BO24/BO23</f>
        <v>0.15236597323765408</v>
      </c>
      <c r="BP25" s="151"/>
      <c r="BQ25" s="152">
        <f>+BQ24/BQ23</f>
        <v>0.16307692307692306</v>
      </c>
      <c r="BR25" s="320">
        <v>0.17</v>
      </c>
      <c r="BS25" s="320">
        <v>0.17</v>
      </c>
      <c r="BT25" s="194">
        <v>0.17</v>
      </c>
      <c r="BU25" s="156">
        <f>BU24/BU23</f>
        <v>0.16874714476545061</v>
      </c>
      <c r="BV25" s="151"/>
      <c r="BW25" s="195">
        <v>0.16750000000000001</v>
      </c>
      <c r="BX25" s="320">
        <f>BW25</f>
        <v>0.16750000000000001</v>
      </c>
      <c r="BY25" s="320">
        <f t="shared" ref="BY25:BZ25" si="16">BX25</f>
        <v>0.16750000000000001</v>
      </c>
      <c r="BZ25" s="194">
        <f t="shared" si="16"/>
        <v>0.16750000000000001</v>
      </c>
      <c r="CA25" s="156">
        <f>CA24/CA23</f>
        <v>0.16750000000000001</v>
      </c>
      <c r="CB25" s="151"/>
      <c r="CC25" s="195">
        <v>0.16500000000000001</v>
      </c>
      <c r="CD25" s="320">
        <f>CC25</f>
        <v>0.16500000000000001</v>
      </c>
      <c r="CE25" s="320">
        <f t="shared" ref="CE25:CF25" si="17">CD25</f>
        <v>0.16500000000000001</v>
      </c>
      <c r="CF25" s="194">
        <f t="shared" si="17"/>
        <v>0.16500000000000001</v>
      </c>
      <c r="CG25" s="156">
        <f>CG24/CG23</f>
        <v>0.16500000000000001</v>
      </c>
      <c r="CH25" s="151"/>
      <c r="CI25" s="195">
        <v>0.16500000000000001</v>
      </c>
      <c r="CJ25" s="320">
        <f>CI25</f>
        <v>0.16500000000000001</v>
      </c>
      <c r="CK25" s="320">
        <f t="shared" ref="CK25:CL25" si="18">CJ25</f>
        <v>0.16500000000000001</v>
      </c>
      <c r="CL25" s="194">
        <f t="shared" si="18"/>
        <v>0.16500000000000001</v>
      </c>
      <c r="CM25" s="156">
        <f>CM24/CM23</f>
        <v>0.16500000000000001</v>
      </c>
      <c r="CN25" s="157"/>
      <c r="CO25" s="157"/>
      <c r="CP25" s="139"/>
    </row>
    <row r="26" spans="1:94" x14ac:dyDescent="0.2">
      <c r="A26" s="111" t="s">
        <v>54</v>
      </c>
      <c r="B26" s="116"/>
      <c r="C26" s="112">
        <f>C23-C24</f>
        <v>245.79799999999989</v>
      </c>
      <c r="D26" s="113">
        <f>D23-D24</f>
        <v>235.53928800000006</v>
      </c>
      <c r="E26" s="113">
        <f>E23-E24</f>
        <v>247.86300000000006</v>
      </c>
      <c r="F26" s="114">
        <f>F23-F24</f>
        <v>249.10800000000017</v>
      </c>
      <c r="G26" s="115">
        <f>G23-G24</f>
        <v>978.3082880000004</v>
      </c>
      <c r="H26" s="116"/>
      <c r="I26" s="112">
        <f>I23-I24</f>
        <v>270.89600000000007</v>
      </c>
      <c r="J26" s="113">
        <f>J23-J24</f>
        <v>275.63499999999988</v>
      </c>
      <c r="K26" s="113">
        <f>K23-K24</f>
        <v>297.4100000000002</v>
      </c>
      <c r="L26" s="114">
        <f>L23-L24</f>
        <v>282.17399999999981</v>
      </c>
      <c r="M26" s="115">
        <f>M23-M24</f>
        <v>1126.1150000000002</v>
      </c>
      <c r="N26" s="116"/>
      <c r="O26" s="112">
        <f>O23-O24</f>
        <v>296.60699999999986</v>
      </c>
      <c r="P26" s="113">
        <f>P23-P24</f>
        <v>248.8660000000001</v>
      </c>
      <c r="Q26" s="113">
        <f>Q23-Q24</f>
        <v>327.44499999999994</v>
      </c>
      <c r="R26" s="114">
        <f>R23-R24</f>
        <v>294.428</v>
      </c>
      <c r="S26" s="115">
        <f>S23-S24</f>
        <v>1167.3459999999998</v>
      </c>
      <c r="T26" s="116"/>
      <c r="U26" s="112">
        <f>U23-U24</f>
        <v>304.09300000000007</v>
      </c>
      <c r="V26" s="113">
        <f>V23-V24</f>
        <v>285.03400000000011</v>
      </c>
      <c r="W26" s="113">
        <f>W23-W24</f>
        <v>294.15999999999997</v>
      </c>
      <c r="X26" s="114">
        <f>X23-X24</f>
        <v>293.05299999999994</v>
      </c>
      <c r="Y26" s="115">
        <f>Y23-Y24</f>
        <v>1176.3400000000001</v>
      </c>
      <c r="Z26" s="116"/>
      <c r="AA26" s="112">
        <f>AA23-AA24</f>
        <v>298.44670000000008</v>
      </c>
      <c r="AB26" s="113">
        <f>AB23-AB24</f>
        <v>295.85000000000002</v>
      </c>
      <c r="AC26" s="113">
        <f>AC23-AC24</f>
        <v>321.53999999999985</v>
      </c>
      <c r="AD26" s="114">
        <f>AD23-AD24</f>
        <v>291.04699999999997</v>
      </c>
      <c r="AE26" s="115">
        <f>AE23-AE24</f>
        <v>1206.8836999999999</v>
      </c>
      <c r="AF26" s="116"/>
      <c r="AG26" s="112">
        <f>AG23-AG24</f>
        <v>248.54399999999995</v>
      </c>
      <c r="AH26" s="113">
        <f>AH23-AH24</f>
        <v>275.1239999999998</v>
      </c>
      <c r="AI26" s="113">
        <f>AI23-AI24</f>
        <v>311.58099999999985</v>
      </c>
      <c r="AJ26" s="114">
        <f>AJ23-AJ24</f>
        <v>287.27799999999974</v>
      </c>
      <c r="AK26" s="115">
        <f>AK23-AK24</f>
        <v>1122.5269999999994</v>
      </c>
      <c r="AL26" s="116"/>
      <c r="AM26" s="112">
        <f>AM23-AM24</f>
        <v>282.75805249999996</v>
      </c>
      <c r="AN26" s="113">
        <f>AN23-AN24</f>
        <v>290.04124999999993</v>
      </c>
      <c r="AO26" s="113">
        <f>AO23-AO24</f>
        <v>319.83680499999963</v>
      </c>
      <c r="AP26" s="114">
        <f>AP23-AP24</f>
        <v>318.35339249999993</v>
      </c>
      <c r="AQ26" s="115">
        <f>AQ23-AQ24</f>
        <v>1210.9894999999995</v>
      </c>
      <c r="AR26" s="116"/>
      <c r="AS26" s="112">
        <f>AS23-AS24</f>
        <v>283.55880000000013</v>
      </c>
      <c r="AT26" s="113">
        <f>AT23-AT24</f>
        <v>314.65880000000004</v>
      </c>
      <c r="AU26" s="113">
        <f>AU23-AU24</f>
        <v>344.45880000000022</v>
      </c>
      <c r="AV26" s="114">
        <f>AV23-AV24</f>
        <v>342.95020000000034</v>
      </c>
      <c r="AW26" s="115">
        <f>AW23-AW24</f>
        <v>1285.6266000000005</v>
      </c>
      <c r="AX26" s="116"/>
      <c r="AY26" s="112">
        <f>AY23-AY24</f>
        <v>302.0400000000003</v>
      </c>
      <c r="AZ26" s="113">
        <f>AZ23-AZ24</f>
        <v>317.44999999999982</v>
      </c>
      <c r="BA26" s="113">
        <f>BA23-BA24</f>
        <v>441.09999999999991</v>
      </c>
      <c r="BB26" s="114">
        <f>BB23-BB24</f>
        <v>419</v>
      </c>
      <c r="BC26" s="115">
        <f>BC23-BC24</f>
        <v>1479.5900000000001</v>
      </c>
      <c r="BD26" s="116"/>
      <c r="BE26" s="112">
        <f>BE23-BE24</f>
        <v>424.8399999999998</v>
      </c>
      <c r="BF26" s="113">
        <f>BF23-BF24</f>
        <v>472.35</v>
      </c>
      <c r="BG26" s="113">
        <f>BG23-BG24</f>
        <v>510</v>
      </c>
      <c r="BH26" s="114">
        <f>BH23-BH24</f>
        <v>462</v>
      </c>
      <c r="BI26" s="115">
        <f>BI23-BI24</f>
        <v>1869.1899999999998</v>
      </c>
      <c r="BJ26" s="116"/>
      <c r="BK26" s="112">
        <f>BK23-BK24</f>
        <v>507</v>
      </c>
      <c r="BL26" s="113">
        <f>BL23-BL24</f>
        <v>501</v>
      </c>
      <c r="BM26" s="113">
        <f>BM23-BM24</f>
        <v>537</v>
      </c>
      <c r="BN26" s="114">
        <f>BN23-BN24</f>
        <v>524.48999999999978</v>
      </c>
      <c r="BO26" s="115">
        <f>BO23-BO24</f>
        <v>2069.4899999999998</v>
      </c>
      <c r="BP26" s="116"/>
      <c r="BQ26" s="112">
        <f>BQ23-BQ24</f>
        <v>544</v>
      </c>
      <c r="BR26" s="113">
        <f>BR23-BR24</f>
        <v>758.92281323674979</v>
      </c>
      <c r="BS26" s="113">
        <f>BS23-BS24</f>
        <v>845.74464095954636</v>
      </c>
      <c r="BT26" s="114">
        <f>BT23-BT24</f>
        <v>837.02294753702017</v>
      </c>
      <c r="BU26" s="115">
        <f>BU23-BU24</f>
        <v>2985.6904017333163</v>
      </c>
      <c r="BV26" s="116"/>
      <c r="BW26" s="112">
        <f>BW23-BW24</f>
        <v>856.33400438339436</v>
      </c>
      <c r="BX26" s="113">
        <f>BX23-BX24</f>
        <v>892.4772193428289</v>
      </c>
      <c r="BY26" s="113">
        <f>BY23-BY24</f>
        <v>930.90606459775563</v>
      </c>
      <c r="BZ26" s="114">
        <f>BZ23-BZ24</f>
        <v>920.00768883894693</v>
      </c>
      <c r="CA26" s="115">
        <f>CA23-CA24</f>
        <v>3599.7249771629258</v>
      </c>
      <c r="CB26" s="116"/>
      <c r="CC26" s="112">
        <f>CC23-CC24</f>
        <v>974.08456048917958</v>
      </c>
      <c r="CD26" s="113">
        <f>CD23-CD24</f>
        <v>1013.1684202351126</v>
      </c>
      <c r="CE26" s="113">
        <f>CE23-CE24</f>
        <v>1059.4139144057312</v>
      </c>
      <c r="CF26" s="114">
        <f>CF23-CF24</f>
        <v>1075.4788327131669</v>
      </c>
      <c r="CG26" s="115">
        <f>CG23-CG24</f>
        <v>4122.1457278431899</v>
      </c>
      <c r="CH26" s="116"/>
      <c r="CI26" s="112">
        <f>CI23-CI24</f>
        <v>1101.3177772737758</v>
      </c>
      <c r="CJ26" s="113">
        <f>CJ23-CJ24</f>
        <v>1112.9918611334365</v>
      </c>
      <c r="CK26" s="113">
        <f>CK23-CK24</f>
        <v>1209.3277651455021</v>
      </c>
      <c r="CL26" s="114">
        <f>CL23-CL24</f>
        <v>1228.4320672161705</v>
      </c>
      <c r="CM26" s="115">
        <f>CM23-CM24</f>
        <v>4652.0694707688845</v>
      </c>
      <c r="CN26" s="138"/>
      <c r="CO26" s="138"/>
      <c r="CP26" s="139"/>
    </row>
    <row r="27" spans="1:94" hidden="1" outlineLevel="1" x14ac:dyDescent="0.2">
      <c r="A27" s="158" t="s">
        <v>55</v>
      </c>
      <c r="B27" s="92"/>
      <c r="C27" s="104">
        <v>0</v>
      </c>
      <c r="D27" s="105">
        <v>0</v>
      </c>
      <c r="E27" s="105">
        <v>0</v>
      </c>
      <c r="F27" s="106">
        <v>0</v>
      </c>
      <c r="G27" s="94">
        <f>SUM(C27:F27)</f>
        <v>0</v>
      </c>
      <c r="H27" s="92"/>
      <c r="I27" s="104">
        <v>0</v>
      </c>
      <c r="J27" s="105">
        <v>0</v>
      </c>
      <c r="K27" s="105">
        <v>0</v>
      </c>
      <c r="L27" s="106">
        <v>0</v>
      </c>
      <c r="M27" s="94">
        <f>SUM(I27:L27)</f>
        <v>0</v>
      </c>
      <c r="N27" s="92"/>
      <c r="O27" s="104">
        <v>20.234000000000002</v>
      </c>
      <c r="P27" s="105">
        <v>15.944000000000001</v>
      </c>
      <c r="Q27" s="105">
        <v>17.579000000000001</v>
      </c>
      <c r="R27" s="106">
        <v>30.475999999999999</v>
      </c>
      <c r="S27" s="94">
        <f>SUM(O27:R27)</f>
        <v>84.233000000000004</v>
      </c>
      <c r="T27" s="92"/>
      <c r="U27" s="104">
        <v>16.899999999999999</v>
      </c>
      <c r="V27" s="105">
        <v>16.698</v>
      </c>
      <c r="W27" s="105">
        <v>17.088000000000001</v>
      </c>
      <c r="X27" s="106">
        <f>103.642+27.645</f>
        <v>131.28700000000001</v>
      </c>
      <c r="Y27" s="94">
        <f>SUM(U27:X27)</f>
        <v>181.97300000000001</v>
      </c>
      <c r="Z27" s="92"/>
      <c r="AA27" s="104">
        <v>26.297999999999998</v>
      </c>
      <c r="AB27" s="105">
        <v>24.687999999999999</v>
      </c>
      <c r="AC27" s="105">
        <v>30.53</v>
      </c>
      <c r="AD27" s="106">
        <v>23.792999999999999</v>
      </c>
      <c r="AE27" s="94">
        <f>SUM(AA27:AD27)</f>
        <v>105.309</v>
      </c>
      <c r="AF27" s="92"/>
      <c r="AG27" s="104">
        <v>21.768000000000001</v>
      </c>
      <c r="AH27" s="105">
        <v>23.452999999999999</v>
      </c>
      <c r="AI27" s="105">
        <f>15.285+7.288</f>
        <v>22.573</v>
      </c>
      <c r="AJ27" s="106">
        <f>14.765+9.108</f>
        <v>23.873000000000001</v>
      </c>
      <c r="AK27" s="93">
        <f>SUM(AG27:AJ27)</f>
        <v>91.667000000000016</v>
      </c>
      <c r="AL27" s="92"/>
      <c r="AM27" s="104">
        <f>355.187+216.336</f>
        <v>571.52300000000002</v>
      </c>
      <c r="AN27" s="105">
        <v>-1.66</v>
      </c>
      <c r="AO27" s="105">
        <f>AO28+9.672</f>
        <v>16.103999999999999</v>
      </c>
      <c r="AP27" s="106">
        <v>1</v>
      </c>
      <c r="AQ27" s="93">
        <f>SUM(AM27:AP27)</f>
        <v>586.9670000000001</v>
      </c>
      <c r="AR27" s="92"/>
      <c r="AS27" s="104">
        <v>0</v>
      </c>
      <c r="AT27" s="105">
        <v>0</v>
      </c>
      <c r="AU27" s="105">
        <v>0</v>
      </c>
      <c r="AV27" s="106">
        <v>0</v>
      </c>
      <c r="AW27" s="93">
        <f>SUM(AS27:AV27)</f>
        <v>0</v>
      </c>
      <c r="AX27" s="92"/>
      <c r="AY27" s="104">
        <v>0</v>
      </c>
      <c r="AZ27" s="105">
        <v>0</v>
      </c>
      <c r="BA27" s="105">
        <v>0</v>
      </c>
      <c r="BB27" s="106">
        <v>0</v>
      </c>
      <c r="BC27" s="93">
        <f>SUM(AY27:BB27)</f>
        <v>0</v>
      </c>
      <c r="BD27" s="92"/>
      <c r="BE27" s="104">
        <v>0</v>
      </c>
      <c r="BF27" s="105">
        <v>0</v>
      </c>
      <c r="BG27" s="105">
        <v>0</v>
      </c>
      <c r="BH27" s="106">
        <v>0</v>
      </c>
      <c r="BI27" s="93">
        <f>SUM(BE27:BH27)</f>
        <v>0</v>
      </c>
      <c r="BJ27" s="92"/>
      <c r="BK27" s="104">
        <v>0</v>
      </c>
      <c r="BL27" s="105">
        <v>0</v>
      </c>
      <c r="BM27" s="105">
        <v>0</v>
      </c>
      <c r="BN27" s="106">
        <v>0</v>
      </c>
      <c r="BO27" s="93">
        <f>SUM(BK27:BN27)</f>
        <v>0</v>
      </c>
      <c r="BP27" s="92"/>
      <c r="BQ27" s="104">
        <v>0</v>
      </c>
      <c r="BR27" s="105">
        <v>0</v>
      </c>
      <c r="BS27" s="105">
        <v>0</v>
      </c>
      <c r="BT27" s="106">
        <v>0</v>
      </c>
      <c r="BU27" s="93">
        <f>SUM(BQ27:BT27)</f>
        <v>0</v>
      </c>
      <c r="BV27" s="92"/>
      <c r="BW27" s="104">
        <v>0</v>
      </c>
      <c r="BX27" s="105">
        <v>0</v>
      </c>
      <c r="BY27" s="105">
        <v>0</v>
      </c>
      <c r="BZ27" s="106">
        <v>0</v>
      </c>
      <c r="CA27" s="93">
        <f>SUM(BW27:BZ27)</f>
        <v>0</v>
      </c>
      <c r="CB27" s="92"/>
      <c r="CC27" s="104">
        <v>0</v>
      </c>
      <c r="CD27" s="105">
        <v>0</v>
      </c>
      <c r="CE27" s="105">
        <v>0</v>
      </c>
      <c r="CF27" s="106">
        <v>0</v>
      </c>
      <c r="CG27" s="93">
        <f>SUM(CC27:CF27)</f>
        <v>0</v>
      </c>
      <c r="CH27" s="92"/>
      <c r="CI27" s="104">
        <v>0</v>
      </c>
      <c r="CJ27" s="105">
        <v>0</v>
      </c>
      <c r="CK27" s="105">
        <v>0</v>
      </c>
      <c r="CL27" s="106">
        <v>0</v>
      </c>
      <c r="CM27" s="93">
        <f>SUM(CI27:CL27)</f>
        <v>0</v>
      </c>
      <c r="CN27" s="110"/>
      <c r="CO27" s="110"/>
      <c r="CP27" s="110"/>
    </row>
    <row r="28" spans="1:94" hidden="1" outlineLevel="1" x14ac:dyDescent="0.2">
      <c r="A28" s="158" t="s">
        <v>52</v>
      </c>
      <c r="B28" s="92"/>
      <c r="C28" s="104">
        <v>0</v>
      </c>
      <c r="D28" s="105">
        <v>0</v>
      </c>
      <c r="E28" s="105">
        <v>0</v>
      </c>
      <c r="F28" s="106">
        <v>0</v>
      </c>
      <c r="G28" s="94">
        <f>SUM(C28:F28)</f>
        <v>0</v>
      </c>
      <c r="H28" s="92"/>
      <c r="I28" s="104">
        <v>0</v>
      </c>
      <c r="J28" s="105">
        <v>0</v>
      </c>
      <c r="K28" s="105">
        <v>0</v>
      </c>
      <c r="L28" s="106">
        <v>0</v>
      </c>
      <c r="M28" s="94">
        <f>SUM(I28:L28)</f>
        <v>0</v>
      </c>
      <c r="N28" s="92"/>
      <c r="O28" s="104">
        <v>4.7729999999999997</v>
      </c>
      <c r="P28" s="105">
        <v>3.5209999999999999</v>
      </c>
      <c r="Q28" s="105">
        <v>3.9969999999999999</v>
      </c>
      <c r="R28" s="106">
        <v>7.6840000000000002</v>
      </c>
      <c r="S28" s="94">
        <f>SUM(O28:R28)</f>
        <v>19.975000000000001</v>
      </c>
      <c r="T28" s="92"/>
      <c r="U28" s="104">
        <v>4.617</v>
      </c>
      <c r="V28" s="105">
        <v>4.101</v>
      </c>
      <c r="W28" s="105">
        <v>4.34</v>
      </c>
      <c r="X28" s="106">
        <v>27.645</v>
      </c>
      <c r="Y28" s="94">
        <f>SUM(U28:X28)</f>
        <v>40.703000000000003</v>
      </c>
      <c r="Z28" s="92"/>
      <c r="AA28" s="104">
        <v>8.8070000000000004</v>
      </c>
      <c r="AB28" s="105">
        <v>8.5190000000000001</v>
      </c>
      <c r="AC28" s="105">
        <v>9.0120000000000005</v>
      </c>
      <c r="AD28" s="106">
        <v>8.86</v>
      </c>
      <c r="AE28" s="94">
        <f>SUM(AA28:AD28)</f>
        <v>35.198</v>
      </c>
      <c r="AF28" s="92"/>
      <c r="AG28" s="104">
        <v>7.327</v>
      </c>
      <c r="AH28" s="105">
        <v>7.5439999999999996</v>
      </c>
      <c r="AI28" s="105">
        <v>7.2880000000000003</v>
      </c>
      <c r="AJ28" s="106">
        <v>9.1080000000000005</v>
      </c>
      <c r="AK28" s="93">
        <f>SUM(AG28:AJ28)</f>
        <v>31.266999999999999</v>
      </c>
      <c r="AL28" s="92"/>
      <c r="AM28" s="104">
        <v>216.33600000000001</v>
      </c>
      <c r="AN28" s="105">
        <v>-1.177</v>
      </c>
      <c r="AO28" s="105">
        <v>6.4320000000000004</v>
      </c>
      <c r="AP28" s="106">
        <v>1</v>
      </c>
      <c r="AQ28" s="93">
        <f>SUM(AM28:AP28)</f>
        <v>222.59100000000001</v>
      </c>
      <c r="AR28" s="92"/>
      <c r="AS28" s="104">
        <v>0</v>
      </c>
      <c r="AT28" s="105">
        <v>0</v>
      </c>
      <c r="AU28" s="105">
        <v>0</v>
      </c>
      <c r="AV28" s="106">
        <v>0</v>
      </c>
      <c r="AW28" s="93">
        <f>SUM(AS28:AV28)</f>
        <v>0</v>
      </c>
      <c r="AX28" s="92"/>
      <c r="AY28" s="104">
        <v>0</v>
      </c>
      <c r="AZ28" s="105">
        <v>0</v>
      </c>
      <c r="BA28" s="105">
        <v>0</v>
      </c>
      <c r="BB28" s="106">
        <v>0</v>
      </c>
      <c r="BC28" s="93">
        <f>SUM(AY28:BB28)</f>
        <v>0</v>
      </c>
      <c r="BD28" s="92"/>
      <c r="BE28" s="104">
        <v>0</v>
      </c>
      <c r="BF28" s="105">
        <v>0</v>
      </c>
      <c r="BG28" s="105">
        <v>0</v>
      </c>
      <c r="BH28" s="106">
        <v>0</v>
      </c>
      <c r="BI28" s="93">
        <f>SUM(BE28:BH28)</f>
        <v>0</v>
      </c>
      <c r="BJ28" s="92"/>
      <c r="BK28" s="104">
        <v>0</v>
      </c>
      <c r="BL28" s="105">
        <v>0</v>
      </c>
      <c r="BM28" s="105">
        <v>0</v>
      </c>
      <c r="BN28" s="106">
        <v>0</v>
      </c>
      <c r="BO28" s="93">
        <f>SUM(BK28:BN28)</f>
        <v>0</v>
      </c>
      <c r="BP28" s="92"/>
      <c r="BQ28" s="104">
        <v>0</v>
      </c>
      <c r="BR28" s="105">
        <v>0</v>
      </c>
      <c r="BS28" s="105">
        <v>0</v>
      </c>
      <c r="BT28" s="106">
        <v>0</v>
      </c>
      <c r="BU28" s="93">
        <f>SUM(BQ28:BT28)</f>
        <v>0</v>
      </c>
      <c r="BV28" s="92"/>
      <c r="BW28" s="104">
        <v>0</v>
      </c>
      <c r="BX28" s="105">
        <v>0</v>
      </c>
      <c r="BY28" s="105">
        <v>0</v>
      </c>
      <c r="BZ28" s="106">
        <v>0</v>
      </c>
      <c r="CA28" s="93">
        <f>SUM(BW28:BZ28)</f>
        <v>0</v>
      </c>
      <c r="CB28" s="92"/>
      <c r="CC28" s="104">
        <v>0</v>
      </c>
      <c r="CD28" s="105">
        <v>0</v>
      </c>
      <c r="CE28" s="105">
        <v>0</v>
      </c>
      <c r="CF28" s="106">
        <v>0</v>
      </c>
      <c r="CG28" s="93">
        <f>SUM(CC28:CF28)</f>
        <v>0</v>
      </c>
      <c r="CH28" s="92"/>
      <c r="CI28" s="104">
        <v>0</v>
      </c>
      <c r="CJ28" s="105">
        <v>0</v>
      </c>
      <c r="CK28" s="105">
        <v>0</v>
      </c>
      <c r="CL28" s="106">
        <v>0</v>
      </c>
      <c r="CM28" s="93">
        <f>SUM(CI28:CL28)</f>
        <v>0</v>
      </c>
      <c r="CN28" s="110"/>
      <c r="CO28" s="110"/>
      <c r="CP28" s="110"/>
    </row>
    <row r="29" spans="1:94" hidden="1" outlineLevel="1" x14ac:dyDescent="0.2">
      <c r="A29" s="140" t="s">
        <v>56</v>
      </c>
      <c r="B29" s="113"/>
      <c r="C29" s="112">
        <f>C27-C28</f>
        <v>0</v>
      </c>
      <c r="D29" s="113">
        <f>D27-D28</f>
        <v>0</v>
      </c>
      <c r="E29" s="113">
        <f>E27-E28</f>
        <v>0</v>
      </c>
      <c r="F29" s="114">
        <f>F27-F28</f>
        <v>0</v>
      </c>
      <c r="G29" s="115">
        <f>G27-G28</f>
        <v>0</v>
      </c>
      <c r="H29" s="113"/>
      <c r="I29" s="112">
        <f>I27-I28</f>
        <v>0</v>
      </c>
      <c r="J29" s="113">
        <f>J27-J28</f>
        <v>0</v>
      </c>
      <c r="K29" s="113">
        <f>K27-K28</f>
        <v>0</v>
      </c>
      <c r="L29" s="114">
        <f>L27-L28</f>
        <v>0</v>
      </c>
      <c r="M29" s="115">
        <f>M27-M28</f>
        <v>0</v>
      </c>
      <c r="N29" s="113"/>
      <c r="O29" s="112">
        <f>O27-O28</f>
        <v>15.461000000000002</v>
      </c>
      <c r="P29" s="113">
        <f>P27-P28</f>
        <v>12.423000000000002</v>
      </c>
      <c r="Q29" s="113">
        <f>Q27-Q28</f>
        <v>13.582000000000001</v>
      </c>
      <c r="R29" s="114">
        <f>R27-R28</f>
        <v>22.791999999999998</v>
      </c>
      <c r="S29" s="115">
        <f>S27-S28</f>
        <v>64.25800000000001</v>
      </c>
      <c r="T29" s="113"/>
      <c r="U29" s="112">
        <f>U27-U28</f>
        <v>12.282999999999998</v>
      </c>
      <c r="V29" s="113">
        <f>V27-V28</f>
        <v>12.597000000000001</v>
      </c>
      <c r="W29" s="113">
        <f>W27-W28</f>
        <v>12.748000000000001</v>
      </c>
      <c r="X29" s="114">
        <f>X27-X28</f>
        <v>103.64200000000001</v>
      </c>
      <c r="Y29" s="115">
        <f>Y27-Y28</f>
        <v>141.27000000000001</v>
      </c>
      <c r="Z29" s="113"/>
      <c r="AA29" s="112">
        <f>AA27-AA28</f>
        <v>17.491</v>
      </c>
      <c r="AB29" s="113">
        <f>AB27-AB28</f>
        <v>16.168999999999997</v>
      </c>
      <c r="AC29" s="113">
        <f>AC27-AC28</f>
        <v>21.518000000000001</v>
      </c>
      <c r="AD29" s="114">
        <f>AD27-AD28</f>
        <v>14.933</v>
      </c>
      <c r="AE29" s="115">
        <f>AE27-AE28</f>
        <v>70.11099999999999</v>
      </c>
      <c r="AF29" s="113"/>
      <c r="AG29" s="112">
        <f>AG27-AG28</f>
        <v>14.441000000000001</v>
      </c>
      <c r="AH29" s="113">
        <f>AH27-AH28</f>
        <v>15.908999999999999</v>
      </c>
      <c r="AI29" s="113">
        <f>AI27-AI28</f>
        <v>15.285</v>
      </c>
      <c r="AJ29" s="114">
        <f>AJ27-AJ28</f>
        <v>14.765000000000001</v>
      </c>
      <c r="AK29" s="115">
        <f>SUM(AG29:AJ29)</f>
        <v>60.400000000000006</v>
      </c>
      <c r="AL29" s="113"/>
      <c r="AM29" s="112">
        <f>AM27-AM28</f>
        <v>355.18700000000001</v>
      </c>
      <c r="AN29" s="113">
        <f>AN27-AN28</f>
        <v>-0.48299999999999987</v>
      </c>
      <c r="AO29" s="113">
        <f>AO27-AO28</f>
        <v>9.6719999999999988</v>
      </c>
      <c r="AP29" s="114">
        <f>AP27-AP28</f>
        <v>0</v>
      </c>
      <c r="AQ29" s="115">
        <f>AQ27-AQ28</f>
        <v>364.37600000000009</v>
      </c>
      <c r="AR29" s="113"/>
      <c r="AS29" s="112">
        <f>AS27-AS28</f>
        <v>0</v>
      </c>
      <c r="AT29" s="113">
        <f>AT27-AT28</f>
        <v>0</v>
      </c>
      <c r="AU29" s="116">
        <f>AU27-AU28</f>
        <v>0</v>
      </c>
      <c r="AV29" s="117">
        <f>AV27-AV28</f>
        <v>0</v>
      </c>
      <c r="AW29" s="115">
        <f>SUM(AS29:AV29)</f>
        <v>0</v>
      </c>
      <c r="AX29" s="113"/>
      <c r="AY29" s="112">
        <f>AY27-AY28</f>
        <v>0</v>
      </c>
      <c r="AZ29" s="113">
        <f>AZ27-AZ28</f>
        <v>0</v>
      </c>
      <c r="BA29" s="113">
        <f>BA27-BA28</f>
        <v>0</v>
      </c>
      <c r="BB29" s="117">
        <f>BB27-BB28</f>
        <v>0</v>
      </c>
      <c r="BC29" s="115">
        <f>SUM(AY29:BB29)</f>
        <v>0</v>
      </c>
      <c r="BD29" s="113"/>
      <c r="BE29" s="112">
        <f>BE27-BE28</f>
        <v>0</v>
      </c>
      <c r="BF29" s="113">
        <f>BF27-BF28</f>
        <v>0</v>
      </c>
      <c r="BG29" s="113">
        <f>BG27-BG28</f>
        <v>0</v>
      </c>
      <c r="BH29" s="117">
        <f>BH27-BH28</f>
        <v>0</v>
      </c>
      <c r="BI29" s="115">
        <f>SUM(BE29:BH29)</f>
        <v>0</v>
      </c>
      <c r="BJ29" s="113"/>
      <c r="BK29" s="112">
        <f>BK27-BK28</f>
        <v>0</v>
      </c>
      <c r="BL29" s="113">
        <f>BL27-BL28</f>
        <v>0</v>
      </c>
      <c r="BM29" s="113">
        <f>BM27-BM28</f>
        <v>0</v>
      </c>
      <c r="BN29" s="117">
        <f>BN27-BN28</f>
        <v>0</v>
      </c>
      <c r="BO29" s="115">
        <f>SUM(BK29:BN29)</f>
        <v>0</v>
      </c>
      <c r="BP29" s="113"/>
      <c r="BQ29" s="112">
        <f>BQ27-BQ28</f>
        <v>0</v>
      </c>
      <c r="BR29" s="113">
        <f>BR27-BR28</f>
        <v>0</v>
      </c>
      <c r="BS29" s="116">
        <f>BS27-BS28</f>
        <v>0</v>
      </c>
      <c r="BT29" s="117">
        <f>BT27-BT28</f>
        <v>0</v>
      </c>
      <c r="BU29" s="115">
        <f>SUM(BQ29:BT29)</f>
        <v>0</v>
      </c>
      <c r="BV29" s="113"/>
      <c r="BW29" s="112">
        <f>BW27-BW28</f>
        <v>0</v>
      </c>
      <c r="BX29" s="113">
        <f>BX27-BX28</f>
        <v>0</v>
      </c>
      <c r="BY29" s="116">
        <f>BY27-BY28</f>
        <v>0</v>
      </c>
      <c r="BZ29" s="117">
        <f>BZ27-BZ28</f>
        <v>0</v>
      </c>
      <c r="CA29" s="115">
        <f>SUM(BW29:BZ29)</f>
        <v>0</v>
      </c>
      <c r="CB29" s="113"/>
      <c r="CC29" s="112">
        <f>CC27-CC28</f>
        <v>0</v>
      </c>
      <c r="CD29" s="113">
        <f>CD27-CD28</f>
        <v>0</v>
      </c>
      <c r="CE29" s="116">
        <f>CE27-CE28</f>
        <v>0</v>
      </c>
      <c r="CF29" s="117">
        <f>CF27-CF28</f>
        <v>0</v>
      </c>
      <c r="CG29" s="115">
        <f>SUM(CC29:CF29)</f>
        <v>0</v>
      </c>
      <c r="CH29" s="113"/>
      <c r="CI29" s="112">
        <f>CI27-CI28</f>
        <v>0</v>
      </c>
      <c r="CJ29" s="113">
        <f>CJ27-CJ28</f>
        <v>0</v>
      </c>
      <c r="CK29" s="116">
        <f>CK27-CK28</f>
        <v>0</v>
      </c>
      <c r="CL29" s="117">
        <f>CL27-CL28</f>
        <v>0</v>
      </c>
      <c r="CM29" s="115">
        <f>SUM(CI29:CL29)</f>
        <v>0</v>
      </c>
      <c r="CN29" s="144"/>
      <c r="CO29" s="144"/>
      <c r="CP29" s="144"/>
    </row>
    <row r="30" spans="1:94" hidden="1" outlineLevel="1" x14ac:dyDescent="0.2">
      <c r="A30" s="159" t="s">
        <v>57</v>
      </c>
      <c r="B30" s="87"/>
      <c r="C30" s="146"/>
      <c r="D30" s="87"/>
      <c r="E30" s="87"/>
      <c r="F30" s="147"/>
      <c r="G30" s="94"/>
      <c r="H30" s="87"/>
      <c r="I30" s="146"/>
      <c r="J30" s="87"/>
      <c r="K30" s="87"/>
      <c r="L30" s="147"/>
      <c r="M30" s="94"/>
      <c r="N30" s="87"/>
      <c r="O30" s="146"/>
      <c r="P30" s="87"/>
      <c r="Q30" s="87"/>
      <c r="R30" s="147"/>
      <c r="S30" s="94"/>
      <c r="T30" s="87"/>
      <c r="U30" s="146"/>
      <c r="V30" s="87"/>
      <c r="W30" s="87"/>
      <c r="X30" s="147"/>
      <c r="Y30" s="94"/>
      <c r="Z30" s="87"/>
      <c r="AA30" s="146"/>
      <c r="AB30" s="87"/>
      <c r="AC30" s="87"/>
      <c r="AD30" s="147"/>
      <c r="AE30" s="94"/>
      <c r="AF30" s="87"/>
      <c r="AG30" s="146"/>
      <c r="AH30" s="87"/>
      <c r="AI30" s="87"/>
      <c r="AJ30" s="147"/>
      <c r="AK30" s="94"/>
      <c r="AL30" s="87"/>
      <c r="AM30" s="146"/>
      <c r="AN30" s="87"/>
      <c r="AO30" s="87"/>
      <c r="AP30" s="147"/>
      <c r="AQ30" s="94"/>
      <c r="AR30" s="87"/>
      <c r="AS30" s="146"/>
      <c r="AT30" s="87"/>
      <c r="AU30" s="92"/>
      <c r="AV30" s="99"/>
      <c r="AW30" s="94"/>
      <c r="AX30" s="87"/>
      <c r="AY30" s="146"/>
      <c r="AZ30" s="87"/>
      <c r="BA30" s="87"/>
      <c r="BB30" s="99"/>
      <c r="BC30" s="94"/>
      <c r="BD30" s="87"/>
      <c r="BE30" s="146"/>
      <c r="BF30" s="87"/>
      <c r="BG30" s="87"/>
      <c r="BH30" s="99"/>
      <c r="BI30" s="94"/>
      <c r="BJ30" s="87"/>
      <c r="BK30" s="146"/>
      <c r="BL30" s="87"/>
      <c r="BM30" s="87"/>
      <c r="BN30" s="99"/>
      <c r="BO30" s="94"/>
      <c r="BP30" s="87"/>
      <c r="BQ30" s="146"/>
      <c r="BR30" s="102">
        <f>IF(CFS!BR110&lt;CFS!BR115,CFS!BR107,0)</f>
        <v>38.28125</v>
      </c>
      <c r="BS30" s="102">
        <f>IF(CFS!BS110&lt;CFS!BS115,CFS!BS107,0)</f>
        <v>38.28125</v>
      </c>
      <c r="BT30" s="103">
        <f>IF(CFS!BT110&lt;CFS!BT115,CFS!BT107,0)</f>
        <v>38.28125</v>
      </c>
      <c r="BU30" s="94">
        <f>SUM(BQ30:BT30)</f>
        <v>114.84375</v>
      </c>
      <c r="BV30" s="87"/>
      <c r="BW30" s="101">
        <f>IF(CFS!BW110&lt;CFS!BW115,CFS!BW107,0)</f>
        <v>38.28125</v>
      </c>
      <c r="BX30" s="102">
        <f>IF(CFS!BX110&lt;CFS!BX115,CFS!BX107,0)</f>
        <v>38.28125</v>
      </c>
      <c r="BY30" s="102">
        <f>IF(CFS!BY110&lt;CFS!BY115,CFS!BY107,0)</f>
        <v>38.28125</v>
      </c>
      <c r="BZ30" s="103">
        <f>IF(CFS!BZ110&lt;CFS!BZ115,CFS!BZ107,0)</f>
        <v>38.28125</v>
      </c>
      <c r="CA30" s="94">
        <f>SUM(BW30:BZ30)</f>
        <v>153.125</v>
      </c>
      <c r="CB30" s="87"/>
      <c r="CC30" s="101">
        <f>IF(CFS!CC110&lt;CFS!CC115,CFS!CC107,0)</f>
        <v>0</v>
      </c>
      <c r="CD30" s="102">
        <f>IF(CFS!CD110&lt;CFS!CD115,CFS!CD107,0)</f>
        <v>0</v>
      </c>
      <c r="CE30" s="102"/>
      <c r="CF30" s="103"/>
      <c r="CG30" s="94">
        <f>SUM(CC30:CF30)</f>
        <v>0</v>
      </c>
      <c r="CH30" s="87"/>
      <c r="CI30" s="146"/>
      <c r="CJ30" s="87"/>
      <c r="CK30" s="92"/>
      <c r="CL30" s="99"/>
      <c r="CM30" s="94"/>
      <c r="CN30" s="160"/>
      <c r="CO30" s="160"/>
      <c r="CP30" s="160"/>
    </row>
    <row r="31" spans="1:94" hidden="1" outlineLevel="1" x14ac:dyDescent="0.2">
      <c r="A31" s="158" t="s">
        <v>58</v>
      </c>
      <c r="B31" s="92"/>
      <c r="C31" s="146">
        <f>C26+C29</f>
        <v>245.79799999999989</v>
      </c>
      <c r="D31" s="87">
        <f>D26+D29</f>
        <v>235.53928800000006</v>
      </c>
      <c r="E31" s="87">
        <f>E26+E29</f>
        <v>247.86300000000006</v>
      </c>
      <c r="F31" s="147">
        <f>F26+F29</f>
        <v>249.10800000000017</v>
      </c>
      <c r="G31" s="94">
        <f>G26+G29</f>
        <v>978.3082880000004</v>
      </c>
      <c r="H31" s="92"/>
      <c r="I31" s="146">
        <f>I26+I29</f>
        <v>270.89600000000007</v>
      </c>
      <c r="J31" s="87">
        <f>J26+J29</f>
        <v>275.63499999999988</v>
      </c>
      <c r="K31" s="87">
        <f>K26+K29</f>
        <v>297.4100000000002</v>
      </c>
      <c r="L31" s="147">
        <f>L26+L29</f>
        <v>282.17399999999981</v>
      </c>
      <c r="M31" s="94">
        <f>M26+M29</f>
        <v>1126.1150000000002</v>
      </c>
      <c r="N31" s="92"/>
      <c r="O31" s="146">
        <f>O26+O29</f>
        <v>312.06799999999987</v>
      </c>
      <c r="P31" s="87">
        <f>P26+P29</f>
        <v>261.2890000000001</v>
      </c>
      <c r="Q31" s="87">
        <f>Q26+Q29</f>
        <v>341.02699999999993</v>
      </c>
      <c r="R31" s="147">
        <f>R26+R29</f>
        <v>317.21999999999997</v>
      </c>
      <c r="S31" s="94">
        <f>S26+S29</f>
        <v>1231.6039999999998</v>
      </c>
      <c r="T31" s="92"/>
      <c r="U31" s="146">
        <f>U26+U29</f>
        <v>316.37600000000009</v>
      </c>
      <c r="V31" s="87">
        <f>V26+V29</f>
        <v>297.63100000000009</v>
      </c>
      <c r="W31" s="87">
        <f>W26+W29</f>
        <v>306.90799999999996</v>
      </c>
      <c r="X31" s="147">
        <f>X26+X29</f>
        <v>396.69499999999994</v>
      </c>
      <c r="Y31" s="94">
        <f>Y26+Y29</f>
        <v>1317.6100000000001</v>
      </c>
      <c r="Z31" s="92"/>
      <c r="AA31" s="146">
        <f>AA26+AA29</f>
        <v>315.93770000000006</v>
      </c>
      <c r="AB31" s="87">
        <f>AB26+AB29</f>
        <v>312.01900000000001</v>
      </c>
      <c r="AC31" s="87">
        <f>AC26+AC29</f>
        <v>343.05799999999988</v>
      </c>
      <c r="AD31" s="147">
        <f>AD26+AD29</f>
        <v>305.97999999999996</v>
      </c>
      <c r="AE31" s="94">
        <f>AE26+AE29</f>
        <v>1276.9946999999997</v>
      </c>
      <c r="AF31" s="92"/>
      <c r="AG31" s="146">
        <f>AG26+AG29</f>
        <v>262.98499999999996</v>
      </c>
      <c r="AH31" s="87">
        <f>AH26+AH29</f>
        <v>291.03299999999979</v>
      </c>
      <c r="AI31" s="87">
        <f>AI26+AI29</f>
        <v>326.86599999999987</v>
      </c>
      <c r="AJ31" s="147">
        <f>AJ26+AJ29</f>
        <v>302.04299999999972</v>
      </c>
      <c r="AK31" s="94">
        <f>AK26+AK29</f>
        <v>1182.9269999999995</v>
      </c>
      <c r="AL31" s="92"/>
      <c r="AM31" s="146">
        <f>AM26+AM29</f>
        <v>637.94505249999997</v>
      </c>
      <c r="AN31" s="87">
        <f>AN26+AN29</f>
        <v>289.55824999999993</v>
      </c>
      <c r="AO31" s="87">
        <f>AO26+AO29</f>
        <v>329.50880499999965</v>
      </c>
      <c r="AP31" s="147">
        <f>AP26+AP29</f>
        <v>318.35339249999993</v>
      </c>
      <c r="AQ31" s="94">
        <f>AQ26+AQ29</f>
        <v>1575.3654999999994</v>
      </c>
      <c r="AR31" s="92"/>
      <c r="AS31" s="146">
        <f>AS26+AS29</f>
        <v>283.55880000000013</v>
      </c>
      <c r="AT31" s="87">
        <f>AT26+AT29</f>
        <v>314.65880000000004</v>
      </c>
      <c r="AU31" s="87">
        <f>AU26+AU29</f>
        <v>344.45880000000022</v>
      </c>
      <c r="AV31" s="147">
        <f>AV26+AV29</f>
        <v>342.95020000000034</v>
      </c>
      <c r="AW31" s="94">
        <f>AW26+AW29</f>
        <v>1285.6266000000005</v>
      </c>
      <c r="AX31" s="92"/>
      <c r="AY31" s="146">
        <f>AY26+AY29</f>
        <v>302.0400000000003</v>
      </c>
      <c r="AZ31" s="87">
        <f>AZ26+AZ29</f>
        <v>317.44999999999982</v>
      </c>
      <c r="BA31" s="87">
        <f>BA26+BA29</f>
        <v>441.09999999999991</v>
      </c>
      <c r="BB31" s="147">
        <f>BB26+BB29</f>
        <v>419</v>
      </c>
      <c r="BC31" s="94">
        <f>BC26+BC29</f>
        <v>1479.5900000000001</v>
      </c>
      <c r="BD31" s="92"/>
      <c r="BE31" s="146">
        <f>BE26+BE29</f>
        <v>424.8399999999998</v>
      </c>
      <c r="BF31" s="87">
        <f>BF26+BF29</f>
        <v>472.35</v>
      </c>
      <c r="BG31" s="87">
        <f>BG26+BG29</f>
        <v>510</v>
      </c>
      <c r="BH31" s="147">
        <f>BH26+BH29</f>
        <v>462</v>
      </c>
      <c r="BI31" s="94">
        <f>BI26+BI29</f>
        <v>1869.1899999999998</v>
      </c>
      <c r="BJ31" s="92"/>
      <c r="BK31" s="146">
        <f>BK26+BK29</f>
        <v>507</v>
      </c>
      <c r="BL31" s="87">
        <f>BL26+BL29</f>
        <v>501</v>
      </c>
      <c r="BM31" s="87">
        <f>BM26+BM29</f>
        <v>537</v>
      </c>
      <c r="BN31" s="147">
        <f>BN26+BN29</f>
        <v>524.48999999999978</v>
      </c>
      <c r="BO31" s="94">
        <f>BO26+BO29</f>
        <v>2069.4899999999998</v>
      </c>
      <c r="BP31" s="92"/>
      <c r="BQ31" s="146">
        <f>BQ26+BQ29-BQ30</f>
        <v>544</v>
      </c>
      <c r="BR31" s="87">
        <f>BR26+BR29-BR30</f>
        <v>720.64156323674979</v>
      </c>
      <c r="BS31" s="87">
        <f>BS26+BS29-BS30</f>
        <v>807.46339095954636</v>
      </c>
      <c r="BT31" s="147">
        <f>BT26+BT29-BT30</f>
        <v>798.74169753702017</v>
      </c>
      <c r="BU31" s="94">
        <f>BU26+BU29-BU30</f>
        <v>2870.8466517333163</v>
      </c>
      <c r="BV31" s="92"/>
      <c r="BW31" s="146">
        <f>BW26+BW29-BW30</f>
        <v>818.05275438339436</v>
      </c>
      <c r="BX31" s="87">
        <f>BX26+BX29-BX30</f>
        <v>854.1959693428289</v>
      </c>
      <c r="BY31" s="87">
        <f>BY26+BY29-BY30</f>
        <v>892.62481459775563</v>
      </c>
      <c r="BZ31" s="147">
        <f>BZ26+BZ29-BZ30</f>
        <v>881.72643883894693</v>
      </c>
      <c r="CA31" s="94">
        <f>CA26+CA29-CA30</f>
        <v>3446.5999771629258</v>
      </c>
      <c r="CB31" s="92"/>
      <c r="CC31" s="146">
        <f>CC26+CC29-CC30</f>
        <v>974.08456048917958</v>
      </c>
      <c r="CD31" s="87">
        <f>CD26+CD29-CD30</f>
        <v>1013.1684202351126</v>
      </c>
      <c r="CE31" s="87">
        <f>CE26+CE29-CE30</f>
        <v>1059.4139144057312</v>
      </c>
      <c r="CF31" s="147">
        <f>CF26+CF29-CF30</f>
        <v>1075.4788327131669</v>
      </c>
      <c r="CG31" s="94">
        <f>CG26+CG29-CG30</f>
        <v>4122.1457278431899</v>
      </c>
      <c r="CH31" s="92"/>
      <c r="CI31" s="146">
        <f>CI26+CI29-CI30</f>
        <v>1101.3177772737758</v>
      </c>
      <c r="CJ31" s="87">
        <f>CJ26+CJ29-CJ30</f>
        <v>1112.9918611334365</v>
      </c>
      <c r="CK31" s="87">
        <f>CK26+CK29-CK30</f>
        <v>1209.3277651455021</v>
      </c>
      <c r="CL31" s="147">
        <f>CL26+CL29-CL30</f>
        <v>1228.4320672161705</v>
      </c>
      <c r="CM31" s="94">
        <f>CM26+CM29-CM30</f>
        <v>4652.0694707688845</v>
      </c>
      <c r="CN31" s="100"/>
      <c r="CO31" s="100"/>
      <c r="CP31" s="100"/>
    </row>
    <row r="32" spans="1:94" collapsed="1" x14ac:dyDescent="0.2">
      <c r="A32" s="158" t="s">
        <v>59</v>
      </c>
      <c r="B32" s="92"/>
      <c r="C32" s="146"/>
      <c r="D32" s="87"/>
      <c r="E32" s="87"/>
      <c r="F32" s="147"/>
      <c r="G32" s="94"/>
      <c r="H32" s="92"/>
      <c r="I32" s="146"/>
      <c r="J32" s="87"/>
      <c r="K32" s="87"/>
      <c r="L32" s="147"/>
      <c r="M32" s="94"/>
      <c r="N32" s="92"/>
      <c r="O32" s="146"/>
      <c r="P32" s="87"/>
      <c r="Q32" s="87"/>
      <c r="R32" s="147"/>
      <c r="S32" s="94"/>
      <c r="T32" s="92"/>
      <c r="U32" s="146"/>
      <c r="V32" s="87"/>
      <c r="W32" s="87"/>
      <c r="X32" s="147"/>
      <c r="Y32" s="94"/>
      <c r="Z32" s="92"/>
      <c r="AA32" s="146"/>
      <c r="AB32" s="87"/>
      <c r="AC32" s="87"/>
      <c r="AD32" s="147"/>
      <c r="AE32" s="94"/>
      <c r="AF32" s="92"/>
      <c r="AG32" s="146"/>
      <c r="AH32" s="87"/>
      <c r="AI32" s="87"/>
      <c r="AJ32" s="147"/>
      <c r="AK32" s="94"/>
      <c r="AL32" s="92"/>
      <c r="AM32" s="146"/>
      <c r="AN32" s="87"/>
      <c r="AO32" s="87"/>
      <c r="AP32" s="147"/>
      <c r="AQ32" s="94"/>
      <c r="AR32" s="92"/>
      <c r="AS32" s="146"/>
      <c r="AT32" s="87"/>
      <c r="AU32" s="87"/>
      <c r="AV32" s="147"/>
      <c r="AW32" s="94"/>
      <c r="AX32" s="92"/>
      <c r="AY32" s="146"/>
      <c r="AZ32" s="87"/>
      <c r="BA32" s="87"/>
      <c r="BB32" s="147"/>
      <c r="BC32" s="94"/>
      <c r="BD32" s="92"/>
      <c r="BE32" s="146"/>
      <c r="BF32" s="87"/>
      <c r="BG32" s="87"/>
      <c r="BH32" s="147"/>
      <c r="BI32" s="94"/>
      <c r="BJ32" s="92"/>
      <c r="BK32" s="146"/>
      <c r="BL32" s="87"/>
      <c r="BM32" s="87"/>
      <c r="BN32" s="147"/>
      <c r="BO32" s="94"/>
      <c r="BP32" s="92"/>
      <c r="BQ32" s="146">
        <v>544</v>
      </c>
      <c r="BR32" s="87">
        <f>BR26-IF(CFS!BR110&lt;CFS!BR115,CFS!BR107)</f>
        <v>720.64156323674979</v>
      </c>
      <c r="BS32" s="87">
        <f>BS26-IF(CFS!BS110&lt;CFS!BS115,CFS!BS107)</f>
        <v>807.46339095954636</v>
      </c>
      <c r="BT32" s="147">
        <f>BT26-IF(CFS!BT110&lt;CFS!BT115,CFS!BT107)</f>
        <v>798.74169753702017</v>
      </c>
      <c r="BU32" s="94">
        <f>SUM(BQ32:BT32)</f>
        <v>2870.8466517333163</v>
      </c>
      <c r="BV32" s="92"/>
      <c r="BW32" s="146">
        <f>BW26-IF(CFS!BW110&lt;CFS!BW115,CFS!BW107)</f>
        <v>818.05275438339436</v>
      </c>
      <c r="BX32" s="87">
        <f>BX26-IF(CFS!BX110&lt;CFS!BX115,CFS!BX107)</f>
        <v>854.1959693428289</v>
      </c>
      <c r="BY32" s="87">
        <f>BY26-IF(CFS!BY110&lt;CFS!BY115,CFS!BY107)</f>
        <v>892.62481459775563</v>
      </c>
      <c r="BZ32" s="147">
        <f>BZ26-IF(CFS!BZ110&lt;CFS!BZ115,CFS!BZ107)</f>
        <v>881.72643883894693</v>
      </c>
      <c r="CA32" s="94">
        <f>SUM(BW32:BZ32)</f>
        <v>3446.5999771629258</v>
      </c>
      <c r="CB32" s="92"/>
      <c r="CC32" s="146">
        <f>CC26-IF(CFS!CC110&lt;CFS!CC115,CFS!CC107)</f>
        <v>974.08456048917958</v>
      </c>
      <c r="CD32" s="87">
        <f>CD26-IF(CFS!CD110&lt;CFS!CD115,CFS!CD107)</f>
        <v>1013.1684202351126</v>
      </c>
      <c r="CE32" s="87">
        <f>CE26-IF(CFS!CE110&lt;CFS!CE115,CFS!CE107)</f>
        <v>1059.4139144057312</v>
      </c>
      <c r="CF32" s="147">
        <f>CF26-IF(CFS!CF110&lt;CFS!CF115,CFS!CF107)</f>
        <v>1075.4788327131669</v>
      </c>
      <c r="CG32" s="94">
        <f>SUM(CC32:CF32)</f>
        <v>4122.1457278431899</v>
      </c>
      <c r="CH32" s="92"/>
      <c r="CI32" s="146">
        <f>CI26-IF(CFS!CI110&lt;CFS!CI115,CFS!CI107)</f>
        <v>1101.3177772737758</v>
      </c>
      <c r="CJ32" s="87">
        <f>CJ26-IF(CFS!CJ110&lt;CFS!CJ115,CFS!CJ107)</f>
        <v>1112.9918611334365</v>
      </c>
      <c r="CK32" s="87">
        <f>CK26-IF(CFS!CK110&lt;CFS!CK115,CFS!CK107)</f>
        <v>1209.3277651455021</v>
      </c>
      <c r="CL32" s="147">
        <f>CL26-IF(CFS!CL110&lt;CFS!CL115,CFS!CL107)</f>
        <v>1228.4320672161705</v>
      </c>
      <c r="CM32" s="94">
        <f>SUM(CI32:CL32)</f>
        <v>4652.0694707688845</v>
      </c>
      <c r="CN32" s="100"/>
      <c r="CO32" s="100"/>
      <c r="CP32" s="100"/>
    </row>
    <row r="33" spans="1:100" x14ac:dyDescent="0.2">
      <c r="A33" s="158" t="s">
        <v>60</v>
      </c>
      <c r="B33" s="92"/>
      <c r="C33" s="104">
        <v>254.941</v>
      </c>
      <c r="D33" s="105">
        <v>254.74</v>
      </c>
      <c r="E33" s="105">
        <v>254.12799999999999</v>
      </c>
      <c r="F33" s="106">
        <v>253.00899999999999</v>
      </c>
      <c r="G33" s="161">
        <v>254.81</v>
      </c>
      <c r="H33" s="92"/>
      <c r="I33" s="104">
        <v>253.11600000000001</v>
      </c>
      <c r="J33" s="105">
        <v>252.78800000000001</v>
      </c>
      <c r="K33" s="105">
        <v>251.648</v>
      </c>
      <c r="L33" s="106">
        <v>251.197</v>
      </c>
      <c r="M33" s="161">
        <v>252.68100000000001</v>
      </c>
      <c r="N33" s="92"/>
      <c r="O33" s="104">
        <v>248.31100000000001</v>
      </c>
      <c r="P33" s="105">
        <v>245.89</v>
      </c>
      <c r="Q33" s="105">
        <v>245.696</v>
      </c>
      <c r="R33" s="106">
        <v>245.05600000000001</v>
      </c>
      <c r="S33" s="161">
        <v>246.798</v>
      </c>
      <c r="T33" s="92"/>
      <c r="U33" s="104">
        <v>242.965</v>
      </c>
      <c r="V33" s="105">
        <v>240.863</v>
      </c>
      <c r="W33" s="105">
        <v>238.31899999999999</v>
      </c>
      <c r="X33" s="106">
        <v>236.316</v>
      </c>
      <c r="Y33" s="161">
        <v>240.136</v>
      </c>
      <c r="Z33" s="92"/>
      <c r="AA33" s="104">
        <v>232.91499999999999</v>
      </c>
      <c r="AB33" s="105">
        <v>225.46700000000001</v>
      </c>
      <c r="AC33" s="105">
        <v>223.56700000000001</v>
      </c>
      <c r="AD33" s="106">
        <v>220.85900000000001</v>
      </c>
      <c r="AE33" s="94">
        <f>AVERAGE(AA33:AD33)</f>
        <v>225.70200000000003</v>
      </c>
      <c r="AF33" s="92"/>
      <c r="AG33" s="104">
        <v>217.63399999999999</v>
      </c>
      <c r="AH33" s="105">
        <v>209.803</v>
      </c>
      <c r="AI33" s="105">
        <v>205.29</v>
      </c>
      <c r="AJ33" s="106">
        <v>202.43899999999999</v>
      </c>
      <c r="AK33" s="93">
        <f>AVERAGE(AG33:AJ33)</f>
        <v>208.79149999999998</v>
      </c>
      <c r="AL33" s="92"/>
      <c r="AM33" s="104">
        <v>199.57</v>
      </c>
      <c r="AN33" s="105">
        <v>198.143</v>
      </c>
      <c r="AO33" s="105">
        <v>198.71899999999999</v>
      </c>
      <c r="AP33" s="106">
        <v>198.62799999999999</v>
      </c>
      <c r="AQ33" s="93">
        <f>AVERAGE(AM33:AP33)</f>
        <v>198.76499999999999</v>
      </c>
      <c r="AR33" s="92"/>
      <c r="AS33" s="95">
        <v>198.11</v>
      </c>
      <c r="AT33" s="96">
        <v>197.488</v>
      </c>
      <c r="AU33" s="96">
        <v>197.005</v>
      </c>
      <c r="AV33" s="97">
        <v>196.46</v>
      </c>
      <c r="AW33" s="162">
        <v>197.709</v>
      </c>
      <c r="AX33" s="92"/>
      <c r="AY33" s="104">
        <v>197</v>
      </c>
      <c r="AZ33" s="96">
        <v>197</v>
      </c>
      <c r="BA33" s="96">
        <v>214.928</v>
      </c>
      <c r="BB33" s="97">
        <v>215.71899999999999</v>
      </c>
      <c r="BC33" s="162">
        <v>206.833</v>
      </c>
      <c r="BD33" s="92"/>
      <c r="BE33" s="104">
        <v>216.29400000000001</v>
      </c>
      <c r="BF33" s="96">
        <v>216.53800000000001</v>
      </c>
      <c r="BG33" s="96">
        <v>217.37200000000001</v>
      </c>
      <c r="BH33" s="97">
        <v>217.916</v>
      </c>
      <c r="BI33" s="93">
        <f>AVERAGE(BE33:BH33)</f>
        <v>217.02999999999997</v>
      </c>
      <c r="BJ33" s="92"/>
      <c r="BK33" s="95">
        <v>217.739</v>
      </c>
      <c r="BL33" s="96">
        <v>217.86600000000001</v>
      </c>
      <c r="BM33" s="96">
        <v>218.184</v>
      </c>
      <c r="BN33" s="97">
        <v>218.63200000000001</v>
      </c>
      <c r="BO33" s="93">
        <f>AVERAGE(BK33:BN33)</f>
        <v>218.10525000000001</v>
      </c>
      <c r="BP33" s="92"/>
      <c r="BQ33" s="95">
        <v>218.99700000000001</v>
      </c>
      <c r="BR33" s="89">
        <f>CFS!BR81</f>
        <v>275.03952875317526</v>
      </c>
      <c r="BS33" s="89">
        <f>CFS!BS81</f>
        <v>275.14100028605441</v>
      </c>
      <c r="BT33" s="90">
        <f>CFS!BT81</f>
        <v>275.34394744541783</v>
      </c>
      <c r="BU33" s="93">
        <f>AVERAGE(BQ33:BT33)</f>
        <v>261.13036912116189</v>
      </c>
      <c r="BV33" s="92"/>
      <c r="BW33" s="88">
        <f>CFS!BW81</f>
        <v>275.15529162478759</v>
      </c>
      <c r="BX33" s="89">
        <f>CFS!BX81</f>
        <v>275.66037644614238</v>
      </c>
      <c r="BY33" s="89">
        <f>CFS!BY81</f>
        <v>276.16744835707851</v>
      </c>
      <c r="BZ33" s="90">
        <f>CFS!BZ81</f>
        <v>276.67452793838601</v>
      </c>
      <c r="CA33" s="93">
        <f>AVERAGE(BW33:BZ33)</f>
        <v>275.91441109159865</v>
      </c>
      <c r="CB33" s="92"/>
      <c r="CC33" s="88">
        <f>CFS!CC81</f>
        <v>289.49086215345392</v>
      </c>
      <c r="CD33" s="89">
        <f>CFS!CD81</f>
        <v>290.30290526166675</v>
      </c>
      <c r="CE33" s="89">
        <f>CFS!CE81</f>
        <v>290.64567544117835</v>
      </c>
      <c r="CF33" s="90">
        <f>CFS!CF81</f>
        <v>290.70564954522831</v>
      </c>
      <c r="CG33" s="93">
        <f>AVERAGE(CC33:CF33)</f>
        <v>290.28627310038183</v>
      </c>
      <c r="CH33" s="92"/>
      <c r="CI33" s="88">
        <f>CFS!CI81</f>
        <v>291.52497061050224</v>
      </c>
      <c r="CJ33" s="89">
        <f>CFS!CJ81</f>
        <v>292.53788067765623</v>
      </c>
      <c r="CK33" s="89">
        <f>CFS!CK81</f>
        <v>293.04501023822831</v>
      </c>
      <c r="CL33" s="90">
        <f>CFS!CL81</f>
        <v>293.55214643622287</v>
      </c>
      <c r="CM33" s="93">
        <f>AVERAGE(CI33:CL33)</f>
        <v>292.6650019906524</v>
      </c>
      <c r="CN33" s="121"/>
      <c r="CO33" s="121"/>
      <c r="CP33" s="121"/>
    </row>
    <row r="34" spans="1:100" x14ac:dyDescent="0.2">
      <c r="A34" s="111" t="s">
        <v>61</v>
      </c>
      <c r="B34" s="163"/>
      <c r="C34" s="164">
        <f>C26/C33</f>
        <v>0.96413680027927984</v>
      </c>
      <c r="D34" s="165">
        <f>D26/D33</f>
        <v>0.92462623851770454</v>
      </c>
      <c r="E34" s="165">
        <f>E26/E33</f>
        <v>0.97534706919347758</v>
      </c>
      <c r="F34" s="166">
        <f>F26/F33</f>
        <v>0.98458157614946573</v>
      </c>
      <c r="G34" s="167">
        <f>G26/G33</f>
        <v>3.8393637926298041</v>
      </c>
      <c r="H34" s="163"/>
      <c r="I34" s="164">
        <f>I26/I33</f>
        <v>1.0702444728899005</v>
      </c>
      <c r="J34" s="165">
        <f>J26/J33</f>
        <v>1.090380081332974</v>
      </c>
      <c r="K34" s="165">
        <f>K26/K33</f>
        <v>1.1818492497456774</v>
      </c>
      <c r="L34" s="166">
        <f>L26/L33</f>
        <v>1.1233175555440542</v>
      </c>
      <c r="M34" s="167">
        <f>M26/M33</f>
        <v>4.4566667062422587</v>
      </c>
      <c r="N34" s="163"/>
      <c r="O34" s="164">
        <f>O26/O33</f>
        <v>1.1944980286817735</v>
      </c>
      <c r="P34" s="165">
        <f>P26/P33</f>
        <v>1.0121029728740498</v>
      </c>
      <c r="Q34" s="165">
        <f>Q26/Q33</f>
        <v>1.3327241794738212</v>
      </c>
      <c r="R34" s="166">
        <f>R26/R33</f>
        <v>1.2014723165317314</v>
      </c>
      <c r="S34" s="167">
        <f>S26/S33</f>
        <v>4.7299653968022426</v>
      </c>
      <c r="T34" s="163"/>
      <c r="U34" s="164">
        <f>U26/U33</f>
        <v>1.2515917930566134</v>
      </c>
      <c r="V34" s="165">
        <f>V26/V33</f>
        <v>1.1833864063803909</v>
      </c>
      <c r="W34" s="165">
        <f>W26/W33</f>
        <v>1.2343119935884255</v>
      </c>
      <c r="X34" s="166">
        <f>X26/X33</f>
        <v>1.2400895411229029</v>
      </c>
      <c r="Y34" s="167">
        <f>Y26/Y33</f>
        <v>4.8986407702302035</v>
      </c>
      <c r="Z34" s="163"/>
      <c r="AA34" s="164">
        <f>AA26/AA33</f>
        <v>1.2813545714101715</v>
      </c>
      <c r="AB34" s="165">
        <f>AB26/AB33</f>
        <v>1.3121654166685146</v>
      </c>
      <c r="AC34" s="165">
        <f>AC26/AC33</f>
        <v>1.4382265719001455</v>
      </c>
      <c r="AD34" s="166">
        <f>AD26/AD33</f>
        <v>1.3177955165965614</v>
      </c>
      <c r="AE34" s="167">
        <f>AE26/AE33</f>
        <v>5.3472441537957121</v>
      </c>
      <c r="AF34" s="163"/>
      <c r="AG34" s="164">
        <f>AG26/AG33</f>
        <v>1.1420274405653528</v>
      </c>
      <c r="AH34" s="165">
        <f>AH26/AH33</f>
        <v>1.3113444516999271</v>
      </c>
      <c r="AI34" s="165">
        <f>AI26/AI33</f>
        <v>1.5177602416094298</v>
      </c>
      <c r="AJ34" s="166">
        <f>AJ26/AJ33</f>
        <v>1.419084267359549</v>
      </c>
      <c r="AK34" s="167">
        <f>AK26/AK33</f>
        <v>5.3763060277836958</v>
      </c>
      <c r="AL34" s="163"/>
      <c r="AM34" s="164">
        <f>AM26/AM33</f>
        <v>1.4168364608909154</v>
      </c>
      <c r="AN34" s="165">
        <f>AN26/AN33</f>
        <v>1.4637976108164301</v>
      </c>
      <c r="AO34" s="165">
        <f>AO26/AO33</f>
        <v>1.6094928265540771</v>
      </c>
      <c r="AP34" s="166">
        <f>AP26/AP33</f>
        <v>1.6027619091970917</v>
      </c>
      <c r="AQ34" s="167">
        <f>AQ26/AQ33</f>
        <v>6.092569114280681</v>
      </c>
      <c r="AR34" s="163"/>
      <c r="AS34" s="164">
        <f>AS26/AS33</f>
        <v>1.4313199737519566</v>
      </c>
      <c r="AT34" s="165">
        <f>AT26/AT33</f>
        <v>1.5933059223851578</v>
      </c>
      <c r="AU34" s="165">
        <f>AU26/AU33</f>
        <v>1.7484774498109197</v>
      </c>
      <c r="AV34" s="166">
        <f>AV26/AV33</f>
        <v>1.7456489870711611</v>
      </c>
      <c r="AW34" s="167">
        <f>AW26/AW33</f>
        <v>6.5026205180340826</v>
      </c>
      <c r="AX34" s="163"/>
      <c r="AY34" s="164">
        <f>AY26/AY33</f>
        <v>1.5331979695431488</v>
      </c>
      <c r="AZ34" s="165">
        <f>AZ26/AZ33</f>
        <v>1.6114213197969534</v>
      </c>
      <c r="BA34" s="165">
        <f>BA26/BA33</f>
        <v>2.0523151939254074</v>
      </c>
      <c r="BB34" s="166">
        <f>BB26/BB33</f>
        <v>1.9423416574339767</v>
      </c>
      <c r="BC34" s="167">
        <f>BC26/BC33</f>
        <v>7.1535489984673637</v>
      </c>
      <c r="BD34" s="163"/>
      <c r="BE34" s="164">
        <f>BE26/BE33</f>
        <v>1.9641783868253386</v>
      </c>
      <c r="BF34" s="165">
        <f>BF26/BF33</f>
        <v>2.1813723226408297</v>
      </c>
      <c r="BG34" s="165">
        <f>BG26/BG33</f>
        <v>2.3462083433008849</v>
      </c>
      <c r="BH34" s="166">
        <f>BH26/BH33</f>
        <v>2.1200829677490409</v>
      </c>
      <c r="BI34" s="167">
        <f>BI26/BI33</f>
        <v>8.612588121457863</v>
      </c>
      <c r="BJ34" s="163"/>
      <c r="BK34" s="164">
        <f>BK26/BK33</f>
        <v>2.328475835748304</v>
      </c>
      <c r="BL34" s="165">
        <f>BL26/BL33</f>
        <v>2.2995786400815179</v>
      </c>
      <c r="BM34" s="165">
        <f>BM26/BM33</f>
        <v>2.4612253877461225</v>
      </c>
      <c r="BN34" s="166">
        <f>BN26/BN33</f>
        <v>2.3989626404186017</v>
      </c>
      <c r="BO34" s="167">
        <f>BO26/BO33</f>
        <v>9.4884923677903199</v>
      </c>
      <c r="BP34" s="163"/>
      <c r="BQ34" s="164">
        <f>BQ26/BQ33</f>
        <v>2.4840522929537845</v>
      </c>
      <c r="BR34" s="163">
        <f>BR32/BR33</f>
        <v>2.6201381543358617</v>
      </c>
      <c r="BS34" s="163">
        <f>BS32/BS33</f>
        <v>2.934725795574106</v>
      </c>
      <c r="BT34" s="169">
        <f>BT32/BT33</f>
        <v>2.9008870721422229</v>
      </c>
      <c r="BU34" s="167">
        <f>BU32/BU33</f>
        <v>10.993921011160797</v>
      </c>
      <c r="BV34" s="163"/>
      <c r="BW34" s="168">
        <f>BW32/BW33</f>
        <v>2.9730584120436352</v>
      </c>
      <c r="BX34" s="163">
        <f>BX32/BX33</f>
        <v>3.0987259770709881</v>
      </c>
      <c r="BY34" s="163">
        <f>BY32/BY33</f>
        <v>3.2321869210436818</v>
      </c>
      <c r="BZ34" s="169">
        <f>BZ32/BZ33</f>
        <v>3.1868724794040415</v>
      </c>
      <c r="CA34" s="167">
        <f>CA32/CA33</f>
        <v>12.491554767027795</v>
      </c>
      <c r="CB34" s="163"/>
      <c r="CC34" s="168">
        <f>CC32/CC33</f>
        <v>3.3648197157008526</v>
      </c>
      <c r="CD34" s="163">
        <f>CD32/CD33</f>
        <v>3.4900388589700317</v>
      </c>
      <c r="CE34" s="165">
        <f>CE26/CE33</f>
        <v>3.6450358767513755</v>
      </c>
      <c r="CF34" s="166">
        <f>CF26/CF33</f>
        <v>3.6995456895853778</v>
      </c>
      <c r="CG34" s="167">
        <f>CG32/CG33</f>
        <v>14.200277828561807</v>
      </c>
      <c r="CH34" s="163"/>
      <c r="CI34" s="164">
        <f>CI26/CI33</f>
        <v>3.7777819682733575</v>
      </c>
      <c r="CJ34" s="165">
        <f>CJ26/CJ33</f>
        <v>3.8046076581782176</v>
      </c>
      <c r="CK34" s="165">
        <f>CK26/CK33</f>
        <v>4.1267645682224376</v>
      </c>
      <c r="CL34" s="166">
        <f>CL26/CL33</f>
        <v>4.1847149889025239</v>
      </c>
      <c r="CM34" s="167">
        <f>CM26/CM33</f>
        <v>15.89554418576318</v>
      </c>
      <c r="CN34" s="170"/>
      <c r="CO34" s="170"/>
      <c r="CP34" s="170"/>
    </row>
    <row r="35" spans="1:100" x14ac:dyDescent="0.2">
      <c r="A35" s="171"/>
      <c r="B35" s="172"/>
      <c r="C35" s="172"/>
      <c r="D35" s="172"/>
      <c r="E35" s="172"/>
      <c r="F35" s="172"/>
      <c r="G35" s="172"/>
      <c r="H35" s="172"/>
      <c r="I35" s="172"/>
      <c r="J35" s="172"/>
      <c r="K35" s="172"/>
      <c r="L35" s="172"/>
      <c r="M35" s="172"/>
      <c r="N35" s="172"/>
      <c r="O35" s="172"/>
      <c r="P35" s="172"/>
      <c r="Q35" s="172"/>
      <c r="R35" s="172"/>
      <c r="S35" s="172"/>
      <c r="T35" s="172"/>
      <c r="U35" s="172"/>
      <c r="V35" s="172"/>
      <c r="W35" s="172"/>
      <c r="X35" s="172"/>
      <c r="Y35" s="172"/>
      <c r="Z35" s="172"/>
      <c r="AA35" s="172"/>
      <c r="AB35" s="172"/>
      <c r="AC35" s="172"/>
      <c r="AD35" s="172"/>
      <c r="AE35" s="172"/>
      <c r="AF35" s="172"/>
      <c r="AG35" s="172"/>
      <c r="AH35" s="172"/>
      <c r="AI35" s="172"/>
      <c r="AJ35" s="172"/>
      <c r="AK35" s="172"/>
      <c r="AL35" s="172"/>
      <c r="AM35" s="172"/>
      <c r="AN35" s="172"/>
      <c r="AO35" s="172"/>
      <c r="AP35" s="172"/>
      <c r="AQ35" s="172"/>
      <c r="AR35" s="172"/>
      <c r="AS35" s="172"/>
      <c r="AT35" s="172"/>
      <c r="AU35" s="172"/>
      <c r="AV35" s="172"/>
      <c r="AW35" s="173"/>
      <c r="AX35" s="172"/>
      <c r="AY35" s="172"/>
      <c r="AZ35" s="172"/>
      <c r="BA35" s="172"/>
      <c r="BB35" s="172"/>
      <c r="BC35" s="173"/>
      <c r="BD35" s="172"/>
      <c r="BE35" s="172"/>
      <c r="BF35" s="172"/>
      <c r="BG35" s="172"/>
      <c r="BH35" s="172"/>
      <c r="BI35" s="173"/>
      <c r="BJ35" s="172"/>
      <c r="BK35" s="172"/>
      <c r="BL35" s="172"/>
      <c r="BM35" s="172"/>
      <c r="BN35" s="173"/>
      <c r="BO35" s="173"/>
      <c r="BP35" s="172"/>
      <c r="BQ35" s="778"/>
      <c r="BR35" s="172"/>
      <c r="BS35" s="777"/>
      <c r="BT35" s="777"/>
      <c r="BU35" s="174"/>
      <c r="BV35" s="172"/>
      <c r="BW35" s="172"/>
      <c r="BX35" s="172"/>
      <c r="BY35" s="172"/>
      <c r="BZ35" s="173"/>
      <c r="CA35" s="174"/>
      <c r="CB35" s="172"/>
      <c r="CC35" s="172"/>
      <c r="CD35" s="172"/>
      <c r="CE35" s="172"/>
      <c r="CF35" s="172"/>
      <c r="CG35" s="173"/>
      <c r="CH35" s="172"/>
      <c r="CI35" s="172"/>
      <c r="CJ35" s="172"/>
      <c r="CK35" s="172"/>
      <c r="CL35" s="172"/>
      <c r="CM35" s="173"/>
      <c r="CP35" s="175"/>
    </row>
    <row r="36" spans="1:100" x14ac:dyDescent="0.2">
      <c r="A36" s="176" t="s">
        <v>62</v>
      </c>
      <c r="B36" s="177"/>
      <c r="C36" s="178"/>
      <c r="D36" s="177"/>
      <c r="E36" s="177"/>
      <c r="F36" s="179"/>
      <c r="G36" s="180"/>
      <c r="H36" s="177"/>
      <c r="I36" s="178"/>
      <c r="J36" s="177"/>
      <c r="K36" s="177"/>
      <c r="L36" s="179"/>
      <c r="M36" s="180"/>
      <c r="N36" s="177"/>
      <c r="O36" s="178"/>
      <c r="P36" s="177"/>
      <c r="Q36" s="177"/>
      <c r="R36" s="179"/>
      <c r="S36" s="180"/>
      <c r="T36" s="177"/>
      <c r="U36" s="178"/>
      <c r="V36" s="177"/>
      <c r="W36" s="177"/>
      <c r="X36" s="179"/>
      <c r="Y36" s="180"/>
      <c r="Z36" s="177"/>
      <c r="AA36" s="178"/>
      <c r="AB36" s="177"/>
      <c r="AC36" s="177"/>
      <c r="AD36" s="179"/>
      <c r="AE36" s="180"/>
      <c r="AF36" s="177"/>
      <c r="AG36" s="178"/>
      <c r="AH36" s="177"/>
      <c r="AI36" s="177"/>
      <c r="AJ36" s="179"/>
      <c r="AK36" s="180"/>
      <c r="AL36" s="177"/>
      <c r="AM36" s="178"/>
      <c r="AN36" s="177"/>
      <c r="AO36" s="177"/>
      <c r="AP36" s="181"/>
      <c r="AQ36" s="180"/>
      <c r="AR36" s="177"/>
      <c r="AS36" s="177"/>
      <c r="AT36" s="177"/>
      <c r="AU36" s="177"/>
      <c r="AV36" s="181"/>
      <c r="AW36" s="182"/>
      <c r="AX36" s="177"/>
      <c r="AY36" s="183"/>
      <c r="AZ36" s="183"/>
      <c r="BA36" s="183"/>
      <c r="BB36" s="179"/>
      <c r="BC36" s="184"/>
      <c r="BD36" s="185"/>
      <c r="BE36" s="186"/>
      <c r="BF36" s="181"/>
      <c r="BG36" s="181"/>
      <c r="BH36" s="179"/>
      <c r="BI36" s="184"/>
      <c r="BJ36" s="185"/>
      <c r="BK36" s="178"/>
      <c r="BL36" s="178"/>
      <c r="BM36" s="178"/>
      <c r="BN36" s="178"/>
      <c r="BO36" s="180"/>
      <c r="BP36" s="185"/>
      <c r="BQ36" s="186"/>
      <c r="BR36" s="185"/>
      <c r="BS36" s="185"/>
      <c r="BT36" s="187"/>
      <c r="BU36" s="180"/>
      <c r="BV36" s="185"/>
      <c r="BW36" s="186"/>
      <c r="BX36" s="185"/>
      <c r="BY36" s="185"/>
      <c r="BZ36" s="187"/>
      <c r="CA36" s="180"/>
      <c r="CB36" s="185"/>
      <c r="CC36" s="186"/>
      <c r="CD36" s="185"/>
      <c r="CE36" s="185"/>
      <c r="CF36" s="187"/>
      <c r="CG36" s="180"/>
      <c r="CH36" s="185"/>
      <c r="CI36" s="186"/>
      <c r="CJ36" s="185"/>
      <c r="CK36" s="185"/>
      <c r="CL36" s="187"/>
      <c r="CM36" s="180"/>
      <c r="CN36" s="188"/>
      <c r="CO36" s="188"/>
      <c r="CP36" s="188"/>
    </row>
    <row r="37" spans="1:100" x14ac:dyDescent="0.2">
      <c r="A37" s="189" t="s">
        <v>39</v>
      </c>
      <c r="B37" s="188"/>
      <c r="C37" s="152">
        <f>C11/C7</f>
        <v>0.52786084097995778</v>
      </c>
      <c r="D37" s="151">
        <f>D11/D7</f>
        <v>0.51486177615389594</v>
      </c>
      <c r="E37" s="151">
        <f>E11/E7</f>
        <v>0.51502520600382917</v>
      </c>
      <c r="F37" s="153">
        <f>F11/F7</f>
        <v>0.51100689782151432</v>
      </c>
      <c r="G37" s="154">
        <f>G11/G7</f>
        <v>0.51697198428357494</v>
      </c>
      <c r="H37" s="188"/>
      <c r="I37" s="152">
        <f>I11/I7</f>
        <v>0.5135056546409914</v>
      </c>
      <c r="J37" s="151">
        <f>J11/J7</f>
        <v>0.51125148475177806</v>
      </c>
      <c r="K37" s="151">
        <f>K11/K7</f>
        <v>0.50879851444751201</v>
      </c>
      <c r="L37" s="153">
        <f>L11/L7</f>
        <v>0.51431088274277337</v>
      </c>
      <c r="M37" s="154">
        <f>M11/M7</f>
        <v>0.51193342119542851</v>
      </c>
      <c r="N37" s="188"/>
      <c r="O37" s="152">
        <f>O11/O7</f>
        <v>0.53647734689340087</v>
      </c>
      <c r="P37" s="151">
        <f>P11/P7</f>
        <v>0.52031260582886063</v>
      </c>
      <c r="Q37" s="151">
        <f>Q11/Q7</f>
        <v>0.52794936301268458</v>
      </c>
      <c r="R37" s="153">
        <f>R11/R7</f>
        <v>0.51985654978390228</v>
      </c>
      <c r="S37" s="154">
        <f>S11/S7</f>
        <v>0.52600432649245243</v>
      </c>
      <c r="T37" s="188"/>
      <c r="U37" s="152">
        <f>U11/U7</f>
        <v>0.52144938672465702</v>
      </c>
      <c r="V37" s="151">
        <f>V11/V7</f>
        <v>0.51956892513041786</v>
      </c>
      <c r="W37" s="151">
        <f>W11/W7</f>
        <v>0.51748938096936448</v>
      </c>
      <c r="X37" s="153">
        <f>X11/X7</f>
        <v>0.51903939525783482</v>
      </c>
      <c r="Y37" s="154">
        <f>Y11/Y7</f>
        <v>0.51939460683612637</v>
      </c>
      <c r="Z37" s="188"/>
      <c r="AA37" s="152">
        <f>AA11/AA7</f>
        <v>0.52888425891061319</v>
      </c>
      <c r="AB37" s="151">
        <f>AB11/AB7</f>
        <v>0.52098500817472082</v>
      </c>
      <c r="AC37" s="151">
        <f>AC11/AC7</f>
        <v>0.5273030382362931</v>
      </c>
      <c r="AD37" s="153">
        <f>AD11/AD7</f>
        <v>0.51159326037216935</v>
      </c>
      <c r="AE37" s="154">
        <f>AE11/AE7</f>
        <v>0.52200646365457803</v>
      </c>
      <c r="AF37" s="188"/>
      <c r="AG37" s="152">
        <f>AG11/AG7</f>
        <v>0.50840466883584823</v>
      </c>
      <c r="AH37" s="151">
        <f>AH11/AH7</f>
        <v>0.51207722706679915</v>
      </c>
      <c r="AI37" s="151">
        <f>AI11/AI7</f>
        <v>0.52164572109485841</v>
      </c>
      <c r="AJ37" s="153">
        <f>AJ11/AJ7</f>
        <v>0.51384755061964615</v>
      </c>
      <c r="AK37" s="154">
        <f>AK11/AK7</f>
        <v>0.51411476494029484</v>
      </c>
      <c r="AL37" s="188"/>
      <c r="AM37" s="152">
        <f>AM11/AM7</f>
        <v>0.53889242508125501</v>
      </c>
      <c r="AN37" s="151">
        <f>AN11/AN7</f>
        <v>0.51890595513341242</v>
      </c>
      <c r="AO37" s="151">
        <f>AO11/AO7</f>
        <v>0.52611248114645148</v>
      </c>
      <c r="AP37" s="153">
        <f>AP11/AP7</f>
        <v>0.52622679761904756</v>
      </c>
      <c r="AQ37" s="154">
        <f>AQ11/AQ7</f>
        <v>0.52736771117083314</v>
      </c>
      <c r="AR37" s="188"/>
      <c r="AS37" s="152">
        <f>AS11/AS7</f>
        <v>0.52279517593925262</v>
      </c>
      <c r="AT37" s="151">
        <f>AT11/AT7</f>
        <v>0.5171235521235521</v>
      </c>
      <c r="AU37" s="188">
        <f>AU11/AU7</f>
        <v>0.52359050445103861</v>
      </c>
      <c r="AV37" s="155">
        <f>AV11/AV7</f>
        <v>0.51858091998601274</v>
      </c>
      <c r="AW37" s="154">
        <f>AW11/AW7</f>
        <v>0.52050809347726479</v>
      </c>
      <c r="AX37" s="188"/>
      <c r="AY37" s="152">
        <f>AY11/AY7</f>
        <v>0.51831664342755746</v>
      </c>
      <c r="AZ37" s="151">
        <f>AZ11/AZ7</f>
        <v>0.51815455143992772</v>
      </c>
      <c r="BA37" s="151">
        <f>BA11/BA7</f>
        <v>0.51982125758059361</v>
      </c>
      <c r="BB37" s="155">
        <f>BB11/BB7</f>
        <v>0.5242908379523965</v>
      </c>
      <c r="BC37" s="154">
        <f>BC11/BC7</f>
        <v>0.52052061866177946</v>
      </c>
      <c r="BD37" s="188"/>
      <c r="BE37" s="190">
        <f>BE11/BE7</f>
        <v>0.52343394914846397</v>
      </c>
      <c r="BF37" s="151">
        <f>BF11/BF7</f>
        <v>0.52922500814067075</v>
      </c>
      <c r="BG37" s="151">
        <f>BG11/BG7</f>
        <v>0.52625</v>
      </c>
      <c r="BH37" s="155">
        <f>BH11/BH7</f>
        <v>0.52226345083487946</v>
      </c>
      <c r="BI37" s="156">
        <f>BI11/BI7</f>
        <v>0.52527518075991175</v>
      </c>
      <c r="BJ37" s="188"/>
      <c r="BK37" s="190">
        <f>BK11/BK7</f>
        <v>0.54312114989733062</v>
      </c>
      <c r="BL37" s="151">
        <f>BL11/BL7</f>
        <v>0.52643987874705289</v>
      </c>
      <c r="BM37" s="151">
        <f>BM11/BM7</f>
        <v>0.53871499176276771</v>
      </c>
      <c r="BN37" s="155">
        <f>BN11/BN7</f>
        <v>0.5322896961619964</v>
      </c>
      <c r="BO37" s="156">
        <f>BO11/BO7</f>
        <v>0.53508334511750677</v>
      </c>
      <c r="BP37" s="188"/>
      <c r="BQ37" s="190">
        <f>BQ11/BQ7</f>
        <v>0.54837662337662341</v>
      </c>
      <c r="BR37" s="320">
        <v>0.56499999999999995</v>
      </c>
      <c r="BS37" s="320">
        <v>0.57299999999999995</v>
      </c>
      <c r="BT37" s="194">
        <v>0.57499999999999996</v>
      </c>
      <c r="BU37" s="156">
        <f>BU11/BU7</f>
        <v>0.56668539708844257</v>
      </c>
      <c r="BV37" s="188"/>
      <c r="BW37" s="195">
        <v>0.57499999999999996</v>
      </c>
      <c r="BX37" s="320">
        <v>0.57599999999999996</v>
      </c>
      <c r="BY37" s="320">
        <v>0.57499999999999996</v>
      </c>
      <c r="BZ37" s="194">
        <v>0.57699999999999996</v>
      </c>
      <c r="CA37" s="156">
        <f>CA11/CA7</f>
        <v>0.57576103151870872</v>
      </c>
      <c r="CB37" s="188"/>
      <c r="CC37" s="195">
        <f>BW37+0.009</f>
        <v>0.58399999999999996</v>
      </c>
      <c r="CD37" s="320">
        <f t="shared" ref="CD37:CF37" si="19">BX37+0.009</f>
        <v>0.58499999999999996</v>
      </c>
      <c r="CE37" s="320">
        <f t="shared" si="19"/>
        <v>0.58399999999999996</v>
      </c>
      <c r="CF37" s="194">
        <f t="shared" si="19"/>
        <v>0.58599999999999997</v>
      </c>
      <c r="CG37" s="156">
        <f>CG11/CG7</f>
        <v>0.58476097393285542</v>
      </c>
      <c r="CH37" s="188"/>
      <c r="CI37" s="195">
        <v>0.58899999999999997</v>
      </c>
      <c r="CJ37" s="320">
        <v>0.58299999999999996</v>
      </c>
      <c r="CK37" s="320">
        <v>0.59299999999999997</v>
      </c>
      <c r="CL37" s="194">
        <v>0.59499999999999997</v>
      </c>
      <c r="CM37" s="156">
        <f>CM11/CM7</f>
        <v>0.59008616621452492</v>
      </c>
      <c r="CN37" s="188"/>
      <c r="CO37" s="188"/>
      <c r="CP37" s="188"/>
    </row>
    <row r="38" spans="1:100" x14ac:dyDescent="0.2">
      <c r="A38" s="86" t="s">
        <v>63</v>
      </c>
      <c r="B38" s="188"/>
      <c r="C38" s="152">
        <f>C12/C7</f>
        <v>0.25579440758584221</v>
      </c>
      <c r="D38" s="151">
        <f>D12/D7</f>
        <v>0.25802736429848683</v>
      </c>
      <c r="E38" s="151">
        <f>E12/E7</f>
        <v>0.252681682165871</v>
      </c>
      <c r="F38" s="153">
        <f>F12/F7</f>
        <v>0.24197490038465239</v>
      </c>
      <c r="G38" s="154">
        <f>G12/G7</f>
        <v>0.25196156557934346</v>
      </c>
      <c r="H38" s="188"/>
      <c r="I38" s="152">
        <f>I12/I7</f>
        <v>0.24723071791164913</v>
      </c>
      <c r="J38" s="151">
        <f>J12/J7</f>
        <v>0.23785966770181893</v>
      </c>
      <c r="K38" s="151">
        <f>K12/K7</f>
        <v>0.23591284587392936</v>
      </c>
      <c r="L38" s="153">
        <f>L12/L7</f>
        <v>0.23818294635468679</v>
      </c>
      <c r="M38" s="154">
        <f>M12/M7</f>
        <v>0.2396682966012294</v>
      </c>
      <c r="N38" s="188"/>
      <c r="O38" s="152">
        <f>O12/O7</f>
        <v>0.23887187505229665</v>
      </c>
      <c r="P38" s="151">
        <f>P12/P7</f>
        <v>0.25583581183286969</v>
      </c>
      <c r="Q38" s="151">
        <f>Q12/Q7</f>
        <v>0.23840962300911558</v>
      </c>
      <c r="R38" s="153">
        <f>R12/R7</f>
        <v>0.23031429491435651</v>
      </c>
      <c r="S38" s="154">
        <f>S12/S7</f>
        <v>0.24057018441552419</v>
      </c>
      <c r="T38" s="188"/>
      <c r="U38" s="152">
        <f>U12/U7</f>
        <v>0.23847854633249466</v>
      </c>
      <c r="V38" s="151">
        <f>V12/V7</f>
        <v>0.23400794371929895</v>
      </c>
      <c r="W38" s="151">
        <f>W12/W7</f>
        <v>0.2274649068141488</v>
      </c>
      <c r="X38" s="153">
        <f>X12/X7</f>
        <v>0.23389930039317852</v>
      </c>
      <c r="Y38" s="154">
        <f>Y12/Y7</f>
        <v>0.2334886392136655</v>
      </c>
      <c r="Z38" s="188"/>
      <c r="AA38" s="152">
        <f>AA12/AA7</f>
        <v>0.24726166211447564</v>
      </c>
      <c r="AB38" s="151">
        <f>AB12/AB7</f>
        <v>0.23380668961966319</v>
      </c>
      <c r="AC38" s="151">
        <f>AC12/AC7</f>
        <v>0.23975133831893106</v>
      </c>
      <c r="AD38" s="153">
        <f>AD12/AD7</f>
        <v>0.2412209954727462</v>
      </c>
      <c r="AE38" s="154">
        <f>AE12/AE7</f>
        <v>0.24044421614623565</v>
      </c>
      <c r="AF38" s="188"/>
      <c r="AG38" s="152">
        <f>AG12/AG7</f>
        <v>0.26328860306160329</v>
      </c>
      <c r="AH38" s="151">
        <f>AH12/AH7</f>
        <v>0.25282729925592073</v>
      </c>
      <c r="AI38" s="151">
        <f>AI12/AI7</f>
        <v>0.23687093858714589</v>
      </c>
      <c r="AJ38" s="153">
        <f>AJ12/AJ7</f>
        <v>0.24210350803260117</v>
      </c>
      <c r="AK38" s="154">
        <f>AK12/AK7</f>
        <v>0.24847678799519798</v>
      </c>
      <c r="AL38" s="188"/>
      <c r="AM38" s="152">
        <f>AM12/AM7</f>
        <v>0.2609620501507216</v>
      </c>
      <c r="AN38" s="151">
        <f>AN12/AN7</f>
        <v>0.25725676435668315</v>
      </c>
      <c r="AO38" s="151">
        <f>AO12/AO7</f>
        <v>0.24958785266366054</v>
      </c>
      <c r="AP38" s="153">
        <f>AP12/AP7</f>
        <v>0.25238095238095237</v>
      </c>
      <c r="AQ38" s="154">
        <f>AQ12/AQ7</f>
        <v>0.25490489469381916</v>
      </c>
      <c r="AR38" s="188"/>
      <c r="AS38" s="152">
        <f>AS12/AS7</f>
        <v>0.26353665194302445</v>
      </c>
      <c r="AT38" s="151">
        <f>AT12/AT7</f>
        <v>0.24806949806949807</v>
      </c>
      <c r="AU38" s="188">
        <f>AU12/AU7</f>
        <v>0.24480712166172106</v>
      </c>
      <c r="AV38" s="155">
        <f>AV12/AV7</f>
        <v>0.24614099064936715</v>
      </c>
      <c r="AW38" s="154">
        <f>AW12/AW7</f>
        <v>0.25042358883643606</v>
      </c>
      <c r="AX38" s="188"/>
      <c r="AY38" s="152">
        <f>AY12/AY7</f>
        <v>0.25936796123131522</v>
      </c>
      <c r="AZ38" s="151">
        <f>AZ12/AZ7</f>
        <v>0.24921358726133291</v>
      </c>
      <c r="BA38" s="151">
        <f>BA12/BA7</f>
        <v>0.24302585381423555</v>
      </c>
      <c r="BB38" s="155">
        <f>BB12/BB7</f>
        <v>0.24356048255624388</v>
      </c>
      <c r="BC38" s="156">
        <f>BC12/BC7</f>
        <v>0.24767050523268738</v>
      </c>
      <c r="BD38" s="188"/>
      <c r="BE38" s="190">
        <f>BE12/BE7</f>
        <v>0.24897735475763977</v>
      </c>
      <c r="BF38" s="151">
        <f>BF12/BF7</f>
        <v>0.24446434386193422</v>
      </c>
      <c r="BG38" s="151">
        <f>BG12/BG7</f>
        <v>0.22750000000000001</v>
      </c>
      <c r="BH38" s="155">
        <f>BH12/BH7</f>
        <v>0.24397031539888683</v>
      </c>
      <c r="BI38" s="156">
        <f>BI12/BI7</f>
        <v>0.24107322896895636</v>
      </c>
      <c r="BJ38" s="188"/>
      <c r="BK38" s="190">
        <f>BK12/BK7</f>
        <v>0.2433264887063655</v>
      </c>
      <c r="BL38" s="151">
        <f>BL12/BL7</f>
        <v>0.24284270798248569</v>
      </c>
      <c r="BM38" s="151">
        <f>BM12/BM7</f>
        <v>0.23690280065897859</v>
      </c>
      <c r="BN38" s="155">
        <f>BN12/BN7</f>
        <v>0.24443468951425712</v>
      </c>
      <c r="BO38" s="156">
        <f>BO12/BO7</f>
        <v>0.24188566622755114</v>
      </c>
      <c r="BP38" s="188"/>
      <c r="BQ38" s="190">
        <f>BQ12/BQ7</f>
        <v>0.25064935064935062</v>
      </c>
      <c r="BR38" s="151">
        <f>BR12/BR7</f>
        <v>0.247</v>
      </c>
      <c r="BS38" s="151">
        <f>BS12/BS7</f>
        <v>0.23799999999999999</v>
      </c>
      <c r="BT38" s="153">
        <f>BT12/BT7</f>
        <v>0.245</v>
      </c>
      <c r="BU38" s="156">
        <f>BU12/BU7</f>
        <v>0.24472455874607127</v>
      </c>
      <c r="BV38" s="188"/>
      <c r="BW38" s="152">
        <f>BW12/BW7</f>
        <v>0.24000000000000002</v>
      </c>
      <c r="BX38" s="151">
        <f>BX12/BX7</f>
        <v>0.23699999999999999</v>
      </c>
      <c r="BY38" s="151">
        <f>BY12/BY7</f>
        <v>0.23499999999999999</v>
      </c>
      <c r="BZ38" s="153">
        <f>BZ12/BZ7</f>
        <v>0.23799999999999996</v>
      </c>
      <c r="CA38" s="156">
        <f>CA12/CA7</f>
        <v>0.23747687518404328</v>
      </c>
      <c r="CB38" s="188"/>
      <c r="CC38" s="152">
        <f>CC12/CC7</f>
        <v>0.22999999999999998</v>
      </c>
      <c r="CD38" s="151">
        <f>CD12/CD7</f>
        <v>0.22700000000000001</v>
      </c>
      <c r="CE38" s="151">
        <f>CE12/CE7</f>
        <v>0.22499999999999998</v>
      </c>
      <c r="CF38" s="153">
        <f>CF12/CF7</f>
        <v>0.22799999999999998</v>
      </c>
      <c r="CG38" s="156">
        <f>CG12/CG7</f>
        <v>0.22747688492622978</v>
      </c>
      <c r="CH38" s="188"/>
      <c r="CI38" s="152">
        <f>CI12/CI7</f>
        <v>0.22399999999999998</v>
      </c>
      <c r="CJ38" s="151">
        <f>CJ12/CJ7</f>
        <v>0.22099999999999997</v>
      </c>
      <c r="CK38" s="151">
        <f>CK12/CK7</f>
        <v>0.21899999999999997</v>
      </c>
      <c r="CL38" s="153">
        <f>CL12/CL7</f>
        <v>0.22199999999999998</v>
      </c>
      <c r="CM38" s="156">
        <f>CM12/CM7</f>
        <v>0.22147689753932429</v>
      </c>
      <c r="CN38" s="188"/>
      <c r="CO38" s="188"/>
      <c r="CP38" s="188"/>
    </row>
    <row r="39" spans="1:100" x14ac:dyDescent="0.2">
      <c r="A39" s="120" t="s">
        <v>41</v>
      </c>
      <c r="B39" s="188"/>
      <c r="C39" s="152">
        <f>C13/C7</f>
        <v>0.25579440758584221</v>
      </c>
      <c r="D39" s="151">
        <f>D13/D7</f>
        <v>0.25802736429848683</v>
      </c>
      <c r="E39" s="151">
        <f>E13/E7</f>
        <v>0.252681682165871</v>
      </c>
      <c r="F39" s="153">
        <f>F13/F7</f>
        <v>0.24197490038465239</v>
      </c>
      <c r="G39" s="154">
        <f>G13/G7</f>
        <v>0.25196156557934346</v>
      </c>
      <c r="H39" s="188"/>
      <c r="I39" s="152">
        <f>I13/I7</f>
        <v>0.24723071791164913</v>
      </c>
      <c r="J39" s="151">
        <f>J13/J7</f>
        <v>0.23785966770181893</v>
      </c>
      <c r="K39" s="151">
        <f>K13/K7</f>
        <v>0.23591284587392936</v>
      </c>
      <c r="L39" s="153">
        <f>L13/L7</f>
        <v>0.23818294635468679</v>
      </c>
      <c r="M39" s="154">
        <f>M13/M7</f>
        <v>0.2396682966012294</v>
      </c>
      <c r="N39" s="188"/>
      <c r="O39" s="152">
        <f>O13/O7</f>
        <v>0.23887187505229665</v>
      </c>
      <c r="P39" s="151">
        <f>P13/P7</f>
        <v>0.25583581183286969</v>
      </c>
      <c r="Q39" s="151">
        <f>Q13/Q7</f>
        <v>0.23840962300911558</v>
      </c>
      <c r="R39" s="153">
        <f>R13/R7</f>
        <v>0.23031429491435651</v>
      </c>
      <c r="S39" s="154">
        <f>S13/S7</f>
        <v>0.24057018441552419</v>
      </c>
      <c r="T39" s="188"/>
      <c r="U39" s="152">
        <f>U13/U7</f>
        <v>0.23847854633249466</v>
      </c>
      <c r="V39" s="151">
        <f>V13/V7</f>
        <v>0.23400794371929895</v>
      </c>
      <c r="W39" s="151">
        <f>W13/W7</f>
        <v>0.2274649068141488</v>
      </c>
      <c r="X39" s="153">
        <f>X13/X7</f>
        <v>0.23389930039317852</v>
      </c>
      <c r="Y39" s="154">
        <f>Y13/Y7</f>
        <v>0.2334886392136655</v>
      </c>
      <c r="Z39" s="188"/>
      <c r="AA39" s="152">
        <f>AA13/AA7</f>
        <v>0.24726166211447564</v>
      </c>
      <c r="AB39" s="151">
        <f>AB13/AB7</f>
        <v>0.23380668961966319</v>
      </c>
      <c r="AC39" s="151">
        <f>AC13/AC7</f>
        <v>0.23975133831893106</v>
      </c>
      <c r="AD39" s="153">
        <f>AD13/AD7</f>
        <v>0.2412209954727462</v>
      </c>
      <c r="AE39" s="154">
        <f>AE13/AE7</f>
        <v>0.24044421614623565</v>
      </c>
      <c r="AF39" s="188"/>
      <c r="AG39" s="152">
        <f>AG13/AG7</f>
        <v>0.26328860306160329</v>
      </c>
      <c r="AH39" s="151">
        <f>AH13/AH7</f>
        <v>0.25282729925592073</v>
      </c>
      <c r="AI39" s="151">
        <f>AI13/AI7</f>
        <v>0.23687093858714589</v>
      </c>
      <c r="AJ39" s="153">
        <f>AJ13/AJ7</f>
        <v>0.24210350803260117</v>
      </c>
      <c r="AK39" s="154">
        <f>AK13/AK7</f>
        <v>0.24847678799519798</v>
      </c>
      <c r="AL39" s="188"/>
      <c r="AM39" s="152">
        <f>AM13/AM7</f>
        <v>0.2609620501507216</v>
      </c>
      <c r="AN39" s="151">
        <f>AN13/AN7</f>
        <v>0.25025676435668309</v>
      </c>
      <c r="AO39" s="151">
        <f>AO13/AO7</f>
        <v>0.24258785266366054</v>
      </c>
      <c r="AP39" s="153">
        <f>AP13/AP7</f>
        <v>0.24618095238095239</v>
      </c>
      <c r="AQ39" s="154">
        <f>AQ13/AQ7</f>
        <v>0.2497651845576018</v>
      </c>
      <c r="AR39" s="188"/>
      <c r="AS39" s="152">
        <f>AS13/AS7</f>
        <v>0.25733665194302446</v>
      </c>
      <c r="AT39" s="151">
        <f>AT13/AT7</f>
        <v>0.24106949806949807</v>
      </c>
      <c r="AU39" s="188">
        <f>AU13/AU7</f>
        <v>0.23780712166172102</v>
      </c>
      <c r="AV39" s="155">
        <f>AV13/AV7</f>
        <v>0.23914099064936711</v>
      </c>
      <c r="AW39" s="154">
        <f>AW13/AW7</f>
        <v>0.24361444594816997</v>
      </c>
      <c r="AX39" s="188"/>
      <c r="AY39" s="152">
        <f>AY13/AY7</f>
        <v>0.25316796123131519</v>
      </c>
      <c r="AZ39" s="151">
        <f>AZ13/AZ7</f>
        <v>0.24321358726133288</v>
      </c>
      <c r="BA39" s="151">
        <f>BA13/BA7</f>
        <v>0.23702585381423555</v>
      </c>
      <c r="BB39" s="155">
        <f>BB13/BB7</f>
        <v>0.23756048255624387</v>
      </c>
      <c r="BC39" s="156">
        <f>BC13/BC7</f>
        <v>0.2416306834187732</v>
      </c>
      <c r="BD39" s="188"/>
      <c r="BE39" s="190">
        <f>BE13/BE7</f>
        <v>0.24897735475763977</v>
      </c>
      <c r="BF39" s="151">
        <f>BF13/BF7</f>
        <v>0.24446434386193422</v>
      </c>
      <c r="BG39" s="151">
        <f>BG13/BG7</f>
        <v>0.22750000000000001</v>
      </c>
      <c r="BH39" s="155">
        <f>BH13/BH7</f>
        <v>0.24397031539888683</v>
      </c>
      <c r="BI39" s="156">
        <f>BI13/BI7</f>
        <v>0.24107322896895636</v>
      </c>
      <c r="BJ39" s="188"/>
      <c r="BK39" s="190">
        <f>BK13/BK7</f>
        <v>0.2433264887063655</v>
      </c>
      <c r="BL39" s="151">
        <f>BL13/BL7</f>
        <v>0.24284270798248569</v>
      </c>
      <c r="BM39" s="151">
        <f>BM13/BM7</f>
        <v>0.23690280065897859</v>
      </c>
      <c r="BN39" s="155">
        <f>BN13/BN7</f>
        <v>0.24443468951425712</v>
      </c>
      <c r="BO39" s="156">
        <f>BO13/BO7</f>
        <v>0.24188566622755114</v>
      </c>
      <c r="BP39" s="188"/>
      <c r="BQ39" s="190">
        <f>BQ13/BQ7</f>
        <v>0.25064935064935062</v>
      </c>
      <c r="BR39" s="320">
        <v>0.247</v>
      </c>
      <c r="BS39" s="320">
        <v>0.23799999999999999</v>
      </c>
      <c r="BT39" s="194">
        <v>0.245</v>
      </c>
      <c r="BU39" s="156">
        <f>BU13/BU7</f>
        <v>0.24472455874607127</v>
      </c>
      <c r="BV39" s="188"/>
      <c r="BW39" s="195">
        <v>0.24</v>
      </c>
      <c r="BX39" s="320">
        <v>0.23699999999999999</v>
      </c>
      <c r="BY39" s="320">
        <v>0.23499999999999999</v>
      </c>
      <c r="BZ39" s="194">
        <v>0.23799999999999999</v>
      </c>
      <c r="CA39" s="156">
        <f>CA13/CA7</f>
        <v>0.23747687518404328</v>
      </c>
      <c r="CB39" s="188"/>
      <c r="CC39" s="195">
        <f>BW39-0.01</f>
        <v>0.22999999999999998</v>
      </c>
      <c r="CD39" s="320">
        <f t="shared" ref="CD39:CF39" si="20">BX39-0.01</f>
        <v>0.22699999999999998</v>
      </c>
      <c r="CE39" s="320">
        <f t="shared" si="20"/>
        <v>0.22499999999999998</v>
      </c>
      <c r="CF39" s="194">
        <f t="shared" si="20"/>
        <v>0.22799999999999998</v>
      </c>
      <c r="CG39" s="156">
        <f>CG13/CG7</f>
        <v>0.22747688492622978</v>
      </c>
      <c r="CH39" s="188"/>
      <c r="CI39" s="195">
        <f>CC39-0.006</f>
        <v>0.22399999999999998</v>
      </c>
      <c r="CJ39" s="320">
        <f t="shared" ref="CJ39:CL39" si="21">CD39-0.006</f>
        <v>0.22099999999999997</v>
      </c>
      <c r="CK39" s="320">
        <f t="shared" si="21"/>
        <v>0.21899999999999997</v>
      </c>
      <c r="CL39" s="194">
        <f t="shared" si="21"/>
        <v>0.22199999999999998</v>
      </c>
      <c r="CM39" s="156">
        <f>CM13/CM7</f>
        <v>0.22147689753932429</v>
      </c>
      <c r="CN39" s="188"/>
      <c r="CO39" s="188"/>
      <c r="CP39" s="188"/>
    </row>
    <row r="40" spans="1:100" x14ac:dyDescent="0.2">
      <c r="A40" s="120" t="s">
        <v>42</v>
      </c>
      <c r="B40" s="188"/>
      <c r="C40" s="152">
        <f>C14/C7</f>
        <v>0</v>
      </c>
      <c r="D40" s="151">
        <f>D14/D7</f>
        <v>0</v>
      </c>
      <c r="E40" s="151">
        <f>E14/E7</f>
        <v>0</v>
      </c>
      <c r="F40" s="153">
        <f>F14/F7</f>
        <v>0</v>
      </c>
      <c r="G40" s="154">
        <f>G14/G7</f>
        <v>0</v>
      </c>
      <c r="H40" s="188"/>
      <c r="I40" s="152">
        <f>I14/I7</f>
        <v>0</v>
      </c>
      <c r="J40" s="151">
        <f>J14/J7</f>
        <v>0</v>
      </c>
      <c r="K40" s="151">
        <f>K14/K7</f>
        <v>0</v>
      </c>
      <c r="L40" s="153">
        <f>L14/L7</f>
        <v>0</v>
      </c>
      <c r="M40" s="154">
        <f>M14/M7</f>
        <v>0</v>
      </c>
      <c r="N40" s="188"/>
      <c r="O40" s="152">
        <f>O14/O7</f>
        <v>0</v>
      </c>
      <c r="P40" s="151">
        <f>P14/P7</f>
        <v>0</v>
      </c>
      <c r="Q40" s="151">
        <f>Q14/Q7</f>
        <v>0</v>
      </c>
      <c r="R40" s="153">
        <f>R14/R7</f>
        <v>0</v>
      </c>
      <c r="S40" s="154">
        <f>S14/S7</f>
        <v>0</v>
      </c>
      <c r="T40" s="188"/>
      <c r="U40" s="152">
        <f>U14/U7</f>
        <v>0</v>
      </c>
      <c r="V40" s="151">
        <f>V14/V7</f>
        <v>0</v>
      </c>
      <c r="W40" s="151">
        <f>W14/W7</f>
        <v>0</v>
      </c>
      <c r="X40" s="153">
        <f>X14/X7</f>
        <v>0</v>
      </c>
      <c r="Y40" s="154">
        <f>Y14/Y7</f>
        <v>0</v>
      </c>
      <c r="Z40" s="188"/>
      <c r="AA40" s="152">
        <f>AA14/AA7</f>
        <v>0</v>
      </c>
      <c r="AB40" s="151">
        <f>AB14/AB7</f>
        <v>0</v>
      </c>
      <c r="AC40" s="151">
        <f>AC14/AC7</f>
        <v>0</v>
      </c>
      <c r="AD40" s="153">
        <f>AD14/AD7</f>
        <v>0</v>
      </c>
      <c r="AE40" s="154">
        <f>AE14/AE7</f>
        <v>0</v>
      </c>
      <c r="AF40" s="188"/>
      <c r="AG40" s="152">
        <f>AG14/AG7</f>
        <v>0</v>
      </c>
      <c r="AH40" s="151">
        <f>AH14/AH7</f>
        <v>0</v>
      </c>
      <c r="AI40" s="151">
        <f>AI14/AI7</f>
        <v>0</v>
      </c>
      <c r="AJ40" s="153">
        <f>AJ14/AJ7</f>
        <v>0</v>
      </c>
      <c r="AK40" s="154">
        <f>AK14/AK7</f>
        <v>0</v>
      </c>
      <c r="AL40" s="188"/>
      <c r="AM40" s="152">
        <f>AM14/AM7</f>
        <v>0</v>
      </c>
      <c r="AN40" s="191">
        <v>7.0000000000000001E-3</v>
      </c>
      <c r="AO40" s="191">
        <v>7.0000000000000001E-3</v>
      </c>
      <c r="AP40" s="192">
        <v>6.1999999999999998E-3</v>
      </c>
      <c r="AQ40" s="154">
        <f>AQ14/AQ7</f>
        <v>5.1397101362173764E-3</v>
      </c>
      <c r="AR40" s="188"/>
      <c r="AS40" s="193">
        <v>6.1999999999999998E-3</v>
      </c>
      <c r="AT40" s="191">
        <v>7.0000000000000001E-3</v>
      </c>
      <c r="AU40" s="191">
        <v>7.0000000000000001E-3</v>
      </c>
      <c r="AV40" s="192">
        <v>7.0000000000000001E-3</v>
      </c>
      <c r="AW40" s="154">
        <f>AW14/AW7</f>
        <v>6.8091428882660855E-3</v>
      </c>
      <c r="AX40" s="188"/>
      <c r="AY40" s="193">
        <v>6.1999999999999998E-3</v>
      </c>
      <c r="AZ40" s="191">
        <v>6.0000000000000001E-3</v>
      </c>
      <c r="BA40" s="191">
        <v>6.0000000000000001E-3</v>
      </c>
      <c r="BB40" s="194">
        <v>6.0000000000000001E-3</v>
      </c>
      <c r="BC40" s="156">
        <f>BC14/BC7</f>
        <v>6.0398218139141625E-3</v>
      </c>
      <c r="BD40" s="188"/>
      <c r="BE40" s="195">
        <v>0</v>
      </c>
      <c r="BF40" s="191">
        <v>0</v>
      </c>
      <c r="BG40" s="191">
        <v>0</v>
      </c>
      <c r="BH40" s="194">
        <v>0</v>
      </c>
      <c r="BI40" s="156">
        <f>BI14/BI7</f>
        <v>0</v>
      </c>
      <c r="BJ40" s="188"/>
      <c r="BK40" s="195">
        <v>0</v>
      </c>
      <c r="BL40" s="191">
        <v>0</v>
      </c>
      <c r="BM40" s="191">
        <v>0</v>
      </c>
      <c r="BN40" s="194">
        <v>0</v>
      </c>
      <c r="BO40" s="156">
        <f>BO14/BO7</f>
        <v>0</v>
      </c>
      <c r="BP40" s="188"/>
      <c r="BQ40" s="195">
        <v>0</v>
      </c>
      <c r="BR40" s="191">
        <v>0</v>
      </c>
      <c r="BS40" s="191">
        <v>0</v>
      </c>
      <c r="BT40" s="192">
        <v>0</v>
      </c>
      <c r="BU40" s="156">
        <f>BU14/BU7</f>
        <v>0</v>
      </c>
      <c r="BV40" s="188"/>
      <c r="BW40" s="193">
        <v>0</v>
      </c>
      <c r="BX40" s="191">
        <v>0</v>
      </c>
      <c r="BY40" s="191">
        <v>0</v>
      </c>
      <c r="BZ40" s="192">
        <v>0</v>
      </c>
      <c r="CA40" s="156">
        <f>CA14/CA7</f>
        <v>0</v>
      </c>
      <c r="CB40" s="188"/>
      <c r="CC40" s="193">
        <v>0</v>
      </c>
      <c r="CD40" s="191">
        <v>0</v>
      </c>
      <c r="CE40" s="191">
        <v>0</v>
      </c>
      <c r="CF40" s="192">
        <v>0</v>
      </c>
      <c r="CG40" s="156">
        <f>CG14/CG7</f>
        <v>0</v>
      </c>
      <c r="CH40" s="188"/>
      <c r="CI40" s="193">
        <v>0</v>
      </c>
      <c r="CJ40" s="191">
        <v>0</v>
      </c>
      <c r="CK40" s="191">
        <v>0</v>
      </c>
      <c r="CL40" s="192">
        <v>0</v>
      </c>
      <c r="CM40" s="156">
        <f>CM14/CM7</f>
        <v>0</v>
      </c>
      <c r="CN40" s="188"/>
      <c r="CO40" s="188"/>
      <c r="CP40" s="188"/>
    </row>
    <row r="41" spans="1:100" x14ac:dyDescent="0.2">
      <c r="A41" s="86" t="s">
        <v>43</v>
      </c>
      <c r="B41" s="188"/>
      <c r="C41" s="152">
        <f>C15/C7</f>
        <v>5.3238887697514677E-2</v>
      </c>
      <c r="D41" s="151">
        <f>D15/D7</f>
        <v>5.5007164060150181E-2</v>
      </c>
      <c r="E41" s="151">
        <f>E15/E7</f>
        <v>5.701038341449239E-2</v>
      </c>
      <c r="F41" s="153">
        <f>F15/F7</f>
        <v>6.0826079082987657E-2</v>
      </c>
      <c r="G41" s="154">
        <f>G15/G7</f>
        <v>5.6614163273957518E-2</v>
      </c>
      <c r="H41" s="188"/>
      <c r="I41" s="152">
        <f>I15/I7</f>
        <v>5.365738697020167E-2</v>
      </c>
      <c r="J41" s="151">
        <f>J15/J7</f>
        <v>5.4973167136539922E-2</v>
      </c>
      <c r="K41" s="151">
        <f>K15/K7</f>
        <v>5.3583017239348288E-2</v>
      </c>
      <c r="L41" s="153">
        <f>L15/L7</f>
        <v>5.9165485873794901E-2</v>
      </c>
      <c r="M41" s="154">
        <f>M15/M7</f>
        <v>5.5372125226263995E-2</v>
      </c>
      <c r="N41" s="188"/>
      <c r="O41" s="152">
        <f>O15/O7</f>
        <v>5.758964538701896E-2</v>
      </c>
      <c r="P41" s="151">
        <f>P15/P7</f>
        <v>5.8046201687082848E-2</v>
      </c>
      <c r="Q41" s="151">
        <f>Q15/Q7</f>
        <v>5.4954123740647565E-2</v>
      </c>
      <c r="R41" s="153">
        <f>R15/R7</f>
        <v>6.0889212269750699E-2</v>
      </c>
      <c r="S41" s="154">
        <f>S15/S7</f>
        <v>5.7905123461331358E-2</v>
      </c>
      <c r="T41" s="188"/>
      <c r="U41" s="152">
        <f>U15/U7</f>
        <v>5.3055460724372304E-2</v>
      </c>
      <c r="V41" s="151">
        <f>V15/V7</f>
        <v>5.5681059725721051E-2</v>
      </c>
      <c r="W41" s="151">
        <f>W15/W7</f>
        <v>5.9012699142667227E-2</v>
      </c>
      <c r="X41" s="153">
        <f>X15/X7</f>
        <v>6.5986723218885379E-2</v>
      </c>
      <c r="Y41" s="154">
        <f>Y15/Y7</f>
        <v>5.8461412418565464E-2</v>
      </c>
      <c r="Z41" s="188"/>
      <c r="AA41" s="152">
        <f>AA15/AA7</f>
        <v>6.368226336704827E-2</v>
      </c>
      <c r="AB41" s="151">
        <f>AB15/AB7</f>
        <v>6.3066815578083371E-2</v>
      </c>
      <c r="AC41" s="151">
        <f>AC15/AC7</f>
        <v>5.8444921816763147E-2</v>
      </c>
      <c r="AD41" s="153">
        <f>AD15/AD7</f>
        <v>5.7971583070153071E-2</v>
      </c>
      <c r="AE41" s="154">
        <f>AE15/AE7</f>
        <v>6.0686275333256851E-2</v>
      </c>
      <c r="AF41" s="188"/>
      <c r="AG41" s="152">
        <f>AG15/AG7</f>
        <v>6.1268643679164937E-2</v>
      </c>
      <c r="AH41" s="151">
        <f>AH15/AH7</f>
        <v>6.0526366266606742E-2</v>
      </c>
      <c r="AI41" s="151">
        <f>AI15/AI7</f>
        <v>5.8058701458700457E-2</v>
      </c>
      <c r="AJ41" s="153">
        <f>AJ15/AJ7</f>
        <v>6.3943093915068902E-2</v>
      </c>
      <c r="AK41" s="154">
        <f>AK15/AK7</f>
        <v>6.0940674709686164E-2</v>
      </c>
      <c r="AL41" s="188"/>
      <c r="AM41" s="152">
        <f>AM15/AM7</f>
        <v>6.2184242434448735E-2</v>
      </c>
      <c r="AN41" s="151">
        <f>AN15/AN7</f>
        <v>6.1177029307004936E-2</v>
      </c>
      <c r="AO41" s="151">
        <f>AO15/AO7</f>
        <v>5.9004298803895822E-2</v>
      </c>
      <c r="AP41" s="153">
        <f>AP15/AP7</f>
        <v>6.3333333333333339E-2</v>
      </c>
      <c r="AQ41" s="154">
        <f>AQ15/AQ7</f>
        <v>6.1423172885516381E-2</v>
      </c>
      <c r="AR41" s="188"/>
      <c r="AS41" s="152">
        <f>AS15/AS7</f>
        <v>6.25341208000397E-2</v>
      </c>
      <c r="AT41" s="151">
        <f>AT15/AT7</f>
        <v>6.1293436293436296E-2</v>
      </c>
      <c r="AU41" s="188">
        <f>AU15/AU7</f>
        <v>5.9347181008902072E-2</v>
      </c>
      <c r="AV41" s="155">
        <f>AV15/AV7</f>
        <v>6.0399910989604851E-2</v>
      </c>
      <c r="AW41" s="154">
        <f>AW15/AW7</f>
        <v>6.0859444284599599E-2</v>
      </c>
      <c r="AX41" s="188"/>
      <c r="AY41" s="152">
        <f>AY15/AY7</f>
        <v>6.2891855260976806E-2</v>
      </c>
      <c r="AZ41" s="151">
        <f>AZ15/AZ7</f>
        <v>6.2913019093369757E-2</v>
      </c>
      <c r="BA41" s="151">
        <f>BA15/BA7</f>
        <v>5.748483881263964E-2</v>
      </c>
      <c r="BB41" s="155">
        <f>BB15/BB7</f>
        <v>6.3906097163351813E-2</v>
      </c>
      <c r="BC41" s="156">
        <f>BC15/BC7</f>
        <v>6.1553604831875469E-2</v>
      </c>
      <c r="BD41" s="188"/>
      <c r="BE41" s="190">
        <f>BE15/BE7</f>
        <v>6.2494987033125692E-2</v>
      </c>
      <c r="BF41" s="151">
        <f>BF15/BF7</f>
        <v>5.9182676652556172E-2</v>
      </c>
      <c r="BG41" s="151">
        <f>BG15/BG7</f>
        <v>6.4687499999999995E-2</v>
      </c>
      <c r="BH41" s="155">
        <f>BH15/BH7</f>
        <v>7.8231292517006806E-2</v>
      </c>
      <c r="BI41" s="156">
        <f>BI15/BI7</f>
        <v>6.6314642273013882E-2</v>
      </c>
      <c r="BJ41" s="188"/>
      <c r="BK41" s="190">
        <f>BK15/BK7</f>
        <v>6.2286105407255307E-2</v>
      </c>
      <c r="BL41" s="151">
        <f>BL15/BL7</f>
        <v>6.2984169754125963E-2</v>
      </c>
      <c r="BM41" s="151">
        <f>BM15/BM7</f>
        <v>6.0955518945634266E-2</v>
      </c>
      <c r="BN41" s="155">
        <f>BN15/BN7</f>
        <v>6.9793367419445515E-2</v>
      </c>
      <c r="BO41" s="156">
        <f>BO15/BO7</f>
        <v>6.4089364556017825E-2</v>
      </c>
      <c r="BP41" s="188"/>
      <c r="BQ41" s="190">
        <f>BQ15/BQ7</f>
        <v>6.2337662337662338E-2</v>
      </c>
      <c r="BR41" s="320">
        <v>6.5000000000000002E-2</v>
      </c>
      <c r="BS41" s="320">
        <v>6.6000000000000003E-2</v>
      </c>
      <c r="BT41" s="194">
        <v>6.8000000000000005E-2</v>
      </c>
      <c r="BU41" s="156">
        <f>BU15/BU7</f>
        <v>6.5577306078296663E-2</v>
      </c>
      <c r="BV41" s="188"/>
      <c r="BW41" s="195">
        <v>6.7000000000000004E-2</v>
      </c>
      <c r="BX41" s="320">
        <v>6.6000000000000003E-2</v>
      </c>
      <c r="BY41" s="320">
        <v>6.6000000000000003E-2</v>
      </c>
      <c r="BZ41" s="194">
        <v>6.6000000000000003E-2</v>
      </c>
      <c r="CA41" s="156">
        <f>CA15/CA7</f>
        <v>6.6242461805112299E-2</v>
      </c>
      <c r="CB41" s="188"/>
      <c r="CC41" s="195">
        <f>BW41-0.003</f>
        <v>6.4000000000000001E-2</v>
      </c>
      <c r="CD41" s="320">
        <f t="shared" ref="CD41:CF41" si="22">BX41-0.003</f>
        <v>6.3E-2</v>
      </c>
      <c r="CE41" s="320">
        <f t="shared" si="22"/>
        <v>6.3E-2</v>
      </c>
      <c r="CF41" s="194">
        <f t="shared" si="22"/>
        <v>6.3E-2</v>
      </c>
      <c r="CG41" s="156">
        <f>CG15/CG7</f>
        <v>6.3242488852016956E-2</v>
      </c>
      <c r="CH41" s="188"/>
      <c r="CI41" s="195">
        <f>CC41-0.0015</f>
        <v>6.25E-2</v>
      </c>
      <c r="CJ41" s="320">
        <f t="shared" ref="CJ41:CL41" si="23">CD41-0.0015</f>
        <v>6.1499999999999999E-2</v>
      </c>
      <c r="CK41" s="320">
        <f t="shared" si="23"/>
        <v>6.1499999999999999E-2</v>
      </c>
      <c r="CL41" s="194">
        <f t="shared" si="23"/>
        <v>6.1499999999999999E-2</v>
      </c>
      <c r="CM41" s="156">
        <f>CM15/CM7</f>
        <v>6.1742517234180554E-2</v>
      </c>
      <c r="CN41" s="188"/>
      <c r="CO41" s="188"/>
      <c r="CP41" s="188"/>
    </row>
    <row r="42" spans="1:100" x14ac:dyDescent="0.2">
      <c r="A42" s="189" t="s">
        <v>45</v>
      </c>
      <c r="B42" s="188"/>
      <c r="C42" s="152">
        <f>C17/C7</f>
        <v>0.21882754569660087</v>
      </c>
      <c r="D42" s="151">
        <f>D17/D7</f>
        <v>0.20182724779525896</v>
      </c>
      <c r="E42" s="151">
        <f>E17/E7</f>
        <v>0.20533314042346582</v>
      </c>
      <c r="F42" s="153">
        <f>F17/F7</f>
        <v>0.20820591835387425</v>
      </c>
      <c r="G42" s="154">
        <f>G17/G7</f>
        <v>0.20839625543027401</v>
      </c>
      <c r="H42" s="188"/>
      <c r="I42" s="152">
        <f>I17/I7</f>
        <v>0.21261754975914063</v>
      </c>
      <c r="J42" s="151">
        <f>J17/J7</f>
        <v>0.21841864991341925</v>
      </c>
      <c r="K42" s="151">
        <f>K17/K7</f>
        <v>0.21930265133423443</v>
      </c>
      <c r="L42" s="153">
        <f>L17/L7</f>
        <v>0.21696245051429172</v>
      </c>
      <c r="M42" s="154">
        <f>M17/M7</f>
        <v>0.21689299936793516</v>
      </c>
      <c r="N42" s="188"/>
      <c r="O42" s="152">
        <f>O17/O7</f>
        <v>0.24001582645408528</v>
      </c>
      <c r="P42" s="151">
        <f>P17/P7</f>
        <v>0.20643059230890803</v>
      </c>
      <c r="Q42" s="151">
        <f>Q17/Q7</f>
        <v>0.2345856162629214</v>
      </c>
      <c r="R42" s="153">
        <f>R17/R7</f>
        <v>0.22865304259979516</v>
      </c>
      <c r="S42" s="154">
        <f>S17/S7</f>
        <v>0.22752901861559682</v>
      </c>
      <c r="T42" s="188"/>
      <c r="U42" s="152">
        <f>U17/U7</f>
        <v>0.22991537966779002</v>
      </c>
      <c r="V42" s="151">
        <f>V17/V7</f>
        <v>0.22987992168539789</v>
      </c>
      <c r="W42" s="151">
        <f>W17/W7</f>
        <v>0.23101177501254838</v>
      </c>
      <c r="X42" s="153">
        <f>X17/X7</f>
        <v>0.21915337164577098</v>
      </c>
      <c r="Y42" s="154">
        <f>Y17/Y7</f>
        <v>0.22744455520389539</v>
      </c>
      <c r="Z42" s="188"/>
      <c r="AA42" s="152">
        <f>AA17/AA7</f>
        <v>0.21794033342908928</v>
      </c>
      <c r="AB42" s="151">
        <f>AB17/AB7</f>
        <v>0.2241115029769743</v>
      </c>
      <c r="AC42" s="151">
        <f>AC17/AC7</f>
        <v>0.22910677810059887</v>
      </c>
      <c r="AD42" s="153">
        <f>AD17/AD7</f>
        <v>0.21240068182927005</v>
      </c>
      <c r="AE42" s="154">
        <f>AE17/AE7</f>
        <v>0.22087597217508556</v>
      </c>
      <c r="AF42" s="188"/>
      <c r="AG42" s="152">
        <f>AG17/AG7</f>
        <v>0.18384742209508001</v>
      </c>
      <c r="AH42" s="151">
        <f>AH17/AH7</f>
        <v>0.19872356154427168</v>
      </c>
      <c r="AI42" s="151">
        <f>AI17/AI7</f>
        <v>0.22671608104901206</v>
      </c>
      <c r="AJ42" s="153">
        <f>AJ17/AJ7</f>
        <v>0.20780094867197604</v>
      </c>
      <c r="AK42" s="154">
        <f>AK17/AK7</f>
        <v>0.20469730223541066</v>
      </c>
      <c r="AL42" s="188"/>
      <c r="AM42" s="152">
        <f>AM17/AM7</f>
        <v>0.2157461324960846</v>
      </c>
      <c r="AN42" s="151">
        <f>AN17/AN7</f>
        <v>0.20047216146972441</v>
      </c>
      <c r="AO42" s="151">
        <f>AO17/AO7</f>
        <v>0.21752032967889515</v>
      </c>
      <c r="AP42" s="153">
        <f>AP17/AP7</f>
        <v>0.21051251190476186</v>
      </c>
      <c r="AQ42" s="154">
        <f>AQ17/AQ7</f>
        <v>0.21103964359149757</v>
      </c>
      <c r="AR42" s="188"/>
      <c r="AS42" s="152">
        <f>AS17/AS7</f>
        <v>0.19672440319618845</v>
      </c>
      <c r="AT42" s="151">
        <f>AT17/AT7</f>
        <v>0.20776061776061777</v>
      </c>
      <c r="AU42" s="188">
        <f>AU17/AU7</f>
        <v>0.21943620178041551</v>
      </c>
      <c r="AV42" s="155">
        <f>AV17/AV7</f>
        <v>0.21204001834704075</v>
      </c>
      <c r="AW42" s="154">
        <f>AW17/AW7</f>
        <v>0.20922506035622909</v>
      </c>
      <c r="AX42" s="188"/>
      <c r="AY42" s="152">
        <f>AY17/AY7</f>
        <v>0.19605682693526538</v>
      </c>
      <c r="AZ42" s="151">
        <f>AZ17/AZ7</f>
        <v>0.20602794508522512</v>
      </c>
      <c r="BA42" s="151">
        <f>BA17/BA7</f>
        <v>0.21931056495371845</v>
      </c>
      <c r="BB42" s="155">
        <f>BB17/BB7</f>
        <v>0.21682425823280077</v>
      </c>
      <c r="BC42" s="154">
        <f>BC17/BC7</f>
        <v>0.21129650859721655</v>
      </c>
      <c r="BD42" s="188"/>
      <c r="BE42" s="190">
        <f>BE17/BE7</f>
        <v>0.21196160735769853</v>
      </c>
      <c r="BF42" s="151">
        <f>BF17/BF7</f>
        <v>0.22557798762618039</v>
      </c>
      <c r="BG42" s="151">
        <f>BG17/BG7</f>
        <v>0.23406250000000001</v>
      </c>
      <c r="BH42" s="155">
        <f>BH17/BH7</f>
        <v>0.20006184291898577</v>
      </c>
      <c r="BI42" s="154">
        <f>BI17/BI7</f>
        <v>0.21788730951794155</v>
      </c>
      <c r="BJ42" s="188"/>
      <c r="BK42" s="190">
        <f>BK17/BK7</f>
        <v>0.2375085557837098</v>
      </c>
      <c r="BL42" s="151">
        <f>BL17/BL7</f>
        <v>0.22061300101044123</v>
      </c>
      <c r="BM42" s="151">
        <f>BM17/BM7</f>
        <v>0.24085667215815487</v>
      </c>
      <c r="BN42" s="155">
        <f>BN17/BN7</f>
        <v>0.21806163922829375</v>
      </c>
      <c r="BO42" s="154">
        <f>BO17/BO7</f>
        <v>0.22910831433393783</v>
      </c>
      <c r="BP42" s="188"/>
      <c r="BQ42" s="190">
        <f>BQ17/BQ7</f>
        <v>0.2353896103896104</v>
      </c>
      <c r="BR42" s="151">
        <f>BR17/BR7</f>
        <v>0.25299999999999995</v>
      </c>
      <c r="BS42" s="151">
        <f>BS17/BS7</f>
        <v>0.26899999999999996</v>
      </c>
      <c r="BT42" s="153">
        <f>BT17/BT7</f>
        <v>0.2619999999999999</v>
      </c>
      <c r="BU42" s="154">
        <f>BU17/BU7</f>
        <v>0.25638353226407473</v>
      </c>
      <c r="BV42" s="188"/>
      <c r="BW42" s="152">
        <f>BW17/BW7</f>
        <v>0.2679999999999999</v>
      </c>
      <c r="BX42" s="151">
        <f>BX17/BX7</f>
        <v>0.27299999999999996</v>
      </c>
      <c r="BY42" s="151">
        <f>BY17/BY7</f>
        <v>0.27400000000000002</v>
      </c>
      <c r="BZ42" s="153">
        <f>BZ17/BZ7</f>
        <v>0.27299999999999991</v>
      </c>
      <c r="CA42" s="154">
        <f>CA17/CA7</f>
        <v>0.27204169452955312</v>
      </c>
      <c r="CB42" s="188"/>
      <c r="CC42" s="152">
        <f>CC17/CC7</f>
        <v>0.29000000000000004</v>
      </c>
      <c r="CD42" s="151">
        <f>CD17/CD7</f>
        <v>0.29499999999999993</v>
      </c>
      <c r="CE42" s="151">
        <f>CE17/CE7</f>
        <v>0.29599999999999999</v>
      </c>
      <c r="CF42" s="153">
        <f>CF17/CF7</f>
        <v>0.29499999999999998</v>
      </c>
      <c r="CG42" s="154">
        <f>CG17/CG7</f>
        <v>0.29404160015460873</v>
      </c>
      <c r="CH42" s="188"/>
      <c r="CI42" s="152">
        <f>CI17/CI7</f>
        <v>0.30249999999999999</v>
      </c>
      <c r="CJ42" s="151">
        <f>CJ17/CJ7</f>
        <v>0.30049999999999999</v>
      </c>
      <c r="CK42" s="151">
        <f>CK17/CK7</f>
        <v>0.31250000000000006</v>
      </c>
      <c r="CL42" s="153">
        <f>CL17/CL7</f>
        <v>0.3115</v>
      </c>
      <c r="CM42" s="154">
        <f>CM17/CM7</f>
        <v>0.30686675144102016</v>
      </c>
      <c r="CN42" s="188"/>
      <c r="CO42" s="188"/>
      <c r="CP42" s="188"/>
    </row>
    <row r="43" spans="1:100" hidden="1" outlineLevel="1" x14ac:dyDescent="0.2">
      <c r="A43" s="189" t="s">
        <v>64</v>
      </c>
      <c r="B43" s="188"/>
      <c r="C43" s="152">
        <v>0.16777320717223773</v>
      </c>
      <c r="D43" s="151">
        <v>0.15397290973206321</v>
      </c>
      <c r="E43" s="151">
        <v>0.27824476011299687</v>
      </c>
      <c r="F43" s="153">
        <v>0.26930998970134024</v>
      </c>
      <c r="G43" s="154">
        <v>0.22606593060089156</v>
      </c>
      <c r="H43" s="188"/>
      <c r="I43" s="152">
        <f>(I17-C17)/(I7-C7)</f>
        <v>0.16696126482987633</v>
      </c>
      <c r="J43" s="151">
        <f>(J17-D17)/(J7-D7)</f>
        <v>0.37132097097711658</v>
      </c>
      <c r="K43" s="151">
        <f>(K17-E17)/(K7-E7)</f>
        <v>0.31568039453704966</v>
      </c>
      <c r="L43" s="153">
        <f>(L17-F17)/(L7-F7)</f>
        <v>0.29531241532541974</v>
      </c>
      <c r="M43" s="154">
        <f>(M17-G17)/(M7-G7)</f>
        <v>0.28476189878107716</v>
      </c>
      <c r="N43" s="188"/>
      <c r="O43" s="152">
        <f>(O17-I17)/(O7-I7)</f>
        <v>-1.1927404273582778</v>
      </c>
      <c r="P43" s="151">
        <f>(P17-J17)/(P7-J7)</f>
        <v>0.53476631704372424</v>
      </c>
      <c r="Q43" s="151">
        <f>(Q17-K17)/(Q7-K7)</f>
        <v>-7.8450081707406902E-2</v>
      </c>
      <c r="R43" s="153">
        <f>(R17-L17)/(R7-L7)</f>
        <v>1.3954436711613809</v>
      </c>
      <c r="S43" s="154">
        <f>(S17-M17)/(S7-M7)</f>
        <v>-0.22232532847879877</v>
      </c>
      <c r="T43" s="188"/>
      <c r="U43" s="152">
        <f>(U17-O17)/(U7-O7)</f>
        <v>0.1435478100884148</v>
      </c>
      <c r="V43" s="151">
        <f>(V17-P17)/(V7-P7)</f>
        <v>0.56934469797965026</v>
      </c>
      <c r="W43" s="151">
        <f>(W17-Q17)/(W7-Q7)</f>
        <v>0.11452790723276311</v>
      </c>
      <c r="X43" s="153">
        <f>(X17-R17)/(X7-R7)</f>
        <v>-0.69950970164823911</v>
      </c>
      <c r="Y43" s="154">
        <f>(Y17-S17)/(Y7-S7)</f>
        <v>0.22591419850574754</v>
      </c>
      <c r="Z43" s="188"/>
      <c r="AA43" s="152">
        <f>(AA17-U17)/(AA7-U7)</f>
        <v>0.47979448728884438</v>
      </c>
      <c r="AB43" s="151">
        <f>(AB17-V17)/(AB7-V7)</f>
        <v>5.4521689404459381E-2</v>
      </c>
      <c r="AC43" s="151">
        <f>(AC17-W17)/(AC7-W7)</f>
        <v>0.20027608325480539</v>
      </c>
      <c r="AD43" s="153">
        <f>(AD17-X17)/(AD7-X7)</f>
        <v>0.10239507418294393</v>
      </c>
      <c r="AE43" s="154">
        <f>(AE17-Y17)/(AE7-Y7)</f>
        <v>-7.8661456264288165E-3</v>
      </c>
      <c r="AF43" s="188"/>
      <c r="AG43" s="152">
        <f>(AG17-AA17)/(AG7-AA7)</f>
        <v>-1.0732204034627466</v>
      </c>
      <c r="AH43" s="151">
        <f>(AH17-AB17)/(AH7-AB7)</f>
        <v>-0.49241371237948084</v>
      </c>
      <c r="AI43" s="151">
        <f>(AI17-AC17)/(AI7-AC7)</f>
        <v>6.3789672148319113E-2</v>
      </c>
      <c r="AJ43" s="153">
        <f>(AJ17-AD17)/(AJ7-AD7)</f>
        <v>0.6430747263208022</v>
      </c>
      <c r="AK43" s="154">
        <f>(AK17-AE17)/(AK7-AE7)</f>
        <v>-0.78207605817075443</v>
      </c>
      <c r="AL43" s="188"/>
      <c r="AM43" s="152">
        <f>(AM17-AG17)/(AM7-AG7)</f>
        <v>1.0690804270358696</v>
      </c>
      <c r="AN43" s="151">
        <f>(AN17-AH17)/(AN7-AH7)</f>
        <v>0.24770353152043115</v>
      </c>
      <c r="AO43" s="151">
        <f>(AO17-AI17)/(AO7-AI7)</f>
        <v>-3.4960628829680859E-2</v>
      </c>
      <c r="AP43" s="153">
        <f>(AP17-AJ17)/(AP7-AJ7)</f>
        <v>0.2506702226170498</v>
      </c>
      <c r="AQ43" s="154">
        <f>(AQ17-AK17)/(AQ7-AK7)</f>
        <v>0.35280949053063837</v>
      </c>
      <c r="AR43" s="188"/>
      <c r="AS43" s="152">
        <f>(AS17-AM17)/(AS7-AM7)</f>
        <v>-0.11837949401959641</v>
      </c>
      <c r="AT43" s="151">
        <f>(AT17-AN17)/(AT7-AN7)</f>
        <v>0.41131588132635366</v>
      </c>
      <c r="AU43" s="188">
        <f>(AU17-AO17)/(AU7-AO7)</f>
        <v>0.25720067988016143</v>
      </c>
      <c r="AV43" s="155">
        <f>(AV17-AP17)/(AV7-AP7)</f>
        <v>0.24349176389842489</v>
      </c>
      <c r="AW43" s="154">
        <f>(AW17-AQ17)/(AW7-AQ7)</f>
        <v>0.17198994035045961</v>
      </c>
      <c r="AX43" s="188"/>
      <c r="AY43" s="152">
        <f>(AY17-AS17)/(AY7-AS7)</f>
        <v>0.15894039735099835</v>
      </c>
      <c r="AZ43" s="151">
        <f>(AZ17-AT17)/(AZ7-AT7)</f>
        <v>0.3726218097447857</v>
      </c>
      <c r="BA43" s="151">
        <f>(BA17-AU17)/(BA7-AU7)</f>
        <v>0.21903298504404808</v>
      </c>
      <c r="BB43" s="155">
        <f>(BB17-AV17)/(BB7-AV7)</f>
        <v>0.22900313291175795</v>
      </c>
      <c r="BC43" s="154">
        <f>(BC17-AW17)/(BC7-AW7)</f>
        <v>0.22072309930491918</v>
      </c>
      <c r="BD43" s="188"/>
      <c r="BE43" s="190">
        <f>(BE17-AY17)/(BE7-AY7)</f>
        <v>0.24662628838593093</v>
      </c>
      <c r="BF43" s="151">
        <f>(BF17-AZ17)/(BF7-AZ7)</f>
        <v>0.26485718485130583</v>
      </c>
      <c r="BG43" s="151">
        <f>(BG17-BA17)/(BG7-BA7)</f>
        <v>0.92388059701492675</v>
      </c>
      <c r="BH43" s="155">
        <f>(BH17-BB17)/(BH7-BB7)</f>
        <v>-0.10778443113772455</v>
      </c>
      <c r="BI43" s="154">
        <f>(BI17-BC17)/(BI7-BC7)</f>
        <v>0.24881014733677945</v>
      </c>
      <c r="BJ43" s="188"/>
      <c r="BK43" s="190">
        <f>(BK17-BE17)/(BK7-BE7)</f>
        <v>-0.85079726651481213</v>
      </c>
      <c r="BL43" s="151">
        <f>(BL17-BF17)/(BL7-BF7)</f>
        <v>0.37009803921568629</v>
      </c>
      <c r="BM43" s="151">
        <f>(BM17-BG17)/(BM7-BG7)</f>
        <v>0.10909090909090909</v>
      </c>
      <c r="BN43" s="155">
        <f>(BN17-BH17)/(BN7-BH7)</f>
        <v>-0.64420085913197511</v>
      </c>
      <c r="BO43" s="154">
        <f>(BO17-BI17)/(BO7-BI7)</f>
        <v>-0.11735639283508338</v>
      </c>
      <c r="BP43" s="188"/>
      <c r="BQ43" s="190">
        <f>(BQ17-BK17)/(BQ7-BK7)</f>
        <v>0.19620253164556961</v>
      </c>
      <c r="BR43" s="151">
        <f>(BR17-BL17)/(BR7-BL7)</f>
        <v>0.33369902169525256</v>
      </c>
      <c r="BS43" s="151">
        <f>(BS17-BM17)/(BS7-BM7)</f>
        <v>0.33651613502436545</v>
      </c>
      <c r="BT43" s="153">
        <f>(BT17-BN17)/(BT7-BN7)</f>
        <v>0.37859501256621442</v>
      </c>
      <c r="BU43" s="154">
        <f>(BU17-BO17)/(BU7-BO7)</f>
        <v>0.342998797510987</v>
      </c>
      <c r="BV43" s="188"/>
      <c r="BW43" s="152">
        <f>(BW17-BQ17)/(BW7-BQ7)</f>
        <v>0.34885437119990925</v>
      </c>
      <c r="BX43" s="151">
        <f>(BX17-BR17)/(BX7-BR7)</f>
        <v>0.64212297309569077</v>
      </c>
      <c r="BY43" s="151">
        <f>(BY17-BS17)/(BY7-BS7)</f>
        <v>0.36835151835732682</v>
      </c>
      <c r="BZ43" s="153">
        <f>(BZ17-BT17)/(BZ7-BT7)</f>
        <v>0.48107067110343699</v>
      </c>
      <c r="CA43" s="154">
        <f>(CA17-BU17)/(CA7-BU7)</f>
        <v>0.40130863312295706</v>
      </c>
      <c r="CB43" s="188"/>
      <c r="CC43" s="152">
        <f>(CC17-BW17)/(CC7-BW7)</f>
        <v>0.70223114979742529</v>
      </c>
      <c r="CD43" s="151">
        <f>(CD17-BX17)/(CD7-BX7)</f>
        <v>0.71075526054353444</v>
      </c>
      <c r="CE43" s="151">
        <f>(CE17-BY17)/(CE7-BY7)</f>
        <v>0.70783036399319665</v>
      </c>
      <c r="CF43" s="153">
        <f>(CF17-BZ17)/(CF7-BZ7)</f>
        <v>0.70781342870545161</v>
      </c>
      <c r="CG43" s="154">
        <f>(CG17-CA17)/(CG7-CA7)</f>
        <v>0.70718051820489147</v>
      </c>
      <c r="CH43" s="188"/>
      <c r="CI43" s="152">
        <f>(CI17-CC17)/(CI7-CC7)</f>
        <v>0.53541202983220837</v>
      </c>
      <c r="CJ43" s="151">
        <f>(CJ17-CD17)/(CJ7-CD7)</f>
        <v>0.40387568351649872</v>
      </c>
      <c r="CK43" s="151">
        <f>(CK17-CE17)/(CK7-CE7)</f>
        <v>0.61967043603976057</v>
      </c>
      <c r="CL43" s="153">
        <f>(CL17-CF17)/(CL7-CF7)</f>
        <v>0.61941718859430195</v>
      </c>
      <c r="CM43" s="154">
        <f>(CM17-CG17)/(CM7-CG7)</f>
        <v>0.54638765431559655</v>
      </c>
      <c r="CN43" s="188"/>
      <c r="CO43" s="188"/>
      <c r="CP43" s="188"/>
    </row>
    <row r="44" spans="1:100" collapsed="1" x14ac:dyDescent="0.2">
      <c r="A44" s="189" t="s">
        <v>51</v>
      </c>
      <c r="B44" s="188"/>
      <c r="C44" s="152">
        <f>C23/C7</f>
        <v>0.2194122810405891</v>
      </c>
      <c r="D44" s="151">
        <f>D23/D7</f>
        <v>0.20390349268555175</v>
      </c>
      <c r="E44" s="151">
        <f>E23/E7</f>
        <v>0.20662915141932825</v>
      </c>
      <c r="F44" s="153">
        <f>F23/F7</f>
        <v>0.20486330030688621</v>
      </c>
      <c r="G44" s="154">
        <f>G23/G7</f>
        <v>0.20851339902599431</v>
      </c>
      <c r="H44" s="188"/>
      <c r="I44" s="152">
        <f>I23/I7</f>
        <v>0.21490156627487814</v>
      </c>
      <c r="J44" s="151">
        <f>J23/J7</f>
        <v>0.21883938921247328</v>
      </c>
      <c r="K44" s="151">
        <f>K23/K7</f>
        <v>0.21965283563612542</v>
      </c>
      <c r="L44" s="153">
        <f>L23/L7</f>
        <v>0.21394005657999884</v>
      </c>
      <c r="M44" s="154">
        <f>M23/M7</f>
        <v>0.2168562465352071</v>
      </c>
      <c r="N44" s="188"/>
      <c r="O44" s="152">
        <f>O23/O7</f>
        <v>0.24195110056014166</v>
      </c>
      <c r="P44" s="151">
        <f>P23/P7</f>
        <v>0.20115236860585742</v>
      </c>
      <c r="Q44" s="151">
        <f>Q23/Q7</f>
        <v>0.23302797947995083</v>
      </c>
      <c r="R44" s="153">
        <f>R23/R7</f>
        <v>0.22720969480961134</v>
      </c>
      <c r="S44" s="154">
        <f>S23/S7</f>
        <v>0.22594186515507558</v>
      </c>
      <c r="T44" s="188"/>
      <c r="U44" s="152">
        <f>U23/U7</f>
        <v>0.22640942028597758</v>
      </c>
      <c r="V44" s="151">
        <f>V23/V7</f>
        <v>0.22815880102855998</v>
      </c>
      <c r="W44" s="151">
        <f>W23/W7</f>
        <v>0.22577449149630974</v>
      </c>
      <c r="X44" s="153">
        <f>X23/X7</f>
        <v>0.22107575559405185</v>
      </c>
      <c r="Y44" s="154">
        <f>Y23/Y7</f>
        <v>0.22532351699251785</v>
      </c>
      <c r="Z44" s="188"/>
      <c r="AA44" s="152">
        <f>AA23/AA7</f>
        <v>0.21517756124317911</v>
      </c>
      <c r="AB44" s="151">
        <f>AB23/AB7</f>
        <v>0.21772705139271231</v>
      </c>
      <c r="AC44" s="151">
        <f>AC23/AC7</f>
        <v>0.22294812871018785</v>
      </c>
      <c r="AD44" s="153">
        <f>AD23/AD7</f>
        <v>0.20277027091597793</v>
      </c>
      <c r="AE44" s="154">
        <f>AE23/AE7</f>
        <v>0.21455031796585081</v>
      </c>
      <c r="AF44" s="188"/>
      <c r="AG44" s="152">
        <f>AG23/AG7</f>
        <v>0.17603236302491646</v>
      </c>
      <c r="AH44" s="151">
        <f>AH23/AH7</f>
        <v>0.19156685905002738</v>
      </c>
      <c r="AI44" s="151">
        <f>AI23/AI7</f>
        <v>0.21132777589837057</v>
      </c>
      <c r="AJ44" s="153">
        <f>AJ23/AJ7</f>
        <v>0.19413614779803065</v>
      </c>
      <c r="AK44" s="154">
        <f>AK23/AK7</f>
        <v>0.19360833440792105</v>
      </c>
      <c r="AL44" s="188"/>
      <c r="AM44" s="152">
        <f>AM23/AM7</f>
        <v>0.20185648345009344</v>
      </c>
      <c r="AN44" s="151">
        <f>AN23/AN7</f>
        <v>0.19014359807536083</v>
      </c>
      <c r="AO44" s="151">
        <f>AO23/AO7</f>
        <v>0.20510134634796523</v>
      </c>
      <c r="AP44" s="153">
        <f>AP23/AP7</f>
        <v>0.20241727380952376</v>
      </c>
      <c r="AQ44" s="154">
        <f>AQ23/AQ7</f>
        <v>0.1999203797829715</v>
      </c>
      <c r="AR44" s="188"/>
      <c r="AS44" s="152">
        <f>AS23/AS7</f>
        <v>0.18729465482157928</v>
      </c>
      <c r="AT44" s="151">
        <f>AT23/AT7</f>
        <v>0.19521235521235522</v>
      </c>
      <c r="AU44" s="188">
        <f>AU23/AU7</f>
        <v>0.20877225519287843</v>
      </c>
      <c r="AV44" s="155">
        <f>AV23/AV7</f>
        <v>0.20068665161967142</v>
      </c>
      <c r="AW44" s="154">
        <f>AW23/AW7</f>
        <v>0.19821352666271205</v>
      </c>
      <c r="AX44" s="188"/>
      <c r="AY44" s="152">
        <f>AY23/AY7</f>
        <v>0.18630615170100542</v>
      </c>
      <c r="AZ44" s="151">
        <f>AZ23/AZ7</f>
        <v>0.19676168645906988</v>
      </c>
      <c r="BA44" s="151">
        <f>BA23/BA7</f>
        <v>0.18707309288222149</v>
      </c>
      <c r="BB44" s="155">
        <f>BB23/BB7</f>
        <v>0.17965438539289208</v>
      </c>
      <c r="BC44" s="154">
        <f>BC23/BC7</f>
        <v>0.1866401206027419</v>
      </c>
      <c r="BD44" s="188"/>
      <c r="BE44" s="190">
        <f>BE23/BE7</f>
        <v>0.18088121273694618</v>
      </c>
      <c r="BF44" s="151">
        <f>BF23/BF7</f>
        <v>0.19366655812438946</v>
      </c>
      <c r="BG44" s="151">
        <f>BG23/BG7</f>
        <v>0.20250000000000001</v>
      </c>
      <c r="BH44" s="155">
        <f>BH23/BH7</f>
        <v>0.17068645640074212</v>
      </c>
      <c r="BI44" s="154">
        <f>BI23/BI7</f>
        <v>0.18692047204022647</v>
      </c>
      <c r="BJ44" s="188"/>
      <c r="BK44" s="190">
        <f>BK23/BK7</f>
        <v>0.20910335386721424</v>
      </c>
      <c r="BL44" s="151">
        <f>BL23/BL7</f>
        <v>0.19299427416638598</v>
      </c>
      <c r="BM44" s="151">
        <f>BM23/BM7</f>
        <v>0.21186161449752883</v>
      </c>
      <c r="BN44" s="155">
        <f>BN23/BN7</f>
        <v>0.19406030020622198</v>
      </c>
      <c r="BO44" s="154">
        <f>BO23/BO7</f>
        <v>0.20190134538047994</v>
      </c>
      <c r="BP44" s="188"/>
      <c r="BQ44" s="190">
        <f>BQ23/BQ7</f>
        <v>0.21103896103896103</v>
      </c>
      <c r="BR44" s="151">
        <f>BR23/BR7</f>
        <v>0.21977013026039097</v>
      </c>
      <c r="BS44" s="151">
        <f>BS23/BS7</f>
        <v>0.23696385249644192</v>
      </c>
      <c r="BT44" s="153">
        <f>BT23/BT7</f>
        <v>0.23131073746676101</v>
      </c>
      <c r="BU44" s="154">
        <f>BU23/BU7</f>
        <v>0.2258930603891994</v>
      </c>
      <c r="BV44" s="188"/>
      <c r="BW44" s="152">
        <f>BW23/BW7</f>
        <v>0.2379856293719366</v>
      </c>
      <c r="BX44" s="151">
        <f>BX23/BX7</f>
        <v>0.24442535299032675</v>
      </c>
      <c r="BY44" s="151">
        <f>BY23/BY7</f>
        <v>0.24695449865840227</v>
      </c>
      <c r="BZ44" s="153">
        <f>BZ23/BZ7</f>
        <v>0.24075225575066989</v>
      </c>
      <c r="CA44" s="154">
        <f>CA23/CA7</f>
        <v>0.24256056689324251</v>
      </c>
      <c r="CB44" s="188"/>
      <c r="CC44" s="152">
        <f>CC23/CC7</f>
        <v>0.25622517643138087</v>
      </c>
      <c r="CD44" s="151">
        <f>CD23/CD7</f>
        <v>0.26274526742339105</v>
      </c>
      <c r="CE44" s="151">
        <f>CE23/CE7</f>
        <v>0.26599467358257134</v>
      </c>
      <c r="CF44" s="153">
        <f>CF23/CF7</f>
        <v>0.26639704916732743</v>
      </c>
      <c r="CG44" s="154">
        <f>CG23/CG7</f>
        <v>0.26293007161980997</v>
      </c>
      <c r="CH44" s="188"/>
      <c r="CI44" s="152">
        <f>CI23/CI7</f>
        <v>0.27493742664519683</v>
      </c>
      <c r="CJ44" s="151">
        <f>CJ23/CJ7</f>
        <v>0.27405185477127086</v>
      </c>
      <c r="CK44" s="151">
        <f>CK23/CK7</f>
        <v>0.2881560039317842</v>
      </c>
      <c r="CL44" s="153">
        <f>CL23/CL7</f>
        <v>0.28880769742857648</v>
      </c>
      <c r="CM44" s="154">
        <f>CM23/CM7</f>
        <v>0.28165016632886097</v>
      </c>
      <c r="CN44" s="188"/>
      <c r="CO44" s="188"/>
      <c r="CP44" s="188"/>
    </row>
    <row r="45" spans="1:100" x14ac:dyDescent="0.2">
      <c r="A45" s="196" t="s">
        <v>58</v>
      </c>
      <c r="B45" s="197"/>
      <c r="C45" s="198">
        <f>C31/C7</f>
        <v>0.16369792492211294</v>
      </c>
      <c r="D45" s="199">
        <f>D31/D7</f>
        <v>0.14946126013850944</v>
      </c>
      <c r="E45" s="199">
        <f>E31/E7</f>
        <v>0.15195514355130313</v>
      </c>
      <c r="F45" s="200">
        <f>F31/F7</f>
        <v>0.15087387143487901</v>
      </c>
      <c r="G45" s="201">
        <f>G31/G7</f>
        <v>0.15382892695208408</v>
      </c>
      <c r="H45" s="197"/>
      <c r="I45" s="198">
        <f>I31/I7</f>
        <v>0.15881184241458537</v>
      </c>
      <c r="J45" s="199">
        <f>J31/J7</f>
        <v>0.15778296148947429</v>
      </c>
      <c r="K45" s="199">
        <f>K31/K7</f>
        <v>0.15924818535994029</v>
      </c>
      <c r="L45" s="200">
        <f>L31/L7</f>
        <v>0.15372043727742657</v>
      </c>
      <c r="M45" s="201">
        <f>M31/M7</f>
        <v>0.15736850276645423</v>
      </c>
      <c r="N45" s="197"/>
      <c r="O45" s="198">
        <f>O31/O7</f>
        <v>0.18651547860679382</v>
      </c>
      <c r="P45" s="199">
        <f>P31/P7</f>
        <v>0.15523883308716679</v>
      </c>
      <c r="Q45" s="199">
        <f>Q31/Q7</f>
        <v>0.19197549663393956</v>
      </c>
      <c r="R45" s="200">
        <f>R31/R7</f>
        <v>0.17109820104712831</v>
      </c>
      <c r="S45" s="201">
        <f>S31/S7</f>
        <v>0.17627780238000021</v>
      </c>
      <c r="T45" s="197"/>
      <c r="U45" s="198">
        <f>U31/U7</f>
        <v>0.16929203378820201</v>
      </c>
      <c r="V45" s="199">
        <f>V31/V7</f>
        <v>0.16540486348573341</v>
      </c>
      <c r="W45" s="199">
        <f>W31/W7</f>
        <v>0.16762584309122613</v>
      </c>
      <c r="X45" s="200">
        <f>X31/X7</f>
        <v>0.21177453495231408</v>
      </c>
      <c r="Y45" s="201">
        <f>Y31/Y7</f>
        <v>0.17872361435654088</v>
      </c>
      <c r="Z45" s="197"/>
      <c r="AA45" s="198">
        <f>AA31/AA7</f>
        <v>0.17715930384421219</v>
      </c>
      <c r="AB45" s="199">
        <f>AB31/AB7</f>
        <v>0.16769679256417505</v>
      </c>
      <c r="AC45" s="199">
        <f>AC31/AC7</f>
        <v>0.17575692060357936</v>
      </c>
      <c r="AD45" s="200">
        <f>AD31/AD7</f>
        <v>0.15389946891153267</v>
      </c>
      <c r="AE45" s="201">
        <f>AE31/AE7</f>
        <v>0.16837926583619167</v>
      </c>
      <c r="AF45" s="197"/>
      <c r="AG45" s="198">
        <f>AG31/AG7</f>
        <v>0.1435727076190684</v>
      </c>
      <c r="AH45" s="199">
        <f>AH31/AH7</f>
        <v>0.15087552314432476</v>
      </c>
      <c r="AI45" s="199">
        <f>AI31/AI7</f>
        <v>0.16503966110081641</v>
      </c>
      <c r="AJ45" s="200">
        <f>AJ31/AJ7</f>
        <v>0.15354181207429338</v>
      </c>
      <c r="AK45" s="201">
        <f>AK31/AK7</f>
        <v>0.15345983112928233</v>
      </c>
      <c r="AL45" s="197"/>
      <c r="AM45" s="198">
        <f>AM31/AM7</f>
        <v>0.33572662788812918</v>
      </c>
      <c r="AN45" s="199">
        <f>AN31/AN7</f>
        <v>0.14475198400299941</v>
      </c>
      <c r="AO45" s="199">
        <f>AO31/AO7</f>
        <v>0.16052739513139982</v>
      </c>
      <c r="AP45" s="200">
        <f>AP31/AP7</f>
        <v>0.15159685357142855</v>
      </c>
      <c r="AQ45" s="201">
        <f>AQ31/AQ7</f>
        <v>0.1956190627091163</v>
      </c>
      <c r="AR45" s="197"/>
      <c r="AS45" s="198">
        <f>AS31/AS7</f>
        <v>0.14073095438979608</v>
      </c>
      <c r="AT45" s="199">
        <f>AT31/AT7</f>
        <v>0.15186235521235522</v>
      </c>
      <c r="AU45" s="197">
        <f>AU31/AU7</f>
        <v>0.15970827151335321</v>
      </c>
      <c r="AV45" s="202">
        <f>AV31/AV7</f>
        <v>0.15574557559298649</v>
      </c>
      <c r="AW45" s="201">
        <f>AW31/AW7</f>
        <v>0.15222280239980399</v>
      </c>
      <c r="AX45" s="197"/>
      <c r="AY45" s="198">
        <f>AY31/AY7</f>
        <v>0.14725469738779423</v>
      </c>
      <c r="AZ45" s="199">
        <f>AZ31/AZ7</f>
        <v>0.15481967373015673</v>
      </c>
      <c r="BA45" s="199">
        <f>BA31/BA7</f>
        <v>0.14079157357165653</v>
      </c>
      <c r="BB45" s="202">
        <f>BB31/BB7</f>
        <v>0.13661558526247147</v>
      </c>
      <c r="BC45" s="201">
        <f>BC31/BC7</f>
        <v>0.14362734296356194</v>
      </c>
      <c r="BD45" s="197"/>
      <c r="BE45" s="203">
        <f>BE31/BE7</f>
        <v>0.14198058979226261</v>
      </c>
      <c r="BF45" s="199">
        <f>BF31/BF7</f>
        <v>0.15380983393031586</v>
      </c>
      <c r="BG45" s="199">
        <f>BG31/BG7</f>
        <v>0.15937499999999999</v>
      </c>
      <c r="BH45" s="202">
        <f>BH31/BH7</f>
        <v>0.14285714285714285</v>
      </c>
      <c r="BI45" s="201">
        <f>BI31/BI7</f>
        <v>0.14956822466400579</v>
      </c>
      <c r="BJ45" s="197"/>
      <c r="BK45" s="203">
        <f>BK31/BK7</f>
        <v>0.17351129363449691</v>
      </c>
      <c r="BL45" s="199">
        <f>BL31/BL7</f>
        <v>0.16874368474233747</v>
      </c>
      <c r="BM45" s="199">
        <f>BM31/BM7</f>
        <v>0.17693574958813837</v>
      </c>
      <c r="BN45" s="202">
        <f>BN31/BN7</f>
        <v>0.16563766189061069</v>
      </c>
      <c r="BO45" s="201">
        <f>BO31/BO7</f>
        <v>0.17113845039359138</v>
      </c>
      <c r="BP45" s="197"/>
      <c r="BQ45" s="203">
        <f>BQ31/BQ7</f>
        <v>0.17662337662337663</v>
      </c>
      <c r="BR45" s="199">
        <f>BR31/BR7</f>
        <v>0.17320820324922104</v>
      </c>
      <c r="BS45" s="199">
        <f>BS31/BS7</f>
        <v>0.18777759867713609</v>
      </c>
      <c r="BT45" s="200">
        <f>BT31/BT7</f>
        <v>0.18320734367738753</v>
      </c>
      <c r="BU45" s="201">
        <f>BU31/BU7</f>
        <v>0.18055156712687342</v>
      </c>
      <c r="BV45" s="197"/>
      <c r="BW45" s="198">
        <f>BW31/BW7</f>
        <v>0.18926621487275297</v>
      </c>
      <c r="BX45" s="199">
        <f>BX31/BX7</f>
        <v>0.19475601137452689</v>
      </c>
      <c r="BY45" s="199">
        <f>BY31/BY7</f>
        <v>0.19713524654482262</v>
      </c>
      <c r="BZ45" s="200">
        <f>BZ31/BZ7</f>
        <v>0.19208657533431714</v>
      </c>
      <c r="CA45" s="201">
        <f>CA31/CA7</f>
        <v>0.19334190814784399</v>
      </c>
      <c r="CB45" s="197"/>
      <c r="CC45" s="198">
        <f>CC31/CC7</f>
        <v>0.21394802232020302</v>
      </c>
      <c r="CD45" s="199">
        <f>CD31/CD7</f>
        <v>0.21939229829853152</v>
      </c>
      <c r="CE45" s="199">
        <f>CE31/CE7</f>
        <v>0.22210555244144706</v>
      </c>
      <c r="CF45" s="200">
        <f>CF31/CF7</f>
        <v>0.22244153605471842</v>
      </c>
      <c r="CG45" s="201">
        <f>CG31/CG7</f>
        <v>0.21954660980254131</v>
      </c>
      <c r="CH45" s="197"/>
      <c r="CI45" s="198">
        <f>CI31/CI7</f>
        <v>0.22957275124873935</v>
      </c>
      <c r="CJ45" s="199">
        <f>CJ31/CJ7</f>
        <v>0.22883329873401112</v>
      </c>
      <c r="CK45" s="199">
        <f>CK31/CK7</f>
        <v>0.24061026328303978</v>
      </c>
      <c r="CL45" s="200">
        <f>CL31/CL7</f>
        <v>0.24115442735286133</v>
      </c>
      <c r="CM45" s="201">
        <f>CM31/CM7</f>
        <v>0.23517788888459887</v>
      </c>
      <c r="CN45" s="188"/>
      <c r="CO45" s="188"/>
      <c r="CP45" s="188"/>
    </row>
    <row r="46" spans="1:100" s="11" customFormat="1" x14ac:dyDescent="0.2">
      <c r="A46" s="10"/>
      <c r="BU46" s="53"/>
      <c r="CQ46"/>
      <c r="CR46"/>
      <c r="CS46"/>
      <c r="CT46"/>
      <c r="CU46"/>
      <c r="CV46"/>
    </row>
    <row r="47" spans="1:100" x14ac:dyDescent="0.2">
      <c r="A47" s="176" t="s">
        <v>65</v>
      </c>
      <c r="B47" s="204"/>
      <c r="C47" s="205"/>
      <c r="D47" s="204"/>
      <c r="E47" s="204"/>
      <c r="F47" s="206"/>
      <c r="G47" s="207"/>
      <c r="H47" s="204"/>
      <c r="I47" s="205"/>
      <c r="J47" s="204"/>
      <c r="K47" s="204"/>
      <c r="L47" s="206"/>
      <c r="M47" s="208"/>
      <c r="N47" s="204"/>
      <c r="O47" s="209"/>
      <c r="P47" s="210"/>
      <c r="Q47" s="210"/>
      <c r="R47" s="206"/>
      <c r="S47" s="207"/>
      <c r="T47" s="204"/>
      <c r="U47" s="205"/>
      <c r="V47" s="204"/>
      <c r="W47" s="204"/>
      <c r="X47" s="206"/>
      <c r="Y47" s="207"/>
      <c r="Z47" s="204"/>
      <c r="AA47" s="205"/>
      <c r="AB47" s="204"/>
      <c r="AC47" s="204"/>
      <c r="AD47" s="206"/>
      <c r="AE47" s="207"/>
      <c r="AF47" s="204"/>
      <c r="AG47" s="211"/>
      <c r="AH47" s="212"/>
      <c r="AI47" s="204"/>
      <c r="AJ47" s="206"/>
      <c r="AK47" s="213"/>
      <c r="AL47" s="214"/>
      <c r="AM47" s="211"/>
      <c r="AN47" s="212"/>
      <c r="AO47" s="212"/>
      <c r="AP47" s="215"/>
      <c r="AQ47" s="216"/>
      <c r="AR47" s="214"/>
      <c r="AS47" s="211"/>
      <c r="AT47" s="212"/>
      <c r="AU47" s="214"/>
      <c r="AV47" s="217"/>
      <c r="AW47" s="218"/>
      <c r="AX47" s="214"/>
      <c r="AY47" s="219"/>
      <c r="AZ47" s="214"/>
      <c r="BA47" s="214"/>
      <c r="BB47" s="217"/>
      <c r="BC47" s="218"/>
      <c r="BD47" s="214"/>
      <c r="BE47" s="219"/>
      <c r="BF47" s="214"/>
      <c r="BG47" s="214"/>
      <c r="BH47" s="217"/>
      <c r="BI47" s="218"/>
      <c r="BJ47" s="214"/>
      <c r="BK47" s="219"/>
      <c r="BL47" s="214"/>
      <c r="BM47" s="214"/>
      <c r="BN47" s="217"/>
      <c r="BO47" s="218"/>
      <c r="BP47" s="214"/>
      <c r="BQ47" s="219"/>
      <c r="BR47" s="214"/>
      <c r="BS47" s="214"/>
      <c r="BT47" s="217"/>
      <c r="BU47" s="218"/>
      <c r="BV47" s="214"/>
      <c r="BW47" s="219"/>
      <c r="BX47" s="214"/>
      <c r="BY47" s="214"/>
      <c r="BZ47" s="217"/>
      <c r="CA47" s="218"/>
      <c r="CB47" s="214"/>
      <c r="CC47" s="219"/>
      <c r="CD47" s="214"/>
      <c r="CE47" s="214"/>
      <c r="CF47" s="217"/>
      <c r="CG47" s="218"/>
      <c r="CH47" s="214"/>
      <c r="CI47" s="219"/>
      <c r="CJ47" s="214"/>
      <c r="CK47" s="214"/>
      <c r="CL47" s="217"/>
      <c r="CM47" s="218"/>
    </row>
    <row r="48" spans="1:100" x14ac:dyDescent="0.2">
      <c r="A48" s="189" t="s">
        <v>66</v>
      </c>
      <c r="B48" s="188"/>
      <c r="C48" s="193">
        <v>7.7263475532718395E-2</v>
      </c>
      <c r="D48" s="191">
        <v>0.10652594742196886</v>
      </c>
      <c r="E48" s="191">
        <v>0.11926526814460248</v>
      </c>
      <c r="F48" s="192">
        <v>0.12878274619939356</v>
      </c>
      <c r="G48" s="220">
        <v>0.10832688668402546</v>
      </c>
      <c r="H48" s="188"/>
      <c r="I48" s="152">
        <f>I7/C7-1</f>
        <v>0.13601623406463004</v>
      </c>
      <c r="J48" s="151">
        <f>J7/D7-1</f>
        <v>0.10850981203384436</v>
      </c>
      <c r="K48" s="151">
        <f>K7/E7-1</f>
        <v>0.1449454038508815</v>
      </c>
      <c r="L48" s="153">
        <f>L7/F7-1</f>
        <v>0.11176178804325088</v>
      </c>
      <c r="M48" s="154">
        <f>M7/G7-1</f>
        <v>0.12519348348259562</v>
      </c>
      <c r="N48" s="188"/>
      <c r="O48" s="152">
        <f>O7/I7-1</f>
        <v>-1.9122775853912088E-2</v>
      </c>
      <c r="P48" s="151">
        <f>P7/J7-1</f>
        <v>-3.6511584641584438E-2</v>
      </c>
      <c r="Q48" s="151">
        <f>Q7/K7-1</f>
        <v>-4.882179581363788E-2</v>
      </c>
      <c r="R48" s="153">
        <f>R7/L7-1</f>
        <v>1.0019442905464082E-2</v>
      </c>
      <c r="S48" s="154">
        <f>S7/M7-1</f>
        <v>-2.3643251013043654E-2</v>
      </c>
      <c r="T48" s="188"/>
      <c r="U48" s="152">
        <f>U7/O7-1</f>
        <v>0.11694721566771138</v>
      </c>
      <c r="V48" s="151">
        <f>V7/P7-1</f>
        <v>6.9077356515374166E-2</v>
      </c>
      <c r="W48" s="151">
        <f>W7/Q7-1</f>
        <v>3.0680997450474701E-2</v>
      </c>
      <c r="X48" s="153">
        <f>X7/R7-1</f>
        <v>1.0340756290509789E-2</v>
      </c>
      <c r="Y48" s="154">
        <f>Y7/S7-1</f>
        <v>5.5191977010105697E-2</v>
      </c>
      <c r="Z48" s="188"/>
      <c r="AA48" s="152">
        <f>AA7/U7-1</f>
        <v>-4.5731740597532711E-2</v>
      </c>
      <c r="AB48" s="151">
        <f>AB7/V7-1</f>
        <v>3.4013945689945979E-2</v>
      </c>
      <c r="AC48" s="151">
        <f>AC7/W7-1</f>
        <v>6.6075303496456073E-2</v>
      </c>
      <c r="AD48" s="153">
        <f>AD7/X7-1</f>
        <v>6.1384959921417792E-2</v>
      </c>
      <c r="AE48" s="154">
        <f>AE7/Y7-1</f>
        <v>2.871610655677137E-2</v>
      </c>
      <c r="AF48" s="188"/>
      <c r="AG48" s="152">
        <f>AG7/AA7-1</f>
        <v>2.7120979982826698E-2</v>
      </c>
      <c r="AH48" s="151">
        <f>AH7/AB7-1</f>
        <v>3.6733572895828903E-2</v>
      </c>
      <c r="AI48" s="151">
        <f>AI7/AC7-1</f>
        <v>1.4673477846332439E-2</v>
      </c>
      <c r="AJ48" s="153">
        <f>AJ7/AD7-1</f>
        <v>-1.0567448335941365E-2</v>
      </c>
      <c r="AK48" s="154">
        <f>AK7/AE7-1</f>
        <v>1.6395527675185262E-2</v>
      </c>
      <c r="AL48" s="188"/>
      <c r="AM48" s="152">
        <f>AM7/AG7-1</f>
        <v>3.7381259144410706E-2</v>
      </c>
      <c r="AN48" s="151">
        <f>AN7/AH7-1</f>
        <v>3.7022003036868201E-2</v>
      </c>
      <c r="AO48" s="151">
        <f>AO7/AI7-1</f>
        <v>3.6421563924807998E-2</v>
      </c>
      <c r="AP48" s="153">
        <f>AP7/AJ7-1</f>
        <v>6.7522853885096934E-2</v>
      </c>
      <c r="AQ48" s="154">
        <f>AQ7/AK7-1</f>
        <v>4.4736885120638892E-2</v>
      </c>
      <c r="AR48" s="188"/>
      <c r="AS48" s="152">
        <f>AS7/AM7-1</f>
        <v>6.0366531382092026E-2</v>
      </c>
      <c r="AT48" s="151">
        <f>AT7/AN7-1</f>
        <v>3.5805786415047169E-2</v>
      </c>
      <c r="AU48" s="151">
        <f>AU7/AO7-1</f>
        <v>5.0732121769563987E-2</v>
      </c>
      <c r="AV48" s="153">
        <f>AV7/AP7-1</f>
        <v>4.8566666666666869E-2</v>
      </c>
      <c r="AW48" s="154">
        <f>AW7/AQ7-1</f>
        <v>4.8733110971236338E-2</v>
      </c>
      <c r="AX48" s="188"/>
      <c r="AY48" s="152">
        <f>AY7/AS7-1</f>
        <v>1.7986004268202072E-2</v>
      </c>
      <c r="AZ48" s="151">
        <f>AZ7/AT7-1</f>
        <v>-1.0400579150579237E-2</v>
      </c>
      <c r="BA48" s="151">
        <f>BA7/AU7-1</f>
        <v>0.45261498516320464</v>
      </c>
      <c r="BB48" s="153">
        <f>BB7/AV7-1</f>
        <v>0.39283103011366971</v>
      </c>
      <c r="BC48" s="154">
        <f>BC7/AW7-1</f>
        <v>0.21974521915912137</v>
      </c>
      <c r="BD48" s="188"/>
      <c r="BE48" s="152">
        <f>BE7/AY7-1</f>
        <v>0.45881802314810272</v>
      </c>
      <c r="BF48" s="151">
        <f>BF7/AZ7-1</f>
        <v>0.49772001268014354</v>
      </c>
      <c r="BG48" s="151">
        <f>BG7/BA7-1</f>
        <v>2.1385253750398903E-2</v>
      </c>
      <c r="BH48" s="153">
        <f>BH7/BB7-1</f>
        <v>5.4450603195304925E-2</v>
      </c>
      <c r="BI48" s="154">
        <f>BI7/BC7-1</f>
        <v>0.21313700118137091</v>
      </c>
      <c r="BJ48" s="188"/>
      <c r="BK48" s="152">
        <f>BK7/BE7-1</f>
        <v>-2.3474052883458496E-2</v>
      </c>
      <c r="BL48" s="151">
        <f>BL7/BF7-1</f>
        <v>-3.3213936828394686E-2</v>
      </c>
      <c r="BM48" s="151">
        <f>BM7/BG7-1</f>
        <v>-5.1562499999999956E-2</v>
      </c>
      <c r="BN48" s="153">
        <f>BN7/BH7-1</f>
        <v>-2.0875077303648792E-2</v>
      </c>
      <c r="BO48" s="154">
        <f>BO7/BI7-1</f>
        <v>-3.2387151082959087E-2</v>
      </c>
      <c r="BP48" s="188"/>
      <c r="BQ48" s="152">
        <f>BQ7/BK7-1</f>
        <v>5.4072553045859006E-2</v>
      </c>
      <c r="BR48" s="151">
        <f>BR7/BL7-1</f>
        <v>0.40133075109464444</v>
      </c>
      <c r="BS48" s="151">
        <f>BS7/BM7-1</f>
        <v>0.41683855024711702</v>
      </c>
      <c r="BT48" s="153">
        <f>BT7/BN7-1</f>
        <v>0.37684597140682596</v>
      </c>
      <c r="BU48" s="154">
        <f>BU7/BO7-1</f>
        <v>0.31490081860725128</v>
      </c>
      <c r="BV48" s="188"/>
      <c r="BW48" s="152">
        <f>BW7/BQ7-1</f>
        <v>0.40332253069857615</v>
      </c>
      <c r="BX48" s="151">
        <f>BX7/BR7-1</f>
        <v>5.4182485127565405E-2</v>
      </c>
      <c r="BY48" s="151">
        <f>BY7/BS7-1</f>
        <v>5.2993317829439945E-2</v>
      </c>
      <c r="BZ48" s="153">
        <f>BZ7/BT7-1</f>
        <v>5.2866653150417608E-2</v>
      </c>
      <c r="CA48" s="154">
        <f>CA7/BU7-1</f>
        <v>0.12113044863489497</v>
      </c>
      <c r="CB48" s="188"/>
      <c r="CC48" s="152">
        <f>CC7/BW7-1</f>
        <v>5.3368116433731849E-2</v>
      </c>
      <c r="CD48" s="151">
        <f>CD7/BX7-1</f>
        <v>5.291574656503073E-2</v>
      </c>
      <c r="CE48" s="151">
        <f>CE7/BY7-1</f>
        <v>5.3420053311958648E-2</v>
      </c>
      <c r="CF48" s="153">
        <f>CF7/BZ7-1</f>
        <v>5.3292839985826568E-2</v>
      </c>
      <c r="CG48" s="154">
        <f>CG7/CA7-1</f>
        <v>5.3250625065484503E-2</v>
      </c>
      <c r="CH48" s="188"/>
      <c r="CI48" s="152">
        <f>CI7/CC7-1</f>
        <v>5.3668331382475509E-2</v>
      </c>
      <c r="CJ48" s="151">
        <f>CJ7/CD7-1</f>
        <v>5.320400129806413E-2</v>
      </c>
      <c r="CK48" s="151">
        <f>CK7/CE7-1</f>
        <v>5.3716106968915156E-2</v>
      </c>
      <c r="CL48" s="153">
        <f>CL7/CF7-1</f>
        <v>5.3585836098743123E-2</v>
      </c>
      <c r="CM48" s="154">
        <f>CM7/CG7-1</f>
        <v>5.3545018962822155E-2</v>
      </c>
      <c r="CN48" s="188"/>
      <c r="CO48" s="188"/>
      <c r="CP48" s="188"/>
    </row>
    <row r="49" spans="1:100" x14ac:dyDescent="0.2">
      <c r="A49" s="189" t="s">
        <v>39</v>
      </c>
      <c r="B49" s="188"/>
      <c r="C49" s="193">
        <v>8.8894689481312295E-2</v>
      </c>
      <c r="D49" s="191">
        <v>0.11846724957646448</v>
      </c>
      <c r="E49" s="191">
        <v>0.13858827132969131</v>
      </c>
      <c r="F49" s="192">
        <v>0.11945908723624776</v>
      </c>
      <c r="G49" s="220">
        <v>0.11645281368405525</v>
      </c>
      <c r="H49" s="188"/>
      <c r="I49" s="152">
        <f t="shared" ref="I49:M50" si="24">I11/C11-1</f>
        <v>0.10512224940417703</v>
      </c>
      <c r="J49" s="151">
        <f t="shared" si="24"/>
        <v>0.1007367676384241</v>
      </c>
      <c r="K49" s="151">
        <f t="shared" si="24"/>
        <v>0.13110293207378287</v>
      </c>
      <c r="L49" s="153">
        <f t="shared" si="24"/>
        <v>0.11895003579369523</v>
      </c>
      <c r="M49" s="154">
        <f t="shared" si="24"/>
        <v>0.11422701232893173</v>
      </c>
      <c r="N49" s="188"/>
      <c r="O49" s="152">
        <f t="shared" ref="O49:S50" si="25">O11/I11-1</f>
        <v>2.4756798843731165E-2</v>
      </c>
      <c r="P49" s="151">
        <f t="shared" si="25"/>
        <v>-1.9435281788072634E-2</v>
      </c>
      <c r="Q49" s="151">
        <f t="shared" si="25"/>
        <v>-1.3020060490873009E-2</v>
      </c>
      <c r="R49" s="153">
        <f t="shared" si="25"/>
        <v>2.0910193467749361E-2</v>
      </c>
      <c r="S49" s="154">
        <f t="shared" si="25"/>
        <v>3.1927061296352921E-3</v>
      </c>
      <c r="T49" s="188"/>
      <c r="U49" s="152">
        <f t="shared" ref="U49:Y50" si="26">U11/O11-1</f>
        <v>8.5658963955232315E-2</v>
      </c>
      <c r="V49" s="151">
        <f t="shared" si="26"/>
        <v>6.7549328583173418E-2</v>
      </c>
      <c r="W49" s="151">
        <f t="shared" si="26"/>
        <v>1.0260658908529674E-2</v>
      </c>
      <c r="X49" s="153">
        <f t="shared" si="26"/>
        <v>8.7526171736391767E-3</v>
      </c>
      <c r="Y49" s="154">
        <f t="shared" si="26"/>
        <v>4.1932536354646999E-2</v>
      </c>
      <c r="Z49" s="188"/>
      <c r="AA49" s="152">
        <f t="shared" ref="AA49:AE50" si="27">AA11/U11-1</f>
        <v>-3.2125698054580099E-2</v>
      </c>
      <c r="AB49" s="151">
        <f t="shared" si="27"/>
        <v>3.6832146596970539E-2</v>
      </c>
      <c r="AC49" s="151">
        <f t="shared" si="27"/>
        <v>8.6292332162152485E-2</v>
      </c>
      <c r="AD49" s="153">
        <f t="shared" si="27"/>
        <v>4.6158340035916234E-2</v>
      </c>
      <c r="AE49" s="154">
        <f t="shared" si="27"/>
        <v>3.388916600289904E-2</v>
      </c>
      <c r="AF49" s="188"/>
      <c r="AG49" s="152">
        <f t="shared" ref="AG49:AK50" si="28">AG11/AA11-1</f>
        <v>-1.2651458453073583E-2</v>
      </c>
      <c r="AH49" s="151">
        <f t="shared" si="28"/>
        <v>1.9007543183487297E-2</v>
      </c>
      <c r="AI49" s="151">
        <f t="shared" si="28"/>
        <v>3.787271541928483E-3</v>
      </c>
      <c r="AJ49" s="153">
        <f t="shared" si="28"/>
        <v>-6.2076017067465017E-3</v>
      </c>
      <c r="AK49" s="154">
        <f t="shared" si="28"/>
        <v>1.0296503586446626E-3</v>
      </c>
      <c r="AL49" s="188"/>
      <c r="AM49" s="152">
        <f t="shared" ref="AM49:AQ50" si="29">AM11/AG11-1</f>
        <v>9.9590418306478856E-2</v>
      </c>
      <c r="AN49" s="151">
        <f t="shared" si="29"/>
        <v>5.0851052413652287E-2</v>
      </c>
      <c r="AO49" s="151">
        <f t="shared" si="29"/>
        <v>4.5296258475416851E-2</v>
      </c>
      <c r="AP49" s="153">
        <f t="shared" si="29"/>
        <v>9.324084956263512E-2</v>
      </c>
      <c r="AQ49" s="154">
        <f t="shared" si="29"/>
        <v>7.1668307261708364E-2</v>
      </c>
      <c r="AR49" s="188"/>
      <c r="AS49" s="152">
        <f t="shared" ref="AS49:AW50" si="30">AS11/AM11-1</f>
        <v>2.8692335488682108E-2</v>
      </c>
      <c r="AT49" s="151">
        <f t="shared" si="30"/>
        <v>3.2247871280189466E-2</v>
      </c>
      <c r="AU49" s="151">
        <f t="shared" si="30"/>
        <v>4.5695324470153675E-2</v>
      </c>
      <c r="AV49" s="153">
        <f t="shared" si="30"/>
        <v>3.3331387012177416E-2</v>
      </c>
      <c r="AW49" s="154">
        <f t="shared" si="30"/>
        <v>3.5091949308385217E-2</v>
      </c>
      <c r="AX49" s="188"/>
      <c r="AY49" s="152">
        <f t="shared" ref="AY49:BC50" si="31">AY11/AS11-1</f>
        <v>9.2654122918607307E-3</v>
      </c>
      <c r="AZ49" s="151">
        <f t="shared" si="31"/>
        <v>-8.4275954754173821E-3</v>
      </c>
      <c r="BA49" s="151">
        <f t="shared" si="31"/>
        <v>0.44215783508075912</v>
      </c>
      <c r="BB49" s="153">
        <f t="shared" si="31"/>
        <v>0.40816701841651226</v>
      </c>
      <c r="BC49" s="154">
        <f t="shared" si="31"/>
        <v>0.21977457035293035</v>
      </c>
      <c r="BD49" s="188"/>
      <c r="BE49" s="152">
        <f t="shared" ref="BE49:BI50" si="32">BE11/AY11-1</f>
        <v>0.47322083639031476</v>
      </c>
      <c r="BF49" s="151">
        <f t="shared" si="32"/>
        <v>0.52971904560214633</v>
      </c>
      <c r="BG49" s="151">
        <f t="shared" si="32"/>
        <v>3.4016947071104031E-2</v>
      </c>
      <c r="BH49" s="153">
        <f t="shared" si="32"/>
        <v>5.0373134328358216E-2</v>
      </c>
      <c r="BI49" s="154">
        <f t="shared" si="32"/>
        <v>0.22421808999681092</v>
      </c>
      <c r="BJ49" s="188"/>
      <c r="BK49" s="152">
        <f t="shared" ref="BK49:BO50" si="33">BK11/BE11-1</f>
        <v>1.3254673613239509E-2</v>
      </c>
      <c r="BL49" s="151">
        <f t="shared" si="33"/>
        <v>-3.8301799723119534E-2</v>
      </c>
      <c r="BM49" s="151">
        <f t="shared" si="33"/>
        <v>-2.9097387173396716E-2</v>
      </c>
      <c r="BN49" s="153">
        <f t="shared" si="33"/>
        <v>-2.0781527531085198E-3</v>
      </c>
      <c r="BO49" s="154">
        <f t="shared" si="33"/>
        <v>-1.4319467315815904E-2</v>
      </c>
      <c r="BP49" s="188"/>
      <c r="BQ49" s="152">
        <f t="shared" ref="BQ49:BU50" si="34">BQ11/BK11-1</f>
        <v>6.4272211720226791E-2</v>
      </c>
      <c r="BR49" s="151">
        <f t="shared" si="34"/>
        <v>0.50397396992962218</v>
      </c>
      <c r="BS49" s="151">
        <f t="shared" si="34"/>
        <v>0.50700927522935779</v>
      </c>
      <c r="BT49" s="153">
        <f t="shared" si="34"/>
        <v>0.48732248485603602</v>
      </c>
      <c r="BU49" s="154">
        <f t="shared" si="34"/>
        <v>0.39255893371290251</v>
      </c>
      <c r="BV49" s="188"/>
      <c r="BW49" s="152">
        <f t="shared" ref="BW49:CA50" si="35">BW11/BQ11-1</f>
        <v>0.47145305024699713</v>
      </c>
      <c r="BX49" s="151">
        <f t="shared" si="35"/>
        <v>7.4706391917659598E-2</v>
      </c>
      <c r="BY49" s="151">
        <f t="shared" si="35"/>
        <v>5.6668687176139709E-2</v>
      </c>
      <c r="BZ49" s="153">
        <f t="shared" si="35"/>
        <v>5.6528798030940797E-2</v>
      </c>
      <c r="CA49" s="154">
        <f t="shared" si="35"/>
        <v>0.1390856847371984</v>
      </c>
      <c r="CB49" s="188"/>
      <c r="CC49" s="152">
        <f t="shared" ref="CC49:CG50" si="36">CC11/BW11-1</f>
        <v>6.9855617386607616E-2</v>
      </c>
      <c r="CD49" s="151">
        <f t="shared" si="36"/>
        <v>6.9367555105109391E-2</v>
      </c>
      <c r="CE49" s="151">
        <f t="shared" si="36"/>
        <v>6.9908367189885023E-2</v>
      </c>
      <c r="CF49" s="153">
        <f t="shared" si="36"/>
        <v>6.9722017732572583E-2</v>
      </c>
      <c r="CG49" s="154">
        <f t="shared" si="36"/>
        <v>6.9714391201670889E-2</v>
      </c>
      <c r="CH49" s="188"/>
      <c r="CI49" s="152">
        <f t="shared" ref="CI49:CM50" si="37">CI11/CC11-1</f>
        <v>6.2689464356640467E-2</v>
      </c>
      <c r="CJ49" s="151">
        <f t="shared" si="37"/>
        <v>4.960330385772882E-2</v>
      </c>
      <c r="CK49" s="151">
        <f t="shared" si="37"/>
        <v>6.9954882590011591E-2</v>
      </c>
      <c r="CL49" s="153">
        <f t="shared" si="37"/>
        <v>6.9767188530293733E-2</v>
      </c>
      <c r="CM49" s="154">
        <f t="shared" si="37"/>
        <v>6.3139246439460006E-2</v>
      </c>
      <c r="CN49" s="188"/>
      <c r="CO49" s="188"/>
      <c r="CP49" s="188"/>
    </row>
    <row r="50" spans="1:100" hidden="1" outlineLevel="1" x14ac:dyDescent="0.2">
      <c r="A50" s="86" t="s">
        <v>67</v>
      </c>
      <c r="B50" s="188"/>
      <c r="C50" s="193">
        <v>0.120442086142333</v>
      </c>
      <c r="D50" s="191">
        <v>0.141189712430453</v>
      </c>
      <c r="E50" s="191">
        <v>0.12038044131192201</v>
      </c>
      <c r="F50" s="192">
        <v>5.6240284254940986E-2</v>
      </c>
      <c r="G50" s="220">
        <v>9.8917407208781505E-2</v>
      </c>
      <c r="H50" s="188"/>
      <c r="I50" s="152">
        <f t="shared" si="24"/>
        <v>9.7983774382687239E-2</v>
      </c>
      <c r="J50" s="151">
        <f t="shared" si="24"/>
        <v>2.1867491657055371E-2</v>
      </c>
      <c r="K50" s="151">
        <f t="shared" si="24"/>
        <v>6.8962840034549444E-2</v>
      </c>
      <c r="L50" s="153">
        <f t="shared" si="24"/>
        <v>9.4339528189725463E-2</v>
      </c>
      <c r="M50" s="154">
        <f t="shared" si="24"/>
        <v>7.0295006752354672E-2</v>
      </c>
      <c r="N50" s="188"/>
      <c r="O50" s="152">
        <f t="shared" si="25"/>
        <v>-5.2286124851203875E-2</v>
      </c>
      <c r="P50" s="151">
        <f t="shared" si="25"/>
        <v>3.6303646248222021E-2</v>
      </c>
      <c r="Q50" s="151">
        <f t="shared" si="25"/>
        <v>-3.8755027372511353E-2</v>
      </c>
      <c r="R50" s="153">
        <f t="shared" si="25"/>
        <v>-2.3347727439069099E-2</v>
      </c>
      <c r="S50" s="154">
        <f t="shared" si="25"/>
        <v>-1.9969155328285915E-2</v>
      </c>
      <c r="T50" s="188"/>
      <c r="U50" s="152">
        <f t="shared" si="26"/>
        <v>0.11510803967292849</v>
      </c>
      <c r="V50" s="151">
        <f t="shared" si="26"/>
        <v>-2.2136142384721058E-2</v>
      </c>
      <c r="W50" s="151">
        <f t="shared" si="26"/>
        <v>-1.6634672371332093E-2</v>
      </c>
      <c r="X50" s="153">
        <f t="shared" si="26"/>
        <v>2.606742730815359E-2</v>
      </c>
      <c r="Y50" s="154">
        <f t="shared" si="26"/>
        <v>2.413081413162943E-2</v>
      </c>
      <c r="Z50" s="188"/>
      <c r="AA50" s="152">
        <f t="shared" si="27"/>
        <v>-1.0586236994388321E-2</v>
      </c>
      <c r="AB50" s="151">
        <f t="shared" si="27"/>
        <v>3.3124661581282133E-2</v>
      </c>
      <c r="AC50" s="151">
        <f t="shared" si="27"/>
        <v>0.12365896059241055</v>
      </c>
      <c r="AD50" s="153">
        <f t="shared" si="27"/>
        <v>9.4609245011286314E-2</v>
      </c>
      <c r="AE50" s="154">
        <f t="shared" si="27"/>
        <v>5.9361340710462951E-2</v>
      </c>
      <c r="AF50" s="188"/>
      <c r="AG50" s="152">
        <f t="shared" si="28"/>
        <v>9.3696635711127074E-2</v>
      </c>
      <c r="AH50" s="151">
        <f t="shared" si="28"/>
        <v>0.12107377983743439</v>
      </c>
      <c r="AI50" s="151">
        <f t="shared" si="28"/>
        <v>2.4830757658642622E-3</v>
      </c>
      <c r="AJ50" s="153">
        <f t="shared" si="28"/>
        <v>-6.9475865894064182E-3</v>
      </c>
      <c r="AK50" s="154">
        <f t="shared" si="28"/>
        <v>5.0350472542935787E-2</v>
      </c>
      <c r="AL50" s="188"/>
      <c r="AM50" s="152">
        <f t="shared" si="29"/>
        <v>2.8214427158174571E-2</v>
      </c>
      <c r="AN50" s="151">
        <f t="shared" si="29"/>
        <v>5.5190344765365218E-2</v>
      </c>
      <c r="AO50" s="151">
        <f t="shared" si="29"/>
        <v>9.206403342357139E-2</v>
      </c>
      <c r="AP50" s="153">
        <f t="shared" si="29"/>
        <v>0.11283986234380872</v>
      </c>
      <c r="AQ50" s="154">
        <f t="shared" si="29"/>
        <v>7.1764279605754266E-2</v>
      </c>
      <c r="AR50" s="188"/>
      <c r="AS50" s="152">
        <f t="shared" si="30"/>
        <v>7.0827905250888445E-2</v>
      </c>
      <c r="AT50" s="151">
        <f t="shared" si="30"/>
        <v>-1.1853636734614481E-3</v>
      </c>
      <c r="AU50" s="151">
        <f t="shared" si="30"/>
        <v>3.0605871330418477E-2</v>
      </c>
      <c r="AV50" s="153">
        <f t="shared" si="30"/>
        <v>2.2641509433962259E-2</v>
      </c>
      <c r="AW50" s="154">
        <f t="shared" si="30"/>
        <v>3.0296062758913722E-2</v>
      </c>
      <c r="AX50" s="188"/>
      <c r="AY50" s="152">
        <f t="shared" si="31"/>
        <v>1.8832391713747842E-3</v>
      </c>
      <c r="AZ50" s="151">
        <f t="shared" si="31"/>
        <v>-5.8365758754863606E-3</v>
      </c>
      <c r="BA50" s="151">
        <f t="shared" si="31"/>
        <v>0.44204545454545441</v>
      </c>
      <c r="BB50" s="153">
        <f t="shared" si="31"/>
        <v>0.37822878228782297</v>
      </c>
      <c r="BC50" s="154">
        <f t="shared" si="31"/>
        <v>0.20633569739952717</v>
      </c>
      <c r="BD50" s="188"/>
      <c r="BE50" s="152">
        <f t="shared" si="32"/>
        <v>0.40037593984962405</v>
      </c>
      <c r="BF50" s="151">
        <f t="shared" si="32"/>
        <v>0.46917808219178081</v>
      </c>
      <c r="BG50" s="151">
        <f t="shared" si="32"/>
        <v>-4.386656159705804E-2</v>
      </c>
      <c r="BH50" s="153">
        <f t="shared" si="32"/>
        <v>5.6224899598393607E-2</v>
      </c>
      <c r="BI50" s="154">
        <f t="shared" si="32"/>
        <v>0.18082229364270597</v>
      </c>
      <c r="BJ50" s="188"/>
      <c r="BK50" s="152">
        <f t="shared" si="33"/>
        <v>-4.5637583892617406E-2</v>
      </c>
      <c r="BL50" s="151">
        <f t="shared" si="33"/>
        <v>-3.9627039627039617E-2</v>
      </c>
      <c r="BM50" s="151">
        <f t="shared" si="33"/>
        <v>-1.2362637362637319E-2</v>
      </c>
      <c r="BN50" s="153">
        <f t="shared" si="33"/>
        <v>-1.9011406844106515E-2</v>
      </c>
      <c r="BO50" s="154">
        <f t="shared" si="33"/>
        <v>-2.9126213592232997E-2</v>
      </c>
      <c r="BP50" s="188"/>
      <c r="BQ50" s="152">
        <f t="shared" si="34"/>
        <v>8.5794655414908494E-2</v>
      </c>
      <c r="BR50" s="151">
        <f t="shared" si="34"/>
        <v>0.42532052288488176</v>
      </c>
      <c r="BS50" s="151">
        <f t="shared" si="34"/>
        <v>0.423400542420028</v>
      </c>
      <c r="BT50" s="153">
        <f t="shared" si="34"/>
        <v>0.38003023901808786</v>
      </c>
      <c r="BU50" s="154">
        <f t="shared" si="34"/>
        <v>0.33033315965811982</v>
      </c>
      <c r="BV50" s="188"/>
      <c r="BW50" s="152">
        <f t="shared" si="35"/>
        <v>0.34369950089687507</v>
      </c>
      <c r="BX50" s="151">
        <f t="shared" si="35"/>
        <v>1.1503032288392667E-2</v>
      </c>
      <c r="BY50" s="151">
        <f t="shared" si="35"/>
        <v>3.9720292814783065E-2</v>
      </c>
      <c r="BZ50" s="153">
        <f t="shared" si="35"/>
        <v>2.2784748774691277E-2</v>
      </c>
      <c r="CA50" s="154">
        <f t="shared" si="35"/>
        <v>8.7927411044003145E-2</v>
      </c>
      <c r="CB50" s="188"/>
      <c r="CC50" s="152">
        <f t="shared" si="36"/>
        <v>9.4777782489927631E-3</v>
      </c>
      <c r="CD50" s="151">
        <f t="shared" si="36"/>
        <v>8.4889218154513557E-3</v>
      </c>
      <c r="CE50" s="151">
        <f t="shared" si="36"/>
        <v>8.5936680646414576E-3</v>
      </c>
      <c r="CF50" s="153">
        <f t="shared" si="36"/>
        <v>9.0368383057497503E-3</v>
      </c>
      <c r="CG50" s="154">
        <f t="shared" si="36"/>
        <v>8.8989551122387045E-3</v>
      </c>
      <c r="CH50" s="188"/>
      <c r="CI50" s="152">
        <f t="shared" si="37"/>
        <v>2.6181331433367427E-2</v>
      </c>
      <c r="CJ50" s="151">
        <f t="shared" si="37"/>
        <v>2.5366010074326484E-2</v>
      </c>
      <c r="CK50" s="151">
        <f t="shared" si="37"/>
        <v>2.5617010783077321E-2</v>
      </c>
      <c r="CL50" s="153">
        <f t="shared" si="37"/>
        <v>2.5859893043512994E-2</v>
      </c>
      <c r="CM50" s="154">
        <f t="shared" si="37"/>
        <v>2.5756451226087052E-2</v>
      </c>
      <c r="CN50" s="188"/>
      <c r="CO50" s="188"/>
      <c r="CP50" s="188"/>
    </row>
    <row r="51" spans="1:100" hidden="1" outlineLevel="1" x14ac:dyDescent="0.2">
      <c r="A51" s="86" t="s">
        <v>43</v>
      </c>
      <c r="B51" s="188"/>
      <c r="C51" s="193">
        <v>0.16941441507336275</v>
      </c>
      <c r="D51" s="191">
        <v>0.16491298797285481</v>
      </c>
      <c r="E51" s="191">
        <v>0.21244084016740761</v>
      </c>
      <c r="F51" s="192">
        <v>0.21882547118290274</v>
      </c>
      <c r="G51" s="220">
        <v>0.19272406847935541</v>
      </c>
      <c r="H51" s="188"/>
      <c r="I51" s="152">
        <f t="shared" ref="I51:M53" si="38">I15/C15-1</f>
        <v>0.14494620965724292</v>
      </c>
      <c r="J51" s="151">
        <f t="shared" si="38"/>
        <v>0.10782470266591315</v>
      </c>
      <c r="K51" s="151">
        <f t="shared" si="38"/>
        <v>7.611325583646078E-2</v>
      </c>
      <c r="L51" s="153">
        <f t="shared" si="38"/>
        <v>8.1409937269739885E-2</v>
      </c>
      <c r="M51" s="154">
        <f t="shared" si="38"/>
        <v>0.10050826274128588</v>
      </c>
      <c r="N51" s="188"/>
      <c r="O51" s="152">
        <f t="shared" ref="O51:S53" si="39">O15/I15-1</f>
        <v>5.2760387645175655E-2</v>
      </c>
      <c r="P51" s="151">
        <f t="shared" si="39"/>
        <v>1.7348022575337962E-2</v>
      </c>
      <c r="Q51" s="151">
        <f t="shared" si="39"/>
        <v>-2.448261734168744E-2</v>
      </c>
      <c r="R51" s="153">
        <f t="shared" si="39"/>
        <v>3.9445334511905461E-2</v>
      </c>
      <c r="S51" s="154">
        <f t="shared" si="39"/>
        <v>2.1020194933347947E-2</v>
      </c>
      <c r="T51" s="188"/>
      <c r="U51" s="152">
        <f t="shared" ref="U51:Y53" si="40">U15/O15-1</f>
        <v>2.9007015650296841E-2</v>
      </c>
      <c r="V51" s="151">
        <f t="shared" si="40"/>
        <v>2.5516888433981588E-2</v>
      </c>
      <c r="W51" s="151">
        <f t="shared" si="40"/>
        <v>0.10680079081345206</v>
      </c>
      <c r="X51" s="153">
        <f t="shared" si="40"/>
        <v>9.4924262556470795E-2</v>
      </c>
      <c r="Y51" s="154">
        <f t="shared" si="40"/>
        <v>6.5329104944298555E-2</v>
      </c>
      <c r="Z51" s="188"/>
      <c r="AA51" s="152">
        <f t="shared" ref="AA51:AE53" si="41">AA15/U15-1</f>
        <v>0.14540448406975215</v>
      </c>
      <c r="AB51" s="151">
        <f t="shared" si="41"/>
        <v>0.17116964258980172</v>
      </c>
      <c r="AC51" s="151">
        <f t="shared" si="41"/>
        <v>5.5818301294807027E-2</v>
      </c>
      <c r="AD51" s="153">
        <f t="shared" si="41"/>
        <v>-6.7537174570813541E-2</v>
      </c>
      <c r="AE51" s="154">
        <f t="shared" si="41"/>
        <v>6.7865901618805013E-2</v>
      </c>
      <c r="AF51" s="188"/>
      <c r="AG51" s="152">
        <f t="shared" ref="AG51:AK53" si="42">AG15/AA15-1</f>
        <v>-1.1807903634826644E-2</v>
      </c>
      <c r="AH51" s="151">
        <f t="shared" si="42"/>
        <v>-5.0279948526967821E-3</v>
      </c>
      <c r="AI51" s="151">
        <f t="shared" si="42"/>
        <v>7.9682322621363877E-3</v>
      </c>
      <c r="AJ51" s="153">
        <f t="shared" si="42"/>
        <v>9.1351576463238882E-2</v>
      </c>
      <c r="AK51" s="154">
        <f t="shared" si="42"/>
        <v>2.0656299769471476E-2</v>
      </c>
      <c r="AL51" s="188"/>
      <c r="AM51" s="152">
        <f t="shared" ref="AM51:AQ53" si="43">AM15/AG15-1</f>
        <v>5.2883887121637496E-2</v>
      </c>
      <c r="AN51" s="151">
        <f t="shared" si="43"/>
        <v>4.8170068435072322E-2</v>
      </c>
      <c r="AO51" s="151">
        <f t="shared" si="43"/>
        <v>5.3301677580944062E-2</v>
      </c>
      <c r="AP51" s="153">
        <f t="shared" si="43"/>
        <v>5.7342968669258365E-2</v>
      </c>
      <c r="AQ51" s="154">
        <f t="shared" si="43"/>
        <v>5.3008595988538687E-2</v>
      </c>
      <c r="AR51" s="188"/>
      <c r="AS51" s="152">
        <f t="shared" ref="AS51:AW53" si="44">AS15/AM15-1</f>
        <v>6.6332661938694359E-2</v>
      </c>
      <c r="AT51" s="151">
        <f t="shared" si="44"/>
        <v>3.7776706407249838E-2</v>
      </c>
      <c r="AU51" s="151">
        <f t="shared" si="44"/>
        <v>5.6838072591565147E-2</v>
      </c>
      <c r="AV51" s="153">
        <f t="shared" si="44"/>
        <v>0</v>
      </c>
      <c r="AW51" s="154">
        <f t="shared" si="44"/>
        <v>3.9108065217171584E-2</v>
      </c>
      <c r="AX51" s="188"/>
      <c r="AY51" s="152">
        <f t="shared" ref="AY51:BC53" si="45">AY15/AS15-1</f>
        <v>2.3809523809523725E-2</v>
      </c>
      <c r="AZ51" s="151">
        <f t="shared" si="45"/>
        <v>1.5748031496062964E-2</v>
      </c>
      <c r="BA51" s="151">
        <f t="shared" si="45"/>
        <v>0.40703124999999996</v>
      </c>
      <c r="BB51" s="153">
        <f t="shared" si="45"/>
        <v>0.47368421052631571</v>
      </c>
      <c r="BC51" s="154">
        <f t="shared" si="45"/>
        <v>0.23365758754863819</v>
      </c>
      <c r="BD51" s="188"/>
      <c r="BE51" s="152">
        <f t="shared" ref="BE51:BI53" si="46">BE15/AY15-1</f>
        <v>0.4496124031007751</v>
      </c>
      <c r="BF51" s="151">
        <f t="shared" si="46"/>
        <v>0.4089147286821706</v>
      </c>
      <c r="BG51" s="151">
        <f t="shared" si="46"/>
        <v>0.14936146585230436</v>
      </c>
      <c r="BH51" s="153">
        <f t="shared" si="46"/>
        <v>0.29081632653061229</v>
      </c>
      <c r="BI51" s="154">
        <f t="shared" si="46"/>
        <v>0.30697050938337789</v>
      </c>
      <c r="BJ51" s="188"/>
      <c r="BK51" s="152">
        <f t="shared" ref="BK51:BO53" si="47">BK15/BE15-1</f>
        <v>-2.6737967914438499E-2</v>
      </c>
      <c r="BL51" s="151">
        <f t="shared" si="47"/>
        <v>2.8885832187070193E-2</v>
      </c>
      <c r="BM51" s="151">
        <f t="shared" si="47"/>
        <v>-0.106280193236715</v>
      </c>
      <c r="BN51" s="153">
        <f t="shared" si="47"/>
        <v>-0.12648221343873522</v>
      </c>
      <c r="BO51" s="154">
        <f t="shared" si="47"/>
        <v>-6.4856711915535437E-2</v>
      </c>
      <c r="BP51" s="188"/>
      <c r="BQ51" s="152">
        <f t="shared" ref="BQ51:BU53" si="48">BQ15/BK15-1</f>
        <v>5.4945054945054972E-2</v>
      </c>
      <c r="BR51" s="151">
        <f t="shared" si="48"/>
        <v>0.44618082887700528</v>
      </c>
      <c r="BS51" s="151">
        <f t="shared" si="48"/>
        <v>0.53409151351351358</v>
      </c>
      <c r="BT51" s="153">
        <f t="shared" si="48"/>
        <v>0.34146738461538484</v>
      </c>
      <c r="BU51" s="154">
        <f t="shared" si="48"/>
        <v>0.34542843483870977</v>
      </c>
      <c r="BV51" s="188"/>
      <c r="BW51" s="152">
        <f t="shared" ref="BW51:CA53" si="49">BW15/BQ15-1</f>
        <v>0.50827936164040732</v>
      </c>
      <c r="BX51" s="151">
        <f t="shared" si="49"/>
        <v>7.0400677206450935E-2</v>
      </c>
      <c r="BY51" s="151">
        <f t="shared" si="49"/>
        <v>5.2993317829440167E-2</v>
      </c>
      <c r="BZ51" s="153">
        <f t="shared" si="49"/>
        <v>2.189998688128747E-2</v>
      </c>
      <c r="CA51" s="154">
        <f t="shared" si="49"/>
        <v>0.1325021621591822</v>
      </c>
      <c r="CB51" s="188"/>
      <c r="CC51" s="152">
        <f t="shared" ref="CC51:CG53" si="50">CC15/BW15-1</f>
        <v>6.2023798769974547E-3</v>
      </c>
      <c r="CD51" s="151">
        <f t="shared" si="50"/>
        <v>5.0559399029836971E-3</v>
      </c>
      <c r="CE51" s="151">
        <f t="shared" si="50"/>
        <v>5.5373236159605987E-3</v>
      </c>
      <c r="CF51" s="153">
        <f t="shared" si="50"/>
        <v>5.415892713743542E-3</v>
      </c>
      <c r="CG51" s="154">
        <f t="shared" si="50"/>
        <v>5.5512597048907875E-3</v>
      </c>
      <c r="CH51" s="188"/>
      <c r="CI51" s="152">
        <f t="shared" ref="CI51:CM53" si="51">CI15/CC15-1</f>
        <v>2.8972979865698578E-2</v>
      </c>
      <c r="CJ51" s="151">
        <f t="shared" si="51"/>
        <v>2.8127715552872301E-2</v>
      </c>
      <c r="CK51" s="151">
        <f t="shared" si="51"/>
        <v>2.8627628231560065E-2</v>
      </c>
      <c r="CL51" s="153">
        <f t="shared" si="51"/>
        <v>2.8500459048772964E-2</v>
      </c>
      <c r="CM51" s="154">
        <f t="shared" si="51"/>
        <v>2.8557266974520212E-2</v>
      </c>
      <c r="CN51" s="188"/>
      <c r="CO51" s="188"/>
      <c r="CP51" s="188"/>
    </row>
    <row r="52" spans="1:100" collapsed="1" x14ac:dyDescent="0.2">
      <c r="A52" s="189" t="s">
        <v>68</v>
      </c>
      <c r="B52" s="188"/>
      <c r="C52" s="193">
        <v>0.11173829500749921</v>
      </c>
      <c r="D52" s="191">
        <v>0.14528819209865862</v>
      </c>
      <c r="E52" s="191">
        <v>0.11942676570699184</v>
      </c>
      <c r="F52" s="192">
        <v>8.532272805225638E-2</v>
      </c>
      <c r="G52" s="220">
        <v>0.11500660781187677</v>
      </c>
      <c r="H52" s="188"/>
      <c r="I52" s="152">
        <f t="shared" si="38"/>
        <v>0.10607425477992516</v>
      </c>
      <c r="J52" s="151">
        <f t="shared" si="38"/>
        <v>3.6972095078630973E-2</v>
      </c>
      <c r="K52" s="151">
        <f t="shared" si="38"/>
        <v>7.0279140940341378E-2</v>
      </c>
      <c r="L52" s="153">
        <f t="shared" si="38"/>
        <v>9.1742256803112321E-2</v>
      </c>
      <c r="M52" s="154">
        <f t="shared" si="38"/>
        <v>7.5838210730034827E-2</v>
      </c>
      <c r="N52" s="188"/>
      <c r="O52" s="152">
        <f t="shared" si="39"/>
        <v>-3.3553176358269488E-2</v>
      </c>
      <c r="P52" s="151">
        <f t="shared" si="39"/>
        <v>3.2745129086299229E-2</v>
      </c>
      <c r="Q52" s="151">
        <f t="shared" si="39"/>
        <v>-3.6113335762467669E-2</v>
      </c>
      <c r="R52" s="153">
        <f t="shared" si="39"/>
        <v>-1.0853355123098707E-2</v>
      </c>
      <c r="S52" s="154">
        <f t="shared" si="39"/>
        <v>-1.2276421493470968E-2</v>
      </c>
      <c r="T52" s="188"/>
      <c r="U52" s="152">
        <f t="shared" si="40"/>
        <v>9.838233633856408E-2</v>
      </c>
      <c r="V52" s="151">
        <f t="shared" si="40"/>
        <v>-1.3323667254707461E-2</v>
      </c>
      <c r="W52" s="151">
        <f t="shared" si="40"/>
        <v>6.4877747373994765E-3</v>
      </c>
      <c r="X52" s="153">
        <f t="shared" si="40"/>
        <v>4.0465050805893021E-2</v>
      </c>
      <c r="Y52" s="154">
        <f t="shared" si="40"/>
        <v>3.2123408671100195E-2</v>
      </c>
      <c r="Z52" s="188"/>
      <c r="AA52" s="152">
        <f t="shared" si="41"/>
        <v>1.7802079203559362E-2</v>
      </c>
      <c r="AB52" s="151">
        <f t="shared" si="41"/>
        <v>5.9658257061133479E-2</v>
      </c>
      <c r="AC52" s="151">
        <f t="shared" si="41"/>
        <v>0.10968418443705152</v>
      </c>
      <c r="AD52" s="153">
        <f t="shared" si="41"/>
        <v>5.8930653588372017E-2</v>
      </c>
      <c r="AE52" s="154">
        <f t="shared" si="41"/>
        <v>6.1064332848747238E-2</v>
      </c>
      <c r="AF52" s="188"/>
      <c r="AG52" s="152">
        <f t="shared" si="42"/>
        <v>7.2088984586752947E-2</v>
      </c>
      <c r="AH52" s="151">
        <f t="shared" si="42"/>
        <v>9.4285140133280931E-2</v>
      </c>
      <c r="AI52" s="151">
        <f t="shared" si="42"/>
        <v>3.5581380165827792E-3</v>
      </c>
      <c r="AJ52" s="153">
        <f t="shared" si="42"/>
        <v>1.209886878854971E-2</v>
      </c>
      <c r="AK52" s="154">
        <f t="shared" si="42"/>
        <v>4.4366260396666135E-2</v>
      </c>
      <c r="AL52" s="188"/>
      <c r="AM52" s="152">
        <f t="shared" si="43"/>
        <v>3.2871431022476028E-2</v>
      </c>
      <c r="AN52" s="151">
        <f t="shared" si="43"/>
        <v>5.3834331215143694E-2</v>
      </c>
      <c r="AO52" s="151">
        <f t="shared" si="43"/>
        <v>8.4433426864823469E-2</v>
      </c>
      <c r="AP52" s="153">
        <f t="shared" si="43"/>
        <v>0.10124475538414002</v>
      </c>
      <c r="AQ52" s="154">
        <f t="shared" si="43"/>
        <v>6.8070292833699586E-2</v>
      </c>
      <c r="AR52" s="188"/>
      <c r="AS52" s="152">
        <f t="shared" si="44"/>
        <v>6.996286886847769E-2</v>
      </c>
      <c r="AT52" s="151">
        <f t="shared" si="44"/>
        <v>6.2999715849774152E-3</v>
      </c>
      <c r="AU52" s="151">
        <f t="shared" si="44"/>
        <v>3.5621593973187426E-2</v>
      </c>
      <c r="AV52" s="153">
        <f t="shared" si="44"/>
        <v>1.8099547511312153E-2</v>
      </c>
      <c r="AW52" s="154">
        <f t="shared" si="44"/>
        <v>3.2007138082084108E-2</v>
      </c>
      <c r="AX52" s="188"/>
      <c r="AY52" s="152">
        <f t="shared" si="45"/>
        <v>6.0882800608828003E-3</v>
      </c>
      <c r="AZ52" s="151">
        <f t="shared" si="45"/>
        <v>-1.5600624024960652E-3</v>
      </c>
      <c r="BA52" s="151">
        <f t="shared" si="45"/>
        <v>0.43521341463414642</v>
      </c>
      <c r="BB52" s="153">
        <f t="shared" si="45"/>
        <v>0.39703703703703708</v>
      </c>
      <c r="BC52" s="154">
        <f t="shared" si="45"/>
        <v>0.21167744389501708</v>
      </c>
      <c r="BD52" s="188"/>
      <c r="BE52" s="152">
        <f t="shared" si="46"/>
        <v>0.40998487140695916</v>
      </c>
      <c r="BF52" s="151">
        <f t="shared" si="46"/>
        <v>0.45703125</v>
      </c>
      <c r="BG52" s="151">
        <f t="shared" si="46"/>
        <v>-6.9038767923526034E-3</v>
      </c>
      <c r="BH52" s="153">
        <f t="shared" si="46"/>
        <v>0.10498409331919412</v>
      </c>
      <c r="BI52" s="154">
        <f t="shared" si="46"/>
        <v>0.20593313451577466</v>
      </c>
      <c r="BJ52" s="188"/>
      <c r="BK52" s="152">
        <f t="shared" si="47"/>
        <v>-4.1845493562231773E-2</v>
      </c>
      <c r="BL52" s="151">
        <f t="shared" si="47"/>
        <v>-2.6273458445040254E-2</v>
      </c>
      <c r="BM52" s="151">
        <f t="shared" si="47"/>
        <v>-3.3155080213903787E-2</v>
      </c>
      <c r="BN52" s="153">
        <f t="shared" si="47"/>
        <v>-4.5105566218810011E-2</v>
      </c>
      <c r="BO52" s="154">
        <f t="shared" si="47"/>
        <v>-3.6834569829493735E-2</v>
      </c>
      <c r="BP52" s="188"/>
      <c r="BQ52" s="152">
        <f t="shared" si="48"/>
        <v>7.950727883538633E-2</v>
      </c>
      <c r="BR52" s="151">
        <f t="shared" si="48"/>
        <v>0.42961664317180603</v>
      </c>
      <c r="BS52" s="151">
        <f t="shared" si="48"/>
        <v>0.44605300884955779</v>
      </c>
      <c r="BT52" s="153">
        <f t="shared" si="48"/>
        <v>0.37146502211055288</v>
      </c>
      <c r="BU52" s="154">
        <f t="shared" si="48"/>
        <v>0.33349500783783803</v>
      </c>
      <c r="BV52" s="188"/>
      <c r="BW52" s="152">
        <f t="shared" si="49"/>
        <v>0.37647889224828401</v>
      </c>
      <c r="BX52" s="151">
        <f t="shared" si="49"/>
        <v>2.3773374979654704E-2</v>
      </c>
      <c r="BY52" s="151">
        <f t="shared" si="49"/>
        <v>4.2601936403491303E-2</v>
      </c>
      <c r="BZ52" s="153">
        <f t="shared" si="49"/>
        <v>2.2592532133312693E-2</v>
      </c>
      <c r="CA52" s="154">
        <f t="shared" si="49"/>
        <v>9.7347567442026994E-2</v>
      </c>
      <c r="CB52" s="188"/>
      <c r="CC52" s="152">
        <f t="shared" si="50"/>
        <v>8.7629518941925166E-3</v>
      </c>
      <c r="CD52" s="151">
        <f t="shared" si="50"/>
        <v>7.7411435770922132E-3</v>
      </c>
      <c r="CE52" s="151">
        <f t="shared" si="50"/>
        <v>7.923506158950655E-3</v>
      </c>
      <c r="CF52" s="153">
        <f t="shared" si="50"/>
        <v>8.25071196011673E-3</v>
      </c>
      <c r="CG52" s="154">
        <f t="shared" si="50"/>
        <v>8.1688086969504692E-3</v>
      </c>
      <c r="CH52" s="188"/>
      <c r="CI52" s="152">
        <f t="shared" si="51"/>
        <v>2.6789037214555167E-2</v>
      </c>
      <c r="CJ52" s="151">
        <f t="shared" si="51"/>
        <v>2.5965966781734684E-2</v>
      </c>
      <c r="CK52" s="151">
        <f t="shared" si="51"/>
        <v>2.6275583349932852E-2</v>
      </c>
      <c r="CL52" s="153">
        <f t="shared" si="51"/>
        <v>2.6431561972486861E-2</v>
      </c>
      <c r="CM52" s="154">
        <f t="shared" si="51"/>
        <v>2.6365734867713098E-2</v>
      </c>
      <c r="CN52" s="188"/>
      <c r="CO52" s="188"/>
      <c r="CP52" s="188"/>
    </row>
    <row r="53" spans="1:100" x14ac:dyDescent="0.2">
      <c r="A53" s="189" t="s">
        <v>45</v>
      </c>
      <c r="B53" s="188"/>
      <c r="C53" s="193">
        <v>5.8188329484812895E-2</v>
      </c>
      <c r="D53" s="191">
        <v>7.9265975351539009E-2</v>
      </c>
      <c r="E53" s="191">
        <v>0.16876214803415635</v>
      </c>
      <c r="F53" s="192">
        <v>0.17312089217098259</v>
      </c>
      <c r="G53" s="220">
        <v>0.11860113772556158</v>
      </c>
      <c r="H53" s="188"/>
      <c r="I53" s="152">
        <f t="shared" si="38"/>
        <v>0.10377780550677662</v>
      </c>
      <c r="J53" s="151">
        <f t="shared" si="38"/>
        <v>0.19963592233009653</v>
      </c>
      <c r="K53" s="151">
        <f t="shared" si="38"/>
        <v>0.22283992822402254</v>
      </c>
      <c r="L53" s="153">
        <f t="shared" si="38"/>
        <v>0.15851923820937786</v>
      </c>
      <c r="M53" s="154">
        <f t="shared" si="38"/>
        <v>0.17106993596364983</v>
      </c>
      <c r="N53" s="188"/>
      <c r="O53" s="152">
        <f t="shared" si="39"/>
        <v>0.10727481278055295</v>
      </c>
      <c r="P53" s="151">
        <f t="shared" si="39"/>
        <v>-8.9393308016279982E-2</v>
      </c>
      <c r="Q53" s="151">
        <f t="shared" si="39"/>
        <v>1.7464785981291753E-2</v>
      </c>
      <c r="R53" s="153">
        <f t="shared" si="39"/>
        <v>6.4442340865207726E-2</v>
      </c>
      <c r="S53" s="154">
        <f t="shared" si="39"/>
        <v>2.4235422826462738E-2</v>
      </c>
      <c r="T53" s="188"/>
      <c r="U53" s="152">
        <f t="shared" si="40"/>
        <v>6.9943373956004473E-2</v>
      </c>
      <c r="V53" s="151">
        <f t="shared" si="40"/>
        <v>0.19051840254193397</v>
      </c>
      <c r="W53" s="151">
        <f t="shared" si="40"/>
        <v>1.4978882703014174E-2</v>
      </c>
      <c r="X53" s="153">
        <f t="shared" si="40"/>
        <v>-3.163508897737366E-2</v>
      </c>
      <c r="Y53" s="154">
        <f t="shared" si="40"/>
        <v>5.4800268229746374E-2</v>
      </c>
      <c r="Z53" s="188"/>
      <c r="AA53" s="152">
        <f t="shared" si="41"/>
        <v>-9.5434403146600677E-2</v>
      </c>
      <c r="AB53" s="151">
        <f t="shared" si="41"/>
        <v>8.067245580783533E-3</v>
      </c>
      <c r="AC53" s="151">
        <f t="shared" si="41"/>
        <v>5.7284105900766047E-2</v>
      </c>
      <c r="AD53" s="153">
        <f t="shared" si="41"/>
        <v>2.8680907246228626E-2</v>
      </c>
      <c r="AE53" s="154">
        <f t="shared" si="41"/>
        <v>-9.9314347532797331E-4</v>
      </c>
      <c r="AF53" s="188"/>
      <c r="AG53" s="152">
        <f t="shared" si="42"/>
        <v>-0.13355393479263777</v>
      </c>
      <c r="AH53" s="151">
        <f t="shared" si="42"/>
        <v>-8.0710337302301594E-2</v>
      </c>
      <c r="AI53" s="151">
        <f t="shared" si="42"/>
        <v>4.0855026152135654E-3</v>
      </c>
      <c r="AJ53" s="153">
        <f t="shared" si="42"/>
        <v>-3.1994525102358784E-2</v>
      </c>
      <c r="AK53" s="154">
        <f t="shared" si="42"/>
        <v>-5.8053166804735934E-2</v>
      </c>
      <c r="AL53" s="188"/>
      <c r="AM53" s="152">
        <f t="shared" si="43"/>
        <v>0.2173735809500621</v>
      </c>
      <c r="AN53" s="151">
        <f t="shared" si="43"/>
        <v>4.6146923016722186E-2</v>
      </c>
      <c r="AO53" s="151">
        <f t="shared" si="43"/>
        <v>-5.616367272581968E-3</v>
      </c>
      <c r="AP53" s="153">
        <f t="shared" si="43"/>
        <v>8.145279857135912E-2</v>
      </c>
      <c r="AQ53" s="154">
        <f t="shared" si="43"/>
        <v>7.7107013502251576E-2</v>
      </c>
      <c r="AR53" s="188"/>
      <c r="AS53" s="152">
        <f t="shared" si="44"/>
        <v>-3.3123001363001614E-2</v>
      </c>
      <c r="AT53" s="151">
        <f t="shared" si="44"/>
        <v>7.346400860806046E-2</v>
      </c>
      <c r="AU53" s="151">
        <f t="shared" si="44"/>
        <v>5.9986743446725388E-2</v>
      </c>
      <c r="AV53" s="153">
        <f t="shared" si="44"/>
        <v>5.6175204154532921E-2</v>
      </c>
      <c r="AW53" s="154">
        <f t="shared" si="44"/>
        <v>3.9715783757004797E-2</v>
      </c>
      <c r="AX53" s="188"/>
      <c r="AY53" s="152">
        <f t="shared" si="45"/>
        <v>1.4531510167012041E-2</v>
      </c>
      <c r="AZ53" s="151">
        <f t="shared" si="45"/>
        <v>-1.8653595985876681E-2</v>
      </c>
      <c r="BA53" s="151">
        <f t="shared" si="45"/>
        <v>0.45178329952670637</v>
      </c>
      <c r="BB53" s="153">
        <f t="shared" si="45"/>
        <v>0.42425735152384725</v>
      </c>
      <c r="BC53" s="154">
        <f t="shared" si="45"/>
        <v>0.23182139724399375</v>
      </c>
      <c r="BD53" s="188"/>
      <c r="BE53" s="152">
        <f t="shared" si="46"/>
        <v>0.57716218232456185</v>
      </c>
      <c r="BF53" s="151">
        <f t="shared" si="46"/>
        <v>0.63983903420523203</v>
      </c>
      <c r="BG53" s="151">
        <f t="shared" si="46"/>
        <v>9.0088778925920598E-2</v>
      </c>
      <c r="BH53" s="153">
        <f t="shared" si="46"/>
        <v>-2.7067669172932352E-2</v>
      </c>
      <c r="BI53" s="154">
        <f t="shared" si="46"/>
        <v>0.25097740146736536</v>
      </c>
      <c r="BJ53" s="188"/>
      <c r="BK53" s="152">
        <f t="shared" si="47"/>
        <v>9.4223007063572561E-2</v>
      </c>
      <c r="BL53" s="151">
        <f t="shared" si="47"/>
        <v>-5.4492962829303493E-2</v>
      </c>
      <c r="BM53" s="151">
        <f t="shared" si="47"/>
        <v>-2.4032042723631464E-2</v>
      </c>
      <c r="BN53" s="153">
        <f t="shared" si="47"/>
        <v>6.7217928902627122E-2</v>
      </c>
      <c r="BO53" s="154">
        <f t="shared" si="47"/>
        <v>1.7444059655011612E-2</v>
      </c>
      <c r="BP53" s="188"/>
      <c r="BQ53" s="152">
        <f t="shared" si="48"/>
        <v>4.4668587896253609E-2</v>
      </c>
      <c r="BR53" s="151">
        <f t="shared" si="48"/>
        <v>0.60705252366412177</v>
      </c>
      <c r="BS53" s="151">
        <f t="shared" si="48"/>
        <v>0.5823915800273598</v>
      </c>
      <c r="BT53" s="153">
        <f t="shared" si="48"/>
        <v>0.65427374473200195</v>
      </c>
      <c r="BU53" s="154">
        <f t="shared" si="48"/>
        <v>0.47143903280647104</v>
      </c>
      <c r="BV53" s="188"/>
      <c r="BW53" s="152">
        <f t="shared" si="49"/>
        <v>0.59773593067563091</v>
      </c>
      <c r="BX53" s="151">
        <f t="shared" si="49"/>
        <v>0.13751706893211613</v>
      </c>
      <c r="BY53" s="151">
        <f t="shared" si="49"/>
        <v>7.256568433184607E-2</v>
      </c>
      <c r="BZ53" s="153">
        <f t="shared" si="49"/>
        <v>9.707097828268707E-2</v>
      </c>
      <c r="CA53" s="154">
        <f t="shared" si="49"/>
        <v>0.18960147066376831</v>
      </c>
      <c r="CB53" s="188"/>
      <c r="CC53" s="152">
        <f t="shared" si="50"/>
        <v>0.13983863345441172</v>
      </c>
      <c r="CD53" s="151">
        <f t="shared" si="50"/>
        <v>0.13776609976807341</v>
      </c>
      <c r="CE53" s="151">
        <f t="shared" si="50"/>
        <v>0.13800122547569238</v>
      </c>
      <c r="CF53" s="153">
        <f t="shared" si="50"/>
        <v>0.13817358166966609</v>
      </c>
      <c r="CG53" s="154">
        <f t="shared" si="50"/>
        <v>0.1384265919004295</v>
      </c>
      <c r="CH53" s="188"/>
      <c r="CI53" s="152">
        <f t="shared" si="51"/>
        <v>9.9085069804133674E-2</v>
      </c>
      <c r="CJ53" s="151">
        <f t="shared" si="51"/>
        <v>7.2840008101926479E-2</v>
      </c>
      <c r="CK53" s="151">
        <f t="shared" si="51"/>
        <v>0.11245366022900694</v>
      </c>
      <c r="CL53" s="153">
        <f t="shared" si="51"/>
        <v>0.11251521337206261</v>
      </c>
      <c r="CM53" s="154">
        <f t="shared" si="51"/>
        <v>9.9497272821251537E-2</v>
      </c>
      <c r="CN53" s="188"/>
      <c r="CO53" s="188"/>
      <c r="CP53" s="188"/>
    </row>
    <row r="54" spans="1:100" x14ac:dyDescent="0.2">
      <c r="A54" s="189" t="s">
        <v>69</v>
      </c>
      <c r="B54" s="188"/>
      <c r="C54" s="193">
        <v>7.2245709617680731E-2</v>
      </c>
      <c r="D54" s="191">
        <v>0.10103719821137735</v>
      </c>
      <c r="E54" s="191">
        <v>0.19985404318185895</v>
      </c>
      <c r="F54" s="192">
        <v>0.16755894748832545</v>
      </c>
      <c r="G54" s="220">
        <v>0.13407759119068685</v>
      </c>
      <c r="H54" s="188"/>
      <c r="I54" s="152">
        <f>I23/C23-1</f>
        <v>0.11266182027894622</v>
      </c>
      <c r="J54" s="151">
        <f>J23/D23-1</f>
        <v>0.18970796922847044</v>
      </c>
      <c r="K54" s="151">
        <f>K23/E23-1</f>
        <v>0.21711047486240753</v>
      </c>
      <c r="L54" s="153">
        <f>L23/F23-1</f>
        <v>0.16101995565410077</v>
      </c>
      <c r="M54" s="154">
        <f>M23/G23-1</f>
        <v>0.17021369654758423</v>
      </c>
      <c r="N54" s="188"/>
      <c r="O54" s="152">
        <f>O23/I23-1</f>
        <v>0.10433966587737142</v>
      </c>
      <c r="P54" s="151">
        <f>P23/J23-1</f>
        <v>-0.11438257266620577</v>
      </c>
      <c r="Q54" s="151">
        <f>Q23/K23-1</f>
        <v>9.0975352310087576E-3</v>
      </c>
      <c r="R54" s="153">
        <f>R23/L23-1</f>
        <v>7.266592821766471E-2</v>
      </c>
      <c r="S54" s="154">
        <f>S23/M23-1</f>
        <v>1.7263133746271864E-2</v>
      </c>
      <c r="T54" s="188"/>
      <c r="U54" s="152">
        <f>U23/O23-1</f>
        <v>4.5200335951781412E-2</v>
      </c>
      <c r="V54" s="151">
        <f>V23/P23-1</f>
        <v>0.21261016989201575</v>
      </c>
      <c r="W54" s="151">
        <f>W23/Q23-1</f>
        <v>-1.4011252485184311E-3</v>
      </c>
      <c r="X54" s="153">
        <f>X23/R23-1</f>
        <v>-1.6935231168042075E-2</v>
      </c>
      <c r="Y54" s="154">
        <f>Y23/S23-1</f>
        <v>5.2304172133032623E-2</v>
      </c>
      <c r="Z54" s="188"/>
      <c r="AA54" s="152">
        <f>AA23/U23-1</f>
        <v>-9.3071672677598194E-2</v>
      </c>
      <c r="AB54" s="151">
        <f>AB23/V23-1</f>
        <v>-1.3262664078275366E-2</v>
      </c>
      <c r="AC54" s="151">
        <f>AC23/W23-1</f>
        <v>5.2729617077070579E-2</v>
      </c>
      <c r="AD54" s="153">
        <f>AD23/X23-1</f>
        <v>-2.649969332412494E-2</v>
      </c>
      <c r="AE54" s="154">
        <f>AE23/Y23-1</f>
        <v>-2.0469009607744004E-2</v>
      </c>
      <c r="AF54" s="188"/>
      <c r="AG54" s="152">
        <f>AG23/AA23-1</f>
        <v>-0.15973332826042397</v>
      </c>
      <c r="AH54" s="151">
        <f>AH23/AB23-1</f>
        <v>-8.7831333033823844E-2</v>
      </c>
      <c r="AI54" s="151">
        <f>AI23/AC23-1</f>
        <v>-3.8212652526598889E-2</v>
      </c>
      <c r="AJ54" s="153">
        <f>AJ23/AD23-1</f>
        <v>-5.2698291429365773E-2</v>
      </c>
      <c r="AK54" s="154">
        <f>AK23/AE23-1</f>
        <v>-8.281354659108997E-2</v>
      </c>
      <c r="AL54" s="188"/>
      <c r="AM54" s="152">
        <f>AM23/AG23-1</f>
        <v>0.18956610801322404</v>
      </c>
      <c r="AN54" s="151">
        <f>AN23/AH23-1</f>
        <v>2.9317366889926699E-2</v>
      </c>
      <c r="AO54" s="151">
        <f>AO23/AI23-1</f>
        <v>5.8850865267674468E-3</v>
      </c>
      <c r="AP54" s="153">
        <f>AP23/AJ23-1</f>
        <v>0.11305940837760819</v>
      </c>
      <c r="AQ54" s="154">
        <f>AQ23/AK23-1</f>
        <v>7.8797539813201256E-2</v>
      </c>
      <c r="AR54" s="188"/>
      <c r="AS54" s="152">
        <f>AS23/AM23-1</f>
        <v>-1.6127794930768657E-2</v>
      </c>
      <c r="AT54" s="151">
        <f>AT23/AN23-1</f>
        <v>6.3417801889533498E-2</v>
      </c>
      <c r="AU54" s="151">
        <f>AU23/AO23-1</f>
        <v>6.9538150633433382E-2</v>
      </c>
      <c r="AV54" s="153">
        <f>AV23/AP23-1</f>
        <v>3.9601657373139476E-2</v>
      </c>
      <c r="AW54" s="154">
        <f>AW23/AQ23-1</f>
        <v>3.9779379567145057E-2</v>
      </c>
      <c r="AX54" s="188"/>
      <c r="AY54" s="152">
        <f>AY23/AS23-1</f>
        <v>1.2613281042981095E-2</v>
      </c>
      <c r="AZ54" s="151">
        <f>AZ23/AT23-1</f>
        <v>-2.5464794303802218E-3</v>
      </c>
      <c r="BA54" s="151">
        <f>BA23/AU23-1</f>
        <v>0.30163453850937127</v>
      </c>
      <c r="BB54" s="153">
        <f>BB23/AV23-1</f>
        <v>0.24686022040686928</v>
      </c>
      <c r="BC54" s="154">
        <f>BC23/AW23-1</f>
        <v>0.14852602968847961</v>
      </c>
      <c r="BD54" s="188"/>
      <c r="BE54" s="152">
        <f>BE23/AY23-1</f>
        <v>0.41633956141727979</v>
      </c>
      <c r="BF54" s="151">
        <f>BF23/AZ23-1</f>
        <v>0.4741603668360399</v>
      </c>
      <c r="BG54" s="151">
        <f>BG23/BA23-1</f>
        <v>0.10561337655690162</v>
      </c>
      <c r="BH54" s="153">
        <f>BH23/BB23-1</f>
        <v>1.814882032667775E-3</v>
      </c>
      <c r="BI54" s="154">
        <f>BI23/BC23-1</f>
        <v>0.21495924980105974</v>
      </c>
      <c r="BJ54" s="188"/>
      <c r="BK54" s="152">
        <f>BK23/BE23-1</f>
        <v>0.12888921735274605</v>
      </c>
      <c r="BL54" s="151">
        <f>BL23/BF23-1</f>
        <v>-3.6569987389659553E-2</v>
      </c>
      <c r="BM54" s="151">
        <f>BM23/BG23-1</f>
        <v>-7.7160493827160836E-3</v>
      </c>
      <c r="BN54" s="153">
        <f>BN23/BH23-1</f>
        <v>0.11320652173913004</v>
      </c>
      <c r="BO54" s="154">
        <f>BO23/BI23-1</f>
        <v>4.5162864567057204E-2</v>
      </c>
      <c r="BP54" s="188"/>
      <c r="BQ54" s="152">
        <f>BQ23/BK23-1</f>
        <v>6.3829787234042534E-2</v>
      </c>
      <c r="BR54" s="151">
        <f>BR23/BL23-1</f>
        <v>0.59575014873472898</v>
      </c>
      <c r="BS54" s="151">
        <f>BS23/BM23-1</f>
        <v>0.58471142603298998</v>
      </c>
      <c r="BT54" s="153">
        <f>BT23/BN23-1</f>
        <v>0.64113554748608359</v>
      </c>
      <c r="BU54" s="154">
        <f>BU23/BO23-1</f>
        <v>0.47114903798046925</v>
      </c>
      <c r="BV54" s="188"/>
      <c r="BW54" s="152">
        <f>BW23/BQ23-1</f>
        <v>0.58250682260733533</v>
      </c>
      <c r="BX54" s="151">
        <f>BX23/BR23-1</f>
        <v>0.17244743741212853</v>
      </c>
      <c r="BY54" s="151">
        <f>BY23/BS23-1</f>
        <v>9.7388627656286086E-2</v>
      </c>
      <c r="BZ54" s="153">
        <f>BZ23/BT23-1</f>
        <v>9.5842002522886993E-2</v>
      </c>
      <c r="CA54" s="154">
        <f>CA23/BU23-1</f>
        <v>0.20385299448162142</v>
      </c>
      <c r="CB54" s="188"/>
      <c r="CC54" s="152">
        <f>CC23/BW23-1</f>
        <v>0.13409970254385017</v>
      </c>
      <c r="CD54" s="151">
        <f>CD23/BX23-1</f>
        <v>0.13183279075177157</v>
      </c>
      <c r="CE54" s="151">
        <f>CE23/BY23-1</f>
        <v>0.13463866723739804</v>
      </c>
      <c r="CF54" s="153">
        <f>CF23/BZ23-1</f>
        <v>0.16548899451180898</v>
      </c>
      <c r="CG54" s="154">
        <f>CG23/CA23-1</f>
        <v>0.14169943544023145</v>
      </c>
      <c r="CH54" s="188"/>
      <c r="CI54" s="152">
        <f>CI23/CC23-1</f>
        <v>0.13061824603882499</v>
      </c>
      <c r="CJ54" s="151">
        <f>CJ23/CD23-1</f>
        <v>9.8526009007623205E-2</v>
      </c>
      <c r="CK54" s="151">
        <f>CK23/CE23-1</f>
        <v>0.1415064015124472</v>
      </c>
      <c r="CL54" s="153">
        <f>CL23/CF23-1</f>
        <v>0.14221873071842861</v>
      </c>
      <c r="CM54" s="154">
        <f>CM23/CG23-1</f>
        <v>0.12855531509871287</v>
      </c>
      <c r="CN54" s="188"/>
      <c r="CO54" s="188"/>
      <c r="CP54" s="188"/>
    </row>
    <row r="55" spans="1:100" x14ac:dyDescent="0.2">
      <c r="A55" s="189" t="s">
        <v>58</v>
      </c>
      <c r="B55" s="188"/>
      <c r="C55" s="193">
        <v>9.8793909646039513E-2</v>
      </c>
      <c r="D55" s="191">
        <v>0.11648275907732342</v>
      </c>
      <c r="E55" s="191">
        <v>0.17431101382947012</v>
      </c>
      <c r="F55" s="192">
        <v>0.148010746989508</v>
      </c>
      <c r="G55" s="220">
        <v>0.13451250817565663</v>
      </c>
      <c r="H55" s="188"/>
      <c r="I55" s="152">
        <f>I26/C26-1</f>
        <v>0.10210823521753709</v>
      </c>
      <c r="J55" s="151">
        <f>J26/D26-1</f>
        <v>0.17022940138971565</v>
      </c>
      <c r="K55" s="151">
        <f>K26/E26-1</f>
        <v>0.19989671713809698</v>
      </c>
      <c r="L55" s="153">
        <f>L26/F26-1</f>
        <v>0.13273760778457389</v>
      </c>
      <c r="M55" s="154">
        <f>M26/G26-1</f>
        <v>0.1510839822303538</v>
      </c>
      <c r="N55" s="188"/>
      <c r="O55" s="152">
        <f>O26/I26-1</f>
        <v>9.4910962140451582E-2</v>
      </c>
      <c r="P55" s="151">
        <f>P26/J26-1</f>
        <v>-9.7117564895603969E-2</v>
      </c>
      <c r="Q55" s="151">
        <f>Q26/K26-1</f>
        <v>0.10098853434652399</v>
      </c>
      <c r="R55" s="153">
        <f>R26/L26-1</f>
        <v>4.3427105261293342E-2</v>
      </c>
      <c r="S55" s="154">
        <f>S26/M26-1</f>
        <v>3.6613489741278205E-2</v>
      </c>
      <c r="T55" s="188"/>
      <c r="U55" s="152">
        <f>U26/O26-1</f>
        <v>2.5238783980149559E-2</v>
      </c>
      <c r="V55" s="151">
        <f>V26/P26-1</f>
        <v>0.14533122242491947</v>
      </c>
      <c r="W55" s="151">
        <f>W26/Q26-1</f>
        <v>-0.10165065888927904</v>
      </c>
      <c r="X55" s="153">
        <f>X26/R26-1</f>
        <v>-4.6700721398782452E-3</v>
      </c>
      <c r="Y55" s="154">
        <f>Y26/S26-1</f>
        <v>7.7046565457030702E-3</v>
      </c>
      <c r="Z55" s="188"/>
      <c r="AA55" s="152">
        <f>AA26/U26-1</f>
        <v>-1.8567675020470742E-2</v>
      </c>
      <c r="AB55" s="151">
        <f>AB26/V26-1</f>
        <v>3.794635025996862E-2</v>
      </c>
      <c r="AC55" s="151">
        <f>AC26/W26-1</f>
        <v>9.3078596682077297E-2</v>
      </c>
      <c r="AD55" s="153">
        <f>AD26/X26-1</f>
        <v>-6.8451781759611974E-3</v>
      </c>
      <c r="AE55" s="154">
        <f>AE26/Y26-1</f>
        <v>2.5965027118009854E-2</v>
      </c>
      <c r="AF55" s="188"/>
      <c r="AG55" s="152">
        <f>AG26/AA26-1</f>
        <v>-0.16720808104093665</v>
      </c>
      <c r="AH55" s="151">
        <f>AH26/AB26-1</f>
        <v>-7.0055771505831421E-2</v>
      </c>
      <c r="AI55" s="151">
        <f>AI26/AC26-1</f>
        <v>-3.0972818311874151E-2</v>
      </c>
      <c r="AJ55" s="153">
        <f>AJ26/AD26-1</f>
        <v>-1.2949798486155961E-2</v>
      </c>
      <c r="AK55" s="154">
        <f>AK26/AE26-1</f>
        <v>-6.9896295724269475E-2</v>
      </c>
      <c r="AL55" s="188"/>
      <c r="AM55" s="152">
        <f>AM26/AG26-1</f>
        <v>0.13765792978305669</v>
      </c>
      <c r="AN55" s="151">
        <f>AN26/AH26-1</f>
        <v>5.4220097119844768E-2</v>
      </c>
      <c r="AO55" s="151">
        <f>AO26/AI26-1</f>
        <v>2.6496496898077204E-2</v>
      </c>
      <c r="AP55" s="153">
        <f>AP26/AJ26-1</f>
        <v>0.10817184921922385</v>
      </c>
      <c r="AQ55" s="154">
        <f>AQ26/AK26-1</f>
        <v>7.8806567681668271E-2</v>
      </c>
      <c r="AR55" s="188"/>
      <c r="AS55" s="152">
        <f>AS26/AM26-1</f>
        <v>2.8319175808446673E-3</v>
      </c>
      <c r="AT55" s="151">
        <f>AT26/AN26-1</f>
        <v>8.4876030564618343E-2</v>
      </c>
      <c r="AU55" s="151">
        <f>AU26/AO26-1</f>
        <v>7.6982994499337432E-2</v>
      </c>
      <c r="AV55" s="153">
        <f>AV26/AP26-1</f>
        <v>7.7262589560751715E-2</v>
      </c>
      <c r="AW55" s="154">
        <f>AW26/AQ26-1</f>
        <v>6.1633152062838814E-2</v>
      </c>
      <c r="AX55" s="188"/>
      <c r="AY55" s="152">
        <f>AY26/AS26-1</f>
        <v>6.517590002496898E-2</v>
      </c>
      <c r="AZ55" s="151">
        <f>AZ26/AT26-1</f>
        <v>8.870560747068712E-3</v>
      </c>
      <c r="BA55" s="151">
        <f>BA26/AU26-1</f>
        <v>0.28055953280914769</v>
      </c>
      <c r="BB55" s="153">
        <f>BB26/AV26-1</f>
        <v>0.2217517295514031</v>
      </c>
      <c r="BC55" s="154">
        <f>BC26/AW26-1</f>
        <v>0.1508707116047534</v>
      </c>
      <c r="BD55" s="188"/>
      <c r="BE55" s="152">
        <f>BE26/AY26-1</f>
        <v>0.40656866640179912</v>
      </c>
      <c r="BF55" s="151">
        <f>BF26/AZ26-1</f>
        <v>0.48795085840289909</v>
      </c>
      <c r="BG55" s="151">
        <f>BG26/BA26-1</f>
        <v>0.15620040807073243</v>
      </c>
      <c r="BH55" s="153">
        <f>BH26/BB26-1</f>
        <v>0.10262529832935563</v>
      </c>
      <c r="BI55" s="154">
        <f>BI26/BC26-1</f>
        <v>0.26331618894423436</v>
      </c>
      <c r="BJ55" s="188"/>
      <c r="BK55" s="152">
        <f>BK26/BE26-1</f>
        <v>0.19339045287637746</v>
      </c>
      <c r="BL55" s="151">
        <f>BL26/BF26-1</f>
        <v>6.065417592886635E-2</v>
      </c>
      <c r="BM55" s="151">
        <f>BM26/BG26-1</f>
        <v>5.2941176470588269E-2</v>
      </c>
      <c r="BN55" s="153">
        <f>BN26/BH26-1</f>
        <v>0.13525974025973975</v>
      </c>
      <c r="BO55" s="154">
        <f>BO26/BI26-1</f>
        <v>0.1071587158073819</v>
      </c>
      <c r="BP55" s="188"/>
      <c r="BQ55" s="152">
        <f>BQ26/BK26-1</f>
        <v>7.2978303747534445E-2</v>
      </c>
      <c r="BR55" s="151">
        <f>BR26/BL26-1</f>
        <v>0.51481599448453053</v>
      </c>
      <c r="BS55" s="151">
        <f>BS26/BM26-1</f>
        <v>0.57494346547401554</v>
      </c>
      <c r="BT55" s="153">
        <f>BT26/BN26-1</f>
        <v>0.59587970702400517</v>
      </c>
      <c r="BU55" s="154">
        <f>BU26/BO26-1</f>
        <v>0.44271796516693329</v>
      </c>
      <c r="BV55" s="188"/>
      <c r="BW55" s="152">
        <f>BW26/BQ26-1</f>
        <v>0.57414339041065143</v>
      </c>
      <c r="BX55" s="151">
        <f>BX26/BR26-1</f>
        <v>0.17597890559710461</v>
      </c>
      <c r="BY55" s="151">
        <f>BY26/BS26-1</f>
        <v>0.10069401508898568</v>
      </c>
      <c r="BZ55" s="153">
        <f>BZ26/BT26-1</f>
        <v>9.9142731446148824E-2</v>
      </c>
      <c r="CA55" s="154">
        <f>CA26/BU26-1</f>
        <v>0.20565915845565796</v>
      </c>
      <c r="CB55" s="188"/>
      <c r="CC55" s="152">
        <f>CC26/BW26-1</f>
        <v>0.13750540735629424</v>
      </c>
      <c r="CD55" s="151">
        <f>CD26/BX26-1</f>
        <v>0.1352316880212967</v>
      </c>
      <c r="CE55" s="151">
        <f>CE26/BY26-1</f>
        <v>0.13804599056243538</v>
      </c>
      <c r="CF55" s="153">
        <f>CF26/BZ26-1</f>
        <v>0.16898896146229503</v>
      </c>
      <c r="CG55" s="154">
        <f>CG26/CA26-1</f>
        <v>0.14512796227338542</v>
      </c>
      <c r="CH55" s="188"/>
      <c r="CI55" s="152">
        <f>CI26/CC26-1</f>
        <v>0.13061824603882499</v>
      </c>
      <c r="CJ55" s="151">
        <f>CJ26/CD26-1</f>
        <v>9.8526009007622983E-2</v>
      </c>
      <c r="CK55" s="151">
        <f>CK26/CE26-1</f>
        <v>0.1415064015124472</v>
      </c>
      <c r="CL55" s="153">
        <f>CL26/CF26-1</f>
        <v>0.14221873071842839</v>
      </c>
      <c r="CM55" s="154">
        <f>CM26/CG26-1</f>
        <v>0.12855531509871287</v>
      </c>
      <c r="CN55" s="188"/>
      <c r="CO55" s="188"/>
      <c r="CP55" s="188"/>
    </row>
    <row r="56" spans="1:100" x14ac:dyDescent="0.2">
      <c r="A56" s="189" t="s">
        <v>70</v>
      </c>
      <c r="B56" s="188"/>
      <c r="C56" s="193">
        <v>0.10271600321976004</v>
      </c>
      <c r="D56" s="191">
        <v>0.13208126005697407</v>
      </c>
      <c r="E56" s="191">
        <v>0.17866394217671</v>
      </c>
      <c r="F56" s="192">
        <v>0.15633239448022485</v>
      </c>
      <c r="G56" s="220">
        <v>0.13988097274428757</v>
      </c>
      <c r="H56" s="188"/>
      <c r="I56" s="152">
        <f>I34/C34-1</f>
        <v>0.11005458206748742</v>
      </c>
      <c r="J56" s="151">
        <f>J34/D34-1</f>
        <v>0.17926577887406081</v>
      </c>
      <c r="K56" s="151">
        <f>K34/E34-1</f>
        <v>0.2117217420081634</v>
      </c>
      <c r="L56" s="153">
        <f>L34/F34-1</f>
        <v>0.14090856741110458</v>
      </c>
      <c r="M56" s="154">
        <f>M34/G34-1</f>
        <v>0.16078260538828171</v>
      </c>
      <c r="N56" s="188"/>
      <c r="O56" s="152">
        <f>O34/I34-1</f>
        <v>0.11609829243626968</v>
      </c>
      <c r="P56" s="151">
        <f>P34/J34-1</f>
        <v>-7.1788828316848519E-2</v>
      </c>
      <c r="Q56" s="151">
        <f>Q34/K34-1</f>
        <v>0.12766004611891968</v>
      </c>
      <c r="R56" s="153">
        <f>R34/L34-1</f>
        <v>6.9574948421263327E-2</v>
      </c>
      <c r="S56" s="154">
        <f>S34/M34-1</f>
        <v>6.1323565026118354E-2</v>
      </c>
      <c r="T56" s="188"/>
      <c r="U56" s="152">
        <f>U34/O34-1</f>
        <v>4.7797286394727356E-2</v>
      </c>
      <c r="V56" s="151">
        <f>V34/P34-1</f>
        <v>0.16923518465710141</v>
      </c>
      <c r="W56" s="151">
        <f>W34/Q34-1</f>
        <v>-7.3842875668580055E-2</v>
      </c>
      <c r="X56" s="153">
        <f>X34/R34-1</f>
        <v>3.2141585003512274E-2</v>
      </c>
      <c r="Y56" s="154">
        <f>Y34/S34-1</f>
        <v>3.5661016366419052E-2</v>
      </c>
      <c r="Z56" s="188"/>
      <c r="AA56" s="152">
        <f>AA34/U34-1</f>
        <v>2.3779940487522744E-2</v>
      </c>
      <c r="AB56" s="151">
        <f>AB34/V34-1</f>
        <v>0.10882245190057449</v>
      </c>
      <c r="AC56" s="151">
        <f>AC34/W34-1</f>
        <v>0.16520505299384958</v>
      </c>
      <c r="AD56" s="153">
        <f>AD34/X34-1</f>
        <v>6.266158442340819E-2</v>
      </c>
      <c r="AE56" s="154">
        <f>AE34/Y34-1</f>
        <v>9.1577113858142267E-2</v>
      </c>
      <c r="AF56" s="188"/>
      <c r="AG56" s="152">
        <f>AG34/AA34-1</f>
        <v>-0.10873425198107722</v>
      </c>
      <c r="AH56" s="151">
        <f>AH34/AB34-1</f>
        <v>-6.2565661170366216E-4</v>
      </c>
      <c r="AI56" s="151">
        <f>AI34/AC34-1</f>
        <v>5.5299819418721086E-2</v>
      </c>
      <c r="AJ56" s="153">
        <f>AJ34/AD34-1</f>
        <v>7.6862266935452617E-2</v>
      </c>
      <c r="AK56" s="154">
        <f>AK34/AE34-1</f>
        <v>5.4349255714001288E-3</v>
      </c>
      <c r="AL56" s="188"/>
      <c r="AM56" s="152">
        <f>AM34/AG34-1</f>
        <v>0.24063258951949562</v>
      </c>
      <c r="AN56" s="151">
        <f>AN34/AH34-1</f>
        <v>0.11625714275061316</v>
      </c>
      <c r="AO56" s="151">
        <f>AO34/AI34-1</f>
        <v>6.0439443879076959E-2</v>
      </c>
      <c r="AP56" s="153">
        <f>AP34/AJ34-1</f>
        <v>0.12943392162278466</v>
      </c>
      <c r="AQ56" s="154">
        <f>AQ34/AK34-1</f>
        <v>0.13322587717207268</v>
      </c>
      <c r="AR56" s="188"/>
      <c r="AS56" s="152">
        <f>AS34/AM34-1</f>
        <v>1.0222430930337589E-2</v>
      </c>
      <c r="AT56" s="151">
        <f>AT34/AN34-1</f>
        <v>8.8474192478354086E-2</v>
      </c>
      <c r="AU56" s="151">
        <f>AU34/AO34-1</f>
        <v>8.6353055424551739E-2</v>
      </c>
      <c r="AV56" s="153">
        <f>AV34/AP34-1</f>
        <v>8.9150532623806233E-2</v>
      </c>
      <c r="AW56" s="154">
        <f>AW34/AQ34-1</f>
        <v>6.7303529276715457E-2</v>
      </c>
      <c r="AX56" s="188"/>
      <c r="AY56" s="152">
        <f>AY34/AS34-1</f>
        <v>7.1177652558104709E-2</v>
      </c>
      <c r="AZ56" s="151">
        <f>AZ34/AT34-1</f>
        <v>1.136969188232051E-2</v>
      </c>
      <c r="BA56" s="151">
        <f>BA34/AU34-1</f>
        <v>0.17377275534628422</v>
      </c>
      <c r="BB56" s="153">
        <f>BB34/AV34-1</f>
        <v>0.11267595709079248</v>
      </c>
      <c r="BC56" s="154">
        <f>BC34/AW34-1</f>
        <v>0.10010248616354356</v>
      </c>
      <c r="BD56" s="188"/>
      <c r="BE56" s="152">
        <f>BE34/AY34-1</f>
        <v>0.28109900080979777</v>
      </c>
      <c r="BF56" s="151">
        <f>BF34/AZ34-1</f>
        <v>0.35369458988893898</v>
      </c>
      <c r="BG56" s="151">
        <f>BG34/BA34-1</f>
        <v>0.14320078623661892</v>
      </c>
      <c r="BH56" s="153">
        <f>BH34/BB34-1</f>
        <v>9.1508777374356365E-2</v>
      </c>
      <c r="BI56" s="154">
        <f>BI34/BC34-1</f>
        <v>0.20396017743124362</v>
      </c>
      <c r="BJ56" s="188"/>
      <c r="BK56" s="152">
        <f>BK34/BE34-1</f>
        <v>0.1854706534632895</v>
      </c>
      <c r="BL56" s="151">
        <f>BL34/BF34-1</f>
        <v>5.4188969124530084E-2</v>
      </c>
      <c r="BM56" s="151">
        <f>BM34/BG34-1</f>
        <v>4.9022519578725943E-2</v>
      </c>
      <c r="BN56" s="153">
        <f>BN34/BH34-1</f>
        <v>0.13154186742307372</v>
      </c>
      <c r="BO56" s="154">
        <f>BO34/BI34-1</f>
        <v>0.10170046842832092</v>
      </c>
      <c r="BP56" s="188"/>
      <c r="BQ56" s="152">
        <f>BQ34/BK34-1</f>
        <v>6.6814718373696458E-2</v>
      </c>
      <c r="BR56" s="151">
        <f>BR34/BL34-1</f>
        <v>0.13939923978550284</v>
      </c>
      <c r="BS56" s="151">
        <f>BS34/BM34-1</f>
        <v>0.19238400927661226</v>
      </c>
      <c r="BT56" s="153">
        <f>BT34/BN34-1</f>
        <v>0.20922561413296492</v>
      </c>
      <c r="BU56" s="154">
        <f>BU34/BO34-1</f>
        <v>0.15865836057167648</v>
      </c>
      <c r="BV56" s="188"/>
      <c r="BW56" s="152">
        <f>BW34/BQ34-1</f>
        <v>0.19685822254102958</v>
      </c>
      <c r="BX56" s="151">
        <f>BX34/BR34-1</f>
        <v>0.18265747626442863</v>
      </c>
      <c r="BY56" s="151">
        <f>BY34/BS34-1</f>
        <v>0.10135908639852498</v>
      </c>
      <c r="BZ56" s="153">
        <f>BZ34/BT34-1</f>
        <v>9.8585501658507102E-2</v>
      </c>
      <c r="CA56" s="154">
        <f>CA34/BU34-1</f>
        <v>0.13622380535085088</v>
      </c>
      <c r="CB56" s="188"/>
      <c r="CC56" s="152">
        <f>CC34/BW34-1</f>
        <v>0.13177046978633911</v>
      </c>
      <c r="CD56" s="151">
        <f>CD34/BX34-1</f>
        <v>0.12628186060805691</v>
      </c>
      <c r="CE56" s="151">
        <f>CE34/BY34-1</f>
        <v>0.12773053223493136</v>
      </c>
      <c r="CF56" s="153">
        <f>CF34/BZ34-1</f>
        <v>0.1608703245876999</v>
      </c>
      <c r="CG56" s="154">
        <f>CG34/CA34-1</f>
        <v>0.13679026297385244</v>
      </c>
      <c r="CH56" s="188"/>
      <c r="CI56" s="152">
        <f>CI34/CC34-1</f>
        <v>0.12272938447357196</v>
      </c>
      <c r="CJ56" s="151">
        <f>CJ34/CD34-1</f>
        <v>9.0133322842433916E-2</v>
      </c>
      <c r="CK56" s="151">
        <f>CK34/CE34-1</f>
        <v>0.13216020575918197</v>
      </c>
      <c r="CL56" s="153">
        <f>CL34/CF34-1</f>
        <v>0.13114294024883932</v>
      </c>
      <c r="CM56" s="154">
        <f>CM34/CG34-1</f>
        <v>0.11938261896479152</v>
      </c>
      <c r="CN56" s="188"/>
      <c r="CO56" s="188"/>
      <c r="CP56" s="188"/>
    </row>
    <row r="57" spans="1:100" x14ac:dyDescent="0.2">
      <c r="A57" s="196" t="s">
        <v>71</v>
      </c>
      <c r="B57" s="197"/>
      <c r="C57" s="221">
        <v>-3.5567576440975746E-3</v>
      </c>
      <c r="D57" s="222">
        <v>-1.3778605414655032E-2</v>
      </c>
      <c r="E57" s="222">
        <v>-3.6931038538440264E-3</v>
      </c>
      <c r="F57" s="223">
        <v>-7.196587703017121E-3</v>
      </c>
      <c r="G57" s="224">
        <v>-4.7096711823394477E-3</v>
      </c>
      <c r="H57" s="197"/>
      <c r="I57" s="198">
        <f>I33/C33-1</f>
        <v>-7.1585190298931733E-3</v>
      </c>
      <c r="J57" s="199">
        <f>J33/D33-1</f>
        <v>-7.6627149250215743E-3</v>
      </c>
      <c r="K57" s="199">
        <f>K33/E33-1</f>
        <v>-9.7588616760057034E-3</v>
      </c>
      <c r="L57" s="200">
        <f>L33/F33-1</f>
        <v>-7.1618005683591335E-3</v>
      </c>
      <c r="M57" s="201">
        <f>M33/G33-1</f>
        <v>-8.3552450845727488E-3</v>
      </c>
      <c r="N57" s="197"/>
      <c r="O57" s="198">
        <f>O33/I33-1</f>
        <v>-1.8983391014396611E-2</v>
      </c>
      <c r="P57" s="199">
        <f>P33/J33-1</f>
        <v>-2.7287687706694985E-2</v>
      </c>
      <c r="Q57" s="199">
        <f>Q33/K33-1</f>
        <v>-2.3652085452695815E-2</v>
      </c>
      <c r="R57" s="200">
        <f>R33/L33-1</f>
        <v>-2.4446948012914138E-2</v>
      </c>
      <c r="S57" s="201">
        <f>S33/M33-1</f>
        <v>-2.3282320396072587E-2</v>
      </c>
      <c r="T57" s="197"/>
      <c r="U57" s="198">
        <f>U33/O33-1</f>
        <v>-2.1529452984362374E-2</v>
      </c>
      <c r="V57" s="199">
        <f>V33/P33-1</f>
        <v>-2.0444101020781646E-2</v>
      </c>
      <c r="W57" s="199">
        <f>W33/Q33-1</f>
        <v>-3.0024908830424635E-2</v>
      </c>
      <c r="X57" s="200">
        <f>X33/R33-1</f>
        <v>-3.5665317315225931E-2</v>
      </c>
      <c r="Y57" s="201">
        <f>Y33/S33-1</f>
        <v>-2.6993735767712912E-2</v>
      </c>
      <c r="Z57" s="197"/>
      <c r="AA57" s="198">
        <f>AA33/U33-1</f>
        <v>-4.1363982466610438E-2</v>
      </c>
      <c r="AB57" s="199">
        <f>AB33/V33-1</f>
        <v>-6.3920153780364752E-2</v>
      </c>
      <c r="AC57" s="199">
        <f>AC33/W33-1</f>
        <v>-6.1900226167447725E-2</v>
      </c>
      <c r="AD57" s="200">
        <f>AD33/X33-1</f>
        <v>-6.5408182264425574E-2</v>
      </c>
      <c r="AE57" s="201">
        <f>AE33/Y33-1</f>
        <v>-6.0107605690108756E-2</v>
      </c>
      <c r="AF57" s="197"/>
      <c r="AG57" s="198">
        <f>AG33/AA33-1</f>
        <v>-6.5607625099285194E-2</v>
      </c>
      <c r="AH57" s="199">
        <f>AH33/AB33-1</f>
        <v>-6.9473581499731707E-2</v>
      </c>
      <c r="AI57" s="199">
        <f>AI33/AC33-1</f>
        <v>-8.1751779108723666E-2</v>
      </c>
      <c r="AJ57" s="200">
        <f>AJ33/AD33-1</f>
        <v>-8.340162728256495E-2</v>
      </c>
      <c r="AK57" s="201">
        <f>AK33/AE33-1</f>
        <v>-7.4924014851441512E-2</v>
      </c>
      <c r="AL57" s="197"/>
      <c r="AM57" s="198">
        <f>AM33/AG33-1</f>
        <v>-8.3001736860968345E-2</v>
      </c>
      <c r="AN57" s="199">
        <f>AN33/AH33-1</f>
        <v>-5.5575945053216613E-2</v>
      </c>
      <c r="AO57" s="199">
        <f>AO33/AI33-1</f>
        <v>-3.200837839154369E-2</v>
      </c>
      <c r="AP57" s="200">
        <f>AP33/AJ33-1</f>
        <v>-1.8825423954870413E-2</v>
      </c>
      <c r="AQ57" s="201">
        <f>AQ33/AK33-1</f>
        <v>-4.8021590917254775E-2</v>
      </c>
      <c r="AR57" s="197"/>
      <c r="AS57" s="198">
        <f>AS33/AM33-1</f>
        <v>-7.3157288169563017E-3</v>
      </c>
      <c r="AT57" s="199">
        <f>AT33/AN33-1</f>
        <v>-3.3056933628743401E-3</v>
      </c>
      <c r="AU57" s="199">
        <f>AU33/AO33-1</f>
        <v>-8.6252446922538972E-3</v>
      </c>
      <c r="AV57" s="200">
        <f>AV33/AP33-1</f>
        <v>-1.0914876049700872E-2</v>
      </c>
      <c r="AW57" s="201">
        <f>AW33/AQ33-1</f>
        <v>-5.3128065806353764E-3</v>
      </c>
      <c r="AX57" s="197"/>
      <c r="AY57" s="198">
        <f>AY33/AS33-1</f>
        <v>-5.6029478572511282E-3</v>
      </c>
      <c r="AZ57" s="199">
        <f>AZ33/AT33-1</f>
        <v>-2.4710362148586684E-3</v>
      </c>
      <c r="BA57" s="199">
        <f>BA33/AU33-1</f>
        <v>9.0977386360752366E-2</v>
      </c>
      <c r="BB57" s="200">
        <f>BB33/AV33-1</f>
        <v>9.8030133360480498E-2</v>
      </c>
      <c r="BC57" s="201">
        <f>BC33/AW33-1</f>
        <v>4.6148632586275662E-2</v>
      </c>
      <c r="BD57" s="197"/>
      <c r="BE57" s="198">
        <f>BE33/AY33-1</f>
        <v>9.7939086294416278E-2</v>
      </c>
      <c r="BF57" s="199">
        <f>BF33/AZ33-1</f>
        <v>9.9177664974619439E-2</v>
      </c>
      <c r="BG57" s="199">
        <f>BG33/BA33-1</f>
        <v>1.1371249906945602E-2</v>
      </c>
      <c r="BH57" s="200">
        <f>BH33/BB33-1</f>
        <v>1.0184545635757658E-2</v>
      </c>
      <c r="BI57" s="201">
        <f>BI33/BC33-1</f>
        <v>4.9300643514332609E-2</v>
      </c>
      <c r="BJ57" s="197"/>
      <c r="BK57" s="198">
        <f>BK33/BE33-1</f>
        <v>6.680721610400564E-3</v>
      </c>
      <c r="BL57" s="199">
        <f>BL33/BF33-1</f>
        <v>6.1328727521265947E-3</v>
      </c>
      <c r="BM57" s="199">
        <f>BM33/BG33-1</f>
        <v>3.7355317152163448E-3</v>
      </c>
      <c r="BN57" s="200">
        <f>BN33/BH33-1</f>
        <v>3.2856697075938079E-3</v>
      </c>
      <c r="BO57" s="201">
        <f>BO33/BI33-1</f>
        <v>4.9543841865182792E-3</v>
      </c>
      <c r="BP57" s="197"/>
      <c r="BQ57" s="198">
        <f>BQ33/BK33-1</f>
        <v>5.7775593715412299E-3</v>
      </c>
      <c r="BR57" s="199">
        <f>BR33/BL33-1</f>
        <v>0.26242520059658347</v>
      </c>
      <c r="BS57" s="199">
        <f>BS33/BM33-1</f>
        <v>0.26105030747467461</v>
      </c>
      <c r="BT57" s="200">
        <f>BT33/BN33-1</f>
        <v>0.25939454172041532</v>
      </c>
      <c r="BU57" s="201">
        <f>BU33/BO33-1</f>
        <v>0.19726769126906341</v>
      </c>
      <c r="BV57" s="197"/>
      <c r="BW57" s="198">
        <f>BW33/BQ33-1</f>
        <v>0.25643406815978098</v>
      </c>
      <c r="BX57" s="199">
        <f>BX33/BR33-1</f>
        <v>2.2573035075414971E-3</v>
      </c>
      <c r="BY57" s="199">
        <f>BY33/BS33-1</f>
        <v>3.7306256426956619E-3</v>
      </c>
      <c r="BZ57" s="200">
        <f>BZ33/BT33-1</f>
        <v>4.8324305121394406E-3</v>
      </c>
      <c r="CA57" s="201">
        <f>CA33/BU33-1</f>
        <v>5.6615559577358532E-2</v>
      </c>
      <c r="CB57" s="197"/>
      <c r="CC57" s="198">
        <f>CC33/BW33-1</f>
        <v>5.2099926714165745E-2</v>
      </c>
      <c r="CD57" s="199">
        <f>CD33/BX33-1</f>
        <v>5.3118003408027636E-2</v>
      </c>
      <c r="CE57" s="199">
        <f>CE33/BY33-1</f>
        <v>5.2425538093757496E-2</v>
      </c>
      <c r="CF57" s="200">
        <f>CF33/BZ33-1</f>
        <v>5.0713456390054645E-2</v>
      </c>
      <c r="CG57" s="201">
        <f>CG33/CA33-1</f>
        <v>5.2088116571816112E-2</v>
      </c>
      <c r="CH57" s="197"/>
      <c r="CI57" s="198">
        <f>CI33/CC33-1</f>
        <v>7.0265031577061432E-3</v>
      </c>
      <c r="CJ57" s="199">
        <f>CJ33/CD33-1</f>
        <v>7.6987704066378004E-3</v>
      </c>
      <c r="CK57" s="199">
        <f>CK33/CE33-1</f>
        <v>8.2551883609069954E-3</v>
      </c>
      <c r="CL57" s="200">
        <f>CL33/CF33-1</f>
        <v>9.7916806757885055E-3</v>
      </c>
      <c r="CM57" s="201">
        <f>CM33/CG33-1</f>
        <v>8.1944243000702244E-3</v>
      </c>
      <c r="CN57" s="188"/>
      <c r="CO57" s="188"/>
      <c r="CP57" s="188"/>
    </row>
    <row r="58" spans="1:100" s="11" customFormat="1" x14ac:dyDescent="0.2">
      <c r="A58" s="225"/>
      <c r="B58" s="226"/>
      <c r="C58" s="226"/>
      <c r="D58" s="226"/>
      <c r="E58" s="226"/>
      <c r="F58" s="226"/>
      <c r="G58" s="226"/>
      <c r="H58" s="226"/>
      <c r="I58" s="226"/>
      <c r="J58" s="226"/>
      <c r="K58" s="226"/>
      <c r="L58" s="226"/>
      <c r="M58" s="226"/>
      <c r="N58" s="226"/>
      <c r="O58" s="226"/>
      <c r="P58" s="226"/>
      <c r="Q58" s="226"/>
      <c r="R58" s="226"/>
      <c r="S58" s="226"/>
      <c r="T58" s="226"/>
      <c r="U58" s="226"/>
      <c r="V58" s="226"/>
      <c r="W58" s="226"/>
      <c r="X58" s="226"/>
      <c r="Y58" s="226"/>
      <c r="Z58" s="226"/>
      <c r="AA58" s="226"/>
      <c r="AB58" s="226"/>
      <c r="AC58" s="226"/>
      <c r="AD58" s="226"/>
      <c r="AE58" s="226"/>
      <c r="AF58" s="226"/>
      <c r="AG58" s="226"/>
      <c r="AH58" s="226"/>
      <c r="AI58" s="226"/>
      <c r="AJ58" s="226"/>
      <c r="AK58" s="226"/>
      <c r="AL58" s="10"/>
      <c r="AM58" s="10"/>
      <c r="AN58" s="226"/>
      <c r="AO58" s="226"/>
      <c r="AP58" s="226"/>
      <c r="AQ58" s="10"/>
      <c r="AR58" s="10"/>
      <c r="AS58" s="10"/>
      <c r="AT58" s="226"/>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62"/>
      <c r="BV58" s="10"/>
      <c r="BW58" s="10"/>
      <c r="BX58" s="10"/>
      <c r="BY58" s="10"/>
      <c r="BZ58" s="10"/>
      <c r="CA58" s="10"/>
      <c r="CB58" s="10"/>
      <c r="CC58" s="10"/>
      <c r="CD58" s="10"/>
      <c r="CE58" s="10"/>
      <c r="CF58" s="10"/>
      <c r="CG58" s="10"/>
      <c r="CH58" s="10"/>
      <c r="CI58" s="10"/>
      <c r="CJ58" s="10"/>
      <c r="CK58" s="10"/>
      <c r="CL58" s="10"/>
      <c r="CM58" s="10"/>
      <c r="CQ58"/>
      <c r="CR58"/>
      <c r="CS58"/>
      <c r="CT58"/>
      <c r="CU58"/>
      <c r="CV58"/>
    </row>
    <row r="59" spans="1:100" s="11" customFormat="1" x14ac:dyDescent="0.2">
      <c r="A59" s="176" t="s">
        <v>72</v>
      </c>
      <c r="B59" s="204"/>
      <c r="C59" s="205"/>
      <c r="D59" s="204"/>
      <c r="E59" s="204"/>
      <c r="F59" s="206"/>
      <c r="G59" s="227">
        <f>G5</f>
        <v>2007</v>
      </c>
      <c r="H59" s="204"/>
      <c r="I59" s="205"/>
      <c r="J59" s="204"/>
      <c r="K59" s="204"/>
      <c r="L59" s="206"/>
      <c r="M59" s="227">
        <f>M5</f>
        <v>2008</v>
      </c>
      <c r="N59" s="204"/>
      <c r="O59" s="205"/>
      <c r="P59" s="204"/>
      <c r="Q59" s="204"/>
      <c r="R59" s="206"/>
      <c r="S59" s="227">
        <f>S5</f>
        <v>2009</v>
      </c>
      <c r="T59" s="204"/>
      <c r="U59" s="205"/>
      <c r="V59" s="204"/>
      <c r="W59" s="204"/>
      <c r="X59" s="206"/>
      <c r="Y59" s="227">
        <f>Y5</f>
        <v>2010</v>
      </c>
      <c r="Z59" s="204"/>
      <c r="AA59" s="205"/>
      <c r="AB59" s="204"/>
      <c r="AC59" s="204"/>
      <c r="AD59" s="206"/>
      <c r="AE59" s="227">
        <f>AE5</f>
        <v>2011</v>
      </c>
      <c r="AF59" s="204"/>
      <c r="AG59" s="205"/>
      <c r="AH59" s="204"/>
      <c r="AI59" s="204"/>
      <c r="AJ59" s="206"/>
      <c r="AK59" s="227">
        <f>AK5</f>
        <v>2012</v>
      </c>
      <c r="AL59" s="214"/>
      <c r="AM59" s="205"/>
      <c r="AN59" s="204"/>
      <c r="AO59" s="204"/>
      <c r="AP59" s="206"/>
      <c r="AQ59" s="227">
        <f>AQ5</f>
        <v>2013</v>
      </c>
      <c r="AR59" s="214"/>
      <c r="AS59" s="211"/>
      <c r="AT59" s="212"/>
      <c r="AU59" s="214"/>
      <c r="AV59" s="217"/>
      <c r="AW59" s="228">
        <f>AW5</f>
        <v>2014</v>
      </c>
      <c r="AX59" s="214"/>
      <c r="AY59" s="211"/>
      <c r="AZ59" s="212"/>
      <c r="BA59" s="214"/>
      <c r="BB59" s="217"/>
      <c r="BC59" s="228">
        <f>BC5</f>
        <v>2015</v>
      </c>
      <c r="BD59" s="214"/>
      <c r="BE59" s="211"/>
      <c r="BF59" s="212"/>
      <c r="BG59" s="214"/>
      <c r="BH59" s="217"/>
      <c r="BI59" s="228">
        <f>BI5</f>
        <v>2016</v>
      </c>
      <c r="BJ59" s="214"/>
      <c r="BK59" s="211"/>
      <c r="BL59" s="212"/>
      <c r="BM59" s="214"/>
      <c r="BN59" s="217"/>
      <c r="BO59" s="228">
        <f>BO5</f>
        <v>2017</v>
      </c>
      <c r="BP59" s="214"/>
      <c r="BQ59" s="211"/>
      <c r="BR59" s="212"/>
      <c r="BS59" s="214"/>
      <c r="BT59" s="217"/>
      <c r="BU59" s="228">
        <f>BU5</f>
        <v>2018</v>
      </c>
      <c r="BV59" s="214"/>
      <c r="BW59" s="211"/>
      <c r="BX59" s="212"/>
      <c r="BY59" s="214"/>
      <c r="BZ59" s="217"/>
      <c r="CA59" s="228">
        <f>CA5</f>
        <v>2019</v>
      </c>
      <c r="CB59" s="214"/>
      <c r="CC59" s="211"/>
      <c r="CD59" s="212"/>
      <c r="CE59" s="214"/>
      <c r="CF59" s="217"/>
      <c r="CG59" s="228">
        <f>CG5</f>
        <v>2020</v>
      </c>
      <c r="CH59" s="214"/>
      <c r="CI59" s="211"/>
      <c r="CJ59" s="212"/>
      <c r="CK59" s="214"/>
      <c r="CL59" s="217"/>
      <c r="CM59" s="228">
        <f>CM5</f>
        <v>2021</v>
      </c>
      <c r="CQ59"/>
      <c r="CR59"/>
      <c r="CS59"/>
      <c r="CT59"/>
      <c r="CU59"/>
      <c r="CV59"/>
    </row>
    <row r="60" spans="1:100" s="11" customFormat="1" hidden="1" outlineLevel="1" x14ac:dyDescent="0.2">
      <c r="A60" s="189" t="s">
        <v>73</v>
      </c>
      <c r="B60" s="229"/>
      <c r="C60" s="230"/>
      <c r="D60" s="229"/>
      <c r="E60" s="229"/>
      <c r="F60" s="231"/>
      <c r="G60" s="232">
        <f>SUM(D7:F7)+I7</f>
        <v>6563.9490000000005</v>
      </c>
      <c r="H60" s="229"/>
      <c r="I60" s="230"/>
      <c r="J60" s="229"/>
      <c r="K60" s="229"/>
      <c r="L60" s="231"/>
      <c r="M60" s="232">
        <f>SUM(J7:L7)+O7</f>
        <v>7123.2920000000004</v>
      </c>
      <c r="N60" s="229"/>
      <c r="O60" s="230"/>
      <c r="P60" s="229"/>
      <c r="Q60" s="229"/>
      <c r="R60" s="231"/>
      <c r="S60" s="232">
        <f>SUM(P7:R7)+U7</f>
        <v>7182.3919999999998</v>
      </c>
      <c r="T60" s="229"/>
      <c r="U60" s="230"/>
      <c r="V60" s="229"/>
      <c r="W60" s="229"/>
      <c r="X60" s="231"/>
      <c r="Y60" s="232">
        <f>SUM(V7:X7)+AA7</f>
        <v>7286.8687000000009</v>
      </c>
      <c r="Z60" s="229"/>
      <c r="AA60" s="230"/>
      <c r="AB60" s="229"/>
      <c r="AC60" s="229"/>
      <c r="AD60" s="231"/>
      <c r="AE60" s="232">
        <f>SUM(AB7:AD7)+AG7</f>
        <v>7632.4039999999995</v>
      </c>
      <c r="AF60" s="229"/>
      <c r="AG60" s="230"/>
      <c r="AH60" s="229"/>
      <c r="AI60" s="229"/>
      <c r="AJ60" s="231"/>
      <c r="AK60" s="232">
        <f>SUM(AH7:AJ7)+AM7</f>
        <v>7776.8539999999994</v>
      </c>
      <c r="AM60" s="230"/>
      <c r="AN60" s="229"/>
      <c r="AO60" s="229"/>
      <c r="AP60" s="231"/>
      <c r="AQ60" s="232">
        <f>SUM(AN7:AP7)+AS7</f>
        <v>8167.9390000000003</v>
      </c>
      <c r="AS60" s="233"/>
      <c r="AT60" s="229"/>
      <c r="AV60" s="234"/>
      <c r="AW60" s="232">
        <f>SUM(AT7:AV7)+AY7</f>
        <v>8481.93</v>
      </c>
      <c r="AY60" s="233"/>
      <c r="AZ60" s="229"/>
      <c r="BB60" s="234"/>
      <c r="BC60" s="232">
        <f>SUM(AZ7:BB7)+BE7</f>
        <v>11242.69</v>
      </c>
      <c r="BE60" s="233"/>
      <c r="BF60" s="229"/>
      <c r="BH60" s="234"/>
      <c r="BI60" s="232">
        <f>SUM(BF7:BH7)+BK7</f>
        <v>12427</v>
      </c>
      <c r="BK60" s="233"/>
      <c r="BL60" s="229"/>
      <c r="BN60" s="234"/>
      <c r="BO60" s="232">
        <f>SUM(BL7:BN7)+BQ7</f>
        <v>12250.49</v>
      </c>
      <c r="BQ60" s="233"/>
      <c r="BR60" s="229"/>
      <c r="BT60" s="234"/>
      <c r="BU60" s="232">
        <f>SUM(BR7:BT7)+BW7</f>
        <v>17142.658394551614</v>
      </c>
      <c r="BW60" s="233"/>
      <c r="BX60" s="229"/>
      <c r="BZ60" s="234"/>
      <c r="CA60" s="232">
        <f>SUM(BX7:BZ7)+CC7</f>
        <v>18057.120068789693</v>
      </c>
      <c r="CC60" s="233"/>
      <c r="CD60" s="229"/>
      <c r="CF60" s="234"/>
      <c r="CG60" s="232">
        <f>SUM(CD7:CF7)+CI7</f>
        <v>19020.066950500768</v>
      </c>
      <c r="CI60" s="233"/>
      <c r="CJ60" s="229"/>
      <c r="CL60" s="234"/>
      <c r="CM60" s="232"/>
      <c r="CQ60"/>
      <c r="CR60"/>
      <c r="CS60"/>
      <c r="CT60"/>
      <c r="CU60"/>
      <c r="CV60"/>
    </row>
    <row r="61" spans="1:100" s="11" customFormat="1" hidden="1" outlineLevel="1" x14ac:dyDescent="0.2">
      <c r="A61" s="189" t="s">
        <v>39</v>
      </c>
      <c r="B61" s="229"/>
      <c r="C61" s="230"/>
      <c r="D61" s="229"/>
      <c r="E61" s="229"/>
      <c r="F61" s="231"/>
      <c r="G61" s="232">
        <f>SUM(D11:F11)+I11</f>
        <v>3371.1150000000007</v>
      </c>
      <c r="H61" s="229"/>
      <c r="I61" s="230"/>
      <c r="J61" s="229"/>
      <c r="K61" s="229"/>
      <c r="L61" s="231"/>
      <c r="M61" s="232">
        <f>SUM(J11:L11)+O11</f>
        <v>3685.0349999999999</v>
      </c>
      <c r="N61" s="229"/>
      <c r="O61" s="230"/>
      <c r="P61" s="229"/>
      <c r="Q61" s="229"/>
      <c r="R61" s="231"/>
      <c r="S61" s="232">
        <f>SUM(P11:R11)+U11</f>
        <v>3751.9340000000002</v>
      </c>
      <c r="T61" s="229"/>
      <c r="U61" s="230"/>
      <c r="V61" s="229"/>
      <c r="W61" s="229"/>
      <c r="X61" s="231"/>
      <c r="Y61" s="232">
        <f>SUM(V11:X11)+AA11</f>
        <v>3797.8436999999999</v>
      </c>
      <c r="Z61" s="229"/>
      <c r="AA61" s="230"/>
      <c r="AB61" s="229"/>
      <c r="AC61" s="229"/>
      <c r="AD61" s="231"/>
      <c r="AE61" s="232">
        <f>SUM(AB11:AD11)+AG11</f>
        <v>3946.9839999999999</v>
      </c>
      <c r="AF61" s="229"/>
      <c r="AG61" s="230"/>
      <c r="AH61" s="229"/>
      <c r="AI61" s="229"/>
      <c r="AJ61" s="231"/>
      <c r="AK61" s="232">
        <f>SUM(AH11:AJ11)+AM11</f>
        <v>4055.7370749999995</v>
      </c>
      <c r="AM61" s="230"/>
      <c r="AN61" s="229"/>
      <c r="AO61" s="229"/>
      <c r="AP61" s="231"/>
      <c r="AQ61" s="232">
        <f>SUM(AN11:AP11)+AS11</f>
        <v>4276.3949249999996</v>
      </c>
      <c r="AS61" s="233"/>
      <c r="AT61" s="229"/>
      <c r="AV61" s="234"/>
      <c r="AW61" s="232">
        <f>SUM(AT11:AV11)+AY11</f>
        <v>4405.8100000000013</v>
      </c>
      <c r="AY61" s="233"/>
      <c r="AZ61" s="229"/>
      <c r="BB61" s="234"/>
      <c r="BC61" s="232">
        <f>SUM(AZ11:BB11)+BE11</f>
        <v>5865.2899999999991</v>
      </c>
      <c r="BE61" s="233"/>
      <c r="BF61" s="229"/>
      <c r="BH61" s="234"/>
      <c r="BI61" s="232">
        <f>SUM(BF11:BH11)+BK11</f>
        <v>6585.25</v>
      </c>
      <c r="BK61" s="233"/>
      <c r="BL61" s="229"/>
      <c r="BN61" s="234"/>
      <c r="BO61" s="232">
        <f>SUM(BL11:BN11)+BQ11</f>
        <v>6572.49</v>
      </c>
      <c r="BQ61" s="233"/>
      <c r="BR61" s="229"/>
      <c r="BT61" s="234"/>
      <c r="BU61" s="232">
        <f>SUM(BR11:BT11)+BW11</f>
        <v>9806.8228568671766</v>
      </c>
      <c r="BW61" s="233"/>
      <c r="BX61" s="229"/>
      <c r="BZ61" s="234"/>
      <c r="CA61" s="232">
        <f>SUM(BX11:BZ11)+CC11</f>
        <v>10437.386655984283</v>
      </c>
      <c r="CC61" s="233"/>
      <c r="CD61" s="229"/>
      <c r="CF61" s="234"/>
      <c r="CG61" s="232">
        <f>SUM(CD11:CF11)+CI11</f>
        <v>11145.993180516967</v>
      </c>
      <c r="CI61" s="233"/>
      <c r="CJ61" s="229"/>
      <c r="CL61" s="234"/>
      <c r="CM61" s="232"/>
      <c r="CQ61"/>
      <c r="CR61"/>
      <c r="CS61"/>
      <c r="CT61"/>
      <c r="CU61"/>
      <c r="CV61"/>
    </row>
    <row r="62" spans="1:100" s="11" customFormat="1" hidden="1" outlineLevel="1" x14ac:dyDescent="0.2">
      <c r="A62" s="189" t="s">
        <v>67</v>
      </c>
      <c r="B62" s="229"/>
      <c r="C62" s="230"/>
      <c r="D62" s="229"/>
      <c r="E62" s="229"/>
      <c r="F62" s="231"/>
      <c r="G62" s="232">
        <f>SUM(D12:F12)+I12</f>
        <v>1640.038</v>
      </c>
      <c r="H62" s="229"/>
      <c r="I62" s="230"/>
      <c r="J62" s="229"/>
      <c r="K62" s="229"/>
      <c r="L62" s="231"/>
      <c r="M62" s="232">
        <f>SUM(J12:L12)+O12</f>
        <v>1692.9950000000003</v>
      </c>
      <c r="N62" s="229"/>
      <c r="O62" s="230"/>
      <c r="P62" s="229"/>
      <c r="Q62" s="229"/>
      <c r="R62" s="231"/>
      <c r="S62" s="232">
        <f>SUM(P12:R12)+U12</f>
        <v>1726.8019999999999</v>
      </c>
      <c r="T62" s="229"/>
      <c r="U62" s="230"/>
      <c r="V62" s="229"/>
      <c r="W62" s="229"/>
      <c r="X62" s="231"/>
      <c r="Y62" s="232">
        <f>SUM(V12:X12)+AA12</f>
        <v>1716.6379999999999</v>
      </c>
      <c r="Z62" s="229"/>
      <c r="AA62" s="230"/>
      <c r="AB62" s="229"/>
      <c r="AC62" s="229"/>
      <c r="AD62" s="231"/>
      <c r="AE62" s="232">
        <f>SUM(AB12:AD12)+AG12</f>
        <v>1864.854</v>
      </c>
      <c r="AF62" s="229"/>
      <c r="AG62" s="230"/>
      <c r="AH62" s="229"/>
      <c r="AI62" s="229"/>
      <c r="AJ62" s="231"/>
      <c r="AK62" s="232">
        <f>SUM(AH12:AJ12)+AM12</f>
        <v>1928.961</v>
      </c>
      <c r="AM62" s="230"/>
      <c r="AN62" s="229"/>
      <c r="AO62" s="229"/>
      <c r="AP62" s="231"/>
      <c r="AQ62" s="232">
        <f>SUM(AN12:AP12)+AS12</f>
        <v>2087.9300000000003</v>
      </c>
      <c r="AS62" s="233"/>
      <c r="AT62" s="229"/>
      <c r="AV62" s="234"/>
      <c r="AW62" s="232">
        <f>SUM(AT12:AV12)+AY12</f>
        <v>2116</v>
      </c>
      <c r="AY62" s="233"/>
      <c r="AZ62" s="229"/>
      <c r="BB62" s="234"/>
      <c r="BC62" s="232">
        <f>SUM(AZ12:BB12)+BE12</f>
        <v>2764.4</v>
      </c>
      <c r="BE62" s="233"/>
      <c r="BF62" s="229"/>
      <c r="BH62" s="234"/>
      <c r="BI62" s="232">
        <f>SUM(BF12:BH12)+BK12</f>
        <v>2978.75</v>
      </c>
      <c r="BK62" s="233"/>
      <c r="BL62" s="229"/>
      <c r="BN62" s="234"/>
      <c r="BO62" s="232">
        <f>SUM(BL12:BN12)+BQ12</f>
        <v>2986</v>
      </c>
      <c r="BQ62" s="233"/>
      <c r="BR62" s="229"/>
      <c r="BT62" s="234"/>
      <c r="BU62" s="232">
        <f>SUM(BR12:BT12)+BW12</f>
        <v>4156.5605066923881</v>
      </c>
      <c r="BW62" s="233"/>
      <c r="BX62" s="229"/>
      <c r="BZ62" s="234"/>
      <c r="CA62" s="232">
        <f>SUM(BX12:BZ12)+CC12</f>
        <v>4243.2014280895255</v>
      </c>
      <c r="CC62" s="233"/>
      <c r="CD62" s="229"/>
      <c r="CF62" s="234"/>
      <c r="CG62" s="232">
        <f>SUM(CD12:CF12)+CI12</f>
        <v>4298.4585985364874</v>
      </c>
      <c r="CI62" s="233"/>
      <c r="CJ62" s="229"/>
      <c r="CL62" s="234"/>
      <c r="CM62" s="232"/>
      <c r="CQ62"/>
      <c r="CR62"/>
      <c r="CS62"/>
      <c r="CT62"/>
      <c r="CU62"/>
      <c r="CV62"/>
    </row>
    <row r="63" spans="1:100" s="11" customFormat="1" hidden="1" outlineLevel="1" x14ac:dyDescent="0.2">
      <c r="A63" s="189" t="s">
        <v>43</v>
      </c>
      <c r="B63" s="229"/>
      <c r="C63" s="230"/>
      <c r="D63" s="229"/>
      <c r="E63" s="229"/>
      <c r="F63" s="231"/>
      <c r="G63" s="232">
        <f>SUM(D15:F15)+I15</f>
        <v>371.637</v>
      </c>
      <c r="H63" s="229"/>
      <c r="I63" s="230"/>
      <c r="J63" s="229"/>
      <c r="K63" s="229"/>
      <c r="L63" s="231"/>
      <c r="M63" s="232">
        <f>SUM(J15:L15)+O15</f>
        <v>401.06700000000001</v>
      </c>
      <c r="N63" s="229"/>
      <c r="O63" s="230"/>
      <c r="P63" s="229"/>
      <c r="Q63" s="229"/>
      <c r="R63" s="231"/>
      <c r="S63" s="232">
        <f>SUM(P15:R15)+U15</f>
        <v>407.36200000000002</v>
      </c>
      <c r="T63" s="229"/>
      <c r="U63" s="230"/>
      <c r="V63" s="229"/>
      <c r="W63" s="229"/>
      <c r="X63" s="231"/>
      <c r="Y63" s="232">
        <f>SUM(V15:X15)+AA15</f>
        <v>445.41399999999999</v>
      </c>
      <c r="Z63" s="229"/>
      <c r="AA63" s="230"/>
      <c r="AB63" s="229"/>
      <c r="AC63" s="229"/>
      <c r="AD63" s="231"/>
      <c r="AE63" s="232">
        <f>SUM(AB15:AD15)+AG15</f>
        <v>458.90599999999995</v>
      </c>
      <c r="AF63" s="229"/>
      <c r="AG63" s="230"/>
      <c r="AH63" s="229"/>
      <c r="AI63" s="229"/>
      <c r="AJ63" s="231"/>
      <c r="AK63" s="232">
        <f>SUM(AH15:AJ15)+AM15</f>
        <v>475.68900000000008</v>
      </c>
      <c r="AM63" s="230"/>
      <c r="AN63" s="229"/>
      <c r="AO63" s="229"/>
      <c r="AP63" s="231"/>
      <c r="AQ63" s="232">
        <f>SUM(AN15:AP15)+AS15</f>
        <v>502.49299999999999</v>
      </c>
      <c r="AS63" s="233"/>
      <c r="AT63" s="229"/>
      <c r="AV63" s="234"/>
      <c r="AW63" s="232">
        <f>SUM(AT15:AV15)+AY15</f>
        <v>517</v>
      </c>
      <c r="AY63" s="233"/>
      <c r="AZ63" s="229"/>
      <c r="BB63" s="234"/>
      <c r="BC63" s="232">
        <f>SUM(AZ15:BB15)+BE15</f>
        <v>692.1</v>
      </c>
      <c r="BE63" s="233"/>
      <c r="BF63" s="229"/>
      <c r="BH63" s="234"/>
      <c r="BI63" s="232">
        <f>SUM(BF15:BH15)+BK15</f>
        <v>823.75</v>
      </c>
      <c r="BK63" s="233"/>
      <c r="BL63" s="229"/>
      <c r="BN63" s="234"/>
      <c r="BO63" s="232">
        <f>SUM(BL15:BN15)+BQ15</f>
        <v>785</v>
      </c>
      <c r="BQ63" s="233"/>
      <c r="BR63" s="229"/>
      <c r="BT63" s="234"/>
      <c r="BU63" s="232">
        <f>SUM(BR15:BT15)+BW15</f>
        <v>1140.2966744349583</v>
      </c>
      <c r="BW63" s="233"/>
      <c r="BX63" s="229"/>
      <c r="BZ63" s="234"/>
      <c r="CA63" s="232">
        <f>SUM(BX15:BZ15)+CC15</f>
        <v>1182.664118840908</v>
      </c>
      <c r="CC63" s="233"/>
      <c r="CD63" s="229"/>
      <c r="CF63" s="234"/>
      <c r="CG63" s="232">
        <f>SUM(CD15:CF15)+CI15</f>
        <v>1195.8655931073029</v>
      </c>
      <c r="CI63" s="233"/>
      <c r="CJ63" s="229"/>
      <c r="CL63" s="234"/>
      <c r="CM63" s="232"/>
      <c r="CQ63"/>
      <c r="CR63"/>
      <c r="CS63"/>
      <c r="CT63"/>
      <c r="CU63"/>
      <c r="CV63"/>
    </row>
    <row r="64" spans="1:100" hidden="1" outlineLevel="1" x14ac:dyDescent="0.2">
      <c r="A64" s="189" t="s">
        <v>68</v>
      </c>
      <c r="B64" s="229"/>
      <c r="C64" s="230"/>
      <c r="D64" s="229"/>
      <c r="E64" s="229"/>
      <c r="F64" s="231"/>
      <c r="G64" s="232">
        <f>SUM(D16:F16)+I16</f>
        <v>2011.6749999999997</v>
      </c>
      <c r="H64" s="229"/>
      <c r="I64" s="230"/>
      <c r="J64" s="229"/>
      <c r="K64" s="229"/>
      <c r="L64" s="231"/>
      <c r="M64" s="232">
        <f>SUM(J16:L16)+O16</f>
        <v>2094.0619999999999</v>
      </c>
      <c r="N64" s="229"/>
      <c r="O64" s="230"/>
      <c r="P64" s="229"/>
      <c r="Q64" s="229"/>
      <c r="R64" s="231"/>
      <c r="S64" s="232">
        <f>SUM(P16:R16)+U16</f>
        <v>2134.1640000000002</v>
      </c>
      <c r="T64" s="229"/>
      <c r="U64" s="230"/>
      <c r="V64" s="229"/>
      <c r="W64" s="229"/>
      <c r="X64" s="231"/>
      <c r="Y64" s="232">
        <f>SUM(V16:X16)+AA16</f>
        <v>2162.0520000000001</v>
      </c>
      <c r="Z64" s="229"/>
      <c r="AA64" s="230"/>
      <c r="AB64" s="229"/>
      <c r="AC64" s="229"/>
      <c r="AD64" s="231"/>
      <c r="AE64" s="232">
        <f>SUM(AB16:AD16)+AG16</f>
        <v>2323.7600000000002</v>
      </c>
      <c r="AF64" s="229"/>
      <c r="AG64" s="230"/>
      <c r="AH64" s="229"/>
      <c r="AI64" s="229"/>
      <c r="AJ64" s="231"/>
      <c r="AK64" s="232">
        <f>SUM(AH16:AJ16)+AM16</f>
        <v>2404.6499999999996</v>
      </c>
      <c r="AM64" s="230"/>
      <c r="AN64" s="229"/>
      <c r="AO64" s="229"/>
      <c r="AP64" s="231"/>
      <c r="AQ64" s="232">
        <f>SUM(AN16:AP16)+AS16</f>
        <v>2590.4229999999998</v>
      </c>
      <c r="AS64" s="233"/>
      <c r="AT64" s="229"/>
      <c r="AV64" s="234"/>
      <c r="AW64" s="232">
        <f>SUM(AT16:AV16)+AY16</f>
        <v>2633</v>
      </c>
      <c r="AY64" s="233"/>
      <c r="AZ64" s="229"/>
      <c r="BB64" s="234"/>
      <c r="BC64" s="232">
        <f>SUM(AZ16:BB16)+BE16</f>
        <v>3456.5</v>
      </c>
      <c r="BE64" s="233"/>
      <c r="BF64" s="229"/>
      <c r="BH64" s="234"/>
      <c r="BI64" s="232">
        <f>SUM(BF16:BH16)+BK16</f>
        <v>3802.5</v>
      </c>
      <c r="BK64" s="233"/>
      <c r="BL64" s="229"/>
      <c r="BN64" s="234"/>
      <c r="BO64" s="232">
        <f>SUM(BL16:BN16)+BQ16</f>
        <v>3771</v>
      </c>
      <c r="BQ64" s="233"/>
      <c r="BR64" s="229"/>
      <c r="BT64" s="234"/>
      <c r="BU64" s="232">
        <f>SUM(BR16:BT16)+BW16</f>
        <v>5296.8571811273459</v>
      </c>
      <c r="BW64" s="233"/>
      <c r="BX64" s="229"/>
      <c r="BZ64" s="234"/>
      <c r="CA64" s="232">
        <f>SUM(BX16:BZ16)+CC16</f>
        <v>5425.8655469304331</v>
      </c>
      <c r="CC64" s="233"/>
      <c r="CD64" s="229"/>
      <c r="CF64" s="234"/>
      <c r="CG64" s="232">
        <f>SUM(CD16:CF16)+CI16</f>
        <v>5494.324191643791</v>
      </c>
      <c r="CI64" s="233"/>
      <c r="CJ64" s="229"/>
      <c r="CL64" s="234"/>
      <c r="CM64" s="232"/>
    </row>
    <row r="65" spans="1:91" hidden="1" outlineLevel="1" x14ac:dyDescent="0.2">
      <c r="A65" s="189" t="s">
        <v>45</v>
      </c>
      <c r="B65" s="229"/>
      <c r="C65" s="230"/>
      <c r="D65" s="229"/>
      <c r="E65" s="229"/>
      <c r="F65" s="231"/>
      <c r="G65" s="232">
        <f>SUM(D17:F17)+I17</f>
        <v>1359.4400000000005</v>
      </c>
      <c r="H65" s="229"/>
      <c r="I65" s="230"/>
      <c r="J65" s="229"/>
      <c r="K65" s="229"/>
      <c r="L65" s="231"/>
      <c r="M65" s="232">
        <f>SUM(J17:L17)+O17</f>
        <v>1590.973</v>
      </c>
      <c r="N65" s="229"/>
      <c r="O65" s="230"/>
      <c r="P65" s="229"/>
      <c r="Q65" s="229"/>
      <c r="R65" s="231"/>
      <c r="S65" s="232">
        <f>SUM(P17:R17)+U17</f>
        <v>1617.77</v>
      </c>
      <c r="T65" s="229"/>
      <c r="U65" s="230"/>
      <c r="V65" s="229"/>
      <c r="W65" s="229"/>
      <c r="X65" s="231"/>
      <c r="Y65" s="232">
        <f>SUM(V17:X17)+AA17</f>
        <v>1635.7917</v>
      </c>
      <c r="Z65" s="229"/>
      <c r="AA65" s="230"/>
      <c r="AB65" s="229"/>
      <c r="AC65" s="229"/>
      <c r="AD65" s="231"/>
      <c r="AE65" s="232">
        <f>SUM(AB17:AD17)+AG17</f>
        <v>1623.2239999999997</v>
      </c>
      <c r="AF65" s="229"/>
      <c r="AG65" s="230"/>
      <c r="AH65" s="229"/>
      <c r="AI65" s="229"/>
      <c r="AJ65" s="231"/>
      <c r="AK65" s="232">
        <f>SUM(AH17:AJ17)+AM17</f>
        <v>1651.0870749999992</v>
      </c>
      <c r="AM65" s="230"/>
      <c r="AN65" s="229"/>
      <c r="AO65" s="229"/>
      <c r="AP65" s="231"/>
      <c r="AQ65" s="232">
        <f>SUM(AN17:AP17)+AS17</f>
        <v>1685.9719249999996</v>
      </c>
      <c r="AS65" s="233"/>
      <c r="AT65" s="229"/>
      <c r="AV65" s="234"/>
      <c r="AW65" s="232">
        <f>SUM(AT17:AV17)+AY17</f>
        <v>1772.8100000000009</v>
      </c>
      <c r="AY65" s="233"/>
      <c r="AZ65" s="229"/>
      <c r="BB65" s="234"/>
      <c r="BC65" s="232">
        <f>SUM(AZ17:BB17)+BE17</f>
        <v>2408.7899999999995</v>
      </c>
      <c r="BE65" s="233"/>
      <c r="BF65" s="229"/>
      <c r="BH65" s="234"/>
      <c r="BI65" s="232">
        <f>SUM(BF17:BH17)+BK17</f>
        <v>2782.75</v>
      </c>
      <c r="BK65" s="233"/>
      <c r="BL65" s="229"/>
      <c r="BN65" s="234"/>
      <c r="BO65" s="232">
        <f>SUM(BL17:BN17)+BQ17</f>
        <v>2801.49</v>
      </c>
      <c r="BQ65" s="233"/>
      <c r="BR65" s="229"/>
      <c r="BT65" s="234"/>
      <c r="BU65" s="232">
        <f>SUM(BR17:BT17)+BW17</f>
        <v>4509.9656757398325</v>
      </c>
      <c r="BW65" s="233"/>
      <c r="BX65" s="229"/>
      <c r="BZ65" s="234"/>
      <c r="CA65" s="232">
        <f>SUM(BX17:BZ17)+CC17</f>
        <v>5011.5211090538496</v>
      </c>
      <c r="CC65" s="233"/>
      <c r="CD65" s="229"/>
      <c r="CF65" s="234"/>
      <c r="CG65" s="232">
        <f>SUM(CD17:CF17)+CI17</f>
        <v>5651.6689888731762</v>
      </c>
      <c r="CI65" s="233"/>
      <c r="CJ65" s="229"/>
      <c r="CL65" s="234"/>
      <c r="CM65" s="232"/>
    </row>
    <row r="66" spans="1:91" hidden="1" outlineLevel="1" x14ac:dyDescent="0.2">
      <c r="A66" s="189" t="s">
        <v>46</v>
      </c>
      <c r="B66" s="229"/>
      <c r="C66" s="230"/>
      <c r="D66" s="229"/>
      <c r="E66" s="229"/>
      <c r="F66" s="231"/>
      <c r="G66" s="232">
        <f>SUM(D18:F18)+I18</f>
        <v>1814.9120000000003</v>
      </c>
      <c r="H66" s="229"/>
      <c r="I66" s="230"/>
      <c r="J66" s="229"/>
      <c r="K66" s="229"/>
      <c r="L66" s="231"/>
      <c r="M66" s="232">
        <f>SUM(J18:L18)+O18</f>
        <v>2069.701</v>
      </c>
      <c r="N66" s="229"/>
      <c r="O66" s="230"/>
      <c r="P66" s="229"/>
      <c r="Q66" s="229"/>
      <c r="R66" s="231"/>
      <c r="S66" s="232">
        <f>SUM(P18:R18)+U18</f>
        <v>2096.6660000000002</v>
      </c>
      <c r="T66" s="229"/>
      <c r="U66" s="230"/>
      <c r="V66" s="229"/>
      <c r="W66" s="229"/>
      <c r="X66" s="231"/>
      <c r="Y66" s="232">
        <f>SUM(V18:X18)+AA18</f>
        <v>2135.8757000000005</v>
      </c>
      <c r="Z66" s="229"/>
      <c r="AA66" s="230"/>
      <c r="AB66" s="229"/>
      <c r="AC66" s="229"/>
      <c r="AD66" s="231"/>
      <c r="AE66" s="232">
        <f>SUM(AB18:AD18)+AG18</f>
        <v>2139.739</v>
      </c>
      <c r="AF66" s="229"/>
      <c r="AG66" s="230"/>
      <c r="AH66" s="229"/>
      <c r="AI66" s="229"/>
      <c r="AJ66" s="231"/>
      <c r="AK66" s="232">
        <f>SUM(AH18:AJ18)+AM18</f>
        <v>2155.2400749999993</v>
      </c>
      <c r="AM66" s="230"/>
      <c r="AN66" s="229"/>
      <c r="AO66" s="229"/>
      <c r="AP66" s="231"/>
      <c r="AQ66" s="232">
        <f>SUM(AN18:AP18)+AS18</f>
        <v>2245.1389249999993</v>
      </c>
      <c r="AS66" s="233"/>
      <c r="AT66" s="229"/>
      <c r="AV66" s="234"/>
      <c r="AW66" s="232">
        <f>SUM(AT18:AV18)+AY18</f>
        <v>2302.3100000000009</v>
      </c>
      <c r="AY66" s="233"/>
      <c r="AZ66" s="229"/>
      <c r="BB66" s="234"/>
      <c r="BC66" s="232">
        <f>SUM(AZ18:BB18)+BE18</f>
        <v>2916.7899999999995</v>
      </c>
      <c r="BE66" s="233"/>
      <c r="BF66" s="229"/>
      <c r="BH66" s="234"/>
      <c r="BI66" s="232">
        <f>SUM(BF18:BH18)+BK18</f>
        <v>3332.75</v>
      </c>
      <c r="BK66" s="233"/>
      <c r="BL66" s="229"/>
      <c r="BN66" s="234"/>
      <c r="BO66" s="232">
        <f>SUM(BL18:BN18)+BQ18</f>
        <v>3386.49</v>
      </c>
      <c r="BQ66" s="233"/>
      <c r="BR66" s="229"/>
      <c r="BT66" s="234"/>
      <c r="BU66" s="232">
        <f>SUM(BR18:BT18)+BW18</f>
        <v>5230.4139516019004</v>
      </c>
      <c r="BW66" s="233"/>
      <c r="BX66" s="229"/>
      <c r="BZ66" s="234"/>
      <c r="CA66" s="232">
        <f>SUM(BX18:BZ18)+CC18</f>
        <v>5791.4521435366087</v>
      </c>
      <c r="CC66" s="233"/>
      <c r="CD66" s="229"/>
      <c r="CF66" s="234"/>
      <c r="CG66" s="232">
        <f>SUM(CD18:CF18)+CI18</f>
        <v>6489.5310578386934</v>
      </c>
      <c r="CI66" s="233"/>
      <c r="CJ66" s="229"/>
      <c r="CL66" s="234"/>
      <c r="CM66" s="232"/>
    </row>
    <row r="67" spans="1:91" hidden="1" outlineLevel="1" x14ac:dyDescent="0.2">
      <c r="A67" s="189" t="s">
        <v>69</v>
      </c>
      <c r="B67" s="229"/>
      <c r="C67" s="230"/>
      <c r="D67" s="229"/>
      <c r="E67" s="229"/>
      <c r="F67" s="231"/>
      <c r="G67" s="232">
        <f>SUM(D23:F23)+I23</f>
        <v>1363.2030000000004</v>
      </c>
      <c r="H67" s="229"/>
      <c r="I67" s="230"/>
      <c r="J67" s="229"/>
      <c r="K67" s="229"/>
      <c r="L67" s="231"/>
      <c r="M67" s="232">
        <f>SUM(J23:L23)+O23</f>
        <v>1590.0519999999999</v>
      </c>
      <c r="N67" s="229"/>
      <c r="O67" s="230"/>
      <c r="P67" s="229"/>
      <c r="Q67" s="229"/>
      <c r="R67" s="231"/>
      <c r="S67" s="232">
        <f>SUM(P23:R23)+U23</f>
        <v>1596.8910000000001</v>
      </c>
      <c r="T67" s="229"/>
      <c r="U67" s="230"/>
      <c r="V67" s="229"/>
      <c r="W67" s="229"/>
      <c r="X67" s="231"/>
      <c r="Y67" s="232">
        <f>SUM(V23:X23)+AA23</f>
        <v>1621.7797</v>
      </c>
      <c r="Z67" s="229"/>
      <c r="AA67" s="230"/>
      <c r="AB67" s="229"/>
      <c r="AC67" s="229"/>
      <c r="AD67" s="231"/>
      <c r="AE67" s="232">
        <f>SUM(AB23:AD23)+AG23</f>
        <v>1565.8619999999999</v>
      </c>
      <c r="AF67" s="229"/>
      <c r="AG67" s="230"/>
      <c r="AH67" s="229"/>
      <c r="AI67" s="229"/>
      <c r="AJ67" s="231"/>
      <c r="AK67" s="232">
        <f>SUM(AH23:AJ23)+AM23</f>
        <v>1553.5310749999992</v>
      </c>
      <c r="AM67" s="230"/>
      <c r="AN67" s="229"/>
      <c r="AO67" s="229"/>
      <c r="AP67" s="231"/>
      <c r="AQ67" s="232">
        <f>SUM(AN23:AP23)+AS23</f>
        <v>1603.8189249999996</v>
      </c>
      <c r="AS67" s="233"/>
      <c r="AT67" s="229"/>
      <c r="AV67" s="234"/>
      <c r="AW67" s="232">
        <f>SUM(AT23:AV23)+AY23</f>
        <v>1678.8100000000009</v>
      </c>
      <c r="AY67" s="233"/>
      <c r="AZ67" s="229"/>
      <c r="BB67" s="234"/>
      <c r="BC67" s="232">
        <f>SUM(AZ23:BB23)+BE23</f>
        <v>2081.7899999999995</v>
      </c>
      <c r="BE67" s="233"/>
      <c r="BF67" s="229"/>
      <c r="BH67" s="234"/>
      <c r="BI67" s="232">
        <f>SUM(BF23:BH23)+BK23</f>
        <v>2405.75</v>
      </c>
      <c r="BK67" s="233"/>
      <c r="BL67" s="229"/>
      <c r="BN67" s="234"/>
      <c r="BO67" s="232">
        <f>SUM(BL23:BN23)+BQ23</f>
        <v>2480.4899999999998</v>
      </c>
      <c r="BQ67" s="233"/>
      <c r="BR67" s="229"/>
      <c r="BT67" s="234"/>
      <c r="BU67" s="232">
        <f>SUM(BR23:BT23)+BW23</f>
        <v>3970.4250994337035</v>
      </c>
      <c r="BW67" s="233"/>
      <c r="BX67" s="229"/>
      <c r="BZ67" s="234"/>
      <c r="CA67" s="232">
        <f>SUM(BX23:BZ23)+CC23</f>
        <v>4461.9328677824906</v>
      </c>
      <c r="CC67" s="233"/>
      <c r="CD67" s="229"/>
      <c r="CF67" s="234"/>
      <c r="CG67" s="232">
        <f>SUM(CD23:CF23)+CI23</f>
        <v>5089.0765803925588</v>
      </c>
      <c r="CI67" s="233"/>
      <c r="CJ67" s="229"/>
      <c r="CL67" s="234"/>
      <c r="CM67" s="232"/>
    </row>
    <row r="68" spans="1:91" hidden="1" outlineLevel="1" x14ac:dyDescent="0.2">
      <c r="A68" s="189" t="s">
        <v>74</v>
      </c>
      <c r="B68" s="229"/>
      <c r="C68" s="230"/>
      <c r="D68" s="229"/>
      <c r="E68" s="229"/>
      <c r="F68" s="231"/>
      <c r="G68" s="232">
        <f>SUM(D24:F24)+I24</f>
        <v>359.79671200000001</v>
      </c>
      <c r="H68" s="229"/>
      <c r="I68" s="230"/>
      <c r="J68" s="229"/>
      <c r="K68" s="229"/>
      <c r="L68" s="231"/>
      <c r="M68" s="232">
        <f>SUM(J24:L24)+O24</f>
        <v>438.226</v>
      </c>
      <c r="N68" s="229"/>
      <c r="O68" s="230"/>
      <c r="P68" s="229"/>
      <c r="Q68" s="229"/>
      <c r="R68" s="231"/>
      <c r="S68" s="232">
        <f>SUM(P24:R24)+U24</f>
        <v>422.05899999999997</v>
      </c>
      <c r="T68" s="229"/>
      <c r="U68" s="230"/>
      <c r="V68" s="229"/>
      <c r="W68" s="229"/>
      <c r="X68" s="231"/>
      <c r="Y68" s="232">
        <f>SUM(V24:X24)+AA24</f>
        <v>451.08599999999996</v>
      </c>
      <c r="Z68" s="229"/>
      <c r="AA68" s="230"/>
      <c r="AB68" s="229"/>
      <c r="AC68" s="229"/>
      <c r="AD68" s="231"/>
      <c r="AE68" s="232">
        <f>SUM(AB24:AD24)+AG24</f>
        <v>408.88099999999997</v>
      </c>
      <c r="AF68" s="229"/>
      <c r="AG68" s="230"/>
      <c r="AH68" s="229"/>
      <c r="AI68" s="229"/>
      <c r="AJ68" s="231"/>
      <c r="AK68" s="232">
        <f>SUM(AH24:AJ24)+AM24</f>
        <v>396.79002249999996</v>
      </c>
      <c r="AM68" s="230"/>
      <c r="AN68" s="229"/>
      <c r="AO68" s="229"/>
      <c r="AP68" s="231"/>
      <c r="AQ68" s="232">
        <f>SUM(AN24:AP24)+AS24</f>
        <v>392.02867749999996</v>
      </c>
      <c r="AS68" s="233"/>
      <c r="AT68" s="229"/>
      <c r="AV68" s="234"/>
      <c r="AW68" s="232">
        <f>SUM(AT24:AV24)+AY24</f>
        <v>374.70220000000006</v>
      </c>
      <c r="AY68" s="233"/>
      <c r="AZ68" s="229"/>
      <c r="BB68" s="234"/>
      <c r="BC68" s="232">
        <f>SUM(AZ24:BB24)+BE24</f>
        <v>479.4</v>
      </c>
      <c r="BE68" s="233"/>
      <c r="BF68" s="229"/>
      <c r="BH68" s="234"/>
      <c r="BI68" s="232">
        <f>SUM(BF24:BH24)+BK24</f>
        <v>454.4</v>
      </c>
      <c r="BK68" s="233"/>
      <c r="BL68" s="229"/>
      <c r="BN68" s="234"/>
      <c r="BO68" s="232">
        <f>SUM(BL24:BN24)+BQ24</f>
        <v>374</v>
      </c>
      <c r="BQ68" s="233"/>
      <c r="BR68" s="229"/>
      <c r="BT68" s="234"/>
      <c r="BU68" s="232">
        <f>SUM(BR24:BT24)+BW24</f>
        <v>672.40069331699272</v>
      </c>
      <c r="BW68" s="233"/>
      <c r="BX68" s="229"/>
      <c r="BZ68" s="234"/>
      <c r="CA68" s="232">
        <f>SUM(BX24:BZ24)+CC24</f>
        <v>744.45733451377919</v>
      </c>
      <c r="CC68" s="233"/>
      <c r="CD68" s="229"/>
      <c r="CF68" s="234"/>
      <c r="CG68" s="232">
        <f>SUM(CD24:CF24)+CI24</f>
        <v>839.69763576477226</v>
      </c>
      <c r="CI68" s="233"/>
      <c r="CJ68" s="229"/>
      <c r="CL68" s="234"/>
      <c r="CM68" s="232"/>
    </row>
    <row r="69" spans="1:91" hidden="1" outlineLevel="1" x14ac:dyDescent="0.2">
      <c r="A69" s="86" t="s">
        <v>75</v>
      </c>
      <c r="B69" s="229"/>
      <c r="C69" s="230"/>
      <c r="D69" s="229"/>
      <c r="E69" s="229"/>
      <c r="F69" s="231"/>
      <c r="G69" s="235">
        <f>G68/G67</f>
        <v>0.26393480061296803</v>
      </c>
      <c r="H69" s="229"/>
      <c r="I69" s="230"/>
      <c r="J69" s="229"/>
      <c r="K69" s="229"/>
      <c r="L69" s="231"/>
      <c r="M69" s="235">
        <f>M68/M67</f>
        <v>0.27560482298692118</v>
      </c>
      <c r="N69" s="229"/>
      <c r="O69" s="230"/>
      <c r="P69" s="229"/>
      <c r="Q69" s="229"/>
      <c r="R69" s="231"/>
      <c r="S69" s="235">
        <f>S68/S67</f>
        <v>0.26430044379985856</v>
      </c>
      <c r="T69" s="229"/>
      <c r="U69" s="230"/>
      <c r="V69" s="229"/>
      <c r="W69" s="229"/>
      <c r="X69" s="231"/>
      <c r="Y69" s="235">
        <f>Y68/Y67</f>
        <v>0.27814258619712651</v>
      </c>
      <c r="Z69" s="229"/>
      <c r="AA69" s="230"/>
      <c r="AB69" s="229"/>
      <c r="AC69" s="229"/>
      <c r="AD69" s="231"/>
      <c r="AE69" s="235">
        <f>AE68/AE67</f>
        <v>0.26112198903862538</v>
      </c>
      <c r="AF69" s="229"/>
      <c r="AG69" s="230"/>
      <c r="AH69" s="229"/>
      <c r="AI69" s="229"/>
      <c r="AJ69" s="231"/>
      <c r="AK69" s="235">
        <f>AK68/AK67</f>
        <v>0.25541170619969744</v>
      </c>
      <c r="AM69" s="230"/>
      <c r="AN69" s="229"/>
      <c r="AO69" s="229"/>
      <c r="AP69" s="231"/>
      <c r="AQ69" s="235">
        <f>AQ68/AQ67</f>
        <v>0.24443450029746971</v>
      </c>
      <c r="AS69" s="233"/>
      <c r="AT69" s="229"/>
      <c r="AV69" s="234"/>
      <c r="AW69" s="235">
        <f>AW68/AW67</f>
        <v>0.22319512035310718</v>
      </c>
      <c r="AY69" s="233"/>
      <c r="AZ69" s="229"/>
      <c r="BB69" s="234"/>
      <c r="BC69" s="235">
        <f>BC68/BC67</f>
        <v>0.23028259334515014</v>
      </c>
      <c r="BE69" s="233"/>
      <c r="BF69" s="229"/>
      <c r="BH69" s="234"/>
      <c r="BI69" s="235">
        <f>BI68/BI67</f>
        <v>0.18888080640133015</v>
      </c>
      <c r="BK69" s="233"/>
      <c r="BL69" s="229"/>
      <c r="BN69" s="234"/>
      <c r="BO69" s="235">
        <f>BO68/BO67</f>
        <v>0.15077666106293516</v>
      </c>
      <c r="BQ69" s="233"/>
      <c r="BR69" s="229"/>
      <c r="BT69" s="234"/>
      <c r="BU69" s="235">
        <f>BU68/BU67</f>
        <v>0.16935231781929252</v>
      </c>
      <c r="BW69" s="233"/>
      <c r="BX69" s="229"/>
      <c r="BZ69" s="234"/>
      <c r="CA69" s="235">
        <f>CA68/CA67</f>
        <v>0.16684637724811011</v>
      </c>
      <c r="CC69" s="233"/>
      <c r="CD69" s="229"/>
      <c r="CF69" s="234"/>
      <c r="CG69" s="235">
        <f>CG68/CG67</f>
        <v>0.16500000000000001</v>
      </c>
      <c r="CI69" s="233"/>
      <c r="CJ69" s="229"/>
      <c r="CL69" s="234"/>
      <c r="CM69" s="232"/>
    </row>
    <row r="70" spans="1:91" hidden="1" outlineLevel="1" x14ac:dyDescent="0.2">
      <c r="A70" s="189" t="s">
        <v>58</v>
      </c>
      <c r="B70" s="229"/>
      <c r="C70" s="230"/>
      <c r="D70" s="229"/>
      <c r="E70" s="229"/>
      <c r="F70" s="231"/>
      <c r="G70" s="232">
        <f>SUM(D26:F26)+I26</f>
        <v>1003.4062880000004</v>
      </c>
      <c r="H70" s="229"/>
      <c r="I70" s="230"/>
      <c r="J70" s="229"/>
      <c r="K70" s="229"/>
      <c r="L70" s="231"/>
      <c r="M70" s="232">
        <f>SUM(J26:L26)+O26</f>
        <v>1151.8259999999996</v>
      </c>
      <c r="N70" s="229"/>
      <c r="O70" s="230"/>
      <c r="P70" s="229"/>
      <c r="Q70" s="229"/>
      <c r="R70" s="231"/>
      <c r="S70" s="232">
        <f>SUM(P26:R26)+U26</f>
        <v>1174.8320000000001</v>
      </c>
      <c r="T70" s="229"/>
      <c r="U70" s="230"/>
      <c r="V70" s="229"/>
      <c r="W70" s="229"/>
      <c r="X70" s="231"/>
      <c r="Y70" s="232">
        <f>SUM(V26:X26)+AA26</f>
        <v>1170.6937000000003</v>
      </c>
      <c r="Z70" s="229"/>
      <c r="AA70" s="230"/>
      <c r="AB70" s="229"/>
      <c r="AC70" s="229"/>
      <c r="AD70" s="231"/>
      <c r="AE70" s="232">
        <f>SUM(AB26:AD26)+AG26</f>
        <v>1156.9809999999998</v>
      </c>
      <c r="AF70" s="229"/>
      <c r="AG70" s="230"/>
      <c r="AH70" s="229"/>
      <c r="AI70" s="229"/>
      <c r="AJ70" s="231"/>
      <c r="AK70" s="232">
        <f>SUM(AH26:AJ26)+AM26</f>
        <v>1156.7410524999996</v>
      </c>
      <c r="AM70" s="230"/>
      <c r="AN70" s="229"/>
      <c r="AO70" s="229"/>
      <c r="AP70" s="231"/>
      <c r="AQ70" s="232">
        <f>SUM(AN26:AP26)+AS26</f>
        <v>1211.7902474999996</v>
      </c>
      <c r="AS70" s="233"/>
      <c r="AT70" s="229"/>
      <c r="AV70" s="234"/>
      <c r="AW70" s="232">
        <f>SUM(AT26:AV26)+AY26</f>
        <v>1304.1078000000009</v>
      </c>
      <c r="AY70" s="233"/>
      <c r="AZ70" s="229"/>
      <c r="BB70" s="234"/>
      <c r="BC70" s="232">
        <f>SUM(AZ26:BB26)+BE26</f>
        <v>1602.3899999999994</v>
      </c>
      <c r="BE70" s="233"/>
      <c r="BF70" s="229"/>
      <c r="BH70" s="234"/>
      <c r="BI70" s="232">
        <f>SUM(BF26:BH26)+BK26</f>
        <v>1951.35</v>
      </c>
      <c r="BK70" s="233"/>
      <c r="BL70" s="229"/>
      <c r="BN70" s="234"/>
      <c r="BO70" s="232">
        <f>SUM(BL26:BN26)+BQ26</f>
        <v>2106.4899999999998</v>
      </c>
      <c r="BQ70" s="233"/>
      <c r="BR70" s="229"/>
      <c r="BT70" s="234"/>
      <c r="BU70" s="232">
        <f>SUM(BR26:BT26)+BW26</f>
        <v>3298.0244061167105</v>
      </c>
      <c r="BW70" s="233"/>
      <c r="BX70" s="229"/>
      <c r="BZ70" s="234"/>
      <c r="CA70" s="232">
        <f>SUM(BX26:BZ26)+CC26</f>
        <v>3717.4755332687114</v>
      </c>
      <c r="CC70" s="233"/>
      <c r="CD70" s="229"/>
      <c r="CF70" s="234"/>
      <c r="CG70" s="232">
        <f>SUM(CD26:CF26)+CI26</f>
        <v>4249.378944627786</v>
      </c>
      <c r="CI70" s="233"/>
      <c r="CJ70" s="229"/>
      <c r="CL70" s="234"/>
      <c r="CM70" s="232"/>
    </row>
    <row r="71" spans="1:91" hidden="1" outlineLevel="1" x14ac:dyDescent="0.2">
      <c r="A71" s="189" t="s">
        <v>70</v>
      </c>
      <c r="B71" s="229"/>
      <c r="C71" s="230"/>
      <c r="D71" s="229"/>
      <c r="E71" s="229"/>
      <c r="F71" s="231"/>
      <c r="G71" s="236">
        <f>SUM(D34:F34)+I34</f>
        <v>3.9547993567505486</v>
      </c>
      <c r="H71" s="229"/>
      <c r="I71" s="230"/>
      <c r="J71" s="229"/>
      <c r="K71" s="229"/>
      <c r="L71" s="231"/>
      <c r="M71" s="236">
        <f>SUM(J34:L34)+O34</f>
        <v>4.5900449153044791</v>
      </c>
      <c r="N71" s="229"/>
      <c r="O71" s="230"/>
      <c r="P71" s="229"/>
      <c r="Q71" s="229"/>
      <c r="R71" s="231"/>
      <c r="S71" s="236">
        <f>SUM(P34:R34)+U34</f>
        <v>4.7978912619362157</v>
      </c>
      <c r="T71" s="229"/>
      <c r="U71" s="230"/>
      <c r="V71" s="229"/>
      <c r="W71" s="229"/>
      <c r="X71" s="231"/>
      <c r="Y71" s="236">
        <f>SUM(V34:X34)+AA34</f>
        <v>4.9391425125018902</v>
      </c>
      <c r="Z71" s="229"/>
      <c r="AA71" s="230"/>
      <c r="AB71" s="229"/>
      <c r="AC71" s="229"/>
      <c r="AD71" s="231"/>
      <c r="AE71" s="236">
        <f>SUM(AB34:AD34)+AG34</f>
        <v>5.2102149457305744</v>
      </c>
      <c r="AF71" s="229"/>
      <c r="AG71" s="230"/>
      <c r="AH71" s="229"/>
      <c r="AI71" s="229"/>
      <c r="AJ71" s="231"/>
      <c r="AK71" s="236">
        <f>SUM(AH34:AJ34)+AM34</f>
        <v>5.6650254215598208</v>
      </c>
      <c r="AM71" s="230"/>
      <c r="AN71" s="229"/>
      <c r="AO71" s="229"/>
      <c r="AP71" s="231"/>
      <c r="AQ71" s="236">
        <f>SUM(AN34:AP34)+AS34</f>
        <v>6.1073723203195556</v>
      </c>
      <c r="AS71" s="233"/>
      <c r="AT71" s="229"/>
      <c r="AV71" s="234"/>
      <c r="AW71" s="236">
        <f>SUM(AT34:AV34)+AY34</f>
        <v>6.6206303288103872</v>
      </c>
      <c r="AY71" s="233"/>
      <c r="AZ71" s="229"/>
      <c r="BB71" s="234"/>
      <c r="BC71" s="236">
        <f>SUM(AZ34:BB34)+BE34</f>
        <v>7.5702565579816756</v>
      </c>
      <c r="BE71" s="233"/>
      <c r="BF71" s="229"/>
      <c r="BH71" s="234"/>
      <c r="BI71" s="236">
        <f>SUM(BF34:BH34)+BK34</f>
        <v>8.9761394694390599</v>
      </c>
      <c r="BK71" s="233"/>
      <c r="BL71" s="229"/>
      <c r="BN71" s="234"/>
      <c r="BO71" s="236">
        <f>SUM(BL34:BN34)+BQ34</f>
        <v>9.6438189612000276</v>
      </c>
      <c r="BQ71" s="233"/>
      <c r="BR71" s="229"/>
      <c r="BT71" s="234"/>
      <c r="BU71" s="236">
        <f>SUM(BR34:BT34)+BW34</f>
        <v>11.428809434095825</v>
      </c>
      <c r="BW71" s="233"/>
      <c r="BX71" s="229"/>
      <c r="BZ71" s="234"/>
      <c r="CA71" s="236">
        <f>SUM(BX34:BZ34)+CC34</f>
        <v>12.882605093219563</v>
      </c>
      <c r="CC71" s="233"/>
      <c r="CD71" s="229"/>
      <c r="CF71" s="234"/>
      <c r="CG71" s="236">
        <f>SUM(CD34:CF34)+CI34</f>
        <v>14.612402393580142</v>
      </c>
      <c r="CI71" s="233"/>
      <c r="CJ71" s="229"/>
      <c r="CL71" s="234"/>
      <c r="CM71" s="236"/>
    </row>
    <row r="72" spans="1:91" hidden="1" outlineLevel="1" x14ac:dyDescent="0.2">
      <c r="A72" s="196" t="s">
        <v>71</v>
      </c>
      <c r="B72" s="237"/>
      <c r="C72" s="238"/>
      <c r="D72" s="237"/>
      <c r="E72" s="237"/>
      <c r="F72" s="239"/>
      <c r="G72" s="240">
        <f>G70/G71</f>
        <v>253.71863335803886</v>
      </c>
      <c r="H72" s="237"/>
      <c r="I72" s="238"/>
      <c r="J72" s="237"/>
      <c r="K72" s="237"/>
      <c r="L72" s="239"/>
      <c r="M72" s="240">
        <f>M70/M71</f>
        <v>250.94002809416813</v>
      </c>
      <c r="N72" s="237"/>
      <c r="O72" s="238"/>
      <c r="P72" s="237"/>
      <c r="Q72" s="237"/>
      <c r="R72" s="239"/>
      <c r="S72" s="240">
        <f>S70/S71</f>
        <v>244.86424053009699</v>
      </c>
      <c r="T72" s="237"/>
      <c r="U72" s="238"/>
      <c r="V72" s="237"/>
      <c r="W72" s="237"/>
      <c r="X72" s="239"/>
      <c r="Y72" s="240">
        <f>Y70/Y71</f>
        <v>237.02367304380394</v>
      </c>
      <c r="Z72" s="237"/>
      <c r="AA72" s="238"/>
      <c r="AB72" s="237"/>
      <c r="AC72" s="237"/>
      <c r="AD72" s="239"/>
      <c r="AE72" s="240">
        <f>AE70/AE71</f>
        <v>222.06012843060705</v>
      </c>
      <c r="AF72" s="237"/>
      <c r="AG72" s="238"/>
      <c r="AH72" s="237"/>
      <c r="AI72" s="237"/>
      <c r="AJ72" s="239"/>
      <c r="AK72" s="240">
        <f>AK70/AK71</f>
        <v>204.1899137994512</v>
      </c>
      <c r="AL72" s="5"/>
      <c r="AM72" s="238"/>
      <c r="AN72" s="237"/>
      <c r="AO72" s="237"/>
      <c r="AP72" s="239"/>
      <c r="AQ72" s="240">
        <f>AQ70/AQ71</f>
        <v>198.41433990659263</v>
      </c>
      <c r="AR72" s="5"/>
      <c r="AS72" s="241"/>
      <c r="AT72" s="237"/>
      <c r="AU72" s="5"/>
      <c r="AV72" s="242"/>
      <c r="AW72" s="240">
        <f>AW70/AW71</f>
        <v>196.97638068161504</v>
      </c>
      <c r="AX72" s="5"/>
      <c r="AY72" s="241"/>
      <c r="AZ72" s="237"/>
      <c r="BA72" s="5"/>
      <c r="BB72" s="242"/>
      <c r="BC72" s="240">
        <f>BC70/BC71</f>
        <v>211.66918026186639</v>
      </c>
      <c r="BD72" s="5"/>
      <c r="BE72" s="241"/>
      <c r="BF72" s="237"/>
      <c r="BG72" s="5"/>
      <c r="BH72" s="242"/>
      <c r="BI72" s="240">
        <f>BI70/BI71</f>
        <v>217.39301251320066</v>
      </c>
      <c r="BJ72" s="5"/>
      <c r="BK72" s="241"/>
      <c r="BL72" s="237"/>
      <c r="BM72" s="5"/>
      <c r="BN72" s="242"/>
      <c r="BO72" s="240">
        <f>BO70/BO71</f>
        <v>218.42902780268273</v>
      </c>
      <c r="BP72" s="5"/>
      <c r="BQ72" s="241"/>
      <c r="BR72" s="237"/>
      <c r="BS72" s="5"/>
      <c r="BT72" s="242"/>
      <c r="BU72" s="240">
        <f>BU70/BU71</f>
        <v>288.57112590202439</v>
      </c>
      <c r="BV72" s="5"/>
      <c r="BW72" s="241"/>
      <c r="BX72" s="237"/>
      <c r="BY72" s="5"/>
      <c r="BZ72" s="242"/>
      <c r="CA72" s="240">
        <f>CA70/CA71</f>
        <v>288.56551189520758</v>
      </c>
      <c r="CB72" s="5"/>
      <c r="CC72" s="241"/>
      <c r="CD72" s="237"/>
      <c r="CE72" s="5"/>
      <c r="CF72" s="242"/>
      <c r="CG72" s="240">
        <f>CG70/CG71</f>
        <v>290.80631850753861</v>
      </c>
      <c r="CH72" s="5"/>
      <c r="CI72" s="241"/>
      <c r="CJ72" s="237"/>
      <c r="CK72" s="5"/>
      <c r="CL72" s="242"/>
      <c r="CM72" s="240"/>
    </row>
    <row r="73" spans="1:91" collapsed="1" x14ac:dyDescent="0.2">
      <c r="A73" s="225"/>
      <c r="B73" s="229"/>
      <c r="C73" s="229"/>
      <c r="D73" s="229"/>
      <c r="E73" s="229"/>
      <c r="F73" s="229"/>
      <c r="G73" s="229"/>
      <c r="H73" s="229"/>
      <c r="I73" s="229"/>
      <c r="J73" s="229"/>
      <c r="K73" s="229"/>
      <c r="L73" s="229"/>
      <c r="M73" s="229"/>
      <c r="N73" s="229"/>
      <c r="O73" s="229"/>
      <c r="P73" s="229"/>
      <c r="Q73" s="229"/>
      <c r="R73" s="243"/>
      <c r="S73" s="243"/>
      <c r="T73" s="229"/>
      <c r="U73" s="229"/>
      <c r="V73" s="229"/>
      <c r="W73" s="229"/>
      <c r="X73" s="229"/>
      <c r="Y73" s="229"/>
      <c r="Z73" s="229"/>
      <c r="AA73" s="229"/>
      <c r="AB73" s="229"/>
      <c r="AC73" s="229"/>
      <c r="AD73" s="229"/>
      <c r="AE73" s="229"/>
      <c r="AF73" s="229"/>
      <c r="AG73" s="243"/>
      <c r="AH73" s="229"/>
      <c r="AI73" s="229"/>
      <c r="AJ73" s="243"/>
      <c r="AK73" s="229"/>
      <c r="AN73" s="229"/>
      <c r="AO73" s="229"/>
      <c r="AP73" s="229"/>
      <c r="AT73" s="229"/>
      <c r="BO73" s="62"/>
      <c r="BU73" s="62"/>
      <c r="CA73" s="62"/>
      <c r="CG73" s="690"/>
    </row>
    <row r="74" spans="1:91" x14ac:dyDescent="0.2">
      <c r="A74" s="176" t="s">
        <v>76</v>
      </c>
      <c r="B74" s="204"/>
      <c r="C74" s="205"/>
      <c r="D74" s="204"/>
      <c r="E74" s="204"/>
      <c r="F74" s="206"/>
      <c r="G74" s="207"/>
      <c r="H74" s="204"/>
      <c r="I74" s="205"/>
      <c r="J74" s="204"/>
      <c r="K74" s="204"/>
      <c r="L74" s="206"/>
      <c r="M74" s="207"/>
      <c r="N74" s="204"/>
      <c r="O74" s="205"/>
      <c r="P74" s="204"/>
      <c r="Q74" s="204"/>
      <c r="R74" s="215"/>
      <c r="S74" s="213"/>
      <c r="T74" s="204"/>
      <c r="U74" s="205"/>
      <c r="V74" s="204"/>
      <c r="W74" s="204"/>
      <c r="X74" s="206"/>
      <c r="Y74" s="207"/>
      <c r="Z74" s="204"/>
      <c r="AA74" s="205"/>
      <c r="AB74" s="204"/>
      <c r="AC74" s="204"/>
      <c r="AD74" s="206"/>
      <c r="AE74" s="207"/>
      <c r="AF74" s="204"/>
      <c r="AG74" s="211"/>
      <c r="AH74" s="212"/>
      <c r="AI74" s="212"/>
      <c r="AJ74" s="215"/>
      <c r="AK74" s="207"/>
      <c r="AL74" s="214"/>
      <c r="AM74" s="219"/>
      <c r="AN74" s="214"/>
      <c r="AO74" s="214"/>
      <c r="AP74" s="217"/>
      <c r="AQ74" s="218"/>
      <c r="AR74" s="214"/>
      <c r="AS74" s="219"/>
      <c r="AT74" s="214"/>
      <c r="AU74" s="214"/>
      <c r="AV74" s="217"/>
      <c r="AW74" s="218"/>
      <c r="AX74" s="214"/>
      <c r="AY74" s="219"/>
      <c r="AZ74" s="214"/>
      <c r="BA74" s="214"/>
      <c r="BB74" s="217"/>
      <c r="BC74" s="218"/>
      <c r="BD74" s="214"/>
      <c r="BE74" s="219"/>
      <c r="BF74" s="214"/>
      <c r="BG74" s="214"/>
      <c r="BH74" s="217"/>
      <c r="BI74" s="244"/>
      <c r="BJ74" s="214"/>
      <c r="BK74" s="219"/>
      <c r="BL74" s="214"/>
      <c r="BM74" s="214"/>
      <c r="BN74" s="217"/>
      <c r="BO74" s="244"/>
      <c r="BP74" s="214"/>
      <c r="BQ74" s="219"/>
      <c r="BR74" s="214"/>
      <c r="BS74" s="214"/>
      <c r="BT74" s="217"/>
      <c r="BU74" s="244"/>
      <c r="BV74" s="214"/>
      <c r="BW74" s="219"/>
      <c r="BX74" s="214"/>
      <c r="BY74" s="214"/>
      <c r="BZ74" s="217"/>
      <c r="CA74" s="244"/>
      <c r="CB74" s="214"/>
      <c r="CC74" s="219"/>
      <c r="CD74" s="214"/>
      <c r="CE74" s="214"/>
      <c r="CF74" s="217"/>
      <c r="CG74" s="244"/>
      <c r="CH74" s="214"/>
      <c r="CI74" s="219"/>
      <c r="CJ74" s="214"/>
      <c r="CK74" s="214"/>
      <c r="CL74" s="217"/>
      <c r="CM74" s="244"/>
    </row>
    <row r="75" spans="1:91" hidden="1" outlineLevel="1" x14ac:dyDescent="0.2">
      <c r="A75" s="189" t="s">
        <v>77</v>
      </c>
      <c r="B75" s="245"/>
      <c r="C75" s="246">
        <v>0.23610079443799059</v>
      </c>
      <c r="D75" s="245">
        <v>0.24779754316073233</v>
      </c>
      <c r="E75" s="245">
        <v>0.25648299389469592</v>
      </c>
      <c r="F75" s="247">
        <v>0.25961866850658111</v>
      </c>
      <c r="G75" s="235"/>
      <c r="H75" s="245"/>
      <c r="I75" s="246">
        <f>I7/M7</f>
        <v>0.238371746099134</v>
      </c>
      <c r="J75" s="245">
        <f>J7/M7</f>
        <v>0.2441233548041612</v>
      </c>
      <c r="K75" s="245">
        <f>K7/M7</f>
        <v>0.26098535881734697</v>
      </c>
      <c r="L75" s="247">
        <f>L7/M7</f>
        <v>0.25651954027935786</v>
      </c>
      <c r="M75" s="235"/>
      <c r="N75" s="245"/>
      <c r="O75" s="246">
        <f>O7/S7</f>
        <v>0.23947539346778074</v>
      </c>
      <c r="P75" s="245">
        <f>P7/S7</f>
        <v>0.24090582107031025</v>
      </c>
      <c r="Q75" s="245">
        <f>Q7/S7</f>
        <v>0.25425499969799858</v>
      </c>
      <c r="R75" s="247">
        <f>R7/S7</f>
        <v>0.26536378576391045</v>
      </c>
      <c r="S75" s="235"/>
      <c r="T75" s="245"/>
      <c r="U75" s="246">
        <f>U7/Y7</f>
        <v>0.25349071996612199</v>
      </c>
      <c r="V75" s="245">
        <f>V7/Y7</f>
        <v>0.24407592549061474</v>
      </c>
      <c r="W75" s="245">
        <f>W7/Y7</f>
        <v>0.2483489283514459</v>
      </c>
      <c r="X75" s="247">
        <f>X7/Y7</f>
        <v>0.25408442619181743</v>
      </c>
      <c r="Y75" s="235"/>
      <c r="Z75" s="245"/>
      <c r="AA75" s="246">
        <f>AA7/AE7</f>
        <v>0.23514567972150244</v>
      </c>
      <c r="AB75" s="245">
        <f>AB7/AE7</f>
        <v>0.24533290492477375</v>
      </c>
      <c r="AC75" s="245">
        <f>AC7/AE7</f>
        <v>0.2573680507943677</v>
      </c>
      <c r="AD75" s="247">
        <f>AD7/AE7</f>
        <v>0.26215336455935601</v>
      </c>
      <c r="AE75" s="235"/>
      <c r="AF75" s="245"/>
      <c r="AG75" s="246">
        <f>AG7/AK7</f>
        <v>0.23762704027901058</v>
      </c>
      <c r="AH75" s="245">
        <f>AH7/AK7</f>
        <v>0.25024200928288193</v>
      </c>
      <c r="AI75" s="245">
        <f>AI7/AK7</f>
        <v>0.25693199947797085</v>
      </c>
      <c r="AJ75" s="247">
        <f>AJ7/AK7</f>
        <v>0.25519895096013662</v>
      </c>
      <c r="AK75" s="235"/>
      <c r="AL75" s="245"/>
      <c r="AM75" s="246">
        <f>AM7/AQ7</f>
        <v>0.23595399163391687</v>
      </c>
      <c r="AN75" s="245">
        <f>AN7/AQ7</f>
        <v>0.24839409176267266</v>
      </c>
      <c r="AO75" s="245">
        <f>AO7/AQ7</f>
        <v>0.25488701367190386</v>
      </c>
      <c r="AP75" s="247">
        <f>AP7/AQ7</f>
        <v>0.26076490293150661</v>
      </c>
      <c r="AQ75" s="235"/>
      <c r="AR75" s="245"/>
      <c r="AS75" s="246">
        <f>AS7/AW7</f>
        <v>0.23857138966739247</v>
      </c>
      <c r="AT75" s="245">
        <f>AT7/AW7</f>
        <v>0.24533223454803574</v>
      </c>
      <c r="AU75" s="245">
        <f>AU7/AW7</f>
        <v>0.25537285881911365</v>
      </c>
      <c r="AV75" s="247">
        <f>AV7/AW7</f>
        <v>0.26072351696545815</v>
      </c>
      <c r="AW75" s="235"/>
      <c r="AX75" s="245"/>
      <c r="AY75" s="246">
        <f>AY7/BC7</f>
        <v>0.19910906957081387</v>
      </c>
      <c r="AZ75" s="245">
        <f>AZ7/BC7</f>
        <v>0.19904208961917527</v>
      </c>
      <c r="BA75" s="245">
        <f>BA7/BC7</f>
        <v>0.30412780939641354</v>
      </c>
      <c r="BB75" s="247">
        <f>BB7/BC7</f>
        <v>0.29772103141359729</v>
      </c>
      <c r="BC75" s="235"/>
      <c r="BD75" s="245"/>
      <c r="BE75" s="246">
        <f>BE7/BI7</f>
        <v>0.23943206660030533</v>
      </c>
      <c r="BF75" s="245">
        <f>BF7/BI7</f>
        <v>0.24573425812419383</v>
      </c>
      <c r="BG75" s="245">
        <f>BG7/BI7</f>
        <v>0.2560565372834322</v>
      </c>
      <c r="BH75" s="247">
        <f>BH7/BI7</f>
        <v>0.25877713799206864</v>
      </c>
      <c r="BI75" s="235"/>
      <c r="BJ75" s="245"/>
      <c r="BK75" s="246">
        <f>BK7/BO7</f>
        <v>0.24163757836475366</v>
      </c>
      <c r="BL75" s="245">
        <f>BL7/BO7</f>
        <v>0.24552428821524766</v>
      </c>
      <c r="BM75" s="245">
        <f>BM7/BO7</f>
        <v>0.25098222119679242</v>
      </c>
      <c r="BN75" s="247">
        <f>BN7/BO7</f>
        <v>0.26185591222320631</v>
      </c>
      <c r="BO75" s="235"/>
      <c r="BP75" s="245"/>
      <c r="BQ75" s="246">
        <f>BQ7/BU7</f>
        <v>0.19370551416078502</v>
      </c>
      <c r="BR75" s="245">
        <f>BR7/BU7</f>
        <v>0.2616628800802494</v>
      </c>
      <c r="BS75" s="245">
        <f>BS7/BU7</f>
        <v>0.27043962661375409</v>
      </c>
      <c r="BT75" s="247">
        <f>BT7/BU7</f>
        <v>0.27419197914521154</v>
      </c>
      <c r="BU75" s="235"/>
      <c r="BV75" s="245"/>
      <c r="BW75" s="246">
        <f>BW7/CA7</f>
        <v>0.24246180511230211</v>
      </c>
      <c r="BX75" s="245">
        <f>BX7/CA7</f>
        <v>0.24603776083728782</v>
      </c>
      <c r="BY75" s="245">
        <f>BY7/CA7</f>
        <v>0.25400355511467321</v>
      </c>
      <c r="BZ75" s="247">
        <f>BZ7/CA7</f>
        <v>0.25749687893573692</v>
      </c>
      <c r="CA75" s="235"/>
      <c r="CB75" s="245"/>
      <c r="CC75" s="246">
        <f>CC7/CG7</f>
        <v>0.24248885201695367</v>
      </c>
      <c r="CD75" s="245">
        <f>CD7/CG7</f>
        <v>0.24595953372358531</v>
      </c>
      <c r="CE75" s="245">
        <f>CE7/CG7</f>
        <v>0.25404441469350192</v>
      </c>
      <c r="CF75" s="247">
        <f>CF7/CG7</f>
        <v>0.25750719956595908</v>
      </c>
      <c r="CG75" s="235"/>
      <c r="CH75" s="245"/>
      <c r="CI75" s="246">
        <f>CI7/CM7</f>
        <v>0.24251723418054702</v>
      </c>
      <c r="CJ75" s="245">
        <f>CJ7/CM7</f>
        <v>0.24587992009122439</v>
      </c>
      <c r="CK75" s="245">
        <f>CK7/CM7</f>
        <v>0.25408566964852203</v>
      </c>
      <c r="CL75" s="247">
        <f>CL7/CM7</f>
        <v>0.25751717607970664</v>
      </c>
      <c r="CM75" s="235"/>
    </row>
    <row r="76" spans="1:91" hidden="1" outlineLevel="1" x14ac:dyDescent="0.2">
      <c r="A76" s="86" t="s">
        <v>78</v>
      </c>
      <c r="B76" s="245"/>
      <c r="C76" s="246"/>
      <c r="D76" s="245"/>
      <c r="E76" s="245"/>
      <c r="F76" s="247"/>
      <c r="G76" s="235"/>
      <c r="H76" s="245"/>
      <c r="I76" s="246"/>
      <c r="J76" s="245"/>
      <c r="K76" s="245"/>
      <c r="L76" s="247"/>
      <c r="M76" s="235"/>
      <c r="N76" s="245"/>
      <c r="O76" s="246">
        <v>0.23912713836472932</v>
      </c>
      <c r="P76" s="245">
        <v>0.24670724897282081</v>
      </c>
      <c r="Q76" s="245">
        <v>0.25714826122694862</v>
      </c>
      <c r="R76" s="247">
        <v>0.25701735143550125</v>
      </c>
      <c r="S76" s="235"/>
      <c r="T76" s="245"/>
      <c r="U76" s="246">
        <f>AVERAGE(C75,I75,O75)</f>
        <v>0.23798264466830177</v>
      </c>
      <c r="V76" s="245">
        <f>AVERAGE(D75,J75,P75)</f>
        <v>0.24427557301173461</v>
      </c>
      <c r="W76" s="245">
        <f>AVERAGE(E75,K75,Q75)</f>
        <v>0.25724111747001382</v>
      </c>
      <c r="X76" s="247">
        <f>AVERAGE(F75,L75,R75)</f>
        <v>0.26050066484994977</v>
      </c>
      <c r="Y76" s="235"/>
      <c r="Z76" s="245"/>
      <c r="AA76" s="246">
        <f>AVERAGE(I75,O75,U75)</f>
        <v>0.24377928651101222</v>
      </c>
      <c r="AB76" s="245">
        <f>AVERAGE(J75,P75,V75)</f>
        <v>0.24303503378836208</v>
      </c>
      <c r="AC76" s="245">
        <f>AVERAGE(K75,Q75,W75)</f>
        <v>0.25452976228893048</v>
      </c>
      <c r="AD76" s="247">
        <f>AVERAGE(L75,R75,X75)</f>
        <v>0.25865591741169519</v>
      </c>
      <c r="AE76" s="235"/>
      <c r="AF76" s="245"/>
      <c r="AG76" s="246">
        <f>AVERAGE(O75,U75,AA75)</f>
        <v>0.24270393105180174</v>
      </c>
      <c r="AH76" s="245">
        <f>AVERAGE(P75,V75,AB75)</f>
        <v>0.24343821716189959</v>
      </c>
      <c r="AI76" s="245">
        <f>AVERAGE(Q75,W75,AC75)</f>
        <v>0.25332399294793739</v>
      </c>
      <c r="AJ76" s="247">
        <f>AVERAGE(R75,X75,AD75)</f>
        <v>0.26053385883836128</v>
      </c>
      <c r="AK76" s="235"/>
      <c r="AL76" s="245"/>
      <c r="AM76" s="246">
        <f>AVERAGE(U75,AA75,AG75)</f>
        <v>0.24208781332221166</v>
      </c>
      <c r="AN76" s="245">
        <f>AVERAGE(V75,AB75,AH75)</f>
        <v>0.24655027989942346</v>
      </c>
      <c r="AO76" s="245">
        <f>AVERAGE(W75,AC75,AI75)</f>
        <v>0.25421632620792817</v>
      </c>
      <c r="AP76" s="247">
        <f>AVERAGE(X75,AD75,AJ75)</f>
        <v>0.25714558057043674</v>
      </c>
      <c r="AQ76" s="235"/>
      <c r="AR76" s="245"/>
      <c r="AS76" s="246">
        <f>AVERAGE(AA75,AG75,AM75)</f>
        <v>0.23624223721147664</v>
      </c>
      <c r="AT76" s="245">
        <f>AVERAGE(AB75,AH75,AN75)</f>
        <v>0.2479896686567761</v>
      </c>
      <c r="AU76" s="245">
        <f>AVERAGE(AC75,AI75,AO75)</f>
        <v>0.25639568798141416</v>
      </c>
      <c r="AV76" s="247">
        <f>AVERAGE(AD75,AJ75,AP75)</f>
        <v>0.25937240615033308</v>
      </c>
      <c r="AW76" s="235"/>
      <c r="AX76" s="245"/>
      <c r="AY76" s="246">
        <f>AVERAGE(AG75,AM75,AS75)</f>
        <v>0.23738414052677329</v>
      </c>
      <c r="AZ76" s="245">
        <f>AVERAGE(AH75,AN75,AT75)</f>
        <v>0.24798944519786345</v>
      </c>
      <c r="BA76" s="245">
        <f>AVERAGE(AI75,AO75,AU75)</f>
        <v>0.25573062398966279</v>
      </c>
      <c r="BB76" s="247">
        <f>AVERAGE(AJ75,AP75,AV75)</f>
        <v>0.25889579028570048</v>
      </c>
      <c r="BC76" s="235"/>
      <c r="BD76" s="245"/>
      <c r="BE76" s="246">
        <f>AVERAGE(AM75,AS75,AY75)</f>
        <v>0.22454481695737441</v>
      </c>
      <c r="BF76" s="245">
        <f>AVERAGE(AN75,AT75,AZ75)</f>
        <v>0.23092280530996123</v>
      </c>
      <c r="BG76" s="245">
        <f>AVERAGE(AO75,AU75,BA75)</f>
        <v>0.27146256062914365</v>
      </c>
      <c r="BH76" s="247">
        <f>AVERAGE(AP75,AV75,BB75)</f>
        <v>0.27306981710352068</v>
      </c>
      <c r="BI76" s="235"/>
      <c r="BJ76" s="245"/>
      <c r="BK76" s="246">
        <f>AVERAGE(AS75,AY75,BE75)</f>
        <v>0.2257041752795039</v>
      </c>
      <c r="BL76" s="245">
        <f>AVERAGE(AT75,AZ75,BF75)</f>
        <v>0.23003619409713494</v>
      </c>
      <c r="BM76" s="245">
        <f>AVERAGE(AU75,BA75,BG75)</f>
        <v>0.27185240183298648</v>
      </c>
      <c r="BN76" s="247">
        <f>AVERAGE(AV75,BB75,BH75)</f>
        <v>0.27240722879037471</v>
      </c>
      <c r="BO76" s="235"/>
      <c r="BP76" s="245"/>
      <c r="BQ76" s="246">
        <f>AVERAGE(AY75,BE75,BK75)</f>
        <v>0.22672623817862428</v>
      </c>
      <c r="BR76" s="245">
        <f>AVERAGE(AZ75,BF75,BL75)</f>
        <v>0.23010021198620559</v>
      </c>
      <c r="BS76" s="245">
        <f>AVERAGE(BA75,BG75,BM75)</f>
        <v>0.2703888559588794</v>
      </c>
      <c r="BT76" s="247">
        <f>AVERAGE(BB75,BH75,BN75)</f>
        <v>0.27278469387629073</v>
      </c>
      <c r="BU76" s="235"/>
      <c r="BV76" s="245"/>
      <c r="BW76" s="246">
        <f>AVERAGE(BE75,BK75,BQ75)</f>
        <v>0.22492505304194799</v>
      </c>
      <c r="BX76" s="245">
        <f>AVERAGE(BF75,BL75,BR75)</f>
        <v>0.25097380880656361</v>
      </c>
      <c r="BY76" s="245">
        <f>AVERAGE(BG75,BM75,BS75)</f>
        <v>0.25915946169799292</v>
      </c>
      <c r="BZ76" s="247">
        <f>AVERAGE(BH75,BN75,BT75)</f>
        <v>0.26494167645349548</v>
      </c>
      <c r="CA76" s="235"/>
      <c r="CB76" s="245"/>
      <c r="CC76" s="246">
        <f>AVERAGE(BK75,BQ75,BW75)</f>
        <v>0.22593496587928028</v>
      </c>
      <c r="CD76" s="245">
        <f>AVERAGE(BL75,BR75,BX75)</f>
        <v>0.25107497637759496</v>
      </c>
      <c r="CE76" s="245">
        <f>AVERAGE(BM75,BS75,BY75)</f>
        <v>0.25847513430840657</v>
      </c>
      <c r="CF76" s="247">
        <f>AVERAGE(BN75,BT75,BZ75)</f>
        <v>0.26451492343471827</v>
      </c>
      <c r="CG76" s="235"/>
      <c r="CH76" s="245"/>
      <c r="CI76" s="246">
        <f>AVERAGE(BQ75,BW75,CC75)</f>
        <v>0.22621872376334695</v>
      </c>
      <c r="CJ76" s="245">
        <f>AVERAGE(BR75,BX75,CD75)</f>
        <v>0.25122005821370746</v>
      </c>
      <c r="CK76" s="245">
        <f>AVERAGE(BS75,BY75,CE75)</f>
        <v>0.25949586547397641</v>
      </c>
      <c r="CL76" s="247">
        <f>AVERAGE(BT75,BZ75,CF75)</f>
        <v>0.26306535254896918</v>
      </c>
      <c r="CM76" s="235"/>
    </row>
    <row r="77" spans="1:91" hidden="1" outlineLevel="1" x14ac:dyDescent="0.2">
      <c r="A77" s="189" t="s">
        <v>39</v>
      </c>
      <c r="B77" s="245"/>
      <c r="C77" s="246">
        <v>0.24107372874525321</v>
      </c>
      <c r="D77" s="245">
        <v>0.24678606786615342</v>
      </c>
      <c r="E77" s="245">
        <v>0.25551714751071763</v>
      </c>
      <c r="F77" s="247">
        <v>0.25662305587787559</v>
      </c>
      <c r="G77" s="235"/>
      <c r="H77" s="245"/>
      <c r="I77" s="246">
        <f>I11/M11</f>
        <v>0.2391038257332769</v>
      </c>
      <c r="J77" s="245">
        <f>J11/M11</f>
        <v>0.24379816288369929</v>
      </c>
      <c r="K77" s="245">
        <f>K11/M11</f>
        <v>0.25938717294279828</v>
      </c>
      <c r="L77" s="247">
        <f>L11/M11</f>
        <v>0.25771083844022541</v>
      </c>
      <c r="M77" s="235"/>
      <c r="N77" s="245"/>
      <c r="O77" s="246">
        <f>O11/S11</f>
        <v>0.24424347341502661</v>
      </c>
      <c r="P77" s="245">
        <f>P11/S11</f>
        <v>0.23829905802539619</v>
      </c>
      <c r="Q77" s="245">
        <f>Q11/S11</f>
        <v>0.25519517306722145</v>
      </c>
      <c r="R77" s="247">
        <f>R11/S11</f>
        <v>0.26226229549235575</v>
      </c>
      <c r="S77" s="235"/>
      <c r="T77" s="245"/>
      <c r="U77" s="246">
        <f>U11/Y11</f>
        <v>0.25449355601112522</v>
      </c>
      <c r="V77" s="245">
        <f>V11/Y11</f>
        <v>0.24415784181868044</v>
      </c>
      <c r="W77" s="245">
        <f>W11/Y11</f>
        <v>0.24743794314665138</v>
      </c>
      <c r="X77" s="247">
        <f>X11/Y11</f>
        <v>0.25391065902354309</v>
      </c>
      <c r="Y77" s="235"/>
      <c r="Z77" s="245"/>
      <c r="AA77" s="246">
        <f>AA11/AE11</f>
        <v>0.23824388626312851</v>
      </c>
      <c r="AB77" s="245">
        <f>AB11/AE11</f>
        <v>0.24485284067734994</v>
      </c>
      <c r="AC77" s="245">
        <f>AC11/AE11</f>
        <v>0.25997945347018792</v>
      </c>
      <c r="AD77" s="247">
        <f>AD11/AE11</f>
        <v>0.25692381958933358</v>
      </c>
      <c r="AE77" s="235"/>
      <c r="AF77" s="245"/>
      <c r="AG77" s="246">
        <f>AG11/AK11</f>
        <v>0.23498779836350964</v>
      </c>
      <c r="AH77" s="245">
        <f>AH11/AK11</f>
        <v>0.24925025100977971</v>
      </c>
      <c r="AI77" s="245">
        <f>AI11/AK11</f>
        <v>0.26069564089565639</v>
      </c>
      <c r="AJ77" s="247">
        <f>AJ11/AK11</f>
        <v>0.25506630973105426</v>
      </c>
      <c r="AK77" s="235"/>
      <c r="AL77" s="245"/>
      <c r="AM77" s="246">
        <f>AM11/AQ11</f>
        <v>0.24111036012596149</v>
      </c>
      <c r="AN77" s="245">
        <f>AN11/AQ11</f>
        <v>0.24440854209569363</v>
      </c>
      <c r="AO77" s="245">
        <f>AO11/AQ11</f>
        <v>0.25428033672599143</v>
      </c>
      <c r="AP77" s="247">
        <f>AP11/AQ11</f>
        <v>0.26020076105235351</v>
      </c>
      <c r="AQ77" s="235"/>
      <c r="AR77" s="245"/>
      <c r="AS77" s="246">
        <f>AS11/AW11</f>
        <v>0.23961965855711373</v>
      </c>
      <c r="AT77" s="245">
        <f>AT11/AW11</f>
        <v>0.24373699116252084</v>
      </c>
      <c r="AU77" s="245">
        <f>AU11/AW11</f>
        <v>0.25688515826708064</v>
      </c>
      <c r="AV77" s="247">
        <f>AV11/AW11</f>
        <v>0.25975819201328465</v>
      </c>
      <c r="AW77" s="235"/>
      <c r="AX77" s="245"/>
      <c r="AY77" s="246">
        <f>AY11/BC11</f>
        <v>0.19826600698595168</v>
      </c>
      <c r="AZ77" s="245">
        <f>AZ11/BC11</f>
        <v>0.19813732821850769</v>
      </c>
      <c r="BA77" s="245">
        <f>BA11/BC11</f>
        <v>0.30371918936106324</v>
      </c>
      <c r="BB77" s="247">
        <f>BB11/BC11</f>
        <v>0.29987747543447729</v>
      </c>
      <c r="BC77" s="235"/>
      <c r="BD77" s="245"/>
      <c r="BE77" s="246">
        <f>BE11/BI11</f>
        <v>0.23859279243322784</v>
      </c>
      <c r="BF77" s="245">
        <f>BF11/BI11</f>
        <v>0.24758206654286929</v>
      </c>
      <c r="BG77" s="245">
        <f>BG11/BI11</f>
        <v>0.25653173361525422</v>
      </c>
      <c r="BH77" s="247">
        <f>BH11/BI11</f>
        <v>0.25729340740864864</v>
      </c>
      <c r="BI77" s="235"/>
      <c r="BJ77" s="245"/>
      <c r="BK77" s="246">
        <f>BK11/BO11</f>
        <v>0.24526735996810134</v>
      </c>
      <c r="BL77" s="245">
        <f>BL11/BO11</f>
        <v>0.24155821274741171</v>
      </c>
      <c r="BM77" s="245">
        <f>BM11/BO11</f>
        <v>0.2526856544094806</v>
      </c>
      <c r="BN77" s="247">
        <f>BN11/BO11</f>
        <v>0.26048877287500632</v>
      </c>
      <c r="BO77" s="235"/>
      <c r="BP77" s="245"/>
      <c r="BQ77" s="246">
        <f>BQ11/BU11</f>
        <v>0.18744717321231005</v>
      </c>
      <c r="BR77" s="245">
        <f>BR11/BU11</f>
        <v>0.26088466017462525</v>
      </c>
      <c r="BS77" s="245">
        <f>BS11/BU11</f>
        <v>0.27345314851212971</v>
      </c>
      <c r="BT77" s="247">
        <f>BT11/BU11</f>
        <v>0.27821501810093507</v>
      </c>
      <c r="BU77" s="235"/>
      <c r="BV77" s="245"/>
      <c r="BW77" s="246">
        <f>BW11/CA11</f>
        <v>0.24214132306215924</v>
      </c>
      <c r="BX77" s="245">
        <f>BX11/CA11</f>
        <v>0.24613987832497622</v>
      </c>
      <c r="BY77" s="245">
        <f>BY11/CA11</f>
        <v>0.25366781736806598</v>
      </c>
      <c r="BZ77" s="247">
        <f>BZ11/CA11</f>
        <v>0.25805098124479858</v>
      </c>
      <c r="CA77" s="235"/>
      <c r="CB77" s="245"/>
      <c r="CC77" s="246">
        <f>CC11/CG11</f>
        <v>0.24217329112349681</v>
      </c>
      <c r="CD77" s="245">
        <f>CD11/CG11</f>
        <v>0.24606007179408484</v>
      </c>
      <c r="CE77" s="245">
        <f>CE11/CG11</f>
        <v>0.25371381606263044</v>
      </c>
      <c r="CF77" s="247">
        <f>CF11/CG11</f>
        <v>0.25805282101978794</v>
      </c>
      <c r="CG77" s="235"/>
      <c r="CH77" s="245"/>
      <c r="CI77" s="246">
        <f>CI11/CM11</f>
        <v>0.24207083492347448</v>
      </c>
      <c r="CJ77" s="245">
        <f>CJ11/CM11</f>
        <v>0.24292722253222568</v>
      </c>
      <c r="CK77" s="245">
        <f>CK11/CM11</f>
        <v>0.25534033964591657</v>
      </c>
      <c r="CL77" s="247">
        <f>CL11/CM11</f>
        <v>0.25966160289838341</v>
      </c>
      <c r="CM77" s="235"/>
    </row>
    <row r="78" spans="1:91" hidden="1" outlineLevel="1" x14ac:dyDescent="0.2">
      <c r="A78" s="86" t="s">
        <v>78</v>
      </c>
      <c r="B78" s="245"/>
      <c r="C78" s="246"/>
      <c r="D78" s="245"/>
      <c r="E78" s="245"/>
      <c r="F78" s="247"/>
      <c r="G78" s="235"/>
      <c r="H78" s="245"/>
      <c r="I78" s="246"/>
      <c r="J78" s="245"/>
      <c r="K78" s="245"/>
      <c r="L78" s="247"/>
      <c r="M78" s="235"/>
      <c r="N78" s="245"/>
      <c r="O78" s="246">
        <v>0.24245082023496947</v>
      </c>
      <c r="P78" s="245">
        <v>0.24564194001856224</v>
      </c>
      <c r="Q78" s="245">
        <v>0.25515130750187837</v>
      </c>
      <c r="R78" s="247">
        <v>0.25675593224458976</v>
      </c>
      <c r="S78" s="235"/>
      <c r="T78" s="245"/>
      <c r="U78" s="246">
        <f>AVERAGE(C77,I77,O77)</f>
        <v>0.24147367596451894</v>
      </c>
      <c r="V78" s="245">
        <f>AVERAGE(D77,J77,P77)</f>
        <v>0.2429610962584163</v>
      </c>
      <c r="W78" s="245">
        <f>AVERAGE(E77,K77,Q77)</f>
        <v>0.25669983117357914</v>
      </c>
      <c r="X78" s="247">
        <f>AVERAGE(F77,L77,R77)</f>
        <v>0.25886539660348556</v>
      </c>
      <c r="Y78" s="235"/>
      <c r="Z78" s="245"/>
      <c r="AA78" s="246">
        <f>AVERAGE(I77,O77,U77)</f>
        <v>0.2459469517198096</v>
      </c>
      <c r="AB78" s="245">
        <f>AVERAGE(J77,P77,V77)</f>
        <v>0.24208502090925865</v>
      </c>
      <c r="AC78" s="245">
        <f>AVERAGE(K77,Q77,W77)</f>
        <v>0.25400676305222369</v>
      </c>
      <c r="AD78" s="247">
        <f>AVERAGE(L77,R77,X77)</f>
        <v>0.25796126431870808</v>
      </c>
      <c r="AE78" s="235"/>
      <c r="AF78" s="245"/>
      <c r="AG78" s="246">
        <f>AVERAGE(O77,U77,AA77)</f>
        <v>0.24566030522976012</v>
      </c>
      <c r="AH78" s="245">
        <f>AVERAGE(P77,V77,AB77)</f>
        <v>0.24243658017380887</v>
      </c>
      <c r="AI78" s="245">
        <f>AVERAGE(Q77,W77,AC77)</f>
        <v>0.2542041898946869</v>
      </c>
      <c r="AJ78" s="247">
        <f>AVERAGE(R77,X77,AD77)</f>
        <v>0.2576989247017441</v>
      </c>
      <c r="AK78" s="235"/>
      <c r="AL78" s="245"/>
      <c r="AM78" s="246">
        <f>AVERAGE(U77,AA77,AG77)</f>
        <v>0.24257508021258781</v>
      </c>
      <c r="AN78" s="245">
        <f>AVERAGE(V77,AB77,AH77)</f>
        <v>0.24608697783527003</v>
      </c>
      <c r="AO78" s="245">
        <f>AVERAGE(W77,AC77,AI77)</f>
        <v>0.25603767917083187</v>
      </c>
      <c r="AP78" s="247">
        <f>AVERAGE(X77,AD77,AJ77)</f>
        <v>0.25530026278131029</v>
      </c>
      <c r="AQ78" s="235"/>
      <c r="AR78" s="245"/>
      <c r="AS78" s="246">
        <f>AVERAGE(AA77,AG77,AM77)</f>
        <v>0.23811401491753323</v>
      </c>
      <c r="AT78" s="245">
        <f>AVERAGE(AB77,AH77,AN77)</f>
        <v>0.24617054459427443</v>
      </c>
      <c r="AU78" s="245">
        <f>AVERAGE(AC77,AI77,AO77)</f>
        <v>0.25831847703061189</v>
      </c>
      <c r="AV78" s="247">
        <f>AVERAGE(AD77,AJ77,AP77)</f>
        <v>0.25739696345758051</v>
      </c>
      <c r="AW78" s="235"/>
      <c r="AX78" s="245"/>
      <c r="AY78" s="246">
        <f>AVERAGE(AG77,AM77,AS77)</f>
        <v>0.23857260568219496</v>
      </c>
      <c r="AZ78" s="245">
        <f>AVERAGE(AH77,AN77,AT77)</f>
        <v>0.24579859475599805</v>
      </c>
      <c r="BA78" s="245">
        <f>AVERAGE(AI77,AO77,AU77)</f>
        <v>0.2572870452962428</v>
      </c>
      <c r="BB78" s="247">
        <f>AVERAGE(AJ77,AP77,AV77)</f>
        <v>0.25834175426556411</v>
      </c>
      <c r="BC78" s="235"/>
      <c r="BD78" s="245"/>
      <c r="BE78" s="246">
        <f>AVERAGE(AM77,AS77,AY77)</f>
        <v>0.22633200855634228</v>
      </c>
      <c r="BF78" s="245">
        <f>AVERAGE(AN77,AT77,AZ77)</f>
        <v>0.22876095382557404</v>
      </c>
      <c r="BG78" s="245">
        <f>AVERAGE(AO77,AU77,BA77)</f>
        <v>0.2716282281180451</v>
      </c>
      <c r="BH78" s="247">
        <f>AVERAGE(AP77,AV77,BB77)</f>
        <v>0.27327880950003847</v>
      </c>
      <c r="BI78" s="235"/>
      <c r="BJ78" s="245"/>
      <c r="BK78" s="246">
        <f>AVERAGE(AS77,AY77,BE77)</f>
        <v>0.22549281932543108</v>
      </c>
      <c r="BL78" s="245">
        <f>AVERAGE(AT77,AZ77,BF77)</f>
        <v>0.22981879530796592</v>
      </c>
      <c r="BM78" s="245">
        <f>AVERAGE(AU77,BA77,BG77)</f>
        <v>0.27237869374779938</v>
      </c>
      <c r="BN78" s="247">
        <f>AVERAGE(AV77,BB77,BH77)</f>
        <v>0.27230969161880353</v>
      </c>
      <c r="BO78" s="235"/>
      <c r="BP78" s="245"/>
      <c r="BQ78" s="246">
        <f>AVERAGE(AY77,BE77,BK77)</f>
        <v>0.22737538646242694</v>
      </c>
      <c r="BR78" s="245">
        <f>AVERAGE(AZ77,BF77,BL77)</f>
        <v>0.22909253583626291</v>
      </c>
      <c r="BS78" s="245">
        <f>AVERAGE(BA77,BG77,BM77)</f>
        <v>0.27097885912859937</v>
      </c>
      <c r="BT78" s="247">
        <f>AVERAGE(BB77,BH77,BN77)</f>
        <v>0.2725532185727107</v>
      </c>
      <c r="BU78" s="235"/>
      <c r="BV78" s="245"/>
      <c r="BW78" s="246">
        <f>AVERAGE(BE77,BK77,BQ77)</f>
        <v>0.22376910853787976</v>
      </c>
      <c r="BX78" s="245">
        <f>AVERAGE(BF77,BL77,BR77)</f>
        <v>0.2500083131549688</v>
      </c>
      <c r="BY78" s="245">
        <f>AVERAGE(BG77,BM77,BS77)</f>
        <v>0.26089017884562149</v>
      </c>
      <c r="BZ78" s="247">
        <f>AVERAGE(BH77,BN77,BT77)</f>
        <v>0.26533239946153003</v>
      </c>
      <c r="CA78" s="235"/>
      <c r="CB78" s="245"/>
      <c r="CC78" s="246">
        <f>AVERAGE(BK77,BQ77,BW77)</f>
        <v>0.22495195208085686</v>
      </c>
      <c r="CD78" s="245">
        <f>AVERAGE(BL77,BR77,BX77)</f>
        <v>0.24952758374900438</v>
      </c>
      <c r="CE78" s="245">
        <f>AVERAGE(BM77,BS77,BY77)</f>
        <v>0.25993554009655878</v>
      </c>
      <c r="CF78" s="247">
        <f>AVERAGE(BN77,BT77,BZ77)</f>
        <v>0.26558492407357998</v>
      </c>
      <c r="CG78" s="235"/>
      <c r="CH78" s="245"/>
      <c r="CI78" s="246">
        <f>AVERAGE(BQ77,BW77,CC77)</f>
        <v>0.22392059579932203</v>
      </c>
      <c r="CJ78" s="245">
        <f>AVERAGE(BR77,BX77,CD77)</f>
        <v>0.25102820343122878</v>
      </c>
      <c r="CK78" s="245">
        <f>AVERAGE(BS77,BY77,CE77)</f>
        <v>0.26027826064760867</v>
      </c>
      <c r="CL78" s="247">
        <f>AVERAGE(BT77,BZ77,CF77)</f>
        <v>0.26477294012184055</v>
      </c>
      <c r="CM78" s="235"/>
    </row>
    <row r="79" spans="1:91" hidden="1" outlineLevel="1" x14ac:dyDescent="0.2">
      <c r="A79" s="189" t="s">
        <v>67</v>
      </c>
      <c r="B79" s="245"/>
      <c r="C79" s="246">
        <v>0.2396923622257558</v>
      </c>
      <c r="D79" s="245">
        <v>0.25376309594833762</v>
      </c>
      <c r="E79" s="245">
        <v>0.25721603291055189</v>
      </c>
      <c r="F79" s="247">
        <v>0.24932850891535466</v>
      </c>
      <c r="G79" s="235"/>
      <c r="H79" s="245"/>
      <c r="I79" s="246">
        <f>I13/M13</f>
        <v>0.24589325644516616</v>
      </c>
      <c r="J79" s="245">
        <f>J13/M13</f>
        <v>0.24228110632665614</v>
      </c>
      <c r="K79" s="245">
        <f>K13/M13:M13</f>
        <v>0.25689588319840007</v>
      </c>
      <c r="L79" s="247">
        <f>L13/M13</f>
        <v>0.25492975402977763</v>
      </c>
      <c r="M79" s="235"/>
      <c r="N79" s="245"/>
      <c r="O79" s="246">
        <f>O13/S13</f>
        <v>0.23778481280011804</v>
      </c>
      <c r="P79" s="245">
        <f>P13/S13</f>
        <v>0.256192746655307</v>
      </c>
      <c r="Q79" s="245">
        <f>Q13/S13:S13</f>
        <v>0.25197153493253499</v>
      </c>
      <c r="R79" s="247">
        <f>R13/S13</f>
        <v>0.25405090561203997</v>
      </c>
      <c r="S79" s="235"/>
      <c r="T79" s="245"/>
      <c r="U79" s="246">
        <f>U13/Y13</f>
        <v>0.25890809338684151</v>
      </c>
      <c r="V79" s="245">
        <f>V13/Y13</f>
        <v>0.24461877728953219</v>
      </c>
      <c r="W79" s="245">
        <f>W13/Y13:Y13</f>
        <v>0.24194181796211822</v>
      </c>
      <c r="X79" s="247">
        <f>X13/Y13</f>
        <v>0.25453131136150797</v>
      </c>
      <c r="Y79" s="235"/>
      <c r="Z79" s="245"/>
      <c r="AA79" s="246">
        <f>AA13/AE13</f>
        <v>0.24181289339734077</v>
      </c>
      <c r="AB79" s="245">
        <f>AB13/AE13</f>
        <v>0.23856042484445072</v>
      </c>
      <c r="AC79" s="245">
        <f>AC13/AE13:AE13</f>
        <v>0.25662640427564437</v>
      </c>
      <c r="AD79" s="247">
        <f>AD13/AE13</f>
        <v>0.2630002774825641</v>
      </c>
      <c r="AE79" s="235"/>
      <c r="AF79" s="245"/>
      <c r="AG79" s="246">
        <f>AG13/AK13</f>
        <v>0.25179209691785437</v>
      </c>
      <c r="AH79" s="245">
        <f>AH13/AK13</f>
        <v>0.25462342731421972</v>
      </c>
      <c r="AI79" s="245">
        <f>AI13/AK13:AK13</f>
        <v>0.24493122420189686</v>
      </c>
      <c r="AJ79" s="247">
        <f>AJ13/AK13</f>
        <v>0.24865325156602905</v>
      </c>
      <c r="AK79" s="235"/>
      <c r="AL79" s="245"/>
      <c r="AM79" s="246">
        <f>AM13/AQ13</f>
        <v>0.24653170739988581</v>
      </c>
      <c r="AN79" s="245">
        <f>AN13/AQ13</f>
        <v>0.24888297302103524</v>
      </c>
      <c r="AO79" s="245">
        <f>AO13/AQ13:AQ13</f>
        <v>0.24756249926522564</v>
      </c>
      <c r="AP79" s="247">
        <f>AP13/AQ13</f>
        <v>0.25702282031385337</v>
      </c>
      <c r="AQ79" s="235"/>
      <c r="AR79" s="245"/>
      <c r="AS79" s="246">
        <f>AS13/AW13</f>
        <v>0.25200953263446085</v>
      </c>
      <c r="AT79" s="245">
        <f>AT13/AW13</f>
        <v>0.2427693415822561</v>
      </c>
      <c r="AU79" s="245">
        <f>AU13/AW13:AW13</f>
        <v>0.24928523540520636</v>
      </c>
      <c r="AV79" s="247">
        <f>AV13/AW13</f>
        <v>0.25593589037807674</v>
      </c>
      <c r="AW79" s="235"/>
      <c r="AX79" s="245"/>
      <c r="AY79" s="246">
        <f>AY13/BC13</f>
        <v>0.20861604367746722</v>
      </c>
      <c r="AZ79" s="245">
        <f>AZ13/BC13</f>
        <v>0.20034599889109198</v>
      </c>
      <c r="BA79" s="245">
        <f>BA13/BC13:BC13</f>
        <v>0.29833195300741083</v>
      </c>
      <c r="BB79" s="247">
        <f>BB13/BC13</f>
        <v>0.29270600442403</v>
      </c>
      <c r="BC79" s="235"/>
      <c r="BD79" s="245"/>
      <c r="BE79" s="246">
        <f>BE13/BI13</f>
        <v>0.2472823832047133</v>
      </c>
      <c r="BF79" s="245">
        <f>BF13/BI13</f>
        <v>0.24919093851132687</v>
      </c>
      <c r="BG79" s="245">
        <f>BG13/BI13:BI13</f>
        <v>0.24163969795037757</v>
      </c>
      <c r="BH79" s="247">
        <f>BH13/BI13</f>
        <v>0.26188698033358226</v>
      </c>
      <c r="BI79" s="235"/>
      <c r="BJ79" s="245"/>
      <c r="BK79" s="246">
        <f>BK13/BO13</f>
        <v>0.24307692307692308</v>
      </c>
      <c r="BL79" s="245">
        <f>BL13/BO13</f>
        <v>0.24649572649572649</v>
      </c>
      <c r="BM79" s="245">
        <f>BM13/BO13:BO13</f>
        <v>0.24581196581196582</v>
      </c>
      <c r="BN79" s="247">
        <f>BN13/BO13</f>
        <v>0.26461538461538464</v>
      </c>
      <c r="BO79" s="235"/>
      <c r="BP79" s="245"/>
      <c r="BQ79" s="246">
        <f>BQ13/BU13</f>
        <v>0.19839513283984539</v>
      </c>
      <c r="BR79" s="245">
        <f>BR13/BU13</f>
        <v>0.26409581331346116</v>
      </c>
      <c r="BS79" s="245">
        <f>BS13/BU13:BU13</f>
        <v>0.26300846741278172</v>
      </c>
      <c r="BT79" s="247">
        <f>BT13/BU13</f>
        <v>0.27450058643391168</v>
      </c>
      <c r="BU79" s="235"/>
      <c r="BV79" s="245"/>
      <c r="BW79" s="246">
        <f>BW13/CA13</f>
        <v>0.24503789340269419</v>
      </c>
      <c r="BX79" s="245">
        <f>BX13/CA13</f>
        <v>0.24554369461551376</v>
      </c>
      <c r="BY79" s="245">
        <f>BY13/CA13:CA13</f>
        <v>0.25135430725913049</v>
      </c>
      <c r="BZ79" s="247">
        <f>BZ13/CA13</f>
        <v>0.25806410472266161</v>
      </c>
      <c r="CA79" s="235"/>
      <c r="CB79" s="245"/>
      <c r="CC79" s="246">
        <f>CC13/CG13</f>
        <v>0.24517847596684916</v>
      </c>
      <c r="CD79" s="245">
        <f>CD13/CG13</f>
        <v>0.24544390157866069</v>
      </c>
      <c r="CE79" s="245">
        <f>CE13/CG13:CG13</f>
        <v>0.25127824888482531</v>
      </c>
      <c r="CF79" s="247">
        <f>CF13/CG13</f>
        <v>0.25809937356966495</v>
      </c>
      <c r="CG79" s="235"/>
      <c r="CH79" s="245"/>
      <c r="CI79" s="246">
        <f>CI13/CM13</f>
        <v>0.24528003173241608</v>
      </c>
      <c r="CJ79" s="245">
        <f>CJ13/CM13</f>
        <v>0.24535047647808209</v>
      </c>
      <c r="CK79" s="245">
        <f>CK13/CM13:CM13</f>
        <v>0.25124409033744172</v>
      </c>
      <c r="CL79" s="247">
        <f>CL13/CM13</f>
        <v>0.25812540145206009</v>
      </c>
      <c r="CM79" s="235"/>
    </row>
    <row r="80" spans="1:91" hidden="1" outlineLevel="1" x14ac:dyDescent="0.2">
      <c r="A80" s="86" t="s">
        <v>78</v>
      </c>
      <c r="B80" s="245"/>
      <c r="C80" s="246"/>
      <c r="D80" s="245"/>
      <c r="E80" s="245"/>
      <c r="F80" s="247"/>
      <c r="G80" s="235"/>
      <c r="H80" s="245"/>
      <c r="I80" s="246"/>
      <c r="J80" s="245"/>
      <c r="K80" s="245"/>
      <c r="L80" s="247"/>
      <c r="M80" s="235"/>
      <c r="N80" s="245"/>
      <c r="O80" s="246">
        <v>0.24164862785053362</v>
      </c>
      <c r="P80" s="245">
        <v>0.24680244230412693</v>
      </c>
      <c r="Q80" s="245">
        <v>0.25699532066649161</v>
      </c>
      <c r="R80" s="247">
        <v>0.25455360917884789</v>
      </c>
      <c r="S80" s="235"/>
      <c r="T80" s="245"/>
      <c r="U80" s="246">
        <f>AVERAGE(C79,I79,O79)</f>
        <v>0.24112347715701335</v>
      </c>
      <c r="V80" s="245">
        <f>AVERAGE(D79,J79,P79)</f>
        <v>0.2507456496434336</v>
      </c>
      <c r="W80" s="245">
        <f>AVERAGE(E79,K79,Q79)</f>
        <v>0.25536115034716234</v>
      </c>
      <c r="X80" s="247">
        <f>AVERAGE(F79,L79,R79)</f>
        <v>0.2527697228523908</v>
      </c>
      <c r="Y80" s="235"/>
      <c r="Z80" s="245"/>
      <c r="AA80" s="246">
        <f>AVERAGE(I79,O79,U79)</f>
        <v>0.24752872087737524</v>
      </c>
      <c r="AB80" s="245">
        <f>AVERAGE(J79,P79,V79)</f>
        <v>0.24769754342383177</v>
      </c>
      <c r="AC80" s="245">
        <f>AVERAGE(K79,Q79,W79)</f>
        <v>0.25026974536435109</v>
      </c>
      <c r="AD80" s="247">
        <f>AVERAGE(L79,R79,X79)</f>
        <v>0.25450399033444188</v>
      </c>
      <c r="AE80" s="235"/>
      <c r="AF80" s="245"/>
      <c r="AG80" s="246">
        <f>AVERAGE(O79,U79,AA79)</f>
        <v>0.24616859986143344</v>
      </c>
      <c r="AH80" s="245">
        <f>AVERAGE(P79,V79,AB79)</f>
        <v>0.24645731626309664</v>
      </c>
      <c r="AI80" s="245">
        <f>AVERAGE(Q79,W79,AC79)</f>
        <v>0.2501799190567659</v>
      </c>
      <c r="AJ80" s="247">
        <f>AVERAGE(R79,X79,AD79)</f>
        <v>0.257194164818704</v>
      </c>
      <c r="AK80" s="235"/>
      <c r="AL80" s="245"/>
      <c r="AM80" s="246">
        <f>AVERAGE(U79,AA79,AG79)</f>
        <v>0.25083769456734556</v>
      </c>
      <c r="AN80" s="245">
        <f>AVERAGE(V79,AB79,AH79)</f>
        <v>0.24593420981606753</v>
      </c>
      <c r="AO80" s="245">
        <f>AVERAGE(W79,AC79,AI79)</f>
        <v>0.24783314881321983</v>
      </c>
      <c r="AP80" s="247">
        <f>AVERAGE(X79,AD79,AJ79)</f>
        <v>0.25539494680336705</v>
      </c>
      <c r="AQ80" s="235"/>
      <c r="AR80" s="245"/>
      <c r="AS80" s="246">
        <f>AVERAGE(AA79,AG79,AM79)</f>
        <v>0.24671223257169364</v>
      </c>
      <c r="AT80" s="245">
        <f>AVERAGE(AB79,AH79,AN79)</f>
        <v>0.24735560839323523</v>
      </c>
      <c r="AU80" s="245">
        <f>AVERAGE(AC79,AI79,AO79)</f>
        <v>0.24970670924758898</v>
      </c>
      <c r="AV80" s="247">
        <f>AVERAGE(AD79,AJ79,AP79)</f>
        <v>0.25622544978748218</v>
      </c>
      <c r="AW80" s="235"/>
      <c r="AX80" s="245"/>
      <c r="AY80" s="246">
        <f>AVERAGE(AG79,AM79,AS79)</f>
        <v>0.2501111123174003</v>
      </c>
      <c r="AZ80" s="245">
        <f>AVERAGE(AH79,AN79,AT79)</f>
        <v>0.24875858063917033</v>
      </c>
      <c r="BA80" s="245">
        <f>AVERAGE(AI79,AO79,AU79)</f>
        <v>0.24725965295744298</v>
      </c>
      <c r="BB80" s="247">
        <f>AVERAGE(AJ79,AP79,AV79)</f>
        <v>0.25387065408598636</v>
      </c>
      <c r="BC80" s="235"/>
      <c r="BD80" s="245"/>
      <c r="BE80" s="246">
        <f>AVERAGE(AM79,AS79,AY79)</f>
        <v>0.23571909457060461</v>
      </c>
      <c r="BF80" s="245">
        <f>AVERAGE(AN79,AT79,AZ79)</f>
        <v>0.23066610449812777</v>
      </c>
      <c r="BG80" s="245">
        <f>AVERAGE(AO79,AU79,BA79)</f>
        <v>0.26505989589261425</v>
      </c>
      <c r="BH80" s="247">
        <f>AVERAGE(AP79,AV79,BB79)</f>
        <v>0.26855490503865337</v>
      </c>
      <c r="BI80" s="235"/>
      <c r="BJ80" s="245"/>
      <c r="BK80" s="246">
        <f>AVERAGE(AS79,AY79,BE79)</f>
        <v>0.23596931983888045</v>
      </c>
      <c r="BL80" s="245">
        <f>AVERAGE(AT79,AZ79,BF79)</f>
        <v>0.23076875966155833</v>
      </c>
      <c r="BM80" s="245">
        <f>AVERAGE(AU79,BA79,BG79)</f>
        <v>0.26308562878766489</v>
      </c>
      <c r="BN80" s="247">
        <f>AVERAGE(AV79,BB79,BH79)</f>
        <v>0.27017629171189633</v>
      </c>
      <c r="BO80" s="235"/>
      <c r="BP80" s="245"/>
      <c r="BQ80" s="246">
        <f>AVERAGE(AY79,BE79,BK79)</f>
        <v>0.23299178331970119</v>
      </c>
      <c r="BR80" s="245">
        <f>AVERAGE(AZ79,BF79,BL79)</f>
        <v>0.23201088796604843</v>
      </c>
      <c r="BS80" s="245">
        <f>AVERAGE(BA79,BG79,BM79)</f>
        <v>0.26192787225658476</v>
      </c>
      <c r="BT80" s="247">
        <f>AVERAGE(BB79,BH79,BN79)</f>
        <v>0.27306945645766567</v>
      </c>
      <c r="BU80" s="235"/>
      <c r="BV80" s="245"/>
      <c r="BW80" s="246">
        <f>AVERAGE(BE79,BK79,BQ79)</f>
        <v>0.22958481304049391</v>
      </c>
      <c r="BX80" s="245">
        <f>AVERAGE(BF79,BL79,BR79)</f>
        <v>0.25326082610683814</v>
      </c>
      <c r="BY80" s="245">
        <f>AVERAGE(BG79,BM79,BS79)</f>
        <v>0.25015337705837504</v>
      </c>
      <c r="BZ80" s="247">
        <f>AVERAGE(BH79,BN79,BT79)</f>
        <v>0.26700098379429282</v>
      </c>
      <c r="CA80" s="235"/>
      <c r="CB80" s="245"/>
      <c r="CC80" s="246">
        <f>AVERAGE(BK79,BQ79,BW79)</f>
        <v>0.22883664977315421</v>
      </c>
      <c r="CD80" s="245">
        <f>AVERAGE(BL79,BR79,BX79)</f>
        <v>0.25204507814156712</v>
      </c>
      <c r="CE80" s="245">
        <f>AVERAGE(BM79,BS79,BY79)</f>
        <v>0.25339158016129271</v>
      </c>
      <c r="CF80" s="247">
        <f>AVERAGE(BN79,BT79,BZ79)</f>
        <v>0.26572669192398596</v>
      </c>
      <c r="CG80" s="235"/>
      <c r="CH80" s="245"/>
      <c r="CI80" s="246">
        <f>AVERAGE(BQ79,BW79,CC79)</f>
        <v>0.22953716740312957</v>
      </c>
      <c r="CJ80" s="245">
        <f>AVERAGE(BR79,BX79,CD79)</f>
        <v>0.25169446983587856</v>
      </c>
      <c r="CK80" s="245">
        <f>AVERAGE(BS79,BY79,CE79)</f>
        <v>0.25521367451891247</v>
      </c>
      <c r="CL80" s="247">
        <f>AVERAGE(BT79,BZ79,CF79)</f>
        <v>0.26355468824207945</v>
      </c>
      <c r="CM80" s="235"/>
    </row>
    <row r="81" spans="1:100" hidden="1" outlineLevel="1" x14ac:dyDescent="0.2">
      <c r="A81" s="189" t="s">
        <v>43</v>
      </c>
      <c r="B81" s="245"/>
      <c r="C81" s="246">
        <v>0.22202471878905705</v>
      </c>
      <c r="D81" s="245">
        <v>0.24076378280794333</v>
      </c>
      <c r="E81" s="245">
        <v>0.25827801694209135</v>
      </c>
      <c r="F81" s="247">
        <v>0.27893348146090824</v>
      </c>
      <c r="G81" s="235"/>
      <c r="H81" s="245"/>
      <c r="I81" s="246">
        <f>I15/M15</f>
        <v>0.23098996057924784</v>
      </c>
      <c r="J81" s="245">
        <f>J15/M15</f>
        <v>0.24236443753501685</v>
      </c>
      <c r="K81" s="245">
        <f>K15/M15</f>
        <v>0.25255275869553145</v>
      </c>
      <c r="L81" s="247">
        <f>L15/M15</f>
        <v>0.27409284319020383</v>
      </c>
      <c r="M81" s="235"/>
      <c r="N81" s="245"/>
      <c r="O81" s="246">
        <f>O15/S15</f>
        <v>0.23817068619042089</v>
      </c>
      <c r="P81" s="245">
        <f>P15/S15</f>
        <v>0.24149275645319568</v>
      </c>
      <c r="Q81" s="245">
        <f>Q15/S15</f>
        <v>0.24129748595411887</v>
      </c>
      <c r="R81" s="247">
        <f>R15/S15</f>
        <v>0.27903907140226469</v>
      </c>
      <c r="S81" s="235"/>
      <c r="T81" s="245"/>
      <c r="U81" s="246">
        <f>U15/Y15</f>
        <v>0.23005032517627735</v>
      </c>
      <c r="V81" s="245">
        <f>V15/Y15</f>
        <v>0.23246797541514211</v>
      </c>
      <c r="W81" s="245">
        <f>W15/Y15</f>
        <v>0.250690840075453</v>
      </c>
      <c r="X81" s="247">
        <f>X15/Y15</f>
        <v>0.28679085933312765</v>
      </c>
      <c r="Y81" s="235"/>
      <c r="Z81" s="245"/>
      <c r="AA81" s="246">
        <f>AA15/AE15</f>
        <v>0.24675446010511742</v>
      </c>
      <c r="AB81" s="245">
        <f>AB15/AE15</f>
        <v>0.2549565776637327</v>
      </c>
      <c r="AC81" s="245">
        <f>AC15/AE15</f>
        <v>0.24786256075542043</v>
      </c>
      <c r="AD81" s="247">
        <f>AD15/AE15</f>
        <v>0.25042640147572931</v>
      </c>
      <c r="AE81" s="235"/>
      <c r="AF81" s="245"/>
      <c r="AG81" s="246">
        <f>AG15/AK15</f>
        <v>0.23890589542611665</v>
      </c>
      <c r="AH81" s="245">
        <f>AH15/AK15</f>
        <v>0.24854072557125642</v>
      </c>
      <c r="AI81" s="245">
        <f>AI15/AK15</f>
        <v>0.2447813110691979</v>
      </c>
      <c r="AJ81" s="247">
        <f>AJ15/AK15</f>
        <v>0.267772067933429</v>
      </c>
      <c r="AK81" s="235"/>
      <c r="AL81" s="245"/>
      <c r="AM81" s="246">
        <f>AM15/AQ15</f>
        <v>0.23887760156068374</v>
      </c>
      <c r="AN81" s="245">
        <f>AN15/AQ15</f>
        <v>0.2473986920176689</v>
      </c>
      <c r="AO81" s="245">
        <f>AO15/AQ15</f>
        <v>0.24484944051914972</v>
      </c>
      <c r="AP81" s="247">
        <f>AP15/AQ15</f>
        <v>0.26887426590249769</v>
      </c>
      <c r="AQ81" s="235"/>
      <c r="AR81" s="245"/>
      <c r="AS81" s="246">
        <f>AS15/AW15</f>
        <v>0.24513618677042801</v>
      </c>
      <c r="AT81" s="245">
        <f>AT15/AW15</f>
        <v>0.24708171206225682</v>
      </c>
      <c r="AU81" s="245">
        <f>AU15/AW15</f>
        <v>0.24902723735408561</v>
      </c>
      <c r="AV81" s="247">
        <f>AV15/AW15</f>
        <v>0.2587548638132296</v>
      </c>
      <c r="AW81" s="235"/>
      <c r="AX81" s="245"/>
      <c r="AY81" s="246">
        <f>AY15/BC15</f>
        <v>0.20343794354202807</v>
      </c>
      <c r="AZ81" s="245">
        <f>AZ15/BC15</f>
        <v>0.20343794354202807</v>
      </c>
      <c r="BA81" s="245">
        <f>BA15/BC15</f>
        <v>0.28402460179782368</v>
      </c>
      <c r="BB81" s="247">
        <f>BB15/BC15</f>
        <v>0.30909951111812017</v>
      </c>
      <c r="BC81" s="235"/>
      <c r="BD81" s="245"/>
      <c r="BE81" s="246">
        <f>BE15/BI15</f>
        <v>0.22564102564102564</v>
      </c>
      <c r="BF81" s="245">
        <f>BF15/BI15</f>
        <v>0.21930618401206636</v>
      </c>
      <c r="BG81" s="245">
        <f>BG15/BI15</f>
        <v>0.2497737556561086</v>
      </c>
      <c r="BH81" s="247">
        <f>BH15/BI15</f>
        <v>0.30527903469079942</v>
      </c>
      <c r="BI81" s="235"/>
      <c r="BJ81" s="245"/>
      <c r="BK81" s="246">
        <f>BK15/BO15</f>
        <v>0.23483870967741935</v>
      </c>
      <c r="BL81" s="245">
        <f>BL15/BO15</f>
        <v>0.24129032258064517</v>
      </c>
      <c r="BM81" s="245">
        <f>BM15/BO15</f>
        <v>0.23870967741935484</v>
      </c>
      <c r="BN81" s="247">
        <f>BN15/BO15</f>
        <v>0.28516129032258064</v>
      </c>
      <c r="BO81" s="235"/>
      <c r="BP81" s="245"/>
      <c r="BQ81" s="246">
        <f>BQ15/BU15</f>
        <v>0.18413609306062445</v>
      </c>
      <c r="BR81" s="245">
        <f>BR15/BU15</f>
        <v>0.25935934582169695</v>
      </c>
      <c r="BS81" s="245">
        <f>BS15/BU15</f>
        <v>0.27218280871734446</v>
      </c>
      <c r="BT81" s="247">
        <f>BT15/BU15</f>
        <v>0.28432175240033414</v>
      </c>
      <c r="BU81" s="235"/>
      <c r="BV81" s="245"/>
      <c r="BW81" s="246">
        <f>BW15/CA15</f>
        <v>0.24523455952342835</v>
      </c>
      <c r="BX81" s="245">
        <f>BX15/CA15</f>
        <v>0.245137209167063</v>
      </c>
      <c r="BY81" s="245">
        <f>BY15/CA15</f>
        <v>0.25307384690637574</v>
      </c>
      <c r="BZ81" s="247">
        <f>BZ15/CA15</f>
        <v>0.256554384403133</v>
      </c>
      <c r="CA81" s="235"/>
      <c r="CB81" s="245"/>
      <c r="CC81" s="246">
        <f>CC15/CG15</f>
        <v>0.24539335517612362</v>
      </c>
      <c r="CD81" s="245">
        <f>CD15/CG15</f>
        <v>0.24501645817330428</v>
      </c>
      <c r="CE81" s="245">
        <f>CE15/CG15</f>
        <v>0.25307033951716768</v>
      </c>
      <c r="CF81" s="247">
        <f>CF15/CG15</f>
        <v>0.25651984713340448</v>
      </c>
      <c r="CG81" s="235"/>
      <c r="CH81" s="245"/>
      <c r="CI81" s="246">
        <f>CI15/CM15</f>
        <v>0.24549253602334692</v>
      </c>
      <c r="CJ81" s="245">
        <f>CJ15/CM15</f>
        <v>0.24491413312897778</v>
      </c>
      <c r="CK81" s="245">
        <f>CK15/CM15</f>
        <v>0.25308765148197471</v>
      </c>
      <c r="CL81" s="247">
        <f>CL15/CM15</f>
        <v>0.25650567936570051</v>
      </c>
      <c r="CM81" s="235"/>
    </row>
    <row r="82" spans="1:100" hidden="1" outlineLevel="1" x14ac:dyDescent="0.2">
      <c r="A82" s="86" t="s">
        <v>78</v>
      </c>
      <c r="B82" s="245"/>
      <c r="C82" s="246"/>
      <c r="D82" s="245"/>
      <c r="E82" s="245"/>
      <c r="F82" s="247"/>
      <c r="G82" s="235"/>
      <c r="H82" s="245"/>
      <c r="I82" s="246"/>
      <c r="J82" s="245"/>
      <c r="K82" s="245"/>
      <c r="L82" s="247"/>
      <c r="M82" s="235"/>
      <c r="N82" s="245"/>
      <c r="O82" s="246">
        <v>0.22648832097739982</v>
      </c>
      <c r="P82" s="245">
        <v>0.24321332897317416</v>
      </c>
      <c r="Q82" s="245">
        <v>0.25496955431803375</v>
      </c>
      <c r="R82" s="247">
        <v>0.27532879573139218</v>
      </c>
      <c r="S82" s="235"/>
      <c r="T82" s="245"/>
      <c r="U82" s="246">
        <f>AVERAGE(C81,I81,O81)</f>
        <v>0.23039512185290859</v>
      </c>
      <c r="V82" s="245">
        <f>AVERAGE(D81,J81,P81)</f>
        <v>0.24154032559871863</v>
      </c>
      <c r="W82" s="245">
        <f>AVERAGE(E81,K81,Q81)</f>
        <v>0.2507094205305806</v>
      </c>
      <c r="X82" s="247">
        <f>AVERAGE(F81,L81,R81)</f>
        <v>0.27735513201779222</v>
      </c>
      <c r="Y82" s="235"/>
      <c r="Z82" s="245"/>
      <c r="AA82" s="246">
        <f>AVERAGE(I81,O81,U81)</f>
        <v>0.23307032398198202</v>
      </c>
      <c r="AB82" s="245">
        <f>AVERAGE(J81,P81,V81)</f>
        <v>0.23877505646778488</v>
      </c>
      <c r="AC82" s="245">
        <f>AVERAGE(K81,Q81,W81)</f>
        <v>0.24818036157503442</v>
      </c>
      <c r="AD82" s="247">
        <f>AVERAGE(L81,R81,X81)</f>
        <v>0.2799742579751987</v>
      </c>
      <c r="AE82" s="235"/>
      <c r="AF82" s="245"/>
      <c r="AG82" s="246">
        <f>AVERAGE(O81,U81,AA81)</f>
        <v>0.2383251571572719</v>
      </c>
      <c r="AH82" s="245">
        <f>AVERAGE(P81,V81,AB81)</f>
        <v>0.24297243651069014</v>
      </c>
      <c r="AI82" s="245">
        <f>AVERAGE(Q81,W81,AC81)</f>
        <v>0.2466169622616641</v>
      </c>
      <c r="AJ82" s="247">
        <f>AVERAGE(R81,X81,AD81)</f>
        <v>0.27208544407037388</v>
      </c>
      <c r="AK82" s="235"/>
      <c r="AL82" s="245"/>
      <c r="AM82" s="246">
        <f>AVERAGE(U81,AA81,AG81)</f>
        <v>0.23857022690250382</v>
      </c>
      <c r="AN82" s="245">
        <f>AVERAGE(V81,AB81,AH81)</f>
        <v>0.24532175955004373</v>
      </c>
      <c r="AO82" s="245">
        <f>AVERAGE(W81,AC81,AI81)</f>
        <v>0.24777823730002377</v>
      </c>
      <c r="AP82" s="247">
        <f>AVERAGE(X81,AD81,AJ81)</f>
        <v>0.26832977624742865</v>
      </c>
      <c r="AQ82" s="235"/>
      <c r="AR82" s="245"/>
      <c r="AS82" s="246">
        <f>AVERAGE(AA81,AG81,AM81)</f>
        <v>0.2415126523639726</v>
      </c>
      <c r="AT82" s="245">
        <f>AVERAGE(AB81,AH81,AN81)</f>
        <v>0.25029866508421933</v>
      </c>
      <c r="AU82" s="245">
        <f>AVERAGE(AC81,AI81,AO81)</f>
        <v>0.24583110411458933</v>
      </c>
      <c r="AV82" s="247">
        <f>AVERAGE(AD81,AJ81,AP81)</f>
        <v>0.26235757843721869</v>
      </c>
      <c r="AW82" s="235"/>
      <c r="AX82" s="245"/>
      <c r="AY82" s="246">
        <f>AVERAGE(AG81,AM81,AS81)</f>
        <v>0.24097322791907613</v>
      </c>
      <c r="AZ82" s="245">
        <f>AVERAGE(AH81,AN81,AT81)</f>
        <v>0.24767370988372739</v>
      </c>
      <c r="BA82" s="245">
        <f>AVERAGE(AI81,AO81,AU81)</f>
        <v>0.24621932964747772</v>
      </c>
      <c r="BB82" s="247">
        <f>AVERAGE(AJ81,AP81,AV81)</f>
        <v>0.26513373254971873</v>
      </c>
      <c r="BC82" s="235"/>
      <c r="BD82" s="245"/>
      <c r="BE82" s="246">
        <f>AVERAGE(AM81,AS81,AY81)</f>
        <v>0.2291505772910466</v>
      </c>
      <c r="BF82" s="245">
        <f>AVERAGE(AN81,AT81,AZ81)</f>
        <v>0.23263944920731794</v>
      </c>
      <c r="BG82" s="245">
        <f>AVERAGE(AO81,AU81,BA81)</f>
        <v>0.25930042655701963</v>
      </c>
      <c r="BH82" s="247">
        <f>AVERAGE(AP81,AV81,BB81)</f>
        <v>0.27890954694461584</v>
      </c>
      <c r="BI82" s="235"/>
      <c r="BJ82" s="245"/>
      <c r="BK82" s="246">
        <f>AVERAGE(AS81,AY81,BE81)</f>
        <v>0.22473838531782722</v>
      </c>
      <c r="BL82" s="245">
        <f>AVERAGE(AT81,AZ81,BF81)</f>
        <v>0.22327527987211707</v>
      </c>
      <c r="BM82" s="245">
        <f>AVERAGE(AU81,BA81,BG81)</f>
        <v>0.26094186493600596</v>
      </c>
      <c r="BN82" s="247">
        <f>AVERAGE(AV81,BB81,BH81)</f>
        <v>0.29104446987404975</v>
      </c>
      <c r="BO82" s="235"/>
      <c r="BP82" s="245"/>
      <c r="BQ82" s="246">
        <f>AVERAGE(AY81,BE81,BK81)</f>
        <v>0.22130589295349101</v>
      </c>
      <c r="BR82" s="245">
        <f>AVERAGE(AZ81,BF81,BL81)</f>
        <v>0.22134481671157988</v>
      </c>
      <c r="BS82" s="245">
        <f>AVERAGE(BA81,BG81,BM81)</f>
        <v>0.25750267829109569</v>
      </c>
      <c r="BT82" s="247">
        <f>AVERAGE(BB81,BH81,BN81)</f>
        <v>0.29984661204383339</v>
      </c>
      <c r="BU82" s="235"/>
      <c r="BV82" s="245"/>
      <c r="BW82" s="246">
        <f>AVERAGE(BE81,BK81,BQ81)</f>
        <v>0.21487194279302316</v>
      </c>
      <c r="BX82" s="245">
        <f>AVERAGE(BF81,BL81,BR81)</f>
        <v>0.23998528413813616</v>
      </c>
      <c r="BY82" s="245">
        <f>AVERAGE(BG81,BM81,BS81)</f>
        <v>0.25355541393093595</v>
      </c>
      <c r="BZ82" s="247">
        <f>AVERAGE(BH81,BN81,BT81)</f>
        <v>0.29158735913790473</v>
      </c>
      <c r="CA82" s="235"/>
      <c r="CB82" s="245"/>
      <c r="CC82" s="246">
        <f>AVERAGE(BK81,BQ81,BW81)</f>
        <v>0.22140312075382404</v>
      </c>
      <c r="CD82" s="245">
        <f>AVERAGE(BL81,BR81,BX81)</f>
        <v>0.24859562585646841</v>
      </c>
      <c r="CE82" s="245">
        <f>AVERAGE(BM81,BS81,BY81)</f>
        <v>0.25465544434769166</v>
      </c>
      <c r="CF82" s="247">
        <f>AVERAGE(BN81,BT81,BZ81)</f>
        <v>0.27534580904201594</v>
      </c>
      <c r="CG82" s="235"/>
      <c r="CH82" s="245"/>
      <c r="CI82" s="246">
        <f>AVERAGE(BQ81,BW81,CC81)</f>
        <v>0.22492133592005881</v>
      </c>
      <c r="CJ82" s="245">
        <f>AVERAGE(BR81,BX81,CD81)</f>
        <v>0.24983767105402141</v>
      </c>
      <c r="CK82" s="245">
        <f>AVERAGE(BS81,BY81,CE81)</f>
        <v>0.25944233171362924</v>
      </c>
      <c r="CL82" s="247">
        <f>AVERAGE(BT81,BZ81,CF81)</f>
        <v>0.26579866131229052</v>
      </c>
      <c r="CM82" s="235"/>
    </row>
    <row r="83" spans="1:100" hidden="1" outlineLevel="1" x14ac:dyDescent="0.2">
      <c r="A83" s="189" t="s">
        <v>45</v>
      </c>
      <c r="B83" s="245"/>
      <c r="C83" s="246">
        <v>0.24791883749163404</v>
      </c>
      <c r="D83" s="245">
        <v>0.23998653931327857</v>
      </c>
      <c r="E83" s="245">
        <v>0.25271307535192827</v>
      </c>
      <c r="F83" s="247">
        <v>0.25938154784315887</v>
      </c>
      <c r="G83" s="235"/>
      <c r="H83" s="245"/>
      <c r="I83" s="246">
        <f>I17/M17</f>
        <v>0.233672902007452</v>
      </c>
      <c r="J83" s="245">
        <f>J17/M17</f>
        <v>0.24584054683206322</v>
      </c>
      <c r="K83" s="245">
        <f>K17/M17</f>
        <v>0.26388487094951452</v>
      </c>
      <c r="L83" s="247">
        <f>L17/M17</f>
        <v>0.25660168021097013</v>
      </c>
      <c r="M83" s="235"/>
      <c r="N83" s="245"/>
      <c r="O83" s="246">
        <f>O17/S17</f>
        <v>0.25261781916131648</v>
      </c>
      <c r="P83" s="245">
        <f>P17/S17</f>
        <v>0.21856698383701909</v>
      </c>
      <c r="Q83" s="245">
        <f>Q17/S17</f>
        <v>0.26214047841014743</v>
      </c>
      <c r="R83" s="247">
        <f>R17/S17</f>
        <v>0.26667471859151709</v>
      </c>
      <c r="S83" s="235"/>
      <c r="T83" s="245"/>
      <c r="U83" s="246">
        <f>U17/Y17</f>
        <v>0.25624449471224015</v>
      </c>
      <c r="V83" s="245">
        <f>V17/Y17</f>
        <v>0.24668937265512775</v>
      </c>
      <c r="W83" s="245">
        <f>W17/Y17</f>
        <v>0.25224401045564854</v>
      </c>
      <c r="X83" s="247">
        <f>X17/Y17</f>
        <v>0.24482212217698388</v>
      </c>
      <c r="Y83" s="235"/>
      <c r="Z83" s="245"/>
      <c r="AA83" s="246">
        <f>AA17/AE17</f>
        <v>0.23202038383011919</v>
      </c>
      <c r="AB83" s="245">
        <f>AB17/AE17</f>
        <v>0.24892669633080194</v>
      </c>
      <c r="AC83" s="245">
        <f>AC17/AE17</f>
        <v>0.26695871136579874</v>
      </c>
      <c r="AD83" s="247">
        <f>AD17/AE17</f>
        <v>0.25209420847327996</v>
      </c>
      <c r="AE83" s="235"/>
      <c r="AF83" s="245"/>
      <c r="AG83" s="246">
        <f>AG17/AK17</f>
        <v>0.21342303146300276</v>
      </c>
      <c r="AH83" s="245">
        <f>AH17/AK17</f>
        <v>0.24293912420740421</v>
      </c>
      <c r="AI83" s="245">
        <f>AI17/AK17</f>
        <v>0.28456953453515305</v>
      </c>
      <c r="AJ83" s="247">
        <f>AJ17/AK17</f>
        <v>0.25906830979443995</v>
      </c>
      <c r="AK83" s="235"/>
      <c r="AL83" s="245"/>
      <c r="AM83" s="246">
        <f>AM17/AQ17</f>
        <v>0.24121610648930225</v>
      </c>
      <c r="AN83" s="245">
        <f>AN17/AQ17</f>
        <v>0.23595614371089779</v>
      </c>
      <c r="AO83" s="245">
        <f>AO17/AQ17</f>
        <v>0.26271418156913195</v>
      </c>
      <c r="AP83" s="247">
        <f>AP17/AQ17</f>
        <v>0.260113568230668</v>
      </c>
      <c r="AQ83" s="235"/>
      <c r="AR83" s="245"/>
      <c r="AS83" s="246">
        <f>AS17/AW17</f>
        <v>0.22431736510002545</v>
      </c>
      <c r="AT83" s="245">
        <f>AT17/AW17</f>
        <v>0.24361506465578217</v>
      </c>
      <c r="AU83" s="245">
        <f>AU17/AW17</f>
        <v>0.26783622421550041</v>
      </c>
      <c r="AV83" s="247">
        <f>AV17/AW17</f>
        <v>0.26423134602869197</v>
      </c>
      <c r="AW83" s="235"/>
      <c r="AX83" s="245"/>
      <c r="AY83" s="246">
        <f>AY17/BC17</f>
        <v>0.18474840239078616</v>
      </c>
      <c r="AZ83" s="245">
        <f>AZ17/BC17</f>
        <v>0.19407908337889171</v>
      </c>
      <c r="BA83" s="245">
        <f>BA17/BC17</f>
        <v>0.31566277237456869</v>
      </c>
      <c r="BB83" s="247">
        <f>BB17/BC17</f>
        <v>0.30550974185575347</v>
      </c>
      <c r="BC83" s="235"/>
      <c r="BD83" s="245"/>
      <c r="BE83" s="246">
        <f>BE17/BI17</f>
        <v>0.23292042938093779</v>
      </c>
      <c r="BF83" s="245">
        <f>BF17/BI17</f>
        <v>0.25440783844230058</v>
      </c>
      <c r="BG83" s="245">
        <f>BG17/BI17</f>
        <v>0.27506527750744586</v>
      </c>
      <c r="BH83" s="247">
        <f>BH17/BI17</f>
        <v>0.23760645466931574</v>
      </c>
      <c r="BI83" s="235"/>
      <c r="BJ83" s="245"/>
      <c r="BK83" s="246">
        <f>BK17/BO17</f>
        <v>0.25049720446563606</v>
      </c>
      <c r="BL83" s="245">
        <f>BL17/BO17</f>
        <v>0.2364202722262127</v>
      </c>
      <c r="BM83" s="245">
        <f>BM17/BO17</f>
        <v>0.26385224274406333</v>
      </c>
      <c r="BN83" s="247">
        <f>BN17/BO17</f>
        <v>0.24923028056408789</v>
      </c>
      <c r="BO83" s="235"/>
      <c r="BP83" s="245"/>
      <c r="BQ83" s="246">
        <f>BQ17/BU17</f>
        <v>0.17784397112394196</v>
      </c>
      <c r="BR83" s="245">
        <f>BR17/BU17</f>
        <v>0.25820967546432133</v>
      </c>
      <c r="BS83" s="245">
        <f>BS17/BU17</f>
        <v>0.28374778565796976</v>
      </c>
      <c r="BT83" s="247">
        <f>BT17/BU17</f>
        <v>0.28019856775376684</v>
      </c>
      <c r="BU83" s="235"/>
      <c r="BV83" s="245"/>
      <c r="BW83" s="246">
        <f>BW17/CA17</f>
        <v>0.23885957585460449</v>
      </c>
      <c r="BX83" s="245">
        <f>BX17/CA17</f>
        <v>0.24690446376146491</v>
      </c>
      <c r="BY83" s="245">
        <f>BY17/CA17</f>
        <v>0.25583201215451856</v>
      </c>
      <c r="BZ83" s="247">
        <f>BZ17/CA17</f>
        <v>0.25840394822941204</v>
      </c>
      <c r="CA83" s="235"/>
      <c r="CB83" s="245"/>
      <c r="CC83" s="246">
        <f>CC17/CG17</f>
        <v>0.23915584409804935</v>
      </c>
      <c r="CD83" s="245">
        <f>CD17/CG17</f>
        <v>0.24676121477473328</v>
      </c>
      <c r="CE83" s="245">
        <f>CE17/CG17</f>
        <v>0.25573642202238556</v>
      </c>
      <c r="CF83" s="247">
        <f>CF17/CG17</f>
        <v>0.25834651910483181</v>
      </c>
      <c r="CG83" s="235"/>
      <c r="CH83" s="245"/>
      <c r="CI83" s="246">
        <f>CI17/CM17</f>
        <v>0.23906618424810208</v>
      </c>
      <c r="CJ83" s="245">
        <f>CJ17/CM17</f>
        <v>0.24077849959451864</v>
      </c>
      <c r="CK83" s="245">
        <f>CK17/CM17</f>
        <v>0.2587499994453592</v>
      </c>
      <c r="CL83" s="247">
        <f>CL17/CM17</f>
        <v>0.26140531671202005</v>
      </c>
      <c r="CM83" s="235"/>
    </row>
    <row r="84" spans="1:100" hidden="1" outlineLevel="1" x14ac:dyDescent="0.2">
      <c r="A84" s="86" t="s">
        <v>78</v>
      </c>
      <c r="B84" s="245"/>
      <c r="C84" s="246"/>
      <c r="D84" s="245"/>
      <c r="E84" s="245"/>
      <c r="F84" s="247"/>
      <c r="G84" s="235"/>
      <c r="H84" s="245"/>
      <c r="I84" s="246"/>
      <c r="J84" s="245"/>
      <c r="K84" s="245"/>
      <c r="L84" s="247"/>
      <c r="M84" s="235"/>
      <c r="N84" s="245"/>
      <c r="O84" s="246">
        <v>0.24788815313530246</v>
      </c>
      <c r="P84" s="245">
        <v>0.24485340901479372</v>
      </c>
      <c r="Q84" s="245">
        <v>0.25282168845250058</v>
      </c>
      <c r="R84" s="247">
        <v>0.25443674939740296</v>
      </c>
      <c r="S84" s="235"/>
      <c r="T84" s="245"/>
      <c r="U84" s="246">
        <f>AVERAGE(C83,I83,O83)</f>
        <v>0.24473651955346751</v>
      </c>
      <c r="V84" s="245">
        <f>AVERAGE(D83,J83,P83)</f>
        <v>0.23479802332745361</v>
      </c>
      <c r="W84" s="245">
        <f>AVERAGE(E83,K83,Q83)</f>
        <v>0.25957947490386341</v>
      </c>
      <c r="X84" s="247">
        <f>AVERAGE(F83,L83,R83)</f>
        <v>0.26088598221521536</v>
      </c>
      <c r="Y84" s="235"/>
      <c r="Z84" s="245"/>
      <c r="AA84" s="246">
        <f>AVERAGE(I83,O83,U83)</f>
        <v>0.24751173862700285</v>
      </c>
      <c r="AB84" s="245">
        <f>AVERAGE(J83,P83,V83)</f>
        <v>0.23703230110807003</v>
      </c>
      <c r="AC84" s="245">
        <f>AVERAGE(K83,Q83,W83)</f>
        <v>0.25942311993843686</v>
      </c>
      <c r="AD84" s="247">
        <f>AVERAGE(L83,R83,X83)</f>
        <v>0.25603284032649037</v>
      </c>
      <c r="AE84" s="235"/>
      <c r="AF84" s="245"/>
      <c r="AG84" s="246">
        <f>AVERAGE(O83,U83,AA83)</f>
        <v>0.24696089923455858</v>
      </c>
      <c r="AH84" s="245">
        <f>AVERAGE(P83,V83,AB83)</f>
        <v>0.23806101760764956</v>
      </c>
      <c r="AI84" s="245">
        <f>AVERAGE(Q83,W83,AC83)</f>
        <v>0.26044773341053157</v>
      </c>
      <c r="AJ84" s="247">
        <f>AVERAGE(R83,X83,AD83)</f>
        <v>0.25453034974726035</v>
      </c>
      <c r="AK84" s="235"/>
      <c r="AL84" s="245"/>
      <c r="AM84" s="246">
        <f>AVERAGE(U83,AA83,AG83)</f>
        <v>0.23389597000178738</v>
      </c>
      <c r="AN84" s="245">
        <f>AVERAGE(V83,AB83,AH83)</f>
        <v>0.24618506439777796</v>
      </c>
      <c r="AO84" s="245">
        <f>AVERAGE(W83,AC83,AI83)</f>
        <v>0.26792408545220009</v>
      </c>
      <c r="AP84" s="247">
        <f>AVERAGE(X83,AD83,AJ83)</f>
        <v>0.25199488014823462</v>
      </c>
      <c r="AQ84" s="235"/>
      <c r="AR84" s="245"/>
      <c r="AS84" s="246">
        <f>AVERAGE(AA83,AG83,AM83)</f>
        <v>0.22888650726080806</v>
      </c>
      <c r="AT84" s="245">
        <f>AVERAGE(AB83,AH83,AN83)</f>
        <v>0.24260732141636798</v>
      </c>
      <c r="AU84" s="245">
        <f>AVERAGE(AC83,AI83,AO83)</f>
        <v>0.27141414249002793</v>
      </c>
      <c r="AV84" s="247">
        <f>AVERAGE(AD83,AJ83,AP83)</f>
        <v>0.25709202883279597</v>
      </c>
      <c r="AW84" s="235"/>
      <c r="AX84" s="245"/>
      <c r="AY84" s="246">
        <f>AVERAGE(AG83,AM83,AS83)</f>
        <v>0.22631883435077682</v>
      </c>
      <c r="AZ84" s="245">
        <f>AVERAGE(AH83,AN83,AT83)</f>
        <v>0.24083677752469471</v>
      </c>
      <c r="BA84" s="245">
        <f>AVERAGE(AI83,AO83,AU83)</f>
        <v>0.27170664677326178</v>
      </c>
      <c r="BB84" s="247">
        <f>AVERAGE(AJ83,AP83,AV83)</f>
        <v>0.26113774135126661</v>
      </c>
      <c r="BC84" s="235"/>
      <c r="BD84" s="245"/>
      <c r="BE84" s="246">
        <f>AVERAGE(AM83,AS83,AY83)</f>
        <v>0.21676062466003795</v>
      </c>
      <c r="BF84" s="245">
        <f>AVERAGE(AN83,AT83,AZ83)</f>
        <v>0.2245500972485239</v>
      </c>
      <c r="BG84" s="245">
        <f>AVERAGE(AO83,AU83,BA83)</f>
        <v>0.28207105938640037</v>
      </c>
      <c r="BH84" s="247">
        <f>AVERAGE(AP83,AV83,BB83)</f>
        <v>0.27661821870503783</v>
      </c>
      <c r="BI84" s="235"/>
      <c r="BJ84" s="245"/>
      <c r="BK84" s="246">
        <f>AVERAGE(AS83,AY83,BE83)</f>
        <v>0.21399539895724981</v>
      </c>
      <c r="BL84" s="245">
        <f>AVERAGE(AT83,AZ83,BF83)</f>
        <v>0.23070066215899146</v>
      </c>
      <c r="BM84" s="245">
        <f>AVERAGE(AU83,BA83,BG83)</f>
        <v>0.28618809136583834</v>
      </c>
      <c r="BN84" s="247">
        <f>AVERAGE(AV83,BB83,BH83)</f>
        <v>0.26911584751792039</v>
      </c>
      <c r="BO84" s="235"/>
      <c r="BP84" s="245"/>
      <c r="BQ84" s="246">
        <f>AVERAGE(AY83,BE83,BK83)</f>
        <v>0.22272201207912001</v>
      </c>
      <c r="BR84" s="245">
        <f>AVERAGE(AZ83,BF83,BL83)</f>
        <v>0.22830239801580166</v>
      </c>
      <c r="BS84" s="245">
        <f>AVERAGE(BA83,BG83,BM83)</f>
        <v>0.28486009754202596</v>
      </c>
      <c r="BT84" s="247">
        <f>AVERAGE(BB83,BH83,BN83)</f>
        <v>0.26411549236305237</v>
      </c>
      <c r="BU84" s="235"/>
      <c r="BV84" s="245"/>
      <c r="BW84" s="246">
        <f>AVERAGE(BE83,BK83,BQ83)</f>
        <v>0.22042053499017192</v>
      </c>
      <c r="BX84" s="245">
        <f>AVERAGE(BF83,BL83,BR83)</f>
        <v>0.24967926204427818</v>
      </c>
      <c r="BY84" s="245">
        <f>AVERAGE(BG83,BM83,BS83)</f>
        <v>0.274221768636493</v>
      </c>
      <c r="BZ84" s="247">
        <f>AVERAGE(BH83,BN83,BT83)</f>
        <v>0.25567843432905685</v>
      </c>
      <c r="CA84" s="235"/>
      <c r="CB84" s="245"/>
      <c r="CC84" s="246">
        <f>AVERAGE(BK83,BQ83,BW83)</f>
        <v>0.22240025048139414</v>
      </c>
      <c r="CD84" s="245">
        <f>AVERAGE(BL83,BR83,BX83)</f>
        <v>0.2471781371506663</v>
      </c>
      <c r="CE84" s="245">
        <f>AVERAGE(BM83,BS83,BY83)</f>
        <v>0.26781068018551718</v>
      </c>
      <c r="CF84" s="247">
        <f>AVERAGE(BN83,BT83,BZ83)</f>
        <v>0.26261093218242226</v>
      </c>
      <c r="CG84" s="235"/>
      <c r="CH84" s="245"/>
      <c r="CI84" s="246">
        <f>AVERAGE(BQ83,BW83,CC83)</f>
        <v>0.21861979702553191</v>
      </c>
      <c r="CJ84" s="245">
        <f>AVERAGE(BR83,BX83,CD83)</f>
        <v>0.25062511800017323</v>
      </c>
      <c r="CK84" s="245">
        <f>AVERAGE(BS83,BY83,CE83)</f>
        <v>0.26510540661162463</v>
      </c>
      <c r="CL84" s="247">
        <f>AVERAGE(BT83,BZ83,CF83)</f>
        <v>0.26564967836267023</v>
      </c>
      <c r="CM84" s="235"/>
    </row>
    <row r="85" spans="1:100" hidden="1" outlineLevel="1" x14ac:dyDescent="0.2">
      <c r="A85" s="189" t="s">
        <v>70</v>
      </c>
      <c r="B85" s="245"/>
      <c r="C85" s="246">
        <v>0.25111889686777672</v>
      </c>
      <c r="D85" s="245">
        <v>0.24082798308736827</v>
      </c>
      <c r="E85" s="245">
        <v>0.25403872148447948</v>
      </c>
      <c r="F85" s="247">
        <v>0.25644393949838978</v>
      </c>
      <c r="G85" s="235"/>
      <c r="H85" s="245"/>
      <c r="I85" s="246">
        <f>I34/M34</f>
        <v>0.24014460659372525</v>
      </c>
      <c r="J85" s="245">
        <f>J34/M34</f>
        <v>0.24466269371360577</v>
      </c>
      <c r="K85" s="245">
        <f>K34/M34</f>
        <v>0.26518681508992198</v>
      </c>
      <c r="L85" s="247">
        <f>L34/M34</f>
        <v>0.25205330117477087</v>
      </c>
      <c r="M85" s="235"/>
      <c r="N85" s="245"/>
      <c r="O85" s="246">
        <f>O34/S34</f>
        <v>0.2525384286086596</v>
      </c>
      <c r="P85" s="245">
        <f>P34/S34</f>
        <v>0.21397682392312972</v>
      </c>
      <c r="Q85" s="245">
        <f>Q34/S34</f>
        <v>0.28176193009251771</v>
      </c>
      <c r="R85" s="247">
        <f>R34/S34</f>
        <v>0.25401291885644722</v>
      </c>
      <c r="S85" s="235"/>
      <c r="T85" s="245"/>
      <c r="U85" s="246">
        <f>U34/Y34</f>
        <v>0.25549777004730168</v>
      </c>
      <c r="V85" s="245">
        <f>V34/Y34</f>
        <v>0.24157444113314308</v>
      </c>
      <c r="W85" s="245">
        <f>W34/Y34</f>
        <v>0.25197030186200425</v>
      </c>
      <c r="X85" s="247">
        <f>X34/Y34</f>
        <v>0.25314972035898581</v>
      </c>
      <c r="Y85" s="235"/>
      <c r="Z85" s="245"/>
      <c r="AA85" s="246">
        <f>AA34/AE34</f>
        <v>0.23962896298658981</v>
      </c>
      <c r="AB85" s="245">
        <f>AB34/AE34</f>
        <v>0.24539096755794873</v>
      </c>
      <c r="AC85" s="245">
        <f>AC34/AE34</f>
        <v>0.2689659440516155</v>
      </c>
      <c r="AD85" s="247">
        <f>AD34/AE34</f>
        <v>0.24644386504422683</v>
      </c>
      <c r="AE85" s="235"/>
      <c r="AF85" s="245"/>
      <c r="AG85" s="246">
        <f>AG34/AK34</f>
        <v>0.21241860762084205</v>
      </c>
      <c r="AH85" s="245">
        <f>AH34/AK34</f>
        <v>0.24391179462686013</v>
      </c>
      <c r="AI85" s="245">
        <f>AI34/AK34</f>
        <v>0.28230540333194248</v>
      </c>
      <c r="AJ85" s="247">
        <f>AJ34/AK34</f>
        <v>0.26395154219756084</v>
      </c>
      <c r="AK85" s="235"/>
      <c r="AL85" s="245"/>
      <c r="AM85" s="246">
        <f>AM34/AQ34</f>
        <v>0.23255156147017203</v>
      </c>
      <c r="AN85" s="245">
        <f>AN34/AQ34</f>
        <v>0.24025950027967033</v>
      </c>
      <c r="AO85" s="245">
        <f>AO34/AQ34</f>
        <v>0.2641730928881062</v>
      </c>
      <c r="AP85" s="247">
        <f>AP34/AQ34</f>
        <v>0.26306831800074243</v>
      </c>
      <c r="AQ85" s="235"/>
      <c r="AR85" s="245"/>
      <c r="AS85" s="246">
        <f>AS34/AW34</f>
        <v>0.22011433233454061</v>
      </c>
      <c r="AT85" s="245">
        <f>AT34/AW34</f>
        <v>0.24502520452582971</v>
      </c>
      <c r="AU85" s="245">
        <f>AU34/AW34</f>
        <v>0.26888812671164941</v>
      </c>
      <c r="AV85" s="247">
        <f>AV34/AW34</f>
        <v>0.26845315395998504</v>
      </c>
      <c r="AW85" s="235"/>
      <c r="AX85" s="245"/>
      <c r="AY85" s="246">
        <f>AY34/BC34</f>
        <v>0.2143268984208585</v>
      </c>
      <c r="AZ85" s="245">
        <f>AZ34/BC34</f>
        <v>0.22526179944279376</v>
      </c>
      <c r="BA85" s="245">
        <f>BA34/BC34</f>
        <v>0.28689468603138285</v>
      </c>
      <c r="BB85" s="247">
        <f>BB34/BC34</f>
        <v>0.27152140257236235</v>
      </c>
      <c r="BC85" s="235"/>
      <c r="BD85" s="245"/>
      <c r="BE85" s="246">
        <f>BE34/BI34</f>
        <v>0.22805901769895154</v>
      </c>
      <c r="BF85" s="245">
        <f>BF34/BI34</f>
        <v>0.25327721375715645</v>
      </c>
      <c r="BG85" s="245">
        <f>BG34/BI34</f>
        <v>0.27241617853005368</v>
      </c>
      <c r="BH85" s="247">
        <f>BH34/BI34</f>
        <v>0.24616096089245842</v>
      </c>
      <c r="BI85" s="235"/>
      <c r="BJ85" s="245"/>
      <c r="BK85" s="246">
        <f>BK34/BO34</f>
        <v>0.24539997983795178</v>
      </c>
      <c r="BL85" s="245">
        <f>BL34/BO34</f>
        <v>0.24235448066414408</v>
      </c>
      <c r="BM85" s="245">
        <f>BM34/BO34</f>
        <v>0.25939056410067945</v>
      </c>
      <c r="BN85" s="247">
        <f>BN34/BO34</f>
        <v>0.25282864204666816</v>
      </c>
      <c r="BO85" s="235"/>
      <c r="BP85" s="245"/>
      <c r="BQ85" s="246">
        <f>BQ34/BU34</f>
        <v>0.22594780246574692</v>
      </c>
      <c r="BR85" s="245">
        <f>BR34/BU34</f>
        <v>0.23832608508610828</v>
      </c>
      <c r="BS85" s="245">
        <f>BS34/BU34</f>
        <v>0.26694077505148839</v>
      </c>
      <c r="BT85" s="247">
        <f>BT34/BU34</f>
        <v>0.26386282648359066</v>
      </c>
      <c r="BU85" s="235"/>
      <c r="BV85" s="245"/>
      <c r="BW85" s="246">
        <f>BW34/CA34</f>
        <v>0.23800547389754881</v>
      </c>
      <c r="BX85" s="245">
        <f>BX34/CA34</f>
        <v>0.24806567595975004</v>
      </c>
      <c r="BY85" s="245">
        <f>BY34/CA34</f>
        <v>0.25874976985052589</v>
      </c>
      <c r="BZ85" s="247">
        <f>BZ34/CA34</f>
        <v>0.255122163640989</v>
      </c>
      <c r="CA85" s="235"/>
      <c r="CB85" s="245"/>
      <c r="CC85" s="246">
        <f>CC34/CG34</f>
        <v>0.23695449880093217</v>
      </c>
      <c r="CD85" s="245">
        <f>CD34/CG34</f>
        <v>0.24577257579780043</v>
      </c>
      <c r="CE85" s="245">
        <f>CE34/CG34</f>
        <v>0.25668764518254089</v>
      </c>
      <c r="CF85" s="247">
        <f>CF34/CG34</f>
        <v>0.26052628929162752</v>
      </c>
      <c r="CG85" s="235"/>
      <c r="CH85" s="245"/>
      <c r="CI85" s="246">
        <f>CI34/CM34</f>
        <v>0.23766295284542208</v>
      </c>
      <c r="CJ85" s="245">
        <f>CJ34/CM34</f>
        <v>0.23935057609325566</v>
      </c>
      <c r="CK85" s="245">
        <f>CK34/CM34</f>
        <v>0.25961769663215228</v>
      </c>
      <c r="CL85" s="247">
        <f>CL34/CM34</f>
        <v>0.2632633988492547</v>
      </c>
      <c r="CM85" s="235"/>
    </row>
    <row r="86" spans="1:100" hidden="1" outlineLevel="1" x14ac:dyDescent="0.2">
      <c r="A86" s="122" t="s">
        <v>78</v>
      </c>
      <c r="B86" s="248"/>
      <c r="C86" s="249"/>
      <c r="D86" s="248"/>
      <c r="E86" s="248"/>
      <c r="F86" s="250"/>
      <c r="G86" s="251"/>
      <c r="H86" s="248"/>
      <c r="I86" s="249"/>
      <c r="J86" s="248"/>
      <c r="K86" s="248"/>
      <c r="L86" s="250"/>
      <c r="M86" s="251"/>
      <c r="N86" s="248"/>
      <c r="O86" s="249">
        <v>0.25028196352864945</v>
      </c>
      <c r="P86" s="248">
        <v>0.24265929836254507</v>
      </c>
      <c r="Q86" s="248">
        <v>0.25496844082435349</v>
      </c>
      <c r="R86" s="250">
        <v>0.25376422999307974</v>
      </c>
      <c r="S86" s="251"/>
      <c r="T86" s="248"/>
      <c r="U86" s="249">
        <f>AVERAGE(C85,I85,O85)</f>
        <v>0.24793397735672051</v>
      </c>
      <c r="V86" s="248">
        <f>AVERAGE(D85,J85,P85)</f>
        <v>0.23315583357470127</v>
      </c>
      <c r="W86" s="248">
        <f>AVERAGE(E85,K85,Q85)</f>
        <v>0.26699582222230639</v>
      </c>
      <c r="X86" s="250">
        <f>AVERAGE(F85,L85,R85)</f>
        <v>0.25417005317653601</v>
      </c>
      <c r="Y86" s="251"/>
      <c r="Z86" s="248"/>
      <c r="AA86" s="249">
        <f>AVERAGE(I85,O85,U85)</f>
        <v>0.24939360174989553</v>
      </c>
      <c r="AB86" s="248">
        <f>AVERAGE(J85,P85,V85)</f>
        <v>0.23340465292329285</v>
      </c>
      <c r="AC86" s="248">
        <f>AVERAGE(K85,Q85,W85)</f>
        <v>0.2663063490148147</v>
      </c>
      <c r="AD86" s="250">
        <f>AVERAGE(L85,R85,X85)</f>
        <v>0.25307198013006799</v>
      </c>
      <c r="AE86" s="251"/>
      <c r="AF86" s="248"/>
      <c r="AG86" s="249">
        <f>AVERAGE(O85,U85,AA85)</f>
        <v>0.24922172054751704</v>
      </c>
      <c r="AH86" s="248">
        <f>AVERAGE(P85,V85,AB85)</f>
        <v>0.23364741087140717</v>
      </c>
      <c r="AI86" s="248">
        <f>AVERAGE(Q85,W85,AC85)</f>
        <v>0.26756605866871247</v>
      </c>
      <c r="AJ86" s="250">
        <f>AVERAGE(R85,X85,AD85)</f>
        <v>0.25120216808655327</v>
      </c>
      <c r="AK86" s="251"/>
      <c r="AL86" s="248"/>
      <c r="AM86" s="249">
        <f>AVERAGE(U85,AA85,AG85)</f>
        <v>0.23584844688491116</v>
      </c>
      <c r="AN86" s="248">
        <f>AVERAGE(V85,AB85,AH85)</f>
        <v>0.24362573443931734</v>
      </c>
      <c r="AO86" s="248">
        <f>AVERAGE(W85,AC85,AI85)</f>
        <v>0.26774721641518745</v>
      </c>
      <c r="AP86" s="250">
        <f>AVERAGE(X85,AD85,AJ85)</f>
        <v>0.25451504253359114</v>
      </c>
      <c r="AQ86" s="251"/>
      <c r="AR86" s="248"/>
      <c r="AS86" s="249">
        <f>AVERAGE(AA85,AG85,AM85)</f>
        <v>0.22819971069253464</v>
      </c>
      <c r="AT86" s="248">
        <f>AVERAGE(AB85,AH85,AN85)</f>
        <v>0.24318742082149306</v>
      </c>
      <c r="AU86" s="248">
        <f>AVERAGE(AC85,AI85,AO85)</f>
        <v>0.27181481342388808</v>
      </c>
      <c r="AV86" s="250">
        <f>AVERAGE(AD85,AJ85,AP85)</f>
        <v>0.25782124174751003</v>
      </c>
      <c r="AW86" s="251"/>
      <c r="AX86" s="248"/>
      <c r="AY86" s="249">
        <f>AVERAGE(AG85,AM85,AS85)</f>
        <v>0.2216948338085182</v>
      </c>
      <c r="AZ86" s="248">
        <f>AVERAGE(AH85,AN85,AT85)</f>
        <v>0.24306549981078671</v>
      </c>
      <c r="BA86" s="248">
        <f>AVERAGE(AI85,AO85,AU85)</f>
        <v>0.27178887431056603</v>
      </c>
      <c r="BB86" s="250">
        <f>AVERAGE(AJ85,AP85,AV85)</f>
        <v>0.26515767138609608</v>
      </c>
      <c r="BC86" s="251"/>
      <c r="BD86" s="248"/>
      <c r="BE86" s="249">
        <f>AVERAGE(AM85,AS85,AY85)</f>
        <v>0.22233093074185706</v>
      </c>
      <c r="BF86" s="248">
        <f>AVERAGE(AN85,AT85,AZ85)</f>
        <v>0.23684883474943128</v>
      </c>
      <c r="BG86" s="248">
        <f>AVERAGE(AO85,AU85,BA85)</f>
        <v>0.27331863521037952</v>
      </c>
      <c r="BH86" s="250">
        <f>AVERAGE(AP85,AV85,BB85)</f>
        <v>0.2676809581776966</v>
      </c>
      <c r="BI86" s="251"/>
      <c r="BJ86" s="248"/>
      <c r="BK86" s="249">
        <f>AVERAGE(AS85,AY85,BE85)</f>
        <v>0.22083341615145022</v>
      </c>
      <c r="BL86" s="248">
        <f>AVERAGE(AT85,AZ85,BF85)</f>
        <v>0.24118807257525998</v>
      </c>
      <c r="BM86" s="248">
        <f>AVERAGE(AU85,BA85,BG85)</f>
        <v>0.27606633042436196</v>
      </c>
      <c r="BN86" s="250">
        <f>AVERAGE(AV85,BB85,BH85)</f>
        <v>0.26204517247493525</v>
      </c>
      <c r="BO86" s="251"/>
      <c r="BP86" s="248"/>
      <c r="BQ86" s="249">
        <f>AVERAGE(AY85,BE85,BK85)</f>
        <v>0.22926196531925394</v>
      </c>
      <c r="BR86" s="248">
        <f>AVERAGE(AZ85,BF85,BL85)</f>
        <v>0.24029783128803142</v>
      </c>
      <c r="BS86" s="248">
        <f>AVERAGE(BA85,BG85,BM85)</f>
        <v>0.27290047622070529</v>
      </c>
      <c r="BT86" s="250">
        <f>AVERAGE(BB85,BH85,BN85)</f>
        <v>0.25683700183716301</v>
      </c>
      <c r="BU86" s="251"/>
      <c r="BV86" s="248"/>
      <c r="BW86" s="249">
        <f>AVERAGE(BE85,BK85,BQ85)</f>
        <v>0.23313560000088343</v>
      </c>
      <c r="BX86" s="248">
        <f>AVERAGE(BF85,BL85,BR85)</f>
        <v>0.24465259316913626</v>
      </c>
      <c r="BY86" s="248">
        <f>AVERAGE(BG85,BM85,BS85)</f>
        <v>0.26624917256074049</v>
      </c>
      <c r="BZ86" s="250">
        <f>AVERAGE(BH85,BN85,BT85)</f>
        <v>0.25428414314090575</v>
      </c>
      <c r="CA86" s="251"/>
      <c r="CB86" s="248"/>
      <c r="CC86" s="249">
        <f>AVERAGE(BK85,BQ85,BW85)</f>
        <v>0.23645108540041582</v>
      </c>
      <c r="CD86" s="248">
        <f>AVERAGE(BL85,BR85,BX85)</f>
        <v>0.24291541390333413</v>
      </c>
      <c r="CE86" s="248">
        <f>AVERAGE(BM85,BS85,BY85)</f>
        <v>0.26169370300089789</v>
      </c>
      <c r="CF86" s="250">
        <f>AVERAGE(BN85,BT85,BZ85)</f>
        <v>0.25727121072374931</v>
      </c>
      <c r="CG86" s="251"/>
      <c r="CH86" s="248"/>
      <c r="CI86" s="249">
        <f>AVERAGE(BQ85,BW85,CC85)</f>
        <v>0.23363592505474262</v>
      </c>
      <c r="CJ86" s="248">
        <f>AVERAGE(BR85,BX85,CD85)</f>
        <v>0.24405477894788627</v>
      </c>
      <c r="CK86" s="248">
        <f>AVERAGE(BS85,BY85,CE85)</f>
        <v>0.26079273002818509</v>
      </c>
      <c r="CL86" s="250">
        <f>AVERAGE(BT85,BZ85,CF85)</f>
        <v>0.25983709313873571</v>
      </c>
      <c r="CM86" s="251"/>
    </row>
    <row r="87" spans="1:100" s="11" customFormat="1" collapsed="1" x14ac:dyDescent="0.2">
      <c r="A87" s="225"/>
      <c r="B87" s="229"/>
      <c r="C87" s="229"/>
      <c r="D87" s="229"/>
      <c r="E87" s="229"/>
      <c r="F87" s="229"/>
      <c r="G87" s="229"/>
      <c r="H87" s="229"/>
      <c r="I87" s="229"/>
      <c r="J87" s="229"/>
      <c r="K87" s="229"/>
      <c r="L87" s="229"/>
      <c r="M87" s="229"/>
      <c r="N87" s="229"/>
      <c r="O87" s="229"/>
      <c r="P87" s="229"/>
      <c r="Q87" s="229"/>
      <c r="R87" s="243"/>
      <c r="S87" s="243"/>
      <c r="T87" s="229"/>
      <c r="U87" s="229"/>
      <c r="V87" s="229"/>
      <c r="W87" s="229"/>
      <c r="X87" s="229"/>
      <c r="Y87" s="229"/>
      <c r="Z87" s="229"/>
      <c r="AA87" s="229"/>
      <c r="AB87" s="229"/>
      <c r="AC87" s="229"/>
      <c r="AD87" s="229"/>
      <c r="AE87" s="229"/>
      <c r="AF87" s="229"/>
      <c r="AG87" s="229"/>
      <c r="AH87" s="243"/>
      <c r="AI87" s="243"/>
      <c r="AJ87" s="243"/>
      <c r="AK87" s="229"/>
      <c r="CQ87"/>
      <c r="CR87"/>
      <c r="CS87"/>
      <c r="CT87"/>
      <c r="CU87"/>
      <c r="CV87"/>
    </row>
    <row r="88" spans="1:100" x14ac:dyDescent="0.2">
      <c r="A88" s="176" t="s">
        <v>79</v>
      </c>
      <c r="B88" s="204"/>
      <c r="C88" s="205"/>
      <c r="D88" s="204"/>
      <c r="E88" s="204"/>
      <c r="F88" s="206"/>
      <c r="G88" s="252"/>
      <c r="H88" s="204"/>
      <c r="I88" s="205"/>
      <c r="J88" s="204"/>
      <c r="K88" s="204"/>
      <c r="L88" s="206"/>
      <c r="M88" s="207"/>
      <c r="N88" s="204"/>
      <c r="O88" s="205"/>
      <c r="P88" s="204"/>
      <c r="Q88" s="204"/>
      <c r="R88" s="206"/>
      <c r="S88" s="207"/>
      <c r="T88" s="204"/>
      <c r="U88" s="205"/>
      <c r="V88" s="204"/>
      <c r="W88" s="204"/>
      <c r="X88" s="206"/>
      <c r="Y88" s="207"/>
      <c r="Z88" s="204"/>
      <c r="AA88" s="205"/>
      <c r="AB88" s="204"/>
      <c r="AC88" s="204"/>
      <c r="AD88" s="206"/>
      <c r="AE88" s="207"/>
      <c r="AF88" s="204"/>
      <c r="AG88" s="205"/>
      <c r="AH88" s="204"/>
      <c r="AI88" s="204"/>
      <c r="AJ88" s="206"/>
      <c r="AK88" s="207"/>
      <c r="AL88" s="214"/>
      <c r="AM88" s="219"/>
      <c r="AN88" s="214"/>
      <c r="AO88" s="214"/>
      <c r="AP88" s="217"/>
      <c r="AQ88" s="218"/>
      <c r="AR88" s="214"/>
      <c r="AS88" s="219"/>
      <c r="AT88" s="214"/>
      <c r="AU88" s="214"/>
      <c r="AV88" s="217"/>
      <c r="AW88" s="218"/>
      <c r="AX88" s="214"/>
      <c r="AY88" s="219"/>
      <c r="AZ88" s="214"/>
      <c r="BA88" s="214"/>
      <c r="BB88" s="217"/>
      <c r="BC88" s="218"/>
      <c r="BD88" s="214"/>
      <c r="BE88" s="219"/>
      <c r="BF88" s="214"/>
      <c r="BG88" s="214"/>
      <c r="BH88" s="217"/>
      <c r="BI88" s="218"/>
      <c r="BJ88" s="214"/>
      <c r="BK88" s="219"/>
      <c r="BL88" s="214"/>
      <c r="BM88" s="214"/>
      <c r="BN88" s="217"/>
      <c r="BO88" s="218"/>
      <c r="BP88" s="214"/>
      <c r="BQ88" s="219"/>
      <c r="BR88" s="214"/>
      <c r="BS88" s="214"/>
      <c r="BT88" s="217"/>
      <c r="BU88" s="218"/>
      <c r="BV88" s="214"/>
      <c r="BW88" s="219"/>
      <c r="BX88" s="214"/>
      <c r="BY88" s="214"/>
      <c r="BZ88" s="217"/>
      <c r="CA88" s="218"/>
      <c r="CB88" s="214"/>
      <c r="CC88" s="219"/>
      <c r="CD88" s="214"/>
      <c r="CE88" s="214"/>
      <c r="CF88" s="217"/>
      <c r="CG88" s="218"/>
      <c r="CH88" s="214"/>
      <c r="CI88" s="219"/>
      <c r="CJ88" s="214"/>
      <c r="CK88" s="214"/>
      <c r="CL88" s="217"/>
      <c r="CM88" s="218"/>
    </row>
    <row r="89" spans="1:100" hidden="1" outlineLevel="1" x14ac:dyDescent="0.2">
      <c r="A89" s="189" t="s">
        <v>80</v>
      </c>
      <c r="B89" s="92"/>
      <c r="C89" s="104">
        <v>0</v>
      </c>
      <c r="D89" s="105">
        <v>0</v>
      </c>
      <c r="E89" s="105">
        <v>7.3940000000000001</v>
      </c>
      <c r="F89" s="106">
        <v>114.739</v>
      </c>
      <c r="G89" s="94">
        <f>SUM(E89:F89)</f>
        <v>122.13300000000001</v>
      </c>
      <c r="H89" s="92"/>
      <c r="I89" s="104">
        <v>0</v>
      </c>
      <c r="J89" s="105">
        <v>0</v>
      </c>
      <c r="K89" s="105">
        <v>0</v>
      </c>
      <c r="L89" s="106">
        <v>0</v>
      </c>
      <c r="M89" s="94">
        <f t="shared" ref="M89:M98" si="52">SUM(I89:L89)</f>
        <v>0</v>
      </c>
      <c r="N89" s="92"/>
      <c r="O89" s="104">
        <v>0</v>
      </c>
      <c r="P89" s="105">
        <v>0</v>
      </c>
      <c r="Q89" s="105">
        <v>0</v>
      </c>
      <c r="R89" s="106">
        <v>0</v>
      </c>
      <c r="S89" s="94">
        <f t="shared" ref="S89:S98" si="53">SUM(O89:R89)</f>
        <v>0</v>
      </c>
      <c r="T89" s="92"/>
      <c r="U89" s="104">
        <v>0</v>
      </c>
      <c r="V89" s="105">
        <v>0</v>
      </c>
      <c r="W89" s="105">
        <v>0</v>
      </c>
      <c r="X89" s="106">
        <v>0</v>
      </c>
      <c r="Y89" s="94">
        <f t="shared" ref="Y89:Y98" si="54">SUM(U89:X89)</f>
        <v>0</v>
      </c>
      <c r="Z89" s="92"/>
      <c r="AA89" s="104">
        <v>0</v>
      </c>
      <c r="AB89" s="105">
        <v>0</v>
      </c>
      <c r="AC89" s="105">
        <v>0</v>
      </c>
      <c r="AD89" s="106">
        <v>0</v>
      </c>
      <c r="AE89" s="93">
        <f t="shared" ref="AE89:AE98" si="55">SUM(AA89:AD89)</f>
        <v>0</v>
      </c>
      <c r="AF89" s="92"/>
      <c r="AG89" s="104">
        <v>0</v>
      </c>
      <c r="AH89" s="105">
        <v>0</v>
      </c>
      <c r="AI89" s="105">
        <v>0</v>
      </c>
      <c r="AJ89" s="106">
        <v>0</v>
      </c>
      <c r="AK89" s="93">
        <f t="shared" ref="AK89:AK98" si="56">SUM(AG89:AJ89)</f>
        <v>0</v>
      </c>
      <c r="AL89" s="92"/>
      <c r="AM89" s="104">
        <v>0</v>
      </c>
      <c r="AN89" s="105">
        <v>0</v>
      </c>
      <c r="AO89" s="105">
        <v>0</v>
      </c>
      <c r="AP89" s="106">
        <v>0</v>
      </c>
      <c r="AQ89" s="93">
        <f t="shared" ref="AQ89:AQ98" si="57">SUM(AM89:AP89)</f>
        <v>0</v>
      </c>
      <c r="AR89" s="92"/>
      <c r="AS89" s="104">
        <v>0</v>
      </c>
      <c r="AT89" s="105">
        <v>20</v>
      </c>
      <c r="AU89" s="105">
        <v>0</v>
      </c>
      <c r="AV89" s="106">
        <v>0</v>
      </c>
      <c r="AW89" s="93">
        <f t="shared" ref="AW89:AW98" si="58">SUM(AS89:AV89)</f>
        <v>20</v>
      </c>
      <c r="AX89" s="92"/>
      <c r="AY89" s="104">
        <v>0</v>
      </c>
      <c r="AZ89" s="105">
        <v>0</v>
      </c>
      <c r="BA89" s="105">
        <v>0</v>
      </c>
      <c r="BB89" s="97">
        <v>0</v>
      </c>
      <c r="BC89" s="93">
        <f t="shared" ref="BC89:BC98" si="59">SUM(AY89:BB89)</f>
        <v>0</v>
      </c>
      <c r="BD89" s="92"/>
      <c r="BE89" s="95">
        <v>0</v>
      </c>
      <c r="BF89" s="96">
        <v>0</v>
      </c>
      <c r="BG89" s="105">
        <v>0</v>
      </c>
      <c r="BH89" s="106">
        <v>0</v>
      </c>
      <c r="BI89" s="93">
        <f t="shared" ref="BI89:BI98" si="60">SUM(BE89:BH89)</f>
        <v>0</v>
      </c>
      <c r="BJ89" s="92"/>
      <c r="BK89" s="104">
        <v>0</v>
      </c>
      <c r="BL89" s="96">
        <v>0</v>
      </c>
      <c r="BM89" s="105">
        <v>0</v>
      </c>
      <c r="BN89" s="97">
        <v>0</v>
      </c>
      <c r="BO89" s="93">
        <f t="shared" ref="BO89:BO98" si="61">SUM(BK89:BN89)</f>
        <v>0</v>
      </c>
      <c r="BP89" s="92"/>
      <c r="BQ89" s="104">
        <v>0</v>
      </c>
      <c r="BR89" s="105">
        <v>0</v>
      </c>
      <c r="BS89" s="105">
        <v>0</v>
      </c>
      <c r="BT89" s="106">
        <v>0</v>
      </c>
      <c r="BU89" s="93">
        <f t="shared" ref="BU89:BU98" si="62">SUM(BQ89:BT89)</f>
        <v>0</v>
      </c>
      <c r="BV89" s="92"/>
      <c r="BW89" s="104">
        <v>0</v>
      </c>
      <c r="BX89" s="105">
        <v>0</v>
      </c>
      <c r="BY89" s="105">
        <v>0</v>
      </c>
      <c r="BZ89" s="106">
        <v>0</v>
      </c>
      <c r="CA89" s="93">
        <f t="shared" ref="CA89:CA98" si="63">SUM(BW89:BZ89)</f>
        <v>0</v>
      </c>
      <c r="CB89" s="92"/>
      <c r="CC89" s="104">
        <v>0</v>
      </c>
      <c r="CD89" s="105">
        <v>0</v>
      </c>
      <c r="CE89" s="105">
        <v>0</v>
      </c>
      <c r="CF89" s="106">
        <v>0</v>
      </c>
      <c r="CG89" s="93">
        <f t="shared" ref="CG89:CG98" si="64">SUM(CC89:CF89)</f>
        <v>0</v>
      </c>
      <c r="CH89" s="92"/>
      <c r="CI89" s="104">
        <v>0</v>
      </c>
      <c r="CJ89" s="105">
        <v>0</v>
      </c>
      <c r="CK89" s="105">
        <v>0</v>
      </c>
      <c r="CL89" s="106">
        <v>0</v>
      </c>
      <c r="CM89" s="93">
        <f t="shared" ref="CM89:CM98" si="65">SUM(CI89:CL89)</f>
        <v>0</v>
      </c>
      <c r="CN89" s="110"/>
      <c r="CO89" s="110"/>
      <c r="CP89" s="110"/>
    </row>
    <row r="90" spans="1:100" hidden="1" outlineLevel="1" x14ac:dyDescent="0.2">
      <c r="A90" s="189" t="s">
        <v>81</v>
      </c>
      <c r="B90" s="92"/>
      <c r="C90" s="104">
        <v>0</v>
      </c>
      <c r="D90" s="105">
        <v>0</v>
      </c>
      <c r="E90" s="105">
        <v>0</v>
      </c>
      <c r="F90" s="106">
        <v>0</v>
      </c>
      <c r="G90" s="161">
        <v>0</v>
      </c>
      <c r="H90" s="92"/>
      <c r="I90" s="104">
        <v>0</v>
      </c>
      <c r="J90" s="105">
        <v>0</v>
      </c>
      <c r="K90" s="105">
        <v>0</v>
      </c>
      <c r="L90" s="106">
        <v>0</v>
      </c>
      <c r="M90" s="94">
        <f t="shared" si="52"/>
        <v>0</v>
      </c>
      <c r="N90" s="92"/>
      <c r="O90" s="104">
        <v>0</v>
      </c>
      <c r="P90" s="105">
        <v>0</v>
      </c>
      <c r="Q90" s="105">
        <v>0</v>
      </c>
      <c r="R90" s="106">
        <v>0</v>
      </c>
      <c r="S90" s="94">
        <f t="shared" si="53"/>
        <v>0</v>
      </c>
      <c r="T90" s="92"/>
      <c r="U90" s="104">
        <v>0</v>
      </c>
      <c r="V90" s="105">
        <v>0</v>
      </c>
      <c r="W90" s="105">
        <v>0</v>
      </c>
      <c r="X90" s="106">
        <v>0</v>
      </c>
      <c r="Y90" s="94">
        <f t="shared" si="54"/>
        <v>0</v>
      </c>
      <c r="Z90" s="92"/>
      <c r="AA90" s="104">
        <v>0</v>
      </c>
      <c r="AB90" s="105">
        <v>0</v>
      </c>
      <c r="AC90" s="105">
        <v>0</v>
      </c>
      <c r="AD90" s="106">
        <v>0</v>
      </c>
      <c r="AE90" s="93">
        <f t="shared" si="55"/>
        <v>0</v>
      </c>
      <c r="AF90" s="92"/>
      <c r="AG90" s="104">
        <v>0</v>
      </c>
      <c r="AH90" s="105">
        <v>0</v>
      </c>
      <c r="AI90" s="105">
        <v>0</v>
      </c>
      <c r="AJ90" s="106">
        <v>0</v>
      </c>
      <c r="AK90" s="93">
        <f t="shared" si="56"/>
        <v>0</v>
      </c>
      <c r="AL90" s="92"/>
      <c r="AM90" s="104">
        <v>0</v>
      </c>
      <c r="AN90" s="105">
        <v>0</v>
      </c>
      <c r="AO90" s="105">
        <v>0</v>
      </c>
      <c r="AP90" s="106">
        <v>0</v>
      </c>
      <c r="AQ90" s="93">
        <f t="shared" si="57"/>
        <v>0</v>
      </c>
      <c r="AR90" s="92"/>
      <c r="AS90" s="104">
        <v>0</v>
      </c>
      <c r="AT90" s="105">
        <v>-8</v>
      </c>
      <c r="AU90" s="105">
        <v>0</v>
      </c>
      <c r="AV90" s="106">
        <v>0</v>
      </c>
      <c r="AW90" s="93">
        <f t="shared" si="58"/>
        <v>-8</v>
      </c>
      <c r="AX90" s="92"/>
      <c r="AY90" s="104">
        <v>0</v>
      </c>
      <c r="AZ90" s="105">
        <v>0</v>
      </c>
      <c r="BA90" s="105">
        <v>0</v>
      </c>
      <c r="BB90" s="97">
        <v>0</v>
      </c>
      <c r="BC90" s="93">
        <f t="shared" si="59"/>
        <v>0</v>
      </c>
      <c r="BD90" s="92"/>
      <c r="BE90" s="95">
        <v>0</v>
      </c>
      <c r="BF90" s="96">
        <v>0</v>
      </c>
      <c r="BG90" s="105">
        <v>0</v>
      </c>
      <c r="BH90" s="106">
        <v>0</v>
      </c>
      <c r="BI90" s="93">
        <f t="shared" si="60"/>
        <v>0</v>
      </c>
      <c r="BJ90" s="92"/>
      <c r="BK90" s="104">
        <v>0</v>
      </c>
      <c r="BL90" s="96">
        <v>0</v>
      </c>
      <c r="BM90" s="105">
        <v>0</v>
      </c>
      <c r="BN90" s="97">
        <v>0</v>
      </c>
      <c r="BO90" s="93">
        <f t="shared" si="61"/>
        <v>0</v>
      </c>
      <c r="BP90" s="92"/>
      <c r="BQ90" s="104">
        <v>0</v>
      </c>
      <c r="BR90" s="105">
        <v>0</v>
      </c>
      <c r="BS90" s="105">
        <v>0</v>
      </c>
      <c r="BT90" s="106">
        <v>0</v>
      </c>
      <c r="BU90" s="93">
        <f t="shared" si="62"/>
        <v>0</v>
      </c>
      <c r="BV90" s="92"/>
      <c r="BW90" s="104">
        <v>0</v>
      </c>
      <c r="BX90" s="105">
        <v>0</v>
      </c>
      <c r="BY90" s="105">
        <v>0</v>
      </c>
      <c r="BZ90" s="106">
        <v>0</v>
      </c>
      <c r="CA90" s="93">
        <f t="shared" si="63"/>
        <v>0</v>
      </c>
      <c r="CB90" s="92"/>
      <c r="CC90" s="104">
        <v>0</v>
      </c>
      <c r="CD90" s="105">
        <v>0</v>
      </c>
      <c r="CE90" s="105">
        <v>0</v>
      </c>
      <c r="CF90" s="106">
        <v>0</v>
      </c>
      <c r="CG90" s="93">
        <f t="shared" si="64"/>
        <v>0</v>
      </c>
      <c r="CH90" s="92"/>
      <c r="CI90" s="104">
        <v>0</v>
      </c>
      <c r="CJ90" s="105">
        <v>0</v>
      </c>
      <c r="CK90" s="105">
        <v>0</v>
      </c>
      <c r="CL90" s="106">
        <v>0</v>
      </c>
      <c r="CM90" s="93">
        <f t="shared" si="65"/>
        <v>0</v>
      </c>
      <c r="CN90" s="110"/>
      <c r="CO90" s="110"/>
      <c r="CP90" s="110"/>
    </row>
    <row r="91" spans="1:100" hidden="1" outlineLevel="1" x14ac:dyDescent="0.2">
      <c r="A91" s="189" t="s">
        <v>82</v>
      </c>
      <c r="B91" s="92"/>
      <c r="C91" s="104">
        <v>0</v>
      </c>
      <c r="D91" s="105">
        <v>0</v>
      </c>
      <c r="E91" s="105">
        <v>0</v>
      </c>
      <c r="F91" s="106">
        <v>0</v>
      </c>
      <c r="G91" s="161">
        <v>0</v>
      </c>
      <c r="H91" s="92"/>
      <c r="I91" s="104">
        <v>0</v>
      </c>
      <c r="J91" s="105">
        <v>0</v>
      </c>
      <c r="K91" s="105">
        <v>0</v>
      </c>
      <c r="L91" s="106">
        <v>0</v>
      </c>
      <c r="M91" s="94">
        <f t="shared" si="52"/>
        <v>0</v>
      </c>
      <c r="N91" s="92"/>
      <c r="O91" s="104">
        <v>0</v>
      </c>
      <c r="P91" s="105">
        <v>0</v>
      </c>
      <c r="Q91" s="105">
        <v>0</v>
      </c>
      <c r="R91" s="106">
        <v>0</v>
      </c>
      <c r="S91" s="94">
        <f t="shared" si="53"/>
        <v>0</v>
      </c>
      <c r="T91" s="92"/>
      <c r="U91" s="104">
        <v>0</v>
      </c>
      <c r="V91" s="105">
        <v>0</v>
      </c>
      <c r="W91" s="105">
        <v>0</v>
      </c>
      <c r="X91" s="106">
        <v>0</v>
      </c>
      <c r="Y91" s="94">
        <f t="shared" si="54"/>
        <v>0</v>
      </c>
      <c r="Z91" s="92"/>
      <c r="AA91" s="104">
        <v>0</v>
      </c>
      <c r="AB91" s="105">
        <v>0</v>
      </c>
      <c r="AC91" s="105">
        <v>0</v>
      </c>
      <c r="AD91" s="106">
        <v>0</v>
      </c>
      <c r="AE91" s="93">
        <f t="shared" si="55"/>
        <v>0</v>
      </c>
      <c r="AF91" s="92"/>
      <c r="AG91" s="104">
        <v>0</v>
      </c>
      <c r="AH91" s="105">
        <v>0</v>
      </c>
      <c r="AI91" s="105">
        <v>0</v>
      </c>
      <c r="AJ91" s="106">
        <v>0</v>
      </c>
      <c r="AK91" s="93">
        <f t="shared" si="56"/>
        <v>0</v>
      </c>
      <c r="AL91" s="92"/>
      <c r="AM91" s="104">
        <v>0</v>
      </c>
      <c r="AN91" s="105">
        <v>0</v>
      </c>
      <c r="AO91" s="105">
        <v>0</v>
      </c>
      <c r="AP91" s="106">
        <v>0</v>
      </c>
      <c r="AQ91" s="93">
        <f t="shared" si="57"/>
        <v>0</v>
      </c>
      <c r="AR91" s="92"/>
      <c r="AS91" s="104">
        <v>0</v>
      </c>
      <c r="AT91" s="105">
        <v>0</v>
      </c>
      <c r="AU91" s="105">
        <v>0</v>
      </c>
      <c r="AV91" s="106">
        <v>0</v>
      </c>
      <c r="AW91" s="93">
        <f t="shared" si="58"/>
        <v>0</v>
      </c>
      <c r="AX91" s="92"/>
      <c r="AY91" s="104">
        <v>0</v>
      </c>
      <c r="AZ91" s="105">
        <v>0</v>
      </c>
      <c r="BA91" s="105">
        <v>0</v>
      </c>
      <c r="BB91" s="97">
        <v>0</v>
      </c>
      <c r="BC91" s="93">
        <f t="shared" si="59"/>
        <v>0</v>
      </c>
      <c r="BD91" s="92"/>
      <c r="BE91" s="95">
        <v>0</v>
      </c>
      <c r="BF91" s="96">
        <v>0</v>
      </c>
      <c r="BG91" s="105">
        <v>0</v>
      </c>
      <c r="BH91" s="106">
        <v>0</v>
      </c>
      <c r="BI91" s="93">
        <f t="shared" si="60"/>
        <v>0</v>
      </c>
      <c r="BJ91" s="92"/>
      <c r="BK91" s="104">
        <v>0</v>
      </c>
      <c r="BL91" s="96">
        <v>0</v>
      </c>
      <c r="BM91" s="105">
        <v>0</v>
      </c>
      <c r="BN91" s="97">
        <v>0</v>
      </c>
      <c r="BO91" s="93">
        <f t="shared" si="61"/>
        <v>0</v>
      </c>
      <c r="BP91" s="92"/>
      <c r="BQ91" s="104">
        <v>0</v>
      </c>
      <c r="BR91" s="105">
        <v>0</v>
      </c>
      <c r="BS91" s="105">
        <v>0</v>
      </c>
      <c r="BT91" s="106">
        <v>0</v>
      </c>
      <c r="BU91" s="93">
        <f t="shared" si="62"/>
        <v>0</v>
      </c>
      <c r="BV91" s="92"/>
      <c r="BW91" s="104">
        <v>0</v>
      </c>
      <c r="BX91" s="105">
        <v>0</v>
      </c>
      <c r="BY91" s="105">
        <v>0</v>
      </c>
      <c r="BZ91" s="106">
        <v>0</v>
      </c>
      <c r="CA91" s="93">
        <f t="shared" si="63"/>
        <v>0</v>
      </c>
      <c r="CB91" s="92"/>
      <c r="CC91" s="104">
        <v>0</v>
      </c>
      <c r="CD91" s="105">
        <v>0</v>
      </c>
      <c r="CE91" s="105">
        <v>0</v>
      </c>
      <c r="CF91" s="106">
        <v>0</v>
      </c>
      <c r="CG91" s="93">
        <f t="shared" si="64"/>
        <v>0</v>
      </c>
      <c r="CH91" s="92"/>
      <c r="CI91" s="104">
        <v>0</v>
      </c>
      <c r="CJ91" s="105">
        <v>0</v>
      </c>
      <c r="CK91" s="105">
        <v>0</v>
      </c>
      <c r="CL91" s="106">
        <v>0</v>
      </c>
      <c r="CM91" s="93">
        <f t="shared" si="65"/>
        <v>0</v>
      </c>
      <c r="CN91" s="110"/>
      <c r="CO91" s="110"/>
      <c r="CP91" s="110"/>
    </row>
    <row r="92" spans="1:100" hidden="1" outlineLevel="1" x14ac:dyDescent="0.2">
      <c r="A92" s="189" t="s">
        <v>83</v>
      </c>
      <c r="B92" s="92"/>
      <c r="C92" s="104">
        <v>0</v>
      </c>
      <c r="D92" s="105">
        <v>0</v>
      </c>
      <c r="E92" s="105">
        <v>0</v>
      </c>
      <c r="F92" s="106">
        <v>0</v>
      </c>
      <c r="G92" s="161">
        <v>0</v>
      </c>
      <c r="H92" s="92"/>
      <c r="I92" s="104">
        <v>0</v>
      </c>
      <c r="J92" s="105">
        <v>0</v>
      </c>
      <c r="K92" s="105">
        <v>0</v>
      </c>
      <c r="L92" s="106">
        <v>0</v>
      </c>
      <c r="M92" s="94">
        <f t="shared" si="52"/>
        <v>0</v>
      </c>
      <c r="N92" s="92"/>
      <c r="O92" s="104">
        <v>0</v>
      </c>
      <c r="P92" s="105">
        <v>0</v>
      </c>
      <c r="Q92" s="105">
        <v>0</v>
      </c>
      <c r="R92" s="106">
        <v>0</v>
      </c>
      <c r="S92" s="94">
        <f t="shared" si="53"/>
        <v>0</v>
      </c>
      <c r="T92" s="92"/>
      <c r="U92" s="104">
        <v>0</v>
      </c>
      <c r="V92" s="105">
        <v>0</v>
      </c>
      <c r="W92" s="105">
        <v>0</v>
      </c>
      <c r="X92" s="106">
        <v>0</v>
      </c>
      <c r="Y92" s="94">
        <f t="shared" si="54"/>
        <v>0</v>
      </c>
      <c r="Z92" s="92"/>
      <c r="AA92" s="104">
        <v>0</v>
      </c>
      <c r="AB92" s="105">
        <v>0</v>
      </c>
      <c r="AC92" s="105">
        <v>0</v>
      </c>
      <c r="AD92" s="106">
        <v>0</v>
      </c>
      <c r="AE92" s="93">
        <f t="shared" si="55"/>
        <v>0</v>
      </c>
      <c r="AF92" s="92"/>
      <c r="AG92" s="104">
        <v>0</v>
      </c>
      <c r="AH92" s="105">
        <v>0</v>
      </c>
      <c r="AI92" s="105">
        <v>0</v>
      </c>
      <c r="AJ92" s="106">
        <v>0</v>
      </c>
      <c r="AK92" s="93">
        <f t="shared" si="56"/>
        <v>0</v>
      </c>
      <c r="AL92" s="92"/>
      <c r="AM92" s="104">
        <v>0</v>
      </c>
      <c r="AN92" s="105">
        <v>0</v>
      </c>
      <c r="AO92" s="105">
        <v>0</v>
      </c>
      <c r="AP92" s="106">
        <v>0</v>
      </c>
      <c r="AQ92" s="93">
        <f t="shared" si="57"/>
        <v>0</v>
      </c>
      <c r="AR92" s="92"/>
      <c r="AS92" s="104">
        <v>0</v>
      </c>
      <c r="AT92" s="105">
        <v>0</v>
      </c>
      <c r="AU92" s="105">
        <v>0</v>
      </c>
      <c r="AV92" s="106">
        <v>0</v>
      </c>
      <c r="AW92" s="93">
        <f t="shared" si="58"/>
        <v>0</v>
      </c>
      <c r="AX92" s="92"/>
      <c r="AY92" s="104">
        <v>0</v>
      </c>
      <c r="AZ92" s="105">
        <v>-9</v>
      </c>
      <c r="BA92" s="105">
        <f>(447-148)-8</f>
        <v>291</v>
      </c>
      <c r="BB92" s="97">
        <v>27</v>
      </c>
      <c r="BC92" s="93">
        <f t="shared" si="59"/>
        <v>309</v>
      </c>
      <c r="BD92" s="92"/>
      <c r="BE92" s="95">
        <f>-3+0.04</f>
        <v>-2.96</v>
      </c>
      <c r="BF92" s="96">
        <v>0</v>
      </c>
      <c r="BG92" s="105">
        <v>0</v>
      </c>
      <c r="BH92" s="106">
        <v>2</v>
      </c>
      <c r="BI92" s="93">
        <f t="shared" si="60"/>
        <v>-0.96</v>
      </c>
      <c r="BJ92" s="92"/>
      <c r="BK92" s="104">
        <v>0</v>
      </c>
      <c r="BL92" s="96">
        <v>0</v>
      </c>
      <c r="BM92" s="105">
        <v>741</v>
      </c>
      <c r="BN92" s="97">
        <v>0</v>
      </c>
      <c r="BO92" s="93">
        <f t="shared" si="61"/>
        <v>741</v>
      </c>
      <c r="BP92" s="92"/>
      <c r="BQ92" s="104">
        <v>0</v>
      </c>
      <c r="BR92" s="105">
        <v>0</v>
      </c>
      <c r="BS92" s="105">
        <v>0</v>
      </c>
      <c r="BT92" s="106">
        <v>0</v>
      </c>
      <c r="BU92" s="93">
        <f t="shared" si="62"/>
        <v>0</v>
      </c>
      <c r="BV92" s="92"/>
      <c r="BW92" s="104">
        <v>0</v>
      </c>
      <c r="BX92" s="105">
        <v>0</v>
      </c>
      <c r="BY92" s="105">
        <v>0</v>
      </c>
      <c r="BZ92" s="106">
        <v>0</v>
      </c>
      <c r="CA92" s="93">
        <f t="shared" si="63"/>
        <v>0</v>
      </c>
      <c r="CB92" s="92"/>
      <c r="CC92" s="104">
        <v>0</v>
      </c>
      <c r="CD92" s="105">
        <v>0</v>
      </c>
      <c r="CE92" s="105">
        <v>0</v>
      </c>
      <c r="CF92" s="106">
        <v>0</v>
      </c>
      <c r="CG92" s="93">
        <f t="shared" si="64"/>
        <v>0</v>
      </c>
      <c r="CH92" s="92"/>
      <c r="CI92" s="104">
        <v>0</v>
      </c>
      <c r="CJ92" s="105">
        <v>0</v>
      </c>
      <c r="CK92" s="105">
        <v>0</v>
      </c>
      <c r="CL92" s="106">
        <v>0</v>
      </c>
      <c r="CM92" s="93">
        <f t="shared" si="65"/>
        <v>0</v>
      </c>
      <c r="CN92" s="110"/>
      <c r="CO92" s="110"/>
      <c r="CP92" s="110"/>
    </row>
    <row r="93" spans="1:100" hidden="1" outlineLevel="1" x14ac:dyDescent="0.2">
      <c r="A93" s="189" t="s">
        <v>84</v>
      </c>
      <c r="B93" s="92"/>
      <c r="C93" s="104">
        <v>0</v>
      </c>
      <c r="D93" s="105">
        <v>0</v>
      </c>
      <c r="E93" s="105">
        <v>0</v>
      </c>
      <c r="F93" s="106">
        <v>0</v>
      </c>
      <c r="G93" s="161">
        <v>0</v>
      </c>
      <c r="H93" s="92"/>
      <c r="I93" s="104">
        <v>0</v>
      </c>
      <c r="J93" s="105">
        <v>0</v>
      </c>
      <c r="K93" s="105">
        <v>0</v>
      </c>
      <c r="L93" s="106">
        <v>0</v>
      </c>
      <c r="M93" s="94">
        <f t="shared" si="52"/>
        <v>0</v>
      </c>
      <c r="N93" s="92"/>
      <c r="O93" s="104">
        <v>0</v>
      </c>
      <c r="P93" s="105">
        <v>0</v>
      </c>
      <c r="Q93" s="105">
        <v>0</v>
      </c>
      <c r="R93" s="106">
        <v>0</v>
      </c>
      <c r="S93" s="94">
        <f t="shared" si="53"/>
        <v>0</v>
      </c>
      <c r="T93" s="92"/>
      <c r="U93" s="104">
        <v>0</v>
      </c>
      <c r="V93" s="105">
        <v>0</v>
      </c>
      <c r="W93" s="105">
        <v>0</v>
      </c>
      <c r="X93" s="106">
        <v>0</v>
      </c>
      <c r="Y93" s="94">
        <f t="shared" si="54"/>
        <v>0</v>
      </c>
      <c r="Z93" s="92"/>
      <c r="AA93" s="104">
        <v>0</v>
      </c>
      <c r="AB93" s="105">
        <v>0</v>
      </c>
      <c r="AC93" s="105">
        <v>0</v>
      </c>
      <c r="AD93" s="106">
        <v>0</v>
      </c>
      <c r="AE93" s="93">
        <f t="shared" si="55"/>
        <v>0</v>
      </c>
      <c r="AF93" s="92"/>
      <c r="AG93" s="104">
        <v>0</v>
      </c>
      <c r="AH93" s="105">
        <v>0</v>
      </c>
      <c r="AI93" s="105">
        <v>0</v>
      </c>
      <c r="AJ93" s="106">
        <v>0</v>
      </c>
      <c r="AK93" s="93">
        <f t="shared" si="56"/>
        <v>0</v>
      </c>
      <c r="AL93" s="92"/>
      <c r="AM93" s="104">
        <v>0</v>
      </c>
      <c r="AN93" s="105">
        <v>0</v>
      </c>
      <c r="AO93" s="105">
        <v>0</v>
      </c>
      <c r="AP93" s="106">
        <v>0</v>
      </c>
      <c r="AQ93" s="93">
        <f t="shared" si="57"/>
        <v>0</v>
      </c>
      <c r="AR93" s="92"/>
      <c r="AS93" s="104">
        <v>0</v>
      </c>
      <c r="AT93" s="105">
        <v>0</v>
      </c>
      <c r="AU93" s="105">
        <v>9</v>
      </c>
      <c r="AV93" s="106">
        <v>0</v>
      </c>
      <c r="AW93" s="93">
        <f t="shared" si="58"/>
        <v>9</v>
      </c>
      <c r="AX93" s="92"/>
      <c r="AY93" s="104">
        <v>0</v>
      </c>
      <c r="AZ93" s="105">
        <v>0</v>
      </c>
      <c r="BA93" s="105">
        <f>24+75+5</f>
        <v>104</v>
      </c>
      <c r="BB93" s="97">
        <f>135+40</f>
        <v>175</v>
      </c>
      <c r="BC93" s="93">
        <f t="shared" si="59"/>
        <v>279</v>
      </c>
      <c r="BD93" s="92"/>
      <c r="BE93" s="95">
        <v>85</v>
      </c>
      <c r="BF93" s="96">
        <v>64</v>
      </c>
      <c r="BG93" s="105">
        <v>49</v>
      </c>
      <c r="BH93" s="106">
        <v>328</v>
      </c>
      <c r="BI93" s="93">
        <f t="shared" si="60"/>
        <v>526</v>
      </c>
      <c r="BJ93" s="92"/>
      <c r="BK93" s="104">
        <v>35</v>
      </c>
      <c r="BL93" s="96">
        <v>11</v>
      </c>
      <c r="BM93" s="105">
        <v>8</v>
      </c>
      <c r="BN93" s="97">
        <v>30</v>
      </c>
      <c r="BO93" s="93">
        <f t="shared" si="61"/>
        <v>84</v>
      </c>
      <c r="BP93" s="92"/>
      <c r="BQ93" s="104">
        <v>236</v>
      </c>
      <c r="BR93" s="105">
        <v>175</v>
      </c>
      <c r="BS93" s="105">
        <v>125</v>
      </c>
      <c r="BT93" s="106">
        <v>100</v>
      </c>
      <c r="BU93" s="93">
        <f t="shared" si="62"/>
        <v>636</v>
      </c>
      <c r="BV93" s="92"/>
      <c r="BW93" s="104">
        <v>100</v>
      </c>
      <c r="BX93" s="105">
        <v>100</v>
      </c>
      <c r="BY93" s="105">
        <v>100</v>
      </c>
      <c r="BZ93" s="106">
        <v>100</v>
      </c>
      <c r="CA93" s="93">
        <f t="shared" si="63"/>
        <v>400</v>
      </c>
      <c r="CB93" s="92"/>
      <c r="CC93" s="104">
        <v>75</v>
      </c>
      <c r="CD93" s="105">
        <v>50</v>
      </c>
      <c r="CE93" s="105">
        <v>25</v>
      </c>
      <c r="CF93" s="106">
        <v>25</v>
      </c>
      <c r="CG93" s="93">
        <f t="shared" si="64"/>
        <v>175</v>
      </c>
      <c r="CH93" s="92"/>
      <c r="CI93" s="104">
        <v>10</v>
      </c>
      <c r="CJ93" s="105">
        <v>10</v>
      </c>
      <c r="CK93" s="105">
        <v>10</v>
      </c>
      <c r="CL93" s="106">
        <v>10</v>
      </c>
      <c r="CM93" s="93">
        <f t="shared" si="65"/>
        <v>40</v>
      </c>
      <c r="CN93" s="110"/>
      <c r="CO93" s="110"/>
      <c r="CP93" s="110"/>
    </row>
    <row r="94" spans="1:100" hidden="1" outlineLevel="1" x14ac:dyDescent="0.2">
      <c r="A94" s="189" t="s">
        <v>85</v>
      </c>
      <c r="B94" s="92"/>
      <c r="C94" s="104">
        <v>0</v>
      </c>
      <c r="D94" s="105">
        <v>0</v>
      </c>
      <c r="E94" s="105">
        <v>0</v>
      </c>
      <c r="F94" s="106">
        <v>0</v>
      </c>
      <c r="G94" s="161">
        <v>0</v>
      </c>
      <c r="H94" s="92"/>
      <c r="I94" s="104">
        <v>0</v>
      </c>
      <c r="J94" s="105">
        <v>0</v>
      </c>
      <c r="K94" s="105">
        <v>0</v>
      </c>
      <c r="L94" s="106">
        <v>0</v>
      </c>
      <c r="M94" s="94">
        <f t="shared" si="52"/>
        <v>0</v>
      </c>
      <c r="N94" s="92"/>
      <c r="O94" s="104">
        <v>0</v>
      </c>
      <c r="P94" s="105">
        <v>0</v>
      </c>
      <c r="Q94" s="105">
        <v>0</v>
      </c>
      <c r="R94" s="106">
        <v>0</v>
      </c>
      <c r="S94" s="94">
        <f t="shared" si="53"/>
        <v>0</v>
      </c>
      <c r="T94" s="92"/>
      <c r="U94" s="104">
        <v>0</v>
      </c>
      <c r="V94" s="105">
        <v>0</v>
      </c>
      <c r="W94" s="105">
        <v>0</v>
      </c>
      <c r="X94" s="106">
        <v>0</v>
      </c>
      <c r="Y94" s="94">
        <f t="shared" si="54"/>
        <v>0</v>
      </c>
      <c r="Z94" s="92"/>
      <c r="AA94" s="104">
        <v>0</v>
      </c>
      <c r="AB94" s="105">
        <v>0</v>
      </c>
      <c r="AC94" s="105">
        <v>0</v>
      </c>
      <c r="AD94" s="106">
        <v>0</v>
      </c>
      <c r="AE94" s="93">
        <f t="shared" si="55"/>
        <v>0</v>
      </c>
      <c r="AF94" s="92"/>
      <c r="AG94" s="104">
        <v>0</v>
      </c>
      <c r="AH94" s="105">
        <v>0</v>
      </c>
      <c r="AI94" s="105">
        <v>0</v>
      </c>
      <c r="AJ94" s="106">
        <v>0</v>
      </c>
      <c r="AK94" s="93">
        <f t="shared" si="56"/>
        <v>0</v>
      </c>
      <c r="AL94" s="92"/>
      <c r="AM94" s="104">
        <v>0</v>
      </c>
      <c r="AN94" s="105">
        <v>0</v>
      </c>
      <c r="AO94" s="105">
        <v>0</v>
      </c>
      <c r="AP94" s="106">
        <v>0</v>
      </c>
      <c r="AQ94" s="93">
        <f t="shared" si="57"/>
        <v>0</v>
      </c>
      <c r="AR94" s="92"/>
      <c r="AS94" s="104">
        <v>0</v>
      </c>
      <c r="AT94" s="105">
        <v>0</v>
      </c>
      <c r="AU94" s="105">
        <v>0</v>
      </c>
      <c r="AV94" s="106">
        <v>0</v>
      </c>
      <c r="AW94" s="93">
        <f t="shared" si="58"/>
        <v>0</v>
      </c>
      <c r="AX94" s="92"/>
      <c r="AY94" s="104">
        <v>23</v>
      </c>
      <c r="AZ94" s="105">
        <v>112.5</v>
      </c>
      <c r="BA94" s="105">
        <f>-5+9</f>
        <v>4</v>
      </c>
      <c r="BB94" s="97">
        <f>7</f>
        <v>7</v>
      </c>
      <c r="BC94" s="93">
        <f t="shared" si="59"/>
        <v>146.5</v>
      </c>
      <c r="BD94" s="92"/>
      <c r="BE94" s="95">
        <v>35</v>
      </c>
      <c r="BF94" s="96">
        <v>40</v>
      </c>
      <c r="BG94" s="105">
        <v>40</v>
      </c>
      <c r="BH94" s="106">
        <v>77</v>
      </c>
      <c r="BI94" s="93">
        <f t="shared" si="60"/>
        <v>192</v>
      </c>
      <c r="BJ94" s="92"/>
      <c r="BK94" s="104">
        <f>46+6</f>
        <v>52</v>
      </c>
      <c r="BL94" s="96">
        <v>63</v>
      </c>
      <c r="BM94" s="105">
        <f>50+23</f>
        <v>73</v>
      </c>
      <c r="BN94" s="97">
        <f>78+2</f>
        <v>80</v>
      </c>
      <c r="BO94" s="93">
        <f t="shared" si="61"/>
        <v>268</v>
      </c>
      <c r="BP94" s="92"/>
      <c r="BQ94" s="104">
        <f>74+44+50</f>
        <v>168</v>
      </c>
      <c r="BR94" s="105">
        <v>100</v>
      </c>
      <c r="BS94" s="105">
        <v>75</v>
      </c>
      <c r="BT94" s="106">
        <v>50</v>
      </c>
      <c r="BU94" s="93">
        <f t="shared" si="62"/>
        <v>393</v>
      </c>
      <c r="BV94" s="92"/>
      <c r="BW94" s="104">
        <v>50</v>
      </c>
      <c r="BX94" s="105">
        <v>50</v>
      </c>
      <c r="BY94" s="105">
        <v>50</v>
      </c>
      <c r="BZ94" s="106">
        <v>50</v>
      </c>
      <c r="CA94" s="93">
        <f t="shared" si="63"/>
        <v>200</v>
      </c>
      <c r="CB94" s="92"/>
      <c r="CC94" s="104">
        <v>40</v>
      </c>
      <c r="CD94" s="105">
        <v>40</v>
      </c>
      <c r="CE94" s="105">
        <v>40</v>
      </c>
      <c r="CF94" s="106">
        <v>40</v>
      </c>
      <c r="CG94" s="93">
        <f t="shared" si="64"/>
        <v>160</v>
      </c>
      <c r="CH94" s="92"/>
      <c r="CI94" s="104">
        <v>20</v>
      </c>
      <c r="CJ94" s="105">
        <v>20</v>
      </c>
      <c r="CK94" s="105">
        <v>20</v>
      </c>
      <c r="CL94" s="106">
        <v>20</v>
      </c>
      <c r="CM94" s="93">
        <f t="shared" si="65"/>
        <v>80</v>
      </c>
      <c r="CN94" s="110"/>
      <c r="CO94" s="110"/>
      <c r="CP94" s="110"/>
    </row>
    <row r="95" spans="1:100" hidden="1" outlineLevel="1" x14ac:dyDescent="0.2">
      <c r="A95" s="189" t="s">
        <v>86</v>
      </c>
      <c r="B95" s="92"/>
      <c r="C95" s="104">
        <v>0</v>
      </c>
      <c r="D95" s="105">
        <v>0</v>
      </c>
      <c r="E95" s="105">
        <v>0</v>
      </c>
      <c r="F95" s="106">
        <v>0</v>
      </c>
      <c r="G95" s="161">
        <v>0</v>
      </c>
      <c r="H95" s="92"/>
      <c r="I95" s="104">
        <v>0</v>
      </c>
      <c r="J95" s="105">
        <v>0</v>
      </c>
      <c r="K95" s="105">
        <v>0</v>
      </c>
      <c r="L95" s="106">
        <v>0</v>
      </c>
      <c r="M95" s="93">
        <f t="shared" si="52"/>
        <v>0</v>
      </c>
      <c r="N95" s="92"/>
      <c r="O95" s="104">
        <v>0</v>
      </c>
      <c r="P95" s="105">
        <v>0</v>
      </c>
      <c r="Q95" s="105">
        <v>0</v>
      </c>
      <c r="R95" s="106">
        <v>0</v>
      </c>
      <c r="S95" s="93">
        <f t="shared" si="53"/>
        <v>0</v>
      </c>
      <c r="T95" s="92"/>
      <c r="U95" s="104">
        <v>0</v>
      </c>
      <c r="V95" s="105">
        <v>0</v>
      </c>
      <c r="W95" s="105">
        <v>0</v>
      </c>
      <c r="X95" s="106">
        <v>0</v>
      </c>
      <c r="Y95" s="93">
        <f t="shared" si="54"/>
        <v>0</v>
      </c>
      <c r="Z95" s="92"/>
      <c r="AA95" s="104">
        <v>0</v>
      </c>
      <c r="AB95" s="105">
        <v>0</v>
      </c>
      <c r="AC95" s="105">
        <v>0</v>
      </c>
      <c r="AD95" s="106">
        <v>0</v>
      </c>
      <c r="AE95" s="93">
        <f t="shared" si="55"/>
        <v>0</v>
      </c>
      <c r="AF95" s="92"/>
      <c r="AG95" s="104">
        <v>0</v>
      </c>
      <c r="AH95" s="105">
        <v>0</v>
      </c>
      <c r="AI95" s="105">
        <v>0</v>
      </c>
      <c r="AJ95" s="106">
        <v>0</v>
      </c>
      <c r="AK95" s="93">
        <f t="shared" si="56"/>
        <v>0</v>
      </c>
      <c r="AL95" s="92"/>
      <c r="AM95" s="104">
        <v>0</v>
      </c>
      <c r="AN95" s="105">
        <v>0</v>
      </c>
      <c r="AO95" s="105">
        <v>22</v>
      </c>
      <c r="AP95" s="106">
        <v>341</v>
      </c>
      <c r="AQ95" s="93">
        <f t="shared" si="57"/>
        <v>363</v>
      </c>
      <c r="AR95" s="92"/>
      <c r="AS95" s="104">
        <v>0</v>
      </c>
      <c r="AT95" s="105">
        <v>0</v>
      </c>
      <c r="AU95" s="105">
        <v>0</v>
      </c>
      <c r="AV95" s="106">
        <v>0</v>
      </c>
      <c r="AW95" s="93">
        <f t="shared" si="58"/>
        <v>0</v>
      </c>
      <c r="AX95" s="92"/>
      <c r="AY95" s="104">
        <v>12</v>
      </c>
      <c r="AZ95" s="105">
        <v>0</v>
      </c>
      <c r="BA95" s="105">
        <v>0</v>
      </c>
      <c r="BB95" s="97">
        <v>0</v>
      </c>
      <c r="BC95" s="93">
        <f t="shared" si="59"/>
        <v>12</v>
      </c>
      <c r="BD95" s="92"/>
      <c r="BE95" s="95">
        <v>0</v>
      </c>
      <c r="BF95" s="96">
        <v>0</v>
      </c>
      <c r="BG95" s="105">
        <v>0</v>
      </c>
      <c r="BH95" s="106">
        <v>0</v>
      </c>
      <c r="BI95" s="93">
        <f t="shared" si="60"/>
        <v>0</v>
      </c>
      <c r="BJ95" s="92"/>
      <c r="BK95" s="104">
        <v>-336</v>
      </c>
      <c r="BL95" s="96">
        <v>0</v>
      </c>
      <c r="BM95" s="105">
        <v>0</v>
      </c>
      <c r="BN95" s="97">
        <v>-1</v>
      </c>
      <c r="BO95" s="93">
        <f t="shared" si="61"/>
        <v>-337</v>
      </c>
      <c r="BP95" s="92"/>
      <c r="BQ95" s="104">
        <v>0</v>
      </c>
      <c r="BR95" s="105">
        <v>0</v>
      </c>
      <c r="BS95" s="105">
        <v>0</v>
      </c>
      <c r="BT95" s="106">
        <v>0</v>
      </c>
      <c r="BU95" s="93">
        <f t="shared" si="62"/>
        <v>0</v>
      </c>
      <c r="BV95" s="92"/>
      <c r="BW95" s="104">
        <v>0</v>
      </c>
      <c r="BX95" s="105">
        <v>0</v>
      </c>
      <c r="BY95" s="105">
        <v>0</v>
      </c>
      <c r="BZ95" s="106">
        <v>0</v>
      </c>
      <c r="CA95" s="93">
        <f t="shared" si="63"/>
        <v>0</v>
      </c>
      <c r="CB95" s="92"/>
      <c r="CC95" s="104">
        <v>0</v>
      </c>
      <c r="CD95" s="105">
        <v>0</v>
      </c>
      <c r="CE95" s="105">
        <v>0</v>
      </c>
      <c r="CF95" s="106">
        <v>0</v>
      </c>
      <c r="CG95" s="93">
        <f t="shared" si="64"/>
        <v>0</v>
      </c>
      <c r="CH95" s="92"/>
      <c r="CI95" s="104">
        <v>0</v>
      </c>
      <c r="CJ95" s="105">
        <v>0</v>
      </c>
      <c r="CK95" s="105">
        <v>0</v>
      </c>
      <c r="CL95" s="106">
        <v>0</v>
      </c>
      <c r="CM95" s="93">
        <f t="shared" si="65"/>
        <v>0</v>
      </c>
      <c r="CN95" s="110"/>
      <c r="CO95" s="110"/>
      <c r="CP95" s="110"/>
    </row>
    <row r="96" spans="1:100" hidden="1" outlineLevel="1" x14ac:dyDescent="0.2">
      <c r="A96" s="189" t="s">
        <v>87</v>
      </c>
      <c r="B96" s="92"/>
      <c r="C96" s="104"/>
      <c r="D96" s="105"/>
      <c r="E96" s="105"/>
      <c r="F96" s="106"/>
      <c r="G96" s="161"/>
      <c r="H96" s="92"/>
      <c r="I96" s="104"/>
      <c r="J96" s="105"/>
      <c r="K96" s="105"/>
      <c r="L96" s="106"/>
      <c r="M96" s="93"/>
      <c r="N96" s="92"/>
      <c r="O96" s="104"/>
      <c r="P96" s="105"/>
      <c r="Q96" s="105"/>
      <c r="R96" s="106"/>
      <c r="S96" s="93"/>
      <c r="T96" s="92"/>
      <c r="U96" s="104"/>
      <c r="V96" s="105"/>
      <c r="W96" s="105"/>
      <c r="X96" s="106"/>
      <c r="Y96" s="93"/>
      <c r="Z96" s="92"/>
      <c r="AA96" s="104"/>
      <c r="AB96" s="105"/>
      <c r="AC96" s="105"/>
      <c r="AD96" s="106"/>
      <c r="AE96" s="93"/>
      <c r="AF96" s="92"/>
      <c r="AG96" s="104"/>
      <c r="AH96" s="105"/>
      <c r="AI96" s="105"/>
      <c r="AJ96" s="106"/>
      <c r="AK96" s="93"/>
      <c r="AL96" s="92"/>
      <c r="AM96" s="95">
        <v>17.870075</v>
      </c>
      <c r="AN96" s="96">
        <v>19.887499999999999</v>
      </c>
      <c r="AO96" s="96">
        <v>19.94115</v>
      </c>
      <c r="AP96" s="97">
        <v>19.076275000000003</v>
      </c>
      <c r="AQ96" s="93">
        <f t="shared" si="57"/>
        <v>76.775000000000006</v>
      </c>
      <c r="AR96" s="92"/>
      <c r="AS96" s="95">
        <v>18.48</v>
      </c>
      <c r="AT96" s="96">
        <v>18.48</v>
      </c>
      <c r="AU96" s="96">
        <v>18.48</v>
      </c>
      <c r="AV96" s="97">
        <v>18.920000000000002</v>
      </c>
      <c r="AW96" s="93">
        <f t="shared" si="58"/>
        <v>74.36</v>
      </c>
      <c r="AX96" s="92"/>
      <c r="AY96" s="95">
        <v>18</v>
      </c>
      <c r="AZ96" s="96">
        <v>17.5</v>
      </c>
      <c r="BA96" s="96">
        <v>148</v>
      </c>
      <c r="BB96" s="97">
        <v>152</v>
      </c>
      <c r="BC96" s="93">
        <f t="shared" si="59"/>
        <v>335.5</v>
      </c>
      <c r="BD96" s="92"/>
      <c r="BE96" s="95">
        <v>157.80000000000001</v>
      </c>
      <c r="BF96" s="96">
        <f>136+1</f>
        <v>137</v>
      </c>
      <c r="BG96" s="96">
        <v>135</v>
      </c>
      <c r="BH96" s="97">
        <f>141-8</f>
        <v>133</v>
      </c>
      <c r="BI96" s="93">
        <f t="shared" si="60"/>
        <v>562.79999999999995</v>
      </c>
      <c r="BJ96" s="92"/>
      <c r="BK96" s="95">
        <v>133</v>
      </c>
      <c r="BL96" s="96">
        <v>129</v>
      </c>
      <c r="BM96" s="96">
        <f>132-3-23</f>
        <v>106</v>
      </c>
      <c r="BN96" s="97">
        <v>130</v>
      </c>
      <c r="BO96" s="93">
        <f t="shared" si="61"/>
        <v>498</v>
      </c>
      <c r="BP96" s="92"/>
      <c r="BQ96" s="95">
        <v>135</v>
      </c>
      <c r="BR96" s="89">
        <f>CFS!BR13+CFS!BR14</f>
        <v>295.24464285714288</v>
      </c>
      <c r="BS96" s="89">
        <f>CFS!BS13+CFS!BS14</f>
        <v>295.24464285714288</v>
      </c>
      <c r="BT96" s="90">
        <f>CFS!BT13+CFS!BT14</f>
        <v>295.24464285714288</v>
      </c>
      <c r="BU96" s="93">
        <f t="shared" si="62"/>
        <v>1020.7339285714286</v>
      </c>
      <c r="BV96" s="92"/>
      <c r="BW96" s="88">
        <f>CFS!BW13+CFS!BW14</f>
        <v>295.24464285714288</v>
      </c>
      <c r="BX96" s="89">
        <f>CFS!BX13+CFS!BX14</f>
        <v>295.24464285714288</v>
      </c>
      <c r="BY96" s="89">
        <f>CFS!BY13+CFS!BY14</f>
        <v>295.24464285714288</v>
      </c>
      <c r="BZ96" s="90">
        <f>CFS!BZ13+CFS!BZ14</f>
        <v>295.24464285714288</v>
      </c>
      <c r="CA96" s="93">
        <f t="shared" si="63"/>
        <v>1180.9785714285715</v>
      </c>
      <c r="CB96" s="92"/>
      <c r="CC96" s="88">
        <f>CFS!CC13+CFS!CC14</f>
        <v>295.24464285714288</v>
      </c>
      <c r="CD96" s="89">
        <f>CFS!CD13+CFS!CD14</f>
        <v>295.24464285714288</v>
      </c>
      <c r="CE96" s="89">
        <f>CFS!CE13+CFS!CE14</f>
        <v>295.24464285714288</v>
      </c>
      <c r="CF96" s="90">
        <f>CFS!CF13+CFS!CF14</f>
        <v>295.24464285714288</v>
      </c>
      <c r="CG96" s="93">
        <f t="shared" si="64"/>
        <v>1180.9785714285715</v>
      </c>
      <c r="CH96" s="92"/>
      <c r="CI96" s="88">
        <f>CFS!CI13+CFS!CI14</f>
        <v>295.24464285714288</v>
      </c>
      <c r="CJ96" s="89">
        <f>CFS!CJ13+CFS!CJ14</f>
        <v>295.24464285714288</v>
      </c>
      <c r="CK96" s="89">
        <f>CFS!CK13+CFS!CK14</f>
        <v>295.24464285714288</v>
      </c>
      <c r="CL96" s="90">
        <f>CFS!CL13+CFS!CL14</f>
        <v>295.24464285714288</v>
      </c>
      <c r="CM96" s="93">
        <f t="shared" si="65"/>
        <v>1180.9785714285715</v>
      </c>
      <c r="CN96" s="110"/>
      <c r="CO96" s="110"/>
      <c r="CP96" s="110"/>
    </row>
    <row r="97" spans="1:100" hidden="1" outlineLevel="1" x14ac:dyDescent="0.2">
      <c r="A97" s="189" t="s">
        <v>88</v>
      </c>
      <c r="B97" s="92"/>
      <c r="C97" s="104">
        <v>103.00913974247059</v>
      </c>
      <c r="D97" s="105">
        <v>-6.9444913683252896</v>
      </c>
      <c r="E97" s="105">
        <v>-4.34</v>
      </c>
      <c r="F97" s="106">
        <f>-116.571-8.786644</f>
        <v>-125.35764399999999</v>
      </c>
      <c r="G97" s="94">
        <f>SUM(C97:F97)</f>
        <v>-33.63299562585469</v>
      </c>
      <c r="H97" s="92"/>
      <c r="I97" s="104">
        <v>-0.66639558730280202</v>
      </c>
      <c r="J97" s="105">
        <v>-0.54321728509505629</v>
      </c>
      <c r="K97" s="105">
        <v>0.35861300000000002</v>
      </c>
      <c r="L97" s="106">
        <v>0</v>
      </c>
      <c r="M97" s="94">
        <f t="shared" si="52"/>
        <v>-0.85099987239785824</v>
      </c>
      <c r="N97" s="92"/>
      <c r="O97" s="104">
        <v>0</v>
      </c>
      <c r="P97" s="105">
        <v>0</v>
      </c>
      <c r="Q97" s="105">
        <v>0</v>
      </c>
      <c r="R97" s="106">
        <v>0</v>
      </c>
      <c r="S97" s="94">
        <f t="shared" si="53"/>
        <v>0</v>
      </c>
      <c r="T97" s="92"/>
      <c r="U97" s="104">
        <v>0</v>
      </c>
      <c r="V97" s="105">
        <v>0</v>
      </c>
      <c r="W97" s="105">
        <v>0</v>
      </c>
      <c r="X97" s="106">
        <v>0</v>
      </c>
      <c r="Y97" s="94">
        <f t="shared" si="54"/>
        <v>0</v>
      </c>
      <c r="Z97" s="92"/>
      <c r="AA97" s="104">
        <v>0</v>
      </c>
      <c r="AB97" s="105">
        <v>0</v>
      </c>
      <c r="AC97" s="105">
        <v>0</v>
      </c>
      <c r="AD97" s="106">
        <v>9.27</v>
      </c>
      <c r="AE97" s="93">
        <f t="shared" si="55"/>
        <v>9.27</v>
      </c>
      <c r="AF97" s="92"/>
      <c r="AG97" s="104">
        <v>0</v>
      </c>
      <c r="AH97" s="105">
        <v>0</v>
      </c>
      <c r="AI97" s="105">
        <v>0</v>
      </c>
      <c r="AJ97" s="106">
        <v>20</v>
      </c>
      <c r="AK97" s="93">
        <f t="shared" si="56"/>
        <v>20</v>
      </c>
      <c r="AL97" s="92"/>
      <c r="AM97" s="104">
        <v>0</v>
      </c>
      <c r="AN97" s="105">
        <v>0</v>
      </c>
      <c r="AO97" s="105">
        <v>0</v>
      </c>
      <c r="AP97" s="106">
        <v>6</v>
      </c>
      <c r="AQ97" s="93">
        <f t="shared" si="57"/>
        <v>6</v>
      </c>
      <c r="AR97" s="92"/>
      <c r="AS97" s="104">
        <v>0</v>
      </c>
      <c r="AT97" s="105">
        <v>11</v>
      </c>
      <c r="AU97" s="105">
        <v>0</v>
      </c>
      <c r="AV97" s="106">
        <v>0</v>
      </c>
      <c r="AW97" s="93">
        <f t="shared" si="58"/>
        <v>11</v>
      </c>
      <c r="AX97" s="92"/>
      <c r="AY97" s="104">
        <v>44</v>
      </c>
      <c r="AZ97" s="105">
        <v>58</v>
      </c>
      <c r="BA97" s="105">
        <v>0</v>
      </c>
      <c r="BB97" s="97">
        <v>0</v>
      </c>
      <c r="BC97" s="93">
        <f t="shared" si="59"/>
        <v>102</v>
      </c>
      <c r="BD97" s="92"/>
      <c r="BE97" s="95">
        <v>0</v>
      </c>
      <c r="BF97" s="96">
        <v>-21.6</v>
      </c>
      <c r="BG97" s="105">
        <f>7+3-8-1</f>
        <v>1</v>
      </c>
      <c r="BH97" s="106">
        <v>3</v>
      </c>
      <c r="BI97" s="93">
        <f t="shared" si="60"/>
        <v>-17.600000000000001</v>
      </c>
      <c r="BJ97" s="92"/>
      <c r="BK97" s="104">
        <f>-7+42-1</f>
        <v>34</v>
      </c>
      <c r="BL97" s="96">
        <f>8+1</f>
        <v>9</v>
      </c>
      <c r="BM97" s="105">
        <f>87+31</f>
        <v>118</v>
      </c>
      <c r="BN97" s="97">
        <f>6+44</f>
        <v>50</v>
      </c>
      <c r="BO97" s="93">
        <f t="shared" si="61"/>
        <v>211</v>
      </c>
      <c r="BP97" s="92"/>
      <c r="BQ97" s="104">
        <f>7-1</f>
        <v>6</v>
      </c>
      <c r="BR97" s="105">
        <v>0</v>
      </c>
      <c r="BS97" s="105">
        <v>0</v>
      </c>
      <c r="BT97" s="106">
        <v>0</v>
      </c>
      <c r="BU97" s="93">
        <f t="shared" si="62"/>
        <v>6</v>
      </c>
      <c r="BV97" s="92"/>
      <c r="BW97" s="104">
        <v>0</v>
      </c>
      <c r="BX97" s="105">
        <v>0</v>
      </c>
      <c r="BY97" s="105">
        <v>0</v>
      </c>
      <c r="BZ97" s="106">
        <v>0</v>
      </c>
      <c r="CA97" s="93">
        <f t="shared" si="63"/>
        <v>0</v>
      </c>
      <c r="CB97" s="92"/>
      <c r="CC97" s="104">
        <v>0</v>
      </c>
      <c r="CD97" s="105">
        <v>0</v>
      </c>
      <c r="CE97" s="105">
        <v>0</v>
      </c>
      <c r="CF97" s="106">
        <v>0</v>
      </c>
      <c r="CG97" s="93">
        <f t="shared" si="64"/>
        <v>0</v>
      </c>
      <c r="CH97" s="92"/>
      <c r="CI97" s="104">
        <v>0</v>
      </c>
      <c r="CJ97" s="105">
        <v>0</v>
      </c>
      <c r="CK97" s="105">
        <v>0</v>
      </c>
      <c r="CL97" s="106">
        <v>0</v>
      </c>
      <c r="CM97" s="93">
        <f t="shared" si="65"/>
        <v>0</v>
      </c>
      <c r="CN97" s="110"/>
      <c r="CO97" s="110"/>
      <c r="CP97" s="110"/>
    </row>
    <row r="98" spans="1:100" hidden="1" outlineLevel="1" x14ac:dyDescent="0.2">
      <c r="A98" s="189" t="s">
        <v>89</v>
      </c>
      <c r="B98" s="92"/>
      <c r="C98" s="104">
        <v>0</v>
      </c>
      <c r="D98" s="105">
        <v>0</v>
      </c>
      <c r="E98" s="105">
        <v>0</v>
      </c>
      <c r="F98" s="106">
        <v>0</v>
      </c>
      <c r="G98" s="93">
        <f>SUM(C98:F98)</f>
        <v>0</v>
      </c>
      <c r="H98" s="92"/>
      <c r="I98" s="104">
        <v>0</v>
      </c>
      <c r="J98" s="105">
        <v>0</v>
      </c>
      <c r="K98" s="105">
        <v>0</v>
      </c>
      <c r="L98" s="106">
        <v>0</v>
      </c>
      <c r="M98" s="93">
        <f t="shared" si="52"/>
        <v>0</v>
      </c>
      <c r="N98" s="92"/>
      <c r="O98" s="104">
        <v>0</v>
      </c>
      <c r="P98" s="105">
        <v>0</v>
      </c>
      <c r="Q98" s="105">
        <v>0</v>
      </c>
      <c r="R98" s="106">
        <v>0</v>
      </c>
      <c r="S98" s="93">
        <f t="shared" si="53"/>
        <v>0</v>
      </c>
      <c r="T98" s="92"/>
      <c r="U98" s="104">
        <v>0</v>
      </c>
      <c r="V98" s="105">
        <v>0</v>
      </c>
      <c r="W98" s="105">
        <v>0</v>
      </c>
      <c r="X98" s="106">
        <v>0</v>
      </c>
      <c r="Y98" s="93">
        <f t="shared" si="54"/>
        <v>0</v>
      </c>
      <c r="Z98" s="92"/>
      <c r="AA98" s="104">
        <v>0</v>
      </c>
      <c r="AB98" s="105">
        <v>0</v>
      </c>
      <c r="AC98" s="105">
        <v>0</v>
      </c>
      <c r="AD98" s="106">
        <f>-(9.27-6)</f>
        <v>-3.2699999999999996</v>
      </c>
      <c r="AE98" s="93">
        <f t="shared" si="55"/>
        <v>-3.2699999999999996</v>
      </c>
      <c r="AF98" s="92"/>
      <c r="AG98" s="104">
        <v>0</v>
      </c>
      <c r="AH98" s="105">
        <v>0</v>
      </c>
      <c r="AI98" s="105">
        <v>0</v>
      </c>
      <c r="AJ98" s="106">
        <f>-(20-13)</f>
        <v>-7</v>
      </c>
      <c r="AK98" s="93">
        <f t="shared" si="56"/>
        <v>-7</v>
      </c>
      <c r="AL98" s="92"/>
      <c r="AM98" s="104">
        <f>-AM96*0.3</f>
        <v>-5.3610224999999998</v>
      </c>
      <c r="AN98" s="105">
        <f>-AN96*0.3</f>
        <v>-5.9662499999999996</v>
      </c>
      <c r="AO98" s="105">
        <f>-(22-14)-AO96*0.3</f>
        <v>-13.982344999999999</v>
      </c>
      <c r="AP98" s="106">
        <f>-((341-211)+(6-4))-AP96*0.3</f>
        <v>-137.7228825</v>
      </c>
      <c r="AQ98" s="93">
        <f t="shared" si="57"/>
        <v>-163.0325</v>
      </c>
      <c r="AR98" s="92"/>
      <c r="AS98" s="104">
        <f>-AS96*0.315</f>
        <v>-5.8212000000000002</v>
      </c>
      <c r="AT98" s="105">
        <f>-((20-12)+(11-8)-(8-5))-AT96*0.315</f>
        <v>-13.821200000000001</v>
      </c>
      <c r="AU98" s="105">
        <f>-(9-6)-AU96*0.315</f>
        <v>-8.821200000000001</v>
      </c>
      <c r="AV98" s="99">
        <f>-SUM(AV89:AV97)*0.315</f>
        <v>-5.9598000000000004</v>
      </c>
      <c r="AW98" s="93">
        <f t="shared" si="58"/>
        <v>-34.423400000000001</v>
      </c>
      <c r="AX98" s="92"/>
      <c r="AY98" s="95">
        <f>-(16+5+6+4)</f>
        <v>-31</v>
      </c>
      <c r="AZ98" s="96">
        <f>-(24+47+6)</f>
        <v>-77</v>
      </c>
      <c r="BA98" s="96">
        <f>-(2+3+9+28+128-2)</f>
        <v>-168</v>
      </c>
      <c r="BB98" s="97">
        <f>-3-15-51-54</f>
        <v>-123</v>
      </c>
      <c r="BC98" s="93">
        <f t="shared" si="59"/>
        <v>-399</v>
      </c>
      <c r="BD98" s="92"/>
      <c r="BE98" s="95">
        <f>-(34+32+13)</f>
        <v>-79</v>
      </c>
      <c r="BF98" s="96">
        <f>-(41+29+15)</f>
        <v>-85</v>
      </c>
      <c r="BG98" s="96">
        <v>-106</v>
      </c>
      <c r="BH98" s="97">
        <v>-99</v>
      </c>
      <c r="BI98" s="93">
        <f t="shared" si="60"/>
        <v>-369</v>
      </c>
      <c r="BJ98" s="92"/>
      <c r="BK98" s="95">
        <v>27</v>
      </c>
      <c r="BL98" s="96">
        <v>-54</v>
      </c>
      <c r="BM98" s="96">
        <v>-377</v>
      </c>
      <c r="BN98" s="97">
        <v>-91</v>
      </c>
      <c r="BO98" s="93">
        <f t="shared" si="61"/>
        <v>-495</v>
      </c>
      <c r="BP98" s="92"/>
      <c r="BQ98" s="95">
        <v>135</v>
      </c>
      <c r="BR98" s="89">
        <f>-(SUM(BR89:BR97)-BR96)*BR25-BR96*0.35</f>
        <v>-150.08562500000002</v>
      </c>
      <c r="BS98" s="89">
        <f>-(SUM(BS89:BS97)-BS96)*BS25-BS96*0.35</f>
        <v>-137.33562499999999</v>
      </c>
      <c r="BT98" s="90">
        <f>-(SUM(BT89:BT97)-BT96)*BT25-BT96*0.35</f>
        <v>-128.83562500000002</v>
      </c>
      <c r="BU98" s="93">
        <f t="shared" si="62"/>
        <v>-281.25687500000004</v>
      </c>
      <c r="BV98" s="92"/>
      <c r="BW98" s="88">
        <f>-(SUM(BW89:BW97)-BW96)*BW25-BW96*0.35</f>
        <v>-128.46062499999999</v>
      </c>
      <c r="BX98" s="89">
        <f>-(SUM(BX89:BX97)-BX96)*BX25-BX96*0.35</f>
        <v>-128.46062499999999</v>
      </c>
      <c r="BY98" s="89">
        <f>-(SUM(BY89:BY97)-BY96)*BY25-BY96*0.35</f>
        <v>-128.46062499999999</v>
      </c>
      <c r="BZ98" s="90">
        <f>-(SUM(BZ89:BZ97)-BZ96)*BZ25-BZ96*0.35</f>
        <v>-128.46062499999999</v>
      </c>
      <c r="CA98" s="93">
        <f t="shared" si="63"/>
        <v>-513.84249999999997</v>
      </c>
      <c r="CB98" s="92"/>
      <c r="CC98" s="88">
        <f>-(SUM(CC89:CC97)-CC96)*CC25-CC96*0.35</f>
        <v>-122.31062500000002</v>
      </c>
      <c r="CD98" s="89">
        <f>-(SUM(CD89:CD97)-CD96)*CD25-CD96*0.35</f>
        <v>-118.18562500000002</v>
      </c>
      <c r="CE98" s="89">
        <f>-(SUM(CE89:CE97)-CE96)*CE25-CE96*0.35</f>
        <v>-114.060625</v>
      </c>
      <c r="CF98" s="90">
        <f>-(SUM(CF89:CF97)-CF96)*CF25-CF96*0.35</f>
        <v>-114.060625</v>
      </c>
      <c r="CG98" s="93">
        <f t="shared" si="64"/>
        <v>-468.61750000000006</v>
      </c>
      <c r="CH98" s="92"/>
      <c r="CI98" s="88">
        <f>-(SUM(CI89:CI97)-CI96)*CI25-CI96*0.35</f>
        <v>-108.28562500000001</v>
      </c>
      <c r="CJ98" s="89">
        <f>-(SUM(CJ89:CJ97)-CJ96)*CJ25-CJ96*0.35</f>
        <v>-108.28562500000001</v>
      </c>
      <c r="CK98" s="89">
        <f>-(SUM(CK89:CK97)-CK96)*CK25-CK96*0.35</f>
        <v>-108.28562500000001</v>
      </c>
      <c r="CL98" s="90">
        <f>-(SUM(CL89:CL97)-CL96)*CL25-CL96*0.35</f>
        <v>-108.28562500000001</v>
      </c>
      <c r="CM98" s="93">
        <f t="shared" si="65"/>
        <v>-433.14250000000004</v>
      </c>
      <c r="CN98" s="110"/>
      <c r="CO98" s="110"/>
      <c r="CP98" s="110"/>
    </row>
    <row r="99" spans="1:100" hidden="1" outlineLevel="1" x14ac:dyDescent="0.2">
      <c r="A99" s="253" t="s">
        <v>90</v>
      </c>
      <c r="B99" s="254"/>
      <c r="C99" s="255">
        <f>C31-SUM(C89:C98)</f>
        <v>142.78886025752928</v>
      </c>
      <c r="D99" s="256">
        <f>D31-SUM(D89:D98)</f>
        <v>242.48377936832534</v>
      </c>
      <c r="E99" s="256">
        <f>E31-SUM(E89:E98)</f>
        <v>244.80900000000005</v>
      </c>
      <c r="F99" s="257">
        <f>F31-SUM(F89:F98)</f>
        <v>259.72664400000019</v>
      </c>
      <c r="G99" s="258">
        <f>G31-SUM(G89:G98)</f>
        <v>889.8082836258551</v>
      </c>
      <c r="H99" s="254"/>
      <c r="I99" s="255">
        <f>I31-SUM(I89:I98)</f>
        <v>271.56239558730289</v>
      </c>
      <c r="J99" s="256">
        <f>J31-SUM(J89:J98)</f>
        <v>276.17821728509495</v>
      </c>
      <c r="K99" s="256">
        <f>K31-SUM(K89:K98)</f>
        <v>297.0513870000002</v>
      </c>
      <c r="L99" s="257">
        <f>L31-SUM(L89:L98)</f>
        <v>282.17399999999981</v>
      </c>
      <c r="M99" s="259">
        <f>M31-SUM(M89:M98)</f>
        <v>1126.965999872398</v>
      </c>
      <c r="N99" s="254"/>
      <c r="O99" s="255">
        <f>O31-SUM(O89:O98)</f>
        <v>312.06799999999987</v>
      </c>
      <c r="P99" s="256">
        <f>P31-SUM(P89:P98)</f>
        <v>261.2890000000001</v>
      </c>
      <c r="Q99" s="256">
        <f>Q31-SUM(Q89:Q98)</f>
        <v>341.02699999999993</v>
      </c>
      <c r="R99" s="257">
        <f>R31-SUM(R89:R98)</f>
        <v>317.21999999999997</v>
      </c>
      <c r="S99" s="258">
        <f>S31-SUM(S89:S98)</f>
        <v>1231.6039999999998</v>
      </c>
      <c r="T99" s="254"/>
      <c r="U99" s="255">
        <f>U31-SUM(U89:U98)</f>
        <v>316.37600000000009</v>
      </c>
      <c r="V99" s="256">
        <f>V31-SUM(V89:V98)</f>
        <v>297.63100000000009</v>
      </c>
      <c r="W99" s="256">
        <f>W31-SUM(W89:W98)</f>
        <v>306.90799999999996</v>
      </c>
      <c r="X99" s="257">
        <f>X31-SUM(X89:X98)</f>
        <v>396.69499999999994</v>
      </c>
      <c r="Y99" s="258">
        <f>Y31-SUM(Y89:Y98)</f>
        <v>1317.6100000000001</v>
      </c>
      <c r="Z99" s="254"/>
      <c r="AA99" s="255">
        <f>AA31-SUM(AA89:AA98)</f>
        <v>315.93770000000006</v>
      </c>
      <c r="AB99" s="256">
        <f>AB31-SUM(AB89:AB98)</f>
        <v>312.01900000000001</v>
      </c>
      <c r="AC99" s="256">
        <f>AC31-SUM(AC89:AC98)</f>
        <v>343.05799999999988</v>
      </c>
      <c r="AD99" s="257">
        <f>AD31-SUM(AD89:AD98)</f>
        <v>299.97999999999996</v>
      </c>
      <c r="AE99" s="258">
        <f>AE31-SUM(AE89:AE98)</f>
        <v>1270.9946999999997</v>
      </c>
      <c r="AF99" s="254"/>
      <c r="AG99" s="255">
        <f>AG31-SUM(AG89:AG98)</f>
        <v>262.98499999999996</v>
      </c>
      <c r="AH99" s="256">
        <f>AH31-SUM(AH89:AH98)</f>
        <v>291.03299999999979</v>
      </c>
      <c r="AI99" s="256">
        <f>AI31-SUM(AI89:AI98)</f>
        <v>326.86599999999987</v>
      </c>
      <c r="AJ99" s="257">
        <f>AJ31-SUM(AJ89:AJ98)</f>
        <v>289.04299999999972</v>
      </c>
      <c r="AK99" s="258">
        <f>AK31-SUM(AK89:AK98)</f>
        <v>1169.9269999999995</v>
      </c>
      <c r="AL99" s="254"/>
      <c r="AM99" s="255">
        <f>AM31-SUM(AM89:AM98)</f>
        <v>625.43599999999992</v>
      </c>
      <c r="AN99" s="256">
        <f>AN31-SUM(AN89:AN98)</f>
        <v>275.63699999999994</v>
      </c>
      <c r="AO99" s="256">
        <f>AO31-SUM(AO89:AO98)</f>
        <v>301.54999999999967</v>
      </c>
      <c r="AP99" s="257">
        <f>AP31-SUM(AP89:AP98)</f>
        <v>89.999999999999915</v>
      </c>
      <c r="AQ99" s="258">
        <f>AQ31-SUM(AQ89:AQ98)</f>
        <v>1292.6229999999996</v>
      </c>
      <c r="AR99" s="254"/>
      <c r="AS99" s="255">
        <f>AS31-SUM(AS89:AS98)</f>
        <v>270.90000000000015</v>
      </c>
      <c r="AT99" s="256">
        <f>AT31-SUM(AT89:AT98)</f>
        <v>287.00000000000006</v>
      </c>
      <c r="AU99" s="256">
        <f>AU31-SUM(AU89:AU98)</f>
        <v>325.80000000000024</v>
      </c>
      <c r="AV99" s="257">
        <f>AV31-SUM(AV89:AV98)</f>
        <v>329.99000000000035</v>
      </c>
      <c r="AW99" s="258">
        <f>AW31-SUM(AW89:AW98)</f>
        <v>1213.6900000000005</v>
      </c>
      <c r="AX99" s="254"/>
      <c r="AY99" s="255">
        <f>AY31-SUM(AY89:AY98)</f>
        <v>236.0400000000003</v>
      </c>
      <c r="AZ99" s="256">
        <f>AZ31-SUM(AZ89:AZ98)</f>
        <v>215.44999999999982</v>
      </c>
      <c r="BA99" s="256">
        <f>BA31-SUM(BA89:BA98)</f>
        <v>62.099999999999909</v>
      </c>
      <c r="BB99" s="257">
        <f>BB31-SUM(BB89:BB98)</f>
        <v>181</v>
      </c>
      <c r="BC99" s="258">
        <f>BC31-SUM(BC89:BC98)</f>
        <v>694.59000000000015</v>
      </c>
      <c r="BD99" s="254"/>
      <c r="BE99" s="255">
        <f>BE31-SUM(BE89:BE98)</f>
        <v>228.99999999999977</v>
      </c>
      <c r="BF99" s="256">
        <f>BF31-SUM(BF89:BF98)</f>
        <v>337.95000000000005</v>
      </c>
      <c r="BG99" s="256">
        <f>BG31-SUM(BG89:BG98)</f>
        <v>391</v>
      </c>
      <c r="BH99" s="257">
        <f>BH31-SUM(BH89:BH98)</f>
        <v>18</v>
      </c>
      <c r="BI99" s="258">
        <f>BI31-SUM(BI89:BI98)</f>
        <v>975.94999999999982</v>
      </c>
      <c r="BJ99" s="254"/>
      <c r="BK99" s="255">
        <f>BK31-SUM(BK89:BK98)</f>
        <v>562</v>
      </c>
      <c r="BL99" s="256">
        <f>BL31-SUM(BL89:BL98)</f>
        <v>343</v>
      </c>
      <c r="BM99" s="256">
        <f>BM31-SUM(BM89:BM98)</f>
        <v>-132</v>
      </c>
      <c r="BN99" s="257">
        <f>BN31-SUM(BN89:BN98)</f>
        <v>326.48999999999978</v>
      </c>
      <c r="BO99" s="258">
        <f>BO31-SUM(BO89:BO98)</f>
        <v>1099.4899999999998</v>
      </c>
      <c r="BP99" s="254"/>
      <c r="BQ99" s="255">
        <f>BQ31-SUM(BQ89:BQ98)</f>
        <v>-136</v>
      </c>
      <c r="BR99" s="256">
        <f>BR31-SUM(BR89:BR98)</f>
        <v>300.4825453796069</v>
      </c>
      <c r="BS99" s="256">
        <f>BS31-SUM(BS89:BS98)</f>
        <v>449.55437310240347</v>
      </c>
      <c r="BT99" s="257">
        <f>BT31-SUM(BT89:BT98)</f>
        <v>482.33267967987729</v>
      </c>
      <c r="BU99" s="258">
        <f>BU31-SUM(BU89:BU98)</f>
        <v>1096.3695981618876</v>
      </c>
      <c r="BV99" s="254"/>
      <c r="BW99" s="255">
        <f>BW31-SUM(BW89:BW98)</f>
        <v>501.26873652625147</v>
      </c>
      <c r="BX99" s="256">
        <f>BX31-SUM(BX89:BX98)</f>
        <v>537.41195148568602</v>
      </c>
      <c r="BY99" s="256">
        <f>BY31-SUM(BY89:BY98)</f>
        <v>575.84079674061275</v>
      </c>
      <c r="BZ99" s="257">
        <f>BZ31-SUM(BZ89:BZ98)</f>
        <v>564.94242098180405</v>
      </c>
      <c r="CA99" s="258">
        <f>CA31-SUM(CA89:CA98)</f>
        <v>2179.4639057343543</v>
      </c>
      <c r="CB99" s="254"/>
      <c r="CC99" s="255">
        <f>CC31-SUM(CC89:CC98)</f>
        <v>686.15054263203672</v>
      </c>
      <c r="CD99" s="256">
        <f>CD31-SUM(CD89:CD98)</f>
        <v>746.10940237796979</v>
      </c>
      <c r="CE99" s="256">
        <f>CE31-SUM(CE89:CE98)</f>
        <v>813.22989654858839</v>
      </c>
      <c r="CF99" s="257">
        <f>CF31-SUM(CF89:CF98)</f>
        <v>829.294814856024</v>
      </c>
      <c r="CG99" s="258">
        <f>CG31-SUM(CG89:CG98)</f>
        <v>3074.7846564146184</v>
      </c>
      <c r="CH99" s="254"/>
      <c r="CI99" s="255">
        <f>CI31-SUM(CI89:CI98)</f>
        <v>884.35875941663301</v>
      </c>
      <c r="CJ99" s="256">
        <f>CJ31-SUM(CJ89:CJ98)</f>
        <v>896.03284327629365</v>
      </c>
      <c r="CK99" s="256">
        <f>CK31-SUM(CK89:CK98)</f>
        <v>992.36874728835926</v>
      </c>
      <c r="CL99" s="257">
        <f>CL31-SUM(CL89:CL98)</f>
        <v>1011.4730493590276</v>
      </c>
      <c r="CM99" s="258">
        <f>CM31-SUM(CM89:CM98)</f>
        <v>3784.2333993403131</v>
      </c>
      <c r="CN99" s="138"/>
      <c r="CO99" s="138"/>
      <c r="CP99" s="138"/>
    </row>
    <row r="100" spans="1:100" s="11" customFormat="1" collapsed="1" x14ac:dyDescent="0.2">
      <c r="A100" s="261"/>
      <c r="B100" s="262"/>
      <c r="C100" s="262"/>
      <c r="D100" s="262"/>
      <c r="E100" s="262"/>
      <c r="F100" s="262"/>
      <c r="G100" s="262"/>
      <c r="H100" s="262"/>
      <c r="I100" s="262"/>
      <c r="J100" s="262"/>
      <c r="K100" s="262"/>
      <c r="L100" s="262"/>
      <c r="M100" s="262"/>
      <c r="N100" s="262"/>
      <c r="O100" s="262"/>
      <c r="P100" s="262"/>
      <c r="Q100" s="262"/>
      <c r="R100" s="262"/>
      <c r="S100" s="262"/>
      <c r="T100" s="262"/>
      <c r="U100" s="262"/>
      <c r="V100" s="262"/>
      <c r="W100" s="262"/>
      <c r="X100" s="262"/>
      <c r="Y100" s="262"/>
      <c r="Z100" s="262"/>
      <c r="AA100" s="263"/>
      <c r="AB100" s="263"/>
      <c r="AC100" s="263"/>
      <c r="AD100" s="263"/>
      <c r="AE100" s="262"/>
      <c r="AF100" s="262"/>
      <c r="AG100" s="263"/>
      <c r="AH100" s="263"/>
      <c r="AI100" s="263"/>
      <c r="AJ100" s="263"/>
      <c r="AK100" s="262"/>
      <c r="AL100" s="262"/>
      <c r="AM100" s="262"/>
      <c r="AN100" s="262"/>
      <c r="AO100" s="262"/>
      <c r="AP100" s="262"/>
      <c r="AQ100" s="262"/>
      <c r="AR100" s="262"/>
      <c r="AS100" s="262"/>
      <c r="AT100" s="262"/>
      <c r="AU100" s="262"/>
      <c r="AV100" s="262"/>
      <c r="AW100" s="262"/>
      <c r="AX100" s="262"/>
      <c r="AY100" s="262"/>
      <c r="AZ100" s="262"/>
      <c r="BA100" s="262"/>
      <c r="BB100" s="262"/>
      <c r="BC100" s="262"/>
      <c r="BD100" s="262"/>
      <c r="BE100" s="262"/>
      <c r="BF100" s="262"/>
      <c r="BG100" s="262"/>
      <c r="BH100" s="262"/>
      <c r="BI100" s="262"/>
      <c r="BJ100" s="262"/>
      <c r="BK100" s="262"/>
      <c r="BL100" s="262"/>
      <c r="BM100" s="262"/>
      <c r="BN100" s="262"/>
      <c r="BO100" s="262"/>
      <c r="BP100" s="262"/>
      <c r="BQ100" s="262"/>
      <c r="BR100" s="262"/>
      <c r="BS100" s="262"/>
      <c r="BT100" s="262"/>
      <c r="BU100" s="262"/>
      <c r="BV100" s="262">
        <f>1775.538845-BV99</f>
        <v>1775.538845</v>
      </c>
      <c r="BW100" s="262"/>
      <c r="BX100" s="262"/>
      <c r="BY100" s="262"/>
      <c r="BZ100" s="262"/>
      <c r="CA100" s="262"/>
      <c r="CB100" s="262"/>
      <c r="CC100" s="262"/>
      <c r="CD100" s="262"/>
      <c r="CE100" s="262"/>
      <c r="CF100" s="262"/>
      <c r="CG100" s="262"/>
      <c r="CH100" s="262"/>
      <c r="CI100" s="262"/>
      <c r="CJ100" s="262"/>
      <c r="CK100" s="262"/>
      <c r="CL100" s="262"/>
      <c r="CM100" s="262"/>
      <c r="CN100" s="54"/>
      <c r="CO100" s="54"/>
      <c r="CP100" s="54"/>
      <c r="CQ100"/>
      <c r="CR100"/>
      <c r="CS100"/>
      <c r="CT100"/>
      <c r="CU100"/>
      <c r="CV100"/>
    </row>
    <row r="101" spans="1:100" x14ac:dyDescent="0.2">
      <c r="A101" s="176" t="s">
        <v>91</v>
      </c>
      <c r="B101" s="264"/>
      <c r="C101" s="211"/>
      <c r="D101" s="212"/>
      <c r="E101" s="212"/>
      <c r="F101" s="215"/>
      <c r="G101" s="213"/>
      <c r="H101" s="264"/>
      <c r="I101" s="211"/>
      <c r="J101" s="212"/>
      <c r="K101" s="212"/>
      <c r="L101" s="215"/>
      <c r="M101" s="213"/>
      <c r="N101" s="212"/>
      <c r="O101" s="211"/>
      <c r="P101" s="212"/>
      <c r="Q101" s="212"/>
      <c r="R101" s="215"/>
      <c r="S101" s="213"/>
      <c r="T101" s="264"/>
      <c r="U101" s="211"/>
      <c r="V101" s="212"/>
      <c r="W101" s="212"/>
      <c r="X101" s="215"/>
      <c r="Y101" s="213"/>
      <c r="Z101" s="264"/>
      <c r="AA101" s="265"/>
      <c r="AB101" s="266"/>
      <c r="AC101" s="266"/>
      <c r="AD101" s="267"/>
      <c r="AE101" s="268"/>
      <c r="AF101" s="264"/>
      <c r="AG101" s="265"/>
      <c r="AH101" s="266"/>
      <c r="AI101" s="266"/>
      <c r="AJ101" s="267"/>
      <c r="AK101" s="268"/>
      <c r="AL101" s="264"/>
      <c r="AM101" s="269"/>
      <c r="AN101" s="264"/>
      <c r="AO101" s="264"/>
      <c r="AP101" s="270"/>
      <c r="AQ101" s="268"/>
      <c r="AR101" s="264"/>
      <c r="AS101" s="269"/>
      <c r="AT101" s="264"/>
      <c r="AU101" s="264"/>
      <c r="AV101" s="270"/>
      <c r="AW101" s="268"/>
      <c r="AX101" s="264"/>
      <c r="AY101" s="269"/>
      <c r="AZ101" s="264"/>
      <c r="BA101" s="264"/>
      <c r="BB101" s="270"/>
      <c r="BC101" s="268"/>
      <c r="BD101" s="264"/>
      <c r="BE101" s="269"/>
      <c r="BF101" s="264"/>
      <c r="BG101" s="264"/>
      <c r="BH101" s="270"/>
      <c r="BI101" s="268"/>
      <c r="BJ101" s="264"/>
      <c r="BK101" s="269"/>
      <c r="BL101" s="264"/>
      <c r="BM101" s="264"/>
      <c r="BN101" s="270"/>
      <c r="BO101" s="268"/>
      <c r="BP101" s="264"/>
      <c r="BQ101" s="269"/>
      <c r="BR101" s="264"/>
      <c r="BS101" s="264"/>
      <c r="BT101" s="270"/>
      <c r="BU101" s="268"/>
      <c r="BV101" s="264"/>
      <c r="BW101" s="269"/>
      <c r="BX101" s="264"/>
      <c r="BY101" s="264"/>
      <c r="BZ101" s="270"/>
      <c r="CA101" s="268"/>
      <c r="CB101" s="264"/>
      <c r="CC101" s="269"/>
      <c r="CD101" s="264"/>
      <c r="CE101" s="264"/>
      <c r="CF101" s="270"/>
      <c r="CG101" s="268"/>
      <c r="CH101" s="264"/>
      <c r="CI101" s="269"/>
      <c r="CJ101" s="264"/>
      <c r="CK101" s="264"/>
      <c r="CL101" s="270"/>
      <c r="CM101" s="268"/>
      <c r="CN101" s="54"/>
      <c r="CO101" s="54"/>
      <c r="CP101" s="54"/>
    </row>
    <row r="102" spans="1:100" hidden="1" outlineLevel="1" x14ac:dyDescent="0.2">
      <c r="A102" s="271" t="s">
        <v>92</v>
      </c>
      <c r="B102" s="92"/>
      <c r="C102" s="104"/>
      <c r="D102" s="105"/>
      <c r="E102" s="105"/>
      <c r="F102" s="106"/>
      <c r="G102" s="161"/>
      <c r="H102" s="92"/>
      <c r="I102" s="104"/>
      <c r="J102" s="105"/>
      <c r="K102" s="105"/>
      <c r="L102" s="106"/>
      <c r="M102" s="161"/>
      <c r="N102" s="92"/>
      <c r="O102" s="146"/>
      <c r="P102" s="87"/>
      <c r="Q102" s="87"/>
      <c r="R102" s="147"/>
      <c r="S102" s="94"/>
      <c r="T102" s="92"/>
      <c r="U102" s="146"/>
      <c r="V102" s="87"/>
      <c r="W102" s="87"/>
      <c r="X102" s="147"/>
      <c r="Y102" s="94"/>
      <c r="Z102" s="92"/>
      <c r="AA102" s="98"/>
      <c r="AB102" s="92"/>
      <c r="AC102" s="92"/>
      <c r="AD102" s="99"/>
      <c r="AE102" s="93"/>
      <c r="AF102" s="92"/>
      <c r="AG102" s="98"/>
      <c r="AH102" s="92"/>
      <c r="AI102" s="92"/>
      <c r="AJ102" s="99"/>
      <c r="AK102" s="93"/>
      <c r="AL102" s="92"/>
      <c r="AM102" s="98"/>
      <c r="AN102" s="92"/>
      <c r="AO102" s="92"/>
      <c r="AP102" s="99"/>
      <c r="AQ102" s="93"/>
      <c r="AR102" s="92"/>
      <c r="AS102" s="98"/>
      <c r="AT102" s="92"/>
      <c r="AU102" s="92"/>
      <c r="AV102" s="99"/>
      <c r="AW102" s="93"/>
      <c r="AX102" s="92"/>
      <c r="AY102" s="98"/>
      <c r="AZ102" s="92"/>
      <c r="BA102" s="92"/>
      <c r="BB102" s="99"/>
      <c r="BC102" s="93"/>
      <c r="BD102" s="92"/>
      <c r="BE102" s="98"/>
      <c r="BF102" s="92"/>
      <c r="BG102" s="92"/>
      <c r="BH102" s="99"/>
      <c r="BI102" s="93"/>
      <c r="BJ102" s="92"/>
      <c r="BK102" s="98"/>
      <c r="BL102" s="92"/>
      <c r="BM102" s="92"/>
      <c r="BN102" s="99"/>
      <c r="BO102" s="93"/>
      <c r="BP102" s="92"/>
      <c r="BQ102" s="98"/>
      <c r="BR102" s="92"/>
      <c r="BS102" s="92"/>
      <c r="BT102" s="99"/>
      <c r="BU102" s="93"/>
      <c r="BV102" s="92"/>
      <c r="BW102" s="98"/>
      <c r="BX102" s="92"/>
      <c r="BY102" s="92"/>
      <c r="BZ102" s="99"/>
      <c r="CA102" s="93"/>
      <c r="CB102" s="92"/>
      <c r="CC102" s="98"/>
      <c r="CD102" s="92"/>
      <c r="CE102" s="92"/>
      <c r="CF102" s="99"/>
      <c r="CG102" s="93"/>
      <c r="CH102" s="92"/>
      <c r="CI102" s="98"/>
      <c r="CJ102" s="92"/>
      <c r="CK102" s="92"/>
      <c r="CL102" s="99"/>
      <c r="CM102" s="93"/>
      <c r="CN102" s="116"/>
      <c r="CO102" s="116"/>
      <c r="CP102" s="116"/>
    </row>
    <row r="103" spans="1:100" hidden="1" outlineLevel="1" x14ac:dyDescent="0.2">
      <c r="A103" s="189" t="s">
        <v>93</v>
      </c>
      <c r="B103" s="92"/>
      <c r="C103" s="104">
        <v>246.143</v>
      </c>
      <c r="D103" s="105">
        <v>234.13200000000001</v>
      </c>
      <c r="E103" s="105">
        <v>247.27500000000001</v>
      </c>
      <c r="F103" s="106">
        <v>244.44</v>
      </c>
      <c r="G103" s="161">
        <v>971.99</v>
      </c>
      <c r="H103" s="92"/>
      <c r="I103" s="104">
        <v>262.40800000000002</v>
      </c>
      <c r="J103" s="105">
        <v>251.28800000000001</v>
      </c>
      <c r="K103" s="105">
        <v>285.25400000000002</v>
      </c>
      <c r="L103" s="106">
        <v>269.19299999999998</v>
      </c>
      <c r="M103" s="161">
        <v>1068.143</v>
      </c>
      <c r="N103" s="92"/>
      <c r="O103" s="104">
        <v>262.29399999999998</v>
      </c>
      <c r="P103" s="105">
        <v>251.44800000000001</v>
      </c>
      <c r="Q103" s="105">
        <v>303.66300000000001</v>
      </c>
      <c r="R103" s="147">
        <f>S103-SUM(O103:Q103)</f>
        <v>231.83100000000013</v>
      </c>
      <c r="S103" s="161">
        <v>1049.2360000000001</v>
      </c>
      <c r="T103" s="92"/>
      <c r="U103" s="104">
        <v>319.10500000000002</v>
      </c>
      <c r="V103" s="105">
        <v>280.34199999999998</v>
      </c>
      <c r="W103" s="105">
        <v>290.27</v>
      </c>
      <c r="X103" s="147">
        <f>Y103-SUM(U103:W103)</f>
        <v>228.60199999999998</v>
      </c>
      <c r="Y103" s="161">
        <v>1118.319</v>
      </c>
      <c r="Z103" s="92"/>
      <c r="AA103" s="98"/>
      <c r="AB103" s="92"/>
      <c r="AC103" s="92"/>
      <c r="AD103" s="99"/>
      <c r="AE103" s="93"/>
      <c r="AF103" s="92"/>
      <c r="AG103" s="98"/>
      <c r="AH103" s="92"/>
      <c r="AI103" s="92"/>
      <c r="AJ103" s="99"/>
      <c r="AK103" s="93"/>
      <c r="AL103" s="92"/>
      <c r="AM103" s="98"/>
      <c r="AN103" s="92"/>
      <c r="AO103" s="105">
        <v>334</v>
      </c>
      <c r="AP103" s="99"/>
      <c r="AQ103" s="93"/>
      <c r="AR103" s="92"/>
      <c r="AS103" s="104">
        <v>300</v>
      </c>
      <c r="AT103" s="105">
        <v>317</v>
      </c>
      <c r="AU103" s="105">
        <v>356</v>
      </c>
      <c r="AV103" s="147">
        <f>AW103-SUM(AS103:AU103)</f>
        <v>318</v>
      </c>
      <c r="AW103" s="161">
        <v>1291</v>
      </c>
      <c r="AX103" s="92"/>
      <c r="AY103" s="104">
        <v>304</v>
      </c>
      <c r="AZ103" s="105">
        <v>328</v>
      </c>
      <c r="BA103" s="105">
        <v>483</v>
      </c>
      <c r="BB103" s="147">
        <f>BC103-SUM(AY103:BA103)</f>
        <v>415</v>
      </c>
      <c r="BC103" s="161">
        <v>1530</v>
      </c>
      <c r="BD103" s="92"/>
      <c r="BE103" s="104">
        <v>465</v>
      </c>
      <c r="BF103" s="105">
        <v>513</v>
      </c>
      <c r="BG103" s="105">
        <v>571</v>
      </c>
      <c r="BH103" s="147">
        <f>BI103-SUM(BE103:BG103)</f>
        <v>503</v>
      </c>
      <c r="BI103" s="161">
        <v>2052</v>
      </c>
      <c r="BJ103" s="92"/>
      <c r="BK103" s="104">
        <v>548</v>
      </c>
      <c r="BL103" s="96">
        <v>537</v>
      </c>
      <c r="BM103" s="92"/>
      <c r="BN103" s="99"/>
      <c r="BO103" s="93"/>
      <c r="BP103" s="92"/>
      <c r="BQ103" s="98"/>
      <c r="BR103" s="92"/>
      <c r="BS103" s="92"/>
      <c r="BT103" s="99"/>
      <c r="BU103" s="93"/>
      <c r="BV103" s="92"/>
      <c r="BW103" s="98"/>
      <c r="BX103" s="92"/>
      <c r="BY103" s="92"/>
      <c r="BZ103" s="99"/>
      <c r="CA103" s="93"/>
      <c r="CB103" s="92"/>
      <c r="CC103" s="98"/>
      <c r="CD103" s="92"/>
      <c r="CE103" s="92"/>
      <c r="CF103" s="99"/>
      <c r="CG103" s="93"/>
      <c r="CH103" s="92"/>
      <c r="CI103" s="98"/>
      <c r="CJ103" s="92"/>
      <c r="CK103" s="92"/>
      <c r="CL103" s="99"/>
      <c r="CM103" s="93"/>
      <c r="CN103" s="116"/>
      <c r="CO103" s="116"/>
      <c r="CP103" s="116"/>
    </row>
    <row r="104" spans="1:100" hidden="1" outlineLevel="1" x14ac:dyDescent="0.2">
      <c r="A104" s="189" t="s">
        <v>94</v>
      </c>
      <c r="B104" s="92"/>
      <c r="C104" s="104">
        <v>114.39400000000001</v>
      </c>
      <c r="D104" s="105">
        <v>109.374</v>
      </c>
      <c r="E104" s="105">
        <v>115.322</v>
      </c>
      <c r="F104" s="106">
        <v>118.42700000000002</v>
      </c>
      <c r="G104" s="161">
        <v>457.51700000000005</v>
      </c>
      <c r="H104" s="92"/>
      <c r="I104" s="104">
        <v>126.926</v>
      </c>
      <c r="J104" s="105">
        <v>125.375</v>
      </c>
      <c r="K104" s="105">
        <v>135.44300000000001</v>
      </c>
      <c r="L104" s="106">
        <v>138.00299999999993</v>
      </c>
      <c r="M104" s="161">
        <v>525.74699999999996</v>
      </c>
      <c r="N104" s="92"/>
      <c r="O104" s="104">
        <v>154.535</v>
      </c>
      <c r="P104" s="105">
        <v>141.26599999999999</v>
      </c>
      <c r="Q104" s="105">
        <v>154.83600000000001</v>
      </c>
      <c r="R104" s="147">
        <f>S104-SUM(O104:Q104)</f>
        <v>156.613</v>
      </c>
      <c r="S104" s="161">
        <v>607.25</v>
      </c>
      <c r="T104" s="92"/>
      <c r="U104" s="104">
        <v>162.40100000000001</v>
      </c>
      <c r="V104" s="105">
        <v>143.685</v>
      </c>
      <c r="W104" s="105">
        <v>146.703</v>
      </c>
      <c r="X104" s="147">
        <f>Y104-SUM(U104:W104)</f>
        <v>154.62199999999996</v>
      </c>
      <c r="Y104" s="161">
        <v>607.41099999999994</v>
      </c>
      <c r="Z104" s="92"/>
      <c r="AA104" s="98"/>
      <c r="AB104" s="92"/>
      <c r="AC104" s="92"/>
      <c r="AD104" s="99"/>
      <c r="AE104" s="93"/>
      <c r="AF104" s="92"/>
      <c r="AG104" s="98"/>
      <c r="AH104" s="92"/>
      <c r="AI104" s="92"/>
      <c r="AJ104" s="99"/>
      <c r="AK104" s="93"/>
      <c r="AL104" s="92"/>
      <c r="AM104" s="98"/>
      <c r="AN104" s="92"/>
      <c r="AO104" s="105">
        <v>159</v>
      </c>
      <c r="AP104" s="99"/>
      <c r="AQ104" s="93"/>
      <c r="AR104" s="92"/>
      <c r="AS104" s="104">
        <v>162</v>
      </c>
      <c r="AT104" s="105">
        <v>131</v>
      </c>
      <c r="AU104" s="105">
        <v>155</v>
      </c>
      <c r="AV104" s="147">
        <f>AW104-SUM(AS104:AU104)</f>
        <v>137</v>
      </c>
      <c r="AW104" s="161">
        <v>585</v>
      </c>
      <c r="AX104" s="92"/>
      <c r="AY104" s="104">
        <v>214</v>
      </c>
      <c r="AZ104" s="105">
        <v>200</v>
      </c>
      <c r="BA104" s="105">
        <v>197</v>
      </c>
      <c r="BB104" s="147">
        <f>BC104-SUM(AY104:BA104)</f>
        <v>228</v>
      </c>
      <c r="BC104" s="161">
        <v>839</v>
      </c>
      <c r="BD104" s="92"/>
      <c r="BE104" s="104">
        <v>202</v>
      </c>
      <c r="BF104" s="105">
        <v>202</v>
      </c>
      <c r="BG104" s="105">
        <v>200</v>
      </c>
      <c r="BH104" s="147">
        <f>BI104-SUM(BE104:BG104)</f>
        <v>189</v>
      </c>
      <c r="BI104" s="161">
        <v>793</v>
      </c>
      <c r="BJ104" s="92"/>
      <c r="BK104" s="104">
        <v>198</v>
      </c>
      <c r="BL104" s="96">
        <v>177</v>
      </c>
      <c r="BM104" s="92"/>
      <c r="BN104" s="99"/>
      <c r="BO104" s="93"/>
      <c r="BP104" s="92"/>
      <c r="BQ104" s="98"/>
      <c r="BR104" s="92"/>
      <c r="BS104" s="92"/>
      <c r="BT104" s="99"/>
      <c r="BU104" s="93"/>
      <c r="BV104" s="92"/>
      <c r="BW104" s="98"/>
      <c r="BX104" s="92"/>
      <c r="BY104" s="92"/>
      <c r="BZ104" s="99"/>
      <c r="CA104" s="93"/>
      <c r="CB104" s="92"/>
      <c r="CC104" s="98"/>
      <c r="CD104" s="92"/>
      <c r="CE104" s="92"/>
      <c r="CF104" s="99"/>
      <c r="CG104" s="93"/>
      <c r="CH104" s="92"/>
      <c r="CI104" s="98"/>
      <c r="CJ104" s="92"/>
      <c r="CK104" s="92"/>
      <c r="CL104" s="99"/>
      <c r="CM104" s="93"/>
      <c r="CN104" s="116"/>
      <c r="CO104" s="116"/>
      <c r="CP104" s="116"/>
    </row>
    <row r="105" spans="1:100" hidden="1" outlineLevel="1" x14ac:dyDescent="0.2">
      <c r="A105" s="189" t="s">
        <v>95</v>
      </c>
      <c r="B105" s="92"/>
      <c r="C105" s="104">
        <v>56.234999999999999</v>
      </c>
      <c r="D105" s="105">
        <v>67.91</v>
      </c>
      <c r="E105" s="105">
        <v>65.936999999999998</v>
      </c>
      <c r="F105" s="106">
        <v>76.117999999999995</v>
      </c>
      <c r="G105" s="161">
        <v>266.2</v>
      </c>
      <c r="H105" s="92"/>
      <c r="I105" s="104">
        <v>78.674999999999997</v>
      </c>
      <c r="J105" s="105">
        <v>83.994</v>
      </c>
      <c r="K105" s="105">
        <v>82.831999999999994</v>
      </c>
      <c r="L105" s="106">
        <v>88.119000000000028</v>
      </c>
      <c r="M105" s="161">
        <v>333.62</v>
      </c>
      <c r="N105" s="92"/>
      <c r="O105" s="104">
        <v>99.688999999999993</v>
      </c>
      <c r="P105" s="105">
        <v>92.147000000000006</v>
      </c>
      <c r="Q105" s="105">
        <v>76.176000000000002</v>
      </c>
      <c r="R105" s="147">
        <f>S105-SUM(O105:Q105)</f>
        <v>94.331999999999994</v>
      </c>
      <c r="S105" s="161">
        <v>362.34399999999999</v>
      </c>
      <c r="T105" s="92"/>
      <c r="U105" s="104">
        <v>85.465000000000003</v>
      </c>
      <c r="V105" s="105">
        <v>97.23</v>
      </c>
      <c r="W105" s="105">
        <v>87.100999999999999</v>
      </c>
      <c r="X105" s="147">
        <f>Y105-SUM(U105:W105)</f>
        <v>84.432999999999993</v>
      </c>
      <c r="Y105" s="161">
        <v>354.22899999999998</v>
      </c>
      <c r="Z105" s="92"/>
      <c r="AA105" s="98"/>
      <c r="AB105" s="92"/>
      <c r="AC105" s="92"/>
      <c r="AD105" s="99"/>
      <c r="AE105" s="93"/>
      <c r="AF105" s="92"/>
      <c r="AG105" s="98"/>
      <c r="AH105" s="92"/>
      <c r="AI105" s="92"/>
      <c r="AJ105" s="99"/>
      <c r="AK105" s="93"/>
      <c r="AL105" s="92"/>
      <c r="AM105" s="98"/>
      <c r="AN105" s="92"/>
      <c r="AO105" s="105">
        <v>58</v>
      </c>
      <c r="AP105" s="99"/>
      <c r="AQ105" s="93"/>
      <c r="AR105" s="92"/>
      <c r="AS105" s="104">
        <v>66</v>
      </c>
      <c r="AT105" s="105">
        <v>67</v>
      </c>
      <c r="AU105" s="105">
        <v>66</v>
      </c>
      <c r="AV105" s="147">
        <f>AW105-SUM(AS105:AU105)</f>
        <v>76</v>
      </c>
      <c r="AW105" s="161">
        <v>275</v>
      </c>
      <c r="AX105" s="92"/>
      <c r="AY105" s="98"/>
      <c r="AZ105" s="92"/>
      <c r="BA105" s="92"/>
      <c r="BB105" s="147"/>
      <c r="BC105" s="161"/>
      <c r="BD105" s="92"/>
      <c r="BE105" s="98"/>
      <c r="BF105" s="92"/>
      <c r="BG105" s="92"/>
      <c r="BH105" s="147"/>
      <c r="BI105" s="161"/>
      <c r="BJ105" s="92"/>
      <c r="BK105" s="98"/>
      <c r="BL105" s="92"/>
      <c r="BM105" s="92"/>
      <c r="BN105" s="99"/>
      <c r="BO105" s="93"/>
      <c r="BP105" s="92"/>
      <c r="BQ105" s="98"/>
      <c r="BR105" s="92"/>
      <c r="BS105" s="92"/>
      <c r="BT105" s="99"/>
      <c r="BU105" s="93"/>
      <c r="BV105" s="92"/>
      <c r="BW105" s="98"/>
      <c r="BX105" s="92"/>
      <c r="BY105" s="92"/>
      <c r="BZ105" s="99"/>
      <c r="CA105" s="93"/>
      <c r="CB105" s="92"/>
      <c r="CC105" s="98"/>
      <c r="CD105" s="92"/>
      <c r="CE105" s="92"/>
      <c r="CF105" s="99"/>
      <c r="CG105" s="93"/>
      <c r="CH105" s="92"/>
      <c r="CI105" s="98"/>
      <c r="CJ105" s="92"/>
      <c r="CK105" s="92"/>
      <c r="CL105" s="99"/>
      <c r="CM105" s="93"/>
      <c r="CN105" s="116"/>
      <c r="CO105" s="116"/>
      <c r="CP105" s="116"/>
    </row>
    <row r="106" spans="1:100" hidden="1" outlineLevel="1" x14ac:dyDescent="0.2">
      <c r="A106" s="271" t="s">
        <v>96</v>
      </c>
      <c r="B106" s="272"/>
      <c r="C106" s="273"/>
      <c r="D106" s="272"/>
      <c r="E106" s="272"/>
      <c r="F106" s="274"/>
      <c r="G106" s="275"/>
      <c r="H106" s="272"/>
      <c r="I106" s="273"/>
      <c r="J106" s="272"/>
      <c r="K106" s="272"/>
      <c r="L106" s="274"/>
      <c r="M106" s="275"/>
      <c r="N106" s="272"/>
      <c r="O106" s="273"/>
      <c r="P106" s="272"/>
      <c r="Q106" s="272"/>
      <c r="R106" s="274"/>
      <c r="S106" s="275"/>
      <c r="T106" s="272"/>
      <c r="U106" s="273"/>
      <c r="V106" s="272"/>
      <c r="W106" s="272"/>
      <c r="X106" s="274"/>
      <c r="Y106" s="275"/>
      <c r="Z106" s="272"/>
      <c r="AA106" s="233"/>
      <c r="AD106" s="234"/>
      <c r="AE106" s="275"/>
      <c r="AF106" s="272"/>
      <c r="AG106" s="233"/>
      <c r="AJ106" s="234"/>
      <c r="AK106" s="275"/>
      <c r="AL106" s="272"/>
      <c r="AM106" s="273"/>
      <c r="AN106" s="272"/>
      <c r="AO106" s="272"/>
      <c r="AP106" s="274"/>
      <c r="AQ106" s="275"/>
      <c r="AR106" s="272"/>
      <c r="AS106" s="273"/>
      <c r="AT106" s="272"/>
      <c r="AU106" s="272"/>
      <c r="AV106" s="274"/>
      <c r="AW106" s="275"/>
      <c r="AX106" s="272"/>
      <c r="AY106" s="273"/>
      <c r="AZ106" s="272"/>
      <c r="BA106" s="272"/>
      <c r="BB106" s="274"/>
      <c r="BC106" s="275"/>
      <c r="BD106" s="272"/>
      <c r="BE106" s="273"/>
      <c r="BF106" s="272"/>
      <c r="BG106" s="272"/>
      <c r="BH106" s="274"/>
      <c r="BI106" s="275"/>
      <c r="BJ106" s="272"/>
      <c r="BK106" s="273"/>
      <c r="BL106" s="272"/>
      <c r="BM106" s="272"/>
      <c r="BN106" s="274"/>
      <c r="BO106" s="275"/>
      <c r="BP106" s="272"/>
      <c r="BQ106" s="273"/>
      <c r="BR106" s="272"/>
      <c r="BS106" s="272"/>
      <c r="BT106" s="274"/>
      <c r="BU106" s="275"/>
      <c r="BV106" s="272"/>
      <c r="BW106" s="273"/>
      <c r="BX106" s="272"/>
      <c r="BY106" s="272"/>
      <c r="BZ106" s="274"/>
      <c r="CA106" s="275"/>
      <c r="CB106" s="272"/>
      <c r="CC106" s="273"/>
      <c r="CD106" s="272"/>
      <c r="CE106" s="272"/>
      <c r="CF106" s="274"/>
      <c r="CG106" s="275"/>
      <c r="CH106" s="272"/>
      <c r="CI106" s="273"/>
      <c r="CJ106" s="272"/>
      <c r="CK106" s="272"/>
      <c r="CL106" s="274"/>
      <c r="CM106" s="275"/>
      <c r="CN106" s="54"/>
      <c r="CO106" s="54"/>
      <c r="CP106" s="54"/>
    </row>
    <row r="107" spans="1:100" hidden="1" outlineLevel="1" x14ac:dyDescent="0.2">
      <c r="A107" s="158" t="s">
        <v>93</v>
      </c>
      <c r="B107" s="276"/>
      <c r="C107" s="152"/>
      <c r="D107" s="151"/>
      <c r="E107" s="151"/>
      <c r="F107" s="153"/>
      <c r="G107" s="154"/>
      <c r="H107" s="276"/>
      <c r="I107" s="152"/>
      <c r="J107" s="151"/>
      <c r="K107" s="151"/>
      <c r="L107" s="153"/>
      <c r="M107" s="154"/>
      <c r="N107" s="276"/>
      <c r="O107" s="152"/>
      <c r="P107" s="151"/>
      <c r="Q107" s="151"/>
      <c r="R107" s="153"/>
      <c r="S107" s="154"/>
      <c r="T107" s="276"/>
      <c r="U107" s="152"/>
      <c r="V107" s="151"/>
      <c r="W107" s="151"/>
      <c r="X107" s="153"/>
      <c r="Y107" s="154"/>
      <c r="Z107" s="277"/>
      <c r="AA107" s="278"/>
      <c r="AB107" s="15"/>
      <c r="AC107" s="15"/>
      <c r="AD107" s="279"/>
      <c r="AE107" s="280"/>
      <c r="AF107" s="277"/>
      <c r="AG107" s="278"/>
      <c r="AH107" s="15"/>
      <c r="AI107" s="15"/>
      <c r="AJ107" s="279"/>
      <c r="AK107" s="280"/>
      <c r="AL107" s="277"/>
      <c r="AM107" s="281"/>
      <c r="AN107" s="277"/>
      <c r="AO107" s="188"/>
      <c r="AP107" s="282"/>
      <c r="AQ107" s="280"/>
      <c r="AR107" s="277"/>
      <c r="AS107" s="190"/>
      <c r="AT107" s="188"/>
      <c r="AU107" s="188"/>
      <c r="AV107" s="155"/>
      <c r="AW107" s="156"/>
      <c r="AX107" s="277"/>
      <c r="AY107" s="190"/>
      <c r="AZ107" s="188"/>
      <c r="BA107" s="188"/>
      <c r="BB107" s="155"/>
      <c r="BC107" s="156"/>
      <c r="BD107" s="277"/>
      <c r="BE107" s="190"/>
      <c r="BF107" s="188"/>
      <c r="BG107" s="188"/>
      <c r="BH107" s="155"/>
      <c r="BI107" s="156"/>
      <c r="BJ107" s="277"/>
      <c r="BK107" s="190"/>
      <c r="BL107" s="188"/>
      <c r="BM107" s="277"/>
      <c r="BN107" s="282"/>
      <c r="BO107" s="280"/>
      <c r="BP107" s="277"/>
      <c r="BQ107" s="281"/>
      <c r="BR107" s="277"/>
      <c r="BS107" s="277"/>
      <c r="BT107" s="282"/>
      <c r="BU107" s="280"/>
      <c r="BV107" s="277"/>
      <c r="BW107" s="281"/>
      <c r="BX107" s="277"/>
      <c r="BY107" s="277"/>
      <c r="BZ107" s="282"/>
      <c r="CA107" s="280"/>
      <c r="CB107" s="277"/>
      <c r="CC107" s="281"/>
      <c r="CD107" s="277"/>
      <c r="CE107" s="277"/>
      <c r="CF107" s="282"/>
      <c r="CG107" s="280"/>
      <c r="CH107" s="277"/>
      <c r="CI107" s="281"/>
      <c r="CJ107" s="277"/>
      <c r="CK107" s="277"/>
      <c r="CL107" s="282"/>
      <c r="CM107" s="280"/>
      <c r="CN107" s="54"/>
      <c r="CO107" s="54"/>
      <c r="CP107" s="54"/>
    </row>
    <row r="108" spans="1:100" hidden="1" outlineLevel="1" x14ac:dyDescent="0.2">
      <c r="A108" s="158" t="s">
        <v>94</v>
      </c>
      <c r="B108" s="276"/>
      <c r="C108" s="152"/>
      <c r="D108" s="151"/>
      <c r="E108" s="151"/>
      <c r="F108" s="153"/>
      <c r="G108" s="154"/>
      <c r="H108" s="276"/>
      <c r="I108" s="152"/>
      <c r="J108" s="151"/>
      <c r="K108" s="151"/>
      <c r="L108" s="153"/>
      <c r="M108" s="154"/>
      <c r="N108" s="276"/>
      <c r="O108" s="152"/>
      <c r="P108" s="151"/>
      <c r="Q108" s="151"/>
      <c r="R108" s="153"/>
      <c r="S108" s="154"/>
      <c r="T108" s="276"/>
      <c r="U108" s="152"/>
      <c r="V108" s="151"/>
      <c r="W108" s="151"/>
      <c r="X108" s="153"/>
      <c r="Y108" s="154"/>
      <c r="Z108" s="277"/>
      <c r="AA108" s="278"/>
      <c r="AB108" s="15"/>
      <c r="AC108" s="15"/>
      <c r="AD108" s="279"/>
      <c r="AE108" s="280"/>
      <c r="AF108" s="277"/>
      <c r="AG108" s="278"/>
      <c r="AH108" s="15"/>
      <c r="AI108" s="15"/>
      <c r="AJ108" s="279"/>
      <c r="AK108" s="280"/>
      <c r="AL108" s="277"/>
      <c r="AM108" s="281"/>
      <c r="AN108" s="277"/>
      <c r="AO108" s="188"/>
      <c r="AP108" s="282"/>
      <c r="AQ108" s="280"/>
      <c r="AR108" s="277"/>
      <c r="AS108" s="190"/>
      <c r="AT108" s="188"/>
      <c r="AU108" s="188"/>
      <c r="AV108" s="155"/>
      <c r="AW108" s="156"/>
      <c r="AX108" s="277"/>
      <c r="AY108" s="190"/>
      <c r="AZ108" s="188"/>
      <c r="BA108" s="188"/>
      <c r="BB108" s="155"/>
      <c r="BC108" s="156"/>
      <c r="BD108" s="277"/>
      <c r="BE108" s="190"/>
      <c r="BF108" s="188"/>
      <c r="BG108" s="188"/>
      <c r="BH108" s="155"/>
      <c r="BI108" s="156"/>
      <c r="BJ108" s="277"/>
      <c r="BK108" s="190"/>
      <c r="BL108" s="188"/>
      <c r="BM108" s="277"/>
      <c r="BN108" s="282"/>
      <c r="BO108" s="280"/>
      <c r="BP108" s="277"/>
      <c r="BQ108" s="281"/>
      <c r="BR108" s="277"/>
      <c r="BS108" s="277"/>
      <c r="BT108" s="282"/>
      <c r="BU108" s="280"/>
      <c r="BV108" s="277"/>
      <c r="BW108" s="281"/>
      <c r="BX108" s="277"/>
      <c r="BY108" s="277"/>
      <c r="BZ108" s="282"/>
      <c r="CA108" s="280"/>
      <c r="CB108" s="277"/>
      <c r="CC108" s="281"/>
      <c r="CD108" s="277"/>
      <c r="CE108" s="277"/>
      <c r="CF108" s="282"/>
      <c r="CG108" s="280"/>
      <c r="CH108" s="277"/>
      <c r="CI108" s="281"/>
      <c r="CJ108" s="277"/>
      <c r="CK108" s="277"/>
      <c r="CL108" s="282"/>
      <c r="CM108" s="280"/>
      <c r="CN108" s="54"/>
      <c r="CO108" s="54"/>
      <c r="CP108" s="54"/>
    </row>
    <row r="109" spans="1:100" hidden="1" outlineLevel="1" x14ac:dyDescent="0.2">
      <c r="A109" s="158" t="s">
        <v>95</v>
      </c>
      <c r="B109" s="276"/>
      <c r="C109" s="152"/>
      <c r="D109" s="151"/>
      <c r="E109" s="151"/>
      <c r="F109" s="153"/>
      <c r="G109" s="154"/>
      <c r="H109" s="276"/>
      <c r="I109" s="152"/>
      <c r="J109" s="151"/>
      <c r="K109" s="151"/>
      <c r="L109" s="153"/>
      <c r="M109" s="154"/>
      <c r="N109" s="276"/>
      <c r="O109" s="152"/>
      <c r="P109" s="151"/>
      <c r="Q109" s="151"/>
      <c r="R109" s="153"/>
      <c r="S109" s="154"/>
      <c r="T109" s="276"/>
      <c r="U109" s="152"/>
      <c r="V109" s="151"/>
      <c r="W109" s="151"/>
      <c r="X109" s="153"/>
      <c r="Y109" s="154"/>
      <c r="Z109" s="277"/>
      <c r="AA109" s="278"/>
      <c r="AB109" s="15"/>
      <c r="AC109" s="15"/>
      <c r="AD109" s="279"/>
      <c r="AE109" s="280"/>
      <c r="AF109" s="277"/>
      <c r="AG109" s="278"/>
      <c r="AH109" s="15"/>
      <c r="AI109" s="15"/>
      <c r="AJ109" s="279"/>
      <c r="AK109" s="280"/>
      <c r="AL109" s="277"/>
      <c r="AM109" s="281"/>
      <c r="AN109" s="277"/>
      <c r="AO109" s="188"/>
      <c r="AP109" s="282"/>
      <c r="AQ109" s="280"/>
      <c r="AR109" s="277"/>
      <c r="AS109" s="190"/>
      <c r="AT109" s="188"/>
      <c r="AU109" s="188"/>
      <c r="AV109" s="155"/>
      <c r="AW109" s="156"/>
      <c r="AX109" s="277"/>
      <c r="AY109" s="190"/>
      <c r="AZ109" s="188"/>
      <c r="BA109" s="188"/>
      <c r="BB109" s="155"/>
      <c r="BC109" s="156"/>
      <c r="BD109" s="277"/>
      <c r="BE109" s="190"/>
      <c r="BF109" s="188"/>
      <c r="BG109" s="188"/>
      <c r="BH109" s="155"/>
      <c r="BI109" s="156"/>
      <c r="BJ109" s="277"/>
      <c r="BK109" s="281"/>
      <c r="BL109" s="277"/>
      <c r="BM109" s="277"/>
      <c r="BN109" s="282"/>
      <c r="BO109" s="280"/>
      <c r="BP109" s="277"/>
      <c r="BQ109" s="281"/>
      <c r="BR109" s="277"/>
      <c r="BS109" s="277"/>
      <c r="BT109" s="282"/>
      <c r="BU109" s="280"/>
      <c r="BV109" s="277"/>
      <c r="BW109" s="281"/>
      <c r="BX109" s="277"/>
      <c r="BY109" s="277"/>
      <c r="BZ109" s="282"/>
      <c r="CA109" s="280"/>
      <c r="CB109" s="277"/>
      <c r="CC109" s="281"/>
      <c r="CD109" s="277"/>
      <c r="CE109" s="277"/>
      <c r="CF109" s="282"/>
      <c r="CG109" s="280"/>
      <c r="CH109" s="277"/>
      <c r="CI109" s="281"/>
      <c r="CJ109" s="277"/>
      <c r="CK109" s="277"/>
      <c r="CL109" s="282"/>
      <c r="CM109" s="280"/>
      <c r="CN109" s="54"/>
      <c r="CO109" s="54"/>
      <c r="CP109" s="54"/>
    </row>
    <row r="110" spans="1:100" hidden="1" outlineLevel="1" x14ac:dyDescent="0.2">
      <c r="A110" s="271" t="s">
        <v>97</v>
      </c>
      <c r="B110" s="272"/>
      <c r="C110" s="273"/>
      <c r="D110" s="272"/>
      <c r="E110" s="272"/>
      <c r="F110" s="274"/>
      <c r="G110" s="275"/>
      <c r="H110" s="272"/>
      <c r="I110" s="273"/>
      <c r="J110" s="272"/>
      <c r="K110" s="272"/>
      <c r="L110" s="274"/>
      <c r="M110" s="275"/>
      <c r="N110" s="272"/>
      <c r="O110" s="273"/>
      <c r="P110" s="272"/>
      <c r="Q110" s="272"/>
      <c r="R110" s="274"/>
      <c r="S110" s="275"/>
      <c r="T110" s="272"/>
      <c r="U110" s="273"/>
      <c r="V110" s="272"/>
      <c r="W110" s="272"/>
      <c r="X110" s="274"/>
      <c r="Y110" s="275"/>
      <c r="Z110" s="272"/>
      <c r="AA110" s="233"/>
      <c r="AD110" s="234"/>
      <c r="AE110" s="275"/>
      <c r="AF110" s="272"/>
      <c r="AG110" s="233"/>
      <c r="AJ110" s="234"/>
      <c r="AK110" s="275"/>
      <c r="AL110" s="272"/>
      <c r="AM110" s="273"/>
      <c r="AN110" s="272"/>
      <c r="AO110" s="272"/>
      <c r="AP110" s="274"/>
      <c r="AQ110" s="275"/>
      <c r="AR110" s="272"/>
      <c r="AS110" s="273"/>
      <c r="AT110" s="272"/>
      <c r="AU110" s="272"/>
      <c r="AV110" s="274"/>
      <c r="AW110" s="275"/>
      <c r="AX110" s="272"/>
      <c r="AY110" s="273"/>
      <c r="AZ110" s="272"/>
      <c r="BA110" s="272"/>
      <c r="BB110" s="274"/>
      <c r="BC110" s="275"/>
      <c r="BD110" s="272"/>
      <c r="BE110" s="273"/>
      <c r="BF110" s="272"/>
      <c r="BG110" s="272"/>
      <c r="BH110" s="274"/>
      <c r="BI110" s="275"/>
      <c r="BJ110" s="272"/>
      <c r="BK110" s="273"/>
      <c r="BL110" s="272"/>
      <c r="BM110" s="272"/>
      <c r="BN110" s="274"/>
      <c r="BO110" s="275"/>
      <c r="BP110" s="272"/>
      <c r="BQ110" s="273"/>
      <c r="BR110" s="272"/>
      <c r="BS110" s="272"/>
      <c r="BT110" s="274"/>
      <c r="BU110" s="275"/>
      <c r="BV110" s="272"/>
      <c r="BW110" s="273"/>
      <c r="BX110" s="272"/>
      <c r="BY110" s="272"/>
      <c r="BZ110" s="274"/>
      <c r="CA110" s="275"/>
      <c r="CB110" s="272"/>
      <c r="CC110" s="273"/>
      <c r="CD110" s="272"/>
      <c r="CE110" s="272"/>
      <c r="CF110" s="274"/>
      <c r="CG110" s="275"/>
      <c r="CH110" s="272"/>
      <c r="CI110" s="273"/>
      <c r="CJ110" s="272"/>
      <c r="CK110" s="272"/>
      <c r="CL110" s="274"/>
      <c r="CM110" s="275"/>
      <c r="CN110" s="54"/>
      <c r="CO110" s="54"/>
      <c r="CP110" s="54"/>
    </row>
    <row r="111" spans="1:100" hidden="1" outlineLevel="1" x14ac:dyDescent="0.2">
      <c r="A111" s="189" t="s">
        <v>93</v>
      </c>
      <c r="B111" s="151"/>
      <c r="C111" s="193">
        <v>0.29710326624876338</v>
      </c>
      <c r="D111" s="191">
        <v>0.38013420639645051</v>
      </c>
      <c r="E111" s="191">
        <v>0.44040717693164788</v>
      </c>
      <c r="F111" s="192">
        <v>0.65330867972833484</v>
      </c>
      <c r="G111" s="220">
        <v>0.44884320240055853</v>
      </c>
      <c r="H111" s="151"/>
      <c r="I111" s="152"/>
      <c r="J111" s="151"/>
      <c r="K111" s="151"/>
      <c r="L111" s="153"/>
      <c r="M111" s="154"/>
      <c r="N111" s="151"/>
      <c r="O111" s="152"/>
      <c r="P111" s="151"/>
      <c r="Q111" s="151"/>
      <c r="R111" s="153"/>
      <c r="S111" s="154"/>
      <c r="T111" s="151"/>
      <c r="U111" s="152"/>
      <c r="V111" s="151"/>
      <c r="W111" s="151"/>
      <c r="X111" s="153"/>
      <c r="Y111" s="154"/>
      <c r="Z111" s="188"/>
      <c r="AA111" s="190"/>
      <c r="AB111" s="188"/>
      <c r="AC111" s="188"/>
      <c r="AD111" s="155"/>
      <c r="AE111" s="156"/>
      <c r="AF111" s="188"/>
      <c r="AG111" s="190"/>
      <c r="AH111" s="188"/>
      <c r="AI111" s="188"/>
      <c r="AJ111" s="155"/>
      <c r="AK111" s="156"/>
      <c r="AL111" s="188"/>
      <c r="AM111" s="190"/>
      <c r="AN111" s="188"/>
      <c r="AO111" s="188"/>
      <c r="AP111" s="155"/>
      <c r="AQ111" s="156"/>
      <c r="AR111" s="188"/>
      <c r="AS111" s="190"/>
      <c r="AT111" s="188"/>
      <c r="AU111" s="188"/>
      <c r="AV111" s="155"/>
      <c r="AW111" s="156"/>
      <c r="AX111" s="188"/>
      <c r="AY111" s="190"/>
      <c r="AZ111" s="188"/>
      <c r="BA111" s="188"/>
      <c r="BB111" s="155"/>
      <c r="BC111" s="156"/>
      <c r="BD111" s="188"/>
      <c r="BE111" s="190"/>
      <c r="BF111" s="188"/>
      <c r="BG111" s="188"/>
      <c r="BH111" s="155"/>
      <c r="BI111" s="156"/>
      <c r="BJ111" s="188"/>
      <c r="BK111" s="190"/>
      <c r="BL111" s="188"/>
      <c r="BM111" s="188"/>
      <c r="BN111" s="155"/>
      <c r="BO111" s="156"/>
      <c r="BP111" s="188"/>
      <c r="BQ111" s="190"/>
      <c r="BR111" s="188"/>
      <c r="BS111" s="188"/>
      <c r="BT111" s="155"/>
      <c r="BU111" s="156"/>
      <c r="BV111" s="188"/>
      <c r="BW111" s="190"/>
      <c r="BX111" s="188"/>
      <c r="BY111" s="188"/>
      <c r="BZ111" s="155"/>
      <c r="CA111" s="156"/>
      <c r="CB111" s="188"/>
      <c r="CC111" s="190"/>
      <c r="CD111" s="188"/>
      <c r="CE111" s="188"/>
      <c r="CF111" s="155"/>
      <c r="CG111" s="156"/>
      <c r="CH111" s="188"/>
      <c r="CI111" s="190"/>
      <c r="CJ111" s="188"/>
      <c r="CK111" s="188"/>
      <c r="CL111" s="155"/>
      <c r="CM111" s="156"/>
      <c r="CN111" s="55"/>
      <c r="CO111" s="55"/>
      <c r="CP111" s="55"/>
    </row>
    <row r="112" spans="1:100" hidden="1" outlineLevel="1" x14ac:dyDescent="0.2">
      <c r="A112" s="189" t="s">
        <v>94</v>
      </c>
      <c r="B112" s="151"/>
      <c r="C112" s="193">
        <v>-0.58584882878531752</v>
      </c>
      <c r="D112" s="191">
        <v>0.10330191623494174</v>
      </c>
      <c r="E112" s="191">
        <v>0.1707181122843959</v>
      </c>
      <c r="F112" s="192">
        <v>-0.57024159344556535</v>
      </c>
      <c r="G112" s="220">
        <v>-0.14869956950540461</v>
      </c>
      <c r="H112" s="151"/>
      <c r="I112" s="152"/>
      <c r="J112" s="151"/>
      <c r="K112" s="151"/>
      <c r="L112" s="153"/>
      <c r="M112" s="154"/>
      <c r="N112" s="151"/>
      <c r="O112" s="152"/>
      <c r="P112" s="151"/>
      <c r="Q112" s="151"/>
      <c r="R112" s="153"/>
      <c r="S112" s="154"/>
      <c r="T112" s="151"/>
      <c r="U112" s="152"/>
      <c r="V112" s="151"/>
      <c r="W112" s="151"/>
      <c r="X112" s="153"/>
      <c r="Y112" s="154"/>
      <c r="Z112" s="188"/>
      <c r="AA112" s="190"/>
      <c r="AB112" s="188"/>
      <c r="AC112" s="188"/>
      <c r="AD112" s="155"/>
      <c r="AE112" s="156"/>
      <c r="AF112" s="188"/>
      <c r="AG112" s="190"/>
      <c r="AH112" s="188"/>
      <c r="AI112" s="188"/>
      <c r="AJ112" s="155"/>
      <c r="AK112" s="156"/>
      <c r="AL112" s="188"/>
      <c r="AM112" s="190"/>
      <c r="AN112" s="188"/>
      <c r="AO112" s="188"/>
      <c r="AP112" s="155"/>
      <c r="AQ112" s="156"/>
      <c r="AR112" s="188"/>
      <c r="AS112" s="190"/>
      <c r="AT112" s="188"/>
      <c r="AU112" s="188"/>
      <c r="AV112" s="155"/>
      <c r="AW112" s="156"/>
      <c r="AX112" s="188"/>
      <c r="AY112" s="190"/>
      <c r="AZ112" s="188"/>
      <c r="BA112" s="188"/>
      <c r="BB112" s="155"/>
      <c r="BC112" s="156"/>
      <c r="BD112" s="188"/>
      <c r="BE112" s="190"/>
      <c r="BF112" s="188"/>
      <c r="BG112" s="188"/>
      <c r="BH112" s="155"/>
      <c r="BI112" s="156"/>
      <c r="BJ112" s="188"/>
      <c r="BK112" s="190"/>
      <c r="BL112" s="188"/>
      <c r="BM112" s="188"/>
      <c r="BN112" s="155"/>
      <c r="BO112" s="156"/>
      <c r="BP112" s="188"/>
      <c r="BQ112" s="190"/>
      <c r="BR112" s="188"/>
      <c r="BS112" s="188"/>
      <c r="BT112" s="155"/>
      <c r="BU112" s="156"/>
      <c r="BV112" s="188"/>
      <c r="BW112" s="190"/>
      <c r="BX112" s="188"/>
      <c r="BY112" s="188"/>
      <c r="BZ112" s="155"/>
      <c r="CA112" s="156"/>
      <c r="CB112" s="188"/>
      <c r="CC112" s="190"/>
      <c r="CD112" s="188"/>
      <c r="CE112" s="188"/>
      <c r="CF112" s="155"/>
      <c r="CG112" s="156"/>
      <c r="CH112" s="188"/>
      <c r="CI112" s="190"/>
      <c r="CJ112" s="188"/>
      <c r="CK112" s="188"/>
      <c r="CL112" s="155"/>
      <c r="CM112" s="156"/>
      <c r="CN112" s="55"/>
      <c r="CO112" s="55"/>
      <c r="CP112" s="55"/>
    </row>
    <row r="113" spans="1:101" hidden="1" outlineLevel="1" x14ac:dyDescent="0.2">
      <c r="A113" s="189" t="s">
        <v>95</v>
      </c>
      <c r="B113" s="151"/>
      <c r="C113" s="193">
        <v>0.29243526823489591</v>
      </c>
      <c r="D113" s="191">
        <v>0.40395480225988656</v>
      </c>
      <c r="E113" s="191">
        <v>0.46467743034266573</v>
      </c>
      <c r="F113" s="192">
        <v>0.58891243342305866</v>
      </c>
      <c r="G113" s="220">
        <v>0.45160303267262736</v>
      </c>
      <c r="H113" s="151"/>
      <c r="I113" s="152"/>
      <c r="J113" s="151"/>
      <c r="K113" s="151"/>
      <c r="L113" s="153"/>
      <c r="M113" s="154"/>
      <c r="N113" s="151"/>
      <c r="O113" s="152"/>
      <c r="P113" s="151"/>
      <c r="Q113" s="151"/>
      <c r="R113" s="153"/>
      <c r="S113" s="154"/>
      <c r="T113" s="151"/>
      <c r="U113" s="152"/>
      <c r="V113" s="151"/>
      <c r="W113" s="151"/>
      <c r="X113" s="153"/>
      <c r="Y113" s="154"/>
      <c r="Z113" s="188"/>
      <c r="AA113" s="190"/>
      <c r="AB113" s="188"/>
      <c r="AC113" s="188"/>
      <c r="AD113" s="155"/>
      <c r="AE113" s="156"/>
      <c r="AF113" s="188"/>
      <c r="AG113" s="190"/>
      <c r="AH113" s="188"/>
      <c r="AI113" s="188"/>
      <c r="AJ113" s="155"/>
      <c r="AK113" s="156"/>
      <c r="AL113" s="188"/>
      <c r="AM113" s="190"/>
      <c r="AN113" s="188"/>
      <c r="AO113" s="188"/>
      <c r="AP113" s="155"/>
      <c r="AQ113" s="156"/>
      <c r="AR113" s="188"/>
      <c r="AS113" s="190"/>
      <c r="AT113" s="188"/>
      <c r="AU113" s="188"/>
      <c r="AV113" s="155"/>
      <c r="AW113" s="156"/>
      <c r="AX113" s="188"/>
      <c r="AY113" s="190"/>
      <c r="AZ113" s="188"/>
      <c r="BA113" s="188"/>
      <c r="BB113" s="155"/>
      <c r="BC113" s="156"/>
      <c r="BD113" s="188"/>
      <c r="BE113" s="190"/>
      <c r="BF113" s="188"/>
      <c r="BG113" s="188"/>
      <c r="BH113" s="155"/>
      <c r="BI113" s="156"/>
      <c r="BJ113" s="188"/>
      <c r="BK113" s="190"/>
      <c r="BL113" s="188"/>
      <c r="BM113" s="188"/>
      <c r="BN113" s="155"/>
      <c r="BO113" s="156"/>
      <c r="BP113" s="188"/>
      <c r="BQ113" s="190"/>
      <c r="BR113" s="188"/>
      <c r="BS113" s="188"/>
      <c r="BT113" s="155"/>
      <c r="BU113" s="156"/>
      <c r="BV113" s="188"/>
      <c r="BW113" s="190"/>
      <c r="BX113" s="188"/>
      <c r="BY113" s="188"/>
      <c r="BZ113" s="155"/>
      <c r="CA113" s="156"/>
      <c r="CB113" s="188"/>
      <c r="CC113" s="190"/>
      <c r="CD113" s="188"/>
      <c r="CE113" s="188"/>
      <c r="CF113" s="155"/>
      <c r="CG113" s="156"/>
      <c r="CH113" s="188"/>
      <c r="CI113" s="190"/>
      <c r="CJ113" s="188"/>
      <c r="CK113" s="188"/>
      <c r="CL113" s="155"/>
      <c r="CM113" s="156"/>
      <c r="CN113" s="55"/>
      <c r="CO113" s="55"/>
      <c r="CP113" s="55"/>
    </row>
    <row r="114" spans="1:101" hidden="1" outlineLevel="1" x14ac:dyDescent="0.2">
      <c r="A114" s="196" t="s">
        <v>98</v>
      </c>
      <c r="B114" s="199"/>
      <c r="C114" s="221">
        <v>0.22817639029463521</v>
      </c>
      <c r="D114" s="222">
        <v>0.29710312098342295</v>
      </c>
      <c r="E114" s="222">
        <v>0.34429351421946791</v>
      </c>
      <c r="F114" s="223">
        <v>0.19265397560172789</v>
      </c>
      <c r="G114" s="224">
        <v>0.26670345386772409</v>
      </c>
      <c r="H114" s="199"/>
      <c r="I114" s="198">
        <f>(I17-C17)/(I7-C7)</f>
        <v>0.16696126482987633</v>
      </c>
      <c r="J114" s="199">
        <f>(J17-D17)/(J7-D7)</f>
        <v>0.37132097097711658</v>
      </c>
      <c r="K114" s="199">
        <f>(K17-E17)/(K7-E7)</f>
        <v>0.31568039453704966</v>
      </c>
      <c r="L114" s="200">
        <f>(L17-F17)/(L7-F7)</f>
        <v>0.29531241532541974</v>
      </c>
      <c r="M114" s="201">
        <f>(M17-G17)/(M7-G7)</f>
        <v>0.28476189878107716</v>
      </c>
      <c r="N114" s="199"/>
      <c r="O114" s="198">
        <f>(O17-I17)/(O7-I7)</f>
        <v>-1.1927404273582778</v>
      </c>
      <c r="P114" s="199">
        <f>(P17-J17)/(P7-J7)</f>
        <v>0.53476631704372424</v>
      </c>
      <c r="Q114" s="199">
        <f>(Q17-K17)/(Q7-K7)</f>
        <v>-7.8450081707406902E-2</v>
      </c>
      <c r="R114" s="200">
        <f>(R17-L17)/(R7-L7)</f>
        <v>1.3954436711613809</v>
      </c>
      <c r="S114" s="201">
        <f>(S17-M17)/(S7-M7)</f>
        <v>-0.22232532847879877</v>
      </c>
      <c r="T114" s="199"/>
      <c r="U114" s="198">
        <f>(U17-O17)/(U7-O7)</f>
        <v>0.1435478100884148</v>
      </c>
      <c r="V114" s="199">
        <f>(V17-P17)/(V7-P7)</f>
        <v>0.56934469797965026</v>
      </c>
      <c r="W114" s="199">
        <f>(W17-Q17)/(W7-Q7)</f>
        <v>0.11452790723276311</v>
      </c>
      <c r="X114" s="200">
        <f>(X17-R17)/(X7-R7)</f>
        <v>-0.69950970164823911</v>
      </c>
      <c r="Y114" s="201">
        <f>(Y17-S17)/(Y7-S7)</f>
        <v>0.22591419850574754</v>
      </c>
      <c r="Z114" s="197"/>
      <c r="AA114" s="198">
        <f>(AA17-U17)/(AA7-U7)</f>
        <v>0.47979448728884438</v>
      </c>
      <c r="AB114" s="199">
        <f>(AB17-V17)/(AB7-V7)</f>
        <v>5.4521689404459381E-2</v>
      </c>
      <c r="AC114" s="199">
        <f>(AC17-W17)/(AC7-W7)</f>
        <v>0.20027608325480539</v>
      </c>
      <c r="AD114" s="200">
        <f>(AD17-X17)/(AD7-X7)</f>
        <v>0.10239507418294393</v>
      </c>
      <c r="AE114" s="201">
        <f>(AE17-Y17)/(AE7-Y7)</f>
        <v>-7.8661456264288165E-3</v>
      </c>
      <c r="AF114" s="197"/>
      <c r="AG114" s="198">
        <f>(AG17-AA17)/(AG7-AA7)</f>
        <v>-1.0732204034627466</v>
      </c>
      <c r="AH114" s="199">
        <f>(AH17-AB17)/(AH7-AB7)</f>
        <v>-0.49241371237948084</v>
      </c>
      <c r="AI114" s="199">
        <f>(AI17-AC17)/(AI7-AC7)</f>
        <v>6.3789672148319113E-2</v>
      </c>
      <c r="AJ114" s="200">
        <f>(AJ17-AD17)/(AJ7-AD7)</f>
        <v>0.6430747263208022</v>
      </c>
      <c r="AK114" s="201">
        <f>(AK17-AE17)/(AK7-AE7)</f>
        <v>-0.78207605817075443</v>
      </c>
      <c r="AL114" s="197"/>
      <c r="AM114" s="198">
        <f>(AM17-AG17)/(AM7-AG7)</f>
        <v>1.0690804270358696</v>
      </c>
      <c r="AN114" s="199">
        <f>(AN17-AH17)/(AN7-AH7)</f>
        <v>0.24770353152043115</v>
      </c>
      <c r="AO114" s="199">
        <f>(AO17-AI17)/(AO7-AI7)</f>
        <v>-3.4960628829680859E-2</v>
      </c>
      <c r="AP114" s="200">
        <f>(AP17-AJ17)/(AP7-AJ7)</f>
        <v>0.2506702226170498</v>
      </c>
      <c r="AQ114" s="201">
        <f>(AQ17-AK17)/(AQ7-AK7)</f>
        <v>0.35280949053063837</v>
      </c>
      <c r="AR114" s="197"/>
      <c r="AS114" s="198">
        <f>(AS17-AM17)/(AS7-AM7)</f>
        <v>-0.11837949401959641</v>
      </c>
      <c r="AT114" s="199">
        <f>(AT17-AN17)/(AT7-AN7)</f>
        <v>0.41131588132635366</v>
      </c>
      <c r="AU114" s="199">
        <f>(AU17-AO17)/(AU7-AO7)</f>
        <v>0.25720067988016143</v>
      </c>
      <c r="AV114" s="200">
        <f>(AV17-AP17)/(AV7-AP7)</f>
        <v>0.24349176389842489</v>
      </c>
      <c r="AW114" s="201">
        <f>(AW17-AQ17)/(AW7-AQ7)</f>
        <v>0.17198994035045961</v>
      </c>
      <c r="AX114" s="197"/>
      <c r="AY114" s="198">
        <f>(AY17-AS17)/(AY7-AS7)</f>
        <v>0.15894039735099835</v>
      </c>
      <c r="AZ114" s="199">
        <f>(AZ17-AT17)/(AZ7-AT7)</f>
        <v>0.3726218097447857</v>
      </c>
      <c r="BA114" s="199">
        <f>(BA17-AU17)/(BA7-AU7)</f>
        <v>0.21903298504404808</v>
      </c>
      <c r="BB114" s="200">
        <f>(BB17-AV17)/(BB7-AV7)</f>
        <v>0.22900313291175795</v>
      </c>
      <c r="BC114" s="201">
        <f>(BC17-AW17)/(BC7-AW7)</f>
        <v>0.22072309930491918</v>
      </c>
      <c r="BD114" s="197"/>
      <c r="BE114" s="198">
        <f>(BE17-AY17)/(BE7-AY7)</f>
        <v>0.24662628838593093</v>
      </c>
      <c r="BF114" s="199">
        <f>(BF17-AZ17)/(BF7-AZ7)</f>
        <v>0.26485718485130583</v>
      </c>
      <c r="BG114" s="199">
        <f>(BG17-BA17)/(BG7-BA7)</f>
        <v>0.92388059701492675</v>
      </c>
      <c r="BH114" s="200">
        <f>(BH17-BB17)/(BH7-BB7)</f>
        <v>-0.10778443113772455</v>
      </c>
      <c r="BI114" s="201">
        <f>(BI17-BC17)/(BI7-BC7)</f>
        <v>0.24881014733677945</v>
      </c>
      <c r="BJ114" s="197"/>
      <c r="BK114" s="198">
        <f>(BK17-BE17)/(BK7-BE7)</f>
        <v>-0.85079726651481213</v>
      </c>
      <c r="BL114" s="199">
        <f>(BL17-BF17)/(BL7-BF7)</f>
        <v>0.37009803921568629</v>
      </c>
      <c r="BM114" s="199">
        <f>(BM17-BG17)/(BM7-BG7)</f>
        <v>0.10909090909090909</v>
      </c>
      <c r="BN114" s="200">
        <f>(BN17-BH17)/(BN7-BH7)</f>
        <v>-0.64420085913197511</v>
      </c>
      <c r="BO114" s="201">
        <f>(BO17-BI17)/(BO7-BI7)</f>
        <v>-0.11735639283508338</v>
      </c>
      <c r="BP114" s="197"/>
      <c r="BQ114" s="198">
        <f>(BQ17-BK17)/(BQ7-BK7)</f>
        <v>0.19620253164556961</v>
      </c>
      <c r="BR114" s="199">
        <f>(BR17-BL17)/(BR7-BL7)</f>
        <v>0.33369902169525256</v>
      </c>
      <c r="BS114" s="199">
        <f>(BS17-BM17)/(BS7-BM7)</f>
        <v>0.33651613502436545</v>
      </c>
      <c r="BT114" s="200">
        <f>(BT17-BN17)/(BT7-BN7)</f>
        <v>0.37859501256621442</v>
      </c>
      <c r="BU114" s="201">
        <f>(BU17-BO17)/(BU7-BO7)</f>
        <v>0.342998797510987</v>
      </c>
      <c r="BV114" s="197"/>
      <c r="BW114" s="198">
        <f>(BW17-BQ17)/(BW7-BQ7)</f>
        <v>0.34885437119990925</v>
      </c>
      <c r="BX114" s="199">
        <f>(BX17-BR17)/(BX7-BR7)</f>
        <v>0.64212297309569077</v>
      </c>
      <c r="BY114" s="199">
        <f>(BY17-BS17)/(BY7-BS7)</f>
        <v>0.36835151835732682</v>
      </c>
      <c r="BZ114" s="200">
        <f>(BZ17-BT17)/(BZ7-BT7)</f>
        <v>0.48107067110343699</v>
      </c>
      <c r="CA114" s="201">
        <f>(CA17-BU17)/(CA7-BU7)</f>
        <v>0.40130863312295706</v>
      </c>
      <c r="CB114" s="197"/>
      <c r="CC114" s="198">
        <f>(CC17-BW17)/(CC7-BW7)</f>
        <v>0.70223114979742529</v>
      </c>
      <c r="CD114" s="199">
        <f>(CD17-BX17)/(CD7-BX7)</f>
        <v>0.71075526054353444</v>
      </c>
      <c r="CE114" s="199">
        <f>(CE17-BY17)/(CE7-BY7)</f>
        <v>0.70783036399319665</v>
      </c>
      <c r="CF114" s="200">
        <f>(CF17-BZ17)/(CF7-BZ7)</f>
        <v>0.70781342870545161</v>
      </c>
      <c r="CG114" s="201">
        <f>(CG17-CA17)/(CG7-CA7)</f>
        <v>0.70718051820489147</v>
      </c>
      <c r="CH114" s="197"/>
      <c r="CI114" s="198">
        <f>(CI17-CC17)/(CI7-CC7)</f>
        <v>0.53541202983220837</v>
      </c>
      <c r="CJ114" s="199">
        <f>(CJ17-CD17)/(CJ7-CD7)</f>
        <v>0.40387568351649872</v>
      </c>
      <c r="CK114" s="199">
        <f>(CK17-CE17)/(CK7-CE7)</f>
        <v>0.61967043603976057</v>
      </c>
      <c r="CL114" s="200">
        <f>(CL17-CF17)/(CL7-CF7)</f>
        <v>0.61941718859430195</v>
      </c>
      <c r="CM114" s="201">
        <f>(CM17-CG17)/(CM7-CG7)</f>
        <v>0.54638765431559655</v>
      </c>
      <c r="CN114" s="55"/>
      <c r="CO114" s="55"/>
      <c r="CP114" s="55"/>
    </row>
    <row r="115" spans="1:101" s="11" customFormat="1" collapsed="1" x14ac:dyDescent="0.2">
      <c r="A115" s="283"/>
      <c r="B115" s="262"/>
      <c r="C115" s="262"/>
      <c r="D115" s="262"/>
      <c r="E115" s="262"/>
      <c r="F115" s="262"/>
      <c r="G115" s="262"/>
      <c r="H115" s="262"/>
      <c r="I115" s="262"/>
      <c r="J115" s="262"/>
      <c r="K115" s="262"/>
      <c r="L115" s="262"/>
      <c r="M115" s="262"/>
      <c r="N115" s="262"/>
      <c r="O115" s="262"/>
      <c r="P115" s="262"/>
      <c r="Q115" s="262"/>
      <c r="R115" s="262"/>
      <c r="S115" s="262"/>
      <c r="T115" s="262"/>
      <c r="U115" s="262"/>
      <c r="V115" s="262"/>
      <c r="W115" s="262"/>
      <c r="X115" s="262"/>
      <c r="Y115" s="262"/>
      <c r="Z115" s="262"/>
      <c r="AA115" s="263"/>
      <c r="AB115" s="263"/>
      <c r="AC115" s="263"/>
      <c r="AD115" s="263"/>
      <c r="AE115" s="262"/>
      <c r="AF115" s="262"/>
      <c r="AG115" s="263"/>
      <c r="AH115" s="263"/>
      <c r="AI115" s="263"/>
      <c r="AJ115" s="263"/>
      <c r="AK115" s="262"/>
      <c r="AL115" s="262"/>
      <c r="AM115" s="262"/>
      <c r="AN115" s="262"/>
      <c r="AO115" s="262"/>
      <c r="AP115" s="262"/>
      <c r="AQ115" s="262"/>
      <c r="AR115" s="262"/>
      <c r="AS115" s="262"/>
      <c r="AT115" s="262"/>
      <c r="AU115" s="262"/>
      <c r="AV115" s="262"/>
      <c r="AW115" s="262"/>
      <c r="AX115" s="262"/>
      <c r="AY115" s="262"/>
      <c r="AZ115" s="262"/>
      <c r="BA115" s="262"/>
      <c r="BB115" s="262"/>
      <c r="BC115" s="262"/>
      <c r="BD115" s="262"/>
      <c r="BE115" s="262"/>
      <c r="BF115" s="262"/>
      <c r="BG115" s="262"/>
      <c r="BH115" s="262"/>
      <c r="BI115" s="262"/>
      <c r="BJ115" s="262"/>
      <c r="BK115" s="262"/>
      <c r="BL115" s="262"/>
      <c r="BM115" s="262"/>
      <c r="BN115" s="262"/>
      <c r="BO115" s="262"/>
      <c r="BP115" s="262"/>
      <c r="BQ115" s="262"/>
      <c r="BR115" s="262"/>
      <c r="BS115" s="262"/>
      <c r="BT115" s="262"/>
      <c r="BU115" s="262"/>
      <c r="BV115" s="262"/>
      <c r="BW115" s="262"/>
      <c r="BX115" s="262"/>
      <c r="BY115" s="262"/>
      <c r="BZ115" s="262"/>
      <c r="CA115" s="262"/>
      <c r="CB115" s="262"/>
      <c r="CC115" s="262"/>
      <c r="CD115" s="262"/>
      <c r="CE115" s="262"/>
      <c r="CF115" s="262"/>
      <c r="CG115" s="262"/>
      <c r="CH115" s="262"/>
      <c r="CI115" s="262"/>
      <c r="CJ115" s="262"/>
      <c r="CK115" s="262"/>
      <c r="CL115" s="262"/>
      <c r="CM115" s="262"/>
      <c r="CN115" s="54"/>
      <c r="CO115" s="54"/>
      <c r="CP115" s="54"/>
      <c r="CQ115"/>
      <c r="CR115"/>
      <c r="CS115"/>
      <c r="CT115"/>
      <c r="CU115"/>
      <c r="CV115"/>
    </row>
    <row r="117" spans="1:101" s="289" customFormat="1" x14ac:dyDescent="0.2">
      <c r="A117" s="284" t="s">
        <v>99</v>
      </c>
      <c r="B117" s="285"/>
      <c r="C117" s="286"/>
      <c r="D117" s="285"/>
      <c r="E117" s="285"/>
      <c r="F117" s="287"/>
      <c r="G117" s="288"/>
      <c r="H117" s="285"/>
      <c r="I117" s="286"/>
      <c r="J117" s="285"/>
      <c r="K117" s="285"/>
      <c r="L117" s="287"/>
      <c r="M117" s="288"/>
      <c r="N117" s="285"/>
      <c r="O117" s="286"/>
      <c r="P117" s="285"/>
      <c r="Q117" s="285"/>
      <c r="R117" s="287"/>
      <c r="S117" s="288"/>
      <c r="T117" s="285"/>
      <c r="U117" s="286"/>
      <c r="V117" s="285"/>
      <c r="W117" s="285"/>
      <c r="X117" s="287"/>
      <c r="Y117" s="288"/>
      <c r="Z117" s="285"/>
      <c r="AA117" s="286"/>
      <c r="AB117" s="285"/>
      <c r="AC117" s="285"/>
      <c r="AD117" s="287"/>
      <c r="AE117" s="288"/>
      <c r="AF117" s="285"/>
      <c r="AG117" s="286"/>
      <c r="AH117" s="285"/>
      <c r="AI117" s="285"/>
      <c r="AJ117" s="287"/>
      <c r="AK117" s="288"/>
      <c r="AL117" s="285"/>
      <c r="AM117" s="286"/>
      <c r="AN117" s="285"/>
      <c r="AO117" s="285"/>
      <c r="AP117" s="287"/>
      <c r="AQ117" s="288"/>
      <c r="AR117" s="285"/>
      <c r="AS117" s="286"/>
      <c r="AT117" s="285"/>
      <c r="AU117" s="285"/>
      <c r="AV117" s="287"/>
      <c r="AW117" s="288"/>
      <c r="AX117" s="285"/>
      <c r="AY117" s="286"/>
      <c r="AZ117" s="285"/>
      <c r="BA117" s="285"/>
      <c r="BB117" s="287"/>
      <c r="BC117" s="288"/>
      <c r="BD117" s="285"/>
      <c r="BE117" s="286"/>
      <c r="BF117" s="285"/>
      <c r="BG117" s="285"/>
      <c r="BH117" s="287"/>
      <c r="BI117" s="288"/>
      <c r="BJ117" s="285"/>
      <c r="BK117" s="286"/>
      <c r="BL117" s="285"/>
      <c r="BM117" s="285"/>
      <c r="BN117" s="287"/>
      <c r="BO117" s="288"/>
      <c r="BP117" s="285"/>
      <c r="BQ117" s="286"/>
      <c r="BR117" s="285"/>
      <c r="BS117" s="285"/>
      <c r="BT117" s="287"/>
      <c r="BU117" s="288"/>
      <c r="BV117" s="285"/>
      <c r="BW117" s="286"/>
      <c r="BX117" s="285"/>
      <c r="BY117" s="285"/>
      <c r="BZ117" s="287"/>
      <c r="CA117" s="288"/>
      <c r="CB117" s="285"/>
      <c r="CC117" s="286"/>
      <c r="CD117" s="285"/>
      <c r="CE117" s="285"/>
      <c r="CF117" s="287"/>
      <c r="CG117" s="288"/>
      <c r="CH117" s="285"/>
      <c r="CI117" s="286"/>
      <c r="CJ117" s="285"/>
      <c r="CK117" s="285"/>
      <c r="CL117" s="287"/>
      <c r="CM117" s="288"/>
      <c r="CN117" s="11"/>
      <c r="CO117" s="11"/>
      <c r="CP117" s="11"/>
      <c r="CQ117"/>
      <c r="CR117"/>
      <c r="CS117"/>
      <c r="CT117"/>
      <c r="CU117"/>
      <c r="CV117"/>
    </row>
    <row r="118" spans="1:101" x14ac:dyDescent="0.2">
      <c r="A118" s="290" t="s">
        <v>100</v>
      </c>
      <c r="C118" s="152">
        <f>G118</f>
        <v>0.26</v>
      </c>
      <c r="D118" s="151">
        <f>C118</f>
        <v>0.26</v>
      </c>
      <c r="E118" s="151">
        <f>D118</f>
        <v>0.26</v>
      </c>
      <c r="F118" s="153">
        <f>E118</f>
        <v>0.26</v>
      </c>
      <c r="G118" s="220">
        <f>+(35+0.2-9.2)%</f>
        <v>0.26</v>
      </c>
      <c r="H118" s="188"/>
      <c r="I118" s="152">
        <f>M118</f>
        <v>0.28299999999999997</v>
      </c>
      <c r="J118" s="151">
        <f>I118</f>
        <v>0.28299999999999997</v>
      </c>
      <c r="K118" s="151">
        <f>J118</f>
        <v>0.28299999999999997</v>
      </c>
      <c r="L118" s="153">
        <f>K118</f>
        <v>0.28299999999999997</v>
      </c>
      <c r="M118" s="220">
        <f>+(35+1.4-8.1)%</f>
        <v>0.28299999999999997</v>
      </c>
      <c r="N118" s="188"/>
      <c r="O118" s="152">
        <f>S118</f>
        <v>0.28200000000000003</v>
      </c>
      <c r="P118" s="151">
        <f>O118</f>
        <v>0.28200000000000003</v>
      </c>
      <c r="Q118" s="151">
        <f>P118</f>
        <v>0.28200000000000003</v>
      </c>
      <c r="R118" s="153">
        <f>Q118</f>
        <v>0.28200000000000003</v>
      </c>
      <c r="S118" s="220">
        <f>+(35+0.6-7.4)%</f>
        <v>0.28200000000000003</v>
      </c>
      <c r="T118" s="188"/>
      <c r="U118" s="152">
        <f>Y118</f>
        <v>0.30399999999999999</v>
      </c>
      <c r="V118" s="151">
        <f>U118</f>
        <v>0.30399999999999999</v>
      </c>
      <c r="W118" s="151">
        <f>V118</f>
        <v>0.30399999999999999</v>
      </c>
      <c r="X118" s="153">
        <f>W118</f>
        <v>0.30399999999999999</v>
      </c>
      <c r="Y118" s="220">
        <f>+(35+1-5.6)%</f>
        <v>0.30399999999999999</v>
      </c>
      <c r="Z118" s="188"/>
      <c r="AA118" s="152">
        <f>AE118</f>
        <v>0.27</v>
      </c>
      <c r="AB118" s="151">
        <f>AA118</f>
        <v>0.27</v>
      </c>
      <c r="AC118" s="151">
        <f>AB118</f>
        <v>0.27</v>
      </c>
      <c r="AD118" s="153">
        <f>AC118</f>
        <v>0.27</v>
      </c>
      <c r="AE118" s="220">
        <f>(35+0.2-8.2)%</f>
        <v>0.27</v>
      </c>
      <c r="AF118" s="188"/>
      <c r="AG118" s="152">
        <f>AK118</f>
        <v>0.27</v>
      </c>
      <c r="AH118" s="151">
        <f>AG118</f>
        <v>0.27</v>
      </c>
      <c r="AI118" s="151">
        <f>AH118</f>
        <v>0.27</v>
      </c>
      <c r="AJ118" s="153">
        <f>AI118</f>
        <v>0.27</v>
      </c>
      <c r="AK118" s="220">
        <f>+(35+0.2-8.2)%</f>
        <v>0.27</v>
      </c>
      <c r="AL118" s="188"/>
      <c r="AM118" s="152">
        <f>AQ118</f>
        <v>0.24099999999999999</v>
      </c>
      <c r="AN118" s="151">
        <f>AM118</f>
        <v>0.24099999999999999</v>
      </c>
      <c r="AO118" s="151">
        <f>AN118</f>
        <v>0.24099999999999999</v>
      </c>
      <c r="AP118" s="153">
        <f>AO118</f>
        <v>0.24099999999999999</v>
      </c>
      <c r="AQ118" s="220">
        <f>+(35-1.2-9.7)%</f>
        <v>0.24099999999999999</v>
      </c>
      <c r="AR118" s="188"/>
      <c r="AS118" s="152">
        <f>AW118</f>
        <v>0.255</v>
      </c>
      <c r="AT118" s="151">
        <f>AS118</f>
        <v>0.255</v>
      </c>
      <c r="AU118" s="151">
        <f>AT118</f>
        <v>0.255</v>
      </c>
      <c r="AV118" s="153">
        <f>AU118</f>
        <v>0.255</v>
      </c>
      <c r="AW118" s="220">
        <v>0.255</v>
      </c>
      <c r="AX118" s="188"/>
      <c r="AY118" s="152">
        <f>BC118</f>
        <v>0.255</v>
      </c>
      <c r="AZ118" s="151">
        <f>AY118</f>
        <v>0.255</v>
      </c>
      <c r="BA118" s="151">
        <f>AZ118</f>
        <v>0.255</v>
      </c>
      <c r="BB118" s="153">
        <f>BA118</f>
        <v>0.255</v>
      </c>
      <c r="BC118" s="220">
        <v>0.255</v>
      </c>
      <c r="BD118" s="188"/>
      <c r="BE118" s="152">
        <f>BI118</f>
        <v>0.255</v>
      </c>
      <c r="BF118" s="151">
        <f>BE118</f>
        <v>0.255</v>
      </c>
      <c r="BG118" s="151">
        <f>BF118</f>
        <v>0.255</v>
      </c>
      <c r="BH118" s="153">
        <f>BG118</f>
        <v>0.255</v>
      </c>
      <c r="BI118" s="220">
        <v>0.255</v>
      </c>
      <c r="BJ118" s="188"/>
      <c r="BK118" s="152">
        <f>BO118</f>
        <v>0.255</v>
      </c>
      <c r="BL118" s="151">
        <f>BK118</f>
        <v>0.255</v>
      </c>
      <c r="BM118" s="151">
        <f>BL118</f>
        <v>0.255</v>
      </c>
      <c r="BN118" s="153">
        <f>BM118</f>
        <v>0.255</v>
      </c>
      <c r="BO118" s="220">
        <v>0.255</v>
      </c>
      <c r="BP118" s="188"/>
      <c r="BQ118" s="152">
        <f>BU118</f>
        <v>0.255</v>
      </c>
      <c r="BR118" s="151">
        <f>BQ118</f>
        <v>0.255</v>
      </c>
      <c r="BS118" s="151">
        <f>BR118</f>
        <v>0.255</v>
      </c>
      <c r="BT118" s="153">
        <f>BS118</f>
        <v>0.255</v>
      </c>
      <c r="BU118" s="220">
        <v>0.255</v>
      </c>
      <c r="BV118" s="188"/>
      <c r="BW118" s="152">
        <f>CA118</f>
        <v>0.255</v>
      </c>
      <c r="BX118" s="151">
        <f>BW118</f>
        <v>0.255</v>
      </c>
      <c r="BY118" s="151">
        <f>BX118</f>
        <v>0.255</v>
      </c>
      <c r="BZ118" s="153">
        <f>BY118</f>
        <v>0.255</v>
      </c>
      <c r="CA118" s="220">
        <v>0.255</v>
      </c>
      <c r="CB118" s="188"/>
      <c r="CC118" s="152">
        <f>CG118</f>
        <v>0.255</v>
      </c>
      <c r="CD118" s="151">
        <f>CC118</f>
        <v>0.255</v>
      </c>
      <c r="CE118" s="151">
        <f>CD118</f>
        <v>0.255</v>
      </c>
      <c r="CF118" s="153">
        <f>CE118</f>
        <v>0.255</v>
      </c>
      <c r="CG118" s="220">
        <v>0.255</v>
      </c>
      <c r="CH118" s="188"/>
      <c r="CI118" s="152">
        <f>CM118</f>
        <v>0.255</v>
      </c>
      <c r="CJ118" s="151">
        <f>CI118</f>
        <v>0.255</v>
      </c>
      <c r="CK118" s="151">
        <f>CJ118</f>
        <v>0.255</v>
      </c>
      <c r="CL118" s="153">
        <f>CK118</f>
        <v>0.255</v>
      </c>
      <c r="CM118" s="220">
        <v>0.255</v>
      </c>
    </row>
    <row r="119" spans="1:101" s="289" customFormat="1" x14ac:dyDescent="0.2">
      <c r="A119" s="189" t="s">
        <v>101</v>
      </c>
      <c r="B119" s="92"/>
      <c r="C119" s="104">
        <v>245.55</v>
      </c>
      <c r="D119" s="105">
        <v>245.41800000000001</v>
      </c>
      <c r="E119" s="105">
        <v>244.91800000000001</v>
      </c>
      <c r="F119" s="106">
        <v>254.8</v>
      </c>
      <c r="G119" s="161">
        <v>254.8</v>
      </c>
      <c r="H119" s="92"/>
      <c r="I119" s="104">
        <v>244.292</v>
      </c>
      <c r="J119" s="105">
        <v>244.869</v>
      </c>
      <c r="K119" s="105">
        <v>244.273</v>
      </c>
      <c r="L119" s="106">
        <v>252.7</v>
      </c>
      <c r="M119" s="161">
        <v>252.7</v>
      </c>
      <c r="N119" s="92"/>
      <c r="O119" s="98">
        <f>CFS!O86</f>
        <v>242.39699999999999</v>
      </c>
      <c r="P119" s="92">
        <f>CFS!P86</f>
        <v>240.239</v>
      </c>
      <c r="Q119" s="92">
        <f>CFS!Q86</f>
        <v>240.10900000000001</v>
      </c>
      <c r="R119" s="99">
        <f>CFS!R86</f>
        <v>239.16200000000001</v>
      </c>
      <c r="S119" s="161">
        <v>240.47900000000001</v>
      </c>
      <c r="T119" s="92"/>
      <c r="U119" s="98">
        <f>CFS!U86</f>
        <v>237.36</v>
      </c>
      <c r="V119" s="92">
        <f>CFS!V86</f>
        <v>235.32499999999999</v>
      </c>
      <c r="W119" s="92">
        <f>CFS!W86</f>
        <v>233.24199999999999</v>
      </c>
      <c r="X119" s="99">
        <f>CFS!X86</f>
        <v>231.39599999999999</v>
      </c>
      <c r="Y119" s="161">
        <v>234.328</v>
      </c>
      <c r="Z119" s="92"/>
      <c r="AA119" s="98">
        <f>CFS!AA86</f>
        <v>228.083</v>
      </c>
      <c r="AB119" s="92">
        <f>CFS!AB86</f>
        <v>220.89400000000001</v>
      </c>
      <c r="AC119" s="92">
        <f>CFS!AC86</f>
        <v>218.96600000000001</v>
      </c>
      <c r="AD119" s="99">
        <f>CFS!AD86</f>
        <v>216.726</v>
      </c>
      <c r="AE119" s="93">
        <f>CFS!AE86</f>
        <v>221.16725</v>
      </c>
      <c r="AF119" s="92"/>
      <c r="AG119" s="98">
        <f>CFS!AG86</f>
        <v>214.3</v>
      </c>
      <c r="AH119" s="92">
        <f>CFS!AH86</f>
        <v>206.42599999999999</v>
      </c>
      <c r="AI119" s="92">
        <f>CFS!AI86</f>
        <v>202.01499999999999</v>
      </c>
      <c r="AJ119" s="99">
        <f>CFS!AJ86</f>
        <v>199.072</v>
      </c>
      <c r="AK119" s="93">
        <f>CFS!AK86</f>
        <v>205.45325</v>
      </c>
      <c r="AL119" s="92"/>
      <c r="AM119" s="98">
        <f>CFS!AM86</f>
        <v>196.42699999999999</v>
      </c>
      <c r="AN119" s="92">
        <f>CFS!AN86</f>
        <v>194.60900000000001</v>
      </c>
      <c r="AO119" s="92">
        <f>CFS!AO86</f>
        <v>194.87899999999999</v>
      </c>
      <c r="AP119" s="99">
        <f>CFS!AP86</f>
        <v>194.697</v>
      </c>
      <c r="AQ119" s="93">
        <f>CFS!AQ86</f>
        <v>195.15299999999999</v>
      </c>
      <c r="AR119" s="92"/>
      <c r="AS119" s="98">
        <f>CFS!AS86</f>
        <v>194.203</v>
      </c>
      <c r="AT119" s="92">
        <f>CFS!AT86</f>
        <v>193.60900000000001</v>
      </c>
      <c r="AU119" s="92">
        <f>CFS!AU86</f>
        <v>193.054</v>
      </c>
      <c r="AV119" s="99">
        <f>CFS!AV86</f>
        <v>192.33199999999999</v>
      </c>
      <c r="AW119" s="93">
        <f>CFS!AW86</f>
        <v>193.29949999999999</v>
      </c>
      <c r="AX119" s="92"/>
      <c r="AY119" s="98">
        <f>CFS!AY86</f>
        <v>192.41540149999997</v>
      </c>
      <c r="AZ119" s="92">
        <f>AZ33</f>
        <v>197</v>
      </c>
      <c r="BA119" s="92">
        <f>CFS!BA86</f>
        <v>209.82000099999999</v>
      </c>
      <c r="BB119" s="99">
        <f>CFS!BB86</f>
        <v>210.47500849999997</v>
      </c>
      <c r="BC119" s="93">
        <f>CFS!BC86</f>
        <v>203.46815649999999</v>
      </c>
      <c r="BD119" s="92"/>
      <c r="BE119" s="98">
        <f>CFS!BE86</f>
        <v>211.25608499999998</v>
      </c>
      <c r="BF119" s="92">
        <f>CFS!BF86</f>
        <v>212.009265</v>
      </c>
      <c r="BG119" s="92">
        <f>CFS!BG86</f>
        <v>212.56392299999999</v>
      </c>
      <c r="BH119" s="99">
        <f>CFS!BH86</f>
        <v>212.622715</v>
      </c>
      <c r="BI119" s="93">
        <f>CFS!BI86</f>
        <v>212.11299700000001</v>
      </c>
      <c r="BJ119" s="92"/>
      <c r="BK119" s="98">
        <f>CFS!BK86</f>
        <v>212.57233650000001</v>
      </c>
      <c r="BL119" s="92">
        <f>CFS!BL86</f>
        <v>213.065235</v>
      </c>
      <c r="BM119" s="92">
        <f>CFS!BM86</f>
        <v>220.43517700000001</v>
      </c>
      <c r="BN119" s="99">
        <f>CFS!BN86</f>
        <v>227.76394449999998</v>
      </c>
      <c r="BO119" s="93">
        <f>CFS!BO86</f>
        <v>218.45917324999999</v>
      </c>
      <c r="BP119" s="92"/>
      <c r="BQ119" s="98">
        <f>CFS!BQ86</f>
        <v>247.10269600000001</v>
      </c>
      <c r="BR119" s="92">
        <f>CFS!BR86</f>
        <v>270.44201450656368</v>
      </c>
      <c r="BS119" s="92">
        <f>CFS!BS86</f>
        <v>270.54178985846056</v>
      </c>
      <c r="BT119" s="99">
        <f>CFS!BT86</f>
        <v>270.74134458743151</v>
      </c>
      <c r="BU119" s="93">
        <f>CFS!BU86</f>
        <v>264.70696123811393</v>
      </c>
      <c r="BV119" s="92"/>
      <c r="BW119" s="98">
        <f>CFS!BW86</f>
        <v>271.08895726580056</v>
      </c>
      <c r="BX119" s="92">
        <f>CFS!BX86</f>
        <v>271.58657777945064</v>
      </c>
      <c r="BY119" s="92">
        <f>CFS!BY86</f>
        <v>272.08615601682612</v>
      </c>
      <c r="BZ119" s="99">
        <f>CFS!BZ86</f>
        <v>272.58574181121776</v>
      </c>
      <c r="CA119" s="93">
        <f>CFS!CA86</f>
        <v>271.83685821832375</v>
      </c>
      <c r="CB119" s="92"/>
      <c r="CC119" s="98">
        <f>CFS!CC86</f>
        <v>273.58352104690982</v>
      </c>
      <c r="CD119" s="92">
        <f>CFS!CD86</f>
        <v>274.3835635180555</v>
      </c>
      <c r="CE119" s="92">
        <f>CFS!CE86</f>
        <v>286.35041915387029</v>
      </c>
      <c r="CF119" s="99">
        <f>CFS!CF86</f>
        <v>286.40950694111166</v>
      </c>
      <c r="CG119" s="93">
        <f>CFS!CG86</f>
        <v>280.18175266498679</v>
      </c>
      <c r="CH119" s="92"/>
      <c r="CI119" s="98">
        <f>CFS!CI86</f>
        <v>287.21671981330269</v>
      </c>
      <c r="CJ119" s="92">
        <f>CFS!CJ86</f>
        <v>288.21466076616377</v>
      </c>
      <c r="CK119" s="92">
        <f>CFS!CK86</f>
        <v>288.71429580121014</v>
      </c>
      <c r="CL119" s="99">
        <f>CFS!CL86</f>
        <v>289.21393737558901</v>
      </c>
      <c r="CM119" s="93">
        <f>CFS!CM86</f>
        <v>288.3399034390664</v>
      </c>
      <c r="CN119" s="110"/>
      <c r="CO119" s="110"/>
      <c r="CP119" s="110"/>
      <c r="CQ119"/>
      <c r="CR119"/>
      <c r="CS119"/>
      <c r="CT119"/>
      <c r="CU119"/>
      <c r="CV119"/>
    </row>
    <row r="120" spans="1:101" x14ac:dyDescent="0.2">
      <c r="A120" s="189" t="s">
        <v>102</v>
      </c>
      <c r="C120" s="291" t="s">
        <v>103</v>
      </c>
      <c r="D120" s="292" t="s">
        <v>103</v>
      </c>
      <c r="E120" s="292" t="s">
        <v>103</v>
      </c>
      <c r="F120" s="293" t="s">
        <v>103</v>
      </c>
      <c r="G120" s="232" t="s">
        <v>103</v>
      </c>
      <c r="H120" s="292"/>
      <c r="I120" s="291" t="s">
        <v>103</v>
      </c>
      <c r="J120" s="292" t="s">
        <v>103</v>
      </c>
      <c r="K120" s="292" t="s">
        <v>103</v>
      </c>
      <c r="L120" s="293" t="s">
        <v>103</v>
      </c>
      <c r="M120" s="232" t="s">
        <v>103</v>
      </c>
      <c r="N120" s="92"/>
      <c r="O120" s="291" t="s">
        <v>103</v>
      </c>
      <c r="P120" s="292" t="s">
        <v>103</v>
      </c>
      <c r="Q120" s="292" t="s">
        <v>103</v>
      </c>
      <c r="R120" s="293" t="s">
        <v>103</v>
      </c>
      <c r="S120" s="232" t="s">
        <v>103</v>
      </c>
      <c r="T120" s="92"/>
      <c r="U120" s="291" t="s">
        <v>103</v>
      </c>
      <c r="V120" s="292" t="s">
        <v>103</v>
      </c>
      <c r="W120" s="292" t="s">
        <v>103</v>
      </c>
      <c r="X120" s="293" t="s">
        <v>103</v>
      </c>
      <c r="Y120" s="232" t="s">
        <v>103</v>
      </c>
      <c r="Z120" s="92"/>
      <c r="AA120" s="291" t="s">
        <v>103</v>
      </c>
      <c r="AB120" s="292" t="s">
        <v>103</v>
      </c>
      <c r="AC120" s="292" t="s">
        <v>103</v>
      </c>
      <c r="AD120" s="293" t="s">
        <v>103</v>
      </c>
      <c r="AE120" s="232" t="s">
        <v>103</v>
      </c>
      <c r="AF120" s="92"/>
      <c r="AG120" s="291" t="s">
        <v>103</v>
      </c>
      <c r="AH120" s="292" t="s">
        <v>103</v>
      </c>
      <c r="AI120" s="292" t="s">
        <v>103</v>
      </c>
      <c r="AJ120" s="293" t="s">
        <v>103</v>
      </c>
      <c r="AK120" s="232" t="s">
        <v>103</v>
      </c>
      <c r="AL120" s="92"/>
      <c r="AM120" s="291" t="s">
        <v>103</v>
      </c>
      <c r="AN120" s="292" t="s">
        <v>103</v>
      </c>
      <c r="AO120" s="292" t="s">
        <v>103</v>
      </c>
      <c r="AP120" s="293" t="s">
        <v>103</v>
      </c>
      <c r="AQ120" s="232" t="s">
        <v>103</v>
      </c>
      <c r="AR120" s="92"/>
      <c r="AS120" s="291" t="s">
        <v>103</v>
      </c>
      <c r="AT120" s="292" t="s">
        <v>103</v>
      </c>
      <c r="AU120" s="292" t="s">
        <v>103</v>
      </c>
      <c r="AV120" s="293" t="s">
        <v>103</v>
      </c>
      <c r="AW120" s="232" t="s">
        <v>103</v>
      </c>
      <c r="AX120" s="92"/>
      <c r="AY120" s="291" t="s">
        <v>103</v>
      </c>
      <c r="AZ120" s="292" t="s">
        <v>103</v>
      </c>
      <c r="BA120" s="292" t="s">
        <v>103</v>
      </c>
      <c r="BB120" s="293" t="s">
        <v>103</v>
      </c>
      <c r="BC120" s="232" t="s">
        <v>103</v>
      </c>
      <c r="BD120" s="92"/>
      <c r="BE120" s="291" t="s">
        <v>103</v>
      </c>
      <c r="BF120" s="292" t="s">
        <v>103</v>
      </c>
      <c r="BG120" s="292" t="s">
        <v>103</v>
      </c>
      <c r="BH120" s="293" t="s">
        <v>103</v>
      </c>
      <c r="BI120" s="232" t="s">
        <v>103</v>
      </c>
      <c r="BJ120" s="92"/>
      <c r="BK120" s="291" t="s">
        <v>103</v>
      </c>
      <c r="BL120" s="292" t="s">
        <v>103</v>
      </c>
      <c r="BM120" s="292" t="s">
        <v>103</v>
      </c>
      <c r="BN120" s="293" t="s">
        <v>103</v>
      </c>
      <c r="BO120" s="232" t="s">
        <v>103</v>
      </c>
      <c r="BP120" s="92"/>
      <c r="BQ120" s="291" t="s">
        <v>103</v>
      </c>
      <c r="BR120" s="292" t="s">
        <v>103</v>
      </c>
      <c r="BS120" s="292" t="s">
        <v>103</v>
      </c>
      <c r="BT120" s="293" t="s">
        <v>103</v>
      </c>
      <c r="BU120" s="232" t="s">
        <v>103</v>
      </c>
      <c r="BV120" s="92"/>
      <c r="BW120" s="291" t="s">
        <v>103</v>
      </c>
      <c r="BX120" s="292" t="s">
        <v>103</v>
      </c>
      <c r="BY120" s="292" t="s">
        <v>103</v>
      </c>
      <c r="BZ120" s="293" t="s">
        <v>103</v>
      </c>
      <c r="CA120" s="232" t="s">
        <v>103</v>
      </c>
      <c r="CB120" s="92"/>
      <c r="CC120" s="291" t="s">
        <v>103</v>
      </c>
      <c r="CD120" s="292" t="s">
        <v>103</v>
      </c>
      <c r="CE120" s="292" t="s">
        <v>103</v>
      </c>
      <c r="CF120" s="293" t="s">
        <v>103</v>
      </c>
      <c r="CG120" s="232" t="s">
        <v>103</v>
      </c>
      <c r="CH120" s="92"/>
      <c r="CI120" s="291" t="s">
        <v>103</v>
      </c>
      <c r="CJ120" s="292" t="s">
        <v>103</v>
      </c>
      <c r="CK120" s="292" t="s">
        <v>103</v>
      </c>
      <c r="CL120" s="293" t="s">
        <v>103</v>
      </c>
      <c r="CM120" s="232" t="s">
        <v>103</v>
      </c>
    </row>
    <row r="121" spans="1:101" s="299" customFormat="1" x14ac:dyDescent="0.2">
      <c r="A121" s="294" t="s">
        <v>104</v>
      </c>
      <c r="B121" s="295"/>
      <c r="C121" s="294">
        <f>C31+C30-SUM(C89:C98)</f>
        <v>142.78886025752928</v>
      </c>
      <c r="D121" s="294">
        <f>D31+D30-SUM(D89:D98)</f>
        <v>242.48377936832534</v>
      </c>
      <c r="E121" s="294">
        <f>E31+E30-SUM(E89:E98)</f>
        <v>244.80900000000005</v>
      </c>
      <c r="F121" s="294">
        <f>F31+F30-SUM(F89:F98)</f>
        <v>259.72664400000019</v>
      </c>
      <c r="G121" s="296">
        <f>G31+G30-SUM(G89:G98)</f>
        <v>889.8082836258551</v>
      </c>
      <c r="H121" s="297"/>
      <c r="I121" s="298">
        <f>I31+I30-SUM(I89:I98)</f>
        <v>271.56239558730289</v>
      </c>
      <c r="J121" s="294">
        <f>J31+J30-SUM(J89:J98)</f>
        <v>276.17821728509495</v>
      </c>
      <c r="K121" s="294">
        <f>K31+K30-SUM(K89:K98)</f>
        <v>297.0513870000002</v>
      </c>
      <c r="L121" s="294">
        <f>L31+L30-SUM(L89:L98)</f>
        <v>282.17399999999981</v>
      </c>
      <c r="M121" s="296">
        <f>M31+M30-SUM(M89:M98)</f>
        <v>1126.965999872398</v>
      </c>
      <c r="N121" s="294"/>
      <c r="O121" s="298">
        <f>O31+O30-SUM(O89:O98)</f>
        <v>312.06799999999987</v>
      </c>
      <c r="P121" s="294">
        <f>P31+P30-SUM(P89:P98)</f>
        <v>261.2890000000001</v>
      </c>
      <c r="Q121" s="294">
        <f>Q31+Q30-SUM(Q89:Q98)</f>
        <v>341.02699999999993</v>
      </c>
      <c r="R121" s="294">
        <f>R31+R30-SUM(R89:R98)</f>
        <v>317.21999999999997</v>
      </c>
      <c r="S121" s="296">
        <f>S31+S30-SUM(S89:S98)</f>
        <v>1231.6039999999998</v>
      </c>
      <c r="T121" s="294"/>
      <c r="U121" s="298">
        <f>U31+U30-SUM(U89:U98)</f>
        <v>316.37600000000009</v>
      </c>
      <c r="V121" s="294">
        <f>V31+V30-SUM(V89:V98)</f>
        <v>297.63100000000009</v>
      </c>
      <c r="W121" s="294">
        <f>W31+W30-SUM(W89:W98)</f>
        <v>306.90799999999996</v>
      </c>
      <c r="X121" s="294">
        <f>X31+X30-SUM(X89:X98)</f>
        <v>396.69499999999994</v>
      </c>
      <c r="Y121" s="296">
        <f>Y31+Y30-SUM(Y89:Y98)</f>
        <v>1317.6100000000001</v>
      </c>
      <c r="Z121" s="294"/>
      <c r="AA121" s="298">
        <f>AA31+AA30-SUM(AA89:AA98)</f>
        <v>315.93770000000006</v>
      </c>
      <c r="AB121" s="294">
        <f>AB31+AB30-SUM(AB89:AB98)</f>
        <v>312.01900000000001</v>
      </c>
      <c r="AC121" s="294">
        <f>AC31+AC30-SUM(AC89:AC98)</f>
        <v>343.05799999999988</v>
      </c>
      <c r="AD121" s="294">
        <f>AD31+AD30-SUM(AD89:AD98)</f>
        <v>299.97999999999996</v>
      </c>
      <c r="AE121" s="296">
        <f>AE31+AE30-SUM(AE89:AE98)</f>
        <v>1270.9946999999997</v>
      </c>
      <c r="AF121" s="294"/>
      <c r="AG121" s="298">
        <f>AG31+AG30-SUM(AG89:AG98)</f>
        <v>262.98499999999996</v>
      </c>
      <c r="AH121" s="294">
        <f>AH31+AH30-SUM(AH89:AH98)</f>
        <v>291.03299999999979</v>
      </c>
      <c r="AI121" s="294">
        <f>AI31+AI30-SUM(AI89:AI98)</f>
        <v>326.86599999999987</v>
      </c>
      <c r="AJ121" s="294">
        <f>AJ31+AJ30-SUM(AJ89:AJ98)</f>
        <v>289.04299999999972</v>
      </c>
      <c r="AK121" s="296">
        <f>AK31+AK30-SUM(AK89:AK98)</f>
        <v>1169.9269999999995</v>
      </c>
      <c r="AL121" s="294"/>
      <c r="AM121" s="298">
        <f>AM31+AM30-SUM(AM89:AM98)</f>
        <v>625.43599999999992</v>
      </c>
      <c r="AN121" s="294">
        <f>AN31+AN30-SUM(AN89:AN98)</f>
        <v>275.63699999999994</v>
      </c>
      <c r="AO121" s="294">
        <f>AO31+AO30-SUM(AO89:AO98)</f>
        <v>301.54999999999967</v>
      </c>
      <c r="AP121" s="294">
        <f>AP31+AP30-SUM(AP89:AP98)</f>
        <v>89.999999999999915</v>
      </c>
      <c r="AQ121" s="296">
        <f>AQ31+AQ30-SUM(AQ89:AQ98)</f>
        <v>1292.6229999999996</v>
      </c>
      <c r="AR121" s="294"/>
      <c r="AS121" s="298">
        <f>AS31+AS30-SUM(AS89:AS98)</f>
        <v>270.90000000000015</v>
      </c>
      <c r="AT121" s="294">
        <f>AT31+AT30-SUM(AT89:AT98)</f>
        <v>287.00000000000006</v>
      </c>
      <c r="AU121" s="294">
        <f>AU31+AU30-SUM(AU89:AU98)</f>
        <v>325.80000000000024</v>
      </c>
      <c r="AV121" s="294">
        <f>AV31+AV30-SUM(AV89:AV98)</f>
        <v>329.99000000000035</v>
      </c>
      <c r="AW121" s="296">
        <f>AW31+AW30-SUM(AW89:AW98)</f>
        <v>1213.6900000000005</v>
      </c>
      <c r="AX121" s="294"/>
      <c r="AY121" s="298">
        <f>AY31+AY30-SUM(AY89:AY98)</f>
        <v>236.0400000000003</v>
      </c>
      <c r="AZ121" s="294">
        <f>AZ31+AZ30-SUM(AZ89:AZ98)</f>
        <v>215.44999999999982</v>
      </c>
      <c r="BA121" s="294">
        <f>BA31+BA30-SUM(BA89:BA98)</f>
        <v>62.099999999999909</v>
      </c>
      <c r="BB121" s="294">
        <f>BB31+BB30-SUM(BB89:BB98)</f>
        <v>181</v>
      </c>
      <c r="BC121" s="296">
        <f>BC31+BC30-SUM(BC89:BC98)</f>
        <v>694.59000000000015</v>
      </c>
      <c r="BD121" s="294"/>
      <c r="BE121" s="298">
        <f>BE31+BE30-SUM(BE89:BE98)</f>
        <v>228.99999999999977</v>
      </c>
      <c r="BF121" s="294">
        <f>BF31+BF30-SUM(BF89:BF98)</f>
        <v>337.95000000000005</v>
      </c>
      <c r="BG121" s="294">
        <f>BG31+BG30-SUM(BG89:BG98)</f>
        <v>391</v>
      </c>
      <c r="BH121" s="294">
        <f>BH31+BH30-SUM(BH89:BH98)</f>
        <v>18</v>
      </c>
      <c r="BI121" s="296">
        <f>BI31+BI30-SUM(BI89:BI98)</f>
        <v>975.94999999999982</v>
      </c>
      <c r="BJ121" s="294"/>
      <c r="BK121" s="298">
        <f>BK31+BK30-SUM(BK89:BK98)</f>
        <v>562</v>
      </c>
      <c r="BL121" s="294">
        <f>BL31+BL30-SUM(BL89:BL98)</f>
        <v>343</v>
      </c>
      <c r="BM121" s="294">
        <f>BM31+BM30-SUM(BM89:BM98)</f>
        <v>-132</v>
      </c>
      <c r="BN121" s="294">
        <f>BN31+BN30-SUM(BN89:BN98)</f>
        <v>326.48999999999978</v>
      </c>
      <c r="BO121" s="296">
        <f>BO31+BO30-SUM(BO89:BO98)</f>
        <v>1099.4899999999998</v>
      </c>
      <c r="BP121" s="294"/>
      <c r="BQ121" s="298">
        <f>BQ31+BQ30-SUM(BQ89:BQ98)</f>
        <v>-136</v>
      </c>
      <c r="BR121" s="294">
        <f>BR31+BR30-SUM(BR89:BR98)</f>
        <v>338.7637953796069</v>
      </c>
      <c r="BS121" s="294">
        <f>BS31+BS30-SUM(BS89:BS98)</f>
        <v>487.83562310240347</v>
      </c>
      <c r="BT121" s="294">
        <f>BT31+BT30-SUM(BT89:BT98)</f>
        <v>520.61392967987729</v>
      </c>
      <c r="BU121" s="296">
        <f>BU31+BU30-SUM(BU89:BU98)</f>
        <v>1211.2133481618876</v>
      </c>
      <c r="BV121" s="294"/>
      <c r="BW121" s="298">
        <f>BW31+BW30-SUM(BW89:BW98)</f>
        <v>539.54998652625147</v>
      </c>
      <c r="BX121" s="294">
        <f>BX31+BX30-SUM(BX89:BX98)</f>
        <v>575.69320148568602</v>
      </c>
      <c r="BY121" s="294">
        <f>BY31+BY30-SUM(BY89:BY98)</f>
        <v>614.12204674061275</v>
      </c>
      <c r="BZ121" s="294">
        <f>BZ31+BZ30-SUM(BZ89:BZ98)</f>
        <v>603.22367098180405</v>
      </c>
      <c r="CA121" s="296">
        <f>CA31+CA30-SUM(CA89:CA98)</f>
        <v>2332.5889057343543</v>
      </c>
      <c r="CB121" s="294"/>
      <c r="CC121" s="298">
        <f>CC31+CC30-SUM(CC89:CC98)</f>
        <v>686.15054263203672</v>
      </c>
      <c r="CD121" s="294">
        <f>CD31+CD30-SUM(CD89:CD98)</f>
        <v>746.10940237796979</v>
      </c>
      <c r="CE121" s="294">
        <f>CE31+CE30-SUM(CE89:CE98)</f>
        <v>813.22989654858839</v>
      </c>
      <c r="CF121" s="294">
        <f>CF31+CF30-SUM(CF89:CF98)</f>
        <v>829.294814856024</v>
      </c>
      <c r="CG121" s="296">
        <f>CG31+CG30-SUM(CG89:CG98)</f>
        <v>3074.7846564146184</v>
      </c>
      <c r="CH121" s="294"/>
      <c r="CI121" s="298">
        <f>CI31+CI30-SUM(CI89:CI98)</f>
        <v>884.35875941663301</v>
      </c>
      <c r="CJ121" s="294">
        <f>CJ31+CJ30-SUM(CJ89:CJ98)</f>
        <v>896.03284327629365</v>
      </c>
      <c r="CK121" s="294">
        <f>CK31+CK30-SUM(CK89:CK98)</f>
        <v>992.36874728835926</v>
      </c>
      <c r="CL121" s="294">
        <f>CL31+CL30-SUM(CL89:CL98)</f>
        <v>1011.4730493590276</v>
      </c>
      <c r="CM121" s="296">
        <f>CM31+CM30-SUM(CM89:CM98)</f>
        <v>3784.2333993403131</v>
      </c>
      <c r="CN121" s="295"/>
      <c r="CO121" s="295"/>
      <c r="CP121" s="295"/>
      <c r="CQ121"/>
      <c r="CR121"/>
      <c r="CS121"/>
      <c r="CT121"/>
      <c r="CU121"/>
      <c r="CV121"/>
    </row>
    <row r="122" spans="1:101" s="289" customFormat="1" x14ac:dyDescent="0.2">
      <c r="A122" s="196" t="s">
        <v>105</v>
      </c>
      <c r="B122" s="123"/>
      <c r="C122" s="124">
        <v>244.590791</v>
      </c>
      <c r="D122" s="125">
        <v>244.985725</v>
      </c>
      <c r="E122" s="125">
        <v>243.38870399999999</v>
      </c>
      <c r="F122" s="125">
        <f>332.66216-88.825066</f>
        <v>243.83709399999998</v>
      </c>
      <c r="G122" s="300">
        <f>332.66216-88.825066</f>
        <v>243.83709399999998</v>
      </c>
      <c r="H122" s="301"/>
      <c r="I122" s="124">
        <v>244.05559199999999</v>
      </c>
      <c r="J122" s="125">
        <v>244.06586899999999</v>
      </c>
      <c r="K122" s="125">
        <v>243.56847099999999</v>
      </c>
      <c r="L122" s="126">
        <v>243.115261</v>
      </c>
      <c r="M122" s="300">
        <v>243.115261</v>
      </c>
      <c r="N122" s="123"/>
      <c r="O122" s="124">
        <v>239.71108599999999</v>
      </c>
      <c r="P122" s="125">
        <v>239.53375500000001</v>
      </c>
      <c r="Q122" s="125">
        <v>239.38971799999999</v>
      </c>
      <c r="R122" s="302">
        <f>S122</f>
        <v>237.11887400000001</v>
      </c>
      <c r="S122" s="300">
        <v>237.11887400000001</v>
      </c>
      <c r="T122" s="123"/>
      <c r="U122" s="124">
        <v>235.69933700000001</v>
      </c>
      <c r="V122" s="125">
        <v>233.331366</v>
      </c>
      <c r="W122" s="125">
        <v>232.14586700000001</v>
      </c>
      <c r="X122" s="302">
        <f>Y122</f>
        <v>229.96123</v>
      </c>
      <c r="Y122" s="300">
        <v>229.96123</v>
      </c>
      <c r="Z122" s="123"/>
      <c r="AA122" s="124">
        <v>221.11483799999999</v>
      </c>
      <c r="AB122" s="125">
        <v>218.75172000000001</v>
      </c>
      <c r="AC122" s="123">
        <f>CFS!AC85</f>
        <v>217.44668999999999</v>
      </c>
      <c r="AD122" s="132">
        <f>CFS!AD85</f>
        <v>214.81800099999998</v>
      </c>
      <c r="AE122" s="303">
        <f>CFS!AE85</f>
        <v>214.81800099999998</v>
      </c>
      <c r="AF122" s="123"/>
      <c r="AG122" s="131">
        <f>CFS!AG85</f>
        <v>210.10343700000001</v>
      </c>
      <c r="AH122" s="123">
        <f>CFS!AH85</f>
        <v>202.70023399999999</v>
      </c>
      <c r="AI122" s="123">
        <f>CFS!AI85</f>
        <v>199.55492000000001</v>
      </c>
      <c r="AJ122" s="132">
        <f>CFS!AJ85</f>
        <v>196.91112099999998</v>
      </c>
      <c r="AK122" s="303">
        <f>CFS!AK85</f>
        <v>196.91112099999998</v>
      </c>
      <c r="AL122" s="123"/>
      <c r="AM122" s="131">
        <f>CFS!AM85</f>
        <v>193.961151</v>
      </c>
      <c r="AN122" s="123">
        <f>CFS!AN85</f>
        <v>194.25115700000001</v>
      </c>
      <c r="AO122" s="123">
        <f>CFS!AO85</f>
        <v>194.212346</v>
      </c>
      <c r="AP122" s="132">
        <f>CFS!AP85</f>
        <v>194.09446600000001</v>
      </c>
      <c r="AQ122" s="303">
        <f>CFS!AQ85</f>
        <v>194.09446600000001</v>
      </c>
      <c r="AR122" s="123"/>
      <c r="AS122" s="131">
        <f>CFS!AS85</f>
        <v>193.021175</v>
      </c>
      <c r="AT122" s="123">
        <f>CFS!AT85</f>
        <v>193.204013</v>
      </c>
      <c r="AU122" s="123">
        <f>CFS!AU85</f>
        <v>191.835949</v>
      </c>
      <c r="AV122" s="132">
        <f>CFS!AV85</f>
        <v>191.89200199999996</v>
      </c>
      <c r="AW122" s="303">
        <f>CFS!AW85</f>
        <v>191.89200199999996</v>
      </c>
      <c r="AX122" s="123"/>
      <c r="AY122" s="131">
        <f>CFS!AY85</f>
        <v>192.93880100000001</v>
      </c>
      <c r="AZ122" s="123">
        <f>CFS!AZ85</f>
        <v>209.38562899999999</v>
      </c>
      <c r="BA122" s="123">
        <f>CFS!BA85</f>
        <v>210.25437299999999</v>
      </c>
      <c r="BB122" s="132">
        <f>CFS!BB85</f>
        <v>210.69564399999996</v>
      </c>
      <c r="BC122" s="303">
        <f>CFS!BC85</f>
        <v>210.69564399999996</v>
      </c>
      <c r="BD122" s="123"/>
      <c r="BE122" s="131">
        <f>CFS!BE85</f>
        <v>211.81652600000001</v>
      </c>
      <c r="BF122" s="123">
        <f>CFS!BF85</f>
        <v>212.20200399999999</v>
      </c>
      <c r="BG122" s="123">
        <f>CFS!BG85</f>
        <v>212.92584199999999</v>
      </c>
      <c r="BH122" s="132">
        <f>CFS!BH85</f>
        <v>212.31958800000001</v>
      </c>
      <c r="BI122" s="303">
        <f>CFS!BI85</f>
        <v>212.31958800000001</v>
      </c>
      <c r="BJ122" s="123"/>
      <c r="BK122" s="131">
        <f>CFS!BK85</f>
        <v>212.825085</v>
      </c>
      <c r="BL122" s="123">
        <f>CFS!BL85</f>
        <v>213.305385</v>
      </c>
      <c r="BM122" s="123">
        <f>CFS!BM85</f>
        <v>227.56496899999999</v>
      </c>
      <c r="BN122" s="132">
        <f>CFS!BN85</f>
        <v>227.96292</v>
      </c>
      <c r="BO122" s="303">
        <f>CFS!BO85</f>
        <v>227.96292</v>
      </c>
      <c r="BP122" s="123"/>
      <c r="BQ122" s="131">
        <f>CFS!BQ85</f>
        <v>266.24247200000002</v>
      </c>
      <c r="BR122" s="123">
        <f>CFS!BR85</f>
        <v>270.44201450656368</v>
      </c>
      <c r="BS122" s="123">
        <f>CFS!BS85</f>
        <v>270.64156521035738</v>
      </c>
      <c r="BT122" s="132">
        <f>CFS!BT85</f>
        <v>270.84112396450564</v>
      </c>
      <c r="BU122" s="303">
        <f>CFS!BU85</f>
        <v>270.84112396450564</v>
      </c>
      <c r="BV122" s="123"/>
      <c r="BW122" s="131">
        <f>CFS!BW85</f>
        <v>271.33679056709542</v>
      </c>
      <c r="BX122" s="123">
        <f>CFS!BX85</f>
        <v>271.83636499180579</v>
      </c>
      <c r="BY122" s="123">
        <f>CFS!BY85</f>
        <v>272.33594704184645</v>
      </c>
      <c r="BZ122" s="132">
        <f>CFS!BZ85</f>
        <v>272.83553658058901</v>
      </c>
      <c r="CA122" s="303">
        <f>CFS!CA85</f>
        <v>272.83553658058901</v>
      </c>
      <c r="CB122" s="123"/>
      <c r="CC122" s="131">
        <f>CFS!CC85</f>
        <v>274.33150551323064</v>
      </c>
      <c r="CD122" s="123">
        <f>CFS!CD85</f>
        <v>274.43562152288035</v>
      </c>
      <c r="CE122" s="123">
        <f>CFS!CE85</f>
        <v>286.35041915387029</v>
      </c>
      <c r="CF122" s="132">
        <f>CFS!CF85</f>
        <v>286.46859472835308</v>
      </c>
      <c r="CG122" s="303">
        <f>CFS!CG85</f>
        <v>286.46859472835308</v>
      </c>
      <c r="CH122" s="123"/>
      <c r="CI122" s="131">
        <f>CFS!CI85</f>
        <v>287.9648448982523</v>
      </c>
      <c r="CJ122" s="123">
        <f>CFS!CJ85</f>
        <v>288.4644766340752</v>
      </c>
      <c r="CK122" s="123">
        <f>CFS!CK85</f>
        <v>288.96411496834509</v>
      </c>
      <c r="CL122" s="132">
        <f>CFS!CL85</f>
        <v>289.46375978283299</v>
      </c>
      <c r="CM122" s="303">
        <f>CFS!CM85</f>
        <v>289.46375978283299</v>
      </c>
      <c r="CN122" s="110"/>
      <c r="CO122" s="110"/>
      <c r="CP122" s="110"/>
      <c r="CQ122"/>
      <c r="CR122"/>
      <c r="CS122"/>
      <c r="CT122"/>
      <c r="CU122"/>
      <c r="CV122"/>
    </row>
    <row r="123" spans="1:101" s="289" customFormat="1" x14ac:dyDescent="0.2">
      <c r="B123" s="92"/>
      <c r="D123" s="105"/>
      <c r="E123" s="105"/>
      <c r="F123" s="105"/>
      <c r="G123" s="105"/>
      <c r="H123" s="292"/>
      <c r="I123" s="105"/>
      <c r="J123" s="105"/>
      <c r="K123" s="105"/>
      <c r="L123" s="105"/>
      <c r="M123" s="105"/>
      <c r="N123" s="92"/>
      <c r="O123" s="105"/>
      <c r="P123" s="105"/>
      <c r="Q123" s="105"/>
      <c r="R123" s="87"/>
      <c r="S123" s="105"/>
      <c r="T123" s="92"/>
      <c r="U123" s="105"/>
      <c r="V123" s="105"/>
      <c r="W123" s="105"/>
      <c r="X123" s="87"/>
      <c r="Y123" s="105"/>
      <c r="Z123" s="92"/>
      <c r="AA123" s="105"/>
      <c r="AB123" s="105"/>
      <c r="AC123" s="92"/>
      <c r="AD123" s="92"/>
      <c r="AE123" s="92"/>
      <c r="AF123" s="92"/>
      <c r="AG123" s="92"/>
      <c r="AH123" s="92"/>
      <c r="AI123" s="92"/>
      <c r="AJ123" s="92"/>
      <c r="AK123" s="92"/>
      <c r="AL123" s="92"/>
      <c r="AM123" s="92"/>
      <c r="AN123" s="92"/>
      <c r="AO123" s="92"/>
      <c r="AP123" s="92"/>
      <c r="AQ123" s="92"/>
      <c r="AR123" s="92"/>
      <c r="AS123" s="92"/>
      <c r="AT123" s="92"/>
      <c r="AU123" s="92"/>
      <c r="AV123" s="92"/>
      <c r="AW123" s="92"/>
      <c r="AX123" s="92"/>
      <c r="AY123" s="92"/>
      <c r="AZ123" s="92"/>
      <c r="BA123" s="92"/>
      <c r="BB123" s="92"/>
      <c r="BC123" s="92"/>
      <c r="BD123" s="92"/>
      <c r="BE123" s="92"/>
      <c r="BF123" s="92"/>
      <c r="BG123" s="92"/>
      <c r="BH123" s="92"/>
      <c r="BI123" s="92"/>
      <c r="BJ123" s="92"/>
      <c r="BK123" s="92"/>
      <c r="BL123" s="92"/>
      <c r="BM123" s="92"/>
      <c r="BN123" s="92"/>
      <c r="BO123" s="92"/>
      <c r="BP123" s="92"/>
      <c r="BQ123" s="92"/>
      <c r="BR123" s="92"/>
      <c r="BS123" s="92"/>
      <c r="BT123" s="92"/>
      <c r="BU123" s="92"/>
      <c r="BV123" s="92"/>
      <c r="BW123" s="92"/>
      <c r="BX123" s="92"/>
      <c r="BY123" s="92"/>
      <c r="BZ123" s="92"/>
      <c r="CA123" s="92"/>
      <c r="CB123" s="92"/>
      <c r="CC123" s="92"/>
      <c r="CD123" s="92"/>
      <c r="CE123" s="92"/>
      <c r="CF123" s="92"/>
      <c r="CG123" s="92"/>
      <c r="CH123" s="92"/>
      <c r="CI123" s="92"/>
      <c r="CJ123" s="92"/>
      <c r="CK123" s="92"/>
      <c r="CL123" s="92"/>
      <c r="CM123" s="92"/>
      <c r="CN123" s="110"/>
      <c r="CO123" s="110"/>
      <c r="CP123" s="110"/>
      <c r="CQ123"/>
      <c r="CR123"/>
      <c r="CS123"/>
      <c r="CT123"/>
      <c r="CU123"/>
      <c r="CV123"/>
    </row>
    <row r="124" spans="1:101" customFormat="1" hidden="1" outlineLevel="1" x14ac:dyDescent="0.2"/>
    <row r="125" spans="1:101" collapsed="1" x14ac:dyDescent="0.2">
      <c r="CW125" s="305"/>
    </row>
    <row r="126" spans="1:101" x14ac:dyDescent="0.2">
      <c r="CW126" s="305"/>
    </row>
    <row r="127" spans="1:101" x14ac:dyDescent="0.2">
      <c r="C127" s="306"/>
      <c r="D127" s="306"/>
      <c r="E127" s="306"/>
      <c r="F127" s="306"/>
      <c r="G127" s="306"/>
      <c r="H127" s="306"/>
      <c r="I127" s="306"/>
      <c r="J127" s="306"/>
      <c r="K127" s="306"/>
      <c r="L127" s="306"/>
      <c r="M127" s="306"/>
      <c r="N127" s="306"/>
      <c r="O127" s="306"/>
      <c r="P127" s="306"/>
      <c r="Q127" s="306"/>
      <c r="R127" s="306"/>
      <c r="S127" s="306"/>
      <c r="T127" s="306"/>
      <c r="U127" s="306"/>
      <c r="V127" s="306"/>
      <c r="W127" s="306"/>
      <c r="X127" s="306"/>
      <c r="Y127" s="306"/>
      <c r="Z127" s="306"/>
      <c r="AA127" s="306"/>
      <c r="AB127" s="306"/>
      <c r="AC127" s="306"/>
      <c r="AD127" s="306"/>
      <c r="AE127" s="306"/>
      <c r="AF127" s="306"/>
      <c r="AG127" s="306"/>
      <c r="AH127" s="306"/>
      <c r="AI127" s="306"/>
      <c r="AJ127" s="306"/>
      <c r="AK127" s="306"/>
      <c r="CW127" s="305"/>
    </row>
    <row r="128" spans="1:101" x14ac:dyDescent="0.2">
      <c r="C128" s="3"/>
      <c r="CW128" s="305"/>
    </row>
    <row r="129" spans="1:10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W129" s="305"/>
    </row>
    <row r="130" spans="1:10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W130" s="305"/>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CM111"/>
  <sheetViews>
    <sheetView showGridLines="0" workbookViewId="0">
      <pane xSplit="2" ySplit="6" topLeftCell="AS7" activePane="bottomRight" state="frozen"/>
      <selection pane="topRight" activeCell="C1" sqref="C1"/>
      <selection pane="bottomLeft" activeCell="A7" sqref="A7"/>
      <selection pane="bottomRight"/>
    </sheetView>
  </sheetViews>
  <sheetFormatPr defaultRowHeight="12.75" outlineLevelRow="1" outlineLevelCol="1" x14ac:dyDescent="0.2"/>
  <cols>
    <col min="1" max="1" width="25.7109375" style="22" customWidth="1"/>
    <col min="2" max="2" width="0.85546875" style="22" customWidth="1"/>
    <col min="3" max="7" width="8.28515625" style="22" hidden="1" customWidth="1" outlineLevel="1"/>
    <col min="8" max="8" width="0.85546875" style="22" hidden="1" customWidth="1" outlineLevel="1"/>
    <col min="9" max="13" width="8.28515625" style="22" hidden="1" customWidth="1" outlineLevel="1"/>
    <col min="14" max="14" width="0.85546875" style="22" hidden="1" customWidth="1" outlineLevel="1"/>
    <col min="15" max="19" width="8.28515625" style="22" hidden="1" customWidth="1" outlineLevel="1"/>
    <col min="20" max="20" width="0.85546875" style="22" hidden="1" customWidth="1" outlineLevel="1"/>
    <col min="21" max="25" width="8.28515625" style="22" hidden="1" customWidth="1" outlineLevel="1"/>
    <col min="26" max="26" width="0.85546875" style="22" hidden="1" customWidth="1" outlineLevel="1"/>
    <col min="27" max="31" width="8.28515625" style="22" hidden="1" customWidth="1" outlineLevel="1"/>
    <col min="32" max="32" width="0.85546875" style="22" hidden="1" customWidth="1" outlineLevel="1"/>
    <col min="33" max="37" width="8.28515625" style="22" hidden="1" customWidth="1" outlineLevel="1"/>
    <col min="38" max="38" width="0.85546875" style="22" hidden="1" customWidth="1" outlineLevel="1"/>
    <col min="39" max="43" width="8.28515625" style="22" hidden="1" customWidth="1" outlineLevel="1"/>
    <col min="44" max="44" width="0.85546875" style="22" hidden="1" customWidth="1" outlineLevel="1"/>
    <col min="45" max="49" width="8.28515625" style="22" hidden="1" customWidth="1" outlineLevel="1"/>
    <col min="50" max="50" width="0.85546875" style="22" hidden="1" customWidth="1" outlineLevel="1"/>
    <col min="51" max="54" width="8.28515625" style="22" hidden="1" customWidth="1" outlineLevel="1"/>
    <col min="55" max="55" width="8.28515625" style="22" customWidth="1" collapsed="1"/>
    <col min="56" max="56" width="0.85546875" style="22" customWidth="1"/>
    <col min="57" max="60" width="8.28515625" style="22" hidden="1" customWidth="1" outlineLevel="1"/>
    <col min="61" max="61" width="8.28515625" style="22" customWidth="1" collapsed="1"/>
    <col min="62" max="62" width="0.85546875" style="22" customWidth="1"/>
    <col min="63" max="66" width="8.28515625" style="22" hidden="1" customWidth="1" outlineLevel="1"/>
    <col min="67" max="67" width="8.28515625" style="22" customWidth="1" collapsed="1"/>
    <col min="68" max="68" width="0.85546875" style="22" customWidth="1"/>
    <col min="69" max="72" width="8.28515625" style="22" hidden="1" customWidth="1" outlineLevel="1"/>
    <col min="73" max="73" width="8.28515625" style="22" customWidth="1" collapsed="1"/>
    <col min="74" max="74" width="0.85546875" style="22" customWidth="1"/>
    <col min="75" max="78" width="8.28515625" style="22" hidden="1" customWidth="1" outlineLevel="1"/>
    <col min="79" max="79" width="8.28515625" style="22" customWidth="1" collapsed="1"/>
    <col min="80" max="80" width="0.85546875" style="22" customWidth="1"/>
    <col min="81" max="84" width="8.28515625" style="22" hidden="1" customWidth="1" outlineLevel="1"/>
    <col min="85" max="85" width="8.28515625" style="22" customWidth="1" collapsed="1"/>
    <col min="86" max="86" width="0.85546875" style="22" customWidth="1"/>
    <col min="87" max="90" width="8.28515625" style="22" hidden="1" customWidth="1" outlineLevel="1"/>
    <col min="91" max="91" width="8.28515625" style="22" customWidth="1" collapsed="1"/>
    <col min="92" max="256" width="9.140625" style="22"/>
    <col min="257" max="257" width="25.7109375" style="22" customWidth="1"/>
    <col min="258" max="258" width="0.85546875" style="22" customWidth="1"/>
    <col min="259" max="263" width="8.28515625" style="22" customWidth="1"/>
    <col min="264" max="264" width="0.85546875" style="22" customWidth="1"/>
    <col min="265" max="269" width="8.28515625" style="22" customWidth="1"/>
    <col min="270" max="270" width="0.85546875" style="22" customWidth="1"/>
    <col min="271" max="275" width="8.28515625" style="22" customWidth="1"/>
    <col min="276" max="276" width="0.85546875" style="22" customWidth="1"/>
    <col min="277" max="281" width="8.28515625" style="22" customWidth="1"/>
    <col min="282" max="282" width="0.85546875" style="22" customWidth="1"/>
    <col min="283" max="287" width="8.28515625" style="22" customWidth="1"/>
    <col min="288" max="288" width="0.85546875" style="22" customWidth="1"/>
    <col min="289" max="293" width="8.28515625" style="22" customWidth="1"/>
    <col min="294" max="294" width="0.85546875" style="22" customWidth="1"/>
    <col min="295" max="299" width="8.28515625" style="22" customWidth="1"/>
    <col min="300" max="300" width="0.85546875" style="22" customWidth="1"/>
    <col min="301" max="305" width="8.28515625" style="22" customWidth="1"/>
    <col min="306" max="306" width="0.85546875" style="22" customWidth="1"/>
    <col min="307" max="311" width="8.28515625" style="22" customWidth="1"/>
    <col min="312" max="312" width="0.85546875" style="22" customWidth="1"/>
    <col min="313" max="317" width="8.28515625" style="22" customWidth="1"/>
    <col min="318" max="318" width="0.85546875" style="22" customWidth="1"/>
    <col min="319" max="323" width="8.28515625" style="22" customWidth="1"/>
    <col min="324" max="324" width="0.85546875" style="22" customWidth="1"/>
    <col min="325" max="329" width="8.28515625" style="22" customWidth="1"/>
    <col min="330" max="330" width="0.85546875" style="22" customWidth="1"/>
    <col min="331" max="335" width="8.28515625" style="22" customWidth="1"/>
    <col min="336" max="336" width="0.85546875" style="22" customWidth="1"/>
    <col min="337" max="341" width="8.28515625" style="22" customWidth="1"/>
    <col min="342" max="342" width="0.85546875" style="22" customWidth="1"/>
    <col min="343" max="347" width="8.28515625" style="22" customWidth="1"/>
    <col min="348" max="512" width="9.140625" style="22"/>
    <col min="513" max="513" width="25.7109375" style="22" customWidth="1"/>
    <col min="514" max="514" width="0.85546875" style="22" customWidth="1"/>
    <col min="515" max="519" width="8.28515625" style="22" customWidth="1"/>
    <col min="520" max="520" width="0.85546875" style="22" customWidth="1"/>
    <col min="521" max="525" width="8.28515625" style="22" customWidth="1"/>
    <col min="526" max="526" width="0.85546875" style="22" customWidth="1"/>
    <col min="527" max="531" width="8.28515625" style="22" customWidth="1"/>
    <col min="532" max="532" width="0.85546875" style="22" customWidth="1"/>
    <col min="533" max="537" width="8.28515625" style="22" customWidth="1"/>
    <col min="538" max="538" width="0.85546875" style="22" customWidth="1"/>
    <col min="539" max="543" width="8.28515625" style="22" customWidth="1"/>
    <col min="544" max="544" width="0.85546875" style="22" customWidth="1"/>
    <col min="545" max="549" width="8.28515625" style="22" customWidth="1"/>
    <col min="550" max="550" width="0.85546875" style="22" customWidth="1"/>
    <col min="551" max="555" width="8.28515625" style="22" customWidth="1"/>
    <col min="556" max="556" width="0.85546875" style="22" customWidth="1"/>
    <col min="557" max="561" width="8.28515625" style="22" customWidth="1"/>
    <col min="562" max="562" width="0.85546875" style="22" customWidth="1"/>
    <col min="563" max="567" width="8.28515625" style="22" customWidth="1"/>
    <col min="568" max="568" width="0.85546875" style="22" customWidth="1"/>
    <col min="569" max="573" width="8.28515625" style="22" customWidth="1"/>
    <col min="574" max="574" width="0.85546875" style="22" customWidth="1"/>
    <col min="575" max="579" width="8.28515625" style="22" customWidth="1"/>
    <col min="580" max="580" width="0.85546875" style="22" customWidth="1"/>
    <col min="581" max="585" width="8.28515625" style="22" customWidth="1"/>
    <col min="586" max="586" width="0.85546875" style="22" customWidth="1"/>
    <col min="587" max="591" width="8.28515625" style="22" customWidth="1"/>
    <col min="592" max="592" width="0.85546875" style="22" customWidth="1"/>
    <col min="593" max="597" width="8.28515625" style="22" customWidth="1"/>
    <col min="598" max="598" width="0.85546875" style="22" customWidth="1"/>
    <col min="599" max="603" width="8.28515625" style="22" customWidth="1"/>
    <col min="604" max="768" width="9.140625" style="22"/>
    <col min="769" max="769" width="25.7109375" style="22" customWidth="1"/>
    <col min="770" max="770" width="0.85546875" style="22" customWidth="1"/>
    <col min="771" max="775" width="8.28515625" style="22" customWidth="1"/>
    <col min="776" max="776" width="0.85546875" style="22" customWidth="1"/>
    <col min="777" max="781" width="8.28515625" style="22" customWidth="1"/>
    <col min="782" max="782" width="0.85546875" style="22" customWidth="1"/>
    <col min="783" max="787" width="8.28515625" style="22" customWidth="1"/>
    <col min="788" max="788" width="0.85546875" style="22" customWidth="1"/>
    <col min="789" max="793" width="8.28515625" style="22" customWidth="1"/>
    <col min="794" max="794" width="0.85546875" style="22" customWidth="1"/>
    <col min="795" max="799" width="8.28515625" style="22" customWidth="1"/>
    <col min="800" max="800" width="0.85546875" style="22" customWidth="1"/>
    <col min="801" max="805" width="8.28515625" style="22" customWidth="1"/>
    <col min="806" max="806" width="0.85546875" style="22" customWidth="1"/>
    <col min="807" max="811" width="8.28515625" style="22" customWidth="1"/>
    <col min="812" max="812" width="0.85546875" style="22" customWidth="1"/>
    <col min="813" max="817" width="8.28515625" style="22" customWidth="1"/>
    <col min="818" max="818" width="0.85546875" style="22" customWidth="1"/>
    <col min="819" max="823" width="8.28515625" style="22" customWidth="1"/>
    <col min="824" max="824" width="0.85546875" style="22" customWidth="1"/>
    <col min="825" max="829" width="8.28515625" style="22" customWidth="1"/>
    <col min="830" max="830" width="0.85546875" style="22" customWidth="1"/>
    <col min="831" max="835" width="8.28515625" style="22" customWidth="1"/>
    <col min="836" max="836" width="0.85546875" style="22" customWidth="1"/>
    <col min="837" max="841" width="8.28515625" style="22" customWidth="1"/>
    <col min="842" max="842" width="0.85546875" style="22" customWidth="1"/>
    <col min="843" max="847" width="8.28515625" style="22" customWidth="1"/>
    <col min="848" max="848" width="0.85546875" style="22" customWidth="1"/>
    <col min="849" max="853" width="8.28515625" style="22" customWidth="1"/>
    <col min="854" max="854" width="0.85546875" style="22" customWidth="1"/>
    <col min="855" max="859" width="8.28515625" style="22" customWidth="1"/>
    <col min="860" max="1024" width="9.140625" style="22"/>
    <col min="1025" max="1025" width="25.7109375" style="22" customWidth="1"/>
    <col min="1026" max="1026" width="0.85546875" style="22" customWidth="1"/>
    <col min="1027" max="1031" width="8.28515625" style="22" customWidth="1"/>
    <col min="1032" max="1032" width="0.85546875" style="22" customWidth="1"/>
    <col min="1033" max="1037" width="8.28515625" style="22" customWidth="1"/>
    <col min="1038" max="1038" width="0.85546875" style="22" customWidth="1"/>
    <col min="1039" max="1043" width="8.28515625" style="22" customWidth="1"/>
    <col min="1044" max="1044" width="0.85546875" style="22" customWidth="1"/>
    <col min="1045" max="1049" width="8.28515625" style="22" customWidth="1"/>
    <col min="1050" max="1050" width="0.85546875" style="22" customWidth="1"/>
    <col min="1051" max="1055" width="8.28515625" style="22" customWidth="1"/>
    <col min="1056" max="1056" width="0.85546875" style="22" customWidth="1"/>
    <col min="1057" max="1061" width="8.28515625" style="22" customWidth="1"/>
    <col min="1062" max="1062" width="0.85546875" style="22" customWidth="1"/>
    <col min="1063" max="1067" width="8.28515625" style="22" customWidth="1"/>
    <col min="1068" max="1068" width="0.85546875" style="22" customWidth="1"/>
    <col min="1069" max="1073" width="8.28515625" style="22" customWidth="1"/>
    <col min="1074" max="1074" width="0.85546875" style="22" customWidth="1"/>
    <col min="1075" max="1079" width="8.28515625" style="22" customWidth="1"/>
    <col min="1080" max="1080" width="0.85546875" style="22" customWidth="1"/>
    <col min="1081" max="1085" width="8.28515625" style="22" customWidth="1"/>
    <col min="1086" max="1086" width="0.85546875" style="22" customWidth="1"/>
    <col min="1087" max="1091" width="8.28515625" style="22" customWidth="1"/>
    <col min="1092" max="1092" width="0.85546875" style="22" customWidth="1"/>
    <col min="1093" max="1097" width="8.28515625" style="22" customWidth="1"/>
    <col min="1098" max="1098" width="0.85546875" style="22" customWidth="1"/>
    <col min="1099" max="1103" width="8.28515625" style="22" customWidth="1"/>
    <col min="1104" max="1104" width="0.85546875" style="22" customWidth="1"/>
    <col min="1105" max="1109" width="8.28515625" style="22" customWidth="1"/>
    <col min="1110" max="1110" width="0.85546875" style="22" customWidth="1"/>
    <col min="1111" max="1115" width="8.28515625" style="22" customWidth="1"/>
    <col min="1116" max="1280" width="9.140625" style="22"/>
    <col min="1281" max="1281" width="25.7109375" style="22" customWidth="1"/>
    <col min="1282" max="1282" width="0.85546875" style="22" customWidth="1"/>
    <col min="1283" max="1287" width="8.28515625" style="22" customWidth="1"/>
    <col min="1288" max="1288" width="0.85546875" style="22" customWidth="1"/>
    <col min="1289" max="1293" width="8.28515625" style="22" customWidth="1"/>
    <col min="1294" max="1294" width="0.85546875" style="22" customWidth="1"/>
    <col min="1295" max="1299" width="8.28515625" style="22" customWidth="1"/>
    <col min="1300" max="1300" width="0.85546875" style="22" customWidth="1"/>
    <col min="1301" max="1305" width="8.28515625" style="22" customWidth="1"/>
    <col min="1306" max="1306" width="0.85546875" style="22" customWidth="1"/>
    <col min="1307" max="1311" width="8.28515625" style="22" customWidth="1"/>
    <col min="1312" max="1312" width="0.85546875" style="22" customWidth="1"/>
    <col min="1313" max="1317" width="8.28515625" style="22" customWidth="1"/>
    <col min="1318" max="1318" width="0.85546875" style="22" customWidth="1"/>
    <col min="1319" max="1323" width="8.28515625" style="22" customWidth="1"/>
    <col min="1324" max="1324" width="0.85546875" style="22" customWidth="1"/>
    <col min="1325" max="1329" width="8.28515625" style="22" customWidth="1"/>
    <col min="1330" max="1330" width="0.85546875" style="22" customWidth="1"/>
    <col min="1331" max="1335" width="8.28515625" style="22" customWidth="1"/>
    <col min="1336" max="1336" width="0.85546875" style="22" customWidth="1"/>
    <col min="1337" max="1341" width="8.28515625" style="22" customWidth="1"/>
    <col min="1342" max="1342" width="0.85546875" style="22" customWidth="1"/>
    <col min="1343" max="1347" width="8.28515625" style="22" customWidth="1"/>
    <col min="1348" max="1348" width="0.85546875" style="22" customWidth="1"/>
    <col min="1349" max="1353" width="8.28515625" style="22" customWidth="1"/>
    <col min="1354" max="1354" width="0.85546875" style="22" customWidth="1"/>
    <col min="1355" max="1359" width="8.28515625" style="22" customWidth="1"/>
    <col min="1360" max="1360" width="0.85546875" style="22" customWidth="1"/>
    <col min="1361" max="1365" width="8.28515625" style="22" customWidth="1"/>
    <col min="1366" max="1366" width="0.85546875" style="22" customWidth="1"/>
    <col min="1367" max="1371" width="8.28515625" style="22" customWidth="1"/>
    <col min="1372" max="1536" width="9.140625" style="22"/>
    <col min="1537" max="1537" width="25.7109375" style="22" customWidth="1"/>
    <col min="1538" max="1538" width="0.85546875" style="22" customWidth="1"/>
    <col min="1539" max="1543" width="8.28515625" style="22" customWidth="1"/>
    <col min="1544" max="1544" width="0.85546875" style="22" customWidth="1"/>
    <col min="1545" max="1549" width="8.28515625" style="22" customWidth="1"/>
    <col min="1550" max="1550" width="0.85546875" style="22" customWidth="1"/>
    <col min="1551" max="1555" width="8.28515625" style="22" customWidth="1"/>
    <col min="1556" max="1556" width="0.85546875" style="22" customWidth="1"/>
    <col min="1557" max="1561" width="8.28515625" style="22" customWidth="1"/>
    <col min="1562" max="1562" width="0.85546875" style="22" customWidth="1"/>
    <col min="1563" max="1567" width="8.28515625" style="22" customWidth="1"/>
    <col min="1568" max="1568" width="0.85546875" style="22" customWidth="1"/>
    <col min="1569" max="1573" width="8.28515625" style="22" customWidth="1"/>
    <col min="1574" max="1574" width="0.85546875" style="22" customWidth="1"/>
    <col min="1575" max="1579" width="8.28515625" style="22" customWidth="1"/>
    <col min="1580" max="1580" width="0.85546875" style="22" customWidth="1"/>
    <col min="1581" max="1585" width="8.28515625" style="22" customWidth="1"/>
    <col min="1586" max="1586" width="0.85546875" style="22" customWidth="1"/>
    <col min="1587" max="1591" width="8.28515625" style="22" customWidth="1"/>
    <col min="1592" max="1592" width="0.85546875" style="22" customWidth="1"/>
    <col min="1593" max="1597" width="8.28515625" style="22" customWidth="1"/>
    <col min="1598" max="1598" width="0.85546875" style="22" customWidth="1"/>
    <col min="1599" max="1603" width="8.28515625" style="22" customWidth="1"/>
    <col min="1604" max="1604" width="0.85546875" style="22" customWidth="1"/>
    <col min="1605" max="1609" width="8.28515625" style="22" customWidth="1"/>
    <col min="1610" max="1610" width="0.85546875" style="22" customWidth="1"/>
    <col min="1611" max="1615" width="8.28515625" style="22" customWidth="1"/>
    <col min="1616" max="1616" width="0.85546875" style="22" customWidth="1"/>
    <col min="1617" max="1621" width="8.28515625" style="22" customWidth="1"/>
    <col min="1622" max="1622" width="0.85546875" style="22" customWidth="1"/>
    <col min="1623" max="1627" width="8.28515625" style="22" customWidth="1"/>
    <col min="1628" max="1792" width="9.140625" style="22"/>
    <col min="1793" max="1793" width="25.7109375" style="22" customWidth="1"/>
    <col min="1794" max="1794" width="0.85546875" style="22" customWidth="1"/>
    <col min="1795" max="1799" width="8.28515625" style="22" customWidth="1"/>
    <col min="1800" max="1800" width="0.85546875" style="22" customWidth="1"/>
    <col min="1801" max="1805" width="8.28515625" style="22" customWidth="1"/>
    <col min="1806" max="1806" width="0.85546875" style="22" customWidth="1"/>
    <col min="1807" max="1811" width="8.28515625" style="22" customWidth="1"/>
    <col min="1812" max="1812" width="0.85546875" style="22" customWidth="1"/>
    <col min="1813" max="1817" width="8.28515625" style="22" customWidth="1"/>
    <col min="1818" max="1818" width="0.85546875" style="22" customWidth="1"/>
    <col min="1819" max="1823" width="8.28515625" style="22" customWidth="1"/>
    <col min="1824" max="1824" width="0.85546875" style="22" customWidth="1"/>
    <col min="1825" max="1829" width="8.28515625" style="22" customWidth="1"/>
    <col min="1830" max="1830" width="0.85546875" style="22" customWidth="1"/>
    <col min="1831" max="1835" width="8.28515625" style="22" customWidth="1"/>
    <col min="1836" max="1836" width="0.85546875" style="22" customWidth="1"/>
    <col min="1837" max="1841" width="8.28515625" style="22" customWidth="1"/>
    <col min="1842" max="1842" width="0.85546875" style="22" customWidth="1"/>
    <col min="1843" max="1847" width="8.28515625" style="22" customWidth="1"/>
    <col min="1848" max="1848" width="0.85546875" style="22" customWidth="1"/>
    <col min="1849" max="1853" width="8.28515625" style="22" customWidth="1"/>
    <col min="1854" max="1854" width="0.85546875" style="22" customWidth="1"/>
    <col min="1855" max="1859" width="8.28515625" style="22" customWidth="1"/>
    <col min="1860" max="1860" width="0.85546875" style="22" customWidth="1"/>
    <col min="1861" max="1865" width="8.28515625" style="22" customWidth="1"/>
    <col min="1866" max="1866" width="0.85546875" style="22" customWidth="1"/>
    <col min="1867" max="1871" width="8.28515625" style="22" customWidth="1"/>
    <col min="1872" max="1872" width="0.85546875" style="22" customWidth="1"/>
    <col min="1873" max="1877" width="8.28515625" style="22" customWidth="1"/>
    <col min="1878" max="1878" width="0.85546875" style="22" customWidth="1"/>
    <col min="1879" max="1883" width="8.28515625" style="22" customWidth="1"/>
    <col min="1884" max="2048" width="9.140625" style="22"/>
    <col min="2049" max="2049" width="25.7109375" style="22" customWidth="1"/>
    <col min="2050" max="2050" width="0.85546875" style="22" customWidth="1"/>
    <col min="2051" max="2055" width="8.28515625" style="22" customWidth="1"/>
    <col min="2056" max="2056" width="0.85546875" style="22" customWidth="1"/>
    <col min="2057" max="2061" width="8.28515625" style="22" customWidth="1"/>
    <col min="2062" max="2062" width="0.85546875" style="22" customWidth="1"/>
    <col min="2063" max="2067" width="8.28515625" style="22" customWidth="1"/>
    <col min="2068" max="2068" width="0.85546875" style="22" customWidth="1"/>
    <col min="2069" max="2073" width="8.28515625" style="22" customWidth="1"/>
    <col min="2074" max="2074" width="0.85546875" style="22" customWidth="1"/>
    <col min="2075" max="2079" width="8.28515625" style="22" customWidth="1"/>
    <col min="2080" max="2080" width="0.85546875" style="22" customWidth="1"/>
    <col min="2081" max="2085" width="8.28515625" style="22" customWidth="1"/>
    <col min="2086" max="2086" width="0.85546875" style="22" customWidth="1"/>
    <col min="2087" max="2091" width="8.28515625" style="22" customWidth="1"/>
    <col min="2092" max="2092" width="0.85546875" style="22" customWidth="1"/>
    <col min="2093" max="2097" width="8.28515625" style="22" customWidth="1"/>
    <col min="2098" max="2098" width="0.85546875" style="22" customWidth="1"/>
    <col min="2099" max="2103" width="8.28515625" style="22" customWidth="1"/>
    <col min="2104" max="2104" width="0.85546875" style="22" customWidth="1"/>
    <col min="2105" max="2109" width="8.28515625" style="22" customWidth="1"/>
    <col min="2110" max="2110" width="0.85546875" style="22" customWidth="1"/>
    <col min="2111" max="2115" width="8.28515625" style="22" customWidth="1"/>
    <col min="2116" max="2116" width="0.85546875" style="22" customWidth="1"/>
    <col min="2117" max="2121" width="8.28515625" style="22" customWidth="1"/>
    <col min="2122" max="2122" width="0.85546875" style="22" customWidth="1"/>
    <col min="2123" max="2127" width="8.28515625" style="22" customWidth="1"/>
    <col min="2128" max="2128" width="0.85546875" style="22" customWidth="1"/>
    <col min="2129" max="2133" width="8.28515625" style="22" customWidth="1"/>
    <col min="2134" max="2134" width="0.85546875" style="22" customWidth="1"/>
    <col min="2135" max="2139" width="8.28515625" style="22" customWidth="1"/>
    <col min="2140" max="2304" width="9.140625" style="22"/>
    <col min="2305" max="2305" width="25.7109375" style="22" customWidth="1"/>
    <col min="2306" max="2306" width="0.85546875" style="22" customWidth="1"/>
    <col min="2307" max="2311" width="8.28515625" style="22" customWidth="1"/>
    <col min="2312" max="2312" width="0.85546875" style="22" customWidth="1"/>
    <col min="2313" max="2317" width="8.28515625" style="22" customWidth="1"/>
    <col min="2318" max="2318" width="0.85546875" style="22" customWidth="1"/>
    <col min="2319" max="2323" width="8.28515625" style="22" customWidth="1"/>
    <col min="2324" max="2324" width="0.85546875" style="22" customWidth="1"/>
    <col min="2325" max="2329" width="8.28515625" style="22" customWidth="1"/>
    <col min="2330" max="2330" width="0.85546875" style="22" customWidth="1"/>
    <col min="2331" max="2335" width="8.28515625" style="22" customWidth="1"/>
    <col min="2336" max="2336" width="0.85546875" style="22" customWidth="1"/>
    <col min="2337" max="2341" width="8.28515625" style="22" customWidth="1"/>
    <col min="2342" max="2342" width="0.85546875" style="22" customWidth="1"/>
    <col min="2343" max="2347" width="8.28515625" style="22" customWidth="1"/>
    <col min="2348" max="2348" width="0.85546875" style="22" customWidth="1"/>
    <col min="2349" max="2353" width="8.28515625" style="22" customWidth="1"/>
    <col min="2354" max="2354" width="0.85546875" style="22" customWidth="1"/>
    <col min="2355" max="2359" width="8.28515625" style="22" customWidth="1"/>
    <col min="2360" max="2360" width="0.85546875" style="22" customWidth="1"/>
    <col min="2361" max="2365" width="8.28515625" style="22" customWidth="1"/>
    <col min="2366" max="2366" width="0.85546875" style="22" customWidth="1"/>
    <col min="2367" max="2371" width="8.28515625" style="22" customWidth="1"/>
    <col min="2372" max="2372" width="0.85546875" style="22" customWidth="1"/>
    <col min="2373" max="2377" width="8.28515625" style="22" customWidth="1"/>
    <col min="2378" max="2378" width="0.85546875" style="22" customWidth="1"/>
    <col min="2379" max="2383" width="8.28515625" style="22" customWidth="1"/>
    <col min="2384" max="2384" width="0.85546875" style="22" customWidth="1"/>
    <col min="2385" max="2389" width="8.28515625" style="22" customWidth="1"/>
    <col min="2390" max="2390" width="0.85546875" style="22" customWidth="1"/>
    <col min="2391" max="2395" width="8.28515625" style="22" customWidth="1"/>
    <col min="2396" max="2560" width="9.140625" style="22"/>
    <col min="2561" max="2561" width="25.7109375" style="22" customWidth="1"/>
    <col min="2562" max="2562" width="0.85546875" style="22" customWidth="1"/>
    <col min="2563" max="2567" width="8.28515625" style="22" customWidth="1"/>
    <col min="2568" max="2568" width="0.85546875" style="22" customWidth="1"/>
    <col min="2569" max="2573" width="8.28515625" style="22" customWidth="1"/>
    <col min="2574" max="2574" width="0.85546875" style="22" customWidth="1"/>
    <col min="2575" max="2579" width="8.28515625" style="22" customWidth="1"/>
    <col min="2580" max="2580" width="0.85546875" style="22" customWidth="1"/>
    <col min="2581" max="2585" width="8.28515625" style="22" customWidth="1"/>
    <col min="2586" max="2586" width="0.85546875" style="22" customWidth="1"/>
    <col min="2587" max="2591" width="8.28515625" style="22" customWidth="1"/>
    <col min="2592" max="2592" width="0.85546875" style="22" customWidth="1"/>
    <col min="2593" max="2597" width="8.28515625" style="22" customWidth="1"/>
    <col min="2598" max="2598" width="0.85546875" style="22" customWidth="1"/>
    <col min="2599" max="2603" width="8.28515625" style="22" customWidth="1"/>
    <col min="2604" max="2604" width="0.85546875" style="22" customWidth="1"/>
    <col min="2605" max="2609" width="8.28515625" style="22" customWidth="1"/>
    <col min="2610" max="2610" width="0.85546875" style="22" customWidth="1"/>
    <col min="2611" max="2615" width="8.28515625" style="22" customWidth="1"/>
    <col min="2616" max="2616" width="0.85546875" style="22" customWidth="1"/>
    <col min="2617" max="2621" width="8.28515625" style="22" customWidth="1"/>
    <col min="2622" max="2622" width="0.85546875" style="22" customWidth="1"/>
    <col min="2623" max="2627" width="8.28515625" style="22" customWidth="1"/>
    <col min="2628" max="2628" width="0.85546875" style="22" customWidth="1"/>
    <col min="2629" max="2633" width="8.28515625" style="22" customWidth="1"/>
    <col min="2634" max="2634" width="0.85546875" style="22" customWidth="1"/>
    <col min="2635" max="2639" width="8.28515625" style="22" customWidth="1"/>
    <col min="2640" max="2640" width="0.85546875" style="22" customWidth="1"/>
    <col min="2641" max="2645" width="8.28515625" style="22" customWidth="1"/>
    <col min="2646" max="2646" width="0.85546875" style="22" customWidth="1"/>
    <col min="2647" max="2651" width="8.28515625" style="22" customWidth="1"/>
    <col min="2652" max="2816" width="9.140625" style="22"/>
    <col min="2817" max="2817" width="25.7109375" style="22" customWidth="1"/>
    <col min="2818" max="2818" width="0.85546875" style="22" customWidth="1"/>
    <col min="2819" max="2823" width="8.28515625" style="22" customWidth="1"/>
    <col min="2824" max="2824" width="0.85546875" style="22" customWidth="1"/>
    <col min="2825" max="2829" width="8.28515625" style="22" customWidth="1"/>
    <col min="2830" max="2830" width="0.85546875" style="22" customWidth="1"/>
    <col min="2831" max="2835" width="8.28515625" style="22" customWidth="1"/>
    <col min="2836" max="2836" width="0.85546875" style="22" customWidth="1"/>
    <col min="2837" max="2841" width="8.28515625" style="22" customWidth="1"/>
    <col min="2842" max="2842" width="0.85546875" style="22" customWidth="1"/>
    <col min="2843" max="2847" width="8.28515625" style="22" customWidth="1"/>
    <col min="2848" max="2848" width="0.85546875" style="22" customWidth="1"/>
    <col min="2849" max="2853" width="8.28515625" style="22" customWidth="1"/>
    <col min="2854" max="2854" width="0.85546875" style="22" customWidth="1"/>
    <col min="2855" max="2859" width="8.28515625" style="22" customWidth="1"/>
    <col min="2860" max="2860" width="0.85546875" style="22" customWidth="1"/>
    <col min="2861" max="2865" width="8.28515625" style="22" customWidth="1"/>
    <col min="2866" max="2866" width="0.85546875" style="22" customWidth="1"/>
    <col min="2867" max="2871" width="8.28515625" style="22" customWidth="1"/>
    <col min="2872" max="2872" width="0.85546875" style="22" customWidth="1"/>
    <col min="2873" max="2877" width="8.28515625" style="22" customWidth="1"/>
    <col min="2878" max="2878" width="0.85546875" style="22" customWidth="1"/>
    <col min="2879" max="2883" width="8.28515625" style="22" customWidth="1"/>
    <col min="2884" max="2884" width="0.85546875" style="22" customWidth="1"/>
    <col min="2885" max="2889" width="8.28515625" style="22" customWidth="1"/>
    <col min="2890" max="2890" width="0.85546875" style="22" customWidth="1"/>
    <col min="2891" max="2895" width="8.28515625" style="22" customWidth="1"/>
    <col min="2896" max="2896" width="0.85546875" style="22" customWidth="1"/>
    <col min="2897" max="2901" width="8.28515625" style="22" customWidth="1"/>
    <col min="2902" max="2902" width="0.85546875" style="22" customWidth="1"/>
    <col min="2903" max="2907" width="8.28515625" style="22" customWidth="1"/>
    <col min="2908" max="3072" width="9.140625" style="22"/>
    <col min="3073" max="3073" width="25.7109375" style="22" customWidth="1"/>
    <col min="3074" max="3074" width="0.85546875" style="22" customWidth="1"/>
    <col min="3075" max="3079" width="8.28515625" style="22" customWidth="1"/>
    <col min="3080" max="3080" width="0.85546875" style="22" customWidth="1"/>
    <col min="3081" max="3085" width="8.28515625" style="22" customWidth="1"/>
    <col min="3086" max="3086" width="0.85546875" style="22" customWidth="1"/>
    <col min="3087" max="3091" width="8.28515625" style="22" customWidth="1"/>
    <col min="3092" max="3092" width="0.85546875" style="22" customWidth="1"/>
    <col min="3093" max="3097" width="8.28515625" style="22" customWidth="1"/>
    <col min="3098" max="3098" width="0.85546875" style="22" customWidth="1"/>
    <col min="3099" max="3103" width="8.28515625" style="22" customWidth="1"/>
    <col min="3104" max="3104" width="0.85546875" style="22" customWidth="1"/>
    <col min="3105" max="3109" width="8.28515625" style="22" customWidth="1"/>
    <col min="3110" max="3110" width="0.85546875" style="22" customWidth="1"/>
    <col min="3111" max="3115" width="8.28515625" style="22" customWidth="1"/>
    <col min="3116" max="3116" width="0.85546875" style="22" customWidth="1"/>
    <col min="3117" max="3121" width="8.28515625" style="22" customWidth="1"/>
    <col min="3122" max="3122" width="0.85546875" style="22" customWidth="1"/>
    <col min="3123" max="3127" width="8.28515625" style="22" customWidth="1"/>
    <col min="3128" max="3128" width="0.85546875" style="22" customWidth="1"/>
    <col min="3129" max="3133" width="8.28515625" style="22" customWidth="1"/>
    <col min="3134" max="3134" width="0.85546875" style="22" customWidth="1"/>
    <col min="3135" max="3139" width="8.28515625" style="22" customWidth="1"/>
    <col min="3140" max="3140" width="0.85546875" style="22" customWidth="1"/>
    <col min="3141" max="3145" width="8.28515625" style="22" customWidth="1"/>
    <col min="3146" max="3146" width="0.85546875" style="22" customWidth="1"/>
    <col min="3147" max="3151" width="8.28515625" style="22" customWidth="1"/>
    <col min="3152" max="3152" width="0.85546875" style="22" customWidth="1"/>
    <col min="3153" max="3157" width="8.28515625" style="22" customWidth="1"/>
    <col min="3158" max="3158" width="0.85546875" style="22" customWidth="1"/>
    <col min="3159" max="3163" width="8.28515625" style="22" customWidth="1"/>
    <col min="3164" max="3328" width="9.140625" style="22"/>
    <col min="3329" max="3329" width="25.7109375" style="22" customWidth="1"/>
    <col min="3330" max="3330" width="0.85546875" style="22" customWidth="1"/>
    <col min="3331" max="3335" width="8.28515625" style="22" customWidth="1"/>
    <col min="3336" max="3336" width="0.85546875" style="22" customWidth="1"/>
    <col min="3337" max="3341" width="8.28515625" style="22" customWidth="1"/>
    <col min="3342" max="3342" width="0.85546875" style="22" customWidth="1"/>
    <col min="3343" max="3347" width="8.28515625" style="22" customWidth="1"/>
    <col min="3348" max="3348" width="0.85546875" style="22" customWidth="1"/>
    <col min="3349" max="3353" width="8.28515625" style="22" customWidth="1"/>
    <col min="3354" max="3354" width="0.85546875" style="22" customWidth="1"/>
    <col min="3355" max="3359" width="8.28515625" style="22" customWidth="1"/>
    <col min="3360" max="3360" width="0.85546875" style="22" customWidth="1"/>
    <col min="3361" max="3365" width="8.28515625" style="22" customWidth="1"/>
    <col min="3366" max="3366" width="0.85546875" style="22" customWidth="1"/>
    <col min="3367" max="3371" width="8.28515625" style="22" customWidth="1"/>
    <col min="3372" max="3372" width="0.85546875" style="22" customWidth="1"/>
    <col min="3373" max="3377" width="8.28515625" style="22" customWidth="1"/>
    <col min="3378" max="3378" width="0.85546875" style="22" customWidth="1"/>
    <col min="3379" max="3383" width="8.28515625" style="22" customWidth="1"/>
    <col min="3384" max="3384" width="0.85546875" style="22" customWidth="1"/>
    <col min="3385" max="3389" width="8.28515625" style="22" customWidth="1"/>
    <col min="3390" max="3390" width="0.85546875" style="22" customWidth="1"/>
    <col min="3391" max="3395" width="8.28515625" style="22" customWidth="1"/>
    <col min="3396" max="3396" width="0.85546875" style="22" customWidth="1"/>
    <col min="3397" max="3401" width="8.28515625" style="22" customWidth="1"/>
    <col min="3402" max="3402" width="0.85546875" style="22" customWidth="1"/>
    <col min="3403" max="3407" width="8.28515625" style="22" customWidth="1"/>
    <col min="3408" max="3408" width="0.85546875" style="22" customWidth="1"/>
    <col min="3409" max="3413" width="8.28515625" style="22" customWidth="1"/>
    <col min="3414" max="3414" width="0.85546875" style="22" customWidth="1"/>
    <col min="3415" max="3419" width="8.28515625" style="22" customWidth="1"/>
    <col min="3420" max="3584" width="9.140625" style="22"/>
    <col min="3585" max="3585" width="25.7109375" style="22" customWidth="1"/>
    <col min="3586" max="3586" width="0.85546875" style="22" customWidth="1"/>
    <col min="3587" max="3591" width="8.28515625" style="22" customWidth="1"/>
    <col min="3592" max="3592" width="0.85546875" style="22" customWidth="1"/>
    <col min="3593" max="3597" width="8.28515625" style="22" customWidth="1"/>
    <col min="3598" max="3598" width="0.85546875" style="22" customWidth="1"/>
    <col min="3599" max="3603" width="8.28515625" style="22" customWidth="1"/>
    <col min="3604" max="3604" width="0.85546875" style="22" customWidth="1"/>
    <col min="3605" max="3609" width="8.28515625" style="22" customWidth="1"/>
    <col min="3610" max="3610" width="0.85546875" style="22" customWidth="1"/>
    <col min="3611" max="3615" width="8.28515625" style="22" customWidth="1"/>
    <col min="3616" max="3616" width="0.85546875" style="22" customWidth="1"/>
    <col min="3617" max="3621" width="8.28515625" style="22" customWidth="1"/>
    <col min="3622" max="3622" width="0.85546875" style="22" customWidth="1"/>
    <col min="3623" max="3627" width="8.28515625" style="22" customWidth="1"/>
    <col min="3628" max="3628" width="0.85546875" style="22" customWidth="1"/>
    <col min="3629" max="3633" width="8.28515625" style="22" customWidth="1"/>
    <col min="3634" max="3634" width="0.85546875" style="22" customWidth="1"/>
    <col min="3635" max="3639" width="8.28515625" style="22" customWidth="1"/>
    <col min="3640" max="3640" width="0.85546875" style="22" customWidth="1"/>
    <col min="3641" max="3645" width="8.28515625" style="22" customWidth="1"/>
    <col min="3646" max="3646" width="0.85546875" style="22" customWidth="1"/>
    <col min="3647" max="3651" width="8.28515625" style="22" customWidth="1"/>
    <col min="3652" max="3652" width="0.85546875" style="22" customWidth="1"/>
    <col min="3653" max="3657" width="8.28515625" style="22" customWidth="1"/>
    <col min="3658" max="3658" width="0.85546875" style="22" customWidth="1"/>
    <col min="3659" max="3663" width="8.28515625" style="22" customWidth="1"/>
    <col min="3664" max="3664" width="0.85546875" style="22" customWidth="1"/>
    <col min="3665" max="3669" width="8.28515625" style="22" customWidth="1"/>
    <col min="3670" max="3670" width="0.85546875" style="22" customWidth="1"/>
    <col min="3671" max="3675" width="8.28515625" style="22" customWidth="1"/>
    <col min="3676" max="3840" width="9.140625" style="22"/>
    <col min="3841" max="3841" width="25.7109375" style="22" customWidth="1"/>
    <col min="3842" max="3842" width="0.85546875" style="22" customWidth="1"/>
    <col min="3843" max="3847" width="8.28515625" style="22" customWidth="1"/>
    <col min="3848" max="3848" width="0.85546875" style="22" customWidth="1"/>
    <col min="3849" max="3853" width="8.28515625" style="22" customWidth="1"/>
    <col min="3854" max="3854" width="0.85546875" style="22" customWidth="1"/>
    <col min="3855" max="3859" width="8.28515625" style="22" customWidth="1"/>
    <col min="3860" max="3860" width="0.85546875" style="22" customWidth="1"/>
    <col min="3861" max="3865" width="8.28515625" style="22" customWidth="1"/>
    <col min="3866" max="3866" width="0.85546875" style="22" customWidth="1"/>
    <col min="3867" max="3871" width="8.28515625" style="22" customWidth="1"/>
    <col min="3872" max="3872" width="0.85546875" style="22" customWidth="1"/>
    <col min="3873" max="3877" width="8.28515625" style="22" customWidth="1"/>
    <col min="3878" max="3878" width="0.85546875" style="22" customWidth="1"/>
    <col min="3879" max="3883" width="8.28515625" style="22" customWidth="1"/>
    <col min="3884" max="3884" width="0.85546875" style="22" customWidth="1"/>
    <col min="3885" max="3889" width="8.28515625" style="22" customWidth="1"/>
    <col min="3890" max="3890" width="0.85546875" style="22" customWidth="1"/>
    <col min="3891" max="3895" width="8.28515625" style="22" customWidth="1"/>
    <col min="3896" max="3896" width="0.85546875" style="22" customWidth="1"/>
    <col min="3897" max="3901" width="8.28515625" style="22" customWidth="1"/>
    <col min="3902" max="3902" width="0.85546875" style="22" customWidth="1"/>
    <col min="3903" max="3907" width="8.28515625" style="22" customWidth="1"/>
    <col min="3908" max="3908" width="0.85546875" style="22" customWidth="1"/>
    <col min="3909" max="3913" width="8.28515625" style="22" customWidth="1"/>
    <col min="3914" max="3914" width="0.85546875" style="22" customWidth="1"/>
    <col min="3915" max="3919" width="8.28515625" style="22" customWidth="1"/>
    <col min="3920" max="3920" width="0.85546875" style="22" customWidth="1"/>
    <col min="3921" max="3925" width="8.28515625" style="22" customWidth="1"/>
    <col min="3926" max="3926" width="0.85546875" style="22" customWidth="1"/>
    <col min="3927" max="3931" width="8.28515625" style="22" customWidth="1"/>
    <col min="3932" max="4096" width="9.140625" style="22"/>
    <col min="4097" max="4097" width="25.7109375" style="22" customWidth="1"/>
    <col min="4098" max="4098" width="0.85546875" style="22" customWidth="1"/>
    <col min="4099" max="4103" width="8.28515625" style="22" customWidth="1"/>
    <col min="4104" max="4104" width="0.85546875" style="22" customWidth="1"/>
    <col min="4105" max="4109" width="8.28515625" style="22" customWidth="1"/>
    <col min="4110" max="4110" width="0.85546875" style="22" customWidth="1"/>
    <col min="4111" max="4115" width="8.28515625" style="22" customWidth="1"/>
    <col min="4116" max="4116" width="0.85546875" style="22" customWidth="1"/>
    <col min="4117" max="4121" width="8.28515625" style="22" customWidth="1"/>
    <col min="4122" max="4122" width="0.85546875" style="22" customWidth="1"/>
    <col min="4123" max="4127" width="8.28515625" style="22" customWidth="1"/>
    <col min="4128" max="4128" width="0.85546875" style="22" customWidth="1"/>
    <col min="4129" max="4133" width="8.28515625" style="22" customWidth="1"/>
    <col min="4134" max="4134" width="0.85546875" style="22" customWidth="1"/>
    <col min="4135" max="4139" width="8.28515625" style="22" customWidth="1"/>
    <col min="4140" max="4140" width="0.85546875" style="22" customWidth="1"/>
    <col min="4141" max="4145" width="8.28515625" style="22" customWidth="1"/>
    <col min="4146" max="4146" width="0.85546875" style="22" customWidth="1"/>
    <col min="4147" max="4151" width="8.28515625" style="22" customWidth="1"/>
    <col min="4152" max="4152" width="0.85546875" style="22" customWidth="1"/>
    <col min="4153" max="4157" width="8.28515625" style="22" customWidth="1"/>
    <col min="4158" max="4158" width="0.85546875" style="22" customWidth="1"/>
    <col min="4159" max="4163" width="8.28515625" style="22" customWidth="1"/>
    <col min="4164" max="4164" width="0.85546875" style="22" customWidth="1"/>
    <col min="4165" max="4169" width="8.28515625" style="22" customWidth="1"/>
    <col min="4170" max="4170" width="0.85546875" style="22" customWidth="1"/>
    <col min="4171" max="4175" width="8.28515625" style="22" customWidth="1"/>
    <col min="4176" max="4176" width="0.85546875" style="22" customWidth="1"/>
    <col min="4177" max="4181" width="8.28515625" style="22" customWidth="1"/>
    <col min="4182" max="4182" width="0.85546875" style="22" customWidth="1"/>
    <col min="4183" max="4187" width="8.28515625" style="22" customWidth="1"/>
    <col min="4188" max="4352" width="9.140625" style="22"/>
    <col min="4353" max="4353" width="25.7109375" style="22" customWidth="1"/>
    <col min="4354" max="4354" width="0.85546875" style="22" customWidth="1"/>
    <col min="4355" max="4359" width="8.28515625" style="22" customWidth="1"/>
    <col min="4360" max="4360" width="0.85546875" style="22" customWidth="1"/>
    <col min="4361" max="4365" width="8.28515625" style="22" customWidth="1"/>
    <col min="4366" max="4366" width="0.85546875" style="22" customWidth="1"/>
    <col min="4367" max="4371" width="8.28515625" style="22" customWidth="1"/>
    <col min="4372" max="4372" width="0.85546875" style="22" customWidth="1"/>
    <col min="4373" max="4377" width="8.28515625" style="22" customWidth="1"/>
    <col min="4378" max="4378" width="0.85546875" style="22" customWidth="1"/>
    <col min="4379" max="4383" width="8.28515625" style="22" customWidth="1"/>
    <col min="4384" max="4384" width="0.85546875" style="22" customWidth="1"/>
    <col min="4385" max="4389" width="8.28515625" style="22" customWidth="1"/>
    <col min="4390" max="4390" width="0.85546875" style="22" customWidth="1"/>
    <col min="4391" max="4395" width="8.28515625" style="22" customWidth="1"/>
    <col min="4396" max="4396" width="0.85546875" style="22" customWidth="1"/>
    <col min="4397" max="4401" width="8.28515625" style="22" customWidth="1"/>
    <col min="4402" max="4402" width="0.85546875" style="22" customWidth="1"/>
    <col min="4403" max="4407" width="8.28515625" style="22" customWidth="1"/>
    <col min="4408" max="4408" width="0.85546875" style="22" customWidth="1"/>
    <col min="4409" max="4413" width="8.28515625" style="22" customWidth="1"/>
    <col min="4414" max="4414" width="0.85546875" style="22" customWidth="1"/>
    <col min="4415" max="4419" width="8.28515625" style="22" customWidth="1"/>
    <col min="4420" max="4420" width="0.85546875" style="22" customWidth="1"/>
    <col min="4421" max="4425" width="8.28515625" style="22" customWidth="1"/>
    <col min="4426" max="4426" width="0.85546875" style="22" customWidth="1"/>
    <col min="4427" max="4431" width="8.28515625" style="22" customWidth="1"/>
    <col min="4432" max="4432" width="0.85546875" style="22" customWidth="1"/>
    <col min="4433" max="4437" width="8.28515625" style="22" customWidth="1"/>
    <col min="4438" max="4438" width="0.85546875" style="22" customWidth="1"/>
    <col min="4439" max="4443" width="8.28515625" style="22" customWidth="1"/>
    <col min="4444" max="4608" width="9.140625" style="22"/>
    <col min="4609" max="4609" width="25.7109375" style="22" customWidth="1"/>
    <col min="4610" max="4610" width="0.85546875" style="22" customWidth="1"/>
    <col min="4611" max="4615" width="8.28515625" style="22" customWidth="1"/>
    <col min="4616" max="4616" width="0.85546875" style="22" customWidth="1"/>
    <col min="4617" max="4621" width="8.28515625" style="22" customWidth="1"/>
    <col min="4622" max="4622" width="0.85546875" style="22" customWidth="1"/>
    <col min="4623" max="4627" width="8.28515625" style="22" customWidth="1"/>
    <col min="4628" max="4628" width="0.85546875" style="22" customWidth="1"/>
    <col min="4629" max="4633" width="8.28515625" style="22" customWidth="1"/>
    <col min="4634" max="4634" width="0.85546875" style="22" customWidth="1"/>
    <col min="4635" max="4639" width="8.28515625" style="22" customWidth="1"/>
    <col min="4640" max="4640" width="0.85546875" style="22" customWidth="1"/>
    <col min="4641" max="4645" width="8.28515625" style="22" customWidth="1"/>
    <col min="4646" max="4646" width="0.85546875" style="22" customWidth="1"/>
    <col min="4647" max="4651" width="8.28515625" style="22" customWidth="1"/>
    <col min="4652" max="4652" width="0.85546875" style="22" customWidth="1"/>
    <col min="4653" max="4657" width="8.28515625" style="22" customWidth="1"/>
    <col min="4658" max="4658" width="0.85546875" style="22" customWidth="1"/>
    <col min="4659" max="4663" width="8.28515625" style="22" customWidth="1"/>
    <col min="4664" max="4664" width="0.85546875" style="22" customWidth="1"/>
    <col min="4665" max="4669" width="8.28515625" style="22" customWidth="1"/>
    <col min="4670" max="4670" width="0.85546875" style="22" customWidth="1"/>
    <col min="4671" max="4675" width="8.28515625" style="22" customWidth="1"/>
    <col min="4676" max="4676" width="0.85546875" style="22" customWidth="1"/>
    <col min="4677" max="4681" width="8.28515625" style="22" customWidth="1"/>
    <col min="4682" max="4682" width="0.85546875" style="22" customWidth="1"/>
    <col min="4683" max="4687" width="8.28515625" style="22" customWidth="1"/>
    <col min="4688" max="4688" width="0.85546875" style="22" customWidth="1"/>
    <col min="4689" max="4693" width="8.28515625" style="22" customWidth="1"/>
    <col min="4694" max="4694" width="0.85546875" style="22" customWidth="1"/>
    <col min="4695" max="4699" width="8.28515625" style="22" customWidth="1"/>
    <col min="4700" max="4864" width="9.140625" style="22"/>
    <col min="4865" max="4865" width="25.7109375" style="22" customWidth="1"/>
    <col min="4866" max="4866" width="0.85546875" style="22" customWidth="1"/>
    <col min="4867" max="4871" width="8.28515625" style="22" customWidth="1"/>
    <col min="4872" max="4872" width="0.85546875" style="22" customWidth="1"/>
    <col min="4873" max="4877" width="8.28515625" style="22" customWidth="1"/>
    <col min="4878" max="4878" width="0.85546875" style="22" customWidth="1"/>
    <col min="4879" max="4883" width="8.28515625" style="22" customWidth="1"/>
    <col min="4884" max="4884" width="0.85546875" style="22" customWidth="1"/>
    <col min="4885" max="4889" width="8.28515625" style="22" customWidth="1"/>
    <col min="4890" max="4890" width="0.85546875" style="22" customWidth="1"/>
    <col min="4891" max="4895" width="8.28515625" style="22" customWidth="1"/>
    <col min="4896" max="4896" width="0.85546875" style="22" customWidth="1"/>
    <col min="4897" max="4901" width="8.28515625" style="22" customWidth="1"/>
    <col min="4902" max="4902" width="0.85546875" style="22" customWidth="1"/>
    <col min="4903" max="4907" width="8.28515625" style="22" customWidth="1"/>
    <col min="4908" max="4908" width="0.85546875" style="22" customWidth="1"/>
    <col min="4909" max="4913" width="8.28515625" style="22" customWidth="1"/>
    <col min="4914" max="4914" width="0.85546875" style="22" customWidth="1"/>
    <col min="4915" max="4919" width="8.28515625" style="22" customWidth="1"/>
    <col min="4920" max="4920" width="0.85546875" style="22" customWidth="1"/>
    <col min="4921" max="4925" width="8.28515625" style="22" customWidth="1"/>
    <col min="4926" max="4926" width="0.85546875" style="22" customWidth="1"/>
    <col min="4927" max="4931" width="8.28515625" style="22" customWidth="1"/>
    <col min="4932" max="4932" width="0.85546875" style="22" customWidth="1"/>
    <col min="4933" max="4937" width="8.28515625" style="22" customWidth="1"/>
    <col min="4938" max="4938" width="0.85546875" style="22" customWidth="1"/>
    <col min="4939" max="4943" width="8.28515625" style="22" customWidth="1"/>
    <col min="4944" max="4944" width="0.85546875" style="22" customWidth="1"/>
    <col min="4945" max="4949" width="8.28515625" style="22" customWidth="1"/>
    <col min="4950" max="4950" width="0.85546875" style="22" customWidth="1"/>
    <col min="4951" max="4955" width="8.28515625" style="22" customWidth="1"/>
    <col min="4956" max="5120" width="9.140625" style="22"/>
    <col min="5121" max="5121" width="25.7109375" style="22" customWidth="1"/>
    <col min="5122" max="5122" width="0.85546875" style="22" customWidth="1"/>
    <col min="5123" max="5127" width="8.28515625" style="22" customWidth="1"/>
    <col min="5128" max="5128" width="0.85546875" style="22" customWidth="1"/>
    <col min="5129" max="5133" width="8.28515625" style="22" customWidth="1"/>
    <col min="5134" max="5134" width="0.85546875" style="22" customWidth="1"/>
    <col min="5135" max="5139" width="8.28515625" style="22" customWidth="1"/>
    <col min="5140" max="5140" width="0.85546875" style="22" customWidth="1"/>
    <col min="5141" max="5145" width="8.28515625" style="22" customWidth="1"/>
    <col min="5146" max="5146" width="0.85546875" style="22" customWidth="1"/>
    <col min="5147" max="5151" width="8.28515625" style="22" customWidth="1"/>
    <col min="5152" max="5152" width="0.85546875" style="22" customWidth="1"/>
    <col min="5153" max="5157" width="8.28515625" style="22" customWidth="1"/>
    <col min="5158" max="5158" width="0.85546875" style="22" customWidth="1"/>
    <col min="5159" max="5163" width="8.28515625" style="22" customWidth="1"/>
    <col min="5164" max="5164" width="0.85546875" style="22" customWidth="1"/>
    <col min="5165" max="5169" width="8.28515625" style="22" customWidth="1"/>
    <col min="5170" max="5170" width="0.85546875" style="22" customWidth="1"/>
    <col min="5171" max="5175" width="8.28515625" style="22" customWidth="1"/>
    <col min="5176" max="5176" width="0.85546875" style="22" customWidth="1"/>
    <col min="5177" max="5181" width="8.28515625" style="22" customWidth="1"/>
    <col min="5182" max="5182" width="0.85546875" style="22" customWidth="1"/>
    <col min="5183" max="5187" width="8.28515625" style="22" customWidth="1"/>
    <col min="5188" max="5188" width="0.85546875" style="22" customWidth="1"/>
    <col min="5189" max="5193" width="8.28515625" style="22" customWidth="1"/>
    <col min="5194" max="5194" width="0.85546875" style="22" customWidth="1"/>
    <col min="5195" max="5199" width="8.28515625" style="22" customWidth="1"/>
    <col min="5200" max="5200" width="0.85546875" style="22" customWidth="1"/>
    <col min="5201" max="5205" width="8.28515625" style="22" customWidth="1"/>
    <col min="5206" max="5206" width="0.85546875" style="22" customWidth="1"/>
    <col min="5207" max="5211" width="8.28515625" style="22" customWidth="1"/>
    <col min="5212" max="5376" width="9.140625" style="22"/>
    <col min="5377" max="5377" width="25.7109375" style="22" customWidth="1"/>
    <col min="5378" max="5378" width="0.85546875" style="22" customWidth="1"/>
    <col min="5379" max="5383" width="8.28515625" style="22" customWidth="1"/>
    <col min="5384" max="5384" width="0.85546875" style="22" customWidth="1"/>
    <col min="5385" max="5389" width="8.28515625" style="22" customWidth="1"/>
    <col min="5390" max="5390" width="0.85546875" style="22" customWidth="1"/>
    <col min="5391" max="5395" width="8.28515625" style="22" customWidth="1"/>
    <col min="5396" max="5396" width="0.85546875" style="22" customWidth="1"/>
    <col min="5397" max="5401" width="8.28515625" style="22" customWidth="1"/>
    <col min="5402" max="5402" width="0.85546875" style="22" customWidth="1"/>
    <col min="5403" max="5407" width="8.28515625" style="22" customWidth="1"/>
    <col min="5408" max="5408" width="0.85546875" style="22" customWidth="1"/>
    <col min="5409" max="5413" width="8.28515625" style="22" customWidth="1"/>
    <col min="5414" max="5414" width="0.85546875" style="22" customWidth="1"/>
    <col min="5415" max="5419" width="8.28515625" style="22" customWidth="1"/>
    <col min="5420" max="5420" width="0.85546875" style="22" customWidth="1"/>
    <col min="5421" max="5425" width="8.28515625" style="22" customWidth="1"/>
    <col min="5426" max="5426" width="0.85546875" style="22" customWidth="1"/>
    <col min="5427" max="5431" width="8.28515625" style="22" customWidth="1"/>
    <col min="5432" max="5432" width="0.85546875" style="22" customWidth="1"/>
    <col min="5433" max="5437" width="8.28515625" style="22" customWidth="1"/>
    <col min="5438" max="5438" width="0.85546875" style="22" customWidth="1"/>
    <col min="5439" max="5443" width="8.28515625" style="22" customWidth="1"/>
    <col min="5444" max="5444" width="0.85546875" style="22" customWidth="1"/>
    <col min="5445" max="5449" width="8.28515625" style="22" customWidth="1"/>
    <col min="5450" max="5450" width="0.85546875" style="22" customWidth="1"/>
    <col min="5451" max="5455" width="8.28515625" style="22" customWidth="1"/>
    <col min="5456" max="5456" width="0.85546875" style="22" customWidth="1"/>
    <col min="5457" max="5461" width="8.28515625" style="22" customWidth="1"/>
    <col min="5462" max="5462" width="0.85546875" style="22" customWidth="1"/>
    <col min="5463" max="5467" width="8.28515625" style="22" customWidth="1"/>
    <col min="5468" max="5632" width="9.140625" style="22"/>
    <col min="5633" max="5633" width="25.7109375" style="22" customWidth="1"/>
    <col min="5634" max="5634" width="0.85546875" style="22" customWidth="1"/>
    <col min="5635" max="5639" width="8.28515625" style="22" customWidth="1"/>
    <col min="5640" max="5640" width="0.85546875" style="22" customWidth="1"/>
    <col min="5641" max="5645" width="8.28515625" style="22" customWidth="1"/>
    <col min="5646" max="5646" width="0.85546875" style="22" customWidth="1"/>
    <col min="5647" max="5651" width="8.28515625" style="22" customWidth="1"/>
    <col min="5652" max="5652" width="0.85546875" style="22" customWidth="1"/>
    <col min="5653" max="5657" width="8.28515625" style="22" customWidth="1"/>
    <col min="5658" max="5658" width="0.85546875" style="22" customWidth="1"/>
    <col min="5659" max="5663" width="8.28515625" style="22" customWidth="1"/>
    <col min="5664" max="5664" width="0.85546875" style="22" customWidth="1"/>
    <col min="5665" max="5669" width="8.28515625" style="22" customWidth="1"/>
    <col min="5670" max="5670" width="0.85546875" style="22" customWidth="1"/>
    <col min="5671" max="5675" width="8.28515625" style="22" customWidth="1"/>
    <col min="5676" max="5676" width="0.85546875" style="22" customWidth="1"/>
    <col min="5677" max="5681" width="8.28515625" style="22" customWidth="1"/>
    <col min="5682" max="5682" width="0.85546875" style="22" customWidth="1"/>
    <col min="5683" max="5687" width="8.28515625" style="22" customWidth="1"/>
    <col min="5688" max="5688" width="0.85546875" style="22" customWidth="1"/>
    <col min="5689" max="5693" width="8.28515625" style="22" customWidth="1"/>
    <col min="5694" max="5694" width="0.85546875" style="22" customWidth="1"/>
    <col min="5695" max="5699" width="8.28515625" style="22" customWidth="1"/>
    <col min="5700" max="5700" width="0.85546875" style="22" customWidth="1"/>
    <col min="5701" max="5705" width="8.28515625" style="22" customWidth="1"/>
    <col min="5706" max="5706" width="0.85546875" style="22" customWidth="1"/>
    <col min="5707" max="5711" width="8.28515625" style="22" customWidth="1"/>
    <col min="5712" max="5712" width="0.85546875" style="22" customWidth="1"/>
    <col min="5713" max="5717" width="8.28515625" style="22" customWidth="1"/>
    <col min="5718" max="5718" width="0.85546875" style="22" customWidth="1"/>
    <col min="5719" max="5723" width="8.28515625" style="22" customWidth="1"/>
    <col min="5724" max="5888" width="9.140625" style="22"/>
    <col min="5889" max="5889" width="25.7109375" style="22" customWidth="1"/>
    <col min="5890" max="5890" width="0.85546875" style="22" customWidth="1"/>
    <col min="5891" max="5895" width="8.28515625" style="22" customWidth="1"/>
    <col min="5896" max="5896" width="0.85546875" style="22" customWidth="1"/>
    <col min="5897" max="5901" width="8.28515625" style="22" customWidth="1"/>
    <col min="5902" max="5902" width="0.85546875" style="22" customWidth="1"/>
    <col min="5903" max="5907" width="8.28515625" style="22" customWidth="1"/>
    <col min="5908" max="5908" width="0.85546875" style="22" customWidth="1"/>
    <col min="5909" max="5913" width="8.28515625" style="22" customWidth="1"/>
    <col min="5914" max="5914" width="0.85546875" style="22" customWidth="1"/>
    <col min="5915" max="5919" width="8.28515625" style="22" customWidth="1"/>
    <col min="5920" max="5920" width="0.85546875" style="22" customWidth="1"/>
    <col min="5921" max="5925" width="8.28515625" style="22" customWidth="1"/>
    <col min="5926" max="5926" width="0.85546875" style="22" customWidth="1"/>
    <col min="5927" max="5931" width="8.28515625" style="22" customWidth="1"/>
    <col min="5932" max="5932" width="0.85546875" style="22" customWidth="1"/>
    <col min="5933" max="5937" width="8.28515625" style="22" customWidth="1"/>
    <col min="5938" max="5938" width="0.85546875" style="22" customWidth="1"/>
    <col min="5939" max="5943" width="8.28515625" style="22" customWidth="1"/>
    <col min="5944" max="5944" width="0.85546875" style="22" customWidth="1"/>
    <col min="5945" max="5949" width="8.28515625" style="22" customWidth="1"/>
    <col min="5950" max="5950" width="0.85546875" style="22" customWidth="1"/>
    <col min="5951" max="5955" width="8.28515625" style="22" customWidth="1"/>
    <col min="5956" max="5956" width="0.85546875" style="22" customWidth="1"/>
    <col min="5957" max="5961" width="8.28515625" style="22" customWidth="1"/>
    <col min="5962" max="5962" width="0.85546875" style="22" customWidth="1"/>
    <col min="5963" max="5967" width="8.28515625" style="22" customWidth="1"/>
    <col min="5968" max="5968" width="0.85546875" style="22" customWidth="1"/>
    <col min="5969" max="5973" width="8.28515625" style="22" customWidth="1"/>
    <col min="5974" max="5974" width="0.85546875" style="22" customWidth="1"/>
    <col min="5975" max="5979" width="8.28515625" style="22" customWidth="1"/>
    <col min="5980" max="6144" width="9.140625" style="22"/>
    <col min="6145" max="6145" width="25.7109375" style="22" customWidth="1"/>
    <col min="6146" max="6146" width="0.85546875" style="22" customWidth="1"/>
    <col min="6147" max="6151" width="8.28515625" style="22" customWidth="1"/>
    <col min="6152" max="6152" width="0.85546875" style="22" customWidth="1"/>
    <col min="6153" max="6157" width="8.28515625" style="22" customWidth="1"/>
    <col min="6158" max="6158" width="0.85546875" style="22" customWidth="1"/>
    <col min="6159" max="6163" width="8.28515625" style="22" customWidth="1"/>
    <col min="6164" max="6164" width="0.85546875" style="22" customWidth="1"/>
    <col min="6165" max="6169" width="8.28515625" style="22" customWidth="1"/>
    <col min="6170" max="6170" width="0.85546875" style="22" customWidth="1"/>
    <col min="6171" max="6175" width="8.28515625" style="22" customWidth="1"/>
    <col min="6176" max="6176" width="0.85546875" style="22" customWidth="1"/>
    <col min="6177" max="6181" width="8.28515625" style="22" customWidth="1"/>
    <col min="6182" max="6182" width="0.85546875" style="22" customWidth="1"/>
    <col min="6183" max="6187" width="8.28515625" style="22" customWidth="1"/>
    <col min="6188" max="6188" width="0.85546875" style="22" customWidth="1"/>
    <col min="6189" max="6193" width="8.28515625" style="22" customWidth="1"/>
    <col min="6194" max="6194" width="0.85546875" style="22" customWidth="1"/>
    <col min="6195" max="6199" width="8.28515625" style="22" customWidth="1"/>
    <col min="6200" max="6200" width="0.85546875" style="22" customWidth="1"/>
    <col min="6201" max="6205" width="8.28515625" style="22" customWidth="1"/>
    <col min="6206" max="6206" width="0.85546875" style="22" customWidth="1"/>
    <col min="6207" max="6211" width="8.28515625" style="22" customWidth="1"/>
    <col min="6212" max="6212" width="0.85546875" style="22" customWidth="1"/>
    <col min="6213" max="6217" width="8.28515625" style="22" customWidth="1"/>
    <col min="6218" max="6218" width="0.85546875" style="22" customWidth="1"/>
    <col min="6219" max="6223" width="8.28515625" style="22" customWidth="1"/>
    <col min="6224" max="6224" width="0.85546875" style="22" customWidth="1"/>
    <col min="6225" max="6229" width="8.28515625" style="22" customWidth="1"/>
    <col min="6230" max="6230" width="0.85546875" style="22" customWidth="1"/>
    <col min="6231" max="6235" width="8.28515625" style="22" customWidth="1"/>
    <col min="6236" max="6400" width="9.140625" style="22"/>
    <col min="6401" max="6401" width="25.7109375" style="22" customWidth="1"/>
    <col min="6402" max="6402" width="0.85546875" style="22" customWidth="1"/>
    <col min="6403" max="6407" width="8.28515625" style="22" customWidth="1"/>
    <col min="6408" max="6408" width="0.85546875" style="22" customWidth="1"/>
    <col min="6409" max="6413" width="8.28515625" style="22" customWidth="1"/>
    <col min="6414" max="6414" width="0.85546875" style="22" customWidth="1"/>
    <col min="6415" max="6419" width="8.28515625" style="22" customWidth="1"/>
    <col min="6420" max="6420" width="0.85546875" style="22" customWidth="1"/>
    <col min="6421" max="6425" width="8.28515625" style="22" customWidth="1"/>
    <col min="6426" max="6426" width="0.85546875" style="22" customWidth="1"/>
    <col min="6427" max="6431" width="8.28515625" style="22" customWidth="1"/>
    <col min="6432" max="6432" width="0.85546875" style="22" customWidth="1"/>
    <col min="6433" max="6437" width="8.28515625" style="22" customWidth="1"/>
    <col min="6438" max="6438" width="0.85546875" style="22" customWidth="1"/>
    <col min="6439" max="6443" width="8.28515625" style="22" customWidth="1"/>
    <col min="6444" max="6444" width="0.85546875" style="22" customWidth="1"/>
    <col min="6445" max="6449" width="8.28515625" style="22" customWidth="1"/>
    <col min="6450" max="6450" width="0.85546875" style="22" customWidth="1"/>
    <col min="6451" max="6455" width="8.28515625" style="22" customWidth="1"/>
    <col min="6456" max="6456" width="0.85546875" style="22" customWidth="1"/>
    <col min="6457" max="6461" width="8.28515625" style="22" customWidth="1"/>
    <col min="6462" max="6462" width="0.85546875" style="22" customWidth="1"/>
    <col min="6463" max="6467" width="8.28515625" style="22" customWidth="1"/>
    <col min="6468" max="6468" width="0.85546875" style="22" customWidth="1"/>
    <col min="6469" max="6473" width="8.28515625" style="22" customWidth="1"/>
    <col min="6474" max="6474" width="0.85546875" style="22" customWidth="1"/>
    <col min="6475" max="6479" width="8.28515625" style="22" customWidth="1"/>
    <col min="6480" max="6480" width="0.85546875" style="22" customWidth="1"/>
    <col min="6481" max="6485" width="8.28515625" style="22" customWidth="1"/>
    <col min="6486" max="6486" width="0.85546875" style="22" customWidth="1"/>
    <col min="6487" max="6491" width="8.28515625" style="22" customWidth="1"/>
    <col min="6492" max="6656" width="9.140625" style="22"/>
    <col min="6657" max="6657" width="25.7109375" style="22" customWidth="1"/>
    <col min="6658" max="6658" width="0.85546875" style="22" customWidth="1"/>
    <col min="6659" max="6663" width="8.28515625" style="22" customWidth="1"/>
    <col min="6664" max="6664" width="0.85546875" style="22" customWidth="1"/>
    <col min="6665" max="6669" width="8.28515625" style="22" customWidth="1"/>
    <col min="6670" max="6670" width="0.85546875" style="22" customWidth="1"/>
    <col min="6671" max="6675" width="8.28515625" style="22" customWidth="1"/>
    <col min="6676" max="6676" width="0.85546875" style="22" customWidth="1"/>
    <col min="6677" max="6681" width="8.28515625" style="22" customWidth="1"/>
    <col min="6682" max="6682" width="0.85546875" style="22" customWidth="1"/>
    <col min="6683" max="6687" width="8.28515625" style="22" customWidth="1"/>
    <col min="6688" max="6688" width="0.85546875" style="22" customWidth="1"/>
    <col min="6689" max="6693" width="8.28515625" style="22" customWidth="1"/>
    <col min="6694" max="6694" width="0.85546875" style="22" customWidth="1"/>
    <col min="6695" max="6699" width="8.28515625" style="22" customWidth="1"/>
    <col min="6700" max="6700" width="0.85546875" style="22" customWidth="1"/>
    <col min="6701" max="6705" width="8.28515625" style="22" customWidth="1"/>
    <col min="6706" max="6706" width="0.85546875" style="22" customWidth="1"/>
    <col min="6707" max="6711" width="8.28515625" style="22" customWidth="1"/>
    <col min="6712" max="6712" width="0.85546875" style="22" customWidth="1"/>
    <col min="6713" max="6717" width="8.28515625" style="22" customWidth="1"/>
    <col min="6718" max="6718" width="0.85546875" style="22" customWidth="1"/>
    <col min="6719" max="6723" width="8.28515625" style="22" customWidth="1"/>
    <col min="6724" max="6724" width="0.85546875" style="22" customWidth="1"/>
    <col min="6725" max="6729" width="8.28515625" style="22" customWidth="1"/>
    <col min="6730" max="6730" width="0.85546875" style="22" customWidth="1"/>
    <col min="6731" max="6735" width="8.28515625" style="22" customWidth="1"/>
    <col min="6736" max="6736" width="0.85546875" style="22" customWidth="1"/>
    <col min="6737" max="6741" width="8.28515625" style="22" customWidth="1"/>
    <col min="6742" max="6742" width="0.85546875" style="22" customWidth="1"/>
    <col min="6743" max="6747" width="8.28515625" style="22" customWidth="1"/>
    <col min="6748" max="6912" width="9.140625" style="22"/>
    <col min="6913" max="6913" width="25.7109375" style="22" customWidth="1"/>
    <col min="6914" max="6914" width="0.85546875" style="22" customWidth="1"/>
    <col min="6915" max="6919" width="8.28515625" style="22" customWidth="1"/>
    <col min="6920" max="6920" width="0.85546875" style="22" customWidth="1"/>
    <col min="6921" max="6925" width="8.28515625" style="22" customWidth="1"/>
    <col min="6926" max="6926" width="0.85546875" style="22" customWidth="1"/>
    <col min="6927" max="6931" width="8.28515625" style="22" customWidth="1"/>
    <col min="6932" max="6932" width="0.85546875" style="22" customWidth="1"/>
    <col min="6933" max="6937" width="8.28515625" style="22" customWidth="1"/>
    <col min="6938" max="6938" width="0.85546875" style="22" customWidth="1"/>
    <col min="6939" max="6943" width="8.28515625" style="22" customWidth="1"/>
    <col min="6944" max="6944" width="0.85546875" style="22" customWidth="1"/>
    <col min="6945" max="6949" width="8.28515625" style="22" customWidth="1"/>
    <col min="6950" max="6950" width="0.85546875" style="22" customWidth="1"/>
    <col min="6951" max="6955" width="8.28515625" style="22" customWidth="1"/>
    <col min="6956" max="6956" width="0.85546875" style="22" customWidth="1"/>
    <col min="6957" max="6961" width="8.28515625" style="22" customWidth="1"/>
    <col min="6962" max="6962" width="0.85546875" style="22" customWidth="1"/>
    <col min="6963" max="6967" width="8.28515625" style="22" customWidth="1"/>
    <col min="6968" max="6968" width="0.85546875" style="22" customWidth="1"/>
    <col min="6969" max="6973" width="8.28515625" style="22" customWidth="1"/>
    <col min="6974" max="6974" width="0.85546875" style="22" customWidth="1"/>
    <col min="6975" max="6979" width="8.28515625" style="22" customWidth="1"/>
    <col min="6980" max="6980" width="0.85546875" style="22" customWidth="1"/>
    <col min="6981" max="6985" width="8.28515625" style="22" customWidth="1"/>
    <col min="6986" max="6986" width="0.85546875" style="22" customWidth="1"/>
    <col min="6987" max="6991" width="8.28515625" style="22" customWidth="1"/>
    <col min="6992" max="6992" width="0.85546875" style="22" customWidth="1"/>
    <col min="6993" max="6997" width="8.28515625" style="22" customWidth="1"/>
    <col min="6998" max="6998" width="0.85546875" style="22" customWidth="1"/>
    <col min="6999" max="7003" width="8.28515625" style="22" customWidth="1"/>
    <col min="7004" max="7168" width="9.140625" style="22"/>
    <col min="7169" max="7169" width="25.7109375" style="22" customWidth="1"/>
    <col min="7170" max="7170" width="0.85546875" style="22" customWidth="1"/>
    <col min="7171" max="7175" width="8.28515625" style="22" customWidth="1"/>
    <col min="7176" max="7176" width="0.85546875" style="22" customWidth="1"/>
    <col min="7177" max="7181" width="8.28515625" style="22" customWidth="1"/>
    <col min="7182" max="7182" width="0.85546875" style="22" customWidth="1"/>
    <col min="7183" max="7187" width="8.28515625" style="22" customWidth="1"/>
    <col min="7188" max="7188" width="0.85546875" style="22" customWidth="1"/>
    <col min="7189" max="7193" width="8.28515625" style="22" customWidth="1"/>
    <col min="7194" max="7194" width="0.85546875" style="22" customWidth="1"/>
    <col min="7195" max="7199" width="8.28515625" style="22" customWidth="1"/>
    <col min="7200" max="7200" width="0.85546875" style="22" customWidth="1"/>
    <col min="7201" max="7205" width="8.28515625" style="22" customWidth="1"/>
    <col min="7206" max="7206" width="0.85546875" style="22" customWidth="1"/>
    <col min="7207" max="7211" width="8.28515625" style="22" customWidth="1"/>
    <col min="7212" max="7212" width="0.85546875" style="22" customWidth="1"/>
    <col min="7213" max="7217" width="8.28515625" style="22" customWidth="1"/>
    <col min="7218" max="7218" width="0.85546875" style="22" customWidth="1"/>
    <col min="7219" max="7223" width="8.28515625" style="22" customWidth="1"/>
    <col min="7224" max="7224" width="0.85546875" style="22" customWidth="1"/>
    <col min="7225" max="7229" width="8.28515625" style="22" customWidth="1"/>
    <col min="7230" max="7230" width="0.85546875" style="22" customWidth="1"/>
    <col min="7231" max="7235" width="8.28515625" style="22" customWidth="1"/>
    <col min="7236" max="7236" width="0.85546875" style="22" customWidth="1"/>
    <col min="7237" max="7241" width="8.28515625" style="22" customWidth="1"/>
    <col min="7242" max="7242" width="0.85546875" style="22" customWidth="1"/>
    <col min="7243" max="7247" width="8.28515625" style="22" customWidth="1"/>
    <col min="7248" max="7248" width="0.85546875" style="22" customWidth="1"/>
    <col min="7249" max="7253" width="8.28515625" style="22" customWidth="1"/>
    <col min="7254" max="7254" width="0.85546875" style="22" customWidth="1"/>
    <col min="7255" max="7259" width="8.28515625" style="22" customWidth="1"/>
    <col min="7260" max="7424" width="9.140625" style="22"/>
    <col min="7425" max="7425" width="25.7109375" style="22" customWidth="1"/>
    <col min="7426" max="7426" width="0.85546875" style="22" customWidth="1"/>
    <col min="7427" max="7431" width="8.28515625" style="22" customWidth="1"/>
    <col min="7432" max="7432" width="0.85546875" style="22" customWidth="1"/>
    <col min="7433" max="7437" width="8.28515625" style="22" customWidth="1"/>
    <col min="7438" max="7438" width="0.85546875" style="22" customWidth="1"/>
    <col min="7439" max="7443" width="8.28515625" style="22" customWidth="1"/>
    <col min="7444" max="7444" width="0.85546875" style="22" customWidth="1"/>
    <col min="7445" max="7449" width="8.28515625" style="22" customWidth="1"/>
    <col min="7450" max="7450" width="0.85546875" style="22" customWidth="1"/>
    <col min="7451" max="7455" width="8.28515625" style="22" customWidth="1"/>
    <col min="7456" max="7456" width="0.85546875" style="22" customWidth="1"/>
    <col min="7457" max="7461" width="8.28515625" style="22" customWidth="1"/>
    <col min="7462" max="7462" width="0.85546875" style="22" customWidth="1"/>
    <col min="7463" max="7467" width="8.28515625" style="22" customWidth="1"/>
    <col min="7468" max="7468" width="0.85546875" style="22" customWidth="1"/>
    <col min="7469" max="7473" width="8.28515625" style="22" customWidth="1"/>
    <col min="7474" max="7474" width="0.85546875" style="22" customWidth="1"/>
    <col min="7475" max="7479" width="8.28515625" style="22" customWidth="1"/>
    <col min="7480" max="7480" width="0.85546875" style="22" customWidth="1"/>
    <col min="7481" max="7485" width="8.28515625" style="22" customWidth="1"/>
    <col min="7486" max="7486" width="0.85546875" style="22" customWidth="1"/>
    <col min="7487" max="7491" width="8.28515625" style="22" customWidth="1"/>
    <col min="7492" max="7492" width="0.85546875" style="22" customWidth="1"/>
    <col min="7493" max="7497" width="8.28515625" style="22" customWidth="1"/>
    <col min="7498" max="7498" width="0.85546875" style="22" customWidth="1"/>
    <col min="7499" max="7503" width="8.28515625" style="22" customWidth="1"/>
    <col min="7504" max="7504" width="0.85546875" style="22" customWidth="1"/>
    <col min="7505" max="7509" width="8.28515625" style="22" customWidth="1"/>
    <col min="7510" max="7510" width="0.85546875" style="22" customWidth="1"/>
    <col min="7511" max="7515" width="8.28515625" style="22" customWidth="1"/>
    <col min="7516" max="7680" width="9.140625" style="22"/>
    <col min="7681" max="7681" width="25.7109375" style="22" customWidth="1"/>
    <col min="7682" max="7682" width="0.85546875" style="22" customWidth="1"/>
    <col min="7683" max="7687" width="8.28515625" style="22" customWidth="1"/>
    <col min="7688" max="7688" width="0.85546875" style="22" customWidth="1"/>
    <col min="7689" max="7693" width="8.28515625" style="22" customWidth="1"/>
    <col min="7694" max="7694" width="0.85546875" style="22" customWidth="1"/>
    <col min="7695" max="7699" width="8.28515625" style="22" customWidth="1"/>
    <col min="7700" max="7700" width="0.85546875" style="22" customWidth="1"/>
    <col min="7701" max="7705" width="8.28515625" style="22" customWidth="1"/>
    <col min="7706" max="7706" width="0.85546875" style="22" customWidth="1"/>
    <col min="7707" max="7711" width="8.28515625" style="22" customWidth="1"/>
    <col min="7712" max="7712" width="0.85546875" style="22" customWidth="1"/>
    <col min="7713" max="7717" width="8.28515625" style="22" customWidth="1"/>
    <col min="7718" max="7718" width="0.85546875" style="22" customWidth="1"/>
    <col min="7719" max="7723" width="8.28515625" style="22" customWidth="1"/>
    <col min="7724" max="7724" width="0.85546875" style="22" customWidth="1"/>
    <col min="7725" max="7729" width="8.28515625" style="22" customWidth="1"/>
    <col min="7730" max="7730" width="0.85546875" style="22" customWidth="1"/>
    <col min="7731" max="7735" width="8.28515625" style="22" customWidth="1"/>
    <col min="7736" max="7736" width="0.85546875" style="22" customWidth="1"/>
    <col min="7737" max="7741" width="8.28515625" style="22" customWidth="1"/>
    <col min="7742" max="7742" width="0.85546875" style="22" customWidth="1"/>
    <col min="7743" max="7747" width="8.28515625" style="22" customWidth="1"/>
    <col min="7748" max="7748" width="0.85546875" style="22" customWidth="1"/>
    <col min="7749" max="7753" width="8.28515625" style="22" customWidth="1"/>
    <col min="7754" max="7754" width="0.85546875" style="22" customWidth="1"/>
    <col min="7755" max="7759" width="8.28515625" style="22" customWidth="1"/>
    <col min="7760" max="7760" width="0.85546875" style="22" customWidth="1"/>
    <col min="7761" max="7765" width="8.28515625" style="22" customWidth="1"/>
    <col min="7766" max="7766" width="0.85546875" style="22" customWidth="1"/>
    <col min="7767" max="7771" width="8.28515625" style="22" customWidth="1"/>
    <col min="7772" max="7936" width="9.140625" style="22"/>
    <col min="7937" max="7937" width="25.7109375" style="22" customWidth="1"/>
    <col min="7938" max="7938" width="0.85546875" style="22" customWidth="1"/>
    <col min="7939" max="7943" width="8.28515625" style="22" customWidth="1"/>
    <col min="7944" max="7944" width="0.85546875" style="22" customWidth="1"/>
    <col min="7945" max="7949" width="8.28515625" style="22" customWidth="1"/>
    <col min="7950" max="7950" width="0.85546875" style="22" customWidth="1"/>
    <col min="7951" max="7955" width="8.28515625" style="22" customWidth="1"/>
    <col min="7956" max="7956" width="0.85546875" style="22" customWidth="1"/>
    <col min="7957" max="7961" width="8.28515625" style="22" customWidth="1"/>
    <col min="7962" max="7962" width="0.85546875" style="22" customWidth="1"/>
    <col min="7963" max="7967" width="8.28515625" style="22" customWidth="1"/>
    <col min="7968" max="7968" width="0.85546875" style="22" customWidth="1"/>
    <col min="7969" max="7973" width="8.28515625" style="22" customWidth="1"/>
    <col min="7974" max="7974" width="0.85546875" style="22" customWidth="1"/>
    <col min="7975" max="7979" width="8.28515625" style="22" customWidth="1"/>
    <col min="7980" max="7980" width="0.85546875" style="22" customWidth="1"/>
    <col min="7981" max="7985" width="8.28515625" style="22" customWidth="1"/>
    <col min="7986" max="7986" width="0.85546875" style="22" customWidth="1"/>
    <col min="7987" max="7991" width="8.28515625" style="22" customWidth="1"/>
    <col min="7992" max="7992" width="0.85546875" style="22" customWidth="1"/>
    <col min="7993" max="7997" width="8.28515625" style="22" customWidth="1"/>
    <col min="7998" max="7998" width="0.85546875" style="22" customWidth="1"/>
    <col min="7999" max="8003" width="8.28515625" style="22" customWidth="1"/>
    <col min="8004" max="8004" width="0.85546875" style="22" customWidth="1"/>
    <col min="8005" max="8009" width="8.28515625" style="22" customWidth="1"/>
    <col min="8010" max="8010" width="0.85546875" style="22" customWidth="1"/>
    <col min="8011" max="8015" width="8.28515625" style="22" customWidth="1"/>
    <col min="8016" max="8016" width="0.85546875" style="22" customWidth="1"/>
    <col min="8017" max="8021" width="8.28515625" style="22" customWidth="1"/>
    <col min="8022" max="8022" width="0.85546875" style="22" customWidth="1"/>
    <col min="8023" max="8027" width="8.28515625" style="22" customWidth="1"/>
    <col min="8028" max="8192" width="9.140625" style="22"/>
    <col min="8193" max="8193" width="25.7109375" style="22" customWidth="1"/>
    <col min="8194" max="8194" width="0.85546875" style="22" customWidth="1"/>
    <col min="8195" max="8199" width="8.28515625" style="22" customWidth="1"/>
    <col min="8200" max="8200" width="0.85546875" style="22" customWidth="1"/>
    <col min="8201" max="8205" width="8.28515625" style="22" customWidth="1"/>
    <col min="8206" max="8206" width="0.85546875" style="22" customWidth="1"/>
    <col min="8207" max="8211" width="8.28515625" style="22" customWidth="1"/>
    <col min="8212" max="8212" width="0.85546875" style="22" customWidth="1"/>
    <col min="8213" max="8217" width="8.28515625" style="22" customWidth="1"/>
    <col min="8218" max="8218" width="0.85546875" style="22" customWidth="1"/>
    <col min="8219" max="8223" width="8.28515625" style="22" customWidth="1"/>
    <col min="8224" max="8224" width="0.85546875" style="22" customWidth="1"/>
    <col min="8225" max="8229" width="8.28515625" style="22" customWidth="1"/>
    <col min="8230" max="8230" width="0.85546875" style="22" customWidth="1"/>
    <col min="8231" max="8235" width="8.28515625" style="22" customWidth="1"/>
    <col min="8236" max="8236" width="0.85546875" style="22" customWidth="1"/>
    <col min="8237" max="8241" width="8.28515625" style="22" customWidth="1"/>
    <col min="8242" max="8242" width="0.85546875" style="22" customWidth="1"/>
    <col min="8243" max="8247" width="8.28515625" style="22" customWidth="1"/>
    <col min="8248" max="8248" width="0.85546875" style="22" customWidth="1"/>
    <col min="8249" max="8253" width="8.28515625" style="22" customWidth="1"/>
    <col min="8254" max="8254" width="0.85546875" style="22" customWidth="1"/>
    <col min="8255" max="8259" width="8.28515625" style="22" customWidth="1"/>
    <col min="8260" max="8260" width="0.85546875" style="22" customWidth="1"/>
    <col min="8261" max="8265" width="8.28515625" style="22" customWidth="1"/>
    <col min="8266" max="8266" width="0.85546875" style="22" customWidth="1"/>
    <col min="8267" max="8271" width="8.28515625" style="22" customWidth="1"/>
    <col min="8272" max="8272" width="0.85546875" style="22" customWidth="1"/>
    <col min="8273" max="8277" width="8.28515625" style="22" customWidth="1"/>
    <col min="8278" max="8278" width="0.85546875" style="22" customWidth="1"/>
    <col min="8279" max="8283" width="8.28515625" style="22" customWidth="1"/>
    <col min="8284" max="8448" width="9.140625" style="22"/>
    <col min="8449" max="8449" width="25.7109375" style="22" customWidth="1"/>
    <col min="8450" max="8450" width="0.85546875" style="22" customWidth="1"/>
    <col min="8451" max="8455" width="8.28515625" style="22" customWidth="1"/>
    <col min="8456" max="8456" width="0.85546875" style="22" customWidth="1"/>
    <col min="8457" max="8461" width="8.28515625" style="22" customWidth="1"/>
    <col min="8462" max="8462" width="0.85546875" style="22" customWidth="1"/>
    <col min="8463" max="8467" width="8.28515625" style="22" customWidth="1"/>
    <col min="8468" max="8468" width="0.85546875" style="22" customWidth="1"/>
    <col min="8469" max="8473" width="8.28515625" style="22" customWidth="1"/>
    <col min="8474" max="8474" width="0.85546875" style="22" customWidth="1"/>
    <col min="8475" max="8479" width="8.28515625" style="22" customWidth="1"/>
    <col min="8480" max="8480" width="0.85546875" style="22" customWidth="1"/>
    <col min="8481" max="8485" width="8.28515625" style="22" customWidth="1"/>
    <col min="8486" max="8486" width="0.85546875" style="22" customWidth="1"/>
    <col min="8487" max="8491" width="8.28515625" style="22" customWidth="1"/>
    <col min="8492" max="8492" width="0.85546875" style="22" customWidth="1"/>
    <col min="8493" max="8497" width="8.28515625" style="22" customWidth="1"/>
    <col min="8498" max="8498" width="0.85546875" style="22" customWidth="1"/>
    <col min="8499" max="8503" width="8.28515625" style="22" customWidth="1"/>
    <col min="8504" max="8504" width="0.85546875" style="22" customWidth="1"/>
    <col min="8505" max="8509" width="8.28515625" style="22" customWidth="1"/>
    <col min="8510" max="8510" width="0.85546875" style="22" customWidth="1"/>
    <col min="8511" max="8515" width="8.28515625" style="22" customWidth="1"/>
    <col min="8516" max="8516" width="0.85546875" style="22" customWidth="1"/>
    <col min="8517" max="8521" width="8.28515625" style="22" customWidth="1"/>
    <col min="8522" max="8522" width="0.85546875" style="22" customWidth="1"/>
    <col min="8523" max="8527" width="8.28515625" style="22" customWidth="1"/>
    <col min="8528" max="8528" width="0.85546875" style="22" customWidth="1"/>
    <col min="8529" max="8533" width="8.28515625" style="22" customWidth="1"/>
    <col min="8534" max="8534" width="0.85546875" style="22" customWidth="1"/>
    <col min="8535" max="8539" width="8.28515625" style="22" customWidth="1"/>
    <col min="8540" max="8704" width="9.140625" style="22"/>
    <col min="8705" max="8705" width="25.7109375" style="22" customWidth="1"/>
    <col min="8706" max="8706" width="0.85546875" style="22" customWidth="1"/>
    <col min="8707" max="8711" width="8.28515625" style="22" customWidth="1"/>
    <col min="8712" max="8712" width="0.85546875" style="22" customWidth="1"/>
    <col min="8713" max="8717" width="8.28515625" style="22" customWidth="1"/>
    <col min="8718" max="8718" width="0.85546875" style="22" customWidth="1"/>
    <col min="8719" max="8723" width="8.28515625" style="22" customWidth="1"/>
    <col min="8724" max="8724" width="0.85546875" style="22" customWidth="1"/>
    <col min="8725" max="8729" width="8.28515625" style="22" customWidth="1"/>
    <col min="8730" max="8730" width="0.85546875" style="22" customWidth="1"/>
    <col min="8731" max="8735" width="8.28515625" style="22" customWidth="1"/>
    <col min="8736" max="8736" width="0.85546875" style="22" customWidth="1"/>
    <col min="8737" max="8741" width="8.28515625" style="22" customWidth="1"/>
    <col min="8742" max="8742" width="0.85546875" style="22" customWidth="1"/>
    <col min="8743" max="8747" width="8.28515625" style="22" customWidth="1"/>
    <col min="8748" max="8748" width="0.85546875" style="22" customWidth="1"/>
    <col min="8749" max="8753" width="8.28515625" style="22" customWidth="1"/>
    <col min="8754" max="8754" width="0.85546875" style="22" customWidth="1"/>
    <col min="8755" max="8759" width="8.28515625" style="22" customWidth="1"/>
    <col min="8760" max="8760" width="0.85546875" style="22" customWidth="1"/>
    <col min="8761" max="8765" width="8.28515625" style="22" customWidth="1"/>
    <col min="8766" max="8766" width="0.85546875" style="22" customWidth="1"/>
    <col min="8767" max="8771" width="8.28515625" style="22" customWidth="1"/>
    <col min="8772" max="8772" width="0.85546875" style="22" customWidth="1"/>
    <col min="8773" max="8777" width="8.28515625" style="22" customWidth="1"/>
    <col min="8778" max="8778" width="0.85546875" style="22" customWidth="1"/>
    <col min="8779" max="8783" width="8.28515625" style="22" customWidth="1"/>
    <col min="8784" max="8784" width="0.85546875" style="22" customWidth="1"/>
    <col min="8785" max="8789" width="8.28515625" style="22" customWidth="1"/>
    <col min="8790" max="8790" width="0.85546875" style="22" customWidth="1"/>
    <col min="8791" max="8795" width="8.28515625" style="22" customWidth="1"/>
    <col min="8796" max="8960" width="9.140625" style="22"/>
    <col min="8961" max="8961" width="25.7109375" style="22" customWidth="1"/>
    <col min="8962" max="8962" width="0.85546875" style="22" customWidth="1"/>
    <col min="8963" max="8967" width="8.28515625" style="22" customWidth="1"/>
    <col min="8968" max="8968" width="0.85546875" style="22" customWidth="1"/>
    <col min="8969" max="8973" width="8.28515625" style="22" customWidth="1"/>
    <col min="8974" max="8974" width="0.85546875" style="22" customWidth="1"/>
    <col min="8975" max="8979" width="8.28515625" style="22" customWidth="1"/>
    <col min="8980" max="8980" width="0.85546875" style="22" customWidth="1"/>
    <col min="8981" max="8985" width="8.28515625" style="22" customWidth="1"/>
    <col min="8986" max="8986" width="0.85546875" style="22" customWidth="1"/>
    <col min="8987" max="8991" width="8.28515625" style="22" customWidth="1"/>
    <col min="8992" max="8992" width="0.85546875" style="22" customWidth="1"/>
    <col min="8993" max="8997" width="8.28515625" style="22" customWidth="1"/>
    <col min="8998" max="8998" width="0.85546875" style="22" customWidth="1"/>
    <col min="8999" max="9003" width="8.28515625" style="22" customWidth="1"/>
    <col min="9004" max="9004" width="0.85546875" style="22" customWidth="1"/>
    <col min="9005" max="9009" width="8.28515625" style="22" customWidth="1"/>
    <col min="9010" max="9010" width="0.85546875" style="22" customWidth="1"/>
    <col min="9011" max="9015" width="8.28515625" style="22" customWidth="1"/>
    <col min="9016" max="9016" width="0.85546875" style="22" customWidth="1"/>
    <col min="9017" max="9021" width="8.28515625" style="22" customWidth="1"/>
    <col min="9022" max="9022" width="0.85546875" style="22" customWidth="1"/>
    <col min="9023" max="9027" width="8.28515625" style="22" customWidth="1"/>
    <col min="9028" max="9028" width="0.85546875" style="22" customWidth="1"/>
    <col min="9029" max="9033" width="8.28515625" style="22" customWidth="1"/>
    <col min="9034" max="9034" width="0.85546875" style="22" customWidth="1"/>
    <col min="9035" max="9039" width="8.28515625" style="22" customWidth="1"/>
    <col min="9040" max="9040" width="0.85546875" style="22" customWidth="1"/>
    <col min="9041" max="9045" width="8.28515625" style="22" customWidth="1"/>
    <col min="9046" max="9046" width="0.85546875" style="22" customWidth="1"/>
    <col min="9047" max="9051" width="8.28515625" style="22" customWidth="1"/>
    <col min="9052" max="9216" width="9.140625" style="22"/>
    <col min="9217" max="9217" width="25.7109375" style="22" customWidth="1"/>
    <col min="9218" max="9218" width="0.85546875" style="22" customWidth="1"/>
    <col min="9219" max="9223" width="8.28515625" style="22" customWidth="1"/>
    <col min="9224" max="9224" width="0.85546875" style="22" customWidth="1"/>
    <col min="9225" max="9229" width="8.28515625" style="22" customWidth="1"/>
    <col min="9230" max="9230" width="0.85546875" style="22" customWidth="1"/>
    <col min="9231" max="9235" width="8.28515625" style="22" customWidth="1"/>
    <col min="9236" max="9236" width="0.85546875" style="22" customWidth="1"/>
    <col min="9237" max="9241" width="8.28515625" style="22" customWidth="1"/>
    <col min="9242" max="9242" width="0.85546875" style="22" customWidth="1"/>
    <col min="9243" max="9247" width="8.28515625" style="22" customWidth="1"/>
    <col min="9248" max="9248" width="0.85546875" style="22" customWidth="1"/>
    <col min="9249" max="9253" width="8.28515625" style="22" customWidth="1"/>
    <col min="9254" max="9254" width="0.85546875" style="22" customWidth="1"/>
    <col min="9255" max="9259" width="8.28515625" style="22" customWidth="1"/>
    <col min="9260" max="9260" width="0.85546875" style="22" customWidth="1"/>
    <col min="9261" max="9265" width="8.28515625" style="22" customWidth="1"/>
    <col min="9266" max="9266" width="0.85546875" style="22" customWidth="1"/>
    <col min="9267" max="9271" width="8.28515625" style="22" customWidth="1"/>
    <col min="9272" max="9272" width="0.85546875" style="22" customWidth="1"/>
    <col min="9273" max="9277" width="8.28515625" style="22" customWidth="1"/>
    <col min="9278" max="9278" width="0.85546875" style="22" customWidth="1"/>
    <col min="9279" max="9283" width="8.28515625" style="22" customWidth="1"/>
    <col min="9284" max="9284" width="0.85546875" style="22" customWidth="1"/>
    <col min="9285" max="9289" width="8.28515625" style="22" customWidth="1"/>
    <col min="9290" max="9290" width="0.85546875" style="22" customWidth="1"/>
    <col min="9291" max="9295" width="8.28515625" style="22" customWidth="1"/>
    <col min="9296" max="9296" width="0.85546875" style="22" customWidth="1"/>
    <col min="9297" max="9301" width="8.28515625" style="22" customWidth="1"/>
    <col min="9302" max="9302" width="0.85546875" style="22" customWidth="1"/>
    <col min="9303" max="9307" width="8.28515625" style="22" customWidth="1"/>
    <col min="9308" max="9472" width="9.140625" style="22"/>
    <col min="9473" max="9473" width="25.7109375" style="22" customWidth="1"/>
    <col min="9474" max="9474" width="0.85546875" style="22" customWidth="1"/>
    <col min="9475" max="9479" width="8.28515625" style="22" customWidth="1"/>
    <col min="9480" max="9480" width="0.85546875" style="22" customWidth="1"/>
    <col min="9481" max="9485" width="8.28515625" style="22" customWidth="1"/>
    <col min="9486" max="9486" width="0.85546875" style="22" customWidth="1"/>
    <col min="9487" max="9491" width="8.28515625" style="22" customWidth="1"/>
    <col min="9492" max="9492" width="0.85546875" style="22" customWidth="1"/>
    <col min="9493" max="9497" width="8.28515625" style="22" customWidth="1"/>
    <col min="9498" max="9498" width="0.85546875" style="22" customWidth="1"/>
    <col min="9499" max="9503" width="8.28515625" style="22" customWidth="1"/>
    <col min="9504" max="9504" width="0.85546875" style="22" customWidth="1"/>
    <col min="9505" max="9509" width="8.28515625" style="22" customWidth="1"/>
    <col min="9510" max="9510" width="0.85546875" style="22" customWidth="1"/>
    <col min="9511" max="9515" width="8.28515625" style="22" customWidth="1"/>
    <col min="9516" max="9516" width="0.85546875" style="22" customWidth="1"/>
    <col min="9517" max="9521" width="8.28515625" style="22" customWidth="1"/>
    <col min="9522" max="9522" width="0.85546875" style="22" customWidth="1"/>
    <col min="9523" max="9527" width="8.28515625" style="22" customWidth="1"/>
    <col min="9528" max="9528" width="0.85546875" style="22" customWidth="1"/>
    <col min="9529" max="9533" width="8.28515625" style="22" customWidth="1"/>
    <col min="9534" max="9534" width="0.85546875" style="22" customWidth="1"/>
    <col min="9535" max="9539" width="8.28515625" style="22" customWidth="1"/>
    <col min="9540" max="9540" width="0.85546875" style="22" customWidth="1"/>
    <col min="9541" max="9545" width="8.28515625" style="22" customWidth="1"/>
    <col min="9546" max="9546" width="0.85546875" style="22" customWidth="1"/>
    <col min="9547" max="9551" width="8.28515625" style="22" customWidth="1"/>
    <col min="9552" max="9552" width="0.85546875" style="22" customWidth="1"/>
    <col min="9553" max="9557" width="8.28515625" style="22" customWidth="1"/>
    <col min="9558" max="9558" width="0.85546875" style="22" customWidth="1"/>
    <col min="9559" max="9563" width="8.28515625" style="22" customWidth="1"/>
    <col min="9564" max="9728" width="9.140625" style="22"/>
    <col min="9729" max="9729" width="25.7109375" style="22" customWidth="1"/>
    <col min="9730" max="9730" width="0.85546875" style="22" customWidth="1"/>
    <col min="9731" max="9735" width="8.28515625" style="22" customWidth="1"/>
    <col min="9736" max="9736" width="0.85546875" style="22" customWidth="1"/>
    <col min="9737" max="9741" width="8.28515625" style="22" customWidth="1"/>
    <col min="9742" max="9742" width="0.85546875" style="22" customWidth="1"/>
    <col min="9743" max="9747" width="8.28515625" style="22" customWidth="1"/>
    <col min="9748" max="9748" width="0.85546875" style="22" customWidth="1"/>
    <col min="9749" max="9753" width="8.28515625" style="22" customWidth="1"/>
    <col min="9754" max="9754" width="0.85546875" style="22" customWidth="1"/>
    <col min="9755" max="9759" width="8.28515625" style="22" customWidth="1"/>
    <col min="9760" max="9760" width="0.85546875" style="22" customWidth="1"/>
    <col min="9761" max="9765" width="8.28515625" style="22" customWidth="1"/>
    <col min="9766" max="9766" width="0.85546875" style="22" customWidth="1"/>
    <col min="9767" max="9771" width="8.28515625" style="22" customWidth="1"/>
    <col min="9772" max="9772" width="0.85546875" style="22" customWidth="1"/>
    <col min="9773" max="9777" width="8.28515625" style="22" customWidth="1"/>
    <col min="9778" max="9778" width="0.85546875" style="22" customWidth="1"/>
    <col min="9779" max="9783" width="8.28515625" style="22" customWidth="1"/>
    <col min="9784" max="9784" width="0.85546875" style="22" customWidth="1"/>
    <col min="9785" max="9789" width="8.28515625" style="22" customWidth="1"/>
    <col min="9790" max="9790" width="0.85546875" style="22" customWidth="1"/>
    <col min="9791" max="9795" width="8.28515625" style="22" customWidth="1"/>
    <col min="9796" max="9796" width="0.85546875" style="22" customWidth="1"/>
    <col min="9797" max="9801" width="8.28515625" style="22" customWidth="1"/>
    <col min="9802" max="9802" width="0.85546875" style="22" customWidth="1"/>
    <col min="9803" max="9807" width="8.28515625" style="22" customWidth="1"/>
    <col min="9808" max="9808" width="0.85546875" style="22" customWidth="1"/>
    <col min="9809" max="9813" width="8.28515625" style="22" customWidth="1"/>
    <col min="9814" max="9814" width="0.85546875" style="22" customWidth="1"/>
    <col min="9815" max="9819" width="8.28515625" style="22" customWidth="1"/>
    <col min="9820" max="9984" width="9.140625" style="22"/>
    <col min="9985" max="9985" width="25.7109375" style="22" customWidth="1"/>
    <col min="9986" max="9986" width="0.85546875" style="22" customWidth="1"/>
    <col min="9987" max="9991" width="8.28515625" style="22" customWidth="1"/>
    <col min="9992" max="9992" width="0.85546875" style="22" customWidth="1"/>
    <col min="9993" max="9997" width="8.28515625" style="22" customWidth="1"/>
    <col min="9998" max="9998" width="0.85546875" style="22" customWidth="1"/>
    <col min="9999" max="10003" width="8.28515625" style="22" customWidth="1"/>
    <col min="10004" max="10004" width="0.85546875" style="22" customWidth="1"/>
    <col min="10005" max="10009" width="8.28515625" style="22" customWidth="1"/>
    <col min="10010" max="10010" width="0.85546875" style="22" customWidth="1"/>
    <col min="10011" max="10015" width="8.28515625" style="22" customWidth="1"/>
    <col min="10016" max="10016" width="0.85546875" style="22" customWidth="1"/>
    <col min="10017" max="10021" width="8.28515625" style="22" customWidth="1"/>
    <col min="10022" max="10022" width="0.85546875" style="22" customWidth="1"/>
    <col min="10023" max="10027" width="8.28515625" style="22" customWidth="1"/>
    <col min="10028" max="10028" width="0.85546875" style="22" customWidth="1"/>
    <col min="10029" max="10033" width="8.28515625" style="22" customWidth="1"/>
    <col min="10034" max="10034" width="0.85546875" style="22" customWidth="1"/>
    <col min="10035" max="10039" width="8.28515625" style="22" customWidth="1"/>
    <col min="10040" max="10040" width="0.85546875" style="22" customWidth="1"/>
    <col min="10041" max="10045" width="8.28515625" style="22" customWidth="1"/>
    <col min="10046" max="10046" width="0.85546875" style="22" customWidth="1"/>
    <col min="10047" max="10051" width="8.28515625" style="22" customWidth="1"/>
    <col min="10052" max="10052" width="0.85546875" style="22" customWidth="1"/>
    <col min="10053" max="10057" width="8.28515625" style="22" customWidth="1"/>
    <col min="10058" max="10058" width="0.85546875" style="22" customWidth="1"/>
    <col min="10059" max="10063" width="8.28515625" style="22" customWidth="1"/>
    <col min="10064" max="10064" width="0.85546875" style="22" customWidth="1"/>
    <col min="10065" max="10069" width="8.28515625" style="22" customWidth="1"/>
    <col min="10070" max="10070" width="0.85546875" style="22" customWidth="1"/>
    <col min="10071" max="10075" width="8.28515625" style="22" customWidth="1"/>
    <col min="10076" max="10240" width="9.140625" style="22"/>
    <col min="10241" max="10241" width="25.7109375" style="22" customWidth="1"/>
    <col min="10242" max="10242" width="0.85546875" style="22" customWidth="1"/>
    <col min="10243" max="10247" width="8.28515625" style="22" customWidth="1"/>
    <col min="10248" max="10248" width="0.85546875" style="22" customWidth="1"/>
    <col min="10249" max="10253" width="8.28515625" style="22" customWidth="1"/>
    <col min="10254" max="10254" width="0.85546875" style="22" customWidth="1"/>
    <col min="10255" max="10259" width="8.28515625" style="22" customWidth="1"/>
    <col min="10260" max="10260" width="0.85546875" style="22" customWidth="1"/>
    <col min="10261" max="10265" width="8.28515625" style="22" customWidth="1"/>
    <col min="10266" max="10266" width="0.85546875" style="22" customWidth="1"/>
    <col min="10267" max="10271" width="8.28515625" style="22" customWidth="1"/>
    <col min="10272" max="10272" width="0.85546875" style="22" customWidth="1"/>
    <col min="10273" max="10277" width="8.28515625" style="22" customWidth="1"/>
    <col min="10278" max="10278" width="0.85546875" style="22" customWidth="1"/>
    <col min="10279" max="10283" width="8.28515625" style="22" customWidth="1"/>
    <col min="10284" max="10284" width="0.85546875" style="22" customWidth="1"/>
    <col min="10285" max="10289" width="8.28515625" style="22" customWidth="1"/>
    <col min="10290" max="10290" width="0.85546875" style="22" customWidth="1"/>
    <col min="10291" max="10295" width="8.28515625" style="22" customWidth="1"/>
    <col min="10296" max="10296" width="0.85546875" style="22" customWidth="1"/>
    <col min="10297" max="10301" width="8.28515625" style="22" customWidth="1"/>
    <col min="10302" max="10302" width="0.85546875" style="22" customWidth="1"/>
    <col min="10303" max="10307" width="8.28515625" style="22" customWidth="1"/>
    <col min="10308" max="10308" width="0.85546875" style="22" customWidth="1"/>
    <col min="10309" max="10313" width="8.28515625" style="22" customWidth="1"/>
    <col min="10314" max="10314" width="0.85546875" style="22" customWidth="1"/>
    <col min="10315" max="10319" width="8.28515625" style="22" customWidth="1"/>
    <col min="10320" max="10320" width="0.85546875" style="22" customWidth="1"/>
    <col min="10321" max="10325" width="8.28515625" style="22" customWidth="1"/>
    <col min="10326" max="10326" width="0.85546875" style="22" customWidth="1"/>
    <col min="10327" max="10331" width="8.28515625" style="22" customWidth="1"/>
    <col min="10332" max="10496" width="9.140625" style="22"/>
    <col min="10497" max="10497" width="25.7109375" style="22" customWidth="1"/>
    <col min="10498" max="10498" width="0.85546875" style="22" customWidth="1"/>
    <col min="10499" max="10503" width="8.28515625" style="22" customWidth="1"/>
    <col min="10504" max="10504" width="0.85546875" style="22" customWidth="1"/>
    <col min="10505" max="10509" width="8.28515625" style="22" customWidth="1"/>
    <col min="10510" max="10510" width="0.85546875" style="22" customWidth="1"/>
    <col min="10511" max="10515" width="8.28515625" style="22" customWidth="1"/>
    <col min="10516" max="10516" width="0.85546875" style="22" customWidth="1"/>
    <col min="10517" max="10521" width="8.28515625" style="22" customWidth="1"/>
    <col min="10522" max="10522" width="0.85546875" style="22" customWidth="1"/>
    <col min="10523" max="10527" width="8.28515625" style="22" customWidth="1"/>
    <col min="10528" max="10528" width="0.85546875" style="22" customWidth="1"/>
    <col min="10529" max="10533" width="8.28515625" style="22" customWidth="1"/>
    <col min="10534" max="10534" width="0.85546875" style="22" customWidth="1"/>
    <col min="10535" max="10539" width="8.28515625" style="22" customWidth="1"/>
    <col min="10540" max="10540" width="0.85546875" style="22" customWidth="1"/>
    <col min="10541" max="10545" width="8.28515625" style="22" customWidth="1"/>
    <col min="10546" max="10546" width="0.85546875" style="22" customWidth="1"/>
    <col min="10547" max="10551" width="8.28515625" style="22" customWidth="1"/>
    <col min="10552" max="10552" width="0.85546875" style="22" customWidth="1"/>
    <col min="10553" max="10557" width="8.28515625" style="22" customWidth="1"/>
    <col min="10558" max="10558" width="0.85546875" style="22" customWidth="1"/>
    <col min="10559" max="10563" width="8.28515625" style="22" customWidth="1"/>
    <col min="10564" max="10564" width="0.85546875" style="22" customWidth="1"/>
    <col min="10565" max="10569" width="8.28515625" style="22" customWidth="1"/>
    <col min="10570" max="10570" width="0.85546875" style="22" customWidth="1"/>
    <col min="10571" max="10575" width="8.28515625" style="22" customWidth="1"/>
    <col min="10576" max="10576" width="0.85546875" style="22" customWidth="1"/>
    <col min="10577" max="10581" width="8.28515625" style="22" customWidth="1"/>
    <col min="10582" max="10582" width="0.85546875" style="22" customWidth="1"/>
    <col min="10583" max="10587" width="8.28515625" style="22" customWidth="1"/>
    <col min="10588" max="10752" width="9.140625" style="22"/>
    <col min="10753" max="10753" width="25.7109375" style="22" customWidth="1"/>
    <col min="10754" max="10754" width="0.85546875" style="22" customWidth="1"/>
    <col min="10755" max="10759" width="8.28515625" style="22" customWidth="1"/>
    <col min="10760" max="10760" width="0.85546875" style="22" customWidth="1"/>
    <col min="10761" max="10765" width="8.28515625" style="22" customWidth="1"/>
    <col min="10766" max="10766" width="0.85546875" style="22" customWidth="1"/>
    <col min="10767" max="10771" width="8.28515625" style="22" customWidth="1"/>
    <col min="10772" max="10772" width="0.85546875" style="22" customWidth="1"/>
    <col min="10773" max="10777" width="8.28515625" style="22" customWidth="1"/>
    <col min="10778" max="10778" width="0.85546875" style="22" customWidth="1"/>
    <col min="10779" max="10783" width="8.28515625" style="22" customWidth="1"/>
    <col min="10784" max="10784" width="0.85546875" style="22" customWidth="1"/>
    <col min="10785" max="10789" width="8.28515625" style="22" customWidth="1"/>
    <col min="10790" max="10790" width="0.85546875" style="22" customWidth="1"/>
    <col min="10791" max="10795" width="8.28515625" style="22" customWidth="1"/>
    <col min="10796" max="10796" width="0.85546875" style="22" customWidth="1"/>
    <col min="10797" max="10801" width="8.28515625" style="22" customWidth="1"/>
    <col min="10802" max="10802" width="0.85546875" style="22" customWidth="1"/>
    <col min="10803" max="10807" width="8.28515625" style="22" customWidth="1"/>
    <col min="10808" max="10808" width="0.85546875" style="22" customWidth="1"/>
    <col min="10809" max="10813" width="8.28515625" style="22" customWidth="1"/>
    <col min="10814" max="10814" width="0.85546875" style="22" customWidth="1"/>
    <col min="10815" max="10819" width="8.28515625" style="22" customWidth="1"/>
    <col min="10820" max="10820" width="0.85546875" style="22" customWidth="1"/>
    <col min="10821" max="10825" width="8.28515625" style="22" customWidth="1"/>
    <col min="10826" max="10826" width="0.85546875" style="22" customWidth="1"/>
    <col min="10827" max="10831" width="8.28515625" style="22" customWidth="1"/>
    <col min="10832" max="10832" width="0.85546875" style="22" customWidth="1"/>
    <col min="10833" max="10837" width="8.28515625" style="22" customWidth="1"/>
    <col min="10838" max="10838" width="0.85546875" style="22" customWidth="1"/>
    <col min="10839" max="10843" width="8.28515625" style="22" customWidth="1"/>
    <col min="10844" max="11008" width="9.140625" style="22"/>
    <col min="11009" max="11009" width="25.7109375" style="22" customWidth="1"/>
    <col min="11010" max="11010" width="0.85546875" style="22" customWidth="1"/>
    <col min="11011" max="11015" width="8.28515625" style="22" customWidth="1"/>
    <col min="11016" max="11016" width="0.85546875" style="22" customWidth="1"/>
    <col min="11017" max="11021" width="8.28515625" style="22" customWidth="1"/>
    <col min="11022" max="11022" width="0.85546875" style="22" customWidth="1"/>
    <col min="11023" max="11027" width="8.28515625" style="22" customWidth="1"/>
    <col min="11028" max="11028" width="0.85546875" style="22" customWidth="1"/>
    <col min="11029" max="11033" width="8.28515625" style="22" customWidth="1"/>
    <col min="11034" max="11034" width="0.85546875" style="22" customWidth="1"/>
    <col min="11035" max="11039" width="8.28515625" style="22" customWidth="1"/>
    <col min="11040" max="11040" width="0.85546875" style="22" customWidth="1"/>
    <col min="11041" max="11045" width="8.28515625" style="22" customWidth="1"/>
    <col min="11046" max="11046" width="0.85546875" style="22" customWidth="1"/>
    <col min="11047" max="11051" width="8.28515625" style="22" customWidth="1"/>
    <col min="11052" max="11052" width="0.85546875" style="22" customWidth="1"/>
    <col min="11053" max="11057" width="8.28515625" style="22" customWidth="1"/>
    <col min="11058" max="11058" width="0.85546875" style="22" customWidth="1"/>
    <col min="11059" max="11063" width="8.28515625" style="22" customWidth="1"/>
    <col min="11064" max="11064" width="0.85546875" style="22" customWidth="1"/>
    <col min="11065" max="11069" width="8.28515625" style="22" customWidth="1"/>
    <col min="11070" max="11070" width="0.85546875" style="22" customWidth="1"/>
    <col min="11071" max="11075" width="8.28515625" style="22" customWidth="1"/>
    <col min="11076" max="11076" width="0.85546875" style="22" customWidth="1"/>
    <col min="11077" max="11081" width="8.28515625" style="22" customWidth="1"/>
    <col min="11082" max="11082" width="0.85546875" style="22" customWidth="1"/>
    <col min="11083" max="11087" width="8.28515625" style="22" customWidth="1"/>
    <col min="11088" max="11088" width="0.85546875" style="22" customWidth="1"/>
    <col min="11089" max="11093" width="8.28515625" style="22" customWidth="1"/>
    <col min="11094" max="11094" width="0.85546875" style="22" customWidth="1"/>
    <col min="11095" max="11099" width="8.28515625" style="22" customWidth="1"/>
    <col min="11100" max="11264" width="9.140625" style="22"/>
    <col min="11265" max="11265" width="25.7109375" style="22" customWidth="1"/>
    <col min="11266" max="11266" width="0.85546875" style="22" customWidth="1"/>
    <col min="11267" max="11271" width="8.28515625" style="22" customWidth="1"/>
    <col min="11272" max="11272" width="0.85546875" style="22" customWidth="1"/>
    <col min="11273" max="11277" width="8.28515625" style="22" customWidth="1"/>
    <col min="11278" max="11278" width="0.85546875" style="22" customWidth="1"/>
    <col min="11279" max="11283" width="8.28515625" style="22" customWidth="1"/>
    <col min="11284" max="11284" width="0.85546875" style="22" customWidth="1"/>
    <col min="11285" max="11289" width="8.28515625" style="22" customWidth="1"/>
    <col min="11290" max="11290" width="0.85546875" style="22" customWidth="1"/>
    <col min="11291" max="11295" width="8.28515625" style="22" customWidth="1"/>
    <col min="11296" max="11296" width="0.85546875" style="22" customWidth="1"/>
    <col min="11297" max="11301" width="8.28515625" style="22" customWidth="1"/>
    <col min="11302" max="11302" width="0.85546875" style="22" customWidth="1"/>
    <col min="11303" max="11307" width="8.28515625" style="22" customWidth="1"/>
    <col min="11308" max="11308" width="0.85546875" style="22" customWidth="1"/>
    <col min="11309" max="11313" width="8.28515625" style="22" customWidth="1"/>
    <col min="11314" max="11314" width="0.85546875" style="22" customWidth="1"/>
    <col min="11315" max="11319" width="8.28515625" style="22" customWidth="1"/>
    <col min="11320" max="11320" width="0.85546875" style="22" customWidth="1"/>
    <col min="11321" max="11325" width="8.28515625" style="22" customWidth="1"/>
    <col min="11326" max="11326" width="0.85546875" style="22" customWidth="1"/>
    <col min="11327" max="11331" width="8.28515625" style="22" customWidth="1"/>
    <col min="11332" max="11332" width="0.85546875" style="22" customWidth="1"/>
    <col min="11333" max="11337" width="8.28515625" style="22" customWidth="1"/>
    <col min="11338" max="11338" width="0.85546875" style="22" customWidth="1"/>
    <col min="11339" max="11343" width="8.28515625" style="22" customWidth="1"/>
    <col min="11344" max="11344" width="0.85546875" style="22" customWidth="1"/>
    <col min="11345" max="11349" width="8.28515625" style="22" customWidth="1"/>
    <col min="11350" max="11350" width="0.85546875" style="22" customWidth="1"/>
    <col min="11351" max="11355" width="8.28515625" style="22" customWidth="1"/>
    <col min="11356" max="11520" width="9.140625" style="22"/>
    <col min="11521" max="11521" width="25.7109375" style="22" customWidth="1"/>
    <col min="11522" max="11522" width="0.85546875" style="22" customWidth="1"/>
    <col min="11523" max="11527" width="8.28515625" style="22" customWidth="1"/>
    <col min="11528" max="11528" width="0.85546875" style="22" customWidth="1"/>
    <col min="11529" max="11533" width="8.28515625" style="22" customWidth="1"/>
    <col min="11534" max="11534" width="0.85546875" style="22" customWidth="1"/>
    <col min="11535" max="11539" width="8.28515625" style="22" customWidth="1"/>
    <col min="11540" max="11540" width="0.85546875" style="22" customWidth="1"/>
    <col min="11541" max="11545" width="8.28515625" style="22" customWidth="1"/>
    <col min="11546" max="11546" width="0.85546875" style="22" customWidth="1"/>
    <col min="11547" max="11551" width="8.28515625" style="22" customWidth="1"/>
    <col min="11552" max="11552" width="0.85546875" style="22" customWidth="1"/>
    <col min="11553" max="11557" width="8.28515625" style="22" customWidth="1"/>
    <col min="11558" max="11558" width="0.85546875" style="22" customWidth="1"/>
    <col min="11559" max="11563" width="8.28515625" style="22" customWidth="1"/>
    <col min="11564" max="11564" width="0.85546875" style="22" customWidth="1"/>
    <col min="11565" max="11569" width="8.28515625" style="22" customWidth="1"/>
    <col min="11570" max="11570" width="0.85546875" style="22" customWidth="1"/>
    <col min="11571" max="11575" width="8.28515625" style="22" customWidth="1"/>
    <col min="11576" max="11576" width="0.85546875" style="22" customWidth="1"/>
    <col min="11577" max="11581" width="8.28515625" style="22" customWidth="1"/>
    <col min="11582" max="11582" width="0.85546875" style="22" customWidth="1"/>
    <col min="11583" max="11587" width="8.28515625" style="22" customWidth="1"/>
    <col min="11588" max="11588" width="0.85546875" style="22" customWidth="1"/>
    <col min="11589" max="11593" width="8.28515625" style="22" customWidth="1"/>
    <col min="11594" max="11594" width="0.85546875" style="22" customWidth="1"/>
    <col min="11595" max="11599" width="8.28515625" style="22" customWidth="1"/>
    <col min="11600" max="11600" width="0.85546875" style="22" customWidth="1"/>
    <col min="11601" max="11605" width="8.28515625" style="22" customWidth="1"/>
    <col min="11606" max="11606" width="0.85546875" style="22" customWidth="1"/>
    <col min="11607" max="11611" width="8.28515625" style="22" customWidth="1"/>
    <col min="11612" max="11776" width="9.140625" style="22"/>
    <col min="11777" max="11777" width="25.7109375" style="22" customWidth="1"/>
    <col min="11778" max="11778" width="0.85546875" style="22" customWidth="1"/>
    <col min="11779" max="11783" width="8.28515625" style="22" customWidth="1"/>
    <col min="11784" max="11784" width="0.85546875" style="22" customWidth="1"/>
    <col min="11785" max="11789" width="8.28515625" style="22" customWidth="1"/>
    <col min="11790" max="11790" width="0.85546875" style="22" customWidth="1"/>
    <col min="11791" max="11795" width="8.28515625" style="22" customWidth="1"/>
    <col min="11796" max="11796" width="0.85546875" style="22" customWidth="1"/>
    <col min="11797" max="11801" width="8.28515625" style="22" customWidth="1"/>
    <col min="11802" max="11802" width="0.85546875" style="22" customWidth="1"/>
    <col min="11803" max="11807" width="8.28515625" style="22" customWidth="1"/>
    <col min="11808" max="11808" width="0.85546875" style="22" customWidth="1"/>
    <col min="11809" max="11813" width="8.28515625" style="22" customWidth="1"/>
    <col min="11814" max="11814" width="0.85546875" style="22" customWidth="1"/>
    <col min="11815" max="11819" width="8.28515625" style="22" customWidth="1"/>
    <col min="11820" max="11820" width="0.85546875" style="22" customWidth="1"/>
    <col min="11821" max="11825" width="8.28515625" style="22" customWidth="1"/>
    <col min="11826" max="11826" width="0.85546875" style="22" customWidth="1"/>
    <col min="11827" max="11831" width="8.28515625" style="22" customWidth="1"/>
    <col min="11832" max="11832" width="0.85546875" style="22" customWidth="1"/>
    <col min="11833" max="11837" width="8.28515625" style="22" customWidth="1"/>
    <col min="11838" max="11838" width="0.85546875" style="22" customWidth="1"/>
    <col min="11839" max="11843" width="8.28515625" style="22" customWidth="1"/>
    <col min="11844" max="11844" width="0.85546875" style="22" customWidth="1"/>
    <col min="11845" max="11849" width="8.28515625" style="22" customWidth="1"/>
    <col min="11850" max="11850" width="0.85546875" style="22" customWidth="1"/>
    <col min="11851" max="11855" width="8.28515625" style="22" customWidth="1"/>
    <col min="11856" max="11856" width="0.85546875" style="22" customWidth="1"/>
    <col min="11857" max="11861" width="8.28515625" style="22" customWidth="1"/>
    <col min="11862" max="11862" width="0.85546875" style="22" customWidth="1"/>
    <col min="11863" max="11867" width="8.28515625" style="22" customWidth="1"/>
    <col min="11868" max="12032" width="9.140625" style="22"/>
    <col min="12033" max="12033" width="25.7109375" style="22" customWidth="1"/>
    <col min="12034" max="12034" width="0.85546875" style="22" customWidth="1"/>
    <col min="12035" max="12039" width="8.28515625" style="22" customWidth="1"/>
    <col min="12040" max="12040" width="0.85546875" style="22" customWidth="1"/>
    <col min="12041" max="12045" width="8.28515625" style="22" customWidth="1"/>
    <col min="12046" max="12046" width="0.85546875" style="22" customWidth="1"/>
    <col min="12047" max="12051" width="8.28515625" style="22" customWidth="1"/>
    <col min="12052" max="12052" width="0.85546875" style="22" customWidth="1"/>
    <col min="12053" max="12057" width="8.28515625" style="22" customWidth="1"/>
    <col min="12058" max="12058" width="0.85546875" style="22" customWidth="1"/>
    <col min="12059" max="12063" width="8.28515625" style="22" customWidth="1"/>
    <col min="12064" max="12064" width="0.85546875" style="22" customWidth="1"/>
    <col min="12065" max="12069" width="8.28515625" style="22" customWidth="1"/>
    <col min="12070" max="12070" width="0.85546875" style="22" customWidth="1"/>
    <col min="12071" max="12075" width="8.28515625" style="22" customWidth="1"/>
    <col min="12076" max="12076" width="0.85546875" style="22" customWidth="1"/>
    <col min="12077" max="12081" width="8.28515625" style="22" customWidth="1"/>
    <col min="12082" max="12082" width="0.85546875" style="22" customWidth="1"/>
    <col min="12083" max="12087" width="8.28515625" style="22" customWidth="1"/>
    <col min="12088" max="12088" width="0.85546875" style="22" customWidth="1"/>
    <col min="12089" max="12093" width="8.28515625" style="22" customWidth="1"/>
    <col min="12094" max="12094" width="0.85546875" style="22" customWidth="1"/>
    <col min="12095" max="12099" width="8.28515625" style="22" customWidth="1"/>
    <col min="12100" max="12100" width="0.85546875" style="22" customWidth="1"/>
    <col min="12101" max="12105" width="8.28515625" style="22" customWidth="1"/>
    <col min="12106" max="12106" width="0.85546875" style="22" customWidth="1"/>
    <col min="12107" max="12111" width="8.28515625" style="22" customWidth="1"/>
    <col min="12112" max="12112" width="0.85546875" style="22" customWidth="1"/>
    <col min="12113" max="12117" width="8.28515625" style="22" customWidth="1"/>
    <col min="12118" max="12118" width="0.85546875" style="22" customWidth="1"/>
    <col min="12119" max="12123" width="8.28515625" style="22" customWidth="1"/>
    <col min="12124" max="12288" width="9.140625" style="22"/>
    <col min="12289" max="12289" width="25.7109375" style="22" customWidth="1"/>
    <col min="12290" max="12290" width="0.85546875" style="22" customWidth="1"/>
    <col min="12291" max="12295" width="8.28515625" style="22" customWidth="1"/>
    <col min="12296" max="12296" width="0.85546875" style="22" customWidth="1"/>
    <col min="12297" max="12301" width="8.28515625" style="22" customWidth="1"/>
    <col min="12302" max="12302" width="0.85546875" style="22" customWidth="1"/>
    <col min="12303" max="12307" width="8.28515625" style="22" customWidth="1"/>
    <col min="12308" max="12308" width="0.85546875" style="22" customWidth="1"/>
    <col min="12309" max="12313" width="8.28515625" style="22" customWidth="1"/>
    <col min="12314" max="12314" width="0.85546875" style="22" customWidth="1"/>
    <col min="12315" max="12319" width="8.28515625" style="22" customWidth="1"/>
    <col min="12320" max="12320" width="0.85546875" style="22" customWidth="1"/>
    <col min="12321" max="12325" width="8.28515625" style="22" customWidth="1"/>
    <col min="12326" max="12326" width="0.85546875" style="22" customWidth="1"/>
    <col min="12327" max="12331" width="8.28515625" style="22" customWidth="1"/>
    <col min="12332" max="12332" width="0.85546875" style="22" customWidth="1"/>
    <col min="12333" max="12337" width="8.28515625" style="22" customWidth="1"/>
    <col min="12338" max="12338" width="0.85546875" style="22" customWidth="1"/>
    <col min="12339" max="12343" width="8.28515625" style="22" customWidth="1"/>
    <col min="12344" max="12344" width="0.85546875" style="22" customWidth="1"/>
    <col min="12345" max="12349" width="8.28515625" style="22" customWidth="1"/>
    <col min="12350" max="12350" width="0.85546875" style="22" customWidth="1"/>
    <col min="12351" max="12355" width="8.28515625" style="22" customWidth="1"/>
    <col min="12356" max="12356" width="0.85546875" style="22" customWidth="1"/>
    <col min="12357" max="12361" width="8.28515625" style="22" customWidth="1"/>
    <col min="12362" max="12362" width="0.85546875" style="22" customWidth="1"/>
    <col min="12363" max="12367" width="8.28515625" style="22" customWidth="1"/>
    <col min="12368" max="12368" width="0.85546875" style="22" customWidth="1"/>
    <col min="12369" max="12373" width="8.28515625" style="22" customWidth="1"/>
    <col min="12374" max="12374" width="0.85546875" style="22" customWidth="1"/>
    <col min="12375" max="12379" width="8.28515625" style="22" customWidth="1"/>
    <col min="12380" max="12544" width="9.140625" style="22"/>
    <col min="12545" max="12545" width="25.7109375" style="22" customWidth="1"/>
    <col min="12546" max="12546" width="0.85546875" style="22" customWidth="1"/>
    <col min="12547" max="12551" width="8.28515625" style="22" customWidth="1"/>
    <col min="12552" max="12552" width="0.85546875" style="22" customWidth="1"/>
    <col min="12553" max="12557" width="8.28515625" style="22" customWidth="1"/>
    <col min="12558" max="12558" width="0.85546875" style="22" customWidth="1"/>
    <col min="12559" max="12563" width="8.28515625" style="22" customWidth="1"/>
    <col min="12564" max="12564" width="0.85546875" style="22" customWidth="1"/>
    <col min="12565" max="12569" width="8.28515625" style="22" customWidth="1"/>
    <col min="12570" max="12570" width="0.85546875" style="22" customWidth="1"/>
    <col min="12571" max="12575" width="8.28515625" style="22" customWidth="1"/>
    <col min="12576" max="12576" width="0.85546875" style="22" customWidth="1"/>
    <col min="12577" max="12581" width="8.28515625" style="22" customWidth="1"/>
    <col min="12582" max="12582" width="0.85546875" style="22" customWidth="1"/>
    <col min="12583" max="12587" width="8.28515625" style="22" customWidth="1"/>
    <col min="12588" max="12588" width="0.85546875" style="22" customWidth="1"/>
    <col min="12589" max="12593" width="8.28515625" style="22" customWidth="1"/>
    <col min="12594" max="12594" width="0.85546875" style="22" customWidth="1"/>
    <col min="12595" max="12599" width="8.28515625" style="22" customWidth="1"/>
    <col min="12600" max="12600" width="0.85546875" style="22" customWidth="1"/>
    <col min="12601" max="12605" width="8.28515625" style="22" customWidth="1"/>
    <col min="12606" max="12606" width="0.85546875" style="22" customWidth="1"/>
    <col min="12607" max="12611" width="8.28515625" style="22" customWidth="1"/>
    <col min="12612" max="12612" width="0.85546875" style="22" customWidth="1"/>
    <col min="12613" max="12617" width="8.28515625" style="22" customWidth="1"/>
    <col min="12618" max="12618" width="0.85546875" style="22" customWidth="1"/>
    <col min="12619" max="12623" width="8.28515625" style="22" customWidth="1"/>
    <col min="12624" max="12624" width="0.85546875" style="22" customWidth="1"/>
    <col min="12625" max="12629" width="8.28515625" style="22" customWidth="1"/>
    <col min="12630" max="12630" width="0.85546875" style="22" customWidth="1"/>
    <col min="12631" max="12635" width="8.28515625" style="22" customWidth="1"/>
    <col min="12636" max="12800" width="9.140625" style="22"/>
    <col min="12801" max="12801" width="25.7109375" style="22" customWidth="1"/>
    <col min="12802" max="12802" width="0.85546875" style="22" customWidth="1"/>
    <col min="12803" max="12807" width="8.28515625" style="22" customWidth="1"/>
    <col min="12808" max="12808" width="0.85546875" style="22" customWidth="1"/>
    <col min="12809" max="12813" width="8.28515625" style="22" customWidth="1"/>
    <col min="12814" max="12814" width="0.85546875" style="22" customWidth="1"/>
    <col min="12815" max="12819" width="8.28515625" style="22" customWidth="1"/>
    <col min="12820" max="12820" width="0.85546875" style="22" customWidth="1"/>
    <col min="12821" max="12825" width="8.28515625" style="22" customWidth="1"/>
    <col min="12826" max="12826" width="0.85546875" style="22" customWidth="1"/>
    <col min="12827" max="12831" width="8.28515625" style="22" customWidth="1"/>
    <col min="12832" max="12832" width="0.85546875" style="22" customWidth="1"/>
    <col min="12833" max="12837" width="8.28515625" style="22" customWidth="1"/>
    <col min="12838" max="12838" width="0.85546875" style="22" customWidth="1"/>
    <col min="12839" max="12843" width="8.28515625" style="22" customWidth="1"/>
    <col min="12844" max="12844" width="0.85546875" style="22" customWidth="1"/>
    <col min="12845" max="12849" width="8.28515625" style="22" customWidth="1"/>
    <col min="12850" max="12850" width="0.85546875" style="22" customWidth="1"/>
    <col min="12851" max="12855" width="8.28515625" style="22" customWidth="1"/>
    <col min="12856" max="12856" width="0.85546875" style="22" customWidth="1"/>
    <col min="12857" max="12861" width="8.28515625" style="22" customWidth="1"/>
    <col min="12862" max="12862" width="0.85546875" style="22" customWidth="1"/>
    <col min="12863" max="12867" width="8.28515625" style="22" customWidth="1"/>
    <col min="12868" max="12868" width="0.85546875" style="22" customWidth="1"/>
    <col min="12869" max="12873" width="8.28515625" style="22" customWidth="1"/>
    <col min="12874" max="12874" width="0.85546875" style="22" customWidth="1"/>
    <col min="12875" max="12879" width="8.28515625" style="22" customWidth="1"/>
    <col min="12880" max="12880" width="0.85546875" style="22" customWidth="1"/>
    <col min="12881" max="12885" width="8.28515625" style="22" customWidth="1"/>
    <col min="12886" max="12886" width="0.85546875" style="22" customWidth="1"/>
    <col min="12887" max="12891" width="8.28515625" style="22" customWidth="1"/>
    <col min="12892" max="13056" width="9.140625" style="22"/>
    <col min="13057" max="13057" width="25.7109375" style="22" customWidth="1"/>
    <col min="13058" max="13058" width="0.85546875" style="22" customWidth="1"/>
    <col min="13059" max="13063" width="8.28515625" style="22" customWidth="1"/>
    <col min="13064" max="13064" width="0.85546875" style="22" customWidth="1"/>
    <col min="13065" max="13069" width="8.28515625" style="22" customWidth="1"/>
    <col min="13070" max="13070" width="0.85546875" style="22" customWidth="1"/>
    <col min="13071" max="13075" width="8.28515625" style="22" customWidth="1"/>
    <col min="13076" max="13076" width="0.85546875" style="22" customWidth="1"/>
    <col min="13077" max="13081" width="8.28515625" style="22" customWidth="1"/>
    <col min="13082" max="13082" width="0.85546875" style="22" customWidth="1"/>
    <col min="13083" max="13087" width="8.28515625" style="22" customWidth="1"/>
    <col min="13088" max="13088" width="0.85546875" style="22" customWidth="1"/>
    <col min="13089" max="13093" width="8.28515625" style="22" customWidth="1"/>
    <col min="13094" max="13094" width="0.85546875" style="22" customWidth="1"/>
    <col min="13095" max="13099" width="8.28515625" style="22" customWidth="1"/>
    <col min="13100" max="13100" width="0.85546875" style="22" customWidth="1"/>
    <col min="13101" max="13105" width="8.28515625" style="22" customWidth="1"/>
    <col min="13106" max="13106" width="0.85546875" style="22" customWidth="1"/>
    <col min="13107" max="13111" width="8.28515625" style="22" customWidth="1"/>
    <col min="13112" max="13112" width="0.85546875" style="22" customWidth="1"/>
    <col min="13113" max="13117" width="8.28515625" style="22" customWidth="1"/>
    <col min="13118" max="13118" width="0.85546875" style="22" customWidth="1"/>
    <col min="13119" max="13123" width="8.28515625" style="22" customWidth="1"/>
    <col min="13124" max="13124" width="0.85546875" style="22" customWidth="1"/>
    <col min="13125" max="13129" width="8.28515625" style="22" customWidth="1"/>
    <col min="13130" max="13130" width="0.85546875" style="22" customWidth="1"/>
    <col min="13131" max="13135" width="8.28515625" style="22" customWidth="1"/>
    <col min="13136" max="13136" width="0.85546875" style="22" customWidth="1"/>
    <col min="13137" max="13141" width="8.28515625" style="22" customWidth="1"/>
    <col min="13142" max="13142" width="0.85546875" style="22" customWidth="1"/>
    <col min="13143" max="13147" width="8.28515625" style="22" customWidth="1"/>
    <col min="13148" max="13312" width="9.140625" style="22"/>
    <col min="13313" max="13313" width="25.7109375" style="22" customWidth="1"/>
    <col min="13314" max="13314" width="0.85546875" style="22" customWidth="1"/>
    <col min="13315" max="13319" width="8.28515625" style="22" customWidth="1"/>
    <col min="13320" max="13320" width="0.85546875" style="22" customWidth="1"/>
    <col min="13321" max="13325" width="8.28515625" style="22" customWidth="1"/>
    <col min="13326" max="13326" width="0.85546875" style="22" customWidth="1"/>
    <col min="13327" max="13331" width="8.28515625" style="22" customWidth="1"/>
    <col min="13332" max="13332" width="0.85546875" style="22" customWidth="1"/>
    <col min="13333" max="13337" width="8.28515625" style="22" customWidth="1"/>
    <col min="13338" max="13338" width="0.85546875" style="22" customWidth="1"/>
    <col min="13339" max="13343" width="8.28515625" style="22" customWidth="1"/>
    <col min="13344" max="13344" width="0.85546875" style="22" customWidth="1"/>
    <col min="13345" max="13349" width="8.28515625" style="22" customWidth="1"/>
    <col min="13350" max="13350" width="0.85546875" style="22" customWidth="1"/>
    <col min="13351" max="13355" width="8.28515625" style="22" customWidth="1"/>
    <col min="13356" max="13356" width="0.85546875" style="22" customWidth="1"/>
    <col min="13357" max="13361" width="8.28515625" style="22" customWidth="1"/>
    <col min="13362" max="13362" width="0.85546875" style="22" customWidth="1"/>
    <col min="13363" max="13367" width="8.28515625" style="22" customWidth="1"/>
    <col min="13368" max="13368" width="0.85546875" style="22" customWidth="1"/>
    <col min="13369" max="13373" width="8.28515625" style="22" customWidth="1"/>
    <col min="13374" max="13374" width="0.85546875" style="22" customWidth="1"/>
    <col min="13375" max="13379" width="8.28515625" style="22" customWidth="1"/>
    <col min="13380" max="13380" width="0.85546875" style="22" customWidth="1"/>
    <col min="13381" max="13385" width="8.28515625" style="22" customWidth="1"/>
    <col min="13386" max="13386" width="0.85546875" style="22" customWidth="1"/>
    <col min="13387" max="13391" width="8.28515625" style="22" customWidth="1"/>
    <col min="13392" max="13392" width="0.85546875" style="22" customWidth="1"/>
    <col min="13393" max="13397" width="8.28515625" style="22" customWidth="1"/>
    <col min="13398" max="13398" width="0.85546875" style="22" customWidth="1"/>
    <col min="13399" max="13403" width="8.28515625" style="22" customWidth="1"/>
    <col min="13404" max="13568" width="9.140625" style="22"/>
    <col min="13569" max="13569" width="25.7109375" style="22" customWidth="1"/>
    <col min="13570" max="13570" width="0.85546875" style="22" customWidth="1"/>
    <col min="13571" max="13575" width="8.28515625" style="22" customWidth="1"/>
    <col min="13576" max="13576" width="0.85546875" style="22" customWidth="1"/>
    <col min="13577" max="13581" width="8.28515625" style="22" customWidth="1"/>
    <col min="13582" max="13582" width="0.85546875" style="22" customWidth="1"/>
    <col min="13583" max="13587" width="8.28515625" style="22" customWidth="1"/>
    <col min="13588" max="13588" width="0.85546875" style="22" customWidth="1"/>
    <col min="13589" max="13593" width="8.28515625" style="22" customWidth="1"/>
    <col min="13594" max="13594" width="0.85546875" style="22" customWidth="1"/>
    <col min="13595" max="13599" width="8.28515625" style="22" customWidth="1"/>
    <col min="13600" max="13600" width="0.85546875" style="22" customWidth="1"/>
    <col min="13601" max="13605" width="8.28515625" style="22" customWidth="1"/>
    <col min="13606" max="13606" width="0.85546875" style="22" customWidth="1"/>
    <col min="13607" max="13611" width="8.28515625" style="22" customWidth="1"/>
    <col min="13612" max="13612" width="0.85546875" style="22" customWidth="1"/>
    <col min="13613" max="13617" width="8.28515625" style="22" customWidth="1"/>
    <col min="13618" max="13618" width="0.85546875" style="22" customWidth="1"/>
    <col min="13619" max="13623" width="8.28515625" style="22" customWidth="1"/>
    <col min="13624" max="13624" width="0.85546875" style="22" customWidth="1"/>
    <col min="13625" max="13629" width="8.28515625" style="22" customWidth="1"/>
    <col min="13630" max="13630" width="0.85546875" style="22" customWidth="1"/>
    <col min="13631" max="13635" width="8.28515625" style="22" customWidth="1"/>
    <col min="13636" max="13636" width="0.85546875" style="22" customWidth="1"/>
    <col min="13637" max="13641" width="8.28515625" style="22" customWidth="1"/>
    <col min="13642" max="13642" width="0.85546875" style="22" customWidth="1"/>
    <col min="13643" max="13647" width="8.28515625" style="22" customWidth="1"/>
    <col min="13648" max="13648" width="0.85546875" style="22" customWidth="1"/>
    <col min="13649" max="13653" width="8.28515625" style="22" customWidth="1"/>
    <col min="13654" max="13654" width="0.85546875" style="22" customWidth="1"/>
    <col min="13655" max="13659" width="8.28515625" style="22" customWidth="1"/>
    <col min="13660" max="13824" width="9.140625" style="22"/>
    <col min="13825" max="13825" width="25.7109375" style="22" customWidth="1"/>
    <col min="13826" max="13826" width="0.85546875" style="22" customWidth="1"/>
    <col min="13827" max="13831" width="8.28515625" style="22" customWidth="1"/>
    <col min="13832" max="13832" width="0.85546875" style="22" customWidth="1"/>
    <col min="13833" max="13837" width="8.28515625" style="22" customWidth="1"/>
    <col min="13838" max="13838" width="0.85546875" style="22" customWidth="1"/>
    <col min="13839" max="13843" width="8.28515625" style="22" customWidth="1"/>
    <col min="13844" max="13844" width="0.85546875" style="22" customWidth="1"/>
    <col min="13845" max="13849" width="8.28515625" style="22" customWidth="1"/>
    <col min="13850" max="13850" width="0.85546875" style="22" customWidth="1"/>
    <col min="13851" max="13855" width="8.28515625" style="22" customWidth="1"/>
    <col min="13856" max="13856" width="0.85546875" style="22" customWidth="1"/>
    <col min="13857" max="13861" width="8.28515625" style="22" customWidth="1"/>
    <col min="13862" max="13862" width="0.85546875" style="22" customWidth="1"/>
    <col min="13863" max="13867" width="8.28515625" style="22" customWidth="1"/>
    <col min="13868" max="13868" width="0.85546875" style="22" customWidth="1"/>
    <col min="13869" max="13873" width="8.28515625" style="22" customWidth="1"/>
    <col min="13874" max="13874" width="0.85546875" style="22" customWidth="1"/>
    <col min="13875" max="13879" width="8.28515625" style="22" customWidth="1"/>
    <col min="13880" max="13880" width="0.85546875" style="22" customWidth="1"/>
    <col min="13881" max="13885" width="8.28515625" style="22" customWidth="1"/>
    <col min="13886" max="13886" width="0.85546875" style="22" customWidth="1"/>
    <col min="13887" max="13891" width="8.28515625" style="22" customWidth="1"/>
    <col min="13892" max="13892" width="0.85546875" style="22" customWidth="1"/>
    <col min="13893" max="13897" width="8.28515625" style="22" customWidth="1"/>
    <col min="13898" max="13898" width="0.85546875" style="22" customWidth="1"/>
    <col min="13899" max="13903" width="8.28515625" style="22" customWidth="1"/>
    <col min="13904" max="13904" width="0.85546875" style="22" customWidth="1"/>
    <col min="13905" max="13909" width="8.28515625" style="22" customWidth="1"/>
    <col min="13910" max="13910" width="0.85546875" style="22" customWidth="1"/>
    <col min="13911" max="13915" width="8.28515625" style="22" customWidth="1"/>
    <col min="13916" max="14080" width="9.140625" style="22"/>
    <col min="14081" max="14081" width="25.7109375" style="22" customWidth="1"/>
    <col min="14082" max="14082" width="0.85546875" style="22" customWidth="1"/>
    <col min="14083" max="14087" width="8.28515625" style="22" customWidth="1"/>
    <col min="14088" max="14088" width="0.85546875" style="22" customWidth="1"/>
    <col min="14089" max="14093" width="8.28515625" style="22" customWidth="1"/>
    <col min="14094" max="14094" width="0.85546875" style="22" customWidth="1"/>
    <col min="14095" max="14099" width="8.28515625" style="22" customWidth="1"/>
    <col min="14100" max="14100" width="0.85546875" style="22" customWidth="1"/>
    <col min="14101" max="14105" width="8.28515625" style="22" customWidth="1"/>
    <col min="14106" max="14106" width="0.85546875" style="22" customWidth="1"/>
    <col min="14107" max="14111" width="8.28515625" style="22" customWidth="1"/>
    <col min="14112" max="14112" width="0.85546875" style="22" customWidth="1"/>
    <col min="14113" max="14117" width="8.28515625" style="22" customWidth="1"/>
    <col min="14118" max="14118" width="0.85546875" style="22" customWidth="1"/>
    <col min="14119" max="14123" width="8.28515625" style="22" customWidth="1"/>
    <col min="14124" max="14124" width="0.85546875" style="22" customWidth="1"/>
    <col min="14125" max="14129" width="8.28515625" style="22" customWidth="1"/>
    <col min="14130" max="14130" width="0.85546875" style="22" customWidth="1"/>
    <col min="14131" max="14135" width="8.28515625" style="22" customWidth="1"/>
    <col min="14136" max="14136" width="0.85546875" style="22" customWidth="1"/>
    <col min="14137" max="14141" width="8.28515625" style="22" customWidth="1"/>
    <col min="14142" max="14142" width="0.85546875" style="22" customWidth="1"/>
    <col min="14143" max="14147" width="8.28515625" style="22" customWidth="1"/>
    <col min="14148" max="14148" width="0.85546875" style="22" customWidth="1"/>
    <col min="14149" max="14153" width="8.28515625" style="22" customWidth="1"/>
    <col min="14154" max="14154" width="0.85546875" style="22" customWidth="1"/>
    <col min="14155" max="14159" width="8.28515625" style="22" customWidth="1"/>
    <col min="14160" max="14160" width="0.85546875" style="22" customWidth="1"/>
    <col min="14161" max="14165" width="8.28515625" style="22" customWidth="1"/>
    <col min="14166" max="14166" width="0.85546875" style="22" customWidth="1"/>
    <col min="14167" max="14171" width="8.28515625" style="22" customWidth="1"/>
    <col min="14172" max="14336" width="9.140625" style="22"/>
    <col min="14337" max="14337" width="25.7109375" style="22" customWidth="1"/>
    <col min="14338" max="14338" width="0.85546875" style="22" customWidth="1"/>
    <col min="14339" max="14343" width="8.28515625" style="22" customWidth="1"/>
    <col min="14344" max="14344" width="0.85546875" style="22" customWidth="1"/>
    <col min="14345" max="14349" width="8.28515625" style="22" customWidth="1"/>
    <col min="14350" max="14350" width="0.85546875" style="22" customWidth="1"/>
    <col min="14351" max="14355" width="8.28515625" style="22" customWidth="1"/>
    <col min="14356" max="14356" width="0.85546875" style="22" customWidth="1"/>
    <col min="14357" max="14361" width="8.28515625" style="22" customWidth="1"/>
    <col min="14362" max="14362" width="0.85546875" style="22" customWidth="1"/>
    <col min="14363" max="14367" width="8.28515625" style="22" customWidth="1"/>
    <col min="14368" max="14368" width="0.85546875" style="22" customWidth="1"/>
    <col min="14369" max="14373" width="8.28515625" style="22" customWidth="1"/>
    <col min="14374" max="14374" width="0.85546875" style="22" customWidth="1"/>
    <col min="14375" max="14379" width="8.28515625" style="22" customWidth="1"/>
    <col min="14380" max="14380" width="0.85546875" style="22" customWidth="1"/>
    <col min="14381" max="14385" width="8.28515625" style="22" customWidth="1"/>
    <col min="14386" max="14386" width="0.85546875" style="22" customWidth="1"/>
    <col min="14387" max="14391" width="8.28515625" style="22" customWidth="1"/>
    <col min="14392" max="14392" width="0.85546875" style="22" customWidth="1"/>
    <col min="14393" max="14397" width="8.28515625" style="22" customWidth="1"/>
    <col min="14398" max="14398" width="0.85546875" style="22" customWidth="1"/>
    <col min="14399" max="14403" width="8.28515625" style="22" customWidth="1"/>
    <col min="14404" max="14404" width="0.85546875" style="22" customWidth="1"/>
    <col min="14405" max="14409" width="8.28515625" style="22" customWidth="1"/>
    <col min="14410" max="14410" width="0.85546875" style="22" customWidth="1"/>
    <col min="14411" max="14415" width="8.28515625" style="22" customWidth="1"/>
    <col min="14416" max="14416" width="0.85546875" style="22" customWidth="1"/>
    <col min="14417" max="14421" width="8.28515625" style="22" customWidth="1"/>
    <col min="14422" max="14422" width="0.85546875" style="22" customWidth="1"/>
    <col min="14423" max="14427" width="8.28515625" style="22" customWidth="1"/>
    <col min="14428" max="14592" width="9.140625" style="22"/>
    <col min="14593" max="14593" width="25.7109375" style="22" customWidth="1"/>
    <col min="14594" max="14594" width="0.85546875" style="22" customWidth="1"/>
    <col min="14595" max="14599" width="8.28515625" style="22" customWidth="1"/>
    <col min="14600" max="14600" width="0.85546875" style="22" customWidth="1"/>
    <col min="14601" max="14605" width="8.28515625" style="22" customWidth="1"/>
    <col min="14606" max="14606" width="0.85546875" style="22" customWidth="1"/>
    <col min="14607" max="14611" width="8.28515625" style="22" customWidth="1"/>
    <col min="14612" max="14612" width="0.85546875" style="22" customWidth="1"/>
    <col min="14613" max="14617" width="8.28515625" style="22" customWidth="1"/>
    <col min="14618" max="14618" width="0.85546875" style="22" customWidth="1"/>
    <col min="14619" max="14623" width="8.28515625" style="22" customWidth="1"/>
    <col min="14624" max="14624" width="0.85546875" style="22" customWidth="1"/>
    <col min="14625" max="14629" width="8.28515625" style="22" customWidth="1"/>
    <col min="14630" max="14630" width="0.85546875" style="22" customWidth="1"/>
    <col min="14631" max="14635" width="8.28515625" style="22" customWidth="1"/>
    <col min="14636" max="14636" width="0.85546875" style="22" customWidth="1"/>
    <col min="14637" max="14641" width="8.28515625" style="22" customWidth="1"/>
    <col min="14642" max="14642" width="0.85546875" style="22" customWidth="1"/>
    <col min="14643" max="14647" width="8.28515625" style="22" customWidth="1"/>
    <col min="14648" max="14648" width="0.85546875" style="22" customWidth="1"/>
    <col min="14649" max="14653" width="8.28515625" style="22" customWidth="1"/>
    <col min="14654" max="14654" width="0.85546875" style="22" customWidth="1"/>
    <col min="14655" max="14659" width="8.28515625" style="22" customWidth="1"/>
    <col min="14660" max="14660" width="0.85546875" style="22" customWidth="1"/>
    <col min="14661" max="14665" width="8.28515625" style="22" customWidth="1"/>
    <col min="14666" max="14666" width="0.85546875" style="22" customWidth="1"/>
    <col min="14667" max="14671" width="8.28515625" style="22" customWidth="1"/>
    <col min="14672" max="14672" width="0.85546875" style="22" customWidth="1"/>
    <col min="14673" max="14677" width="8.28515625" style="22" customWidth="1"/>
    <col min="14678" max="14678" width="0.85546875" style="22" customWidth="1"/>
    <col min="14679" max="14683" width="8.28515625" style="22" customWidth="1"/>
    <col min="14684" max="14848" width="9.140625" style="22"/>
    <col min="14849" max="14849" width="25.7109375" style="22" customWidth="1"/>
    <col min="14850" max="14850" width="0.85546875" style="22" customWidth="1"/>
    <col min="14851" max="14855" width="8.28515625" style="22" customWidth="1"/>
    <col min="14856" max="14856" width="0.85546875" style="22" customWidth="1"/>
    <col min="14857" max="14861" width="8.28515625" style="22" customWidth="1"/>
    <col min="14862" max="14862" width="0.85546875" style="22" customWidth="1"/>
    <col min="14863" max="14867" width="8.28515625" style="22" customWidth="1"/>
    <col min="14868" max="14868" width="0.85546875" style="22" customWidth="1"/>
    <col min="14869" max="14873" width="8.28515625" style="22" customWidth="1"/>
    <col min="14874" max="14874" width="0.85546875" style="22" customWidth="1"/>
    <col min="14875" max="14879" width="8.28515625" style="22" customWidth="1"/>
    <col min="14880" max="14880" width="0.85546875" style="22" customWidth="1"/>
    <col min="14881" max="14885" width="8.28515625" style="22" customWidth="1"/>
    <col min="14886" max="14886" width="0.85546875" style="22" customWidth="1"/>
    <col min="14887" max="14891" width="8.28515625" style="22" customWidth="1"/>
    <col min="14892" max="14892" width="0.85546875" style="22" customWidth="1"/>
    <col min="14893" max="14897" width="8.28515625" style="22" customWidth="1"/>
    <col min="14898" max="14898" width="0.85546875" style="22" customWidth="1"/>
    <col min="14899" max="14903" width="8.28515625" style="22" customWidth="1"/>
    <col min="14904" max="14904" width="0.85546875" style="22" customWidth="1"/>
    <col min="14905" max="14909" width="8.28515625" style="22" customWidth="1"/>
    <col min="14910" max="14910" width="0.85546875" style="22" customWidth="1"/>
    <col min="14911" max="14915" width="8.28515625" style="22" customWidth="1"/>
    <col min="14916" max="14916" width="0.85546875" style="22" customWidth="1"/>
    <col min="14917" max="14921" width="8.28515625" style="22" customWidth="1"/>
    <col min="14922" max="14922" width="0.85546875" style="22" customWidth="1"/>
    <col min="14923" max="14927" width="8.28515625" style="22" customWidth="1"/>
    <col min="14928" max="14928" width="0.85546875" style="22" customWidth="1"/>
    <col min="14929" max="14933" width="8.28515625" style="22" customWidth="1"/>
    <col min="14934" max="14934" width="0.85546875" style="22" customWidth="1"/>
    <col min="14935" max="14939" width="8.28515625" style="22" customWidth="1"/>
    <col min="14940" max="15104" width="9.140625" style="22"/>
    <col min="15105" max="15105" width="25.7109375" style="22" customWidth="1"/>
    <col min="15106" max="15106" width="0.85546875" style="22" customWidth="1"/>
    <col min="15107" max="15111" width="8.28515625" style="22" customWidth="1"/>
    <col min="15112" max="15112" width="0.85546875" style="22" customWidth="1"/>
    <col min="15113" max="15117" width="8.28515625" style="22" customWidth="1"/>
    <col min="15118" max="15118" width="0.85546875" style="22" customWidth="1"/>
    <col min="15119" max="15123" width="8.28515625" style="22" customWidth="1"/>
    <col min="15124" max="15124" width="0.85546875" style="22" customWidth="1"/>
    <col min="15125" max="15129" width="8.28515625" style="22" customWidth="1"/>
    <col min="15130" max="15130" width="0.85546875" style="22" customWidth="1"/>
    <col min="15131" max="15135" width="8.28515625" style="22" customWidth="1"/>
    <col min="15136" max="15136" width="0.85546875" style="22" customWidth="1"/>
    <col min="15137" max="15141" width="8.28515625" style="22" customWidth="1"/>
    <col min="15142" max="15142" width="0.85546875" style="22" customWidth="1"/>
    <col min="15143" max="15147" width="8.28515625" style="22" customWidth="1"/>
    <col min="15148" max="15148" width="0.85546875" style="22" customWidth="1"/>
    <col min="15149" max="15153" width="8.28515625" style="22" customWidth="1"/>
    <col min="15154" max="15154" width="0.85546875" style="22" customWidth="1"/>
    <col min="15155" max="15159" width="8.28515625" style="22" customWidth="1"/>
    <col min="15160" max="15160" width="0.85546875" style="22" customWidth="1"/>
    <col min="15161" max="15165" width="8.28515625" style="22" customWidth="1"/>
    <col min="15166" max="15166" width="0.85546875" style="22" customWidth="1"/>
    <col min="15167" max="15171" width="8.28515625" style="22" customWidth="1"/>
    <col min="15172" max="15172" width="0.85546875" style="22" customWidth="1"/>
    <col min="15173" max="15177" width="8.28515625" style="22" customWidth="1"/>
    <col min="15178" max="15178" width="0.85546875" style="22" customWidth="1"/>
    <col min="15179" max="15183" width="8.28515625" style="22" customWidth="1"/>
    <col min="15184" max="15184" width="0.85546875" style="22" customWidth="1"/>
    <col min="15185" max="15189" width="8.28515625" style="22" customWidth="1"/>
    <col min="15190" max="15190" width="0.85546875" style="22" customWidth="1"/>
    <col min="15191" max="15195" width="8.28515625" style="22" customWidth="1"/>
    <col min="15196" max="15360" width="9.140625" style="22"/>
    <col min="15361" max="15361" width="25.7109375" style="22" customWidth="1"/>
    <col min="15362" max="15362" width="0.85546875" style="22" customWidth="1"/>
    <col min="15363" max="15367" width="8.28515625" style="22" customWidth="1"/>
    <col min="15368" max="15368" width="0.85546875" style="22" customWidth="1"/>
    <col min="15369" max="15373" width="8.28515625" style="22" customWidth="1"/>
    <col min="15374" max="15374" width="0.85546875" style="22" customWidth="1"/>
    <col min="15375" max="15379" width="8.28515625" style="22" customWidth="1"/>
    <col min="15380" max="15380" width="0.85546875" style="22" customWidth="1"/>
    <col min="15381" max="15385" width="8.28515625" style="22" customWidth="1"/>
    <col min="15386" max="15386" width="0.85546875" style="22" customWidth="1"/>
    <col min="15387" max="15391" width="8.28515625" style="22" customWidth="1"/>
    <col min="15392" max="15392" width="0.85546875" style="22" customWidth="1"/>
    <col min="15393" max="15397" width="8.28515625" style="22" customWidth="1"/>
    <col min="15398" max="15398" width="0.85546875" style="22" customWidth="1"/>
    <col min="15399" max="15403" width="8.28515625" style="22" customWidth="1"/>
    <col min="15404" max="15404" width="0.85546875" style="22" customWidth="1"/>
    <col min="15405" max="15409" width="8.28515625" style="22" customWidth="1"/>
    <col min="15410" max="15410" width="0.85546875" style="22" customWidth="1"/>
    <col min="15411" max="15415" width="8.28515625" style="22" customWidth="1"/>
    <col min="15416" max="15416" width="0.85546875" style="22" customWidth="1"/>
    <col min="15417" max="15421" width="8.28515625" style="22" customWidth="1"/>
    <col min="15422" max="15422" width="0.85546875" style="22" customWidth="1"/>
    <col min="15423" max="15427" width="8.28515625" style="22" customWidth="1"/>
    <col min="15428" max="15428" width="0.85546875" style="22" customWidth="1"/>
    <col min="15429" max="15433" width="8.28515625" style="22" customWidth="1"/>
    <col min="15434" max="15434" width="0.85546875" style="22" customWidth="1"/>
    <col min="15435" max="15439" width="8.28515625" style="22" customWidth="1"/>
    <col min="15440" max="15440" width="0.85546875" style="22" customWidth="1"/>
    <col min="15441" max="15445" width="8.28515625" style="22" customWidth="1"/>
    <col min="15446" max="15446" width="0.85546875" style="22" customWidth="1"/>
    <col min="15447" max="15451" width="8.28515625" style="22" customWidth="1"/>
    <col min="15452" max="15616" width="9.140625" style="22"/>
    <col min="15617" max="15617" width="25.7109375" style="22" customWidth="1"/>
    <col min="15618" max="15618" width="0.85546875" style="22" customWidth="1"/>
    <col min="15619" max="15623" width="8.28515625" style="22" customWidth="1"/>
    <col min="15624" max="15624" width="0.85546875" style="22" customWidth="1"/>
    <col min="15625" max="15629" width="8.28515625" style="22" customWidth="1"/>
    <col min="15630" max="15630" width="0.85546875" style="22" customWidth="1"/>
    <col min="15631" max="15635" width="8.28515625" style="22" customWidth="1"/>
    <col min="15636" max="15636" width="0.85546875" style="22" customWidth="1"/>
    <col min="15637" max="15641" width="8.28515625" style="22" customWidth="1"/>
    <col min="15642" max="15642" width="0.85546875" style="22" customWidth="1"/>
    <col min="15643" max="15647" width="8.28515625" style="22" customWidth="1"/>
    <col min="15648" max="15648" width="0.85546875" style="22" customWidth="1"/>
    <col min="15649" max="15653" width="8.28515625" style="22" customWidth="1"/>
    <col min="15654" max="15654" width="0.85546875" style="22" customWidth="1"/>
    <col min="15655" max="15659" width="8.28515625" style="22" customWidth="1"/>
    <col min="15660" max="15660" width="0.85546875" style="22" customWidth="1"/>
    <col min="15661" max="15665" width="8.28515625" style="22" customWidth="1"/>
    <col min="15666" max="15666" width="0.85546875" style="22" customWidth="1"/>
    <col min="15667" max="15671" width="8.28515625" style="22" customWidth="1"/>
    <col min="15672" max="15672" width="0.85546875" style="22" customWidth="1"/>
    <col min="15673" max="15677" width="8.28515625" style="22" customWidth="1"/>
    <col min="15678" max="15678" width="0.85546875" style="22" customWidth="1"/>
    <col min="15679" max="15683" width="8.28515625" style="22" customWidth="1"/>
    <col min="15684" max="15684" width="0.85546875" style="22" customWidth="1"/>
    <col min="15685" max="15689" width="8.28515625" style="22" customWidth="1"/>
    <col min="15690" max="15690" width="0.85546875" style="22" customWidth="1"/>
    <col min="15691" max="15695" width="8.28515625" style="22" customWidth="1"/>
    <col min="15696" max="15696" width="0.85546875" style="22" customWidth="1"/>
    <col min="15697" max="15701" width="8.28515625" style="22" customWidth="1"/>
    <col min="15702" max="15702" width="0.85546875" style="22" customWidth="1"/>
    <col min="15703" max="15707" width="8.28515625" style="22" customWidth="1"/>
    <col min="15708" max="15872" width="9.140625" style="22"/>
    <col min="15873" max="15873" width="25.7109375" style="22" customWidth="1"/>
    <col min="15874" max="15874" width="0.85546875" style="22" customWidth="1"/>
    <col min="15875" max="15879" width="8.28515625" style="22" customWidth="1"/>
    <col min="15880" max="15880" width="0.85546875" style="22" customWidth="1"/>
    <col min="15881" max="15885" width="8.28515625" style="22" customWidth="1"/>
    <col min="15886" max="15886" width="0.85546875" style="22" customWidth="1"/>
    <col min="15887" max="15891" width="8.28515625" style="22" customWidth="1"/>
    <col min="15892" max="15892" width="0.85546875" style="22" customWidth="1"/>
    <col min="15893" max="15897" width="8.28515625" style="22" customWidth="1"/>
    <col min="15898" max="15898" width="0.85546875" style="22" customWidth="1"/>
    <col min="15899" max="15903" width="8.28515625" style="22" customWidth="1"/>
    <col min="15904" max="15904" width="0.85546875" style="22" customWidth="1"/>
    <col min="15905" max="15909" width="8.28515625" style="22" customWidth="1"/>
    <col min="15910" max="15910" width="0.85546875" style="22" customWidth="1"/>
    <col min="15911" max="15915" width="8.28515625" style="22" customWidth="1"/>
    <col min="15916" max="15916" width="0.85546875" style="22" customWidth="1"/>
    <col min="15917" max="15921" width="8.28515625" style="22" customWidth="1"/>
    <col min="15922" max="15922" width="0.85546875" style="22" customWidth="1"/>
    <col min="15923" max="15927" width="8.28515625" style="22" customWidth="1"/>
    <col min="15928" max="15928" width="0.85546875" style="22" customWidth="1"/>
    <col min="15929" max="15933" width="8.28515625" style="22" customWidth="1"/>
    <col min="15934" max="15934" width="0.85546875" style="22" customWidth="1"/>
    <col min="15935" max="15939" width="8.28515625" style="22" customWidth="1"/>
    <col min="15940" max="15940" width="0.85546875" style="22" customWidth="1"/>
    <col min="15941" max="15945" width="8.28515625" style="22" customWidth="1"/>
    <col min="15946" max="15946" width="0.85546875" style="22" customWidth="1"/>
    <col min="15947" max="15951" width="8.28515625" style="22" customWidth="1"/>
    <col min="15952" max="15952" width="0.85546875" style="22" customWidth="1"/>
    <col min="15953" max="15957" width="8.28515625" style="22" customWidth="1"/>
    <col min="15958" max="15958" width="0.85546875" style="22" customWidth="1"/>
    <col min="15959" max="15963" width="8.28515625" style="22" customWidth="1"/>
    <col min="15964" max="16128" width="9.140625" style="22"/>
    <col min="16129" max="16129" width="25.7109375" style="22" customWidth="1"/>
    <col min="16130" max="16130" width="0.85546875" style="22" customWidth="1"/>
    <col min="16131" max="16135" width="8.28515625" style="22" customWidth="1"/>
    <col min="16136" max="16136" width="0.85546875" style="22" customWidth="1"/>
    <col min="16137" max="16141" width="8.28515625" style="22" customWidth="1"/>
    <col min="16142" max="16142" width="0.85546875" style="22" customWidth="1"/>
    <col min="16143" max="16147" width="8.28515625" style="22" customWidth="1"/>
    <col min="16148" max="16148" width="0.85546875" style="22" customWidth="1"/>
    <col min="16149" max="16153" width="8.28515625" style="22" customWidth="1"/>
    <col min="16154" max="16154" width="0.85546875" style="22" customWidth="1"/>
    <col min="16155" max="16159" width="8.28515625" style="22" customWidth="1"/>
    <col min="16160" max="16160" width="0.85546875" style="22" customWidth="1"/>
    <col min="16161" max="16165" width="8.28515625" style="22" customWidth="1"/>
    <col min="16166" max="16166" width="0.85546875" style="22" customWidth="1"/>
    <col min="16167" max="16171" width="8.28515625" style="22" customWidth="1"/>
    <col min="16172" max="16172" width="0.85546875" style="22" customWidth="1"/>
    <col min="16173" max="16177" width="8.28515625" style="22" customWidth="1"/>
    <col min="16178" max="16178" width="0.85546875" style="22" customWidth="1"/>
    <col min="16179" max="16183" width="8.28515625" style="22" customWidth="1"/>
    <col min="16184" max="16184" width="0.85546875" style="22" customWidth="1"/>
    <col min="16185" max="16189" width="8.28515625" style="22" customWidth="1"/>
    <col min="16190" max="16190" width="0.85546875" style="22" customWidth="1"/>
    <col min="16191" max="16195" width="8.28515625" style="22" customWidth="1"/>
    <col min="16196" max="16196" width="0.85546875" style="22" customWidth="1"/>
    <col min="16197" max="16201" width="8.28515625" style="22" customWidth="1"/>
    <col min="16202" max="16202" width="0.85546875" style="22" customWidth="1"/>
    <col min="16203" max="16207" width="8.28515625" style="22" customWidth="1"/>
    <col min="16208" max="16208" width="0.85546875" style="22" customWidth="1"/>
    <col min="16209" max="16213" width="8.28515625" style="22" customWidth="1"/>
    <col min="16214" max="16214" width="0.85546875" style="22" customWidth="1"/>
    <col min="16215" max="16219" width="8.28515625" style="22" customWidth="1"/>
    <col min="16220" max="16384" width="9.140625" style="22"/>
  </cols>
  <sheetData>
    <row r="1" spans="1:91" s="3" customFormat="1" x14ac:dyDescent="0.2">
      <c r="A1" s="2" t="str">
        <f>TOC!$A$4</f>
        <v>Becton Dickinson</v>
      </c>
    </row>
    <row r="2" spans="1:91" s="3" customFormat="1" x14ac:dyDescent="0.2">
      <c r="A2" s="4" t="s">
        <v>106</v>
      </c>
      <c r="B2" s="5"/>
      <c r="C2" s="5"/>
      <c r="D2" s="5"/>
      <c r="E2" s="5"/>
      <c r="F2" s="5"/>
      <c r="G2" s="5"/>
      <c r="H2" s="5"/>
      <c r="I2" s="5"/>
      <c r="J2" s="5"/>
      <c r="K2" s="5"/>
      <c r="L2" s="5"/>
      <c r="M2" s="5"/>
      <c r="N2" s="5"/>
      <c r="O2" s="5"/>
      <c r="P2" s="5"/>
      <c r="Q2" s="5"/>
      <c r="R2" s="5"/>
      <c r="S2" s="5"/>
      <c r="T2" s="5"/>
      <c r="U2" s="5"/>
      <c r="V2" s="5"/>
      <c r="W2" s="5"/>
      <c r="X2" s="5"/>
      <c r="Y2" s="5"/>
      <c r="Z2" s="5"/>
      <c r="AA2" s="5"/>
      <c r="AB2" s="5"/>
      <c r="AC2" s="6"/>
      <c r="AD2" s="5"/>
      <c r="AE2" s="5"/>
      <c r="AF2" s="5"/>
      <c r="AG2" s="5"/>
      <c r="AH2" s="5"/>
      <c r="AI2" s="5"/>
      <c r="AJ2" s="5"/>
      <c r="AK2" s="7"/>
      <c r="AL2" s="5"/>
      <c r="AM2" s="5"/>
      <c r="AN2" s="5"/>
      <c r="AO2" s="6"/>
      <c r="AP2" s="6"/>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row>
    <row r="3" spans="1:91" s="3" customFormat="1" ht="11.25" x14ac:dyDescent="0.2">
      <c r="A3" s="8" t="s">
        <v>0</v>
      </c>
      <c r="AO3" s="9"/>
      <c r="AP3" s="9"/>
    </row>
    <row r="4" spans="1:91" s="3" customFormat="1" ht="11.25" x14ac:dyDescent="0.2">
      <c r="A4" s="8" t="s">
        <v>1</v>
      </c>
      <c r="AO4" s="9"/>
      <c r="AP4" s="9"/>
    </row>
    <row r="5" spans="1:91" s="3" customFormat="1" ht="11.25" x14ac:dyDescent="0.2">
      <c r="A5" s="10"/>
      <c r="B5" s="11"/>
      <c r="C5" s="12">
        <v>2007</v>
      </c>
      <c r="D5" s="13"/>
      <c r="E5" s="13"/>
      <c r="F5" s="13"/>
      <c r="G5" s="14">
        <f>C5</f>
        <v>2007</v>
      </c>
      <c r="H5" s="15"/>
      <c r="I5" s="12">
        <f>C5+1</f>
        <v>2008</v>
      </c>
      <c r="J5" s="13"/>
      <c r="K5" s="13"/>
      <c r="L5" s="13"/>
      <c r="M5" s="14">
        <f>I5</f>
        <v>2008</v>
      </c>
      <c r="N5" s="16"/>
      <c r="O5" s="12">
        <f>I5+1</f>
        <v>2009</v>
      </c>
      <c r="P5" s="13"/>
      <c r="Q5" s="13"/>
      <c r="R5" s="13"/>
      <c r="S5" s="14">
        <f>O5</f>
        <v>2009</v>
      </c>
      <c r="T5" s="16"/>
      <c r="U5" s="12">
        <f>O5+1</f>
        <v>2010</v>
      </c>
      <c r="V5" s="13"/>
      <c r="W5" s="13"/>
      <c r="X5" s="13"/>
      <c r="Y5" s="14">
        <f>U5</f>
        <v>2010</v>
      </c>
      <c r="Z5" s="16"/>
      <c r="AA5" s="12">
        <f>U5+1</f>
        <v>2011</v>
      </c>
      <c r="AB5" s="13"/>
      <c r="AC5" s="13"/>
      <c r="AD5" s="13"/>
      <c r="AE5" s="14">
        <f>AA5</f>
        <v>2011</v>
      </c>
      <c r="AF5" s="16"/>
      <c r="AG5" s="12">
        <f>AA5+1</f>
        <v>2012</v>
      </c>
      <c r="AH5" s="13"/>
      <c r="AI5" s="13"/>
      <c r="AJ5" s="13"/>
      <c r="AK5" s="14">
        <f>AG5</f>
        <v>2012</v>
      </c>
      <c r="AL5" s="16"/>
      <c r="AM5" s="12">
        <f>AG5+1</f>
        <v>2013</v>
      </c>
      <c r="AN5" s="13"/>
      <c r="AO5" s="13"/>
      <c r="AP5" s="13"/>
      <c r="AQ5" s="14">
        <f>AM5</f>
        <v>2013</v>
      </c>
      <c r="AR5" s="16"/>
      <c r="AS5" s="12">
        <f>AM5+1</f>
        <v>2014</v>
      </c>
      <c r="AT5" s="13"/>
      <c r="AU5" s="13"/>
      <c r="AV5" s="13"/>
      <c r="AW5" s="14">
        <f>AS5</f>
        <v>2014</v>
      </c>
      <c r="AX5" s="16"/>
      <c r="AY5" s="12">
        <f>AS5+1</f>
        <v>2015</v>
      </c>
      <c r="AZ5" s="13"/>
      <c r="BA5" s="13"/>
      <c r="BB5" s="13"/>
      <c r="BC5" s="14">
        <f>AY5</f>
        <v>2015</v>
      </c>
      <c r="BD5" s="16"/>
      <c r="BE5" s="12">
        <f>AY5+1</f>
        <v>2016</v>
      </c>
      <c r="BF5" s="13"/>
      <c r="BG5" s="13"/>
      <c r="BH5" s="13"/>
      <c r="BI5" s="14">
        <f>BE5</f>
        <v>2016</v>
      </c>
      <c r="BJ5" s="16"/>
      <c r="BK5" s="17">
        <f>BE5+1</f>
        <v>2017</v>
      </c>
      <c r="BL5" s="13"/>
      <c r="BM5" s="13"/>
      <c r="BN5" s="13"/>
      <c r="BO5" s="18">
        <f>BK5</f>
        <v>2017</v>
      </c>
      <c r="BP5" s="16"/>
      <c r="BQ5" s="17">
        <f>BK5+1</f>
        <v>2018</v>
      </c>
      <c r="BR5" s="13"/>
      <c r="BS5" s="13"/>
      <c r="BT5" s="13"/>
      <c r="BU5" s="18">
        <f>BQ5</f>
        <v>2018</v>
      </c>
      <c r="BV5" s="16"/>
      <c r="BW5" s="17">
        <f>BQ5+1</f>
        <v>2019</v>
      </c>
      <c r="BX5" s="13"/>
      <c r="BY5" s="13"/>
      <c r="BZ5" s="13"/>
      <c r="CA5" s="18">
        <f>BW5</f>
        <v>2019</v>
      </c>
      <c r="CB5" s="16"/>
      <c r="CC5" s="17">
        <f>BW5+1</f>
        <v>2020</v>
      </c>
      <c r="CD5" s="13"/>
      <c r="CE5" s="13"/>
      <c r="CF5" s="13"/>
      <c r="CG5" s="18">
        <f>CC5</f>
        <v>2020</v>
      </c>
      <c r="CH5" s="16"/>
      <c r="CI5" s="17">
        <f>CC5+1</f>
        <v>2021</v>
      </c>
      <c r="CJ5" s="13"/>
      <c r="CK5" s="13"/>
      <c r="CL5" s="13"/>
      <c r="CM5" s="18">
        <f>CI5</f>
        <v>2021</v>
      </c>
    </row>
    <row r="6" spans="1:91" s="3" customFormat="1" ht="11.25" x14ac:dyDescent="0.2">
      <c r="A6" s="10"/>
      <c r="B6" s="11"/>
      <c r="C6" s="19">
        <v>39082</v>
      </c>
      <c r="D6" s="19">
        <v>39172</v>
      </c>
      <c r="E6" s="19">
        <v>39263</v>
      </c>
      <c r="F6" s="19">
        <v>39355</v>
      </c>
      <c r="G6" s="15"/>
      <c r="H6" s="15"/>
      <c r="I6" s="19">
        <f>F6+FLOOR(365/4,1)+1</f>
        <v>39447</v>
      </c>
      <c r="J6" s="19">
        <f>D6+365+1</f>
        <v>39538</v>
      </c>
      <c r="K6" s="19">
        <f>J6+FLOOR(365/4,1)</f>
        <v>39629</v>
      </c>
      <c r="L6" s="19">
        <f>K6+FLOOR(365/4,1)+1</f>
        <v>39721</v>
      </c>
      <c r="M6" s="15"/>
      <c r="N6" s="16"/>
      <c r="O6" s="19">
        <f>L6+FLOOR(365/4,1)+1</f>
        <v>39813</v>
      </c>
      <c r="P6" s="19">
        <f>J6+365</f>
        <v>39903</v>
      </c>
      <c r="Q6" s="19">
        <f>P6+FLOOR(365/4,1)</f>
        <v>39994</v>
      </c>
      <c r="R6" s="19">
        <f>Q6+FLOOR(365/4,1)+1</f>
        <v>40086</v>
      </c>
      <c r="S6" s="15"/>
      <c r="T6" s="16"/>
      <c r="U6" s="19">
        <f>R6+FLOOR(365/4,1)+1</f>
        <v>40178</v>
      </c>
      <c r="V6" s="19">
        <f>P6+365</f>
        <v>40268</v>
      </c>
      <c r="W6" s="19">
        <f>V6+FLOOR(365/4,1)</f>
        <v>40359</v>
      </c>
      <c r="X6" s="19">
        <f>W6+FLOOR(365/4,1)+1</f>
        <v>40451</v>
      </c>
      <c r="Y6" s="15"/>
      <c r="Z6" s="16"/>
      <c r="AA6" s="19">
        <f>X6+FLOOR(365/4,1)+1</f>
        <v>40543</v>
      </c>
      <c r="AB6" s="19">
        <f>V6+365</f>
        <v>40633</v>
      </c>
      <c r="AC6" s="19">
        <f>AB6+FLOOR(365/4,1)</f>
        <v>40724</v>
      </c>
      <c r="AD6" s="19">
        <f>AC6+FLOOR(365/4,1)+1</f>
        <v>40816</v>
      </c>
      <c r="AE6" s="15"/>
      <c r="AF6" s="16"/>
      <c r="AG6" s="19">
        <f>AD6+FLOOR(365/4,1)+1</f>
        <v>40908</v>
      </c>
      <c r="AH6" s="19">
        <f>AB6+365+1</f>
        <v>40999</v>
      </c>
      <c r="AI6" s="19">
        <f>AH6+FLOOR(365/4,1)</f>
        <v>41090</v>
      </c>
      <c r="AJ6" s="19">
        <f>AI6+FLOOR(365/4,1)+1</f>
        <v>41182</v>
      </c>
      <c r="AK6" s="15"/>
      <c r="AL6" s="16"/>
      <c r="AM6" s="19">
        <f>AJ6+FLOOR(365/4,1)+1</f>
        <v>41274</v>
      </c>
      <c r="AN6" s="19">
        <f>AH6+365</f>
        <v>41364</v>
      </c>
      <c r="AO6" s="19">
        <f>AN6+FLOOR(365/4,1)</f>
        <v>41455</v>
      </c>
      <c r="AP6" s="19">
        <f>AO6+FLOOR(365/4,1)+1</f>
        <v>41547</v>
      </c>
      <c r="AQ6" s="15"/>
      <c r="AR6" s="16"/>
      <c r="AS6" s="19">
        <f>AP6+FLOOR(365/4,1)+1</f>
        <v>41639</v>
      </c>
      <c r="AT6" s="19">
        <f>AN6+365</f>
        <v>41729</v>
      </c>
      <c r="AU6" s="19">
        <f>AT6+FLOOR(365/4,1)</f>
        <v>41820</v>
      </c>
      <c r="AV6" s="19">
        <f>AU6+FLOOR(365/4,1)+1</f>
        <v>41912</v>
      </c>
      <c r="AW6" s="15"/>
      <c r="AX6" s="16"/>
      <c r="AY6" s="20">
        <f>AV6+FLOOR(365/4,1)+1</f>
        <v>42004</v>
      </c>
      <c r="AZ6" s="20">
        <f>AT6+365</f>
        <v>42094</v>
      </c>
      <c r="BA6" s="20">
        <f>AZ6+FLOOR(365/4,1)</f>
        <v>42185</v>
      </c>
      <c r="BB6" s="20">
        <f>BA6+FLOOR(365/4,1)+1</f>
        <v>42277</v>
      </c>
      <c r="BC6" s="15"/>
      <c r="BD6" s="16"/>
      <c r="BE6" s="20">
        <f>BB6+FLOOR(365/4,1)+1</f>
        <v>42369</v>
      </c>
      <c r="BF6" s="20">
        <f>AZ6+365+1</f>
        <v>42460</v>
      </c>
      <c r="BG6" s="20">
        <f>BF6+FLOOR(365/4,1)</f>
        <v>42551</v>
      </c>
      <c r="BH6" s="20">
        <f>BG6+FLOOR(365/4,1)+1</f>
        <v>42643</v>
      </c>
      <c r="BI6" s="15"/>
      <c r="BJ6" s="16"/>
      <c r="BK6" s="20">
        <f>BH6+FLOOR(365/4,1)+1</f>
        <v>42735</v>
      </c>
      <c r="BL6" s="20">
        <f>BF6+365</f>
        <v>42825</v>
      </c>
      <c r="BM6" s="20">
        <f>BL6+FLOOR(365/4,1)</f>
        <v>42916</v>
      </c>
      <c r="BN6" s="20">
        <f>BM6+FLOOR(365/4,1)+1</f>
        <v>43008</v>
      </c>
      <c r="BO6" s="15"/>
      <c r="BP6" s="16"/>
      <c r="BQ6" s="20">
        <f>BN6+FLOOR(365/4,1)+1</f>
        <v>43100</v>
      </c>
      <c r="BR6" s="21">
        <f>BL6+365</f>
        <v>43190</v>
      </c>
      <c r="BS6" s="21">
        <f>BR6+FLOOR(365/4,1)</f>
        <v>43281</v>
      </c>
      <c r="BT6" s="21">
        <f>BS6+FLOOR(365/4,1)+1</f>
        <v>43373</v>
      </c>
      <c r="BU6" s="15"/>
      <c r="BV6" s="16"/>
      <c r="BW6" s="21">
        <f>BT6+FLOOR(365/4,1)+1</f>
        <v>43465</v>
      </c>
      <c r="BX6" s="21">
        <f>BR6+365</f>
        <v>43555</v>
      </c>
      <c r="BY6" s="21">
        <f>BX6+FLOOR(365/4,1)</f>
        <v>43646</v>
      </c>
      <c r="BZ6" s="21">
        <f>BY6+FLOOR(365/4,1)+1</f>
        <v>43738</v>
      </c>
      <c r="CA6" s="15"/>
      <c r="CB6" s="16"/>
      <c r="CC6" s="21">
        <f>BZ6+FLOOR(365/4,1)+1</f>
        <v>43830</v>
      </c>
      <c r="CD6" s="21">
        <f>BX6+365+1</f>
        <v>43921</v>
      </c>
      <c r="CE6" s="21">
        <f>CD6+FLOOR(365/4,1)</f>
        <v>44012</v>
      </c>
      <c r="CF6" s="21">
        <f>CE6+FLOOR(365/4,1)+1</f>
        <v>44104</v>
      </c>
      <c r="CG6" s="15"/>
      <c r="CH6" s="16"/>
      <c r="CI6" s="21">
        <f>CF6+FLOOR(365/4,1)+1</f>
        <v>44196</v>
      </c>
      <c r="CJ6" s="21">
        <f>CD6+365</f>
        <v>44286</v>
      </c>
      <c r="CK6" s="21">
        <f>CJ6+FLOOR(365/4,1)</f>
        <v>44377</v>
      </c>
      <c r="CL6" s="21">
        <f>CK6+FLOOR(365/4,1)+1</f>
        <v>44469</v>
      </c>
      <c r="CM6" s="15"/>
    </row>
    <row r="7" spans="1:91" s="25" customFormat="1" ht="11.25" x14ac:dyDescent="0.2">
      <c r="A7" s="663" t="s">
        <v>2</v>
      </c>
      <c r="B7" s="692"/>
      <c r="C7" s="716"/>
      <c r="D7" s="692"/>
      <c r="E7" s="692"/>
      <c r="F7" s="693"/>
      <c r="G7" s="731"/>
      <c r="H7" s="692"/>
      <c r="I7" s="716"/>
      <c r="J7" s="692"/>
      <c r="K7" s="692"/>
      <c r="L7" s="693"/>
      <c r="M7" s="731"/>
      <c r="N7" s="692"/>
      <c r="O7" s="716"/>
      <c r="P7" s="692"/>
      <c r="Q7" s="692"/>
      <c r="R7" s="693"/>
      <c r="S7" s="731"/>
      <c r="T7" s="692"/>
      <c r="U7" s="716"/>
      <c r="V7" s="692"/>
      <c r="W7" s="692"/>
      <c r="X7" s="693"/>
      <c r="Y7" s="731"/>
      <c r="Z7" s="692"/>
      <c r="AA7" s="716"/>
      <c r="AB7" s="692"/>
      <c r="AC7" s="692"/>
      <c r="AD7" s="693"/>
      <c r="AE7" s="731"/>
      <c r="AF7" s="692"/>
      <c r="AG7" s="716"/>
      <c r="AH7" s="692"/>
      <c r="AI7" s="692"/>
      <c r="AJ7" s="693"/>
      <c r="AK7" s="731"/>
      <c r="AL7" s="692"/>
      <c r="AM7" s="716"/>
      <c r="AN7" s="692"/>
      <c r="AO7" s="692"/>
      <c r="AP7" s="693"/>
      <c r="AQ7" s="731"/>
      <c r="AR7" s="692"/>
      <c r="AS7" s="716"/>
      <c r="AT7" s="692"/>
      <c r="AU7" s="692"/>
      <c r="AV7" s="693"/>
      <c r="AW7" s="731"/>
      <c r="AX7" s="692"/>
      <c r="AY7" s="716"/>
      <c r="AZ7" s="692"/>
      <c r="BA7" s="692"/>
      <c r="BB7" s="693"/>
      <c r="BC7" s="731"/>
      <c r="BD7" s="692"/>
      <c r="BE7" s="716"/>
      <c r="BF7" s="692"/>
      <c r="BG7" s="692"/>
      <c r="BH7" s="693"/>
      <c r="BI7" s="731"/>
      <c r="BJ7" s="692"/>
      <c r="BK7" s="716"/>
      <c r="BL7" s="692"/>
      <c r="BM7" s="692"/>
      <c r="BN7" s="693"/>
      <c r="BO7" s="731"/>
      <c r="BP7" s="692"/>
      <c r="BQ7" s="716"/>
      <c r="BR7" s="692"/>
      <c r="BS7" s="692"/>
      <c r="BT7" s="693"/>
      <c r="BU7" s="731"/>
      <c r="BV7" s="692"/>
      <c r="BW7" s="716"/>
      <c r="BX7" s="692"/>
      <c r="BY7" s="692"/>
      <c r="BZ7" s="693"/>
      <c r="CA7" s="731"/>
      <c r="CB7" s="692"/>
      <c r="CC7" s="716"/>
      <c r="CD7" s="692"/>
      <c r="CE7" s="692"/>
      <c r="CF7" s="693"/>
      <c r="CG7" s="731"/>
      <c r="CH7" s="692"/>
      <c r="CI7" s="716"/>
      <c r="CJ7" s="692"/>
      <c r="CK7" s="692"/>
      <c r="CL7" s="693"/>
      <c r="CM7" s="731"/>
    </row>
    <row r="8" spans="1:91" s="25" customFormat="1" ht="11.25" hidden="1" outlineLevel="1" x14ac:dyDescent="0.2">
      <c r="A8" s="694" t="s">
        <v>4</v>
      </c>
      <c r="B8" s="761"/>
      <c r="C8" s="760"/>
      <c r="D8" s="761"/>
      <c r="E8" s="761"/>
      <c r="F8" s="668"/>
      <c r="G8" s="746"/>
      <c r="H8" s="761"/>
      <c r="I8" s="760"/>
      <c r="J8" s="761"/>
      <c r="K8" s="761"/>
      <c r="L8" s="668"/>
      <c r="M8" s="746"/>
      <c r="N8" s="761"/>
      <c r="O8" s="760"/>
      <c r="P8" s="761"/>
      <c r="Q8" s="761"/>
      <c r="R8" s="668"/>
      <c r="S8" s="746"/>
      <c r="T8" s="761"/>
      <c r="U8" s="760"/>
      <c r="V8" s="761"/>
      <c r="W8" s="761"/>
      <c r="X8" s="668"/>
      <c r="Y8" s="746"/>
      <c r="Z8" s="761"/>
      <c r="AA8" s="760"/>
      <c r="AB8" s="761"/>
      <c r="AC8" s="761"/>
      <c r="AD8" s="668"/>
      <c r="AE8" s="746"/>
      <c r="AF8" s="761"/>
      <c r="AG8" s="760"/>
      <c r="AH8" s="761"/>
      <c r="AI8" s="761"/>
      <c r="AJ8" s="668"/>
      <c r="AK8" s="746"/>
      <c r="AL8" s="761"/>
      <c r="AM8" s="760"/>
      <c r="AN8" s="761"/>
      <c r="AO8" s="761"/>
      <c r="AP8" s="668"/>
      <c r="AQ8" s="746"/>
      <c r="AR8" s="761"/>
      <c r="AS8" s="760"/>
      <c r="AT8" s="761"/>
      <c r="AU8" s="761"/>
      <c r="AV8" s="668"/>
      <c r="AW8" s="746"/>
      <c r="AX8" s="761"/>
      <c r="AY8" s="760"/>
      <c r="AZ8" s="761"/>
      <c r="BA8" s="761"/>
      <c r="BB8" s="668"/>
      <c r="BC8" s="746"/>
      <c r="BD8" s="761"/>
      <c r="BE8" s="718">
        <f>Med!BE76</f>
        <v>1104</v>
      </c>
      <c r="BF8" s="666">
        <f>Med!BF76</f>
        <v>1103</v>
      </c>
      <c r="BG8" s="666">
        <f>Med!BG76</f>
        <v>1163</v>
      </c>
      <c r="BH8" s="667">
        <f>Med!BH76</f>
        <v>1140</v>
      </c>
      <c r="BI8" s="733">
        <f>SUM(BE8:BH8)</f>
        <v>4510</v>
      </c>
      <c r="BJ8" s="761"/>
      <c r="BK8" s="718">
        <f>Med!BK76</f>
        <v>1179</v>
      </c>
      <c r="BL8" s="666">
        <f>Med!BL76</f>
        <v>1152</v>
      </c>
      <c r="BM8" s="666">
        <f>Med!BM76</f>
        <v>1148</v>
      </c>
      <c r="BN8" s="667">
        <f>Med!BN76</f>
        <v>1174</v>
      </c>
      <c r="BO8" s="733">
        <f>SUM(BK8:BN8)</f>
        <v>4653</v>
      </c>
      <c r="BP8" s="761"/>
      <c r="BQ8" s="718">
        <f>Med!BQ76</f>
        <v>1183</v>
      </c>
      <c r="BR8" s="666">
        <f>Med!BR76</f>
        <v>1200.76</v>
      </c>
      <c r="BS8" s="666">
        <f>Med!BS76</f>
        <v>1225.8500000000001</v>
      </c>
      <c r="BT8" s="667">
        <f>Med!BT76</f>
        <v>1237.7</v>
      </c>
      <c r="BU8" s="733">
        <f>SUM(BQ8:BT8)</f>
        <v>4847.3100000000004</v>
      </c>
      <c r="BV8" s="761"/>
      <c r="BW8" s="718">
        <f>Med!BW76</f>
        <v>1244.4250000000002</v>
      </c>
      <c r="BX8" s="666">
        <f>Med!BX76</f>
        <v>1262.7413999999999</v>
      </c>
      <c r="BY8" s="666">
        <f>Med!BY76</f>
        <v>1288.86735</v>
      </c>
      <c r="BZ8" s="667">
        <f>Med!BZ76</f>
        <v>1301.3141500000002</v>
      </c>
      <c r="CA8" s="733">
        <f>SUM(BW8:BZ8)</f>
        <v>5097.3479000000007</v>
      </c>
      <c r="CB8" s="761"/>
      <c r="CC8" s="718">
        <f>Med!CC76</f>
        <v>1309.5873750000001</v>
      </c>
      <c r="CD8" s="666">
        <f>Med!CD76</f>
        <v>1328.5123935000001</v>
      </c>
      <c r="CE8" s="666">
        <f>Med!CE76</f>
        <v>1355.7744746250003</v>
      </c>
      <c r="CF8" s="667">
        <f>Med!CF76</f>
        <v>1368.8673563750001</v>
      </c>
      <c r="CG8" s="733">
        <f>SUM(CC8:CF8)</f>
        <v>5362.7415995000001</v>
      </c>
      <c r="CH8" s="761"/>
      <c r="CI8" s="718">
        <f>Med!CI76</f>
        <v>1378.1847446250001</v>
      </c>
      <c r="CJ8" s="666">
        <f>Med!CJ76</f>
        <v>1397.7375187912503</v>
      </c>
      <c r="CK8" s="666">
        <f>Med!CK76</f>
        <v>1426.1872862634377</v>
      </c>
      <c r="CL8" s="667">
        <f>Med!CL76</f>
        <v>1439.9592727290626</v>
      </c>
      <c r="CM8" s="733">
        <f>SUM(CI8:CL8)</f>
        <v>5642.0688224087507</v>
      </c>
    </row>
    <row r="9" spans="1:91" s="25" customFormat="1" ht="11.25" hidden="1" outlineLevel="1" x14ac:dyDescent="0.2">
      <c r="A9" s="695" t="s">
        <v>5</v>
      </c>
      <c r="B9" s="761"/>
      <c r="C9" s="760"/>
      <c r="D9" s="761"/>
      <c r="E9" s="761"/>
      <c r="F9" s="668"/>
      <c r="G9" s="746"/>
      <c r="H9" s="761"/>
      <c r="I9" s="760"/>
      <c r="J9" s="761"/>
      <c r="K9" s="761"/>
      <c r="L9" s="668"/>
      <c r="M9" s="746"/>
      <c r="N9" s="761"/>
      <c r="O9" s="760"/>
      <c r="P9" s="761"/>
      <c r="Q9" s="761"/>
      <c r="R9" s="668"/>
      <c r="S9" s="746"/>
      <c r="T9" s="761"/>
      <c r="U9" s="760"/>
      <c r="V9" s="761"/>
      <c r="W9" s="761"/>
      <c r="X9" s="668"/>
      <c r="Y9" s="746"/>
      <c r="Z9" s="761"/>
      <c r="AA9" s="760"/>
      <c r="AB9" s="761"/>
      <c r="AC9" s="761"/>
      <c r="AD9" s="668"/>
      <c r="AE9" s="746"/>
      <c r="AF9" s="761"/>
      <c r="AG9" s="760"/>
      <c r="AH9" s="761"/>
      <c r="AI9" s="761"/>
      <c r="AJ9" s="668"/>
      <c r="AK9" s="746"/>
      <c r="AL9" s="761"/>
      <c r="AM9" s="760"/>
      <c r="AN9" s="761"/>
      <c r="AO9" s="761"/>
      <c r="AP9" s="668"/>
      <c r="AQ9" s="746"/>
      <c r="AR9" s="761"/>
      <c r="AS9" s="760"/>
      <c r="AT9" s="761"/>
      <c r="AU9" s="761"/>
      <c r="AV9" s="668"/>
      <c r="AW9" s="746"/>
      <c r="AX9" s="761"/>
      <c r="AY9" s="760"/>
      <c r="AZ9" s="761"/>
      <c r="BA9" s="761"/>
      <c r="BB9" s="668"/>
      <c r="BC9" s="746"/>
      <c r="BD9" s="761"/>
      <c r="BE9" s="717"/>
      <c r="BF9" s="696"/>
      <c r="BG9" s="696"/>
      <c r="BH9" s="697"/>
      <c r="BI9" s="732"/>
      <c r="BJ9" s="761"/>
      <c r="BK9" s="717">
        <f>Med!BK77</f>
        <v>6.7934782608695565E-2</v>
      </c>
      <c r="BL9" s="696">
        <f>Med!BL77</f>
        <v>4.4424297370806887E-2</v>
      </c>
      <c r="BM9" s="696">
        <f>Med!BM77</f>
        <v>-1.2897678417884806E-2</v>
      </c>
      <c r="BN9" s="697">
        <f>Med!BN77</f>
        <v>2.9824561403508865E-2</v>
      </c>
      <c r="BO9" s="732">
        <f t="shared" ref="BO9:BO23" si="0">SUM(BK9:BN9)</f>
        <v>0.12928596296512651</v>
      </c>
      <c r="BP9" s="761"/>
      <c r="BQ9" s="717">
        <f>Med!BQ77</f>
        <v>3.392705682782049E-3</v>
      </c>
      <c r="BR9" s="696">
        <f>Med!BR77</f>
        <v>4.2326388888888955E-2</v>
      </c>
      <c r="BS9" s="696">
        <f>Med!BS77</f>
        <v>6.78135888501743E-2</v>
      </c>
      <c r="BT9" s="697">
        <f>Med!BT77</f>
        <v>5.4258943781942071E-2</v>
      </c>
      <c r="BU9" s="732">
        <f t="shared" ref="BU9:BU23" si="1">SUM(BQ9:BT9)</f>
        <v>0.16779162720378737</v>
      </c>
      <c r="BV9" s="761"/>
      <c r="BW9" s="717">
        <f>Med!BW77</f>
        <v>5.1923076923077183E-2</v>
      </c>
      <c r="BX9" s="696">
        <f>Med!BX77</f>
        <v>5.161847496585481E-2</v>
      </c>
      <c r="BY9" s="696">
        <f>Med!BY77</f>
        <v>5.1407064485866849E-2</v>
      </c>
      <c r="BZ9" s="697">
        <f>Med!BZ77</f>
        <v>5.1397067140664277E-2</v>
      </c>
      <c r="CA9" s="732">
        <f t="shared" ref="CA9:CA23" si="2">SUM(BW9:BZ9)</f>
        <v>0.20634568351546312</v>
      </c>
      <c r="CB9" s="761"/>
      <c r="CC9" s="717">
        <f>Med!CC77</f>
        <v>5.236344094662182E-2</v>
      </c>
      <c r="CD9" s="696">
        <f>Med!CD77</f>
        <v>5.2085877203360997E-2</v>
      </c>
      <c r="CE9" s="696">
        <f>Med!CE77</f>
        <v>5.1911567645033685E-2</v>
      </c>
      <c r="CF9" s="697">
        <f>Med!CF77</f>
        <v>5.1911528338487667E-2</v>
      </c>
      <c r="CG9" s="732">
        <f t="shared" ref="CG9:CG23" si="3">SUM(CC9:CF9)</f>
        <v>0.20827241413350417</v>
      </c>
      <c r="CH9" s="761"/>
      <c r="CI9" s="717">
        <f>Med!CI77</f>
        <v>5.2380903278790525E-2</v>
      </c>
      <c r="CJ9" s="696">
        <f>Med!CJ77</f>
        <v>5.2107248400502071E-2</v>
      </c>
      <c r="CK9" s="696">
        <f>Med!CK77</f>
        <v>5.1935489977352756E-2</v>
      </c>
      <c r="CL9" s="697">
        <f>Med!CL77</f>
        <v>5.1934846735133045E-2</v>
      </c>
      <c r="CM9" s="732">
        <f t="shared" ref="CM9:CM23" si="4">SUM(CI9:CL9)</f>
        <v>0.2083584883917784</v>
      </c>
    </row>
    <row r="10" spans="1:91" s="25" customFormat="1" ht="11.25" hidden="1" outlineLevel="1" x14ac:dyDescent="0.2">
      <c r="A10" s="695" t="s">
        <v>6</v>
      </c>
      <c r="B10" s="761"/>
      <c r="C10" s="760"/>
      <c r="D10" s="761"/>
      <c r="E10" s="761"/>
      <c r="F10" s="668"/>
      <c r="G10" s="746"/>
      <c r="H10" s="761"/>
      <c r="I10" s="760"/>
      <c r="J10" s="761"/>
      <c r="K10" s="761"/>
      <c r="L10" s="668"/>
      <c r="M10" s="746"/>
      <c r="N10" s="761"/>
      <c r="O10" s="760"/>
      <c r="P10" s="761"/>
      <c r="Q10" s="761"/>
      <c r="R10" s="668"/>
      <c r="S10" s="746"/>
      <c r="T10" s="761"/>
      <c r="U10" s="760"/>
      <c r="V10" s="761"/>
      <c r="W10" s="761"/>
      <c r="X10" s="668"/>
      <c r="Y10" s="746"/>
      <c r="Z10" s="761"/>
      <c r="AA10" s="760"/>
      <c r="AB10" s="761"/>
      <c r="AC10" s="761"/>
      <c r="AD10" s="668"/>
      <c r="AE10" s="746"/>
      <c r="AF10" s="761"/>
      <c r="AG10" s="760"/>
      <c r="AH10" s="761"/>
      <c r="AI10" s="761"/>
      <c r="AJ10" s="668"/>
      <c r="AK10" s="746"/>
      <c r="AL10" s="761"/>
      <c r="AM10" s="760"/>
      <c r="AN10" s="761"/>
      <c r="AO10" s="761"/>
      <c r="AP10" s="668"/>
      <c r="AQ10" s="746"/>
      <c r="AR10" s="761"/>
      <c r="AS10" s="760"/>
      <c r="AT10" s="761"/>
      <c r="AU10" s="761"/>
      <c r="AV10" s="668"/>
      <c r="AW10" s="746"/>
      <c r="AX10" s="761"/>
      <c r="AY10" s="760"/>
      <c r="AZ10" s="761"/>
      <c r="BA10" s="761"/>
      <c r="BB10" s="668"/>
      <c r="BC10" s="746"/>
      <c r="BD10" s="761"/>
      <c r="BE10" s="717"/>
      <c r="BF10" s="696"/>
      <c r="BG10" s="696"/>
      <c r="BH10" s="697"/>
      <c r="BI10" s="732"/>
      <c r="BJ10" s="761"/>
      <c r="BK10" s="717">
        <f>Med!BK78</f>
        <v>0</v>
      </c>
      <c r="BL10" s="696">
        <f>Med!BL78</f>
        <v>0</v>
      </c>
      <c r="BM10" s="696">
        <f>Med!BM78</f>
        <v>0</v>
      </c>
      <c r="BN10" s="697">
        <f>Med!BN78</f>
        <v>0</v>
      </c>
      <c r="BO10" s="732">
        <f t="shared" si="0"/>
        <v>0</v>
      </c>
      <c r="BP10" s="761"/>
      <c r="BQ10" s="717">
        <f>Med!BQ78</f>
        <v>0</v>
      </c>
      <c r="BR10" s="696">
        <f>Med!BR78</f>
        <v>0</v>
      </c>
      <c r="BS10" s="696">
        <f>Med!BS78</f>
        <v>0</v>
      </c>
      <c r="BT10" s="697">
        <f>Med!BT78</f>
        <v>0</v>
      </c>
      <c r="BU10" s="732">
        <f t="shared" si="1"/>
        <v>0</v>
      </c>
      <c r="BV10" s="761"/>
      <c r="BW10" s="717">
        <f>Med!BW78</f>
        <v>0</v>
      </c>
      <c r="BX10" s="696">
        <f>Med!BX78</f>
        <v>0</v>
      </c>
      <c r="BY10" s="696">
        <f>Med!BY78</f>
        <v>0</v>
      </c>
      <c r="BZ10" s="697">
        <f>Med!BZ78</f>
        <v>0</v>
      </c>
      <c r="CA10" s="732">
        <f t="shared" si="2"/>
        <v>0</v>
      </c>
      <c r="CB10" s="761"/>
      <c r="CC10" s="717">
        <f>Med!CC78</f>
        <v>0</v>
      </c>
      <c r="CD10" s="696">
        <f>Med!CD78</f>
        <v>0</v>
      </c>
      <c r="CE10" s="696">
        <f>Med!CE78</f>
        <v>0</v>
      </c>
      <c r="CF10" s="697">
        <f>Med!CF78</f>
        <v>0</v>
      </c>
      <c r="CG10" s="732">
        <f t="shared" si="3"/>
        <v>0</v>
      </c>
      <c r="CH10" s="761"/>
      <c r="CI10" s="717">
        <f>Med!CI78</f>
        <v>0</v>
      </c>
      <c r="CJ10" s="696">
        <f>Med!CJ78</f>
        <v>0</v>
      </c>
      <c r="CK10" s="696">
        <f>Med!CK78</f>
        <v>0</v>
      </c>
      <c r="CL10" s="697">
        <f>Med!CL78</f>
        <v>0</v>
      </c>
      <c r="CM10" s="732">
        <f t="shared" si="4"/>
        <v>0</v>
      </c>
    </row>
    <row r="11" spans="1:91" s="25" customFormat="1" ht="11.25" hidden="1" outlineLevel="1" x14ac:dyDescent="0.2">
      <c r="A11" s="695" t="s">
        <v>7</v>
      </c>
      <c r="B11" s="761"/>
      <c r="C11" s="760"/>
      <c r="D11" s="761"/>
      <c r="E11" s="761"/>
      <c r="F11" s="668"/>
      <c r="G11" s="746"/>
      <c r="H11" s="761"/>
      <c r="I11" s="760"/>
      <c r="J11" s="761"/>
      <c r="K11" s="761"/>
      <c r="L11" s="668"/>
      <c r="M11" s="746"/>
      <c r="N11" s="761"/>
      <c r="O11" s="760"/>
      <c r="P11" s="761"/>
      <c r="Q11" s="761"/>
      <c r="R11" s="668"/>
      <c r="S11" s="746"/>
      <c r="T11" s="761"/>
      <c r="U11" s="760"/>
      <c r="V11" s="761"/>
      <c r="W11" s="761"/>
      <c r="X11" s="668"/>
      <c r="Y11" s="746"/>
      <c r="Z11" s="761"/>
      <c r="AA11" s="760"/>
      <c r="AB11" s="761"/>
      <c r="AC11" s="761"/>
      <c r="AD11" s="668"/>
      <c r="AE11" s="746"/>
      <c r="AF11" s="761"/>
      <c r="AG11" s="760"/>
      <c r="AH11" s="761"/>
      <c r="AI11" s="761"/>
      <c r="AJ11" s="668"/>
      <c r="AK11" s="746"/>
      <c r="AL11" s="761"/>
      <c r="AM11" s="760"/>
      <c r="AN11" s="761"/>
      <c r="AO11" s="761"/>
      <c r="AP11" s="668"/>
      <c r="AQ11" s="746"/>
      <c r="AR11" s="761"/>
      <c r="AS11" s="760"/>
      <c r="AT11" s="761"/>
      <c r="AU11" s="761"/>
      <c r="AV11" s="668"/>
      <c r="AW11" s="746"/>
      <c r="AX11" s="761"/>
      <c r="AY11" s="760"/>
      <c r="AZ11" s="761"/>
      <c r="BA11" s="761"/>
      <c r="BB11" s="668"/>
      <c r="BC11" s="746"/>
      <c r="BD11" s="761"/>
      <c r="BE11" s="717"/>
      <c r="BF11" s="696"/>
      <c r="BG11" s="696"/>
      <c r="BH11" s="697"/>
      <c r="BI11" s="732"/>
      <c r="BJ11" s="761"/>
      <c r="BK11" s="717">
        <f>Med!BK79</f>
        <v>6.7934782608695565E-2</v>
      </c>
      <c r="BL11" s="696">
        <f>Med!BL79</f>
        <v>4.4424297370806887E-2</v>
      </c>
      <c r="BM11" s="696">
        <f>Med!BM79</f>
        <v>-1.2897678417884806E-2</v>
      </c>
      <c r="BN11" s="697">
        <f>Med!BN79</f>
        <v>2.9824561403508865E-2</v>
      </c>
      <c r="BO11" s="732">
        <f t="shared" si="0"/>
        <v>0.12928596296512651</v>
      </c>
      <c r="BP11" s="761"/>
      <c r="BQ11" s="717">
        <f>Med!BQ79</f>
        <v>3.392705682782049E-3</v>
      </c>
      <c r="BR11" s="696">
        <f>Med!BR79</f>
        <v>4.2326388888888955E-2</v>
      </c>
      <c r="BS11" s="696">
        <f>Med!BS79</f>
        <v>6.78135888501743E-2</v>
      </c>
      <c r="BT11" s="697">
        <f>Med!BT79</f>
        <v>5.4258943781942071E-2</v>
      </c>
      <c r="BU11" s="732">
        <f t="shared" si="1"/>
        <v>0.16779162720378737</v>
      </c>
      <c r="BV11" s="761"/>
      <c r="BW11" s="717">
        <f>Med!BW79</f>
        <v>5.1923076923077183E-2</v>
      </c>
      <c r="BX11" s="696">
        <f>Med!BX79</f>
        <v>5.161847496585481E-2</v>
      </c>
      <c r="BY11" s="696">
        <f>Med!BY79</f>
        <v>5.1407064485866849E-2</v>
      </c>
      <c r="BZ11" s="697">
        <f>Med!BZ79</f>
        <v>5.1397067140664277E-2</v>
      </c>
      <c r="CA11" s="732">
        <f t="shared" si="2"/>
        <v>0.20634568351546312</v>
      </c>
      <c r="CB11" s="761"/>
      <c r="CC11" s="717">
        <f>Med!CC79</f>
        <v>5.236344094662182E-2</v>
      </c>
      <c r="CD11" s="696">
        <f>Med!CD79</f>
        <v>5.2085877203360997E-2</v>
      </c>
      <c r="CE11" s="696">
        <f>Med!CE79</f>
        <v>5.1911567645033685E-2</v>
      </c>
      <c r="CF11" s="697">
        <f>Med!CF79</f>
        <v>5.1911528338487667E-2</v>
      </c>
      <c r="CG11" s="732">
        <f t="shared" si="3"/>
        <v>0.20827241413350417</v>
      </c>
      <c r="CH11" s="761"/>
      <c r="CI11" s="717">
        <f>Med!CI79</f>
        <v>5.2380903278790525E-2</v>
      </c>
      <c r="CJ11" s="696">
        <f>Med!CJ79</f>
        <v>5.2107248400502071E-2</v>
      </c>
      <c r="CK11" s="696">
        <f>Med!CK79</f>
        <v>5.1935489977352756E-2</v>
      </c>
      <c r="CL11" s="697">
        <f>Med!CL79</f>
        <v>5.1934846735133045E-2</v>
      </c>
      <c r="CM11" s="732">
        <f t="shared" si="4"/>
        <v>0.2083584883917784</v>
      </c>
    </row>
    <row r="12" spans="1:91" s="25" customFormat="1" ht="11.25" hidden="1" outlineLevel="1" x14ac:dyDescent="0.2">
      <c r="A12" s="694" t="s">
        <v>8</v>
      </c>
      <c r="B12" s="761"/>
      <c r="C12" s="760"/>
      <c r="D12" s="761"/>
      <c r="E12" s="761"/>
      <c r="F12" s="668"/>
      <c r="G12" s="746"/>
      <c r="H12" s="761"/>
      <c r="I12" s="760"/>
      <c r="J12" s="761"/>
      <c r="K12" s="761"/>
      <c r="L12" s="668"/>
      <c r="M12" s="746"/>
      <c r="N12" s="761"/>
      <c r="O12" s="760"/>
      <c r="P12" s="761"/>
      <c r="Q12" s="761"/>
      <c r="R12" s="668"/>
      <c r="S12" s="746"/>
      <c r="T12" s="761"/>
      <c r="U12" s="760"/>
      <c r="V12" s="761"/>
      <c r="W12" s="761"/>
      <c r="X12" s="668"/>
      <c r="Y12" s="746"/>
      <c r="Z12" s="761"/>
      <c r="AA12" s="760"/>
      <c r="AB12" s="761"/>
      <c r="AC12" s="761"/>
      <c r="AD12" s="668"/>
      <c r="AE12" s="746"/>
      <c r="AF12" s="761"/>
      <c r="AG12" s="760"/>
      <c r="AH12" s="761"/>
      <c r="AI12" s="761"/>
      <c r="AJ12" s="668"/>
      <c r="AK12" s="746"/>
      <c r="AL12" s="761"/>
      <c r="AM12" s="760"/>
      <c r="AN12" s="761"/>
      <c r="AO12" s="761"/>
      <c r="AP12" s="668"/>
      <c r="AQ12" s="746"/>
      <c r="AR12" s="761"/>
      <c r="AS12" s="760"/>
      <c r="AT12" s="761"/>
      <c r="AU12" s="761"/>
      <c r="AV12" s="668"/>
      <c r="AW12" s="746"/>
      <c r="AX12" s="761"/>
      <c r="AY12" s="760"/>
      <c r="AZ12" s="761"/>
      <c r="BA12" s="761"/>
      <c r="BB12" s="668"/>
      <c r="BC12" s="746"/>
      <c r="BD12" s="761"/>
      <c r="BE12" s="718">
        <f>Med!BE80</f>
        <v>742</v>
      </c>
      <c r="BF12" s="666">
        <f>Med!BF80</f>
        <v>811</v>
      </c>
      <c r="BG12" s="666">
        <f>Med!BG80</f>
        <v>893</v>
      </c>
      <c r="BH12" s="667">
        <f>Med!BH80</f>
        <v>904</v>
      </c>
      <c r="BI12" s="733">
        <f t="shared" ref="BI12:BI18" si="5">SUM(BE12:BH12)</f>
        <v>3350</v>
      </c>
      <c r="BJ12" s="761"/>
      <c r="BK12" s="718">
        <f>Med!BK80</f>
        <v>804</v>
      </c>
      <c r="BL12" s="666">
        <f>Med!BL80</f>
        <v>854</v>
      </c>
      <c r="BM12" s="666">
        <f>Med!BM80</f>
        <v>924</v>
      </c>
      <c r="BN12" s="667">
        <f>Med!BN80</f>
        <v>972</v>
      </c>
      <c r="BO12" s="733">
        <f t="shared" si="0"/>
        <v>3554</v>
      </c>
      <c r="BP12" s="761"/>
      <c r="BQ12" s="718">
        <f>Med!BQ80</f>
        <v>880</v>
      </c>
      <c r="BR12" s="666">
        <f>Med!BR80</f>
        <v>946.39582571385438</v>
      </c>
      <c r="BS12" s="666">
        <f>Med!BS80</f>
        <v>1019.7043220551354</v>
      </c>
      <c r="BT12" s="667">
        <f>Med!BT80</f>
        <v>1041.8977878732612</v>
      </c>
      <c r="BU12" s="733">
        <f t="shared" si="1"/>
        <v>3887.9979356422509</v>
      </c>
      <c r="BV12" s="761"/>
      <c r="BW12" s="718">
        <f>Med!BW80</f>
        <v>961.46941623850375</v>
      </c>
      <c r="BX12" s="666">
        <f>Med!BX80</f>
        <v>1005.4446388490344</v>
      </c>
      <c r="BY12" s="666">
        <f>Med!BY80</f>
        <v>1080.7042780739025</v>
      </c>
      <c r="BZ12" s="667">
        <f>Med!BZ80</f>
        <v>1104.2798818367969</v>
      </c>
      <c r="CA12" s="733">
        <f t="shared" si="2"/>
        <v>4151.8982149982376</v>
      </c>
      <c r="CB12" s="761"/>
      <c r="CC12" s="718">
        <f>Med!CC80</f>
        <v>1019.730357258035</v>
      </c>
      <c r="CD12" s="666">
        <f>Med!CD80</f>
        <v>1065.52823916752</v>
      </c>
      <c r="CE12" s="666">
        <f>Med!CE80</f>
        <v>1145.4141372887075</v>
      </c>
      <c r="CF12" s="667">
        <f>Med!CF80</f>
        <v>1170.4623057580575</v>
      </c>
      <c r="CG12" s="733">
        <f t="shared" si="3"/>
        <v>4401.1350394723195</v>
      </c>
      <c r="CH12" s="761"/>
      <c r="CI12" s="718">
        <f>Med!CI80</f>
        <v>1081.5746101260299</v>
      </c>
      <c r="CJ12" s="666">
        <f>Med!CJ80</f>
        <v>1129.2614886129115</v>
      </c>
      <c r="CK12" s="666">
        <f>Med!CK80</f>
        <v>1214.0633085119916</v>
      </c>
      <c r="CL12" s="667">
        <f>Med!CL80</f>
        <v>1240.6806433216727</v>
      </c>
      <c r="CM12" s="733">
        <f t="shared" si="4"/>
        <v>4665.5800505726056</v>
      </c>
    </row>
    <row r="13" spans="1:91" s="25" customFormat="1" ht="11.25" hidden="1" outlineLevel="1" x14ac:dyDescent="0.2">
      <c r="A13" s="695" t="s">
        <v>5</v>
      </c>
      <c r="B13" s="761"/>
      <c r="C13" s="760"/>
      <c r="D13" s="761"/>
      <c r="E13" s="761"/>
      <c r="F13" s="668"/>
      <c r="G13" s="746"/>
      <c r="H13" s="761"/>
      <c r="I13" s="760"/>
      <c r="J13" s="761"/>
      <c r="K13" s="761"/>
      <c r="L13" s="668"/>
      <c r="M13" s="746"/>
      <c r="N13" s="761"/>
      <c r="O13" s="760"/>
      <c r="P13" s="761"/>
      <c r="Q13" s="761"/>
      <c r="R13" s="668"/>
      <c r="S13" s="746"/>
      <c r="T13" s="761"/>
      <c r="U13" s="760"/>
      <c r="V13" s="761"/>
      <c r="W13" s="761"/>
      <c r="X13" s="668"/>
      <c r="Y13" s="746"/>
      <c r="Z13" s="761"/>
      <c r="AA13" s="760"/>
      <c r="AB13" s="761"/>
      <c r="AC13" s="761"/>
      <c r="AD13" s="668"/>
      <c r="AE13" s="746"/>
      <c r="AF13" s="761"/>
      <c r="AG13" s="760"/>
      <c r="AH13" s="761"/>
      <c r="AI13" s="761"/>
      <c r="AJ13" s="668"/>
      <c r="AK13" s="746"/>
      <c r="AL13" s="761"/>
      <c r="AM13" s="760"/>
      <c r="AN13" s="761"/>
      <c r="AO13" s="761"/>
      <c r="AP13" s="668"/>
      <c r="AQ13" s="746"/>
      <c r="AR13" s="761"/>
      <c r="AS13" s="760"/>
      <c r="AT13" s="761"/>
      <c r="AU13" s="761"/>
      <c r="AV13" s="668"/>
      <c r="AW13" s="746"/>
      <c r="AX13" s="761"/>
      <c r="AY13" s="760"/>
      <c r="AZ13" s="761"/>
      <c r="BA13" s="761"/>
      <c r="BB13" s="668"/>
      <c r="BC13" s="746"/>
      <c r="BD13" s="761"/>
      <c r="BE13" s="717"/>
      <c r="BF13" s="696"/>
      <c r="BG13" s="696"/>
      <c r="BH13" s="697"/>
      <c r="BI13" s="732"/>
      <c r="BJ13" s="761"/>
      <c r="BK13" s="717">
        <f>Med!BK81</f>
        <v>8.3557951482479798E-2</v>
      </c>
      <c r="BL13" s="696">
        <f>Med!BL81</f>
        <v>5.3020961775585684E-2</v>
      </c>
      <c r="BM13" s="696">
        <f>Med!BM81</f>
        <v>3.4714445688689866E-2</v>
      </c>
      <c r="BN13" s="697">
        <f>Med!BN81</f>
        <v>7.5221238938053103E-2</v>
      </c>
      <c r="BO13" s="732">
        <f t="shared" si="0"/>
        <v>0.24651459788480845</v>
      </c>
      <c r="BP13" s="761"/>
      <c r="BQ13" s="717">
        <f>Med!BQ81</f>
        <v>9.4527363184079505E-2</v>
      </c>
      <c r="BR13" s="696">
        <f>Med!BR81</f>
        <v>0.10819183338858829</v>
      </c>
      <c r="BS13" s="696">
        <f>Med!BS81</f>
        <v>0.10357610612027646</v>
      </c>
      <c r="BT13" s="697">
        <f>Med!BT81</f>
        <v>7.1911304396359288E-2</v>
      </c>
      <c r="BU13" s="732">
        <f t="shared" si="1"/>
        <v>0.37820660708930354</v>
      </c>
      <c r="BV13" s="761"/>
      <c r="BW13" s="717">
        <f>Med!BW81</f>
        <v>9.2578882089208836E-2</v>
      </c>
      <c r="BX13" s="696">
        <f>Med!BX81</f>
        <v>6.2393357547451345E-2</v>
      </c>
      <c r="BY13" s="696">
        <f>Med!BY81</f>
        <v>5.9821219445090001E-2</v>
      </c>
      <c r="BZ13" s="697">
        <f>Med!BZ81</f>
        <v>5.9873525685154805E-2</v>
      </c>
      <c r="CA13" s="732">
        <f t="shared" si="2"/>
        <v>0.27466698476690499</v>
      </c>
      <c r="CB13" s="761"/>
      <c r="CC13" s="717">
        <f>Med!CC81</f>
        <v>6.05957298646711E-2</v>
      </c>
      <c r="CD13" s="696">
        <f>Med!CD81</f>
        <v>5.9758238292727306E-2</v>
      </c>
      <c r="CE13" s="696">
        <f>Med!CE81</f>
        <v>5.9877489640491444E-2</v>
      </c>
      <c r="CF13" s="697">
        <f>Med!CF81</f>
        <v>5.9932653858708829E-2</v>
      </c>
      <c r="CG13" s="732">
        <f t="shared" si="3"/>
        <v>0.24016411165659868</v>
      </c>
      <c r="CH13" s="761"/>
      <c r="CI13" s="717">
        <f>Med!CI81</f>
        <v>6.0647653007299462E-2</v>
      </c>
      <c r="CJ13" s="696">
        <f>Med!CJ81</f>
        <v>5.9813759131513322E-2</v>
      </c>
      <c r="CK13" s="696">
        <f>Med!CK81</f>
        <v>5.9933930434788119E-2</v>
      </c>
      <c r="CL13" s="697">
        <f>Med!CL81</f>
        <v>5.9991968317286259E-2</v>
      </c>
      <c r="CM13" s="732">
        <f t="shared" si="4"/>
        <v>0.24038731089088716</v>
      </c>
    </row>
    <row r="14" spans="1:91" s="25" customFormat="1" ht="11.25" hidden="1" outlineLevel="1" x14ac:dyDescent="0.2">
      <c r="A14" s="695" t="s">
        <v>9</v>
      </c>
      <c r="B14" s="761"/>
      <c r="C14" s="760"/>
      <c r="D14" s="761"/>
      <c r="E14" s="761"/>
      <c r="F14" s="668"/>
      <c r="G14" s="746"/>
      <c r="H14" s="761"/>
      <c r="I14" s="760"/>
      <c r="J14" s="761"/>
      <c r="K14" s="761"/>
      <c r="L14" s="668"/>
      <c r="M14" s="746"/>
      <c r="N14" s="761"/>
      <c r="O14" s="760"/>
      <c r="P14" s="761"/>
      <c r="Q14" s="761"/>
      <c r="R14" s="668"/>
      <c r="S14" s="746"/>
      <c r="T14" s="761"/>
      <c r="U14" s="760"/>
      <c r="V14" s="761"/>
      <c r="W14" s="761"/>
      <c r="X14" s="668"/>
      <c r="Y14" s="746"/>
      <c r="Z14" s="761"/>
      <c r="AA14" s="760"/>
      <c r="AB14" s="761"/>
      <c r="AC14" s="761"/>
      <c r="AD14" s="668"/>
      <c r="AE14" s="746"/>
      <c r="AF14" s="761"/>
      <c r="AG14" s="760"/>
      <c r="AH14" s="761"/>
      <c r="AI14" s="761"/>
      <c r="AJ14" s="668"/>
      <c r="AK14" s="746"/>
      <c r="AL14" s="761"/>
      <c r="AM14" s="760"/>
      <c r="AN14" s="761"/>
      <c r="AO14" s="761"/>
      <c r="AP14" s="668"/>
      <c r="AQ14" s="746"/>
      <c r="AR14" s="761"/>
      <c r="AS14" s="760"/>
      <c r="AT14" s="761"/>
      <c r="AU14" s="761"/>
      <c r="AV14" s="668"/>
      <c r="AW14" s="746"/>
      <c r="AX14" s="761"/>
      <c r="AY14" s="760"/>
      <c r="AZ14" s="761"/>
      <c r="BA14" s="761"/>
      <c r="BB14" s="668"/>
      <c r="BC14" s="746"/>
      <c r="BD14" s="761"/>
      <c r="BE14" s="717"/>
      <c r="BF14" s="696"/>
      <c r="BG14" s="696"/>
      <c r="BH14" s="697"/>
      <c r="BI14" s="732"/>
      <c r="BJ14" s="761"/>
      <c r="BK14" s="717">
        <f>Med!BK82</f>
        <v>-1.3402964959568706E-2</v>
      </c>
      <c r="BL14" s="696">
        <f>Med!BL82</f>
        <v>-2.0720098643649841E-2</v>
      </c>
      <c r="BM14" s="696">
        <f>Med!BM82</f>
        <v>-2.4181410974244151E-2</v>
      </c>
      <c r="BN14" s="697">
        <f>Med!BN82</f>
        <v>7.6161504424779114E-3</v>
      </c>
      <c r="BO14" s="732">
        <f t="shared" si="0"/>
        <v>-5.0688324134984787E-2</v>
      </c>
      <c r="BP14" s="761"/>
      <c r="BQ14" s="717">
        <f>Med!BQ82</f>
        <v>4.2186567164179095E-2</v>
      </c>
      <c r="BR14" s="696">
        <f>Med!BR82</f>
        <v>5.3824151889759177E-2</v>
      </c>
      <c r="BS14" s="696">
        <f>Med!BS82</f>
        <v>4.1563119107289367E-2</v>
      </c>
      <c r="BT14" s="697">
        <f>Med!BT82</f>
        <v>1.7281674766729559E-2</v>
      </c>
      <c r="BU14" s="732">
        <f t="shared" si="1"/>
        <v>0.15485551292795721</v>
      </c>
      <c r="BV14" s="761"/>
      <c r="BW14" s="717">
        <f>Med!BW82</f>
        <v>3.2033427543754309E-2</v>
      </c>
      <c r="BX14" s="696">
        <f>Med!BX82</f>
        <v>2.6903295588029167E-3</v>
      </c>
      <c r="BY14" s="696">
        <f>Med!BY82</f>
        <v>0</v>
      </c>
      <c r="BZ14" s="697">
        <f>Med!BZ82</f>
        <v>0</v>
      </c>
      <c r="CA14" s="732">
        <f t="shared" si="2"/>
        <v>3.4723757102557228E-2</v>
      </c>
      <c r="CB14" s="761"/>
      <c r="CC14" s="717">
        <f>Med!CC82</f>
        <v>0</v>
      </c>
      <c r="CD14" s="696">
        <f>Med!CD82</f>
        <v>0</v>
      </c>
      <c r="CE14" s="696">
        <f>Med!CE82</f>
        <v>0</v>
      </c>
      <c r="CF14" s="697">
        <f>Med!CF82</f>
        <v>0</v>
      </c>
      <c r="CG14" s="732">
        <f t="shared" si="3"/>
        <v>0</v>
      </c>
      <c r="CH14" s="761"/>
      <c r="CI14" s="717">
        <f>Med!CI82</f>
        <v>0</v>
      </c>
      <c r="CJ14" s="696">
        <f>Med!CJ82</f>
        <v>0</v>
      </c>
      <c r="CK14" s="696">
        <f>Med!CK82</f>
        <v>0</v>
      </c>
      <c r="CL14" s="697">
        <f>Med!CL82</f>
        <v>0</v>
      </c>
      <c r="CM14" s="732">
        <f t="shared" si="4"/>
        <v>0</v>
      </c>
    </row>
    <row r="15" spans="1:91" s="25" customFormat="1" ht="11.25" hidden="1" outlineLevel="1" x14ac:dyDescent="0.2">
      <c r="A15" s="695" t="s">
        <v>10</v>
      </c>
      <c r="B15" s="761"/>
      <c r="C15" s="760"/>
      <c r="D15" s="761"/>
      <c r="E15" s="761"/>
      <c r="F15" s="668"/>
      <c r="G15" s="746"/>
      <c r="H15" s="761"/>
      <c r="I15" s="760"/>
      <c r="J15" s="761"/>
      <c r="K15" s="761"/>
      <c r="L15" s="668"/>
      <c r="M15" s="746"/>
      <c r="N15" s="761"/>
      <c r="O15" s="760"/>
      <c r="P15" s="761"/>
      <c r="Q15" s="761"/>
      <c r="R15" s="668"/>
      <c r="S15" s="746"/>
      <c r="T15" s="761"/>
      <c r="U15" s="760"/>
      <c r="V15" s="761"/>
      <c r="W15" s="761"/>
      <c r="X15" s="668"/>
      <c r="Y15" s="746"/>
      <c r="Z15" s="761"/>
      <c r="AA15" s="760"/>
      <c r="AB15" s="761"/>
      <c r="AC15" s="761"/>
      <c r="AD15" s="668"/>
      <c r="AE15" s="746"/>
      <c r="AF15" s="761"/>
      <c r="AG15" s="760"/>
      <c r="AH15" s="761"/>
      <c r="AI15" s="761"/>
      <c r="AJ15" s="668"/>
      <c r="AK15" s="746"/>
      <c r="AL15" s="761"/>
      <c r="AM15" s="760"/>
      <c r="AN15" s="761"/>
      <c r="AO15" s="761"/>
      <c r="AP15" s="668"/>
      <c r="AQ15" s="746"/>
      <c r="AR15" s="761"/>
      <c r="AS15" s="760"/>
      <c r="AT15" s="761"/>
      <c r="AU15" s="761"/>
      <c r="AV15" s="668"/>
      <c r="AW15" s="746"/>
      <c r="AX15" s="761"/>
      <c r="AY15" s="760"/>
      <c r="AZ15" s="761"/>
      <c r="BA15" s="761"/>
      <c r="BB15" s="668"/>
      <c r="BC15" s="746"/>
      <c r="BD15" s="761"/>
      <c r="BE15" s="717"/>
      <c r="BF15" s="696"/>
      <c r="BG15" s="696"/>
      <c r="BH15" s="697"/>
      <c r="BI15" s="732"/>
      <c r="BJ15" s="761"/>
      <c r="BK15" s="717">
        <f>Med!BK83</f>
        <v>9.6960916442048503E-2</v>
      </c>
      <c r="BL15" s="696">
        <f>Med!BL83</f>
        <v>7.3741060419235532E-2</v>
      </c>
      <c r="BM15" s="696">
        <f>Med!BM83</f>
        <v>5.8895856662934017E-2</v>
      </c>
      <c r="BN15" s="697">
        <f>Med!BN83</f>
        <v>6.7605088495575186E-2</v>
      </c>
      <c r="BO15" s="732">
        <f t="shared" si="0"/>
        <v>0.2972029220197932</v>
      </c>
      <c r="BP15" s="761"/>
      <c r="BQ15" s="717">
        <f>Med!BQ83</f>
        <v>5.234079601990041E-2</v>
      </c>
      <c r="BR15" s="696">
        <f>Med!BR83</f>
        <v>5.4367681498829111E-2</v>
      </c>
      <c r="BS15" s="696">
        <f>Med!BS83</f>
        <v>6.2012987012987089E-2</v>
      </c>
      <c r="BT15" s="697">
        <f>Med!BT83</f>
        <v>5.4629629629629729E-2</v>
      </c>
      <c r="BU15" s="732">
        <f t="shared" si="1"/>
        <v>0.22335109416134633</v>
      </c>
      <c r="BV15" s="761"/>
      <c r="BW15" s="717">
        <f>Med!BW83</f>
        <v>6.0545454545454527E-2</v>
      </c>
      <c r="BX15" s="696">
        <f>Med!BX83</f>
        <v>5.9703027988648426E-2</v>
      </c>
      <c r="BY15" s="696">
        <f>Med!BY83</f>
        <v>5.9821219445090001E-2</v>
      </c>
      <c r="BZ15" s="697">
        <f>Med!BZ83</f>
        <v>5.9873525685154805E-2</v>
      </c>
      <c r="CA15" s="732">
        <f t="shared" si="2"/>
        <v>0.23994322766434775</v>
      </c>
      <c r="CB15" s="761"/>
      <c r="CC15" s="717">
        <f>Med!CC83</f>
        <v>6.05957298646711E-2</v>
      </c>
      <c r="CD15" s="696">
        <f>Med!CD83</f>
        <v>5.9758238292727306E-2</v>
      </c>
      <c r="CE15" s="696">
        <f>Med!CE83</f>
        <v>5.9877489640491444E-2</v>
      </c>
      <c r="CF15" s="697">
        <f>Med!CF83</f>
        <v>5.9932653858708829E-2</v>
      </c>
      <c r="CG15" s="732">
        <f t="shared" si="3"/>
        <v>0.24016411165659868</v>
      </c>
      <c r="CH15" s="761"/>
      <c r="CI15" s="717">
        <f>Med!CI83</f>
        <v>6.0647653007299462E-2</v>
      </c>
      <c r="CJ15" s="696">
        <f>Med!CJ83</f>
        <v>5.9813759131513322E-2</v>
      </c>
      <c r="CK15" s="696">
        <f>Med!CK83</f>
        <v>5.9933930434788119E-2</v>
      </c>
      <c r="CL15" s="697">
        <f>Med!CL83</f>
        <v>5.9991968317286259E-2</v>
      </c>
      <c r="CM15" s="732">
        <f t="shared" si="4"/>
        <v>0.24038731089088716</v>
      </c>
    </row>
    <row r="16" spans="1:91" s="25" customFormat="1" ht="11.25" hidden="1" outlineLevel="1" x14ac:dyDescent="0.2">
      <c r="A16" s="695" t="s">
        <v>6</v>
      </c>
      <c r="B16" s="761"/>
      <c r="C16" s="760"/>
      <c r="D16" s="761"/>
      <c r="E16" s="761"/>
      <c r="F16" s="668"/>
      <c r="G16" s="746"/>
      <c r="H16" s="761"/>
      <c r="I16" s="760"/>
      <c r="J16" s="761"/>
      <c r="K16" s="761"/>
      <c r="L16" s="668"/>
      <c r="M16" s="746"/>
      <c r="N16" s="761"/>
      <c r="O16" s="760"/>
      <c r="P16" s="761"/>
      <c r="Q16" s="761"/>
      <c r="R16" s="668"/>
      <c r="S16" s="746"/>
      <c r="T16" s="761"/>
      <c r="U16" s="760"/>
      <c r="V16" s="761"/>
      <c r="W16" s="761"/>
      <c r="X16" s="668"/>
      <c r="Y16" s="746"/>
      <c r="Z16" s="761"/>
      <c r="AA16" s="760"/>
      <c r="AB16" s="761"/>
      <c r="AC16" s="761"/>
      <c r="AD16" s="668"/>
      <c r="AE16" s="746"/>
      <c r="AF16" s="761"/>
      <c r="AG16" s="760"/>
      <c r="AH16" s="761"/>
      <c r="AI16" s="761"/>
      <c r="AJ16" s="668"/>
      <c r="AK16" s="746"/>
      <c r="AL16" s="761"/>
      <c r="AM16" s="760"/>
      <c r="AN16" s="761"/>
      <c r="AO16" s="761"/>
      <c r="AP16" s="668"/>
      <c r="AQ16" s="746"/>
      <c r="AR16" s="761"/>
      <c r="AS16" s="760"/>
      <c r="AT16" s="761"/>
      <c r="AU16" s="761"/>
      <c r="AV16" s="668"/>
      <c r="AW16" s="746"/>
      <c r="AX16" s="761"/>
      <c r="AY16" s="760"/>
      <c r="AZ16" s="761"/>
      <c r="BA16" s="761"/>
      <c r="BB16" s="668"/>
      <c r="BC16" s="746"/>
      <c r="BD16" s="761"/>
      <c r="BE16" s="717"/>
      <c r="BF16" s="696"/>
      <c r="BG16" s="696"/>
      <c r="BH16" s="697"/>
      <c r="BI16" s="732"/>
      <c r="BJ16" s="761"/>
      <c r="BK16" s="717">
        <f>Med!BK84</f>
        <v>0</v>
      </c>
      <c r="BL16" s="696">
        <f>Med!BL84</f>
        <v>0</v>
      </c>
      <c r="BM16" s="696">
        <f>Med!BM84</f>
        <v>0</v>
      </c>
      <c r="BN16" s="697">
        <f>Med!BN84</f>
        <v>0</v>
      </c>
      <c r="BO16" s="732">
        <f t="shared" si="0"/>
        <v>0</v>
      </c>
      <c r="BP16" s="761"/>
      <c r="BQ16" s="717">
        <f>Med!BQ84</f>
        <v>0</v>
      </c>
      <c r="BR16" s="696">
        <f>Med!BR84</f>
        <v>0</v>
      </c>
      <c r="BS16" s="696">
        <f>Med!BS84</f>
        <v>0</v>
      </c>
      <c r="BT16" s="697">
        <f>Med!BT84</f>
        <v>0</v>
      </c>
      <c r="BU16" s="732">
        <f t="shared" si="1"/>
        <v>0</v>
      </c>
      <c r="BV16" s="761"/>
      <c r="BW16" s="717">
        <f>Med!BW84</f>
        <v>0</v>
      </c>
      <c r="BX16" s="696">
        <f>Med!BX84</f>
        <v>0</v>
      </c>
      <c r="BY16" s="696">
        <f>Med!BY84</f>
        <v>0</v>
      </c>
      <c r="BZ16" s="697">
        <f>Med!BZ84</f>
        <v>0</v>
      </c>
      <c r="CA16" s="732">
        <f t="shared" si="2"/>
        <v>0</v>
      </c>
      <c r="CB16" s="761"/>
      <c r="CC16" s="717">
        <f>Med!CC84</f>
        <v>0</v>
      </c>
      <c r="CD16" s="696">
        <f>Med!CD84</f>
        <v>0</v>
      </c>
      <c r="CE16" s="696">
        <f>Med!CE84</f>
        <v>0</v>
      </c>
      <c r="CF16" s="697">
        <f>Med!CF84</f>
        <v>0</v>
      </c>
      <c r="CG16" s="732">
        <f t="shared" si="3"/>
        <v>0</v>
      </c>
      <c r="CH16" s="761"/>
      <c r="CI16" s="717">
        <f>Med!CI84</f>
        <v>0</v>
      </c>
      <c r="CJ16" s="696">
        <f>Med!CJ84</f>
        <v>0</v>
      </c>
      <c r="CK16" s="696">
        <f>Med!CK84</f>
        <v>0</v>
      </c>
      <c r="CL16" s="697">
        <f>Med!CL84</f>
        <v>0</v>
      </c>
      <c r="CM16" s="732">
        <f t="shared" si="4"/>
        <v>0</v>
      </c>
    </row>
    <row r="17" spans="1:91" s="25" customFormat="1" ht="11.25" hidden="1" outlineLevel="1" x14ac:dyDescent="0.2">
      <c r="A17" s="695" t="s">
        <v>7</v>
      </c>
      <c r="B17" s="761"/>
      <c r="C17" s="760"/>
      <c r="D17" s="761"/>
      <c r="E17" s="761"/>
      <c r="F17" s="668"/>
      <c r="G17" s="746"/>
      <c r="H17" s="761"/>
      <c r="I17" s="760"/>
      <c r="J17" s="761"/>
      <c r="K17" s="761"/>
      <c r="L17" s="668"/>
      <c r="M17" s="746"/>
      <c r="N17" s="761"/>
      <c r="O17" s="760"/>
      <c r="P17" s="761"/>
      <c r="Q17" s="761"/>
      <c r="R17" s="668"/>
      <c r="S17" s="746"/>
      <c r="T17" s="761"/>
      <c r="U17" s="760"/>
      <c r="V17" s="761"/>
      <c r="W17" s="761"/>
      <c r="X17" s="668"/>
      <c r="Y17" s="746"/>
      <c r="Z17" s="761"/>
      <c r="AA17" s="760"/>
      <c r="AB17" s="761"/>
      <c r="AC17" s="761"/>
      <c r="AD17" s="668"/>
      <c r="AE17" s="746"/>
      <c r="AF17" s="761"/>
      <c r="AG17" s="760"/>
      <c r="AH17" s="761"/>
      <c r="AI17" s="761"/>
      <c r="AJ17" s="668"/>
      <c r="AK17" s="746"/>
      <c r="AL17" s="761"/>
      <c r="AM17" s="760"/>
      <c r="AN17" s="761"/>
      <c r="AO17" s="761"/>
      <c r="AP17" s="668"/>
      <c r="AQ17" s="746"/>
      <c r="AR17" s="761"/>
      <c r="AS17" s="760"/>
      <c r="AT17" s="761"/>
      <c r="AU17" s="761"/>
      <c r="AV17" s="668"/>
      <c r="AW17" s="746"/>
      <c r="AX17" s="761"/>
      <c r="AY17" s="760"/>
      <c r="AZ17" s="761"/>
      <c r="BA17" s="761"/>
      <c r="BB17" s="668"/>
      <c r="BC17" s="746"/>
      <c r="BD17" s="761"/>
      <c r="BE17" s="717"/>
      <c r="BF17" s="696"/>
      <c r="BG17" s="696"/>
      <c r="BH17" s="697"/>
      <c r="BI17" s="732"/>
      <c r="BJ17" s="761"/>
      <c r="BK17" s="717">
        <f>Med!BK85</f>
        <v>9.6960916442048503E-2</v>
      </c>
      <c r="BL17" s="696">
        <f>Med!BL85</f>
        <v>7.3741060419235532E-2</v>
      </c>
      <c r="BM17" s="696">
        <f>Med!BM85</f>
        <v>5.8895856662934017E-2</v>
      </c>
      <c r="BN17" s="697">
        <f>Med!BN85</f>
        <v>6.7605088495575186E-2</v>
      </c>
      <c r="BO17" s="732">
        <f t="shared" si="0"/>
        <v>0.2972029220197932</v>
      </c>
      <c r="BP17" s="761"/>
      <c r="BQ17" s="717">
        <f>Med!BQ85</f>
        <v>5.234079601990041E-2</v>
      </c>
      <c r="BR17" s="696">
        <f>Med!BR85</f>
        <v>5.4367681498829111E-2</v>
      </c>
      <c r="BS17" s="696">
        <f>Med!BS85</f>
        <v>6.2012987012987089E-2</v>
      </c>
      <c r="BT17" s="697">
        <f>Med!BT85</f>
        <v>5.4629629629629729E-2</v>
      </c>
      <c r="BU17" s="732">
        <f t="shared" si="1"/>
        <v>0.22335109416134633</v>
      </c>
      <c r="BV17" s="761"/>
      <c r="BW17" s="717">
        <f>Med!BW85</f>
        <v>6.0545454545454527E-2</v>
      </c>
      <c r="BX17" s="696">
        <f>Med!BX85</f>
        <v>5.9703027988648426E-2</v>
      </c>
      <c r="BY17" s="696">
        <f>Med!BY85</f>
        <v>5.9821219445090001E-2</v>
      </c>
      <c r="BZ17" s="697">
        <f>Med!BZ85</f>
        <v>5.9873525685154805E-2</v>
      </c>
      <c r="CA17" s="732">
        <f t="shared" si="2"/>
        <v>0.23994322766434775</v>
      </c>
      <c r="CB17" s="761"/>
      <c r="CC17" s="717">
        <f>Med!CC85</f>
        <v>6.05957298646711E-2</v>
      </c>
      <c r="CD17" s="696">
        <f>Med!CD85</f>
        <v>5.9758238292727306E-2</v>
      </c>
      <c r="CE17" s="696">
        <f>Med!CE85</f>
        <v>5.9877489640491444E-2</v>
      </c>
      <c r="CF17" s="697">
        <f>Med!CF85</f>
        <v>5.9932653858708829E-2</v>
      </c>
      <c r="CG17" s="732">
        <f t="shared" si="3"/>
        <v>0.24016411165659868</v>
      </c>
      <c r="CH17" s="761"/>
      <c r="CI17" s="717">
        <f>Med!CI85</f>
        <v>6.0647653007299462E-2</v>
      </c>
      <c r="CJ17" s="696">
        <f>Med!CJ85</f>
        <v>5.9813759131513322E-2</v>
      </c>
      <c r="CK17" s="696">
        <f>Med!CK85</f>
        <v>5.9933930434788119E-2</v>
      </c>
      <c r="CL17" s="697">
        <f>Med!CL85</f>
        <v>5.9991968317286259E-2</v>
      </c>
      <c r="CM17" s="732">
        <f t="shared" si="4"/>
        <v>0.24038731089088716</v>
      </c>
    </row>
    <row r="18" spans="1:91" s="25" customFormat="1" ht="11.25" collapsed="1" x14ac:dyDescent="0.2">
      <c r="A18" s="709" t="s">
        <v>11</v>
      </c>
      <c r="B18" s="761"/>
      <c r="C18" s="760"/>
      <c r="D18" s="761"/>
      <c r="E18" s="761"/>
      <c r="F18" s="668"/>
      <c r="G18" s="746"/>
      <c r="H18" s="761"/>
      <c r="I18" s="760"/>
      <c r="J18" s="761"/>
      <c r="K18" s="761"/>
      <c r="L18" s="668"/>
      <c r="M18" s="746"/>
      <c r="N18" s="761"/>
      <c r="O18" s="760"/>
      <c r="P18" s="761"/>
      <c r="Q18" s="761"/>
      <c r="R18" s="668"/>
      <c r="S18" s="746"/>
      <c r="T18" s="761"/>
      <c r="U18" s="760"/>
      <c r="V18" s="761"/>
      <c r="W18" s="761"/>
      <c r="X18" s="668"/>
      <c r="Y18" s="746"/>
      <c r="Z18" s="761"/>
      <c r="AA18" s="760"/>
      <c r="AB18" s="761"/>
      <c r="AC18" s="761"/>
      <c r="AD18" s="668"/>
      <c r="AE18" s="746"/>
      <c r="AF18" s="761"/>
      <c r="AG18" s="760"/>
      <c r="AH18" s="761"/>
      <c r="AI18" s="761"/>
      <c r="AJ18" s="668"/>
      <c r="AK18" s="746"/>
      <c r="AL18" s="761"/>
      <c r="AM18" s="760"/>
      <c r="AN18" s="761"/>
      <c r="AO18" s="761"/>
      <c r="AP18" s="668"/>
      <c r="AQ18" s="746"/>
      <c r="AR18" s="761"/>
      <c r="AS18" s="760"/>
      <c r="AT18" s="761"/>
      <c r="AU18" s="761"/>
      <c r="AV18" s="668"/>
      <c r="AW18" s="746"/>
      <c r="AX18" s="761"/>
      <c r="AY18" s="760"/>
      <c r="AZ18" s="761"/>
      <c r="BA18" s="761"/>
      <c r="BB18" s="668"/>
      <c r="BC18" s="746"/>
      <c r="BD18" s="761"/>
      <c r="BE18" s="729">
        <f>Med!BE86</f>
        <v>1846</v>
      </c>
      <c r="BF18" s="711">
        <f>Med!BF86</f>
        <v>1914</v>
      </c>
      <c r="BG18" s="711">
        <f>Med!BG86</f>
        <v>2056</v>
      </c>
      <c r="BH18" s="712">
        <f>Med!BH86</f>
        <v>2044</v>
      </c>
      <c r="BI18" s="740">
        <f t="shared" si="5"/>
        <v>7860</v>
      </c>
      <c r="BJ18" s="761"/>
      <c r="BK18" s="729">
        <f>Med!BK86</f>
        <v>1983</v>
      </c>
      <c r="BL18" s="711">
        <f>Med!BL86</f>
        <v>2006</v>
      </c>
      <c r="BM18" s="711">
        <f>Med!BM86</f>
        <v>2072</v>
      </c>
      <c r="BN18" s="712">
        <f>Med!BN86</f>
        <v>2146</v>
      </c>
      <c r="BO18" s="740">
        <f t="shared" si="0"/>
        <v>8207</v>
      </c>
      <c r="BP18" s="761"/>
      <c r="BQ18" s="729">
        <f>Med!BQ86</f>
        <v>2063</v>
      </c>
      <c r="BR18" s="711">
        <f>Med!BR86</f>
        <v>2147.1558257138545</v>
      </c>
      <c r="BS18" s="711">
        <f>Med!BS86</f>
        <v>2245.5543220551353</v>
      </c>
      <c r="BT18" s="712">
        <f>Med!BT86</f>
        <v>2279.597787873261</v>
      </c>
      <c r="BU18" s="740">
        <f t="shared" si="1"/>
        <v>8735.3079356422513</v>
      </c>
      <c r="BV18" s="761"/>
      <c r="BW18" s="729">
        <f>Med!BW86</f>
        <v>2205.8944162385042</v>
      </c>
      <c r="BX18" s="711">
        <f>Med!BX86</f>
        <v>2268.186038849034</v>
      </c>
      <c r="BY18" s="711">
        <f>Med!BY86</f>
        <v>2369.5716280739025</v>
      </c>
      <c r="BZ18" s="712">
        <f>Med!BZ86</f>
        <v>2405.5940318367971</v>
      </c>
      <c r="CA18" s="740">
        <f t="shared" si="2"/>
        <v>9249.2461149982373</v>
      </c>
      <c r="CB18" s="761"/>
      <c r="CC18" s="729">
        <f>Med!CC86</f>
        <v>2329.317732258035</v>
      </c>
      <c r="CD18" s="711">
        <f>Med!CD86</f>
        <v>2394.0406326675202</v>
      </c>
      <c r="CE18" s="711">
        <f>Med!CE86</f>
        <v>2501.188611913708</v>
      </c>
      <c r="CF18" s="712">
        <f>Med!CF86</f>
        <v>2539.3296621330574</v>
      </c>
      <c r="CG18" s="740">
        <f t="shared" si="3"/>
        <v>9763.8766389723205</v>
      </c>
      <c r="CH18" s="761"/>
      <c r="CI18" s="729">
        <f>Med!CI86</f>
        <v>2459.7593547510301</v>
      </c>
      <c r="CJ18" s="711">
        <f>Med!CJ86</f>
        <v>2526.9990074041616</v>
      </c>
      <c r="CK18" s="711">
        <f>Med!CK86</f>
        <v>2640.2505947754294</v>
      </c>
      <c r="CL18" s="712">
        <f>Med!CL86</f>
        <v>2680.6399160507353</v>
      </c>
      <c r="CM18" s="740">
        <f t="shared" si="4"/>
        <v>10307.648872981355</v>
      </c>
    </row>
    <row r="19" spans="1:91" s="25" customFormat="1" ht="11.25" x14ac:dyDescent="0.2">
      <c r="A19" s="695" t="s">
        <v>5</v>
      </c>
      <c r="B19" s="761"/>
      <c r="C19" s="760"/>
      <c r="D19" s="761"/>
      <c r="E19" s="761"/>
      <c r="F19" s="668"/>
      <c r="G19" s="746"/>
      <c r="H19" s="761"/>
      <c r="I19" s="760"/>
      <c r="J19" s="761"/>
      <c r="K19" s="761"/>
      <c r="L19" s="668"/>
      <c r="M19" s="746"/>
      <c r="N19" s="761"/>
      <c r="O19" s="760"/>
      <c r="P19" s="761"/>
      <c r="Q19" s="761"/>
      <c r="R19" s="668"/>
      <c r="S19" s="746"/>
      <c r="T19" s="761"/>
      <c r="U19" s="760"/>
      <c r="V19" s="761"/>
      <c r="W19" s="761"/>
      <c r="X19" s="668"/>
      <c r="Y19" s="746"/>
      <c r="Z19" s="761"/>
      <c r="AA19" s="760"/>
      <c r="AB19" s="761"/>
      <c r="AC19" s="761"/>
      <c r="AD19" s="668"/>
      <c r="AE19" s="746"/>
      <c r="AF19" s="761"/>
      <c r="AG19" s="760"/>
      <c r="AH19" s="761"/>
      <c r="AI19" s="761"/>
      <c r="AJ19" s="668"/>
      <c r="AK19" s="746"/>
      <c r="AL19" s="761"/>
      <c r="AM19" s="760"/>
      <c r="AN19" s="761"/>
      <c r="AO19" s="761"/>
      <c r="AP19" s="668"/>
      <c r="AQ19" s="746"/>
      <c r="AR19" s="761"/>
      <c r="AS19" s="760"/>
      <c r="AT19" s="761"/>
      <c r="AU19" s="761"/>
      <c r="AV19" s="668"/>
      <c r="AW19" s="746"/>
      <c r="AX19" s="761"/>
      <c r="AY19" s="760"/>
      <c r="AZ19" s="761"/>
      <c r="BA19" s="761"/>
      <c r="BB19" s="668"/>
      <c r="BC19" s="746"/>
      <c r="BD19" s="761"/>
      <c r="BE19" s="717"/>
      <c r="BF19" s="696"/>
      <c r="BG19" s="696"/>
      <c r="BH19" s="697"/>
      <c r="BI19" s="732"/>
      <c r="BJ19" s="761"/>
      <c r="BK19" s="717">
        <f>Med!BK87</f>
        <v>7.4214517876489694E-2</v>
      </c>
      <c r="BL19" s="696">
        <f>Med!BL87</f>
        <v>4.8066875653082652E-2</v>
      </c>
      <c r="BM19" s="696">
        <f>Med!BM87</f>
        <v>7.7821011673151474E-3</v>
      </c>
      <c r="BN19" s="697">
        <f>Med!BN87</f>
        <v>4.9902152641878583E-2</v>
      </c>
      <c r="BO19" s="732">
        <f t="shared" si="0"/>
        <v>0.17996564733876608</v>
      </c>
      <c r="BP19" s="761"/>
      <c r="BQ19" s="717">
        <f>Med!BQ87</f>
        <v>4.0342914775592487E-2</v>
      </c>
      <c r="BR19" s="696">
        <f>Med!BR87</f>
        <v>7.0366812419668134E-2</v>
      </c>
      <c r="BS19" s="696">
        <f>Med!BS87</f>
        <v>8.3761738443598244E-2</v>
      </c>
      <c r="BT19" s="697">
        <f>Med!BT87</f>
        <v>6.2254327993131797E-2</v>
      </c>
      <c r="BU19" s="732">
        <f t="shared" si="1"/>
        <v>0.25672579363199066</v>
      </c>
      <c r="BV19" s="761"/>
      <c r="BW19" s="717">
        <f>Med!BW87</f>
        <v>6.9265349606642879E-2</v>
      </c>
      <c r="BX19" s="696">
        <f>Med!BX87</f>
        <v>5.6367689613277649E-2</v>
      </c>
      <c r="BY19" s="696">
        <f>Med!BY87</f>
        <v>5.5227925150020951E-2</v>
      </c>
      <c r="BZ19" s="697">
        <f>Med!BZ87</f>
        <v>5.5271260848644532E-2</v>
      </c>
      <c r="CA19" s="732">
        <f t="shared" si="2"/>
        <v>0.23613222521858601</v>
      </c>
      <c r="CB19" s="761"/>
      <c r="CC19" s="717">
        <f>Med!CC87</f>
        <v>5.5951597279978893E-2</v>
      </c>
      <c r="CD19" s="696">
        <f>Med!CD87</f>
        <v>5.548689201982282E-2</v>
      </c>
      <c r="CE19" s="696">
        <f>Med!CE87</f>
        <v>5.5544631899053343E-2</v>
      </c>
      <c r="CF19" s="697">
        <f>Med!CF87</f>
        <v>5.5593599138648475E-2</v>
      </c>
      <c r="CG19" s="732">
        <f t="shared" si="3"/>
        <v>0.22257672033750353</v>
      </c>
      <c r="CH19" s="761"/>
      <c r="CI19" s="717">
        <f>Med!CI87</f>
        <v>5.5999926796824528E-2</v>
      </c>
      <c r="CJ19" s="696">
        <f>Med!CJ87</f>
        <v>5.5537225610283292E-2</v>
      </c>
      <c r="CK19" s="696">
        <f>Med!CK87</f>
        <v>5.5598359195839331E-2</v>
      </c>
      <c r="CL19" s="697">
        <f>Med!CL87</f>
        <v>5.5648644610789333E-2</v>
      </c>
      <c r="CM19" s="732">
        <f t="shared" si="4"/>
        <v>0.22278415621373648</v>
      </c>
    </row>
    <row r="20" spans="1:91" s="25" customFormat="1" ht="11.25" x14ac:dyDescent="0.2">
      <c r="A20" s="695" t="s">
        <v>9</v>
      </c>
      <c r="B20" s="761"/>
      <c r="C20" s="760"/>
      <c r="D20" s="761"/>
      <c r="E20" s="761"/>
      <c r="F20" s="668"/>
      <c r="G20" s="746"/>
      <c r="H20" s="761"/>
      <c r="I20" s="760"/>
      <c r="J20" s="761"/>
      <c r="K20" s="761"/>
      <c r="L20" s="668"/>
      <c r="M20" s="746"/>
      <c r="N20" s="761"/>
      <c r="O20" s="760"/>
      <c r="P20" s="761"/>
      <c r="Q20" s="761"/>
      <c r="R20" s="668"/>
      <c r="S20" s="746"/>
      <c r="T20" s="761"/>
      <c r="U20" s="760"/>
      <c r="V20" s="761"/>
      <c r="W20" s="761"/>
      <c r="X20" s="668"/>
      <c r="Y20" s="746"/>
      <c r="Z20" s="761"/>
      <c r="AA20" s="760"/>
      <c r="AB20" s="761"/>
      <c r="AC20" s="761"/>
      <c r="AD20" s="668"/>
      <c r="AE20" s="746"/>
      <c r="AF20" s="761"/>
      <c r="AG20" s="760"/>
      <c r="AH20" s="761"/>
      <c r="AI20" s="761"/>
      <c r="AJ20" s="668"/>
      <c r="AK20" s="746"/>
      <c r="AL20" s="761"/>
      <c r="AM20" s="760"/>
      <c r="AN20" s="761"/>
      <c r="AO20" s="761"/>
      <c r="AP20" s="668"/>
      <c r="AQ20" s="746"/>
      <c r="AR20" s="761"/>
      <c r="AS20" s="760"/>
      <c r="AT20" s="761"/>
      <c r="AU20" s="761"/>
      <c r="AV20" s="668"/>
      <c r="AW20" s="746"/>
      <c r="AX20" s="761"/>
      <c r="AY20" s="760"/>
      <c r="AZ20" s="761"/>
      <c r="BA20" s="761"/>
      <c r="BB20" s="668"/>
      <c r="BC20" s="746"/>
      <c r="BD20" s="761"/>
      <c r="BE20" s="717"/>
      <c r="BF20" s="696"/>
      <c r="BG20" s="696"/>
      <c r="BH20" s="697"/>
      <c r="BI20" s="732"/>
      <c r="BJ20" s="761"/>
      <c r="BK20" s="717">
        <f>Med!BK88</f>
        <v>-5.3873239436619605E-3</v>
      </c>
      <c r="BL20" s="696">
        <f>Med!BL88</f>
        <v>-8.7795193312434801E-3</v>
      </c>
      <c r="BM20" s="696">
        <f>Med!BM88</f>
        <v>-1.0502918287937755E-2</v>
      </c>
      <c r="BN20" s="697">
        <f>Med!BN88</f>
        <v>3.3683953033268256E-3</v>
      </c>
      <c r="BO20" s="732">
        <f t="shared" si="0"/>
        <v>-2.1301366259516369E-2</v>
      </c>
      <c r="BP20" s="761"/>
      <c r="BQ20" s="717">
        <f>Med!BQ88</f>
        <v>1.710438729198184E-2</v>
      </c>
      <c r="BR20" s="696">
        <f>Med!BR88</f>
        <v>2.2914170345889499E-2</v>
      </c>
      <c r="BS20" s="696">
        <f>Med!BS88</f>
        <v>1.8534904466764177E-2</v>
      </c>
      <c r="BT20" s="697">
        <f>Med!BT88</f>
        <v>7.8274873593947494E-3</v>
      </c>
      <c r="BU20" s="732">
        <f t="shared" si="1"/>
        <v>6.6380949464030253E-2</v>
      </c>
      <c r="BV20" s="761"/>
      <c r="BW20" s="717">
        <f>Med!BW88</f>
        <v>1.3664283198499173E-2</v>
      </c>
      <c r="BX20" s="696">
        <f>Med!BX88</f>
        <v>1.1858089821679247E-3</v>
      </c>
      <c r="BY20" s="696">
        <f>Med!BY88</f>
        <v>0</v>
      </c>
      <c r="BZ20" s="697">
        <f>Med!BZ88</f>
        <v>0</v>
      </c>
      <c r="CA20" s="732">
        <f t="shared" si="2"/>
        <v>1.4850092180667098E-2</v>
      </c>
      <c r="CB20" s="761"/>
      <c r="CC20" s="717">
        <f>Med!CC88</f>
        <v>0</v>
      </c>
      <c r="CD20" s="696">
        <f>Med!CD88</f>
        <v>0</v>
      </c>
      <c r="CE20" s="696">
        <f>Med!CE88</f>
        <v>0</v>
      </c>
      <c r="CF20" s="697">
        <f>Med!CF88</f>
        <v>0</v>
      </c>
      <c r="CG20" s="732">
        <f t="shared" si="3"/>
        <v>0</v>
      </c>
      <c r="CH20" s="761"/>
      <c r="CI20" s="717">
        <f>Med!CI88</f>
        <v>0</v>
      </c>
      <c r="CJ20" s="696">
        <f>Med!CJ88</f>
        <v>0</v>
      </c>
      <c r="CK20" s="696">
        <f>Med!CK88</f>
        <v>0</v>
      </c>
      <c r="CL20" s="697">
        <f>Med!CL88</f>
        <v>0</v>
      </c>
      <c r="CM20" s="732">
        <f t="shared" si="4"/>
        <v>0</v>
      </c>
    </row>
    <row r="21" spans="1:91" s="25" customFormat="1" ht="11.25" x14ac:dyDescent="0.2">
      <c r="A21" s="695" t="s">
        <v>10</v>
      </c>
      <c r="B21" s="761"/>
      <c r="C21" s="760"/>
      <c r="D21" s="761"/>
      <c r="E21" s="761"/>
      <c r="F21" s="668"/>
      <c r="G21" s="746"/>
      <c r="H21" s="761"/>
      <c r="I21" s="760"/>
      <c r="J21" s="761"/>
      <c r="K21" s="761"/>
      <c r="L21" s="668"/>
      <c r="M21" s="746"/>
      <c r="N21" s="761"/>
      <c r="O21" s="760"/>
      <c r="P21" s="761"/>
      <c r="Q21" s="761"/>
      <c r="R21" s="668"/>
      <c r="S21" s="746"/>
      <c r="T21" s="761"/>
      <c r="U21" s="760"/>
      <c r="V21" s="761"/>
      <c r="W21" s="761"/>
      <c r="X21" s="668"/>
      <c r="Y21" s="746"/>
      <c r="Z21" s="761"/>
      <c r="AA21" s="760"/>
      <c r="AB21" s="761"/>
      <c r="AC21" s="761"/>
      <c r="AD21" s="668"/>
      <c r="AE21" s="746"/>
      <c r="AF21" s="761"/>
      <c r="AG21" s="760"/>
      <c r="AH21" s="761"/>
      <c r="AI21" s="761"/>
      <c r="AJ21" s="668"/>
      <c r="AK21" s="746"/>
      <c r="AL21" s="761"/>
      <c r="AM21" s="760"/>
      <c r="AN21" s="761"/>
      <c r="AO21" s="761"/>
      <c r="AP21" s="668"/>
      <c r="AQ21" s="746"/>
      <c r="AR21" s="761"/>
      <c r="AS21" s="760"/>
      <c r="AT21" s="761"/>
      <c r="AU21" s="761"/>
      <c r="AV21" s="668"/>
      <c r="AW21" s="746"/>
      <c r="AX21" s="761"/>
      <c r="AY21" s="760"/>
      <c r="AZ21" s="761"/>
      <c r="BA21" s="761"/>
      <c r="BB21" s="668"/>
      <c r="BC21" s="746"/>
      <c r="BD21" s="761"/>
      <c r="BE21" s="717"/>
      <c r="BF21" s="696"/>
      <c r="BG21" s="696"/>
      <c r="BH21" s="697"/>
      <c r="BI21" s="732"/>
      <c r="BJ21" s="761"/>
      <c r="BK21" s="717">
        <f>Med!BK89</f>
        <v>7.9601841820151648E-2</v>
      </c>
      <c r="BL21" s="696">
        <f>Med!BL89</f>
        <v>5.6846394984326129E-2</v>
      </c>
      <c r="BM21" s="696">
        <f>Med!BM89</f>
        <v>1.8285019455252904E-2</v>
      </c>
      <c r="BN21" s="697">
        <f>Med!BN89</f>
        <v>4.6533757338551758E-2</v>
      </c>
      <c r="BO21" s="732">
        <f t="shared" si="0"/>
        <v>0.20126701359828242</v>
      </c>
      <c r="BP21" s="761"/>
      <c r="BQ21" s="717">
        <f>Med!BQ89</f>
        <v>2.3238527483610646E-2</v>
      </c>
      <c r="BR21" s="696">
        <f>Med!BR89</f>
        <v>4.7452642073778639E-2</v>
      </c>
      <c r="BS21" s="696">
        <f>Med!BS89</f>
        <v>6.522683397683407E-2</v>
      </c>
      <c r="BT21" s="697">
        <f>Med!BT89</f>
        <v>5.4426840633737046E-2</v>
      </c>
      <c r="BU21" s="732">
        <f t="shared" si="1"/>
        <v>0.19034484416796038</v>
      </c>
      <c r="BV21" s="761"/>
      <c r="BW21" s="717">
        <f>Med!BW89</f>
        <v>5.5601066408143704E-2</v>
      </c>
      <c r="BX21" s="696">
        <f>Med!BX89</f>
        <v>5.5181880631109723E-2</v>
      </c>
      <c r="BY21" s="696">
        <f>Med!BY89</f>
        <v>5.5227925150020951E-2</v>
      </c>
      <c r="BZ21" s="697">
        <f>Med!BZ89</f>
        <v>5.5271260848644532E-2</v>
      </c>
      <c r="CA21" s="732">
        <f t="shared" si="2"/>
        <v>0.22128213303791891</v>
      </c>
      <c r="CB21" s="761"/>
      <c r="CC21" s="717">
        <f>Med!CC89</f>
        <v>5.5951597279978893E-2</v>
      </c>
      <c r="CD21" s="696">
        <f>Med!CD89</f>
        <v>5.548689201982282E-2</v>
      </c>
      <c r="CE21" s="696">
        <f>Med!CE89</f>
        <v>5.5544631899053343E-2</v>
      </c>
      <c r="CF21" s="697">
        <f>Med!CF89</f>
        <v>5.5593599138648475E-2</v>
      </c>
      <c r="CG21" s="732">
        <f t="shared" si="3"/>
        <v>0.22257672033750353</v>
      </c>
      <c r="CH21" s="761"/>
      <c r="CI21" s="717">
        <f>Med!CI89</f>
        <v>5.5999926796824528E-2</v>
      </c>
      <c r="CJ21" s="696">
        <f>Med!CJ89</f>
        <v>5.5537225610283292E-2</v>
      </c>
      <c r="CK21" s="696">
        <f>Med!CK89</f>
        <v>5.5598359195839331E-2</v>
      </c>
      <c r="CL21" s="697">
        <f>Med!CL89</f>
        <v>5.5648644610789333E-2</v>
      </c>
      <c r="CM21" s="732">
        <f t="shared" si="4"/>
        <v>0.22278415621373648</v>
      </c>
    </row>
    <row r="22" spans="1:91" s="25" customFormat="1" ht="11.25" x14ac:dyDescent="0.2">
      <c r="A22" s="695" t="s">
        <v>6</v>
      </c>
      <c r="B22" s="761"/>
      <c r="C22" s="760"/>
      <c r="D22" s="761"/>
      <c r="E22" s="761"/>
      <c r="F22" s="668"/>
      <c r="G22" s="746"/>
      <c r="H22" s="761"/>
      <c r="I22" s="760"/>
      <c r="J22" s="761"/>
      <c r="K22" s="761"/>
      <c r="L22" s="668"/>
      <c r="M22" s="746"/>
      <c r="N22" s="761"/>
      <c r="O22" s="760"/>
      <c r="P22" s="761"/>
      <c r="Q22" s="761"/>
      <c r="R22" s="668"/>
      <c r="S22" s="746"/>
      <c r="T22" s="761"/>
      <c r="U22" s="760"/>
      <c r="V22" s="761"/>
      <c r="W22" s="761"/>
      <c r="X22" s="668"/>
      <c r="Y22" s="746"/>
      <c r="Z22" s="761"/>
      <c r="AA22" s="760"/>
      <c r="AB22" s="761"/>
      <c r="AC22" s="761"/>
      <c r="AD22" s="668"/>
      <c r="AE22" s="746"/>
      <c r="AF22" s="761"/>
      <c r="AG22" s="760"/>
      <c r="AH22" s="761"/>
      <c r="AI22" s="761"/>
      <c r="AJ22" s="668"/>
      <c r="AK22" s="746"/>
      <c r="AL22" s="761"/>
      <c r="AM22" s="760"/>
      <c r="AN22" s="761"/>
      <c r="AO22" s="761"/>
      <c r="AP22" s="668"/>
      <c r="AQ22" s="746"/>
      <c r="AR22" s="761"/>
      <c r="AS22" s="760"/>
      <c r="AT22" s="761"/>
      <c r="AU22" s="761"/>
      <c r="AV22" s="668"/>
      <c r="AW22" s="746"/>
      <c r="AX22" s="761"/>
      <c r="AY22" s="760"/>
      <c r="AZ22" s="761"/>
      <c r="BA22" s="761"/>
      <c r="BB22" s="668"/>
      <c r="BC22" s="746"/>
      <c r="BD22" s="761"/>
      <c r="BE22" s="717"/>
      <c r="BF22" s="696"/>
      <c r="BG22" s="696"/>
      <c r="BH22" s="697"/>
      <c r="BI22" s="732"/>
      <c r="BJ22" s="761"/>
      <c r="BK22" s="717">
        <f>Med!BK90</f>
        <v>0</v>
      </c>
      <c r="BL22" s="696">
        <f>Med!BL90</f>
        <v>0</v>
      </c>
      <c r="BM22" s="696">
        <f>Med!BM90</f>
        <v>0</v>
      </c>
      <c r="BN22" s="697">
        <f>Med!BN90</f>
        <v>0</v>
      </c>
      <c r="BO22" s="732">
        <f t="shared" si="0"/>
        <v>0</v>
      </c>
      <c r="BP22" s="761"/>
      <c r="BQ22" s="717">
        <f>Med!BQ90</f>
        <v>0</v>
      </c>
      <c r="BR22" s="696">
        <f>Med!BR90</f>
        <v>0</v>
      </c>
      <c r="BS22" s="696">
        <f>Med!BS90</f>
        <v>0</v>
      </c>
      <c r="BT22" s="697">
        <f>Med!BT90</f>
        <v>0</v>
      </c>
      <c r="BU22" s="732">
        <f t="shared" si="1"/>
        <v>0</v>
      </c>
      <c r="BV22" s="761"/>
      <c r="BW22" s="717">
        <f>Med!BW90</f>
        <v>0</v>
      </c>
      <c r="BX22" s="696">
        <f>Med!BX90</f>
        <v>0</v>
      </c>
      <c r="BY22" s="696">
        <f>Med!BY90</f>
        <v>0</v>
      </c>
      <c r="BZ22" s="697">
        <f>Med!BZ90</f>
        <v>0</v>
      </c>
      <c r="CA22" s="732">
        <f t="shared" si="2"/>
        <v>0</v>
      </c>
      <c r="CB22" s="761"/>
      <c r="CC22" s="717">
        <f>Med!CC90</f>
        <v>0</v>
      </c>
      <c r="CD22" s="696">
        <f>Med!CD90</f>
        <v>0</v>
      </c>
      <c r="CE22" s="696">
        <f>Med!CE90</f>
        <v>0</v>
      </c>
      <c r="CF22" s="697">
        <f>Med!CF90</f>
        <v>0</v>
      </c>
      <c r="CG22" s="732">
        <f t="shared" si="3"/>
        <v>0</v>
      </c>
      <c r="CH22" s="761"/>
      <c r="CI22" s="717">
        <f>Med!CI90</f>
        <v>0</v>
      </c>
      <c r="CJ22" s="696">
        <f>Med!CJ90</f>
        <v>0</v>
      </c>
      <c r="CK22" s="696">
        <f>Med!CK90</f>
        <v>0</v>
      </c>
      <c r="CL22" s="697">
        <f>Med!CL90</f>
        <v>0</v>
      </c>
      <c r="CM22" s="732">
        <f t="shared" si="4"/>
        <v>0</v>
      </c>
    </row>
    <row r="23" spans="1:91" s="25" customFormat="1" ht="11.25" x14ac:dyDescent="0.2">
      <c r="A23" s="695" t="s">
        <v>7</v>
      </c>
      <c r="B23" s="761"/>
      <c r="C23" s="760"/>
      <c r="D23" s="761"/>
      <c r="E23" s="761"/>
      <c r="F23" s="668"/>
      <c r="G23" s="746"/>
      <c r="H23" s="761"/>
      <c r="I23" s="760"/>
      <c r="J23" s="761"/>
      <c r="K23" s="761"/>
      <c r="L23" s="668"/>
      <c r="M23" s="746"/>
      <c r="N23" s="761"/>
      <c r="O23" s="760"/>
      <c r="P23" s="761"/>
      <c r="Q23" s="761"/>
      <c r="R23" s="668"/>
      <c r="S23" s="746"/>
      <c r="T23" s="761"/>
      <c r="U23" s="760"/>
      <c r="V23" s="761"/>
      <c r="W23" s="761"/>
      <c r="X23" s="668"/>
      <c r="Y23" s="746"/>
      <c r="Z23" s="761"/>
      <c r="AA23" s="760"/>
      <c r="AB23" s="761"/>
      <c r="AC23" s="761"/>
      <c r="AD23" s="668"/>
      <c r="AE23" s="746"/>
      <c r="AF23" s="761"/>
      <c r="AG23" s="760"/>
      <c r="AH23" s="761"/>
      <c r="AI23" s="761"/>
      <c r="AJ23" s="668"/>
      <c r="AK23" s="746"/>
      <c r="AL23" s="761"/>
      <c r="AM23" s="760"/>
      <c r="AN23" s="761"/>
      <c r="AO23" s="761"/>
      <c r="AP23" s="668"/>
      <c r="AQ23" s="746"/>
      <c r="AR23" s="761"/>
      <c r="AS23" s="760"/>
      <c r="AT23" s="761"/>
      <c r="AU23" s="761"/>
      <c r="AV23" s="668"/>
      <c r="AW23" s="746"/>
      <c r="AX23" s="761"/>
      <c r="AY23" s="760"/>
      <c r="AZ23" s="761"/>
      <c r="BA23" s="761"/>
      <c r="BB23" s="668"/>
      <c r="BC23" s="746"/>
      <c r="BD23" s="761"/>
      <c r="BE23" s="717"/>
      <c r="BF23" s="696"/>
      <c r="BG23" s="696"/>
      <c r="BH23" s="697"/>
      <c r="BI23" s="732"/>
      <c r="BJ23" s="761"/>
      <c r="BK23" s="717">
        <f>Med!BK91</f>
        <v>7.9601841820151648E-2</v>
      </c>
      <c r="BL23" s="696">
        <f>Med!BL91</f>
        <v>5.6846394984326129E-2</v>
      </c>
      <c r="BM23" s="696">
        <f>Med!BM91</f>
        <v>1.8285019455252904E-2</v>
      </c>
      <c r="BN23" s="697">
        <f>Med!BN91</f>
        <v>4.6533757338551758E-2</v>
      </c>
      <c r="BO23" s="732">
        <f t="shared" si="0"/>
        <v>0.20126701359828242</v>
      </c>
      <c r="BP23" s="761"/>
      <c r="BQ23" s="717">
        <f>Med!BQ91</f>
        <v>2.3238527483610646E-2</v>
      </c>
      <c r="BR23" s="696">
        <f>Med!BR91</f>
        <v>4.7452642073778639E-2</v>
      </c>
      <c r="BS23" s="696">
        <f>Med!BS91</f>
        <v>6.522683397683407E-2</v>
      </c>
      <c r="BT23" s="697">
        <f>Med!BT91</f>
        <v>5.4426840633737046E-2</v>
      </c>
      <c r="BU23" s="732">
        <f t="shared" si="1"/>
        <v>0.19034484416796038</v>
      </c>
      <c r="BV23" s="761"/>
      <c r="BW23" s="717">
        <f>Med!BW91</f>
        <v>5.5601066408143704E-2</v>
      </c>
      <c r="BX23" s="696">
        <f>Med!BX91</f>
        <v>5.5181880631109723E-2</v>
      </c>
      <c r="BY23" s="696">
        <f>Med!BY91</f>
        <v>5.5227925150020951E-2</v>
      </c>
      <c r="BZ23" s="697">
        <f>Med!BZ91</f>
        <v>5.5271260848644532E-2</v>
      </c>
      <c r="CA23" s="732">
        <f t="shared" si="2"/>
        <v>0.22128213303791891</v>
      </c>
      <c r="CB23" s="761"/>
      <c r="CC23" s="717">
        <f>Med!CC91</f>
        <v>5.5951597279978893E-2</v>
      </c>
      <c r="CD23" s="696">
        <f>Med!CD91</f>
        <v>5.548689201982282E-2</v>
      </c>
      <c r="CE23" s="696">
        <f>Med!CE91</f>
        <v>5.5544631899053343E-2</v>
      </c>
      <c r="CF23" s="697">
        <f>Med!CF91</f>
        <v>5.5593599138648475E-2</v>
      </c>
      <c r="CG23" s="732">
        <f t="shared" si="3"/>
        <v>0.22257672033750353</v>
      </c>
      <c r="CH23" s="761"/>
      <c r="CI23" s="717">
        <f>Med!CI91</f>
        <v>5.5999926796824528E-2</v>
      </c>
      <c r="CJ23" s="696">
        <f>Med!CJ91</f>
        <v>5.5537225610283292E-2</v>
      </c>
      <c r="CK23" s="696">
        <f>Med!CK91</f>
        <v>5.5598359195839331E-2</v>
      </c>
      <c r="CL23" s="697">
        <f>Med!CL91</f>
        <v>5.5648644610789333E-2</v>
      </c>
      <c r="CM23" s="732">
        <f t="shared" si="4"/>
        <v>0.22278415621373648</v>
      </c>
    </row>
    <row r="24" spans="1:91" s="25" customFormat="1" ht="11.25" x14ac:dyDescent="0.2">
      <c r="A24" s="699" t="s">
        <v>15</v>
      </c>
      <c r="B24" s="700"/>
      <c r="C24" s="719"/>
      <c r="D24" s="700"/>
      <c r="E24" s="700"/>
      <c r="F24" s="701"/>
      <c r="G24" s="734"/>
      <c r="H24" s="700"/>
      <c r="I24" s="719"/>
      <c r="J24" s="700"/>
      <c r="K24" s="700"/>
      <c r="L24" s="701"/>
      <c r="M24" s="734"/>
      <c r="N24" s="700"/>
      <c r="O24" s="719"/>
      <c r="P24" s="700"/>
      <c r="Q24" s="700"/>
      <c r="R24" s="701"/>
      <c r="S24" s="734"/>
      <c r="T24" s="700"/>
      <c r="U24" s="719"/>
      <c r="V24" s="700"/>
      <c r="W24" s="700"/>
      <c r="X24" s="701"/>
      <c r="Y24" s="734"/>
      <c r="Z24" s="700"/>
      <c r="AA24" s="719"/>
      <c r="AB24" s="700"/>
      <c r="AC24" s="700"/>
      <c r="AD24" s="701"/>
      <c r="AE24" s="734"/>
      <c r="AF24" s="700"/>
      <c r="AG24" s="719"/>
      <c r="AH24" s="700"/>
      <c r="AI24" s="700"/>
      <c r="AJ24" s="701"/>
      <c r="AK24" s="734"/>
      <c r="AL24" s="700"/>
      <c r="AM24" s="719"/>
      <c r="AN24" s="700"/>
      <c r="AO24" s="700"/>
      <c r="AP24" s="701"/>
      <c r="AQ24" s="734"/>
      <c r="AR24" s="700"/>
      <c r="AS24" s="719"/>
      <c r="AT24" s="700"/>
      <c r="AU24" s="700"/>
      <c r="AV24" s="701"/>
      <c r="AW24" s="734"/>
      <c r="AX24" s="700"/>
      <c r="AY24" s="719"/>
      <c r="AZ24" s="700"/>
      <c r="BA24" s="700"/>
      <c r="BB24" s="701"/>
      <c r="BC24" s="734"/>
      <c r="BD24" s="700"/>
      <c r="BE24" s="719"/>
      <c r="BF24" s="700"/>
      <c r="BG24" s="700"/>
      <c r="BH24" s="701"/>
      <c r="BI24" s="734"/>
      <c r="BJ24" s="700"/>
      <c r="BK24" s="719"/>
      <c r="BL24" s="700"/>
      <c r="BM24" s="700"/>
      <c r="BN24" s="701"/>
      <c r="BO24" s="734"/>
      <c r="BP24" s="700"/>
      <c r="BQ24" s="719"/>
      <c r="BR24" s="700"/>
      <c r="BS24" s="700"/>
      <c r="BT24" s="701"/>
      <c r="BU24" s="734"/>
      <c r="BV24" s="700"/>
      <c r="BW24" s="719"/>
      <c r="BX24" s="700"/>
      <c r="BY24" s="700"/>
      <c r="BZ24" s="701"/>
      <c r="CA24" s="734"/>
      <c r="CB24" s="700"/>
      <c r="CC24" s="719"/>
      <c r="CD24" s="700"/>
      <c r="CE24" s="700"/>
      <c r="CF24" s="701"/>
      <c r="CG24" s="734"/>
      <c r="CH24" s="700"/>
      <c r="CI24" s="719"/>
      <c r="CJ24" s="700"/>
      <c r="CK24" s="700"/>
      <c r="CL24" s="701"/>
      <c r="CM24" s="734"/>
    </row>
    <row r="25" spans="1:91" s="25" customFormat="1" ht="11.25" hidden="1" outlineLevel="1" x14ac:dyDescent="0.2">
      <c r="A25" s="694" t="s">
        <v>4</v>
      </c>
      <c r="B25" s="761"/>
      <c r="C25" s="718"/>
      <c r="D25" s="666"/>
      <c r="E25" s="666"/>
      <c r="F25" s="667"/>
      <c r="G25" s="733"/>
      <c r="H25" s="761"/>
      <c r="I25" s="718">
        <f>LS!I59</f>
        <v>346.846</v>
      </c>
      <c r="J25" s="666">
        <f>LS!J59</f>
        <v>359.35699999999997</v>
      </c>
      <c r="K25" s="666">
        <f>LS!K59</f>
        <v>360.30399999999997</v>
      </c>
      <c r="L25" s="667">
        <f>LS!L59</f>
        <v>380.03100000000001</v>
      </c>
      <c r="M25" s="733">
        <f>LS!M59</f>
        <v>1446.538</v>
      </c>
      <c r="N25" s="761"/>
      <c r="O25" s="718">
        <f>LS!O59</f>
        <v>364.947</v>
      </c>
      <c r="P25" s="666">
        <f>LS!P59</f>
        <v>356.88299999999998</v>
      </c>
      <c r="Q25" s="666">
        <f>LS!Q59</f>
        <v>369.89200000000005</v>
      </c>
      <c r="R25" s="667">
        <f>LS!R59</f>
        <v>389.66700000000003</v>
      </c>
      <c r="S25" s="733">
        <f>LS!S59</f>
        <v>1481.3890000000001</v>
      </c>
      <c r="T25" s="761"/>
      <c r="U25" s="718">
        <f>LS!U59</f>
        <v>387.80899999999997</v>
      </c>
      <c r="V25" s="666">
        <f>LS!V59</f>
        <v>371.024</v>
      </c>
      <c r="W25" s="666">
        <f>LS!W59</f>
        <v>387.88600000000002</v>
      </c>
      <c r="X25" s="667">
        <f>LS!X59</f>
        <v>394.48599999999999</v>
      </c>
      <c r="Y25" s="733">
        <f>LS!Y59</f>
        <v>1541.2049999999999</v>
      </c>
      <c r="Z25" s="761"/>
      <c r="AA25" s="718">
        <f>LS!AA59</f>
        <v>398.60599999999999</v>
      </c>
      <c r="AB25" s="666">
        <f>LS!AB59</f>
        <v>403.04399999999998</v>
      </c>
      <c r="AC25" s="666">
        <f>LS!AC59</f>
        <v>410.71600000000001</v>
      </c>
      <c r="AD25" s="667">
        <f>LS!AD59</f>
        <v>410.50200000000001</v>
      </c>
      <c r="AE25" s="733">
        <f>LS!AE59</f>
        <v>1622.8679999999999</v>
      </c>
      <c r="AF25" s="761"/>
      <c r="AG25" s="718">
        <f>LS!AG59</f>
        <v>391.41500000000008</v>
      </c>
      <c r="AH25" s="666">
        <f>LS!AH59</f>
        <v>402.71799999999996</v>
      </c>
      <c r="AI25" s="666">
        <f>LS!AI59</f>
        <v>406.91399999999999</v>
      </c>
      <c r="AJ25" s="667">
        <f>LS!AJ59</f>
        <v>401.56700000000001</v>
      </c>
      <c r="AK25" s="733">
        <f>LS!AK59</f>
        <v>1602.614</v>
      </c>
      <c r="AL25" s="761"/>
      <c r="AM25" s="718">
        <f>LS!AM59</f>
        <v>404.73500000000001</v>
      </c>
      <c r="AN25" s="666">
        <f>LS!AN59</f>
        <v>411.07899999999995</v>
      </c>
      <c r="AO25" s="666">
        <f>LS!AO59</f>
        <v>399.02199999999993</v>
      </c>
      <c r="AP25" s="667">
        <f>LS!AP59</f>
        <v>411</v>
      </c>
      <c r="AQ25" s="733">
        <f>LS!AQ59</f>
        <v>1625.8359999999998</v>
      </c>
      <c r="AR25" s="761"/>
      <c r="AS25" s="718">
        <f>LS!AS59</f>
        <v>408</v>
      </c>
      <c r="AT25" s="666">
        <f>LS!AT59</f>
        <v>391</v>
      </c>
      <c r="AU25" s="666">
        <f>LS!AU59</f>
        <v>402.8</v>
      </c>
      <c r="AV25" s="667">
        <f>LS!AV59</f>
        <v>414.8</v>
      </c>
      <c r="AW25" s="733">
        <f>LS!AW59</f>
        <v>1616.6</v>
      </c>
      <c r="AX25" s="761"/>
      <c r="AY25" s="718">
        <f>LS!AY59</f>
        <v>423.85</v>
      </c>
      <c r="AZ25" s="666">
        <f>LS!AZ59</f>
        <v>415.7</v>
      </c>
      <c r="BA25" s="666">
        <f>LS!BA59</f>
        <v>414.7</v>
      </c>
      <c r="BB25" s="667">
        <f>LS!BB59</f>
        <v>429</v>
      </c>
      <c r="BC25" s="733">
        <f>LS!BC59</f>
        <v>1683.25</v>
      </c>
      <c r="BD25" s="761"/>
      <c r="BE25" s="718">
        <f>LS!BE59</f>
        <v>425</v>
      </c>
      <c r="BF25" s="666">
        <f>LS!BF59</f>
        <v>441</v>
      </c>
      <c r="BG25" s="666">
        <f>LS!BG59</f>
        <v>428</v>
      </c>
      <c r="BH25" s="667">
        <f>LS!BH59</f>
        <v>454</v>
      </c>
      <c r="BI25" s="733">
        <f>LS!BI59</f>
        <v>1748</v>
      </c>
      <c r="BJ25" s="761"/>
      <c r="BK25" s="718">
        <f>LS!BK59</f>
        <v>437</v>
      </c>
      <c r="BL25" s="666">
        <f>LS!BL59</f>
        <v>468</v>
      </c>
      <c r="BM25" s="666">
        <f>LS!BM59</f>
        <v>451</v>
      </c>
      <c r="BN25" s="667">
        <f>LS!BN59</f>
        <v>463</v>
      </c>
      <c r="BO25" s="733">
        <f>LS!BO59</f>
        <v>1819</v>
      </c>
      <c r="BP25" s="761"/>
      <c r="BQ25" s="718">
        <f>LS!BQ59</f>
        <v>459</v>
      </c>
      <c r="BR25" s="666">
        <f>LS!BR59</f>
        <v>484.19499999999994</v>
      </c>
      <c r="BS25" s="666">
        <f>LS!BS59</f>
        <v>466.70499999999998</v>
      </c>
      <c r="BT25" s="667">
        <f>LS!BT59</f>
        <v>486.90499999999997</v>
      </c>
      <c r="BU25" s="733">
        <f>LS!BU59</f>
        <v>1896.8049999999998</v>
      </c>
      <c r="BV25" s="761"/>
      <c r="BW25" s="718">
        <f>LS!BW59</f>
        <v>475.30999999999995</v>
      </c>
      <c r="BX25" s="666">
        <f>LS!BX59</f>
        <v>501.46284999999995</v>
      </c>
      <c r="BY25" s="666">
        <f>LS!BY59</f>
        <v>483.46654999999998</v>
      </c>
      <c r="BZ25" s="667">
        <f>LS!BZ59</f>
        <v>504.44164999999998</v>
      </c>
      <c r="CA25" s="733">
        <f>LS!CA59</f>
        <v>1964.6810499999999</v>
      </c>
      <c r="CB25" s="761"/>
      <c r="CC25" s="718">
        <f>LS!CC59</f>
        <v>492.21439999999996</v>
      </c>
      <c r="CD25" s="666">
        <f>LS!CD59</f>
        <v>519.36269049999999</v>
      </c>
      <c r="CE25" s="666">
        <f>LS!CE59</f>
        <v>500.84532799999999</v>
      </c>
      <c r="CF25" s="667">
        <f>LS!CF59</f>
        <v>522.62630449999995</v>
      </c>
      <c r="CG25" s="733">
        <f>LS!CG59</f>
        <v>2035.0487229999999</v>
      </c>
      <c r="CH25" s="761"/>
      <c r="CI25" s="718">
        <f>LS!CI59</f>
        <v>509.73543949999993</v>
      </c>
      <c r="CJ25" s="666">
        <f>LS!CJ59</f>
        <v>537.9182789649999</v>
      </c>
      <c r="CK25" s="666">
        <f>LS!CK59</f>
        <v>518.86465372999987</v>
      </c>
      <c r="CL25" s="667">
        <f>LS!CL59</f>
        <v>541.48354207249986</v>
      </c>
      <c r="CM25" s="733">
        <f>LS!CM59</f>
        <v>2108.0019142674996</v>
      </c>
    </row>
    <row r="26" spans="1:91" s="25" customFormat="1" ht="11.25" hidden="1" outlineLevel="1" x14ac:dyDescent="0.2">
      <c r="A26" s="695" t="s">
        <v>5</v>
      </c>
      <c r="B26" s="761"/>
      <c r="C26" s="717"/>
      <c r="D26" s="696"/>
      <c r="E26" s="696"/>
      <c r="F26" s="697"/>
      <c r="G26" s="732"/>
      <c r="H26" s="761"/>
      <c r="I26" s="717">
        <f>LS!I60</f>
        <v>0.13820012338710752</v>
      </c>
      <c r="J26" s="696">
        <f>LS!J60</f>
        <v>6.4701542727964911E-2</v>
      </c>
      <c r="K26" s="696">
        <f>LS!K60</f>
        <v>4.5474593189256618E-2</v>
      </c>
      <c r="L26" s="697">
        <f>LS!L60</f>
        <v>6.1906917479797485E-2</v>
      </c>
      <c r="M26" s="732">
        <f>LS!M60</f>
        <v>7.5685680482525219E-2</v>
      </c>
      <c r="N26" s="761"/>
      <c r="O26" s="717">
        <f>LS!O60</f>
        <v>5.2187426119949532E-2</v>
      </c>
      <c r="P26" s="696">
        <f>LS!P60</f>
        <v>-6.8845187376341821E-3</v>
      </c>
      <c r="Q26" s="696">
        <f>LS!Q60</f>
        <v>2.6610861938807462E-2</v>
      </c>
      <c r="R26" s="697">
        <f>LS!R60</f>
        <v>2.5355826235228252E-2</v>
      </c>
      <c r="S26" s="732">
        <f>LS!S60</f>
        <v>2.4092695801976927E-2</v>
      </c>
      <c r="T26" s="761"/>
      <c r="U26" s="717">
        <f>LS!U60</f>
        <v>6.2644712793912483E-2</v>
      </c>
      <c r="V26" s="696">
        <f>LS!V60</f>
        <v>3.9623630153299505E-2</v>
      </c>
      <c r="W26" s="696">
        <f>LS!W60</f>
        <v>4.8646631989877953E-2</v>
      </c>
      <c r="X26" s="697">
        <f>LS!X60</f>
        <v>1.2366969745962519E-2</v>
      </c>
      <c r="Y26" s="732">
        <f>LS!Y60</f>
        <v>4.0378320616664354E-2</v>
      </c>
      <c r="Z26" s="761"/>
      <c r="AA26" s="717">
        <f>LS!AA60</f>
        <v>2.7841024834390105E-2</v>
      </c>
      <c r="AB26" s="696">
        <f>LS!AB60</f>
        <v>8.6301694769071569E-2</v>
      </c>
      <c r="AC26" s="696">
        <f>LS!AC60</f>
        <v>5.8857499368371036E-2</v>
      </c>
      <c r="AD26" s="697">
        <f>LS!AD60</f>
        <v>4.0599666401342605E-2</v>
      </c>
      <c r="AE26" s="732">
        <f>LS!AE60</f>
        <v>5.2986461891831427E-2</v>
      </c>
      <c r="AF26" s="761"/>
      <c r="AG26" s="717">
        <f>LS!AG60</f>
        <v>-1.804037069186093E-2</v>
      </c>
      <c r="AH26" s="696">
        <f>LS!AH60</f>
        <v>-8.0884469189468344E-4</v>
      </c>
      <c r="AI26" s="696">
        <f>LS!AI60</f>
        <v>-9.2570048403276539E-3</v>
      </c>
      <c r="AJ26" s="697">
        <f>LS!AJ60</f>
        <v>-2.1766032808610003E-2</v>
      </c>
      <c r="AK26" s="732">
        <f>LS!AK60</f>
        <v>-1.2480374251017223E-2</v>
      </c>
      <c r="AL26" s="761"/>
      <c r="AM26" s="717">
        <f>LS!AM60</f>
        <v>3.4030376965624498E-2</v>
      </c>
      <c r="AN26" s="696">
        <f>LS!AN60</f>
        <v>2.0761426109585424E-2</v>
      </c>
      <c r="AO26" s="696">
        <f>LS!AO60</f>
        <v>-1.9394761546665973E-2</v>
      </c>
      <c r="AP26" s="697">
        <f>LS!AP60</f>
        <v>2.3490476060034737E-2</v>
      </c>
      <c r="AQ26" s="732">
        <f>LS!AQ60</f>
        <v>1.4490076836967347E-2</v>
      </c>
      <c r="AR26" s="761"/>
      <c r="AS26" s="717">
        <f>LS!AS60</f>
        <v>8.0670068069230716E-3</v>
      </c>
      <c r="AT26" s="696">
        <f>LS!AT60</f>
        <v>-4.8844625972136679E-2</v>
      </c>
      <c r="AU26" s="696">
        <f>LS!AU60</f>
        <v>9.4681496258353093E-3</v>
      </c>
      <c r="AV26" s="697">
        <f>LS!AV60</f>
        <v>9.2457420924574318E-3</v>
      </c>
      <c r="AW26" s="732">
        <f>LS!AW60</f>
        <v>-5.6807697701366511E-3</v>
      </c>
      <c r="AX26" s="761"/>
      <c r="AY26" s="717">
        <f>LS!AY60</f>
        <v>3.8848039215686248E-2</v>
      </c>
      <c r="AZ26" s="696">
        <f>LS!AZ60</f>
        <v>6.3171355498721216E-2</v>
      </c>
      <c r="BA26" s="696">
        <f>LS!BA60</f>
        <v>2.9543197616683115E-2</v>
      </c>
      <c r="BB26" s="697">
        <f>LS!BB60</f>
        <v>3.4233365477338351E-2</v>
      </c>
      <c r="BC26" s="732">
        <f>LS!BC60</f>
        <v>4.1228504268217225E-2</v>
      </c>
      <c r="BD26" s="761"/>
      <c r="BE26" s="717">
        <f>LS!BE60</f>
        <v>2.7132240179308376E-3</v>
      </c>
      <c r="BF26" s="696">
        <f>LS!BF60</f>
        <v>6.0861197979312109E-2</v>
      </c>
      <c r="BG26" s="696">
        <f>LS!BG60</f>
        <v>3.2071376898963111E-2</v>
      </c>
      <c r="BH26" s="697">
        <f>LS!BH60</f>
        <v>5.8275058275058189E-2</v>
      </c>
      <c r="BI26" s="732">
        <f>LS!BI60</f>
        <v>3.846725085400271E-2</v>
      </c>
      <c r="BJ26" s="761"/>
      <c r="BK26" s="717">
        <f>LS!BK60</f>
        <v>2.8235294117647136E-2</v>
      </c>
      <c r="BL26" s="696">
        <f>LS!BL60</f>
        <v>6.1224489795918435E-2</v>
      </c>
      <c r="BM26" s="696">
        <f>LS!BM60</f>
        <v>5.3738317757009435E-2</v>
      </c>
      <c r="BN26" s="697">
        <f>LS!BN60</f>
        <v>1.982378854625555E-2</v>
      </c>
      <c r="BO26" s="732">
        <f>LS!BO60</f>
        <v>4.061784897025178E-2</v>
      </c>
      <c r="BP26" s="761"/>
      <c r="BQ26" s="717">
        <f>LS!BQ60</f>
        <v>5.034324942791768E-2</v>
      </c>
      <c r="BR26" s="696">
        <f>LS!BR60</f>
        <v>3.4604700854700798E-2</v>
      </c>
      <c r="BS26" s="696">
        <f>LS!BS60</f>
        <v>3.4822616407982121E-2</v>
      </c>
      <c r="BT26" s="697">
        <f>LS!BT60</f>
        <v>5.1630669546436136E-2</v>
      </c>
      <c r="BU26" s="732">
        <f>LS!BU60</f>
        <v>4.2773501924133983E-2</v>
      </c>
      <c r="BV26" s="761"/>
      <c r="BW26" s="717">
        <f>LS!BW60</f>
        <v>3.5533769063180731E-2</v>
      </c>
      <c r="BX26" s="696">
        <f>LS!BX60</f>
        <v>3.5663007672528613E-2</v>
      </c>
      <c r="BY26" s="696">
        <f>LS!BY60</f>
        <v>3.5914657010317041E-2</v>
      </c>
      <c r="BZ26" s="697">
        <f>LS!BZ60</f>
        <v>3.6016574075024899E-2</v>
      </c>
      <c r="CA26" s="732">
        <f>LS!CA60</f>
        <v>3.5784411154546669E-2</v>
      </c>
      <c r="CB26" s="761"/>
      <c r="CC26" s="717">
        <f>LS!CC60</f>
        <v>3.5564999684416509E-2</v>
      </c>
      <c r="CD26" s="696">
        <f>LS!CD60</f>
        <v>3.5695247414639031E-2</v>
      </c>
      <c r="CE26" s="696">
        <f>LS!CE60</f>
        <v>3.5946184901520128E-2</v>
      </c>
      <c r="CF26" s="697">
        <f>LS!CF60</f>
        <v>3.6049074258638125E-2</v>
      </c>
      <c r="CG26" s="732">
        <f>LS!CG60</f>
        <v>3.5816334157648733E-2</v>
      </c>
      <c r="CH26" s="761"/>
      <c r="CI26" s="717">
        <f>LS!CI60</f>
        <v>3.5596356994025413E-2</v>
      </c>
      <c r="CJ26" s="696">
        <f>LS!CJ60</f>
        <v>3.5727611560114392E-2</v>
      </c>
      <c r="CK26" s="696">
        <f>LS!CK60</f>
        <v>3.5977825333732394E-2</v>
      </c>
      <c r="CL26" s="697">
        <f>LS!CL60</f>
        <v>3.6081684771953393E-2</v>
      </c>
      <c r="CM26" s="732">
        <f>LS!CM60</f>
        <v>3.5848375738127158E-2</v>
      </c>
    </row>
    <row r="27" spans="1:91" s="25" customFormat="1" ht="11.25" hidden="1" outlineLevel="1" x14ac:dyDescent="0.2">
      <c r="A27" s="695" t="s">
        <v>6</v>
      </c>
      <c r="B27" s="761"/>
      <c r="C27" s="717"/>
      <c r="D27" s="696"/>
      <c r="E27" s="696"/>
      <c r="F27" s="697"/>
      <c r="G27" s="732"/>
      <c r="H27" s="761"/>
      <c r="I27" s="717">
        <f>LS!I61</f>
        <v>0</v>
      </c>
      <c r="J27" s="696">
        <f>LS!J61</f>
        <v>0</v>
      </c>
      <c r="K27" s="696">
        <f>LS!K61</f>
        <v>0</v>
      </c>
      <c r="L27" s="697">
        <f>LS!L61</f>
        <v>0</v>
      </c>
      <c r="M27" s="732">
        <f>LS!M61</f>
        <v>0</v>
      </c>
      <c r="N27" s="761"/>
      <c r="O27" s="717">
        <f>LS!O61</f>
        <v>0</v>
      </c>
      <c r="P27" s="696">
        <f>LS!P61</f>
        <v>0</v>
      </c>
      <c r="Q27" s="696">
        <f>LS!Q61</f>
        <v>0</v>
      </c>
      <c r="R27" s="697">
        <f>LS!R61</f>
        <v>0</v>
      </c>
      <c r="S27" s="732">
        <f>LS!S61</f>
        <v>0</v>
      </c>
      <c r="T27" s="761"/>
      <c r="U27" s="717">
        <f>LS!U61</f>
        <v>0</v>
      </c>
      <c r="V27" s="696">
        <f>LS!V61</f>
        <v>0</v>
      </c>
      <c r="W27" s="696">
        <f>LS!W61</f>
        <v>0</v>
      </c>
      <c r="X27" s="697">
        <f>LS!X61</f>
        <v>0</v>
      </c>
      <c r="Y27" s="732">
        <f>LS!Y61</f>
        <v>0</v>
      </c>
      <c r="Z27" s="761"/>
      <c r="AA27" s="717">
        <f>LS!AA61</f>
        <v>0</v>
      </c>
      <c r="AB27" s="696">
        <f>LS!AB61</f>
        <v>0</v>
      </c>
      <c r="AC27" s="696">
        <f>LS!AC61</f>
        <v>0</v>
      </c>
      <c r="AD27" s="697">
        <f>LS!AD61</f>
        <v>0</v>
      </c>
      <c r="AE27" s="732">
        <f>LS!AE61</f>
        <v>0</v>
      </c>
      <c r="AF27" s="761"/>
      <c r="AG27" s="717">
        <f>LS!AG61</f>
        <v>0</v>
      </c>
      <c r="AH27" s="696">
        <f>LS!AH61</f>
        <v>0</v>
      </c>
      <c r="AI27" s="696">
        <f>LS!AI61</f>
        <v>0</v>
      </c>
      <c r="AJ27" s="697">
        <f>LS!AJ61</f>
        <v>0</v>
      </c>
      <c r="AK27" s="732">
        <f>LS!AK61</f>
        <v>0</v>
      </c>
      <c r="AL27" s="761"/>
      <c r="AM27" s="717">
        <f>LS!AM61</f>
        <v>0</v>
      </c>
      <c r="AN27" s="696">
        <f>LS!AN61</f>
        <v>0</v>
      </c>
      <c r="AO27" s="696">
        <f>LS!AO61</f>
        <v>0</v>
      </c>
      <c r="AP27" s="697">
        <f>LS!AP61</f>
        <v>0</v>
      </c>
      <c r="AQ27" s="732">
        <f>LS!AQ61</f>
        <v>0</v>
      </c>
      <c r="AR27" s="761"/>
      <c r="AS27" s="717">
        <f>LS!AS61</f>
        <v>0</v>
      </c>
      <c r="AT27" s="696">
        <f>LS!AT61</f>
        <v>0</v>
      </c>
      <c r="AU27" s="696">
        <f>LS!AU61</f>
        <v>0</v>
      </c>
      <c r="AV27" s="697">
        <f>LS!AV61</f>
        <v>0</v>
      </c>
      <c r="AW27" s="732">
        <f>LS!AW61</f>
        <v>0</v>
      </c>
      <c r="AX27" s="761"/>
      <c r="AY27" s="717">
        <f>LS!AY61</f>
        <v>0</v>
      </c>
      <c r="AZ27" s="696">
        <f>LS!AZ61</f>
        <v>0</v>
      </c>
      <c r="BA27" s="696">
        <f>LS!BA61</f>
        <v>0</v>
      </c>
      <c r="BB27" s="697">
        <f>LS!BB61</f>
        <v>0</v>
      </c>
      <c r="BC27" s="732">
        <f>LS!BC61</f>
        <v>0</v>
      </c>
      <c r="BD27" s="761"/>
      <c r="BE27" s="717">
        <f>LS!BE61</f>
        <v>0</v>
      </c>
      <c r="BF27" s="696">
        <f>LS!BF61</f>
        <v>0</v>
      </c>
      <c r="BG27" s="696">
        <f>LS!BG61</f>
        <v>0</v>
      </c>
      <c r="BH27" s="697">
        <f>LS!BH61</f>
        <v>0</v>
      </c>
      <c r="BI27" s="732">
        <f>LS!BI61</f>
        <v>0</v>
      </c>
      <c r="BJ27" s="761"/>
      <c r="BK27" s="717">
        <f>LS!BK61</f>
        <v>0</v>
      </c>
      <c r="BL27" s="696">
        <f>LS!BL61</f>
        <v>0</v>
      </c>
      <c r="BM27" s="696">
        <f>LS!BM61</f>
        <v>0</v>
      </c>
      <c r="BN27" s="697">
        <f>LS!BN61</f>
        <v>0</v>
      </c>
      <c r="BO27" s="732">
        <f>LS!BO61</f>
        <v>0</v>
      </c>
      <c r="BP27" s="761"/>
      <c r="BQ27" s="717">
        <f>LS!BQ61</f>
        <v>0</v>
      </c>
      <c r="BR27" s="696">
        <f>LS!BR61</f>
        <v>0</v>
      </c>
      <c r="BS27" s="696">
        <f>LS!BS61</f>
        <v>0</v>
      </c>
      <c r="BT27" s="697">
        <f>LS!BT61</f>
        <v>0</v>
      </c>
      <c r="BU27" s="732">
        <f>LS!BU61</f>
        <v>0</v>
      </c>
      <c r="BV27" s="761"/>
      <c r="BW27" s="717">
        <f>LS!BW61</f>
        <v>0</v>
      </c>
      <c r="BX27" s="696">
        <f>LS!BX61</f>
        <v>0</v>
      </c>
      <c r="BY27" s="696">
        <f>LS!BY61</f>
        <v>0</v>
      </c>
      <c r="BZ27" s="697">
        <f>LS!BZ61</f>
        <v>0</v>
      </c>
      <c r="CA27" s="732">
        <f>LS!CA61</f>
        <v>0</v>
      </c>
      <c r="CB27" s="761"/>
      <c r="CC27" s="717">
        <f>LS!CC61</f>
        <v>0</v>
      </c>
      <c r="CD27" s="696">
        <f>LS!CD61</f>
        <v>0</v>
      </c>
      <c r="CE27" s="696">
        <f>LS!CE61</f>
        <v>0</v>
      </c>
      <c r="CF27" s="697">
        <f>LS!CF61</f>
        <v>0</v>
      </c>
      <c r="CG27" s="732">
        <f>LS!CG61</f>
        <v>0</v>
      </c>
      <c r="CH27" s="761"/>
      <c r="CI27" s="717">
        <f>LS!CI61</f>
        <v>0</v>
      </c>
      <c r="CJ27" s="696">
        <f>LS!CJ61</f>
        <v>0</v>
      </c>
      <c r="CK27" s="696">
        <f>LS!CK61</f>
        <v>0</v>
      </c>
      <c r="CL27" s="697">
        <f>LS!CL61</f>
        <v>0</v>
      </c>
      <c r="CM27" s="732">
        <f>LS!CM61</f>
        <v>0</v>
      </c>
    </row>
    <row r="28" spans="1:91" s="25" customFormat="1" ht="11.25" hidden="1" outlineLevel="1" x14ac:dyDescent="0.2">
      <c r="A28" s="695" t="s">
        <v>7</v>
      </c>
      <c r="B28" s="761"/>
      <c r="C28" s="717"/>
      <c r="D28" s="696"/>
      <c r="E28" s="696"/>
      <c r="F28" s="697"/>
      <c r="G28" s="732"/>
      <c r="H28" s="761"/>
      <c r="I28" s="717">
        <f>LS!I62</f>
        <v>0.13820012338710752</v>
      </c>
      <c r="J28" s="696">
        <f>LS!J62</f>
        <v>6.4701542727964911E-2</v>
      </c>
      <c r="K28" s="696">
        <f>LS!K62</f>
        <v>4.5474593189256618E-2</v>
      </c>
      <c r="L28" s="697">
        <f>LS!L62</f>
        <v>6.1906917479797485E-2</v>
      </c>
      <c r="M28" s="732">
        <f>LS!M62</f>
        <v>7.5685680482525219E-2</v>
      </c>
      <c r="N28" s="761"/>
      <c r="O28" s="717">
        <f>LS!O62</f>
        <v>5.2187426119949532E-2</v>
      </c>
      <c r="P28" s="696">
        <f>LS!P62</f>
        <v>-6.8845187376341821E-3</v>
      </c>
      <c r="Q28" s="696">
        <f>LS!Q62</f>
        <v>2.6610861938807462E-2</v>
      </c>
      <c r="R28" s="697">
        <f>LS!R62</f>
        <v>2.5355826235228252E-2</v>
      </c>
      <c r="S28" s="732">
        <f>LS!S62</f>
        <v>2.4092695801976927E-2</v>
      </c>
      <c r="T28" s="761"/>
      <c r="U28" s="717">
        <f>LS!U62</f>
        <v>6.2644712793912483E-2</v>
      </c>
      <c r="V28" s="696">
        <f>LS!V62</f>
        <v>3.9623630153299505E-2</v>
      </c>
      <c r="W28" s="696">
        <f>LS!W62</f>
        <v>4.8646631989877953E-2</v>
      </c>
      <c r="X28" s="697">
        <f>LS!X62</f>
        <v>1.2366969745962519E-2</v>
      </c>
      <c r="Y28" s="732">
        <f>LS!Y62</f>
        <v>4.0378320616664354E-2</v>
      </c>
      <c r="Z28" s="761"/>
      <c r="AA28" s="717">
        <f>LS!AA62</f>
        <v>2.7841024834390105E-2</v>
      </c>
      <c r="AB28" s="696">
        <f>LS!AB62</f>
        <v>8.6301694769071569E-2</v>
      </c>
      <c r="AC28" s="696">
        <f>LS!AC62</f>
        <v>5.8857499368371036E-2</v>
      </c>
      <c r="AD28" s="697">
        <f>LS!AD62</f>
        <v>4.0599666401342605E-2</v>
      </c>
      <c r="AE28" s="732">
        <f>LS!AE62</f>
        <v>5.2986461891831427E-2</v>
      </c>
      <c r="AF28" s="761"/>
      <c r="AG28" s="717">
        <f>LS!AG62</f>
        <v>-1.804037069186093E-2</v>
      </c>
      <c r="AH28" s="696">
        <f>LS!AH62</f>
        <v>-8.0884469189468344E-4</v>
      </c>
      <c r="AI28" s="696">
        <f>LS!AI62</f>
        <v>-9.2570048403276539E-3</v>
      </c>
      <c r="AJ28" s="697">
        <f>LS!AJ62</f>
        <v>-2.1766032808610003E-2</v>
      </c>
      <c r="AK28" s="732">
        <f>LS!AK62</f>
        <v>-1.2480374251017223E-2</v>
      </c>
      <c r="AL28" s="761"/>
      <c r="AM28" s="717">
        <f>LS!AM62</f>
        <v>3.4030376965624498E-2</v>
      </c>
      <c r="AN28" s="696">
        <f>LS!AN62</f>
        <v>2.0761426109585424E-2</v>
      </c>
      <c r="AO28" s="696">
        <f>LS!AO62</f>
        <v>-1.9394761546665973E-2</v>
      </c>
      <c r="AP28" s="697">
        <f>LS!AP62</f>
        <v>2.3490476060034737E-2</v>
      </c>
      <c r="AQ28" s="732">
        <f>LS!AQ62</f>
        <v>1.4490076836967347E-2</v>
      </c>
      <c r="AR28" s="761"/>
      <c r="AS28" s="717">
        <f>LS!AS62</f>
        <v>8.0670068069230716E-3</v>
      </c>
      <c r="AT28" s="696">
        <f>LS!AT62</f>
        <v>-4.8844625972136679E-2</v>
      </c>
      <c r="AU28" s="696">
        <f>LS!AU62</f>
        <v>9.4681496258353093E-3</v>
      </c>
      <c r="AV28" s="697">
        <f>LS!AV62</f>
        <v>9.2457420924574318E-3</v>
      </c>
      <c r="AW28" s="732">
        <f>LS!AW62</f>
        <v>-5.6807697701366511E-3</v>
      </c>
      <c r="AX28" s="761"/>
      <c r="AY28" s="717">
        <f>LS!AY62</f>
        <v>3.8848039215686248E-2</v>
      </c>
      <c r="AZ28" s="696">
        <f>LS!AZ62</f>
        <v>6.3171355498721216E-2</v>
      </c>
      <c r="BA28" s="696">
        <f>LS!BA62</f>
        <v>2.9543197616683115E-2</v>
      </c>
      <c r="BB28" s="697">
        <f>LS!BB62</f>
        <v>3.4233365477338351E-2</v>
      </c>
      <c r="BC28" s="732">
        <f>LS!BC62</f>
        <v>4.1228504268217225E-2</v>
      </c>
      <c r="BD28" s="761"/>
      <c r="BE28" s="717">
        <f>LS!BE62</f>
        <v>2.7132240179308376E-3</v>
      </c>
      <c r="BF28" s="696">
        <f>LS!BF62</f>
        <v>6.0861197979312109E-2</v>
      </c>
      <c r="BG28" s="696">
        <f>LS!BG62</f>
        <v>3.2071376898963111E-2</v>
      </c>
      <c r="BH28" s="697">
        <f>LS!BH62</f>
        <v>5.8275058275058189E-2</v>
      </c>
      <c r="BI28" s="732">
        <f>LS!BI62</f>
        <v>3.846725085400271E-2</v>
      </c>
      <c r="BJ28" s="761"/>
      <c r="BK28" s="717">
        <f>LS!BK62</f>
        <v>2.8235294117647136E-2</v>
      </c>
      <c r="BL28" s="696">
        <f>LS!BL62</f>
        <v>6.1224489795918435E-2</v>
      </c>
      <c r="BM28" s="696">
        <f>LS!BM62</f>
        <v>5.3738317757009435E-2</v>
      </c>
      <c r="BN28" s="697">
        <f>LS!BN62</f>
        <v>1.982378854625555E-2</v>
      </c>
      <c r="BO28" s="732">
        <f>LS!BO62</f>
        <v>4.061784897025178E-2</v>
      </c>
      <c r="BP28" s="761"/>
      <c r="BQ28" s="717">
        <f>LS!BQ62</f>
        <v>5.034324942791768E-2</v>
      </c>
      <c r="BR28" s="696">
        <f>LS!BR62</f>
        <v>3.4604700854700798E-2</v>
      </c>
      <c r="BS28" s="696">
        <f>LS!BS62</f>
        <v>3.4822616407982121E-2</v>
      </c>
      <c r="BT28" s="697">
        <f>LS!BT62</f>
        <v>5.1630669546436136E-2</v>
      </c>
      <c r="BU28" s="732">
        <f>LS!BU62</f>
        <v>4.2773501924133983E-2</v>
      </c>
      <c r="BV28" s="761"/>
      <c r="BW28" s="717">
        <f>LS!BW62</f>
        <v>3.5533769063180731E-2</v>
      </c>
      <c r="BX28" s="696">
        <f>LS!BX62</f>
        <v>3.5663007672528613E-2</v>
      </c>
      <c r="BY28" s="696">
        <f>LS!BY62</f>
        <v>3.5914657010317041E-2</v>
      </c>
      <c r="BZ28" s="697">
        <f>LS!BZ62</f>
        <v>3.6016574075024899E-2</v>
      </c>
      <c r="CA28" s="732">
        <f>LS!CA62</f>
        <v>3.5784411154546669E-2</v>
      </c>
      <c r="CB28" s="761"/>
      <c r="CC28" s="717">
        <f>LS!CC62</f>
        <v>3.5564999684416509E-2</v>
      </c>
      <c r="CD28" s="696">
        <f>LS!CD62</f>
        <v>3.5695247414639031E-2</v>
      </c>
      <c r="CE28" s="696">
        <f>LS!CE62</f>
        <v>3.5946184901520128E-2</v>
      </c>
      <c r="CF28" s="697">
        <f>LS!CF62</f>
        <v>3.6049074258638125E-2</v>
      </c>
      <c r="CG28" s="732">
        <f>LS!CG62</f>
        <v>3.5816334157648733E-2</v>
      </c>
      <c r="CH28" s="761"/>
      <c r="CI28" s="717">
        <f>LS!CI62</f>
        <v>3.5596356994025413E-2</v>
      </c>
      <c r="CJ28" s="696">
        <f>LS!CJ62</f>
        <v>3.5727611560114392E-2</v>
      </c>
      <c r="CK28" s="696">
        <f>LS!CK62</f>
        <v>3.5977825333732394E-2</v>
      </c>
      <c r="CL28" s="697">
        <f>LS!CL62</f>
        <v>3.6081684771953393E-2</v>
      </c>
      <c r="CM28" s="732">
        <f>LS!CM62</f>
        <v>3.5848375738127158E-2</v>
      </c>
    </row>
    <row r="29" spans="1:91" s="25" customFormat="1" ht="11.25" hidden="1" outlineLevel="1" x14ac:dyDescent="0.2">
      <c r="A29" s="694" t="s">
        <v>8</v>
      </c>
      <c r="B29" s="761"/>
      <c r="C29" s="718"/>
      <c r="D29" s="666"/>
      <c r="E29" s="666"/>
      <c r="F29" s="667"/>
      <c r="G29" s="733"/>
      <c r="H29" s="761"/>
      <c r="I29" s="718">
        <f>LS!I63</f>
        <v>381.01800000000003</v>
      </c>
      <c r="J29" s="666">
        <f>LS!J63</f>
        <v>390.93599999999998</v>
      </c>
      <c r="K29" s="666">
        <f>LS!K63</f>
        <v>415.19399999999996</v>
      </c>
      <c r="L29" s="667">
        <f>LS!L63</f>
        <v>426.637</v>
      </c>
      <c r="M29" s="733">
        <f>LS!M63</f>
        <v>1613.7849999999999</v>
      </c>
      <c r="N29" s="761"/>
      <c r="O29" s="718">
        <f>LS!O63</f>
        <v>404.76499999999999</v>
      </c>
      <c r="P29" s="666">
        <f>LS!P63</f>
        <v>413.75</v>
      </c>
      <c r="Q29" s="666">
        <f>LS!Q63</f>
        <v>406.25599999999997</v>
      </c>
      <c r="R29" s="667">
        <f>LS!R63</f>
        <v>424.57599999999996</v>
      </c>
      <c r="S29" s="733">
        <f>LS!S63</f>
        <v>1649.347</v>
      </c>
      <c r="T29" s="761"/>
      <c r="U29" s="718">
        <f>LS!U63</f>
        <v>439</v>
      </c>
      <c r="V29" s="666">
        <f>LS!V63</f>
        <v>427.12300000000005</v>
      </c>
      <c r="W29" s="666">
        <f>LS!W63</f>
        <v>418.81600000000003</v>
      </c>
      <c r="X29" s="667">
        <f>LS!X63</f>
        <v>443.97299999999996</v>
      </c>
      <c r="Y29" s="733">
        <f>LS!Y63</f>
        <v>1728.912</v>
      </c>
      <c r="Z29" s="761"/>
      <c r="AA29" s="718">
        <f>LS!AA63</f>
        <v>458.20069999999998</v>
      </c>
      <c r="AB29" s="666">
        <f>LS!AB63</f>
        <v>476.238</v>
      </c>
      <c r="AC29" s="666">
        <f>LS!AC63</f>
        <v>496.33699999999999</v>
      </c>
      <c r="AD29" s="667">
        <f>LS!AD63</f>
        <v>523.08799999999997</v>
      </c>
      <c r="AE29" s="733">
        <f>LS!AE63</f>
        <v>1953.8636999999999</v>
      </c>
      <c r="AF29" s="761"/>
      <c r="AG29" s="718">
        <f>LS!AG63</f>
        <v>489.90800000000002</v>
      </c>
      <c r="AH29" s="666">
        <f>LS!AH63</f>
        <v>505.05600000000004</v>
      </c>
      <c r="AI29" s="666">
        <f>LS!AI63</f>
        <v>503.53999999999996</v>
      </c>
      <c r="AJ29" s="667">
        <f>LS!AJ63</f>
        <v>516.572</v>
      </c>
      <c r="AK29" s="733">
        <f>LS!AK63</f>
        <v>2015.076</v>
      </c>
      <c r="AL29" s="761"/>
      <c r="AM29" s="718">
        <f>LS!AM63</f>
        <v>512.08400000000006</v>
      </c>
      <c r="AN29" s="666">
        <f>LS!AN63</f>
        <v>527.22499999999991</v>
      </c>
      <c r="AO29" s="666">
        <f>LS!AO63</f>
        <v>513.14400000000001</v>
      </c>
      <c r="AP29" s="667">
        <f>LS!AP63</f>
        <v>569</v>
      </c>
      <c r="AQ29" s="733">
        <f>LS!AQ63</f>
        <v>2121.453</v>
      </c>
      <c r="AR29" s="761"/>
      <c r="AS29" s="718">
        <f>LS!AS63</f>
        <v>543.4</v>
      </c>
      <c r="AT29" s="666">
        <f>LS!AT63</f>
        <v>564</v>
      </c>
      <c r="AU29" s="666">
        <f>LS!AU63</f>
        <v>553.5</v>
      </c>
      <c r="AV29" s="667">
        <f>LS!AV63</f>
        <v>593.89</v>
      </c>
      <c r="AW29" s="733">
        <f>LS!AW63</f>
        <v>2254.79</v>
      </c>
      <c r="AX29" s="761"/>
      <c r="AY29" s="718">
        <f>LS!AY63</f>
        <v>555.65</v>
      </c>
      <c r="AZ29" s="666">
        <f>LS!AZ63</f>
        <v>529.25</v>
      </c>
      <c r="BA29" s="666">
        <f>LS!BA63</f>
        <v>506</v>
      </c>
      <c r="BB29" s="667">
        <f>LS!BB63</f>
        <v>547</v>
      </c>
      <c r="BC29" s="733">
        <f>LS!BC63</f>
        <v>2137.9</v>
      </c>
      <c r="BD29" s="761"/>
      <c r="BE29" s="718">
        <f>LS!BE63</f>
        <v>507</v>
      </c>
      <c r="BF29" s="666">
        <f>LS!BF63</f>
        <v>495</v>
      </c>
      <c r="BG29" s="666">
        <f>LS!BG63</f>
        <v>535</v>
      </c>
      <c r="BH29" s="667">
        <f>LS!BH63</f>
        <v>543</v>
      </c>
      <c r="BI29" s="733">
        <f>LS!BI63</f>
        <v>2080</v>
      </c>
      <c r="BJ29" s="761"/>
      <c r="BK29" s="718">
        <f>LS!BK63</f>
        <v>521</v>
      </c>
      <c r="BL29" s="666">
        <f>LS!BL63</f>
        <v>515</v>
      </c>
      <c r="BM29" s="666">
        <f>LS!BM63</f>
        <v>547</v>
      </c>
      <c r="BN29" s="667">
        <f>LS!BN63</f>
        <v>588</v>
      </c>
      <c r="BO29" s="733">
        <f>LS!BO63</f>
        <v>2171</v>
      </c>
      <c r="BP29" s="761"/>
      <c r="BQ29" s="718">
        <f>LS!BQ63</f>
        <v>586</v>
      </c>
      <c r="BR29" s="666">
        <f>LS!BR63</f>
        <v>601.78926426106659</v>
      </c>
      <c r="BS29" s="666">
        <f>LS!BS63</f>
        <v>635.22649448454467</v>
      </c>
      <c r="BT29" s="667">
        <f>LS!BT63</f>
        <v>631.29780752347506</v>
      </c>
      <c r="BU29" s="733">
        <f>LS!BU63</f>
        <v>2454.3135662690866</v>
      </c>
      <c r="BV29" s="761"/>
      <c r="BW29" s="718">
        <f>LS!BW63</f>
        <v>655.59389417367834</v>
      </c>
      <c r="BX29" s="666">
        <f>LS!BX63</f>
        <v>638.51181378224226</v>
      </c>
      <c r="BY29" s="666">
        <f>LS!BY63</f>
        <v>670.28031102265606</v>
      </c>
      <c r="BZ29" s="667">
        <f>LS!BZ63</f>
        <v>665.95915340020838</v>
      </c>
      <c r="CA29" s="733">
        <f>LS!CA63</f>
        <v>2630.3451723787848</v>
      </c>
      <c r="CB29" s="761"/>
      <c r="CC29" s="718">
        <f>LS!CC63</f>
        <v>691.60780668408165</v>
      </c>
      <c r="CD29" s="666">
        <f>LS!CD63</f>
        <v>673.78169537609097</v>
      </c>
      <c r="CE29" s="666">
        <f>LS!CE63</f>
        <v>707.3008303555755</v>
      </c>
      <c r="CF29" s="667">
        <f>LS!CF63</f>
        <v>702.55483617831487</v>
      </c>
      <c r="CG29" s="733">
        <f>LS!CG63</f>
        <v>2775.2451685940632</v>
      </c>
      <c r="CH29" s="761"/>
      <c r="CI29" s="718">
        <f>LS!CI63</f>
        <v>729.63263897711693</v>
      </c>
      <c r="CJ29" s="666">
        <f>LS!CJ63</f>
        <v>711.03244995843988</v>
      </c>
      <c r="CK29" s="666">
        <f>LS!CK63</f>
        <v>746.4002984009569</v>
      </c>
      <c r="CL29" s="667">
        <f>LS!CL63</f>
        <v>741.19465522735277</v>
      </c>
      <c r="CM29" s="733">
        <f>LS!CM63</f>
        <v>2928.2600425638666</v>
      </c>
    </row>
    <row r="30" spans="1:91" s="25" customFormat="1" ht="11.25" hidden="1" outlineLevel="1" x14ac:dyDescent="0.2">
      <c r="A30" s="695" t="s">
        <v>5</v>
      </c>
      <c r="B30" s="761"/>
      <c r="C30" s="717"/>
      <c r="D30" s="696"/>
      <c r="E30" s="696"/>
      <c r="F30" s="697"/>
      <c r="G30" s="732"/>
      <c r="H30" s="761"/>
      <c r="I30" s="717">
        <f>LS!I64</f>
        <v>0.24248106202655073</v>
      </c>
      <c r="J30" s="696">
        <f>LS!J64</f>
        <v>0.20687568688951741</v>
      </c>
      <c r="K30" s="696">
        <f>LS!K64</f>
        <v>0.24282417315975846</v>
      </c>
      <c r="L30" s="697">
        <f>LS!L64</f>
        <v>0.21299837086781848</v>
      </c>
      <c r="M30" s="732">
        <f>LS!M64</f>
        <v>0.22592919809446688</v>
      </c>
      <c r="N30" s="761"/>
      <c r="O30" s="717">
        <f>LS!O64</f>
        <v>6.2325139494721959E-2</v>
      </c>
      <c r="P30" s="696">
        <f>LS!P64</f>
        <v>5.8357378189780373E-2</v>
      </c>
      <c r="Q30" s="696">
        <f>LS!Q64</f>
        <v>-2.1527286039778937E-2</v>
      </c>
      <c r="R30" s="697">
        <f>LS!R64</f>
        <v>-4.8308046418853445E-3</v>
      </c>
      <c r="S30" s="732">
        <f>LS!S64</f>
        <v>2.2036392704108732E-2</v>
      </c>
      <c r="T30" s="761"/>
      <c r="U30" s="717">
        <f>LS!U64</f>
        <v>8.4579941447506579E-2</v>
      </c>
      <c r="V30" s="696">
        <f>LS!V64</f>
        <v>3.2321450151057585E-2</v>
      </c>
      <c r="W30" s="696">
        <f>LS!W64</f>
        <v>3.0916466464495418E-2</v>
      </c>
      <c r="X30" s="697">
        <f>LS!X64</f>
        <v>4.568557808260465E-2</v>
      </c>
      <c r="Y30" s="732">
        <f>LS!Y64</f>
        <v>4.8240303586813527E-2</v>
      </c>
      <c r="Z30" s="761"/>
      <c r="AA30" s="717">
        <f>LS!AA64</f>
        <v>4.3737357630979412E-2</v>
      </c>
      <c r="AB30" s="696">
        <f>LS!AB64</f>
        <v>0.11499029553547802</v>
      </c>
      <c r="AC30" s="696">
        <f>LS!AC64</f>
        <v>0.18509560284229809</v>
      </c>
      <c r="AD30" s="697">
        <f>LS!AD64</f>
        <v>0.17819777328801534</v>
      </c>
      <c r="AE30" s="732">
        <f>LS!AE64</f>
        <v>0.13011171187428849</v>
      </c>
      <c r="AF30" s="761"/>
      <c r="AG30" s="717">
        <f>LS!AG64</f>
        <v>6.9199588739170537E-2</v>
      </c>
      <c r="AH30" s="696">
        <f>LS!AH64</f>
        <v>6.0511760926259539E-2</v>
      </c>
      <c r="AI30" s="696">
        <f>LS!AI64</f>
        <v>1.4512317236071492E-2</v>
      </c>
      <c r="AJ30" s="697">
        <f>LS!AJ64</f>
        <v>-1.2456795032575685E-2</v>
      </c>
      <c r="AK30" s="732">
        <f>LS!AK64</f>
        <v>3.1328848578332291E-2</v>
      </c>
      <c r="AL30" s="761"/>
      <c r="AM30" s="717">
        <f>LS!AM64</f>
        <v>4.5265641712321614E-2</v>
      </c>
      <c r="AN30" s="696">
        <f>LS!AN64</f>
        <v>4.3894142431730065E-2</v>
      </c>
      <c r="AO30" s="696">
        <f>LS!AO64</f>
        <v>1.9072963418993671E-2</v>
      </c>
      <c r="AP30" s="697">
        <f>LS!AP64</f>
        <v>0.10149214436709686</v>
      </c>
      <c r="AQ30" s="732">
        <f>LS!AQ64</f>
        <v>5.2790564723117051E-2</v>
      </c>
      <c r="AR30" s="761"/>
      <c r="AS30" s="717">
        <f>LS!AS64</f>
        <v>6.1154029417048505E-2</v>
      </c>
      <c r="AT30" s="696">
        <f>LS!AT64</f>
        <v>6.975200341410237E-2</v>
      </c>
      <c r="AU30" s="696">
        <f>LS!AU64</f>
        <v>7.8644590992002161E-2</v>
      </c>
      <c r="AV30" s="697">
        <f>LS!AV64</f>
        <v>4.3743409490333951E-2</v>
      </c>
      <c r="AW30" s="732">
        <f>LS!AW64</f>
        <v>6.2851734165215944E-2</v>
      </c>
      <c r="AX30" s="761"/>
      <c r="AY30" s="717">
        <f>LS!AY64</f>
        <v>2.2543246227456848E-2</v>
      </c>
      <c r="AZ30" s="696">
        <f>LS!AZ64</f>
        <v>-6.1613475177304977E-2</v>
      </c>
      <c r="BA30" s="696">
        <f>LS!BA64</f>
        <v>-8.5817524841915072E-2</v>
      </c>
      <c r="BB30" s="697">
        <f>LS!BB64</f>
        <v>-7.8954015053292692E-2</v>
      </c>
      <c r="BC30" s="732">
        <f>LS!BC64</f>
        <v>-5.184074791887483E-2</v>
      </c>
      <c r="BD30" s="761"/>
      <c r="BE30" s="717">
        <f>LS!BE64</f>
        <v>-8.7555115630342795E-2</v>
      </c>
      <c r="BF30" s="696">
        <f>LS!BF64</f>
        <v>-6.4714218233349108E-2</v>
      </c>
      <c r="BG30" s="696">
        <f>LS!BG64</f>
        <v>5.7312252964426769E-2</v>
      </c>
      <c r="BH30" s="697">
        <f>LS!BH64</f>
        <v>-7.3126142595978383E-3</v>
      </c>
      <c r="BI30" s="732">
        <f>LS!BI64</f>
        <v>-2.7082651199775487E-2</v>
      </c>
      <c r="BJ30" s="761"/>
      <c r="BK30" s="717">
        <f>LS!BK64</f>
        <v>2.7613412228796763E-2</v>
      </c>
      <c r="BL30" s="696">
        <f>LS!BL64</f>
        <v>4.0404040404040442E-2</v>
      </c>
      <c r="BM30" s="696">
        <f>LS!BM64</f>
        <v>2.2429906542056122E-2</v>
      </c>
      <c r="BN30" s="697">
        <f>LS!BN64</f>
        <v>8.287292817679548E-2</v>
      </c>
      <c r="BO30" s="732">
        <f>LS!BO64</f>
        <v>4.3749999999999956E-2</v>
      </c>
      <c r="BP30" s="761"/>
      <c r="BQ30" s="717">
        <f>LS!BQ64</f>
        <v>0.12476007677543177</v>
      </c>
      <c r="BR30" s="696">
        <f>LS!BR64</f>
        <v>0.16852284322537203</v>
      </c>
      <c r="BS30" s="696">
        <f>LS!BS64</f>
        <v>0.16129158041050218</v>
      </c>
      <c r="BT30" s="697">
        <f>LS!BT64</f>
        <v>7.3635727080739954E-2</v>
      </c>
      <c r="BU30" s="732">
        <f>LS!BU64</f>
        <v>0.13049910929022879</v>
      </c>
      <c r="BV30" s="761"/>
      <c r="BW30" s="717">
        <f>LS!BW64</f>
        <v>0.11876091155917812</v>
      </c>
      <c r="BX30" s="696">
        <f>LS!BX64</f>
        <v>6.1022274244568075E-2</v>
      </c>
      <c r="BY30" s="696">
        <f>LS!BY64</f>
        <v>5.5183177720815824E-2</v>
      </c>
      <c r="BZ30" s="697">
        <f>LS!BZ64</f>
        <v>5.4904904569060164E-2</v>
      </c>
      <c r="CA30" s="732">
        <f>LS!CA64</f>
        <v>7.1723356187649578E-2</v>
      </c>
      <c r="CB30" s="761"/>
      <c r="CC30" s="717">
        <f>LS!CC64</f>
        <v>5.493326406859822E-2</v>
      </c>
      <c r="CD30" s="696">
        <f>LS!CD64</f>
        <v>5.5237633560648813E-2</v>
      </c>
      <c r="CE30" s="696">
        <f>LS!CE64</f>
        <v>5.5231399049207708E-2</v>
      </c>
      <c r="CF30" s="697">
        <f>LS!CF64</f>
        <v>5.4951842903966153E-2</v>
      </c>
      <c r="CG30" s="732">
        <f>LS!CG64</f>
        <v>5.5087825634776433E-2</v>
      </c>
      <c r="CH30" s="761"/>
      <c r="CI30" s="717">
        <f>LS!CI64</f>
        <v>5.4980339905857267E-2</v>
      </c>
      <c r="CJ30" s="696">
        <f>LS!CJ64</f>
        <v>5.5286088710908565E-2</v>
      </c>
      <c r="CK30" s="696">
        <f>LS!CK64</f>
        <v>5.5279827715917218E-2</v>
      </c>
      <c r="CL30" s="697">
        <f>LS!CL64</f>
        <v>5.4999007990930382E-2</v>
      </c>
      <c r="CM30" s="732">
        <f>LS!CM64</f>
        <v>5.5135623944647882E-2</v>
      </c>
    </row>
    <row r="31" spans="1:91" s="25" customFormat="1" ht="11.25" hidden="1" outlineLevel="1" x14ac:dyDescent="0.2">
      <c r="A31" s="695" t="s">
        <v>9</v>
      </c>
      <c r="B31" s="761"/>
      <c r="C31" s="717"/>
      <c r="D31" s="696"/>
      <c r="E31" s="696"/>
      <c r="F31" s="697"/>
      <c r="G31" s="732"/>
      <c r="H31" s="761"/>
      <c r="I31" s="717">
        <f>LS!I65</f>
        <v>7.9229463345279291E-2</v>
      </c>
      <c r="J31" s="696">
        <f>LS!J65</f>
        <v>9.9584229634111718E-2</v>
      </c>
      <c r="K31" s="696">
        <f>LS!K65</f>
        <v>0.12630857028254303</v>
      </c>
      <c r="L31" s="697">
        <f>LS!L65</f>
        <v>8.2110499515240784E-2</v>
      </c>
      <c r="M31" s="732">
        <f>LS!M65</f>
        <v>9.6955826484358215E-2</v>
      </c>
      <c r="N31" s="761"/>
      <c r="O31" s="717">
        <f>LS!O65</f>
        <v>-3.732556729603325E-2</v>
      </c>
      <c r="P31" s="696">
        <f>LS!P65</f>
        <v>-4.1248260584852758E-2</v>
      </c>
      <c r="Q31" s="696">
        <f>LS!Q65</f>
        <v>-9.4508480373030446E-2</v>
      </c>
      <c r="R31" s="697">
        <f>LS!R65</f>
        <v>-4.870203943867972E-2</v>
      </c>
      <c r="S31" s="732">
        <f>LS!S65</f>
        <v>-5.5995432477064788E-2</v>
      </c>
      <c r="T31" s="761"/>
      <c r="U31" s="717">
        <f>LS!U65</f>
        <v>2.5046955640927453E-2</v>
      </c>
      <c r="V31" s="696">
        <f>LS!V65</f>
        <v>-1.9744058972809668E-2</v>
      </c>
      <c r="W31" s="696">
        <f>LS!W65</f>
        <v>-2.3066344866291208E-2</v>
      </c>
      <c r="X31" s="697">
        <f>LS!X65</f>
        <v>-2.8270373266505881E-2</v>
      </c>
      <c r="Y31" s="732">
        <f>LS!Y65</f>
        <v>-1.1765102431447112E-2</v>
      </c>
      <c r="Z31" s="761"/>
      <c r="AA31" s="717">
        <f>LS!AA65</f>
        <v>4.4863507972665142E-3</v>
      </c>
      <c r="AB31" s="696">
        <f>LS!AB65</f>
        <v>5.2068088115133103E-2</v>
      </c>
      <c r="AC31" s="696">
        <f>LS!AC65</f>
        <v>9.3755859374999986E-2</v>
      </c>
      <c r="AD31" s="697">
        <f>LS!AD65</f>
        <v>9.0083162714849771E-2</v>
      </c>
      <c r="AE31" s="732">
        <f>LS!AE65</f>
        <v>5.9846847034435519E-2</v>
      </c>
      <c r="AF31" s="761"/>
      <c r="AG31" s="717">
        <f>LS!AG65</f>
        <v>1.1211176674326342E-3</v>
      </c>
      <c r="AH31" s="696">
        <f>LS!AH65</f>
        <v>-1.4474229271918663E-2</v>
      </c>
      <c r="AI31" s="696">
        <f>LS!AI65</f>
        <v>-5.3244243326610749E-2</v>
      </c>
      <c r="AJ31" s="697">
        <f>LS!AJ65</f>
        <v>-8.8481576713669616E-2</v>
      </c>
      <c r="AK31" s="732">
        <f>LS!AK65</f>
        <v>-4.0478882994755473E-2</v>
      </c>
      <c r="AL31" s="761"/>
      <c r="AM31" s="717">
        <f>LS!AM65</f>
        <v>-2.3053212031646762E-2</v>
      </c>
      <c r="AN31" s="696">
        <f>LS!AN65</f>
        <v>-6.6177968383703979E-3</v>
      </c>
      <c r="AO31" s="696">
        <f>LS!AO65</f>
        <v>-2.9102474480676811E-2</v>
      </c>
      <c r="AP31" s="697">
        <f>LS!AP65</f>
        <v>-1.9614535824628514E-2</v>
      </c>
      <c r="AQ31" s="732">
        <f>LS!AQ65</f>
        <v>-1.9563972276976156E-2</v>
      </c>
      <c r="AR31" s="761"/>
      <c r="AS31" s="717">
        <f>LS!AS65</f>
        <v>-1.5607085946836845E-2</v>
      </c>
      <c r="AT31" s="696">
        <f>LS!AT65</f>
        <v>-3.3471821328654762E-2</v>
      </c>
      <c r="AU31" s="696">
        <f>LS!AU65</f>
        <v>4.8063038835102819E-3</v>
      </c>
      <c r="AV31" s="697">
        <f>LS!AV65</f>
        <v>6.0808435852372584E-4</v>
      </c>
      <c r="AW31" s="732">
        <f>LS!AW65</f>
        <v>-1.0760075288021939E-2</v>
      </c>
      <c r="AX31" s="761"/>
      <c r="AY31" s="717">
        <f>LS!AY65</f>
        <v>-6.2932278248067727E-2</v>
      </c>
      <c r="AZ31" s="696">
        <f>LS!AZ65</f>
        <v>-9.3168439716312057E-2</v>
      </c>
      <c r="BA31" s="696">
        <f>LS!BA65</f>
        <v>-0.13730803974706413</v>
      </c>
      <c r="BB31" s="697">
        <f>LS!BB65</f>
        <v>-0.13638889356614861</v>
      </c>
      <c r="BC31" s="732">
        <f>LS!BC65</f>
        <v>-0.10810071004395087</v>
      </c>
      <c r="BD31" s="761"/>
      <c r="BE31" s="717">
        <f>LS!BE65</f>
        <v>-0.11356069468190406</v>
      </c>
      <c r="BF31" s="696">
        <f>LS!BF65</f>
        <v>-7.8034955125177136E-2</v>
      </c>
      <c r="BG31" s="696">
        <f>LS!BG65</f>
        <v>-2.490118577075099E-2</v>
      </c>
      <c r="BH31" s="697">
        <f>LS!BH65</f>
        <v>-1.2065813528336381E-2</v>
      </c>
      <c r="BI31" s="732">
        <f>LS!BI65</f>
        <v>-5.7813742457551796E-2</v>
      </c>
      <c r="BJ31" s="761"/>
      <c r="BK31" s="717">
        <f>LS!BK65</f>
        <v>-7.747534516765249E-3</v>
      </c>
      <c r="BL31" s="696">
        <f>LS!BL65</f>
        <v>-1.5050505050505069E-2</v>
      </c>
      <c r="BM31" s="696">
        <f>LS!BM65</f>
        <v>-2.1431775700934609E-2</v>
      </c>
      <c r="BN31" s="697">
        <f>LS!BN65</f>
        <v>-3.3149171270721004E-4</v>
      </c>
      <c r="BO31" s="732">
        <f>LS!BO65</f>
        <v>-1.1069230769230777E-2</v>
      </c>
      <c r="BP31" s="761"/>
      <c r="BQ31" s="717">
        <f>LS!BQ65</f>
        <v>3.3017274472168873E-2</v>
      </c>
      <c r="BR31" s="696">
        <f>LS!BR65</f>
        <v>0.11629954225449832</v>
      </c>
      <c r="BS31" s="696">
        <f>LS!BS65</f>
        <v>9.1483536534816737E-2</v>
      </c>
      <c r="BT31" s="697">
        <f>LS!BT65</f>
        <v>3.7224162454889499E-2</v>
      </c>
      <c r="BU31" s="732">
        <f>LS!BU65</f>
        <v>6.8643743099533111E-2</v>
      </c>
      <c r="BV31" s="761"/>
      <c r="BW31" s="717">
        <f>LS!BW65</f>
        <v>6.3871833060884578E-2</v>
      </c>
      <c r="BX31" s="696">
        <f>LS!BX65</f>
        <v>5.8326248603762102E-3</v>
      </c>
      <c r="BY31" s="696">
        <f>LS!BY65</f>
        <v>0</v>
      </c>
      <c r="BZ31" s="697">
        <f>LS!BZ65</f>
        <v>0</v>
      </c>
      <c r="CA31" s="732">
        <f>LS!CA65</f>
        <v>1.6680389074876061E-2</v>
      </c>
      <c r="CB31" s="761"/>
      <c r="CC31" s="717">
        <f>LS!CC65</f>
        <v>0</v>
      </c>
      <c r="CD31" s="696">
        <f>LS!CD65</f>
        <v>0</v>
      </c>
      <c r="CE31" s="696">
        <f>LS!CE65</f>
        <v>0</v>
      </c>
      <c r="CF31" s="697">
        <f>LS!CF65</f>
        <v>0</v>
      </c>
      <c r="CG31" s="732">
        <f>LS!CG65</f>
        <v>0</v>
      </c>
      <c r="CH31" s="761"/>
      <c r="CI31" s="717">
        <f>LS!CI65</f>
        <v>0</v>
      </c>
      <c r="CJ31" s="696">
        <f>LS!CJ65</f>
        <v>0</v>
      </c>
      <c r="CK31" s="696">
        <f>LS!CK65</f>
        <v>0</v>
      </c>
      <c r="CL31" s="697">
        <f>LS!CL65</f>
        <v>0</v>
      </c>
      <c r="CM31" s="732">
        <f>LS!CM65</f>
        <v>0</v>
      </c>
    </row>
    <row r="32" spans="1:91" s="25" customFormat="1" ht="11.25" hidden="1" outlineLevel="1" x14ac:dyDescent="0.2">
      <c r="A32" s="695" t="s">
        <v>10</v>
      </c>
      <c r="B32" s="761"/>
      <c r="C32" s="717"/>
      <c r="D32" s="696"/>
      <c r="E32" s="696"/>
      <c r="F32" s="697"/>
      <c r="G32" s="732"/>
      <c r="H32" s="761"/>
      <c r="I32" s="717">
        <f>LS!I66</f>
        <v>0.16325159868127143</v>
      </c>
      <c r="J32" s="696">
        <f>LS!J66</f>
        <v>0.10729145725540569</v>
      </c>
      <c r="K32" s="696">
        <f>LS!K66</f>
        <v>0.11651560287721544</v>
      </c>
      <c r="L32" s="697">
        <f>LS!L66</f>
        <v>0.13088787135257768</v>
      </c>
      <c r="M32" s="732">
        <f>LS!M66</f>
        <v>0.12897337161010866</v>
      </c>
      <c r="N32" s="761"/>
      <c r="O32" s="717">
        <f>LS!O66</f>
        <v>9.9650706790755217E-2</v>
      </c>
      <c r="P32" s="696">
        <f>LS!P66</f>
        <v>9.9605638774633132E-2</v>
      </c>
      <c r="Q32" s="696">
        <f>LS!Q66</f>
        <v>7.2981194333251509E-2</v>
      </c>
      <c r="R32" s="697">
        <f>LS!R66</f>
        <v>4.3871234796794376E-2</v>
      </c>
      <c r="S32" s="732">
        <f>LS!S66</f>
        <v>7.803182518117352E-2</v>
      </c>
      <c r="T32" s="761"/>
      <c r="U32" s="717">
        <f>LS!U66</f>
        <v>5.9532985806579126E-2</v>
      </c>
      <c r="V32" s="696">
        <f>LS!V66</f>
        <v>5.2065509123867253E-2</v>
      </c>
      <c r="W32" s="696">
        <f>LS!W66</f>
        <v>5.3982811330786626E-2</v>
      </c>
      <c r="X32" s="697">
        <f>LS!X66</f>
        <v>7.3955951349110538E-2</v>
      </c>
      <c r="Y32" s="732">
        <f>LS!Y66</f>
        <v>6.000540601826064E-2</v>
      </c>
      <c r="Z32" s="761"/>
      <c r="AA32" s="717">
        <f>LS!AA66</f>
        <v>3.9251006833712895E-2</v>
      </c>
      <c r="AB32" s="696">
        <f>LS!AB66</f>
        <v>6.2922207420344906E-2</v>
      </c>
      <c r="AC32" s="696">
        <f>LS!AC66</f>
        <v>9.1339743467298104E-2</v>
      </c>
      <c r="AD32" s="697">
        <f>LS!AD66</f>
        <v>8.8114610573165567E-2</v>
      </c>
      <c r="AE32" s="732">
        <f>LS!AE66</f>
        <v>7.0264864839852975E-2</v>
      </c>
      <c r="AF32" s="761"/>
      <c r="AG32" s="717">
        <f>LS!AG66</f>
        <v>6.8078471071737909E-2</v>
      </c>
      <c r="AH32" s="696">
        <f>LS!AH66</f>
        <v>7.4985990198178198E-2</v>
      </c>
      <c r="AI32" s="696">
        <f>LS!AI66</f>
        <v>6.7756560562682241E-2</v>
      </c>
      <c r="AJ32" s="697">
        <f>LS!AJ66</f>
        <v>7.6024781681093931E-2</v>
      </c>
      <c r="AK32" s="732">
        <f>LS!AK66</f>
        <v>7.1807731573087757E-2</v>
      </c>
      <c r="AL32" s="761"/>
      <c r="AM32" s="717">
        <f>LS!AM66</f>
        <v>6.8318853743968372E-2</v>
      </c>
      <c r="AN32" s="696">
        <f>LS!AN66</f>
        <v>5.0511939270100462E-2</v>
      </c>
      <c r="AO32" s="696">
        <f>LS!AO66</f>
        <v>4.8175437899670479E-2</v>
      </c>
      <c r="AP32" s="697">
        <f>LS!AP66</f>
        <v>0.12110668019172538</v>
      </c>
      <c r="AQ32" s="732">
        <f>LS!AQ66</f>
        <v>7.23545370000932E-2</v>
      </c>
      <c r="AR32" s="761"/>
      <c r="AS32" s="717">
        <f>LS!AS66</f>
        <v>7.6761115363885357E-2</v>
      </c>
      <c r="AT32" s="696">
        <f>LS!AT66</f>
        <v>0.10322382474275713</v>
      </c>
      <c r="AU32" s="696">
        <f>LS!AU66</f>
        <v>7.3838287108491885E-2</v>
      </c>
      <c r="AV32" s="697">
        <f>LS!AV66</f>
        <v>4.3135325131810225E-2</v>
      </c>
      <c r="AW32" s="732">
        <f>LS!AW66</f>
        <v>7.3611809453237878E-2</v>
      </c>
      <c r="AX32" s="761"/>
      <c r="AY32" s="717">
        <f>LS!AY66</f>
        <v>8.5475524475524575E-2</v>
      </c>
      <c r="AZ32" s="696">
        <f>LS!AZ66</f>
        <v>3.155496453900708E-2</v>
      </c>
      <c r="BA32" s="696">
        <f>LS!BA66</f>
        <v>5.1490514905149054E-2</v>
      </c>
      <c r="BB32" s="697">
        <f>LS!BB66</f>
        <v>5.7434878512855919E-2</v>
      </c>
      <c r="BC32" s="732">
        <f>LS!BC66</f>
        <v>5.6259962125076043E-2</v>
      </c>
      <c r="BD32" s="761"/>
      <c r="BE32" s="717">
        <f>LS!BE66</f>
        <v>2.600557905156127E-2</v>
      </c>
      <c r="BF32" s="696">
        <f>LS!BF66</f>
        <v>1.3320736891828028E-2</v>
      </c>
      <c r="BG32" s="696">
        <f>LS!BG66</f>
        <v>8.2213438735177752E-2</v>
      </c>
      <c r="BH32" s="697">
        <f>LS!BH66</f>
        <v>4.7531992687385432E-3</v>
      </c>
      <c r="BI32" s="732">
        <f>LS!BI66</f>
        <v>3.0731091257776309E-2</v>
      </c>
      <c r="BJ32" s="761"/>
      <c r="BK32" s="717">
        <f>LS!BK66</f>
        <v>3.5360946745562012E-2</v>
      </c>
      <c r="BL32" s="696">
        <f>LS!BL66</f>
        <v>5.5454545454545513E-2</v>
      </c>
      <c r="BM32" s="696">
        <f>LS!BM66</f>
        <v>4.3861682242990731E-2</v>
      </c>
      <c r="BN32" s="697">
        <f>LS!BN66</f>
        <v>8.3204419889502695E-2</v>
      </c>
      <c r="BO32" s="732">
        <f>LS!BO66</f>
        <v>5.4819230769230731E-2</v>
      </c>
      <c r="BP32" s="761"/>
      <c r="BQ32" s="717">
        <f>LS!BQ66</f>
        <v>9.1742802303262899E-2</v>
      </c>
      <c r="BR32" s="696">
        <f>LS!BR66</f>
        <v>5.2223300970873715E-2</v>
      </c>
      <c r="BS32" s="696">
        <f>LS!BS66</f>
        <v>6.9808043875685441E-2</v>
      </c>
      <c r="BT32" s="697">
        <f>LS!BT66</f>
        <v>3.6411564625850455E-2</v>
      </c>
      <c r="BU32" s="732">
        <f>LS!BU66</f>
        <v>6.1855366190695676E-2</v>
      </c>
      <c r="BV32" s="761"/>
      <c r="BW32" s="717">
        <f>LS!BW66</f>
        <v>5.4889078498293539E-2</v>
      </c>
      <c r="BX32" s="696">
        <f>LS!BX66</f>
        <v>5.5189649384191866E-2</v>
      </c>
      <c r="BY32" s="696">
        <f>LS!BY66</f>
        <v>5.5183177720815824E-2</v>
      </c>
      <c r="BZ32" s="697">
        <f>LS!BZ66</f>
        <v>5.4904904569060164E-2</v>
      </c>
      <c r="CA32" s="732">
        <f>LS!CA66</f>
        <v>5.5042967112773518E-2</v>
      </c>
      <c r="CB32" s="761"/>
      <c r="CC32" s="717">
        <f>LS!CC66</f>
        <v>5.493326406859822E-2</v>
      </c>
      <c r="CD32" s="696">
        <f>LS!CD66</f>
        <v>5.5237633560648813E-2</v>
      </c>
      <c r="CE32" s="696">
        <f>LS!CE66</f>
        <v>5.5231399049207708E-2</v>
      </c>
      <c r="CF32" s="697">
        <f>LS!CF66</f>
        <v>5.4951842903966153E-2</v>
      </c>
      <c r="CG32" s="732">
        <f>LS!CG66</f>
        <v>5.5087825634776433E-2</v>
      </c>
      <c r="CH32" s="761"/>
      <c r="CI32" s="717">
        <f>LS!CI66</f>
        <v>5.4980339905857267E-2</v>
      </c>
      <c r="CJ32" s="696">
        <f>LS!CJ66</f>
        <v>5.5286088710908565E-2</v>
      </c>
      <c r="CK32" s="696">
        <f>LS!CK66</f>
        <v>5.5279827715917218E-2</v>
      </c>
      <c r="CL32" s="697">
        <f>LS!CL66</f>
        <v>5.4999007990930382E-2</v>
      </c>
      <c r="CM32" s="732">
        <f>LS!CM66</f>
        <v>5.5135623944647882E-2</v>
      </c>
    </row>
    <row r="33" spans="1:91" s="25" customFormat="1" ht="11.25" hidden="1" outlineLevel="1" x14ac:dyDescent="0.2">
      <c r="A33" s="695" t="s">
        <v>6</v>
      </c>
      <c r="B33" s="761"/>
      <c r="C33" s="717"/>
      <c r="D33" s="696"/>
      <c r="E33" s="696"/>
      <c r="F33" s="697"/>
      <c r="G33" s="732"/>
      <c r="H33" s="761"/>
      <c r="I33" s="717">
        <f>LS!I67</f>
        <v>0</v>
      </c>
      <c r="J33" s="696">
        <f>LS!J67</f>
        <v>0</v>
      </c>
      <c r="K33" s="696">
        <f>LS!K67</f>
        <v>0</v>
      </c>
      <c r="L33" s="697">
        <f>LS!L67</f>
        <v>0</v>
      </c>
      <c r="M33" s="732">
        <f>LS!M67</f>
        <v>0</v>
      </c>
      <c r="N33" s="761"/>
      <c r="O33" s="717">
        <f>LS!O67</f>
        <v>0</v>
      </c>
      <c r="P33" s="696">
        <f>LS!P67</f>
        <v>0</v>
      </c>
      <c r="Q33" s="696">
        <f>LS!Q67</f>
        <v>0</v>
      </c>
      <c r="R33" s="697">
        <f>LS!R67</f>
        <v>0</v>
      </c>
      <c r="S33" s="732">
        <f>LS!S67</f>
        <v>0</v>
      </c>
      <c r="T33" s="761"/>
      <c r="U33" s="717">
        <f>LS!U67</f>
        <v>0</v>
      </c>
      <c r="V33" s="696">
        <f>LS!V67</f>
        <v>0</v>
      </c>
      <c r="W33" s="696">
        <f>LS!W67</f>
        <v>0</v>
      </c>
      <c r="X33" s="697">
        <f>LS!X67</f>
        <v>0</v>
      </c>
      <c r="Y33" s="732">
        <f>LS!Y67</f>
        <v>0</v>
      </c>
      <c r="Z33" s="761"/>
      <c r="AA33" s="717">
        <f>LS!AA67</f>
        <v>1.1029612756264236E-2</v>
      </c>
      <c r="AB33" s="696">
        <f>LS!AB67</f>
        <v>2.1066531186566862E-2</v>
      </c>
      <c r="AC33" s="696">
        <f>LS!AC67</f>
        <v>2.8446859718826403E-2</v>
      </c>
      <c r="AD33" s="697">
        <f>LS!AD67</f>
        <v>2.5641198901735017E-2</v>
      </c>
      <c r="AE33" s="732">
        <f>LS!AE67</f>
        <v>2.148056118530035E-2</v>
      </c>
      <c r="AF33" s="761"/>
      <c r="AG33" s="717">
        <f>LS!AG67</f>
        <v>0</v>
      </c>
      <c r="AH33" s="696">
        <f>LS!AH67</f>
        <v>0</v>
      </c>
      <c r="AI33" s="696">
        <f>LS!AI67</f>
        <v>0</v>
      </c>
      <c r="AJ33" s="697">
        <f>LS!AJ67</f>
        <v>0</v>
      </c>
      <c r="AK33" s="732">
        <f>LS!AK67</f>
        <v>0</v>
      </c>
      <c r="AL33" s="761"/>
      <c r="AM33" s="717">
        <f>LS!AM67</f>
        <v>3.6902438825248823E-3</v>
      </c>
      <c r="AN33" s="696">
        <f>LS!AN67</f>
        <v>3.8339114870430207E-3</v>
      </c>
      <c r="AO33" s="696">
        <f>LS!AO67</f>
        <v>3.5057790840846807E-3</v>
      </c>
      <c r="AP33" s="697">
        <f>LS!AP67</f>
        <v>3.5898964713534606E-3</v>
      </c>
      <c r="AQ33" s="732">
        <f>LS!AQ67</f>
        <v>3.6544328849135222E-3</v>
      </c>
      <c r="AR33" s="761"/>
      <c r="AS33" s="717">
        <f>LS!AS67</f>
        <v>3.5286984166660153E-3</v>
      </c>
      <c r="AT33" s="696">
        <f>LS!AT67</f>
        <v>0</v>
      </c>
      <c r="AU33" s="696">
        <f>LS!AU67</f>
        <v>0</v>
      </c>
      <c r="AV33" s="697">
        <f>LS!AV67</f>
        <v>0</v>
      </c>
      <c r="AW33" s="732">
        <f>LS!AW67</f>
        <v>8.5176998971931036E-4</v>
      </c>
      <c r="AX33" s="761"/>
      <c r="AY33" s="717">
        <f>LS!AY67</f>
        <v>0</v>
      </c>
      <c r="AZ33" s="696">
        <f>LS!AZ67</f>
        <v>0</v>
      </c>
      <c r="BA33" s="696">
        <f>LS!BA67</f>
        <v>0</v>
      </c>
      <c r="BB33" s="697">
        <f>LS!BB67</f>
        <v>0</v>
      </c>
      <c r="BC33" s="732">
        <f>LS!BC67</f>
        <v>0</v>
      </c>
      <c r="BD33" s="761"/>
      <c r="BE33" s="717">
        <f>LS!BE67</f>
        <v>0</v>
      </c>
      <c r="BF33" s="696">
        <f>LS!BF67</f>
        <v>0</v>
      </c>
      <c r="BG33" s="696">
        <f>LS!BG67</f>
        <v>0</v>
      </c>
      <c r="BH33" s="697">
        <f>LS!BH67</f>
        <v>0</v>
      </c>
      <c r="BI33" s="732">
        <f>LS!BI67</f>
        <v>0</v>
      </c>
      <c r="BJ33" s="761"/>
      <c r="BK33" s="717">
        <f>LS!BK67</f>
        <v>0</v>
      </c>
      <c r="BL33" s="696">
        <f>LS!BL67</f>
        <v>0</v>
      </c>
      <c r="BM33" s="696">
        <f>LS!BM67</f>
        <v>0</v>
      </c>
      <c r="BN33" s="697">
        <f>LS!BN67</f>
        <v>0</v>
      </c>
      <c r="BO33" s="732">
        <f>LS!BO67</f>
        <v>0</v>
      </c>
      <c r="BP33" s="761"/>
      <c r="BQ33" s="717">
        <f>LS!BQ67</f>
        <v>0</v>
      </c>
      <c r="BR33" s="696">
        <f>LS!BR67</f>
        <v>0</v>
      </c>
      <c r="BS33" s="696">
        <f>LS!BS67</f>
        <v>0</v>
      </c>
      <c r="BT33" s="697">
        <f>LS!BT67</f>
        <v>0</v>
      </c>
      <c r="BU33" s="732">
        <f>LS!BU67</f>
        <v>0</v>
      </c>
      <c r="BV33" s="761"/>
      <c r="BW33" s="717">
        <f>LS!BW67</f>
        <v>0</v>
      </c>
      <c r="BX33" s="696">
        <f>LS!BX67</f>
        <v>0</v>
      </c>
      <c r="BY33" s="696">
        <f>LS!BY67</f>
        <v>0</v>
      </c>
      <c r="BZ33" s="697">
        <f>LS!BZ67</f>
        <v>0</v>
      </c>
      <c r="CA33" s="732">
        <f>LS!CA67</f>
        <v>0</v>
      </c>
      <c r="CB33" s="761"/>
      <c r="CC33" s="717">
        <f>LS!CC67</f>
        <v>0</v>
      </c>
      <c r="CD33" s="696">
        <f>LS!CD67</f>
        <v>0</v>
      </c>
      <c r="CE33" s="696">
        <f>LS!CE67</f>
        <v>0</v>
      </c>
      <c r="CF33" s="697">
        <f>LS!CF67</f>
        <v>0</v>
      </c>
      <c r="CG33" s="732">
        <f>LS!CG67</f>
        <v>0</v>
      </c>
      <c r="CH33" s="761"/>
      <c r="CI33" s="717">
        <f>LS!CI67</f>
        <v>0</v>
      </c>
      <c r="CJ33" s="696">
        <f>LS!CJ67</f>
        <v>0</v>
      </c>
      <c r="CK33" s="696">
        <f>LS!CK67</f>
        <v>0</v>
      </c>
      <c r="CL33" s="697">
        <f>LS!CL67</f>
        <v>0</v>
      </c>
      <c r="CM33" s="732">
        <f>LS!CM67</f>
        <v>0</v>
      </c>
    </row>
    <row r="34" spans="1:91" s="25" customFormat="1" ht="11.25" hidden="1" outlineLevel="1" x14ac:dyDescent="0.2">
      <c r="A34" s="695" t="s">
        <v>7</v>
      </c>
      <c r="B34" s="761"/>
      <c r="C34" s="717"/>
      <c r="D34" s="696"/>
      <c r="E34" s="696"/>
      <c r="F34" s="697"/>
      <c r="G34" s="732"/>
      <c r="H34" s="761"/>
      <c r="I34" s="717">
        <f>LS!I68</f>
        <v>0.16325159868127143</v>
      </c>
      <c r="J34" s="696">
        <f>LS!J68</f>
        <v>0.10729145725540569</v>
      </c>
      <c r="K34" s="696">
        <f>LS!K68</f>
        <v>0.11651560287721544</v>
      </c>
      <c r="L34" s="697">
        <f>LS!L68</f>
        <v>0.13088787135257768</v>
      </c>
      <c r="M34" s="732">
        <f>LS!M68</f>
        <v>0.12897337161010866</v>
      </c>
      <c r="N34" s="761"/>
      <c r="O34" s="717">
        <f>LS!O68</f>
        <v>9.9650706790755217E-2</v>
      </c>
      <c r="P34" s="696">
        <f>LS!P68</f>
        <v>9.9605638774633132E-2</v>
      </c>
      <c r="Q34" s="696">
        <f>LS!Q68</f>
        <v>7.2981194333251509E-2</v>
      </c>
      <c r="R34" s="697">
        <f>LS!R68</f>
        <v>4.3871234796794376E-2</v>
      </c>
      <c r="S34" s="732">
        <f>LS!S68</f>
        <v>7.803182518117352E-2</v>
      </c>
      <c r="T34" s="761"/>
      <c r="U34" s="717">
        <f>LS!U68</f>
        <v>5.9532985806579126E-2</v>
      </c>
      <c r="V34" s="696">
        <f>LS!V68</f>
        <v>5.2065509123867253E-2</v>
      </c>
      <c r="W34" s="696">
        <f>LS!W68</f>
        <v>5.3982811330786626E-2</v>
      </c>
      <c r="X34" s="697">
        <f>LS!X68</f>
        <v>7.3955951349110538E-2</v>
      </c>
      <c r="Y34" s="732">
        <f>LS!Y68</f>
        <v>6.000540601826064E-2</v>
      </c>
      <c r="Z34" s="761"/>
      <c r="AA34" s="717">
        <f>LS!AA68</f>
        <v>2.8221394077448659E-2</v>
      </c>
      <c r="AB34" s="696">
        <f>LS!AB68</f>
        <v>4.1855676233778047E-2</v>
      </c>
      <c r="AC34" s="696">
        <f>LS!AC68</f>
        <v>6.2892883748471698E-2</v>
      </c>
      <c r="AD34" s="697">
        <f>LS!AD68</f>
        <v>6.247341167143055E-2</v>
      </c>
      <c r="AE34" s="732">
        <f>LS!AE68</f>
        <v>4.8784303654552622E-2</v>
      </c>
      <c r="AF34" s="761"/>
      <c r="AG34" s="717">
        <f>LS!AG68</f>
        <v>6.8078471071737909E-2</v>
      </c>
      <c r="AH34" s="696">
        <f>LS!AH68</f>
        <v>7.4985990198178198E-2</v>
      </c>
      <c r="AI34" s="696">
        <f>LS!AI68</f>
        <v>6.7756560562682241E-2</v>
      </c>
      <c r="AJ34" s="697">
        <f>LS!AJ68</f>
        <v>7.6024781681093931E-2</v>
      </c>
      <c r="AK34" s="732">
        <f>LS!AK68</f>
        <v>7.1807731573087757E-2</v>
      </c>
      <c r="AL34" s="761"/>
      <c r="AM34" s="717">
        <f>LS!AM68</f>
        <v>6.462860986144349E-2</v>
      </c>
      <c r="AN34" s="696">
        <f>LS!AN68</f>
        <v>4.6678027783057442E-2</v>
      </c>
      <c r="AO34" s="696">
        <f>LS!AO68</f>
        <v>4.4669658815585794E-2</v>
      </c>
      <c r="AP34" s="697">
        <f>LS!AP68</f>
        <v>0.11751678372037191</v>
      </c>
      <c r="AQ34" s="732">
        <f>LS!AQ68</f>
        <v>6.8700104115179683E-2</v>
      </c>
      <c r="AR34" s="761"/>
      <c r="AS34" s="717">
        <f>LS!AS68</f>
        <v>7.3232416947219339E-2</v>
      </c>
      <c r="AT34" s="696">
        <f>LS!AT68</f>
        <v>0.10322382474275713</v>
      </c>
      <c r="AU34" s="696">
        <f>LS!AU68</f>
        <v>7.3838287108491885E-2</v>
      </c>
      <c r="AV34" s="697">
        <f>LS!AV68</f>
        <v>4.3135325131810225E-2</v>
      </c>
      <c r="AW34" s="732">
        <f>LS!AW68</f>
        <v>7.2760039463518569E-2</v>
      </c>
      <c r="AX34" s="761"/>
      <c r="AY34" s="717">
        <f>LS!AY68</f>
        <v>8.5475524475524575E-2</v>
      </c>
      <c r="AZ34" s="696">
        <f>LS!AZ68</f>
        <v>3.155496453900708E-2</v>
      </c>
      <c r="BA34" s="696">
        <f>LS!BA68</f>
        <v>5.1490514905149054E-2</v>
      </c>
      <c r="BB34" s="697">
        <f>LS!BB68</f>
        <v>5.7434878512855919E-2</v>
      </c>
      <c r="BC34" s="732">
        <f>LS!BC68</f>
        <v>5.6259962125076043E-2</v>
      </c>
      <c r="BD34" s="761"/>
      <c r="BE34" s="717">
        <f>LS!BE68</f>
        <v>2.600557905156127E-2</v>
      </c>
      <c r="BF34" s="696">
        <f>LS!BF68</f>
        <v>1.3320736891828028E-2</v>
      </c>
      <c r="BG34" s="696">
        <f>LS!BG68</f>
        <v>8.2213438735177752E-2</v>
      </c>
      <c r="BH34" s="697">
        <f>LS!BH68</f>
        <v>4.7531992687385432E-3</v>
      </c>
      <c r="BI34" s="732">
        <f>LS!BI68</f>
        <v>3.0731091257776309E-2</v>
      </c>
      <c r="BJ34" s="761"/>
      <c r="BK34" s="717">
        <f>LS!BK68</f>
        <v>3.5360946745562012E-2</v>
      </c>
      <c r="BL34" s="696">
        <f>LS!BL68</f>
        <v>5.5454545454545513E-2</v>
      </c>
      <c r="BM34" s="696">
        <f>LS!BM68</f>
        <v>4.3861682242990731E-2</v>
      </c>
      <c r="BN34" s="697">
        <f>LS!BN68</f>
        <v>8.3204419889502695E-2</v>
      </c>
      <c r="BO34" s="732">
        <f>LS!BO68</f>
        <v>5.4819230769230731E-2</v>
      </c>
      <c r="BP34" s="761"/>
      <c r="BQ34" s="717">
        <f>LS!BQ68</f>
        <v>9.1742802303262899E-2</v>
      </c>
      <c r="BR34" s="696">
        <f>LS!BR68</f>
        <v>5.2223300970873715E-2</v>
      </c>
      <c r="BS34" s="696">
        <f>LS!BS68</f>
        <v>6.9808043875685441E-2</v>
      </c>
      <c r="BT34" s="697">
        <f>LS!BT68</f>
        <v>3.6411564625850455E-2</v>
      </c>
      <c r="BU34" s="732">
        <f>LS!BU68</f>
        <v>6.1855366190695676E-2</v>
      </c>
      <c r="BV34" s="761"/>
      <c r="BW34" s="717">
        <f>LS!BW68</f>
        <v>5.4889078498293539E-2</v>
      </c>
      <c r="BX34" s="696">
        <f>LS!BX68</f>
        <v>5.5189649384191866E-2</v>
      </c>
      <c r="BY34" s="696">
        <f>LS!BY68</f>
        <v>5.5183177720815824E-2</v>
      </c>
      <c r="BZ34" s="697">
        <f>LS!BZ68</f>
        <v>5.4904904569060164E-2</v>
      </c>
      <c r="CA34" s="732">
        <f>LS!CA68</f>
        <v>5.5042967112773518E-2</v>
      </c>
      <c r="CB34" s="761"/>
      <c r="CC34" s="717">
        <f>LS!CC68</f>
        <v>5.493326406859822E-2</v>
      </c>
      <c r="CD34" s="696">
        <f>LS!CD68</f>
        <v>5.5237633560648813E-2</v>
      </c>
      <c r="CE34" s="696">
        <f>LS!CE68</f>
        <v>5.5231399049207708E-2</v>
      </c>
      <c r="CF34" s="697">
        <f>LS!CF68</f>
        <v>5.4951842903966153E-2</v>
      </c>
      <c r="CG34" s="732">
        <f>LS!CG68</f>
        <v>5.5087825634776433E-2</v>
      </c>
      <c r="CH34" s="761"/>
      <c r="CI34" s="717">
        <f>LS!CI68</f>
        <v>5.4980339905857267E-2</v>
      </c>
      <c r="CJ34" s="696">
        <f>LS!CJ68</f>
        <v>5.5286088710908565E-2</v>
      </c>
      <c r="CK34" s="696">
        <f>LS!CK68</f>
        <v>5.5279827715917218E-2</v>
      </c>
      <c r="CL34" s="697">
        <f>LS!CL68</f>
        <v>5.4999007990930382E-2</v>
      </c>
      <c r="CM34" s="732">
        <f>LS!CM68</f>
        <v>5.5135623944647882E-2</v>
      </c>
    </row>
    <row r="35" spans="1:91" s="25" customFormat="1" ht="11.25" collapsed="1" x14ac:dyDescent="0.2">
      <c r="A35" s="709" t="s">
        <v>11</v>
      </c>
      <c r="B35" s="761"/>
      <c r="C35" s="729"/>
      <c r="D35" s="711"/>
      <c r="E35" s="711"/>
      <c r="F35" s="712"/>
      <c r="G35" s="740"/>
      <c r="H35" s="761"/>
      <c r="I35" s="729">
        <f>LS!I69</f>
        <v>727.86400000000003</v>
      </c>
      <c r="J35" s="711">
        <f>LS!J69</f>
        <v>750.29299999999989</v>
      </c>
      <c r="K35" s="711">
        <f>LS!K69</f>
        <v>775.49799999999993</v>
      </c>
      <c r="L35" s="712">
        <f>LS!L69</f>
        <v>806.66800000000001</v>
      </c>
      <c r="M35" s="740">
        <f>LS!M69</f>
        <v>3060.3229999999999</v>
      </c>
      <c r="N35" s="761"/>
      <c r="O35" s="729">
        <f>LS!O69</f>
        <v>769.71199999999999</v>
      </c>
      <c r="P35" s="711">
        <f>LS!P69</f>
        <v>770.63300000000004</v>
      </c>
      <c r="Q35" s="711">
        <f>LS!Q69</f>
        <v>776.14800000000002</v>
      </c>
      <c r="R35" s="712">
        <f>LS!R69</f>
        <v>814.24299999999994</v>
      </c>
      <c r="S35" s="740">
        <f>LS!S69</f>
        <v>3130.7359999999999</v>
      </c>
      <c r="T35" s="761"/>
      <c r="U35" s="729">
        <f>LS!U69</f>
        <v>826.80899999999997</v>
      </c>
      <c r="V35" s="711">
        <f>LS!V69</f>
        <v>798.14700000000005</v>
      </c>
      <c r="W35" s="711">
        <f>LS!W69</f>
        <v>806.702</v>
      </c>
      <c r="X35" s="712">
        <f>LS!X69</f>
        <v>838.45899999999995</v>
      </c>
      <c r="Y35" s="740">
        <f>LS!Y69</f>
        <v>3270.1170000000002</v>
      </c>
      <c r="Z35" s="761"/>
      <c r="AA35" s="729">
        <f>LS!AA69</f>
        <v>856.80669999999998</v>
      </c>
      <c r="AB35" s="711">
        <f>LS!AB69</f>
        <v>879.28199999999993</v>
      </c>
      <c r="AC35" s="711">
        <f>LS!AC69</f>
        <v>907.053</v>
      </c>
      <c r="AD35" s="712">
        <f>LS!AD69</f>
        <v>933.58999999999992</v>
      </c>
      <c r="AE35" s="740">
        <f>LS!AE69</f>
        <v>3576.7316999999994</v>
      </c>
      <c r="AF35" s="761"/>
      <c r="AG35" s="729">
        <f>LS!AG69</f>
        <v>881.32300000000009</v>
      </c>
      <c r="AH35" s="711">
        <f>LS!AH69</f>
        <v>907.774</v>
      </c>
      <c r="AI35" s="711">
        <f>LS!AI69</f>
        <v>910.45399999999995</v>
      </c>
      <c r="AJ35" s="712">
        <f>LS!AJ69</f>
        <v>918.13900000000001</v>
      </c>
      <c r="AK35" s="740">
        <f>LS!AK69</f>
        <v>3617.6900000000005</v>
      </c>
      <c r="AL35" s="761"/>
      <c r="AM35" s="729">
        <f>LS!AM69</f>
        <v>916.81900000000007</v>
      </c>
      <c r="AN35" s="711">
        <f>LS!AN69</f>
        <v>938.30399999999986</v>
      </c>
      <c r="AO35" s="711">
        <f>LS!AO69</f>
        <v>912.16599999999994</v>
      </c>
      <c r="AP35" s="712">
        <f>LS!AP69</f>
        <v>980</v>
      </c>
      <c r="AQ35" s="740">
        <f>LS!AQ69</f>
        <v>3747.2889999999998</v>
      </c>
      <c r="AR35" s="761"/>
      <c r="AS35" s="729">
        <f>LS!AS69</f>
        <v>951.4</v>
      </c>
      <c r="AT35" s="711">
        <f>LS!AT69</f>
        <v>955</v>
      </c>
      <c r="AU35" s="711">
        <f>LS!AU69</f>
        <v>956.3</v>
      </c>
      <c r="AV35" s="712">
        <f>LS!AV69</f>
        <v>1008.69</v>
      </c>
      <c r="AW35" s="740">
        <f>LS!AW69</f>
        <v>3871.39</v>
      </c>
      <c r="AX35" s="761"/>
      <c r="AY35" s="729">
        <f>LS!AY69</f>
        <v>979.5</v>
      </c>
      <c r="AZ35" s="711">
        <f>LS!AZ69</f>
        <v>944.95</v>
      </c>
      <c r="BA35" s="711">
        <f>LS!BA69</f>
        <v>920.7</v>
      </c>
      <c r="BB35" s="712">
        <f>LS!BB69</f>
        <v>976</v>
      </c>
      <c r="BC35" s="740">
        <f>LS!BC69</f>
        <v>3821.15</v>
      </c>
      <c r="BD35" s="761"/>
      <c r="BE35" s="729">
        <f>LS!BE69</f>
        <v>932</v>
      </c>
      <c r="BF35" s="711">
        <f>LS!BF69</f>
        <v>936</v>
      </c>
      <c r="BG35" s="711">
        <f>LS!BG69</f>
        <v>963</v>
      </c>
      <c r="BH35" s="712">
        <f>LS!BH69</f>
        <v>997</v>
      </c>
      <c r="BI35" s="740">
        <f>LS!BI69</f>
        <v>3828</v>
      </c>
      <c r="BJ35" s="761"/>
      <c r="BK35" s="729">
        <f>LS!BK69</f>
        <v>958</v>
      </c>
      <c r="BL35" s="711">
        <f>LS!BL69</f>
        <v>983</v>
      </c>
      <c r="BM35" s="711">
        <f>LS!BM69</f>
        <v>998</v>
      </c>
      <c r="BN35" s="712">
        <f>LS!BN69</f>
        <v>1051</v>
      </c>
      <c r="BO35" s="740">
        <f>LS!BO69</f>
        <v>3990</v>
      </c>
      <c r="BP35" s="761"/>
      <c r="BQ35" s="729">
        <f>LS!BQ69</f>
        <v>1045</v>
      </c>
      <c r="BR35" s="711">
        <f>LS!BR69</f>
        <v>1085.9842642610665</v>
      </c>
      <c r="BS35" s="711">
        <f>LS!BS69</f>
        <v>1101.9314944845446</v>
      </c>
      <c r="BT35" s="712">
        <f>LS!BT69</f>
        <v>1118.202807523475</v>
      </c>
      <c r="BU35" s="740">
        <f>LS!BU69</f>
        <v>4351.1185662690859</v>
      </c>
      <c r="BV35" s="761"/>
      <c r="BW35" s="729">
        <f>LS!BW69</f>
        <v>1130.9038941736783</v>
      </c>
      <c r="BX35" s="711">
        <f>LS!BX69</f>
        <v>1139.9746637822423</v>
      </c>
      <c r="BY35" s="711">
        <f>LS!BY69</f>
        <v>1153.746861022656</v>
      </c>
      <c r="BZ35" s="712">
        <f>LS!BZ69</f>
        <v>1170.4008034002084</v>
      </c>
      <c r="CA35" s="740">
        <f>LS!CA69</f>
        <v>4595.026222378785</v>
      </c>
      <c r="CB35" s="761"/>
      <c r="CC35" s="729">
        <f>LS!CC69</f>
        <v>1183.8222066840817</v>
      </c>
      <c r="CD35" s="711">
        <f>LS!CD69</f>
        <v>1193.1443858760908</v>
      </c>
      <c r="CE35" s="711">
        <f>LS!CE69</f>
        <v>1208.1461583555756</v>
      </c>
      <c r="CF35" s="712">
        <f>LS!CF69</f>
        <v>1225.1811406783149</v>
      </c>
      <c r="CG35" s="740">
        <f>LS!CG69</f>
        <v>4810.2938915940631</v>
      </c>
      <c r="CH35" s="761"/>
      <c r="CI35" s="729">
        <f>LS!CI69</f>
        <v>1239.3680784771168</v>
      </c>
      <c r="CJ35" s="711">
        <f>LS!CJ69</f>
        <v>1248.9507289234398</v>
      </c>
      <c r="CK35" s="711">
        <f>LS!CK69</f>
        <v>1265.2649521309568</v>
      </c>
      <c r="CL35" s="712">
        <f>LS!CL69</f>
        <v>1282.6781972998526</v>
      </c>
      <c r="CM35" s="740">
        <f>LS!CM69</f>
        <v>5036.2619568313658</v>
      </c>
    </row>
    <row r="36" spans="1:91" s="25" customFormat="1" ht="11.25" x14ac:dyDescent="0.2">
      <c r="A36" s="695" t="s">
        <v>5</v>
      </c>
      <c r="B36" s="761"/>
      <c r="C36" s="717"/>
      <c r="D36" s="696"/>
      <c r="E36" s="696"/>
      <c r="F36" s="697"/>
      <c r="G36" s="732"/>
      <c r="H36" s="761"/>
      <c r="I36" s="717">
        <f>LS!I70</f>
        <v>0.19050493055998552</v>
      </c>
      <c r="J36" s="696">
        <f>LS!J70</f>
        <v>0.13432752330888675</v>
      </c>
      <c r="K36" s="696">
        <f>LS!K70</f>
        <v>0.14261424330158157</v>
      </c>
      <c r="L36" s="697">
        <f>LS!L70</f>
        <v>0.13679736526507313</v>
      </c>
      <c r="M36" s="732">
        <f>LS!M70</f>
        <v>0.15000623793748247</v>
      </c>
      <c r="N36" s="761"/>
      <c r="O36" s="717">
        <f>LS!O70</f>
        <v>5.7494257168921648E-2</v>
      </c>
      <c r="P36" s="696">
        <f>LS!P70</f>
        <v>2.7109409257450201E-2</v>
      </c>
      <c r="Q36" s="696">
        <f>LS!Q70</f>
        <v>8.3817108490302772E-4</v>
      </c>
      <c r="R36" s="697">
        <f>LS!R70</f>
        <v>9.3904803463134012E-3</v>
      </c>
      <c r="S36" s="732">
        <f>LS!S70</f>
        <v>2.3008355653961976E-2</v>
      </c>
      <c r="T36" s="761"/>
      <c r="U36" s="717">
        <f>LS!U70</f>
        <v>7.4179693183944018E-2</v>
      </c>
      <c r="V36" s="696">
        <f>LS!V70</f>
        <v>3.5703116788406319E-2</v>
      </c>
      <c r="W36" s="696">
        <f>LS!W70</f>
        <v>3.9366203352968698E-2</v>
      </c>
      <c r="X36" s="697">
        <f>LS!X70</f>
        <v>2.9740507440653374E-2</v>
      </c>
      <c r="Y36" s="732">
        <f>LS!Y70</f>
        <v>4.4520202278314214E-2</v>
      </c>
      <c r="Z36" s="761"/>
      <c r="AA36" s="717">
        <f>LS!AA70</f>
        <v>3.6281293503094503E-2</v>
      </c>
      <c r="AB36" s="696">
        <f>LS!AB70</f>
        <v>0.10165420655593493</v>
      </c>
      <c r="AC36" s="696">
        <f>LS!AC70</f>
        <v>0.12439661733824892</v>
      </c>
      <c r="AD36" s="697">
        <f>LS!AD70</f>
        <v>0.11345933432642497</v>
      </c>
      <c r="AE36" s="732">
        <f>LS!AE70</f>
        <v>9.376260849382434E-2</v>
      </c>
      <c r="AF36" s="761"/>
      <c r="AG36" s="717">
        <f>LS!AG70</f>
        <v>2.8613571765953916E-2</v>
      </c>
      <c r="AH36" s="696">
        <f>LS!AH70</f>
        <v>3.2403711209828101E-2</v>
      </c>
      <c r="AI36" s="696">
        <f>LS!AI70</f>
        <v>3.7495052659546335E-3</v>
      </c>
      <c r="AJ36" s="697">
        <f>LS!AJ70</f>
        <v>-1.6550091581957749E-2</v>
      </c>
      <c r="AK36" s="732">
        <f>LS!AK70</f>
        <v>1.1451320209453053E-2</v>
      </c>
      <c r="AL36" s="761"/>
      <c r="AM36" s="717">
        <f>LS!AM70</f>
        <v>4.0275812613536743E-2</v>
      </c>
      <c r="AN36" s="696">
        <f>LS!AN70</f>
        <v>3.3631718908009978E-2</v>
      </c>
      <c r="AO36" s="696">
        <f>LS!AO70</f>
        <v>1.8803805573921473E-3</v>
      </c>
      <c r="AP36" s="697">
        <f>LS!AP70</f>
        <v>6.737650835004283E-2</v>
      </c>
      <c r="AQ36" s="732">
        <f>LS!AQ70</f>
        <v>3.5823688596866798E-2</v>
      </c>
      <c r="AR36" s="761"/>
      <c r="AS36" s="717">
        <f>LS!AS70</f>
        <v>3.7718459150606565E-2</v>
      </c>
      <c r="AT36" s="696">
        <f>LS!AT70</f>
        <v>1.7793806698042536E-2</v>
      </c>
      <c r="AU36" s="696">
        <f>LS!AU70</f>
        <v>4.838373717064659E-2</v>
      </c>
      <c r="AV36" s="697">
        <f>LS!AV70</f>
        <v>2.927551020408159E-2</v>
      </c>
      <c r="AW36" s="732">
        <f>LS!AW70</f>
        <v>3.3117541774867032E-2</v>
      </c>
      <c r="AX36" s="761"/>
      <c r="AY36" s="717">
        <f>LS!AY70</f>
        <v>2.9535421484128577E-2</v>
      </c>
      <c r="AZ36" s="696">
        <f>LS!AZ70</f>
        <v>-1.0523560209424021E-2</v>
      </c>
      <c r="BA36" s="696">
        <f>LS!BA70</f>
        <v>-3.7226811669977988E-2</v>
      </c>
      <c r="BB36" s="697">
        <f>LS!BB70</f>
        <v>-3.2408371253804469E-2</v>
      </c>
      <c r="BC36" s="732">
        <f>LS!BC70</f>
        <v>-1.2977251064862916E-2</v>
      </c>
      <c r="BD36" s="761"/>
      <c r="BE36" s="717">
        <f>LS!BE70</f>
        <v>-4.8494129657988716E-2</v>
      </c>
      <c r="BF36" s="696">
        <f>LS!BF70</f>
        <v>-9.4714006032066145E-3</v>
      </c>
      <c r="BG36" s="696">
        <f>LS!BG70</f>
        <v>4.5943304007820096E-2</v>
      </c>
      <c r="BH36" s="697">
        <f>LS!BH70</f>
        <v>2.1516393442623016E-2</v>
      </c>
      <c r="BI36" s="732">
        <f>LS!BI70</f>
        <v>1.7926540439396899E-3</v>
      </c>
      <c r="BJ36" s="761"/>
      <c r="BK36" s="717">
        <f>LS!BK70</f>
        <v>2.7896995708154515E-2</v>
      </c>
      <c r="BL36" s="696">
        <f>LS!BL70</f>
        <v>5.0213675213675257E-2</v>
      </c>
      <c r="BM36" s="696">
        <f>LS!BM70</f>
        <v>3.6344755970924236E-2</v>
      </c>
      <c r="BN36" s="697">
        <f>LS!BN70</f>
        <v>5.4162487462387165E-2</v>
      </c>
      <c r="BO36" s="732">
        <f>LS!BO70</f>
        <v>4.2319749216300995E-2</v>
      </c>
      <c r="BP36" s="761"/>
      <c r="BQ36" s="717">
        <f>LS!BQ70</f>
        <v>9.081419624217113E-2</v>
      </c>
      <c r="BR36" s="696">
        <f>LS!BR70</f>
        <v>0.10476527391766677</v>
      </c>
      <c r="BS36" s="696">
        <f>LS!BS70</f>
        <v>0.10413977403260977</v>
      </c>
      <c r="BT36" s="697">
        <f>LS!BT70</f>
        <v>6.3941776901498493E-2</v>
      </c>
      <c r="BU36" s="732">
        <f>LS!BU70</f>
        <v>9.050590633310418E-2</v>
      </c>
      <c r="BV36" s="761"/>
      <c r="BW36" s="717">
        <f>LS!BW70</f>
        <v>8.2204683419787816E-2</v>
      </c>
      <c r="BX36" s="696">
        <f>LS!BX70</f>
        <v>4.971563704738613E-2</v>
      </c>
      <c r="BY36" s="696">
        <f>LS!BY70</f>
        <v>4.7022312001663291E-2</v>
      </c>
      <c r="BZ36" s="697">
        <f>LS!BZ70</f>
        <v>4.6680258290835663E-2</v>
      </c>
      <c r="CA36" s="732">
        <f>LS!CA70</f>
        <v>5.6056311128942715E-2</v>
      </c>
      <c r="CB36" s="761"/>
      <c r="CC36" s="717">
        <f>LS!CC70</f>
        <v>4.679293508761817E-2</v>
      </c>
      <c r="CD36" s="696">
        <f>LS!CD70</f>
        <v>4.6641143687738085E-2</v>
      </c>
      <c r="CE36" s="696">
        <f>LS!CE70</f>
        <v>4.7150115134182213E-2</v>
      </c>
      <c r="CF36" s="697">
        <f>LS!CF70</f>
        <v>4.6804767323262775E-2</v>
      </c>
      <c r="CG36" s="732">
        <f>LS!CG70</f>
        <v>4.684797404786889E-2</v>
      </c>
      <c r="CH36" s="761"/>
      <c r="CI36" s="717">
        <f>LS!CI70</f>
        <v>4.6920788847694128E-2</v>
      </c>
      <c r="CJ36" s="696">
        <f>LS!CJ70</f>
        <v>4.6772497702674887E-2</v>
      </c>
      <c r="CK36" s="696">
        <f>LS!CK70</f>
        <v>4.7278049415085954E-2</v>
      </c>
      <c r="CL36" s="697">
        <f>LS!CL70</f>
        <v>4.692943329971988E-2</v>
      </c>
      <c r="CM36" s="732">
        <f>LS!CM70</f>
        <v>4.697593750605944E-2</v>
      </c>
    </row>
    <row r="37" spans="1:91" s="25" customFormat="1" ht="11.25" x14ac:dyDescent="0.2">
      <c r="A37" s="695" t="s">
        <v>9</v>
      </c>
      <c r="B37" s="761"/>
      <c r="C37" s="717"/>
      <c r="D37" s="696"/>
      <c r="E37" s="696"/>
      <c r="F37" s="697"/>
      <c r="G37" s="732"/>
      <c r="H37" s="761"/>
      <c r="I37" s="717">
        <f>LS!I71</f>
        <v>3.9739590540259842E-2</v>
      </c>
      <c r="J37" s="696">
        <f>LS!J71</f>
        <v>4.8768710228999326E-2</v>
      </c>
      <c r="K37" s="696">
        <f>LS!K71</f>
        <v>6.217175798027124E-2</v>
      </c>
      <c r="L37" s="697">
        <f>LS!L71</f>
        <v>4.0699139088806749E-2</v>
      </c>
      <c r="M37" s="732">
        <f>LS!M71</f>
        <v>4.796087836172222E-2</v>
      </c>
      <c r="N37" s="761"/>
      <c r="O37" s="717">
        <f>LS!O71</f>
        <v>-1.9538970192233711E-2</v>
      </c>
      <c r="P37" s="696">
        <f>LS!P71</f>
        <v>-2.1492177056163391E-2</v>
      </c>
      <c r="Q37" s="696">
        <f>LS!Q71</f>
        <v>-5.0598910635488423E-2</v>
      </c>
      <c r="R37" s="697">
        <f>LS!R71</f>
        <v>-2.5757922714177334E-2</v>
      </c>
      <c r="S37" s="732">
        <f>LS!S71</f>
        <v>-2.9527794615143564E-2</v>
      </c>
      <c r="T37" s="761"/>
      <c r="U37" s="717">
        <f>LS!U71</f>
        <v>1.3171330315754464E-2</v>
      </c>
      <c r="V37" s="696">
        <f>LS!V71</f>
        <v>-1.0600512046590271E-2</v>
      </c>
      <c r="W37" s="696">
        <f>LS!W71</f>
        <v>-1.2073523348639693E-2</v>
      </c>
      <c r="X37" s="697">
        <f>LS!X71</f>
        <v>-1.4741203792970895E-2</v>
      </c>
      <c r="Y37" s="732">
        <f>LS!Y71</f>
        <v>-6.1981388401960436E-3</v>
      </c>
      <c r="Z37" s="761"/>
      <c r="AA37" s="717">
        <f>LS!AA71</f>
        <v>2.3820592180297988E-3</v>
      </c>
      <c r="AB37" s="696">
        <f>LS!AB71</f>
        <v>2.7863887228793689E-2</v>
      </c>
      <c r="AC37" s="696">
        <f>LS!AC71</f>
        <v>4.8675290255881347E-2</v>
      </c>
      <c r="AD37" s="697">
        <f>LS!AD71</f>
        <v>4.7699997256872427E-2</v>
      </c>
      <c r="AE37" s="732">
        <f>LS!AE71</f>
        <v>3.1641048928830372E-2</v>
      </c>
      <c r="AF37" s="761"/>
      <c r="AG37" s="717">
        <f>LS!AG71</f>
        <v>5.9954818280482649E-4</v>
      </c>
      <c r="AH37" s="696">
        <f>LS!AH71</f>
        <v>-7.839553180890772E-3</v>
      </c>
      <c r="AI37" s="696">
        <f>LS!AI71</f>
        <v>-2.9135108973786534E-2</v>
      </c>
      <c r="AJ37" s="697">
        <f>LS!AJ71</f>
        <v>-4.9575992673443384E-2</v>
      </c>
      <c r="AK37" s="732">
        <f>LS!AK71</f>
        <v>-2.211242741522939E-2</v>
      </c>
      <c r="AL37" s="761"/>
      <c r="AM37" s="717">
        <f>LS!AM71</f>
        <v>-1.2814771655794754E-2</v>
      </c>
      <c r="AN37" s="696">
        <f>LS!AN71</f>
        <v>-3.681927440089714E-3</v>
      </c>
      <c r="AO37" s="696">
        <f>LS!AO71</f>
        <v>-1.6095552328838143E-2</v>
      </c>
      <c r="AP37" s="697">
        <f>LS!AP71</f>
        <v>-1.1035714635801332E-2</v>
      </c>
      <c r="AQ37" s="732">
        <f>LS!AQ71</f>
        <v>-1.0897255154532312E-2</v>
      </c>
      <c r="AR37" s="761"/>
      <c r="AS37" s="717">
        <f>LS!AS71</f>
        <v>-8.7172484427133368E-3</v>
      </c>
      <c r="AT37" s="696">
        <f>LS!AT71</f>
        <v>-1.8807530395266361E-2</v>
      </c>
      <c r="AU37" s="696">
        <f>LS!AU71</f>
        <v>2.7038126832177479E-3</v>
      </c>
      <c r="AV37" s="697">
        <f>LS!AV71</f>
        <v>3.5306122448979595E-4</v>
      </c>
      <c r="AW37" s="732">
        <f>LS!AW71</f>
        <v>-6.0916022222999092E-3</v>
      </c>
      <c r="AX37" s="761"/>
      <c r="AY37" s="717">
        <f>LS!AY71</f>
        <v>-3.5944292621400045E-2</v>
      </c>
      <c r="AZ37" s="696">
        <f>LS!AZ71</f>
        <v>-5.5023036649214659E-2</v>
      </c>
      <c r="BA37" s="696">
        <f>LS!BA71</f>
        <v>-7.9472968733660984E-2</v>
      </c>
      <c r="BB37" s="697">
        <f>LS!BB71</f>
        <v>-8.0302174107010071E-2</v>
      </c>
      <c r="BC37" s="732">
        <f>LS!BC71</f>
        <v>-6.2960435399171871E-2</v>
      </c>
      <c r="BD37" s="761"/>
      <c r="BE37" s="717">
        <f>LS!BE71</f>
        <v>-6.4420622766717714E-2</v>
      </c>
      <c r="BF37" s="696">
        <f>LS!BF71</f>
        <v>-4.3706016191332867E-2</v>
      </c>
      <c r="BG37" s="696">
        <f>LS!BG71</f>
        <v>-1.3685239491691106E-2</v>
      </c>
      <c r="BH37" s="697">
        <f>LS!BH71</f>
        <v>-6.762295081967214E-3</v>
      </c>
      <c r="BI37" s="732">
        <f>LS!BI71</f>
        <v>-3.2346283186998677E-2</v>
      </c>
      <c r="BJ37" s="761"/>
      <c r="BK37" s="717">
        <f>LS!BK71</f>
        <v>-4.2145922746780915E-3</v>
      </c>
      <c r="BL37" s="696">
        <f>LS!BL71</f>
        <v>-7.9594017094017193E-3</v>
      </c>
      <c r="BM37" s="696">
        <f>LS!BM71</f>
        <v>-1.1906542056074783E-2</v>
      </c>
      <c r="BN37" s="697">
        <f>LS!BN71</f>
        <v>-1.8054162487463895E-4</v>
      </c>
      <c r="BO37" s="732">
        <f>LS!BO71</f>
        <v>-6.0146290491118123E-3</v>
      </c>
      <c r="BP37" s="761"/>
      <c r="BQ37" s="717">
        <f>LS!BQ71</f>
        <v>1.7956158663883073E-2</v>
      </c>
      <c r="BR37" s="696">
        <f>LS!BR71</f>
        <v>6.0930075545337366E-2</v>
      </c>
      <c r="BS37" s="696">
        <f>LS!BS71</f>
        <v>5.0141778040626007E-2</v>
      </c>
      <c r="BT37" s="697">
        <f>LS!BT71</f>
        <v>2.0825696977616579E-2</v>
      </c>
      <c r="BU37" s="732">
        <f>LS!BU71</f>
        <v>3.7349765982227168E-2</v>
      </c>
      <c r="BV37" s="761"/>
      <c r="BW37" s="717">
        <f>LS!BW71</f>
        <v>3.5817123611175471E-2</v>
      </c>
      <c r="BX37" s="696">
        <f>LS!BX71</f>
        <v>3.2321011813416225E-3</v>
      </c>
      <c r="BY37" s="696">
        <f>LS!BY71</f>
        <v>0</v>
      </c>
      <c r="BZ37" s="697">
        <f>LS!BZ71</f>
        <v>0</v>
      </c>
      <c r="CA37" s="732">
        <f>LS!CA71</f>
        <v>9.4088231735359219E-3</v>
      </c>
      <c r="CB37" s="761"/>
      <c r="CC37" s="717">
        <f>LS!CC71</f>
        <v>0</v>
      </c>
      <c r="CD37" s="696">
        <f>LS!CD71</f>
        <v>0</v>
      </c>
      <c r="CE37" s="696">
        <f>LS!CE71</f>
        <v>0</v>
      </c>
      <c r="CF37" s="697">
        <f>LS!CF71</f>
        <v>0</v>
      </c>
      <c r="CG37" s="732">
        <f>LS!CG71</f>
        <v>0</v>
      </c>
      <c r="CH37" s="761"/>
      <c r="CI37" s="717">
        <f>LS!CI71</f>
        <v>0</v>
      </c>
      <c r="CJ37" s="696">
        <f>LS!CJ71</f>
        <v>0</v>
      </c>
      <c r="CK37" s="696">
        <f>LS!CK71</f>
        <v>0</v>
      </c>
      <c r="CL37" s="697">
        <f>LS!CL71</f>
        <v>0</v>
      </c>
      <c r="CM37" s="732">
        <f>LS!CM71</f>
        <v>0</v>
      </c>
    </row>
    <row r="38" spans="1:91" s="25" customFormat="1" ht="11.25" x14ac:dyDescent="0.2">
      <c r="A38" s="695" t="s">
        <v>10</v>
      </c>
      <c r="B38" s="761"/>
      <c r="C38" s="717"/>
      <c r="D38" s="696"/>
      <c r="E38" s="696"/>
      <c r="F38" s="697"/>
      <c r="G38" s="732"/>
      <c r="H38" s="761"/>
      <c r="I38" s="717">
        <f>LS!I72</f>
        <v>0.15076534001972569</v>
      </c>
      <c r="J38" s="696">
        <f>LS!J72</f>
        <v>8.5558813079887427E-2</v>
      </c>
      <c r="K38" s="696">
        <f>LS!K72</f>
        <v>8.044248532131032E-2</v>
      </c>
      <c r="L38" s="697">
        <f>LS!L72</f>
        <v>9.6098226176266385E-2</v>
      </c>
      <c r="M38" s="732">
        <f>LS!M72</f>
        <v>0.10204535957576025</v>
      </c>
      <c r="N38" s="761"/>
      <c r="O38" s="717">
        <f>LS!O72</f>
        <v>7.7033227361155365E-2</v>
      </c>
      <c r="P38" s="696">
        <f>LS!P72</f>
        <v>4.8601586313613596E-2</v>
      </c>
      <c r="Q38" s="696">
        <f>LS!Q72</f>
        <v>5.143708172039145E-2</v>
      </c>
      <c r="R38" s="697">
        <f>LS!R72</f>
        <v>3.5148403060490732E-2</v>
      </c>
      <c r="S38" s="732">
        <f>LS!S72</f>
        <v>5.253615026910554E-2</v>
      </c>
      <c r="T38" s="761"/>
      <c r="U38" s="717">
        <f>LS!U72</f>
        <v>6.1008362868189552E-2</v>
      </c>
      <c r="V38" s="696">
        <f>LS!V72</f>
        <v>4.6303628834996592E-2</v>
      </c>
      <c r="W38" s="696">
        <f>LS!W72</f>
        <v>5.1439726701608388E-2</v>
      </c>
      <c r="X38" s="697">
        <f>LS!X72</f>
        <v>4.4481711233624266E-2</v>
      </c>
      <c r="Y38" s="732">
        <f>LS!Y72</f>
        <v>5.0718341118510257E-2</v>
      </c>
      <c r="Z38" s="761"/>
      <c r="AA38" s="717">
        <f>LS!AA72</f>
        <v>3.3899234285064701E-2</v>
      </c>
      <c r="AB38" s="696">
        <f>LS!AB72</f>
        <v>7.3790319327141252E-2</v>
      </c>
      <c r="AC38" s="696">
        <f>LS!AC72</f>
        <v>7.5721327082367562E-2</v>
      </c>
      <c r="AD38" s="697">
        <f>LS!AD72</f>
        <v>6.5759337069552531E-2</v>
      </c>
      <c r="AE38" s="732">
        <f>LS!AE72</f>
        <v>6.2121559564993968E-2</v>
      </c>
      <c r="AF38" s="761"/>
      <c r="AG38" s="717">
        <f>LS!AG72</f>
        <v>2.8014023583149091E-2</v>
      </c>
      <c r="AH38" s="696">
        <f>LS!AH72</f>
        <v>4.0243264390718875E-2</v>
      </c>
      <c r="AI38" s="696">
        <f>LS!AI72</f>
        <v>3.2884614239741164E-2</v>
      </c>
      <c r="AJ38" s="697">
        <f>LS!AJ72</f>
        <v>3.3025901091485635E-2</v>
      </c>
      <c r="AK38" s="732">
        <f>LS!AK72</f>
        <v>3.3563747624682443E-2</v>
      </c>
      <c r="AL38" s="761"/>
      <c r="AM38" s="717">
        <f>LS!AM72</f>
        <v>5.3090584269331498E-2</v>
      </c>
      <c r="AN38" s="696">
        <f>LS!AN72</f>
        <v>3.7313646348099694E-2</v>
      </c>
      <c r="AO38" s="696">
        <f>LS!AO72</f>
        <v>1.7975932886230291E-2</v>
      </c>
      <c r="AP38" s="697">
        <f>LS!AP72</f>
        <v>7.841222298584416E-2</v>
      </c>
      <c r="AQ38" s="732">
        <f>LS!AQ72</f>
        <v>4.672094375139911E-2</v>
      </c>
      <c r="AR38" s="761"/>
      <c r="AS38" s="717">
        <f>LS!AS72</f>
        <v>4.64357075933199E-2</v>
      </c>
      <c r="AT38" s="696">
        <f>LS!AT72</f>
        <v>3.66013370933089E-2</v>
      </c>
      <c r="AU38" s="696">
        <f>LS!AU72</f>
        <v>4.5679924487428844E-2</v>
      </c>
      <c r="AV38" s="697">
        <f>LS!AV72</f>
        <v>2.8922448979591793E-2</v>
      </c>
      <c r="AW38" s="732">
        <f>LS!AW72</f>
        <v>3.9209143997166941E-2</v>
      </c>
      <c r="AX38" s="761"/>
      <c r="AY38" s="717">
        <f>LS!AY72</f>
        <v>6.5479714105528622E-2</v>
      </c>
      <c r="AZ38" s="696">
        <f>LS!AZ72</f>
        <v>4.4499476439790638E-2</v>
      </c>
      <c r="BA38" s="696">
        <f>LS!BA72</f>
        <v>4.2246157063682996E-2</v>
      </c>
      <c r="BB38" s="697">
        <f>LS!BB72</f>
        <v>4.7893802853205603E-2</v>
      </c>
      <c r="BC38" s="732">
        <f>LS!BC72</f>
        <v>4.9983184334308955E-2</v>
      </c>
      <c r="BD38" s="761"/>
      <c r="BE38" s="717">
        <f>LS!BE72</f>
        <v>1.5926493108728998E-2</v>
      </c>
      <c r="BF38" s="696">
        <f>LS!BF72</f>
        <v>3.4234615588126252E-2</v>
      </c>
      <c r="BG38" s="696">
        <f>LS!BG72</f>
        <v>5.9628543499511202E-2</v>
      </c>
      <c r="BH38" s="697">
        <f>LS!BH72</f>
        <v>2.8278688524590229E-2</v>
      </c>
      <c r="BI38" s="732">
        <f>LS!BI72</f>
        <v>3.4138937230938367E-2</v>
      </c>
      <c r="BJ38" s="761"/>
      <c r="BK38" s="717">
        <f>LS!BK72</f>
        <v>3.2111587982832604E-2</v>
      </c>
      <c r="BL38" s="696">
        <f>LS!BL72</f>
        <v>5.817307692307698E-2</v>
      </c>
      <c r="BM38" s="696">
        <f>LS!BM72</f>
        <v>4.8251298026999019E-2</v>
      </c>
      <c r="BN38" s="697">
        <f>LS!BN72</f>
        <v>5.4343029087261803E-2</v>
      </c>
      <c r="BO38" s="732">
        <f>LS!BO72</f>
        <v>4.8334378265412807E-2</v>
      </c>
      <c r="BP38" s="761"/>
      <c r="BQ38" s="717">
        <f>LS!BQ72</f>
        <v>7.2858037578288057E-2</v>
      </c>
      <c r="BR38" s="696">
        <f>LS!BR72</f>
        <v>4.3835198372329402E-2</v>
      </c>
      <c r="BS38" s="696">
        <f>LS!BS72</f>
        <v>5.3997995991983759E-2</v>
      </c>
      <c r="BT38" s="697">
        <f>LS!BT72</f>
        <v>4.3116079923881917E-2</v>
      </c>
      <c r="BU38" s="732">
        <f>LS!BU72</f>
        <v>5.3156140350877013E-2</v>
      </c>
      <c r="BV38" s="761"/>
      <c r="BW38" s="717">
        <f>LS!BW72</f>
        <v>4.6387559808612346E-2</v>
      </c>
      <c r="BX38" s="696">
        <f>LS!BX72</f>
        <v>4.6483535866044506E-2</v>
      </c>
      <c r="BY38" s="696">
        <f>LS!BY72</f>
        <v>4.7022312001663291E-2</v>
      </c>
      <c r="BZ38" s="697">
        <f>LS!BZ72</f>
        <v>4.6680258290835663E-2</v>
      </c>
      <c r="CA38" s="732">
        <f>LS!CA72</f>
        <v>4.6647487955406797E-2</v>
      </c>
      <c r="CB38" s="761"/>
      <c r="CC38" s="717">
        <f>LS!CC72</f>
        <v>4.679293508761817E-2</v>
      </c>
      <c r="CD38" s="696">
        <f>LS!CD72</f>
        <v>4.6641143687738085E-2</v>
      </c>
      <c r="CE38" s="696">
        <f>LS!CE72</f>
        <v>4.7150115134182213E-2</v>
      </c>
      <c r="CF38" s="697">
        <f>LS!CF72</f>
        <v>4.6804767323262775E-2</v>
      </c>
      <c r="CG38" s="732">
        <f>LS!CG72</f>
        <v>4.684797404786889E-2</v>
      </c>
      <c r="CH38" s="761"/>
      <c r="CI38" s="717">
        <f>LS!CI72</f>
        <v>4.6920788847694128E-2</v>
      </c>
      <c r="CJ38" s="696">
        <f>LS!CJ72</f>
        <v>4.6772497702674887E-2</v>
      </c>
      <c r="CK38" s="696">
        <f>LS!CK72</f>
        <v>4.7278049415085954E-2</v>
      </c>
      <c r="CL38" s="697">
        <f>LS!CL72</f>
        <v>4.692943329971988E-2</v>
      </c>
      <c r="CM38" s="732">
        <f>LS!CM72</f>
        <v>4.697593750605944E-2</v>
      </c>
    </row>
    <row r="39" spans="1:91" s="25" customFormat="1" ht="11.25" x14ac:dyDescent="0.2">
      <c r="A39" s="695" t="s">
        <v>6</v>
      </c>
      <c r="B39" s="761"/>
      <c r="C39" s="717"/>
      <c r="D39" s="696"/>
      <c r="E39" s="696"/>
      <c r="F39" s="697"/>
      <c r="G39" s="732"/>
      <c r="H39" s="761"/>
      <c r="I39" s="717">
        <f>LS!I73</f>
        <v>0</v>
      </c>
      <c r="J39" s="696">
        <f>LS!J73</f>
        <v>0</v>
      </c>
      <c r="K39" s="696">
        <f>LS!K73</f>
        <v>0</v>
      </c>
      <c r="L39" s="697">
        <f>LS!L73</f>
        <v>0</v>
      </c>
      <c r="M39" s="732">
        <f>LS!M73</f>
        <v>0</v>
      </c>
      <c r="N39" s="761"/>
      <c r="O39" s="717">
        <f>LS!O73</f>
        <v>0</v>
      </c>
      <c r="P39" s="696">
        <f>LS!P73</f>
        <v>0</v>
      </c>
      <c r="Q39" s="696">
        <f>LS!Q73</f>
        <v>0</v>
      </c>
      <c r="R39" s="697">
        <f>LS!R73</f>
        <v>0</v>
      </c>
      <c r="S39" s="732">
        <f>LS!S73</f>
        <v>0</v>
      </c>
      <c r="T39" s="761"/>
      <c r="U39" s="717">
        <f>LS!U73</f>
        <v>0</v>
      </c>
      <c r="V39" s="696">
        <f>LS!V73</f>
        <v>0</v>
      </c>
      <c r="W39" s="696">
        <f>LS!W73</f>
        <v>0</v>
      </c>
      <c r="X39" s="697">
        <f>LS!X73</f>
        <v>0</v>
      </c>
      <c r="Y39" s="732">
        <f>LS!Y73</f>
        <v>0</v>
      </c>
      <c r="Z39" s="761"/>
      <c r="AA39" s="717">
        <f>LS!AA73</f>
        <v>5.8562497505469822E-3</v>
      </c>
      <c r="AB39" s="696">
        <f>LS!AB73</f>
        <v>1.1273612504964623E-2</v>
      </c>
      <c r="AC39" s="696">
        <f>LS!AC73</f>
        <v>1.4768774590865027E-2</v>
      </c>
      <c r="AD39" s="697">
        <f>LS!AD73</f>
        <v>1.3577288811975303E-2</v>
      </c>
      <c r="AE39" s="732">
        <f>LS!AE73</f>
        <v>1.1356780200830734E-2</v>
      </c>
      <c r="AF39" s="761"/>
      <c r="AG39" s="717">
        <f>LS!AG73</f>
        <v>0</v>
      </c>
      <c r="AH39" s="696">
        <f>LS!AH73</f>
        <v>0</v>
      </c>
      <c r="AI39" s="696">
        <f>LS!AI73</f>
        <v>0</v>
      </c>
      <c r="AJ39" s="697">
        <f>LS!AJ73</f>
        <v>0</v>
      </c>
      <c r="AK39" s="732">
        <f>LS!AK73</f>
        <v>0</v>
      </c>
      <c r="AL39" s="761"/>
      <c r="AM39" s="717">
        <f>LS!AM73</f>
        <v>2.051325110090171E-3</v>
      </c>
      <c r="AN39" s="696">
        <f>LS!AN73</f>
        <v>2.1330639564473095E-3</v>
      </c>
      <c r="AO39" s="696">
        <f>LS!AO73</f>
        <v>1.9389227791848905E-3</v>
      </c>
      <c r="AP39" s="697">
        <f>LS!AP73</f>
        <v>2.0197813185149523E-3</v>
      </c>
      <c r="AQ39" s="732">
        <f>LS!AQ73</f>
        <v>2.0355420171435362E-3</v>
      </c>
      <c r="AR39" s="761"/>
      <c r="AS39" s="717">
        <f>LS!AS73</f>
        <v>1.9709342847388633E-3</v>
      </c>
      <c r="AT39" s="696">
        <f>LS!AT73</f>
        <v>0</v>
      </c>
      <c r="AU39" s="696">
        <f>LS!AU73</f>
        <v>0</v>
      </c>
      <c r="AV39" s="697">
        <f>LS!AV73</f>
        <v>0</v>
      </c>
      <c r="AW39" s="732">
        <f>LS!AW73</f>
        <v>4.8221260756776437E-4</v>
      </c>
      <c r="AX39" s="761"/>
      <c r="AY39" s="717">
        <f>LS!AY73</f>
        <v>0</v>
      </c>
      <c r="AZ39" s="696">
        <f>LS!AZ73</f>
        <v>0</v>
      </c>
      <c r="BA39" s="696">
        <f>LS!BA73</f>
        <v>0</v>
      </c>
      <c r="BB39" s="697">
        <f>LS!BB73</f>
        <v>0</v>
      </c>
      <c r="BC39" s="732">
        <f>LS!BC73</f>
        <v>0</v>
      </c>
      <c r="BD39" s="761"/>
      <c r="BE39" s="717">
        <f>LS!BE73</f>
        <v>0</v>
      </c>
      <c r="BF39" s="696">
        <f>LS!BF73</f>
        <v>0</v>
      </c>
      <c r="BG39" s="696">
        <f>LS!BG73</f>
        <v>0</v>
      </c>
      <c r="BH39" s="697">
        <f>LS!BH73</f>
        <v>0</v>
      </c>
      <c r="BI39" s="732">
        <f>LS!BI73</f>
        <v>0</v>
      </c>
      <c r="BJ39" s="761"/>
      <c r="BK39" s="717">
        <f>LS!BK73</f>
        <v>0</v>
      </c>
      <c r="BL39" s="696">
        <f>LS!BL73</f>
        <v>0</v>
      </c>
      <c r="BM39" s="696">
        <f>LS!BM73</f>
        <v>0</v>
      </c>
      <c r="BN39" s="697">
        <f>LS!BN73</f>
        <v>0</v>
      </c>
      <c r="BO39" s="732">
        <f>LS!BO73</f>
        <v>0</v>
      </c>
      <c r="BP39" s="761"/>
      <c r="BQ39" s="717">
        <f>LS!BQ73</f>
        <v>0</v>
      </c>
      <c r="BR39" s="696">
        <f>LS!BR73</f>
        <v>0</v>
      </c>
      <c r="BS39" s="696">
        <f>LS!BS73</f>
        <v>0</v>
      </c>
      <c r="BT39" s="697">
        <f>LS!BT73</f>
        <v>0</v>
      </c>
      <c r="BU39" s="732">
        <f>LS!BU73</f>
        <v>0</v>
      </c>
      <c r="BV39" s="761"/>
      <c r="BW39" s="717">
        <f>LS!BW73</f>
        <v>0</v>
      </c>
      <c r="BX39" s="696">
        <f>LS!BX73</f>
        <v>0</v>
      </c>
      <c r="BY39" s="696">
        <f>LS!BY73</f>
        <v>0</v>
      </c>
      <c r="BZ39" s="697">
        <f>LS!BZ73</f>
        <v>0</v>
      </c>
      <c r="CA39" s="732">
        <f>LS!CA73</f>
        <v>0</v>
      </c>
      <c r="CB39" s="761"/>
      <c r="CC39" s="717">
        <f>LS!CC73</f>
        <v>0</v>
      </c>
      <c r="CD39" s="696">
        <f>LS!CD73</f>
        <v>0</v>
      </c>
      <c r="CE39" s="696">
        <f>LS!CE73</f>
        <v>0</v>
      </c>
      <c r="CF39" s="697">
        <f>LS!CF73</f>
        <v>0</v>
      </c>
      <c r="CG39" s="732">
        <f>LS!CG73</f>
        <v>0</v>
      </c>
      <c r="CH39" s="761"/>
      <c r="CI39" s="717">
        <f>LS!CI73</f>
        <v>0</v>
      </c>
      <c r="CJ39" s="696">
        <f>LS!CJ73</f>
        <v>0</v>
      </c>
      <c r="CK39" s="696">
        <f>LS!CK73</f>
        <v>0</v>
      </c>
      <c r="CL39" s="697">
        <f>LS!CL73</f>
        <v>0</v>
      </c>
      <c r="CM39" s="732">
        <f>LS!CM73</f>
        <v>0</v>
      </c>
    </row>
    <row r="40" spans="1:91" s="25" customFormat="1" ht="11.25" x14ac:dyDescent="0.2">
      <c r="A40" s="695" t="s">
        <v>7</v>
      </c>
      <c r="B40" s="761"/>
      <c r="C40" s="717"/>
      <c r="D40" s="696"/>
      <c r="E40" s="696"/>
      <c r="F40" s="697"/>
      <c r="G40" s="732"/>
      <c r="H40" s="761"/>
      <c r="I40" s="717">
        <f>LS!I74</f>
        <v>0.15076534001972569</v>
      </c>
      <c r="J40" s="696">
        <f>LS!J74</f>
        <v>8.5558813079887427E-2</v>
      </c>
      <c r="K40" s="696">
        <f>LS!K74</f>
        <v>8.044248532131032E-2</v>
      </c>
      <c r="L40" s="697">
        <f>LS!L74</f>
        <v>9.6098226176266385E-2</v>
      </c>
      <c r="M40" s="732">
        <f>LS!M74</f>
        <v>0.10204535957576025</v>
      </c>
      <c r="N40" s="761"/>
      <c r="O40" s="717">
        <f>LS!O74</f>
        <v>7.7033227361155365E-2</v>
      </c>
      <c r="P40" s="696">
        <f>LS!P74</f>
        <v>4.8601586313613596E-2</v>
      </c>
      <c r="Q40" s="696">
        <f>LS!Q74</f>
        <v>5.143708172039145E-2</v>
      </c>
      <c r="R40" s="697">
        <f>LS!R74</f>
        <v>3.5148403060490732E-2</v>
      </c>
      <c r="S40" s="732">
        <f>LS!S74</f>
        <v>5.253615026910554E-2</v>
      </c>
      <c r="T40" s="761"/>
      <c r="U40" s="717">
        <f>LS!U74</f>
        <v>6.1008362868189552E-2</v>
      </c>
      <c r="V40" s="696">
        <f>LS!V74</f>
        <v>4.6303628834996592E-2</v>
      </c>
      <c r="W40" s="696">
        <f>LS!W74</f>
        <v>5.1439726701608388E-2</v>
      </c>
      <c r="X40" s="697">
        <f>LS!X74</f>
        <v>4.4481711233624266E-2</v>
      </c>
      <c r="Y40" s="732">
        <f>LS!Y74</f>
        <v>5.0718341118510257E-2</v>
      </c>
      <c r="Z40" s="761"/>
      <c r="AA40" s="717">
        <f>LS!AA74</f>
        <v>2.8042984534517718E-2</v>
      </c>
      <c r="AB40" s="696">
        <f>LS!AB74</f>
        <v>6.2516706822176624E-2</v>
      </c>
      <c r="AC40" s="696">
        <f>LS!AC74</f>
        <v>6.0952552491502533E-2</v>
      </c>
      <c r="AD40" s="697">
        <f>LS!AD74</f>
        <v>5.2182048257577232E-2</v>
      </c>
      <c r="AE40" s="732">
        <f>LS!AE74</f>
        <v>5.0764779364163237E-2</v>
      </c>
      <c r="AF40" s="761"/>
      <c r="AG40" s="717">
        <f>LS!AG74</f>
        <v>2.8014023583149091E-2</v>
      </c>
      <c r="AH40" s="696">
        <f>LS!AH74</f>
        <v>4.0243264390718875E-2</v>
      </c>
      <c r="AI40" s="696">
        <f>LS!AI74</f>
        <v>3.2884614239741164E-2</v>
      </c>
      <c r="AJ40" s="697">
        <f>LS!AJ74</f>
        <v>3.3025901091485635E-2</v>
      </c>
      <c r="AK40" s="732">
        <f>LS!AK74</f>
        <v>3.3563747624682443E-2</v>
      </c>
      <c r="AL40" s="761"/>
      <c r="AM40" s="717">
        <f>LS!AM74</f>
        <v>5.1039259159241325E-2</v>
      </c>
      <c r="AN40" s="696">
        <f>LS!AN74</f>
        <v>3.5180582391652386E-2</v>
      </c>
      <c r="AO40" s="696">
        <f>LS!AO74</f>
        <v>1.6037010107045401E-2</v>
      </c>
      <c r="AP40" s="697">
        <f>LS!AP74</f>
        <v>7.6392441667329211E-2</v>
      </c>
      <c r="AQ40" s="732">
        <f>LS!AQ74</f>
        <v>4.4685401734255573E-2</v>
      </c>
      <c r="AR40" s="761"/>
      <c r="AS40" s="717">
        <f>LS!AS74</f>
        <v>4.4464773308581035E-2</v>
      </c>
      <c r="AT40" s="696">
        <f>LS!AT74</f>
        <v>3.66013370933089E-2</v>
      </c>
      <c r="AU40" s="696">
        <f>LS!AU74</f>
        <v>4.5679924487428844E-2</v>
      </c>
      <c r="AV40" s="697">
        <f>LS!AV74</f>
        <v>2.8922448979591793E-2</v>
      </c>
      <c r="AW40" s="732">
        <f>LS!AW74</f>
        <v>3.8726931389599178E-2</v>
      </c>
      <c r="AX40" s="761"/>
      <c r="AY40" s="717">
        <f>LS!AY74</f>
        <v>6.5479714105528622E-2</v>
      </c>
      <c r="AZ40" s="696">
        <f>LS!AZ74</f>
        <v>4.4499476439790638E-2</v>
      </c>
      <c r="BA40" s="696">
        <f>LS!BA74</f>
        <v>4.2246157063682996E-2</v>
      </c>
      <c r="BB40" s="697">
        <f>LS!BB74</f>
        <v>4.7893802853205603E-2</v>
      </c>
      <c r="BC40" s="732">
        <f>LS!BC74</f>
        <v>4.9983184334308955E-2</v>
      </c>
      <c r="BD40" s="761"/>
      <c r="BE40" s="717">
        <f>LS!BE74</f>
        <v>1.5926493108728998E-2</v>
      </c>
      <c r="BF40" s="696">
        <f>LS!BF74</f>
        <v>3.4234615588126252E-2</v>
      </c>
      <c r="BG40" s="696">
        <f>LS!BG74</f>
        <v>5.9628543499511202E-2</v>
      </c>
      <c r="BH40" s="697">
        <f>LS!BH74</f>
        <v>2.8278688524590229E-2</v>
      </c>
      <c r="BI40" s="732">
        <f>LS!BI74</f>
        <v>3.4138937230938367E-2</v>
      </c>
      <c r="BJ40" s="761"/>
      <c r="BK40" s="717">
        <f>LS!BK74</f>
        <v>3.2111587982832604E-2</v>
      </c>
      <c r="BL40" s="696">
        <f>LS!BL74</f>
        <v>5.817307692307698E-2</v>
      </c>
      <c r="BM40" s="696">
        <f>LS!BM74</f>
        <v>4.8251298026999019E-2</v>
      </c>
      <c r="BN40" s="697">
        <f>LS!BN74</f>
        <v>5.4343029087261803E-2</v>
      </c>
      <c r="BO40" s="732">
        <f>LS!BO74</f>
        <v>4.8334378265412807E-2</v>
      </c>
      <c r="BP40" s="761"/>
      <c r="BQ40" s="717">
        <f>LS!BQ74</f>
        <v>7.2858037578288057E-2</v>
      </c>
      <c r="BR40" s="696">
        <f>LS!BR74</f>
        <v>4.3835198372329402E-2</v>
      </c>
      <c r="BS40" s="696">
        <f>LS!BS74</f>
        <v>5.3997995991983759E-2</v>
      </c>
      <c r="BT40" s="697">
        <f>LS!BT74</f>
        <v>4.3116079923881917E-2</v>
      </c>
      <c r="BU40" s="732">
        <f>LS!BU74</f>
        <v>5.3156140350877013E-2</v>
      </c>
      <c r="BV40" s="761"/>
      <c r="BW40" s="717">
        <f>LS!BW74</f>
        <v>4.6387559808612346E-2</v>
      </c>
      <c r="BX40" s="696">
        <f>LS!BX74</f>
        <v>4.6483535866044506E-2</v>
      </c>
      <c r="BY40" s="696">
        <f>LS!BY74</f>
        <v>4.7022312001663291E-2</v>
      </c>
      <c r="BZ40" s="697">
        <f>LS!BZ74</f>
        <v>4.6680258290835663E-2</v>
      </c>
      <c r="CA40" s="732">
        <f>LS!CA74</f>
        <v>4.6647487955406797E-2</v>
      </c>
      <c r="CB40" s="761"/>
      <c r="CC40" s="717">
        <f>LS!CC74</f>
        <v>4.679293508761817E-2</v>
      </c>
      <c r="CD40" s="696">
        <f>LS!CD74</f>
        <v>4.6641143687738085E-2</v>
      </c>
      <c r="CE40" s="696">
        <f>LS!CE74</f>
        <v>4.7150115134182213E-2</v>
      </c>
      <c r="CF40" s="697">
        <f>LS!CF74</f>
        <v>4.6804767323262775E-2</v>
      </c>
      <c r="CG40" s="732">
        <f>LS!CG74</f>
        <v>4.684797404786889E-2</v>
      </c>
      <c r="CH40" s="761"/>
      <c r="CI40" s="717">
        <f>LS!CI74</f>
        <v>4.6920788847694128E-2</v>
      </c>
      <c r="CJ40" s="696">
        <f>LS!CJ74</f>
        <v>4.6772497702674887E-2</v>
      </c>
      <c r="CK40" s="696">
        <f>LS!CK74</f>
        <v>4.7278049415085954E-2</v>
      </c>
      <c r="CL40" s="697">
        <f>LS!CL74</f>
        <v>4.692943329971988E-2</v>
      </c>
      <c r="CM40" s="732">
        <f>LS!CM74</f>
        <v>4.697593750605944E-2</v>
      </c>
    </row>
    <row r="41" spans="1:91" s="25" customFormat="1" ht="11.25" x14ac:dyDescent="0.2">
      <c r="A41" s="699" t="s">
        <v>25</v>
      </c>
      <c r="B41" s="700"/>
      <c r="C41" s="719"/>
      <c r="D41" s="700"/>
      <c r="E41" s="700"/>
      <c r="F41" s="701"/>
      <c r="G41" s="734"/>
      <c r="H41" s="700"/>
      <c r="I41" s="719"/>
      <c r="J41" s="700"/>
      <c r="K41" s="700"/>
      <c r="L41" s="701"/>
      <c r="M41" s="734"/>
      <c r="N41" s="700"/>
      <c r="O41" s="719"/>
      <c r="P41" s="700"/>
      <c r="Q41" s="700"/>
      <c r="R41" s="701"/>
      <c r="S41" s="734"/>
      <c r="T41" s="700"/>
      <c r="U41" s="719"/>
      <c r="V41" s="700"/>
      <c r="W41" s="700"/>
      <c r="X41" s="701"/>
      <c r="Y41" s="734"/>
      <c r="Z41" s="700"/>
      <c r="AA41" s="719"/>
      <c r="AB41" s="700"/>
      <c r="AC41" s="700"/>
      <c r="AD41" s="701"/>
      <c r="AE41" s="734"/>
      <c r="AF41" s="700"/>
      <c r="AG41" s="719"/>
      <c r="AH41" s="700"/>
      <c r="AI41" s="700"/>
      <c r="AJ41" s="701"/>
      <c r="AK41" s="734"/>
      <c r="AL41" s="700"/>
      <c r="AM41" s="719"/>
      <c r="AN41" s="700"/>
      <c r="AO41" s="700"/>
      <c r="AP41" s="701"/>
      <c r="AQ41" s="734"/>
      <c r="AR41" s="700"/>
      <c r="AS41" s="719"/>
      <c r="AT41" s="700"/>
      <c r="AU41" s="700"/>
      <c r="AV41" s="701"/>
      <c r="AW41" s="734"/>
      <c r="AX41" s="700"/>
      <c r="AY41" s="719"/>
      <c r="AZ41" s="700"/>
      <c r="BA41" s="700"/>
      <c r="BB41" s="701"/>
      <c r="BC41" s="734"/>
      <c r="BD41" s="700"/>
      <c r="BE41" s="719"/>
      <c r="BF41" s="700"/>
      <c r="BG41" s="700"/>
      <c r="BH41" s="701"/>
      <c r="BI41" s="734"/>
      <c r="BJ41" s="700"/>
      <c r="BK41" s="719"/>
      <c r="BL41" s="700"/>
      <c r="BM41" s="700"/>
      <c r="BN41" s="701"/>
      <c r="BO41" s="734"/>
      <c r="BP41" s="700"/>
      <c r="BQ41" s="719"/>
      <c r="BR41" s="700"/>
      <c r="BS41" s="700"/>
      <c r="BT41" s="701"/>
      <c r="BU41" s="734"/>
      <c r="BV41" s="700"/>
      <c r="BW41" s="719"/>
      <c r="BX41" s="700"/>
      <c r="BY41" s="700"/>
      <c r="BZ41" s="701"/>
      <c r="CA41" s="734"/>
      <c r="CB41" s="700"/>
      <c r="CC41" s="719"/>
      <c r="CD41" s="700"/>
      <c r="CE41" s="700"/>
      <c r="CF41" s="701"/>
      <c r="CG41" s="734"/>
      <c r="CH41" s="700"/>
      <c r="CI41" s="719"/>
      <c r="CJ41" s="700"/>
      <c r="CK41" s="700"/>
      <c r="CL41" s="701"/>
      <c r="CM41" s="734"/>
    </row>
    <row r="42" spans="1:91" s="25" customFormat="1" ht="11.25" hidden="1" outlineLevel="1" x14ac:dyDescent="0.2">
      <c r="A42" s="694" t="s">
        <v>4</v>
      </c>
      <c r="B42" s="761"/>
      <c r="C42" s="760"/>
      <c r="D42" s="761"/>
      <c r="E42" s="761"/>
      <c r="F42" s="668"/>
      <c r="G42" s="746"/>
      <c r="H42" s="761"/>
      <c r="I42" s="760"/>
      <c r="J42" s="761"/>
      <c r="K42" s="761"/>
      <c r="L42" s="668"/>
      <c r="M42" s="746"/>
      <c r="N42" s="761"/>
      <c r="O42" s="760"/>
      <c r="P42" s="761"/>
      <c r="Q42" s="761"/>
      <c r="R42" s="668"/>
      <c r="S42" s="746"/>
      <c r="T42" s="761"/>
      <c r="U42" s="760"/>
      <c r="V42" s="761"/>
      <c r="W42" s="761"/>
      <c r="X42" s="668"/>
      <c r="Y42" s="746"/>
      <c r="Z42" s="761"/>
      <c r="AA42" s="760"/>
      <c r="AB42" s="761"/>
      <c r="AC42" s="761"/>
      <c r="AD42" s="668"/>
      <c r="AE42" s="746"/>
      <c r="AF42" s="761"/>
      <c r="AG42" s="760"/>
      <c r="AH42" s="761"/>
      <c r="AI42" s="761"/>
      <c r="AJ42" s="668"/>
      <c r="AK42" s="746"/>
      <c r="AL42" s="761"/>
      <c r="AM42" s="760"/>
      <c r="AN42" s="761"/>
      <c r="AO42" s="761"/>
      <c r="AP42" s="668"/>
      <c r="AQ42" s="746"/>
      <c r="AR42" s="761"/>
      <c r="AS42" s="760"/>
      <c r="AT42" s="761"/>
      <c r="AU42" s="761"/>
      <c r="AV42" s="668"/>
      <c r="AW42" s="746"/>
      <c r="AX42" s="761"/>
      <c r="AY42" s="760"/>
      <c r="AZ42" s="761"/>
      <c r="BA42" s="761"/>
      <c r="BB42" s="668"/>
      <c r="BC42" s="746"/>
      <c r="BD42" s="761"/>
      <c r="BE42" s="718">
        <f>Int!BE59</f>
        <v>574</v>
      </c>
      <c r="BF42" s="666">
        <f>Int!BF59</f>
        <v>594</v>
      </c>
      <c r="BG42" s="666">
        <f>Int!BG59</f>
        <v>588</v>
      </c>
      <c r="BH42" s="667">
        <f>Int!BH59</f>
        <v>607</v>
      </c>
      <c r="BI42" s="733">
        <f>Int!BI59</f>
        <v>2363</v>
      </c>
      <c r="BJ42" s="761"/>
      <c r="BK42" s="718">
        <f>Int!BK59</f>
        <v>615</v>
      </c>
      <c r="BL42" s="666">
        <f>Int!BL59</f>
        <v>611</v>
      </c>
      <c r="BM42" s="666">
        <f>Int!BM59</f>
        <v>610</v>
      </c>
      <c r="BN42" s="667">
        <f>Int!BN59</f>
        <v>615</v>
      </c>
      <c r="BO42" s="733">
        <f>Int!BO59</f>
        <v>2451</v>
      </c>
      <c r="BP42" s="761"/>
      <c r="BQ42" s="718">
        <f>Int!BQ59</f>
        <v>617</v>
      </c>
      <c r="BR42" s="666">
        <f>Int!BR59</f>
        <v>638.53899999999999</v>
      </c>
      <c r="BS42" s="666">
        <f>Int!BS59</f>
        <v>635.70500000000004</v>
      </c>
      <c r="BT42" s="667">
        <f>Int!BT59</f>
        <v>649.77</v>
      </c>
      <c r="BU42" s="733">
        <f>Int!BU59</f>
        <v>2541.0140000000001</v>
      </c>
      <c r="BV42" s="761"/>
      <c r="BW42" s="718">
        <f>Int!BW59</f>
        <v>641.65</v>
      </c>
      <c r="BX42" s="666">
        <f>Int!BX59</f>
        <v>663.907465</v>
      </c>
      <c r="BY42" s="666">
        <f>Int!BY59</f>
        <v>661.17517499999997</v>
      </c>
      <c r="BZ42" s="667">
        <f>Int!BZ59</f>
        <v>675.86189999999999</v>
      </c>
      <c r="CA42" s="733">
        <f>Int!CA59</f>
        <v>2642.5945399999996</v>
      </c>
      <c r="CB42" s="761"/>
      <c r="CC42" s="718">
        <f>Int!CC59</f>
        <v>667.4079999999999</v>
      </c>
      <c r="CD42" s="666">
        <f>Int!CD59</f>
        <v>690.40622252499998</v>
      </c>
      <c r="CE42" s="666">
        <f>Int!CE59</f>
        <v>687.78994737499988</v>
      </c>
      <c r="CF42" s="667">
        <f>Int!CF59</f>
        <v>703.12911650000001</v>
      </c>
      <c r="CG42" s="733">
        <f>Int!CG59</f>
        <v>2748.7332864</v>
      </c>
      <c r="CH42" s="761"/>
      <c r="CI42" s="718">
        <f>Int!CI59</f>
        <v>694.32904374999998</v>
      </c>
      <c r="CJ42" s="666">
        <f>Int!CJ59</f>
        <v>718.09090709462498</v>
      </c>
      <c r="CK42" s="666">
        <f>Int!CK59</f>
        <v>715.60606428937501</v>
      </c>
      <c r="CL42" s="667">
        <f>Int!CL59</f>
        <v>731.63003915249999</v>
      </c>
      <c r="CM42" s="733">
        <f>Int!CM59</f>
        <v>2859.6560542865</v>
      </c>
    </row>
    <row r="43" spans="1:91" s="25" customFormat="1" ht="11.25" hidden="1" outlineLevel="1" x14ac:dyDescent="0.2">
      <c r="A43" s="695" t="s">
        <v>5</v>
      </c>
      <c r="B43" s="761"/>
      <c r="C43" s="760"/>
      <c r="D43" s="761"/>
      <c r="E43" s="761"/>
      <c r="F43" s="668"/>
      <c r="G43" s="746"/>
      <c r="H43" s="761"/>
      <c r="I43" s="760"/>
      <c r="J43" s="761"/>
      <c r="K43" s="761"/>
      <c r="L43" s="668"/>
      <c r="M43" s="746"/>
      <c r="N43" s="761"/>
      <c r="O43" s="760"/>
      <c r="P43" s="761"/>
      <c r="Q43" s="761"/>
      <c r="R43" s="668"/>
      <c r="S43" s="746"/>
      <c r="T43" s="761"/>
      <c r="U43" s="760"/>
      <c r="V43" s="761"/>
      <c r="W43" s="761"/>
      <c r="X43" s="668"/>
      <c r="Y43" s="746"/>
      <c r="Z43" s="761"/>
      <c r="AA43" s="760"/>
      <c r="AB43" s="761"/>
      <c r="AC43" s="761"/>
      <c r="AD43" s="668"/>
      <c r="AE43" s="746"/>
      <c r="AF43" s="761"/>
      <c r="AG43" s="760"/>
      <c r="AH43" s="761"/>
      <c r="AI43" s="761"/>
      <c r="AJ43" s="668"/>
      <c r="AK43" s="746"/>
      <c r="AL43" s="761"/>
      <c r="AM43" s="760"/>
      <c r="AN43" s="761"/>
      <c r="AO43" s="761"/>
      <c r="AP43" s="668"/>
      <c r="AQ43" s="746"/>
      <c r="AR43" s="761"/>
      <c r="AS43" s="760"/>
      <c r="AT43" s="761"/>
      <c r="AU43" s="761"/>
      <c r="AV43" s="668"/>
      <c r="AW43" s="746"/>
      <c r="AX43" s="761"/>
      <c r="AY43" s="760"/>
      <c r="AZ43" s="761"/>
      <c r="BA43" s="761"/>
      <c r="BB43" s="668"/>
      <c r="BC43" s="746"/>
      <c r="BD43" s="761"/>
      <c r="BE43" s="717"/>
      <c r="BF43" s="696"/>
      <c r="BG43" s="696"/>
      <c r="BH43" s="697"/>
      <c r="BI43" s="732"/>
      <c r="BJ43" s="761"/>
      <c r="BK43" s="717">
        <f>Int!BK60</f>
        <v>7.1428571428571397E-2</v>
      </c>
      <c r="BL43" s="696">
        <f>Int!BL60</f>
        <v>2.8619528619528545E-2</v>
      </c>
      <c r="BM43" s="696">
        <f>Int!BM60</f>
        <v>3.7414965986394488E-2</v>
      </c>
      <c r="BN43" s="697">
        <f>Int!BN60</f>
        <v>1.3179571663920919E-2</v>
      </c>
      <c r="BO43" s="732">
        <f>Int!BO60</f>
        <v>3.7240795598814991E-2</v>
      </c>
      <c r="BP43" s="761"/>
      <c r="BQ43" s="717">
        <f>Int!BQ60</f>
        <v>3.2520325203251321E-3</v>
      </c>
      <c r="BR43" s="696">
        <f>Int!BR60</f>
        <v>4.5072013093289565E-2</v>
      </c>
      <c r="BS43" s="696">
        <f>Int!BS60</f>
        <v>4.2139344262295042E-2</v>
      </c>
      <c r="BT43" s="697">
        <f>Int!BT60</f>
        <v>5.6536585365853709E-2</v>
      </c>
      <c r="BU43" s="732">
        <f>Int!BU60</f>
        <v>3.6725418196654536E-2</v>
      </c>
      <c r="BV43" s="761"/>
      <c r="BW43" s="717">
        <f>Int!BW60</f>
        <v>3.9951377633711482E-2</v>
      </c>
      <c r="BX43" s="696">
        <f>Int!BX60</f>
        <v>3.972892023823138E-2</v>
      </c>
      <c r="BY43" s="696">
        <f>Int!BY60</f>
        <v>4.0066029054356855E-2</v>
      </c>
      <c r="BZ43" s="697">
        <f>Int!BZ60</f>
        <v>4.0155593517706256E-2</v>
      </c>
      <c r="CA43" s="732">
        <f>Int!CA60</f>
        <v>3.9976379508337878E-2</v>
      </c>
      <c r="CB43" s="761"/>
      <c r="CC43" s="717">
        <f>Int!CC60</f>
        <v>4.014338034754128E-2</v>
      </c>
      <c r="CD43" s="696">
        <f>Int!CD60</f>
        <v>3.9913329676146914E-2</v>
      </c>
      <c r="CE43" s="696">
        <f>Int!CE60</f>
        <v>4.0253738164019781E-2</v>
      </c>
      <c r="CF43" s="697">
        <f>Int!CF60</f>
        <v>4.0344361029967857E-2</v>
      </c>
      <c r="CG43" s="732">
        <f>Int!CG60</f>
        <v>4.0164597630630183E-2</v>
      </c>
      <c r="CH43" s="761"/>
      <c r="CI43" s="717">
        <f>Int!CI60</f>
        <v>4.0336711202143327E-2</v>
      </c>
      <c r="CJ43" s="696">
        <f>Int!CJ60</f>
        <v>4.0099123771472955E-2</v>
      </c>
      <c r="CK43" s="696">
        <f>Int!CK60</f>
        <v>4.0442750029332952E-2</v>
      </c>
      <c r="CL43" s="697">
        <f>Int!CL60</f>
        <v>4.0534408238376507E-2</v>
      </c>
      <c r="CM43" s="732">
        <f>Int!CM60</f>
        <v>4.0354140008896477E-2</v>
      </c>
    </row>
    <row r="44" spans="1:91" s="25" customFormat="1" ht="11.25" hidden="1" outlineLevel="1" x14ac:dyDescent="0.2">
      <c r="A44" s="695" t="s">
        <v>6</v>
      </c>
      <c r="B44" s="761"/>
      <c r="C44" s="760"/>
      <c r="D44" s="761"/>
      <c r="E44" s="761"/>
      <c r="F44" s="668"/>
      <c r="G44" s="746"/>
      <c r="H44" s="761"/>
      <c r="I44" s="760"/>
      <c r="J44" s="761"/>
      <c r="K44" s="761"/>
      <c r="L44" s="668"/>
      <c r="M44" s="746"/>
      <c r="N44" s="761"/>
      <c r="O44" s="760"/>
      <c r="P44" s="761"/>
      <c r="Q44" s="761"/>
      <c r="R44" s="668"/>
      <c r="S44" s="746"/>
      <c r="T44" s="761"/>
      <c r="U44" s="760"/>
      <c r="V44" s="761"/>
      <c r="W44" s="761"/>
      <c r="X44" s="668"/>
      <c r="Y44" s="746"/>
      <c r="Z44" s="761"/>
      <c r="AA44" s="760"/>
      <c r="AB44" s="761"/>
      <c r="AC44" s="761"/>
      <c r="AD44" s="668"/>
      <c r="AE44" s="746"/>
      <c r="AF44" s="761"/>
      <c r="AG44" s="760"/>
      <c r="AH44" s="761"/>
      <c r="AI44" s="761"/>
      <c r="AJ44" s="668"/>
      <c r="AK44" s="746"/>
      <c r="AL44" s="761"/>
      <c r="AM44" s="760"/>
      <c r="AN44" s="761"/>
      <c r="AO44" s="761"/>
      <c r="AP44" s="668"/>
      <c r="AQ44" s="746"/>
      <c r="AR44" s="761"/>
      <c r="AS44" s="760"/>
      <c r="AT44" s="761"/>
      <c r="AU44" s="761"/>
      <c r="AV44" s="668"/>
      <c r="AW44" s="746"/>
      <c r="AX44" s="761"/>
      <c r="AY44" s="760"/>
      <c r="AZ44" s="761"/>
      <c r="BA44" s="761"/>
      <c r="BB44" s="668"/>
      <c r="BC44" s="746"/>
      <c r="BD44" s="761"/>
      <c r="BE44" s="717"/>
      <c r="BF44" s="696"/>
      <c r="BG44" s="696"/>
      <c r="BH44" s="697"/>
      <c r="BI44" s="732"/>
      <c r="BJ44" s="761"/>
      <c r="BK44" s="717">
        <f>Int!BK61</f>
        <v>3.048780487804878E-2</v>
      </c>
      <c r="BL44" s="696">
        <f>Int!BL61</f>
        <v>8.8383838383838381E-3</v>
      </c>
      <c r="BM44" s="696">
        <f>Int!BM61</f>
        <v>0</v>
      </c>
      <c r="BN44" s="697">
        <f>Int!BN61</f>
        <v>0</v>
      </c>
      <c r="BO44" s="732">
        <f>Int!BO61</f>
        <v>9.6275920440118488E-3</v>
      </c>
      <c r="BP44" s="761"/>
      <c r="BQ44" s="717">
        <f>Int!BQ61</f>
        <v>0</v>
      </c>
      <c r="BR44" s="696">
        <f>Int!BR61</f>
        <v>0</v>
      </c>
      <c r="BS44" s="696">
        <f>Int!BS61</f>
        <v>0</v>
      </c>
      <c r="BT44" s="697">
        <f>Int!BT61</f>
        <v>0</v>
      </c>
      <c r="BU44" s="732">
        <f>Int!BU61</f>
        <v>0</v>
      </c>
      <c r="BV44" s="761"/>
      <c r="BW44" s="717">
        <f>Int!BW61</f>
        <v>0</v>
      </c>
      <c r="BX44" s="696">
        <f>Int!BX61</f>
        <v>0</v>
      </c>
      <c r="BY44" s="696">
        <f>Int!BY61</f>
        <v>0</v>
      </c>
      <c r="BZ44" s="697">
        <f>Int!BZ61</f>
        <v>0</v>
      </c>
      <c r="CA44" s="732">
        <f>Int!CA61</f>
        <v>0</v>
      </c>
      <c r="CB44" s="761"/>
      <c r="CC44" s="717">
        <f>Int!CC61</f>
        <v>0</v>
      </c>
      <c r="CD44" s="696">
        <f>Int!CD61</f>
        <v>0</v>
      </c>
      <c r="CE44" s="696">
        <f>Int!CE61</f>
        <v>0</v>
      </c>
      <c r="CF44" s="697">
        <f>Int!CF61</f>
        <v>0</v>
      </c>
      <c r="CG44" s="732">
        <f>Int!CG61</f>
        <v>0</v>
      </c>
      <c r="CH44" s="761"/>
      <c r="CI44" s="717">
        <f>Int!CI61</f>
        <v>0</v>
      </c>
      <c r="CJ44" s="696">
        <f>Int!CJ61</f>
        <v>0</v>
      </c>
      <c r="CK44" s="696">
        <f>Int!CK61</f>
        <v>0</v>
      </c>
      <c r="CL44" s="697">
        <f>Int!CL61</f>
        <v>0</v>
      </c>
      <c r="CM44" s="732">
        <f>Int!CM61</f>
        <v>0</v>
      </c>
    </row>
    <row r="45" spans="1:91" s="25" customFormat="1" ht="11.25" hidden="1" outlineLevel="1" x14ac:dyDescent="0.2">
      <c r="A45" s="695" t="s">
        <v>7</v>
      </c>
      <c r="B45" s="761"/>
      <c r="C45" s="760"/>
      <c r="D45" s="761"/>
      <c r="E45" s="761"/>
      <c r="F45" s="668"/>
      <c r="G45" s="746"/>
      <c r="H45" s="761"/>
      <c r="I45" s="760"/>
      <c r="J45" s="761"/>
      <c r="K45" s="761"/>
      <c r="L45" s="668"/>
      <c r="M45" s="746"/>
      <c r="N45" s="761"/>
      <c r="O45" s="760"/>
      <c r="P45" s="761"/>
      <c r="Q45" s="761"/>
      <c r="R45" s="668"/>
      <c r="S45" s="746"/>
      <c r="T45" s="761"/>
      <c r="U45" s="760"/>
      <c r="V45" s="761"/>
      <c r="W45" s="761"/>
      <c r="X45" s="668"/>
      <c r="Y45" s="746"/>
      <c r="Z45" s="761"/>
      <c r="AA45" s="760"/>
      <c r="AB45" s="761"/>
      <c r="AC45" s="761"/>
      <c r="AD45" s="668"/>
      <c r="AE45" s="746"/>
      <c r="AF45" s="761"/>
      <c r="AG45" s="760"/>
      <c r="AH45" s="761"/>
      <c r="AI45" s="761"/>
      <c r="AJ45" s="668"/>
      <c r="AK45" s="746"/>
      <c r="AL45" s="761"/>
      <c r="AM45" s="760"/>
      <c r="AN45" s="761"/>
      <c r="AO45" s="761"/>
      <c r="AP45" s="668"/>
      <c r="AQ45" s="746"/>
      <c r="AR45" s="761"/>
      <c r="AS45" s="760"/>
      <c r="AT45" s="761"/>
      <c r="AU45" s="761"/>
      <c r="AV45" s="668"/>
      <c r="AW45" s="746"/>
      <c r="AX45" s="761"/>
      <c r="AY45" s="760"/>
      <c r="AZ45" s="761"/>
      <c r="BA45" s="761"/>
      <c r="BB45" s="668"/>
      <c r="BC45" s="746"/>
      <c r="BD45" s="761"/>
      <c r="BE45" s="717"/>
      <c r="BF45" s="696"/>
      <c r="BG45" s="696"/>
      <c r="BH45" s="697"/>
      <c r="BI45" s="732"/>
      <c r="BJ45" s="761"/>
      <c r="BK45" s="717">
        <f>Int!BK62</f>
        <v>4.0940766550522617E-2</v>
      </c>
      <c r="BL45" s="696">
        <f>Int!BL62</f>
        <v>1.9781144781144705E-2</v>
      </c>
      <c r="BM45" s="696">
        <f>Int!BM62</f>
        <v>3.7414965986394488E-2</v>
      </c>
      <c r="BN45" s="697">
        <f>Int!BN62</f>
        <v>1.3179571663920919E-2</v>
      </c>
      <c r="BO45" s="732">
        <f>Int!BO62</f>
        <v>2.7613203554803144E-2</v>
      </c>
      <c r="BP45" s="761"/>
      <c r="BQ45" s="717">
        <f>Int!BQ62</f>
        <v>3.2520325203251321E-3</v>
      </c>
      <c r="BR45" s="696">
        <f>Int!BR62</f>
        <v>4.5072013093289565E-2</v>
      </c>
      <c r="BS45" s="696">
        <f>Int!BS62</f>
        <v>4.2139344262295042E-2</v>
      </c>
      <c r="BT45" s="697">
        <f>Int!BT62</f>
        <v>5.6536585365853709E-2</v>
      </c>
      <c r="BU45" s="732">
        <f>Int!BU62</f>
        <v>3.6725418196654536E-2</v>
      </c>
      <c r="BV45" s="761"/>
      <c r="BW45" s="717">
        <f>Int!BW62</f>
        <v>3.9951377633711482E-2</v>
      </c>
      <c r="BX45" s="696">
        <f>Int!BX62</f>
        <v>3.972892023823138E-2</v>
      </c>
      <c r="BY45" s="696">
        <f>Int!BY62</f>
        <v>4.0066029054356855E-2</v>
      </c>
      <c r="BZ45" s="697">
        <f>Int!BZ62</f>
        <v>4.0155593517706256E-2</v>
      </c>
      <c r="CA45" s="732">
        <f>Int!CA62</f>
        <v>3.9976379508337878E-2</v>
      </c>
      <c r="CB45" s="761"/>
      <c r="CC45" s="717">
        <f>Int!CC62</f>
        <v>4.014338034754128E-2</v>
      </c>
      <c r="CD45" s="696">
        <f>Int!CD62</f>
        <v>3.9913329676146914E-2</v>
      </c>
      <c r="CE45" s="696">
        <f>Int!CE62</f>
        <v>4.0253738164019781E-2</v>
      </c>
      <c r="CF45" s="697">
        <f>Int!CF62</f>
        <v>4.0344361029967857E-2</v>
      </c>
      <c r="CG45" s="732">
        <f>Int!CG62</f>
        <v>4.0164597630630183E-2</v>
      </c>
      <c r="CH45" s="761"/>
      <c r="CI45" s="717">
        <f>Int!CI62</f>
        <v>4.0336711202143327E-2</v>
      </c>
      <c r="CJ45" s="696">
        <f>Int!CJ62</f>
        <v>4.0099123771472955E-2</v>
      </c>
      <c r="CK45" s="696">
        <f>Int!CK62</f>
        <v>4.0442750029332952E-2</v>
      </c>
      <c r="CL45" s="697">
        <f>Int!CL62</f>
        <v>4.0534408238376507E-2</v>
      </c>
      <c r="CM45" s="732">
        <f>Int!CM62</f>
        <v>4.0354140008896477E-2</v>
      </c>
    </row>
    <row r="46" spans="1:91" s="25" customFormat="1" ht="11.25" hidden="1" outlineLevel="1" x14ac:dyDescent="0.2">
      <c r="A46" s="694" t="s">
        <v>8</v>
      </c>
      <c r="B46" s="761"/>
      <c r="C46" s="760"/>
      <c r="D46" s="761"/>
      <c r="E46" s="761"/>
      <c r="F46" s="668"/>
      <c r="G46" s="746"/>
      <c r="H46" s="761"/>
      <c r="I46" s="760"/>
      <c r="J46" s="761"/>
      <c r="K46" s="761"/>
      <c r="L46" s="668"/>
      <c r="M46" s="746"/>
      <c r="N46" s="761"/>
      <c r="O46" s="760"/>
      <c r="P46" s="761"/>
      <c r="Q46" s="761"/>
      <c r="R46" s="668"/>
      <c r="S46" s="746"/>
      <c r="T46" s="761"/>
      <c r="U46" s="760"/>
      <c r="V46" s="761"/>
      <c r="W46" s="761"/>
      <c r="X46" s="668"/>
      <c r="Y46" s="746"/>
      <c r="Z46" s="761"/>
      <c r="AA46" s="760"/>
      <c r="AB46" s="761"/>
      <c r="AC46" s="761"/>
      <c r="AD46" s="668"/>
      <c r="AE46" s="746"/>
      <c r="AF46" s="761"/>
      <c r="AG46" s="760"/>
      <c r="AH46" s="761"/>
      <c r="AI46" s="761"/>
      <c r="AJ46" s="668"/>
      <c r="AK46" s="746"/>
      <c r="AL46" s="761"/>
      <c r="AM46" s="760"/>
      <c r="AN46" s="761"/>
      <c r="AO46" s="761"/>
      <c r="AP46" s="668"/>
      <c r="AQ46" s="746"/>
      <c r="AR46" s="761"/>
      <c r="AS46" s="760"/>
      <c r="AT46" s="761"/>
      <c r="AU46" s="761"/>
      <c r="AV46" s="668"/>
      <c r="AW46" s="746"/>
      <c r="AX46" s="761"/>
      <c r="AY46" s="760"/>
      <c r="AZ46" s="761"/>
      <c r="BA46" s="761"/>
      <c r="BB46" s="668"/>
      <c r="BC46" s="746"/>
      <c r="BD46" s="761"/>
      <c r="BE46" s="718">
        <f>Int!BE63</f>
        <v>235</v>
      </c>
      <c r="BF46" s="666">
        <f>Int!BF63</f>
        <v>222</v>
      </c>
      <c r="BG46" s="666">
        <f>Int!BG63</f>
        <v>266</v>
      </c>
      <c r="BH46" s="667">
        <f>Int!BH63</f>
        <v>263</v>
      </c>
      <c r="BI46" s="733">
        <f>Int!BI63</f>
        <v>986</v>
      </c>
      <c r="BJ46" s="761"/>
      <c r="BK46" s="718">
        <f>Int!BK63</f>
        <v>276</v>
      </c>
      <c r="BL46" s="666">
        <f>Int!BL63</f>
        <v>251</v>
      </c>
      <c r="BM46" s="666">
        <f>Int!BM63</f>
        <v>280</v>
      </c>
      <c r="BN46" s="667">
        <f>Int!BN63</f>
        <v>282</v>
      </c>
      <c r="BO46" s="733">
        <f>Int!BO63</f>
        <v>1089</v>
      </c>
      <c r="BP46" s="761"/>
      <c r="BQ46" s="718">
        <f>Int!BQ63</f>
        <v>308</v>
      </c>
      <c r="BR46" s="666">
        <f>Int!BR63</f>
        <v>288.87191002507905</v>
      </c>
      <c r="BS46" s="666">
        <f>Int!BS63</f>
        <v>316.91418346031992</v>
      </c>
      <c r="BT46" s="667">
        <f>Int!BT63</f>
        <v>312.19840460326384</v>
      </c>
      <c r="BU46" s="733">
        <f>Int!BU63</f>
        <v>1225.9844980886628</v>
      </c>
      <c r="BV46" s="761"/>
      <c r="BW46" s="718">
        <f>Int!BW63</f>
        <v>343.78508413943223</v>
      </c>
      <c r="BX46" s="666">
        <f>Int!BX63</f>
        <v>313.91182504870039</v>
      </c>
      <c r="BY46" s="666">
        <f>Int!BY63</f>
        <v>343.48816686840621</v>
      </c>
      <c r="BZ46" s="667">
        <f>Int!BZ63</f>
        <v>338.39866030193718</v>
      </c>
      <c r="CA46" s="733">
        <f>Int!CA63</f>
        <v>1339.583736358476</v>
      </c>
      <c r="CB46" s="761"/>
      <c r="CC46" s="718">
        <f>Int!CC63</f>
        <v>372.35491066369286</v>
      </c>
      <c r="CD46" s="666">
        <f>Int!CD63</f>
        <v>340.47615734331487</v>
      </c>
      <c r="CE46" s="666">
        <f>Int!CE63</f>
        <v>372.7421441264097</v>
      </c>
      <c r="CF46" s="667">
        <f>Int!CF63</f>
        <v>367.24322251610522</v>
      </c>
      <c r="CG46" s="733">
        <f>Int!CG63</f>
        <v>1452.8164346495228</v>
      </c>
      <c r="CH46" s="761"/>
      <c r="CI46" s="718">
        <f>Int!CI63</f>
        <v>403.7930715125238</v>
      </c>
      <c r="CJ46" s="666">
        <f>Int!CJ63</f>
        <v>369.72641884935462</v>
      </c>
      <c r="CK46" s="666">
        <f>Int!CK63</f>
        <v>404.96392914929038</v>
      </c>
      <c r="CL46" s="667">
        <f>Int!CL63</f>
        <v>399.01624491893148</v>
      </c>
      <c r="CM46" s="733">
        <f>Int!CM63</f>
        <v>1577.4996644301004</v>
      </c>
    </row>
    <row r="47" spans="1:91" s="25" customFormat="1" ht="11.25" hidden="1" outlineLevel="1" x14ac:dyDescent="0.2">
      <c r="A47" s="695" t="s">
        <v>5</v>
      </c>
      <c r="B47" s="761"/>
      <c r="C47" s="760"/>
      <c r="D47" s="761"/>
      <c r="E47" s="761"/>
      <c r="F47" s="668"/>
      <c r="G47" s="746"/>
      <c r="H47" s="761"/>
      <c r="I47" s="760"/>
      <c r="J47" s="761"/>
      <c r="K47" s="761"/>
      <c r="L47" s="668"/>
      <c r="M47" s="746"/>
      <c r="N47" s="761"/>
      <c r="O47" s="760"/>
      <c r="P47" s="761"/>
      <c r="Q47" s="761"/>
      <c r="R47" s="668"/>
      <c r="S47" s="746"/>
      <c r="T47" s="761"/>
      <c r="U47" s="760"/>
      <c r="V47" s="761"/>
      <c r="W47" s="761"/>
      <c r="X47" s="668"/>
      <c r="Y47" s="746"/>
      <c r="Z47" s="761"/>
      <c r="AA47" s="760"/>
      <c r="AB47" s="761"/>
      <c r="AC47" s="761"/>
      <c r="AD47" s="668"/>
      <c r="AE47" s="746"/>
      <c r="AF47" s="761"/>
      <c r="AG47" s="760"/>
      <c r="AH47" s="761"/>
      <c r="AI47" s="761"/>
      <c r="AJ47" s="668"/>
      <c r="AK47" s="746"/>
      <c r="AL47" s="761"/>
      <c r="AM47" s="760"/>
      <c r="AN47" s="761"/>
      <c r="AO47" s="761"/>
      <c r="AP47" s="668"/>
      <c r="AQ47" s="746"/>
      <c r="AR47" s="761"/>
      <c r="AS47" s="760"/>
      <c r="AT47" s="761"/>
      <c r="AU47" s="761"/>
      <c r="AV47" s="668"/>
      <c r="AW47" s="746"/>
      <c r="AX47" s="761"/>
      <c r="AY47" s="760"/>
      <c r="AZ47" s="761"/>
      <c r="BA47" s="761"/>
      <c r="BB47" s="668"/>
      <c r="BC47" s="746"/>
      <c r="BD47" s="761"/>
      <c r="BE47" s="717"/>
      <c r="BF47" s="696"/>
      <c r="BG47" s="696"/>
      <c r="BH47" s="697"/>
      <c r="BI47" s="732"/>
      <c r="BJ47" s="761"/>
      <c r="BK47" s="717">
        <f>Int!BK64</f>
        <v>0.1744680851063829</v>
      </c>
      <c r="BL47" s="696">
        <f>Int!BL64</f>
        <v>0.13063063063063063</v>
      </c>
      <c r="BM47" s="696">
        <f>Int!BM64</f>
        <v>5.2631578947368363E-2</v>
      </c>
      <c r="BN47" s="697">
        <f>Int!BN64</f>
        <v>7.2243346007604625E-2</v>
      </c>
      <c r="BO47" s="732">
        <f>Int!BO64</f>
        <v>0.10446247464503045</v>
      </c>
      <c r="BP47" s="761"/>
      <c r="BQ47" s="717">
        <f>Int!BQ64</f>
        <v>0.11594202898550732</v>
      </c>
      <c r="BR47" s="696">
        <f>Int!BR64</f>
        <v>0.15088410368557392</v>
      </c>
      <c r="BS47" s="696">
        <f>Int!BS64</f>
        <v>0.13183636950114264</v>
      </c>
      <c r="BT47" s="697">
        <f>Int!BT64</f>
        <v>0.10708654114632576</v>
      </c>
      <c r="BU47" s="732">
        <f>Int!BU64</f>
        <v>0.12578925444321643</v>
      </c>
      <c r="BV47" s="761"/>
      <c r="BW47" s="717">
        <f>Int!BW64</f>
        <v>0.11618533811503973</v>
      </c>
      <c r="BX47" s="696">
        <f>Int!BX64</f>
        <v>8.6681723471996541E-2</v>
      </c>
      <c r="BY47" s="696">
        <f>Int!BY64</f>
        <v>8.3852300701503735E-2</v>
      </c>
      <c r="BZ47" s="697">
        <f>Int!BZ64</f>
        <v>8.3921811618378195E-2</v>
      </c>
      <c r="CA47" s="732">
        <f>Int!CA64</f>
        <v>9.2659604136036799E-2</v>
      </c>
      <c r="CB47" s="761"/>
      <c r="CC47" s="717">
        <f>Int!CC64</f>
        <v>8.3103740802999093E-2</v>
      </c>
      <c r="CD47" s="696">
        <f>Int!CD64</f>
        <v>8.4623547680923616E-2</v>
      </c>
      <c r="CE47" s="696">
        <f>Int!CE64</f>
        <v>8.5167350959169941E-2</v>
      </c>
      <c r="CF47" s="697">
        <f>Int!CF64</f>
        <v>8.5238405460681843E-2</v>
      </c>
      <c r="CG47" s="732">
        <f>Int!CG64</f>
        <v>8.4528271893520079E-2</v>
      </c>
      <c r="CH47" s="761"/>
      <c r="CI47" s="717">
        <f>Int!CI64</f>
        <v>8.4430633109672026E-2</v>
      </c>
      <c r="CJ47" s="696">
        <f>Int!CJ64</f>
        <v>8.5909867328964218E-2</v>
      </c>
      <c r="CK47" s="696">
        <f>Int!CK64</f>
        <v>8.6445242456815397E-2</v>
      </c>
      <c r="CL47" s="697">
        <f>Int!CL64</f>
        <v>8.6517654934892274E-2</v>
      </c>
      <c r="CM47" s="732">
        <f>Int!CM64</f>
        <v>8.582173687390604E-2</v>
      </c>
    </row>
    <row r="48" spans="1:91" s="25" customFormat="1" ht="11.25" hidden="1" outlineLevel="1" x14ac:dyDescent="0.2">
      <c r="A48" s="695" t="s">
        <v>9</v>
      </c>
      <c r="B48" s="761"/>
      <c r="C48" s="760"/>
      <c r="D48" s="761"/>
      <c r="E48" s="761"/>
      <c r="F48" s="668"/>
      <c r="G48" s="746"/>
      <c r="H48" s="761"/>
      <c r="I48" s="760"/>
      <c r="J48" s="761"/>
      <c r="K48" s="761"/>
      <c r="L48" s="668"/>
      <c r="M48" s="746"/>
      <c r="N48" s="761"/>
      <c r="O48" s="760"/>
      <c r="P48" s="761"/>
      <c r="Q48" s="761"/>
      <c r="R48" s="668"/>
      <c r="S48" s="746"/>
      <c r="T48" s="761"/>
      <c r="U48" s="760"/>
      <c r="V48" s="761"/>
      <c r="W48" s="761"/>
      <c r="X48" s="668"/>
      <c r="Y48" s="746"/>
      <c r="Z48" s="761"/>
      <c r="AA48" s="760"/>
      <c r="AB48" s="761"/>
      <c r="AC48" s="761"/>
      <c r="AD48" s="668"/>
      <c r="AE48" s="746"/>
      <c r="AF48" s="761"/>
      <c r="AG48" s="760"/>
      <c r="AH48" s="761"/>
      <c r="AI48" s="761"/>
      <c r="AJ48" s="668"/>
      <c r="AK48" s="746"/>
      <c r="AL48" s="761"/>
      <c r="AM48" s="760"/>
      <c r="AN48" s="761"/>
      <c r="AO48" s="761"/>
      <c r="AP48" s="668"/>
      <c r="AQ48" s="746"/>
      <c r="AR48" s="761"/>
      <c r="AS48" s="760"/>
      <c r="AT48" s="761"/>
      <c r="AU48" s="761"/>
      <c r="AV48" s="668"/>
      <c r="AW48" s="746"/>
      <c r="AX48" s="761"/>
      <c r="AY48" s="760"/>
      <c r="AZ48" s="761"/>
      <c r="BA48" s="761"/>
      <c r="BB48" s="668"/>
      <c r="BC48" s="746"/>
      <c r="BD48" s="761"/>
      <c r="BE48" s="717"/>
      <c r="BF48" s="696"/>
      <c r="BG48" s="696"/>
      <c r="BH48" s="697"/>
      <c r="BI48" s="732"/>
      <c r="BJ48" s="761"/>
      <c r="BK48" s="717">
        <f>Int!BK65</f>
        <v>-1.7472340425531876E-2</v>
      </c>
      <c r="BL48" s="696">
        <f>Int!BL65</f>
        <v>-3.2432432432432476E-2</v>
      </c>
      <c r="BM48" s="696">
        <f>Int!BM65</f>
        <v>-3.3932330827067723E-2</v>
      </c>
      <c r="BN48" s="697">
        <f>Int!BN65</f>
        <v>-8.9353612167299718E-3</v>
      </c>
      <c r="BO48" s="732">
        <f>Int!BO65</f>
        <v>-2.3004056795131844E-2</v>
      </c>
      <c r="BP48" s="761"/>
      <c r="BQ48" s="717">
        <f>Int!BQ65</f>
        <v>3.056159420289857E-2</v>
      </c>
      <c r="BR48" s="696">
        <f>Int!BR65</f>
        <v>6.921079691266549E-2</v>
      </c>
      <c r="BS48" s="696">
        <f>Int!BS65</f>
        <v>5.1836369501142378E-2</v>
      </c>
      <c r="BT48" s="697">
        <f>Int!BT65</f>
        <v>2.251207306121928E-2</v>
      </c>
      <c r="BU48" s="732">
        <f>Int!BU65</f>
        <v>4.285537014569582E-2</v>
      </c>
      <c r="BV48" s="761"/>
      <c r="BW48" s="717">
        <f>Int!BW65</f>
        <v>3.4399623829325376E-2</v>
      </c>
      <c r="BX48" s="696">
        <f>Int!BX65</f>
        <v>3.3765383868470385E-3</v>
      </c>
      <c r="BY48" s="696">
        <f>Int!BY65</f>
        <v>0</v>
      </c>
      <c r="BZ48" s="697">
        <f>Int!BZ65</f>
        <v>0</v>
      </c>
      <c r="CA48" s="732">
        <f>Int!CA65</f>
        <v>9.4376978261571359E-3</v>
      </c>
      <c r="CB48" s="761"/>
      <c r="CC48" s="717">
        <f>Int!CC65</f>
        <v>0</v>
      </c>
      <c r="CD48" s="696">
        <f>Int!CD65</f>
        <v>0</v>
      </c>
      <c r="CE48" s="696">
        <f>Int!CE65</f>
        <v>0</v>
      </c>
      <c r="CF48" s="697">
        <f>Int!CF65</f>
        <v>0</v>
      </c>
      <c r="CG48" s="732">
        <f>Int!CG65</f>
        <v>0</v>
      </c>
      <c r="CH48" s="761"/>
      <c r="CI48" s="717">
        <f>Int!CI65</f>
        <v>0</v>
      </c>
      <c r="CJ48" s="696">
        <f>Int!CJ65</f>
        <v>0</v>
      </c>
      <c r="CK48" s="696">
        <f>Int!CK65</f>
        <v>0</v>
      </c>
      <c r="CL48" s="697">
        <f>Int!CL65</f>
        <v>0</v>
      </c>
      <c r="CM48" s="732">
        <f>Int!CM65</f>
        <v>0</v>
      </c>
    </row>
    <row r="49" spans="1:91" s="25" customFormat="1" ht="11.25" hidden="1" outlineLevel="1" x14ac:dyDescent="0.2">
      <c r="A49" s="695" t="s">
        <v>10</v>
      </c>
      <c r="B49" s="761"/>
      <c r="C49" s="760"/>
      <c r="D49" s="761"/>
      <c r="E49" s="761"/>
      <c r="F49" s="668"/>
      <c r="G49" s="746"/>
      <c r="H49" s="761"/>
      <c r="I49" s="760"/>
      <c r="J49" s="761"/>
      <c r="K49" s="761"/>
      <c r="L49" s="668"/>
      <c r="M49" s="746"/>
      <c r="N49" s="761"/>
      <c r="O49" s="760"/>
      <c r="P49" s="761"/>
      <c r="Q49" s="761"/>
      <c r="R49" s="668"/>
      <c r="S49" s="746"/>
      <c r="T49" s="761"/>
      <c r="U49" s="760"/>
      <c r="V49" s="761"/>
      <c r="W49" s="761"/>
      <c r="X49" s="668"/>
      <c r="Y49" s="746"/>
      <c r="Z49" s="761"/>
      <c r="AA49" s="760"/>
      <c r="AB49" s="761"/>
      <c r="AC49" s="761"/>
      <c r="AD49" s="668"/>
      <c r="AE49" s="746"/>
      <c r="AF49" s="761"/>
      <c r="AG49" s="760"/>
      <c r="AH49" s="761"/>
      <c r="AI49" s="761"/>
      <c r="AJ49" s="668"/>
      <c r="AK49" s="746"/>
      <c r="AL49" s="761"/>
      <c r="AM49" s="760"/>
      <c r="AN49" s="761"/>
      <c r="AO49" s="761"/>
      <c r="AP49" s="668"/>
      <c r="AQ49" s="746"/>
      <c r="AR49" s="761"/>
      <c r="AS49" s="760"/>
      <c r="AT49" s="761"/>
      <c r="AU49" s="761"/>
      <c r="AV49" s="668"/>
      <c r="AW49" s="746"/>
      <c r="AX49" s="761"/>
      <c r="AY49" s="760"/>
      <c r="AZ49" s="761"/>
      <c r="BA49" s="761"/>
      <c r="BB49" s="668"/>
      <c r="BC49" s="746"/>
      <c r="BD49" s="761"/>
      <c r="BE49" s="717"/>
      <c r="BF49" s="696"/>
      <c r="BG49" s="696"/>
      <c r="BH49" s="697"/>
      <c r="BI49" s="732"/>
      <c r="BJ49" s="761"/>
      <c r="BK49" s="717">
        <f>Int!BK66</f>
        <v>0.19194042553191476</v>
      </c>
      <c r="BL49" s="696">
        <f>Int!BL66</f>
        <v>0.16306306306306312</v>
      </c>
      <c r="BM49" s="696">
        <f>Int!BM66</f>
        <v>8.6563909774436093E-2</v>
      </c>
      <c r="BN49" s="697">
        <f>Int!BN66</f>
        <v>8.1178707224334595E-2</v>
      </c>
      <c r="BO49" s="732">
        <f>Int!BO66</f>
        <v>0.12746653144016229</v>
      </c>
      <c r="BP49" s="761"/>
      <c r="BQ49" s="717">
        <f>Int!BQ66</f>
        <v>8.5380434782608747E-2</v>
      </c>
      <c r="BR49" s="696">
        <f>Int!BR66</f>
        <v>8.1673306772908433E-2</v>
      </c>
      <c r="BS49" s="696">
        <f>Int!BS66</f>
        <v>8.0000000000000265E-2</v>
      </c>
      <c r="BT49" s="697">
        <f>Int!BT66</f>
        <v>8.4574468085106491E-2</v>
      </c>
      <c r="BU49" s="732">
        <f>Int!BU66</f>
        <v>8.2933884297520605E-2</v>
      </c>
      <c r="BV49" s="761"/>
      <c r="BW49" s="717">
        <f>Int!BW66</f>
        <v>8.178571428571435E-2</v>
      </c>
      <c r="BX49" s="696">
        <f>Int!BX66</f>
        <v>8.3305185085149502E-2</v>
      </c>
      <c r="BY49" s="696">
        <f>Int!BY66</f>
        <v>8.3852300701503735E-2</v>
      </c>
      <c r="BZ49" s="697">
        <f>Int!BZ66</f>
        <v>8.3921811618378195E-2</v>
      </c>
      <c r="CA49" s="732">
        <f>Int!CA66</f>
        <v>8.3221906309879662E-2</v>
      </c>
      <c r="CB49" s="761"/>
      <c r="CC49" s="717">
        <f>Int!CC66</f>
        <v>8.3103740802999093E-2</v>
      </c>
      <c r="CD49" s="696">
        <f>Int!CD66</f>
        <v>8.4623547680923616E-2</v>
      </c>
      <c r="CE49" s="696">
        <f>Int!CE66</f>
        <v>8.5167350959169941E-2</v>
      </c>
      <c r="CF49" s="697">
        <f>Int!CF66</f>
        <v>8.5238405460681843E-2</v>
      </c>
      <c r="CG49" s="732">
        <f>Int!CG66</f>
        <v>8.4528271893520079E-2</v>
      </c>
      <c r="CH49" s="761"/>
      <c r="CI49" s="717">
        <f>Int!CI66</f>
        <v>8.4430633109672026E-2</v>
      </c>
      <c r="CJ49" s="696">
        <f>Int!CJ66</f>
        <v>8.5909867328964218E-2</v>
      </c>
      <c r="CK49" s="696">
        <f>Int!CK66</f>
        <v>8.6445242456815397E-2</v>
      </c>
      <c r="CL49" s="697">
        <f>Int!CL66</f>
        <v>8.6517654934892274E-2</v>
      </c>
      <c r="CM49" s="732">
        <f>Int!CM66</f>
        <v>8.582173687390604E-2</v>
      </c>
    </row>
    <row r="50" spans="1:91" s="25" customFormat="1" ht="11.25" hidden="1" outlineLevel="1" x14ac:dyDescent="0.2">
      <c r="A50" s="695" t="s">
        <v>6</v>
      </c>
      <c r="B50" s="761"/>
      <c r="C50" s="760"/>
      <c r="D50" s="761"/>
      <c r="E50" s="761"/>
      <c r="F50" s="668"/>
      <c r="G50" s="746"/>
      <c r="H50" s="761"/>
      <c r="I50" s="760"/>
      <c r="J50" s="761"/>
      <c r="K50" s="761"/>
      <c r="L50" s="668"/>
      <c r="M50" s="746"/>
      <c r="N50" s="761"/>
      <c r="O50" s="760"/>
      <c r="P50" s="761"/>
      <c r="Q50" s="761"/>
      <c r="R50" s="668"/>
      <c r="S50" s="746"/>
      <c r="T50" s="761"/>
      <c r="U50" s="760"/>
      <c r="V50" s="761"/>
      <c r="W50" s="761"/>
      <c r="X50" s="668"/>
      <c r="Y50" s="746"/>
      <c r="Z50" s="761"/>
      <c r="AA50" s="760"/>
      <c r="AB50" s="761"/>
      <c r="AC50" s="761"/>
      <c r="AD50" s="668"/>
      <c r="AE50" s="746"/>
      <c r="AF50" s="761"/>
      <c r="AG50" s="760"/>
      <c r="AH50" s="761"/>
      <c r="AI50" s="761"/>
      <c r="AJ50" s="668"/>
      <c r="AK50" s="746"/>
      <c r="AL50" s="761"/>
      <c r="AM50" s="760"/>
      <c r="AN50" s="761"/>
      <c r="AO50" s="761"/>
      <c r="AP50" s="668"/>
      <c r="AQ50" s="746"/>
      <c r="AR50" s="761"/>
      <c r="AS50" s="760"/>
      <c r="AT50" s="761"/>
      <c r="AU50" s="761"/>
      <c r="AV50" s="668"/>
      <c r="AW50" s="746"/>
      <c r="AX50" s="761"/>
      <c r="AY50" s="760"/>
      <c r="AZ50" s="761"/>
      <c r="BA50" s="761"/>
      <c r="BB50" s="668"/>
      <c r="BC50" s="746"/>
      <c r="BD50" s="761"/>
      <c r="BE50" s="717"/>
      <c r="BF50" s="696"/>
      <c r="BG50" s="696"/>
      <c r="BH50" s="697"/>
      <c r="BI50" s="732"/>
      <c r="BJ50" s="761"/>
      <c r="BK50" s="717">
        <f>Int!BK67</f>
        <v>2.1276595744680851E-2</v>
      </c>
      <c r="BL50" s="696">
        <f>Int!BL67</f>
        <v>2.2522522522522521E-2</v>
      </c>
      <c r="BM50" s="696">
        <f>Int!BM67</f>
        <v>0</v>
      </c>
      <c r="BN50" s="697">
        <f>Int!BN67</f>
        <v>0</v>
      </c>
      <c r="BO50" s="732">
        <f>Int!BO67</f>
        <v>1.0141987829614604E-2</v>
      </c>
      <c r="BP50" s="761"/>
      <c r="BQ50" s="717">
        <f>Int!BQ67</f>
        <v>0</v>
      </c>
      <c r="BR50" s="696">
        <f>Int!BR67</f>
        <v>0</v>
      </c>
      <c r="BS50" s="696">
        <f>Int!BS67</f>
        <v>0</v>
      </c>
      <c r="BT50" s="697">
        <f>Int!BT67</f>
        <v>0</v>
      </c>
      <c r="BU50" s="732">
        <f>Int!BU67</f>
        <v>0</v>
      </c>
      <c r="BV50" s="761"/>
      <c r="BW50" s="717">
        <f>Int!BW67</f>
        <v>0</v>
      </c>
      <c r="BX50" s="696">
        <f>Int!BX67</f>
        <v>0</v>
      </c>
      <c r="BY50" s="696">
        <f>Int!BY67</f>
        <v>0</v>
      </c>
      <c r="BZ50" s="697">
        <f>Int!BZ67</f>
        <v>0</v>
      </c>
      <c r="CA50" s="732">
        <f>Int!CA67</f>
        <v>0</v>
      </c>
      <c r="CB50" s="761"/>
      <c r="CC50" s="717">
        <f>Int!CC67</f>
        <v>0</v>
      </c>
      <c r="CD50" s="696">
        <f>Int!CD67</f>
        <v>0</v>
      </c>
      <c r="CE50" s="696">
        <f>Int!CE67</f>
        <v>0</v>
      </c>
      <c r="CF50" s="697">
        <f>Int!CF67</f>
        <v>0</v>
      </c>
      <c r="CG50" s="732">
        <f>Int!CG67</f>
        <v>0</v>
      </c>
      <c r="CH50" s="761"/>
      <c r="CI50" s="717">
        <f>Int!CI67</f>
        <v>0</v>
      </c>
      <c r="CJ50" s="696">
        <f>Int!CJ67</f>
        <v>0</v>
      </c>
      <c r="CK50" s="696">
        <f>Int!CK67</f>
        <v>0</v>
      </c>
      <c r="CL50" s="697">
        <f>Int!CL67</f>
        <v>0</v>
      </c>
      <c r="CM50" s="732">
        <f>Int!CM67</f>
        <v>0</v>
      </c>
    </row>
    <row r="51" spans="1:91" s="25" customFormat="1" ht="11.25" hidden="1" outlineLevel="1" x14ac:dyDescent="0.2">
      <c r="A51" s="695" t="s">
        <v>7</v>
      </c>
      <c r="B51" s="761"/>
      <c r="C51" s="760"/>
      <c r="D51" s="761"/>
      <c r="E51" s="761"/>
      <c r="F51" s="668"/>
      <c r="G51" s="746"/>
      <c r="H51" s="761"/>
      <c r="I51" s="760"/>
      <c r="J51" s="761"/>
      <c r="K51" s="761"/>
      <c r="L51" s="668"/>
      <c r="M51" s="746"/>
      <c r="N51" s="761"/>
      <c r="O51" s="760"/>
      <c r="P51" s="761"/>
      <c r="Q51" s="761"/>
      <c r="R51" s="668"/>
      <c r="S51" s="746"/>
      <c r="T51" s="761"/>
      <c r="U51" s="760"/>
      <c r="V51" s="761"/>
      <c r="W51" s="761"/>
      <c r="X51" s="668"/>
      <c r="Y51" s="746"/>
      <c r="Z51" s="761"/>
      <c r="AA51" s="760"/>
      <c r="AB51" s="761"/>
      <c r="AC51" s="761"/>
      <c r="AD51" s="668"/>
      <c r="AE51" s="746"/>
      <c r="AF51" s="761"/>
      <c r="AG51" s="760"/>
      <c r="AH51" s="761"/>
      <c r="AI51" s="761"/>
      <c r="AJ51" s="668"/>
      <c r="AK51" s="746"/>
      <c r="AL51" s="761"/>
      <c r="AM51" s="760"/>
      <c r="AN51" s="761"/>
      <c r="AO51" s="761"/>
      <c r="AP51" s="668"/>
      <c r="AQ51" s="746"/>
      <c r="AR51" s="761"/>
      <c r="AS51" s="760"/>
      <c r="AT51" s="761"/>
      <c r="AU51" s="761"/>
      <c r="AV51" s="668"/>
      <c r="AW51" s="746"/>
      <c r="AX51" s="761"/>
      <c r="AY51" s="760"/>
      <c r="AZ51" s="761"/>
      <c r="BA51" s="761"/>
      <c r="BB51" s="668"/>
      <c r="BC51" s="746"/>
      <c r="BD51" s="761"/>
      <c r="BE51" s="717"/>
      <c r="BF51" s="696"/>
      <c r="BG51" s="696"/>
      <c r="BH51" s="697"/>
      <c r="BI51" s="732"/>
      <c r="BJ51" s="761"/>
      <c r="BK51" s="717">
        <f>Int!BK68</f>
        <v>0.17066382978723391</v>
      </c>
      <c r="BL51" s="696">
        <f>Int!BL68</f>
        <v>0.1405405405405406</v>
      </c>
      <c r="BM51" s="696">
        <f>Int!BM68</f>
        <v>8.6563909774436093E-2</v>
      </c>
      <c r="BN51" s="697">
        <f>Int!BN68</f>
        <v>8.1178707224334595E-2</v>
      </c>
      <c r="BO51" s="732">
        <f>Int!BO68</f>
        <v>0.11732454361054769</v>
      </c>
      <c r="BP51" s="761"/>
      <c r="BQ51" s="717">
        <f>Int!BQ68</f>
        <v>8.5380434782608747E-2</v>
      </c>
      <c r="BR51" s="696">
        <f>Int!BR68</f>
        <v>8.1673306772908433E-2</v>
      </c>
      <c r="BS51" s="696">
        <f>Int!BS68</f>
        <v>8.0000000000000265E-2</v>
      </c>
      <c r="BT51" s="697">
        <f>Int!BT68</f>
        <v>8.4574468085106491E-2</v>
      </c>
      <c r="BU51" s="732">
        <f>Int!BU68</f>
        <v>8.2933884297520605E-2</v>
      </c>
      <c r="BV51" s="761"/>
      <c r="BW51" s="717">
        <f>Int!BW68</f>
        <v>8.178571428571435E-2</v>
      </c>
      <c r="BX51" s="696">
        <f>Int!BX68</f>
        <v>8.3305185085149502E-2</v>
      </c>
      <c r="BY51" s="696">
        <f>Int!BY68</f>
        <v>8.3852300701503735E-2</v>
      </c>
      <c r="BZ51" s="697">
        <f>Int!BZ68</f>
        <v>8.3921811618378195E-2</v>
      </c>
      <c r="CA51" s="732">
        <f>Int!CA68</f>
        <v>8.3221906309879662E-2</v>
      </c>
      <c r="CB51" s="761"/>
      <c r="CC51" s="717">
        <f>Int!CC68</f>
        <v>8.3103740802999093E-2</v>
      </c>
      <c r="CD51" s="696">
        <f>Int!CD68</f>
        <v>8.4623547680923616E-2</v>
      </c>
      <c r="CE51" s="696">
        <f>Int!CE68</f>
        <v>8.5167350959169941E-2</v>
      </c>
      <c r="CF51" s="697">
        <f>Int!CF68</f>
        <v>8.5238405460681843E-2</v>
      </c>
      <c r="CG51" s="732">
        <f>Int!CG68</f>
        <v>8.4528271893520079E-2</v>
      </c>
      <c r="CH51" s="761"/>
      <c r="CI51" s="717">
        <f>Int!CI68</f>
        <v>8.4430633109672026E-2</v>
      </c>
      <c r="CJ51" s="696">
        <f>Int!CJ68</f>
        <v>8.5909867328964218E-2</v>
      </c>
      <c r="CK51" s="696">
        <f>Int!CK68</f>
        <v>8.6445242456815397E-2</v>
      </c>
      <c r="CL51" s="697">
        <f>Int!CL68</f>
        <v>8.6517654934892274E-2</v>
      </c>
      <c r="CM51" s="732">
        <f>Int!CM68</f>
        <v>8.582173687390604E-2</v>
      </c>
    </row>
    <row r="52" spans="1:91" s="25" customFormat="1" ht="11.25" collapsed="1" x14ac:dyDescent="0.2">
      <c r="A52" s="709" t="s">
        <v>11</v>
      </c>
      <c r="B52" s="761"/>
      <c r="C52" s="760"/>
      <c r="D52" s="761"/>
      <c r="E52" s="761"/>
      <c r="F52" s="668"/>
      <c r="G52" s="746"/>
      <c r="H52" s="761"/>
      <c r="I52" s="760"/>
      <c r="J52" s="761"/>
      <c r="K52" s="761"/>
      <c r="L52" s="668"/>
      <c r="M52" s="746"/>
      <c r="N52" s="761"/>
      <c r="O52" s="760"/>
      <c r="P52" s="761"/>
      <c r="Q52" s="761"/>
      <c r="R52" s="668"/>
      <c r="S52" s="746"/>
      <c r="T52" s="761"/>
      <c r="U52" s="760"/>
      <c r="V52" s="761"/>
      <c r="W52" s="761"/>
      <c r="X52" s="668"/>
      <c r="Y52" s="746"/>
      <c r="Z52" s="761"/>
      <c r="AA52" s="760"/>
      <c r="AB52" s="761"/>
      <c r="AC52" s="761"/>
      <c r="AD52" s="668"/>
      <c r="AE52" s="746"/>
      <c r="AF52" s="761"/>
      <c r="AG52" s="760"/>
      <c r="AH52" s="761"/>
      <c r="AI52" s="761"/>
      <c r="AJ52" s="668"/>
      <c r="AK52" s="746"/>
      <c r="AL52" s="761"/>
      <c r="AM52" s="760"/>
      <c r="AN52" s="761"/>
      <c r="AO52" s="761"/>
      <c r="AP52" s="668"/>
      <c r="AQ52" s="746"/>
      <c r="AR52" s="761"/>
      <c r="AS52" s="760"/>
      <c r="AT52" s="761"/>
      <c r="AU52" s="761"/>
      <c r="AV52" s="668"/>
      <c r="AW52" s="746"/>
      <c r="AX52" s="761"/>
      <c r="AY52" s="760"/>
      <c r="AZ52" s="761"/>
      <c r="BA52" s="761"/>
      <c r="BB52" s="668"/>
      <c r="BC52" s="746"/>
      <c r="BD52" s="761"/>
      <c r="BE52" s="729">
        <f>Int!BE69</f>
        <v>809</v>
      </c>
      <c r="BF52" s="711">
        <f>Int!BF69</f>
        <v>816</v>
      </c>
      <c r="BG52" s="711">
        <f>Int!BG69</f>
        <v>854</v>
      </c>
      <c r="BH52" s="712">
        <f>Int!BH69</f>
        <v>870</v>
      </c>
      <c r="BI52" s="740">
        <f>Int!BI69</f>
        <v>3349</v>
      </c>
      <c r="BJ52" s="761"/>
      <c r="BK52" s="729">
        <f>Int!BK69</f>
        <v>891</v>
      </c>
      <c r="BL52" s="711">
        <f>Int!BL69</f>
        <v>862</v>
      </c>
      <c r="BM52" s="711">
        <f>Int!BM69</f>
        <v>890</v>
      </c>
      <c r="BN52" s="712">
        <f>Int!BN69</f>
        <v>897</v>
      </c>
      <c r="BO52" s="740">
        <f>Int!BO69</f>
        <v>3540</v>
      </c>
      <c r="BP52" s="761"/>
      <c r="BQ52" s="729">
        <f>Int!BQ69</f>
        <v>925</v>
      </c>
      <c r="BR52" s="711">
        <f>Int!BR69</f>
        <v>927.41091002507903</v>
      </c>
      <c r="BS52" s="711">
        <f>Int!BS69</f>
        <v>952.61918346031996</v>
      </c>
      <c r="BT52" s="712">
        <f>Int!BT69</f>
        <v>961.96840460326382</v>
      </c>
      <c r="BU52" s="740">
        <f>Int!BU69</f>
        <v>3766.9984980886629</v>
      </c>
      <c r="BV52" s="761"/>
      <c r="BW52" s="729">
        <f>Int!BW69</f>
        <v>985.43508413943221</v>
      </c>
      <c r="BX52" s="711">
        <f>Int!BX69</f>
        <v>977.8192900487004</v>
      </c>
      <c r="BY52" s="711">
        <f>Int!BY69</f>
        <v>1004.6633418684062</v>
      </c>
      <c r="BZ52" s="712">
        <f>Int!BZ69</f>
        <v>1014.2605603019372</v>
      </c>
      <c r="CA52" s="740">
        <f>Int!CA69</f>
        <v>3982.1782763584761</v>
      </c>
      <c r="CB52" s="761"/>
      <c r="CC52" s="729">
        <f>Int!CC69</f>
        <v>1039.7629106636928</v>
      </c>
      <c r="CD52" s="711">
        <f>Int!CD69</f>
        <v>1030.8823798683147</v>
      </c>
      <c r="CE52" s="711">
        <f>Int!CE69</f>
        <v>1060.5320915014095</v>
      </c>
      <c r="CF52" s="712">
        <f>Int!CF69</f>
        <v>1070.3723390161053</v>
      </c>
      <c r="CG52" s="740">
        <f>Int!CG69</f>
        <v>4201.5497210495223</v>
      </c>
      <c r="CH52" s="761"/>
      <c r="CI52" s="729">
        <f>Int!CI69</f>
        <v>1098.1221152625237</v>
      </c>
      <c r="CJ52" s="711">
        <f>Int!CJ69</f>
        <v>1087.8173259439795</v>
      </c>
      <c r="CK52" s="711">
        <f>Int!CK69</f>
        <v>1120.5699934386653</v>
      </c>
      <c r="CL52" s="712">
        <f>Int!CL69</f>
        <v>1130.6462840714314</v>
      </c>
      <c r="CM52" s="740">
        <f>Int!CM69</f>
        <v>4437.1557187165999</v>
      </c>
    </row>
    <row r="53" spans="1:91" s="25" customFormat="1" ht="11.25" x14ac:dyDescent="0.2">
      <c r="A53" s="695" t="s">
        <v>5</v>
      </c>
      <c r="B53" s="761"/>
      <c r="C53" s="760"/>
      <c r="D53" s="761"/>
      <c r="E53" s="761"/>
      <c r="F53" s="668"/>
      <c r="G53" s="746"/>
      <c r="H53" s="761"/>
      <c r="I53" s="760"/>
      <c r="J53" s="761"/>
      <c r="K53" s="761"/>
      <c r="L53" s="668"/>
      <c r="M53" s="746"/>
      <c r="N53" s="761"/>
      <c r="O53" s="760"/>
      <c r="P53" s="761"/>
      <c r="Q53" s="761"/>
      <c r="R53" s="668"/>
      <c r="S53" s="746"/>
      <c r="T53" s="761"/>
      <c r="U53" s="760"/>
      <c r="V53" s="761"/>
      <c r="W53" s="761"/>
      <c r="X53" s="668"/>
      <c r="Y53" s="746"/>
      <c r="Z53" s="761"/>
      <c r="AA53" s="760"/>
      <c r="AB53" s="761"/>
      <c r="AC53" s="761"/>
      <c r="AD53" s="668"/>
      <c r="AE53" s="746"/>
      <c r="AF53" s="761"/>
      <c r="AG53" s="760"/>
      <c r="AH53" s="761"/>
      <c r="AI53" s="761"/>
      <c r="AJ53" s="668"/>
      <c r="AK53" s="746"/>
      <c r="AL53" s="761"/>
      <c r="AM53" s="760"/>
      <c r="AN53" s="761"/>
      <c r="AO53" s="761"/>
      <c r="AP53" s="668"/>
      <c r="AQ53" s="746"/>
      <c r="AR53" s="761"/>
      <c r="AS53" s="760"/>
      <c r="AT53" s="761"/>
      <c r="AU53" s="761"/>
      <c r="AV53" s="668"/>
      <c r="AW53" s="746"/>
      <c r="AX53" s="761"/>
      <c r="AY53" s="760"/>
      <c r="AZ53" s="761"/>
      <c r="BA53" s="761"/>
      <c r="BB53" s="668"/>
      <c r="BC53" s="746"/>
      <c r="BD53" s="761"/>
      <c r="BE53" s="717"/>
      <c r="BF53" s="696"/>
      <c r="BG53" s="696"/>
      <c r="BH53" s="697"/>
      <c r="BI53" s="732"/>
      <c r="BJ53" s="761"/>
      <c r="BK53" s="717">
        <f>Int!BK70</f>
        <v>0.10135970333745359</v>
      </c>
      <c r="BL53" s="696">
        <f>Int!BL70</f>
        <v>5.6372549019607865E-2</v>
      </c>
      <c r="BM53" s="696">
        <f>Int!BM70</f>
        <v>4.2154566744730726E-2</v>
      </c>
      <c r="BN53" s="697">
        <f>Int!BN70</f>
        <v>3.1034482758620641E-2</v>
      </c>
      <c r="BO53" s="732">
        <f>Int!BO70</f>
        <v>5.7031949835771867E-2</v>
      </c>
      <c r="BP53" s="761"/>
      <c r="BQ53" s="717">
        <f>Int!BQ70</f>
        <v>3.8159371492704874E-2</v>
      </c>
      <c r="BR53" s="696">
        <f>Int!BR70</f>
        <v>7.5882726247191501E-2</v>
      </c>
      <c r="BS53" s="696">
        <f>Int!BS70</f>
        <v>7.0358633101483159E-2</v>
      </c>
      <c r="BT53" s="697">
        <f>Int!BT70</f>
        <v>7.2428544708209364E-2</v>
      </c>
      <c r="BU53" s="732">
        <f>Int!BU70</f>
        <v>6.4123869516571341E-2</v>
      </c>
      <c r="BV53" s="761"/>
      <c r="BW53" s="717">
        <f>Int!BW70</f>
        <v>6.5335226096683519E-2</v>
      </c>
      <c r="BX53" s="696">
        <f>Int!BX70</f>
        <v>5.4353878608413453E-2</v>
      </c>
      <c r="BY53" s="696">
        <f>Int!BY70</f>
        <v>5.463270036095591E-2</v>
      </c>
      <c r="BZ53" s="697">
        <f>Int!BZ70</f>
        <v>5.435953556108708E-2</v>
      </c>
      <c r="CA53" s="732">
        <f>Int!CA70</f>
        <v>5.7122342464164255E-2</v>
      </c>
      <c r="CB53" s="761"/>
      <c r="CC53" s="717">
        <f>Int!CC70</f>
        <v>5.5130802016963187E-2</v>
      </c>
      <c r="CD53" s="696">
        <f>Int!CD70</f>
        <v>5.4266765198476952E-2</v>
      </c>
      <c r="CE53" s="696">
        <f>Int!CE70</f>
        <v>5.5609423878353326E-2</v>
      </c>
      <c r="CF53" s="697">
        <f>Int!CF70</f>
        <v>5.5322843961776558E-2</v>
      </c>
      <c r="CG53" s="732">
        <f>Int!CG70</f>
        <v>5.5088303302094133E-2</v>
      </c>
      <c r="CH53" s="761"/>
      <c r="CI53" s="717">
        <f>Int!CI70</f>
        <v>5.6127415202355646E-2</v>
      </c>
      <c r="CJ53" s="696">
        <f>Int!CJ70</f>
        <v>5.5229332839055401E-2</v>
      </c>
      <c r="CK53" s="696">
        <f>Int!CK70</f>
        <v>5.6611112872840375E-2</v>
      </c>
      <c r="CL53" s="697">
        <f>Int!CL70</f>
        <v>5.6311194579944379E-2</v>
      </c>
      <c r="CM53" s="732">
        <f>Int!CM70</f>
        <v>5.6075975130486899E-2</v>
      </c>
    </row>
    <row r="54" spans="1:91" s="25" customFormat="1" ht="11.25" x14ac:dyDescent="0.2">
      <c r="A54" s="695" t="s">
        <v>9</v>
      </c>
      <c r="B54" s="761"/>
      <c r="C54" s="760"/>
      <c r="D54" s="761"/>
      <c r="E54" s="761"/>
      <c r="F54" s="668"/>
      <c r="G54" s="746"/>
      <c r="H54" s="761"/>
      <c r="I54" s="760"/>
      <c r="J54" s="761"/>
      <c r="K54" s="761"/>
      <c r="L54" s="668"/>
      <c r="M54" s="746"/>
      <c r="N54" s="761"/>
      <c r="O54" s="760"/>
      <c r="P54" s="761"/>
      <c r="Q54" s="761"/>
      <c r="R54" s="668"/>
      <c r="S54" s="746"/>
      <c r="T54" s="761"/>
      <c r="U54" s="760"/>
      <c r="V54" s="761"/>
      <c r="W54" s="761"/>
      <c r="X54" s="668"/>
      <c r="Y54" s="746"/>
      <c r="Z54" s="761"/>
      <c r="AA54" s="760"/>
      <c r="AB54" s="761"/>
      <c r="AC54" s="761"/>
      <c r="AD54" s="668"/>
      <c r="AE54" s="746"/>
      <c r="AF54" s="761"/>
      <c r="AG54" s="760"/>
      <c r="AH54" s="761"/>
      <c r="AI54" s="761"/>
      <c r="AJ54" s="668"/>
      <c r="AK54" s="746"/>
      <c r="AL54" s="761"/>
      <c r="AM54" s="760"/>
      <c r="AN54" s="761"/>
      <c r="AO54" s="761"/>
      <c r="AP54" s="668"/>
      <c r="AQ54" s="746"/>
      <c r="AR54" s="761"/>
      <c r="AS54" s="760"/>
      <c r="AT54" s="761"/>
      <c r="AU54" s="761"/>
      <c r="AV54" s="668"/>
      <c r="AW54" s="746"/>
      <c r="AX54" s="761"/>
      <c r="AY54" s="760"/>
      <c r="AZ54" s="761"/>
      <c r="BA54" s="761"/>
      <c r="BB54" s="668"/>
      <c r="BC54" s="746"/>
      <c r="BD54" s="761"/>
      <c r="BE54" s="717"/>
      <c r="BF54" s="696"/>
      <c r="BG54" s="696"/>
      <c r="BH54" s="697"/>
      <c r="BI54" s="732"/>
      <c r="BJ54" s="761"/>
      <c r="BK54" s="717">
        <f>Int!BK71</f>
        <v>-5.0754017305315096E-3</v>
      </c>
      <c r="BL54" s="696">
        <f>Int!BL71</f>
        <v>-8.8235294117647179E-3</v>
      </c>
      <c r="BM54" s="696">
        <f>Int!BM71</f>
        <v>-1.0569086651053881E-2</v>
      </c>
      <c r="BN54" s="697">
        <f>Int!BN71</f>
        <v>-2.7011494252873365E-3</v>
      </c>
      <c r="BO54" s="732">
        <f>Int!BO71</f>
        <v>-6.7727679904449082E-3</v>
      </c>
      <c r="BP54" s="761"/>
      <c r="BQ54" s="717">
        <f>Int!BQ71</f>
        <v>9.466891133557807E-3</v>
      </c>
      <c r="BR54" s="696">
        <f>Int!BR71</f>
        <v>2.015302787132139E-2</v>
      </c>
      <c r="BS54" s="696">
        <f>Int!BS71</f>
        <v>1.6308071303730184E-2</v>
      </c>
      <c r="BT54" s="697">
        <f>Int!BT71</f>
        <v>7.0773741396475322E-3</v>
      </c>
      <c r="BU54" s="732">
        <f>Int!BU71</f>
        <v>1.3183474036345408E-2</v>
      </c>
      <c r="BV54" s="761"/>
      <c r="BW54" s="717">
        <f>Int!BW71</f>
        <v>1.1454145015602397E-2</v>
      </c>
      <c r="BX54" s="696">
        <f>Int!BX71</f>
        <v>1.0517313119112724E-3</v>
      </c>
      <c r="BY54" s="696">
        <f>Int!BY71</f>
        <v>0</v>
      </c>
      <c r="BZ54" s="697">
        <f>Int!BZ71</f>
        <v>0</v>
      </c>
      <c r="CA54" s="732">
        <f>Int!CA71</f>
        <v>3.0715359293040493E-3</v>
      </c>
      <c r="CB54" s="761"/>
      <c r="CC54" s="717">
        <f>Int!CC71</f>
        <v>0</v>
      </c>
      <c r="CD54" s="696">
        <f>Int!CD71</f>
        <v>0</v>
      </c>
      <c r="CE54" s="696">
        <f>Int!CE71</f>
        <v>0</v>
      </c>
      <c r="CF54" s="697">
        <f>Int!CF71</f>
        <v>0</v>
      </c>
      <c r="CG54" s="732">
        <f>Int!CG71</f>
        <v>0</v>
      </c>
      <c r="CH54" s="761"/>
      <c r="CI54" s="717">
        <f>Int!CI71</f>
        <v>0</v>
      </c>
      <c r="CJ54" s="696">
        <f>Int!CJ71</f>
        <v>0</v>
      </c>
      <c r="CK54" s="696">
        <f>Int!CK71</f>
        <v>0</v>
      </c>
      <c r="CL54" s="697">
        <f>Int!CL71</f>
        <v>0</v>
      </c>
      <c r="CM54" s="732">
        <f>Int!CM71</f>
        <v>0</v>
      </c>
    </row>
    <row r="55" spans="1:91" s="25" customFormat="1" ht="11.25" x14ac:dyDescent="0.2">
      <c r="A55" s="695" t="s">
        <v>10</v>
      </c>
      <c r="B55" s="761"/>
      <c r="C55" s="760"/>
      <c r="D55" s="761"/>
      <c r="E55" s="761"/>
      <c r="F55" s="668"/>
      <c r="G55" s="746"/>
      <c r="H55" s="761"/>
      <c r="I55" s="760"/>
      <c r="J55" s="761"/>
      <c r="K55" s="761"/>
      <c r="L55" s="668"/>
      <c r="M55" s="746"/>
      <c r="N55" s="761"/>
      <c r="O55" s="760"/>
      <c r="P55" s="761"/>
      <c r="Q55" s="761"/>
      <c r="R55" s="668"/>
      <c r="S55" s="746"/>
      <c r="T55" s="761"/>
      <c r="U55" s="760"/>
      <c r="V55" s="761"/>
      <c r="W55" s="761"/>
      <c r="X55" s="668"/>
      <c r="Y55" s="746"/>
      <c r="Z55" s="761"/>
      <c r="AA55" s="760"/>
      <c r="AB55" s="761"/>
      <c r="AC55" s="761"/>
      <c r="AD55" s="668"/>
      <c r="AE55" s="746"/>
      <c r="AF55" s="761"/>
      <c r="AG55" s="760"/>
      <c r="AH55" s="761"/>
      <c r="AI55" s="761"/>
      <c r="AJ55" s="668"/>
      <c r="AK55" s="746"/>
      <c r="AL55" s="761"/>
      <c r="AM55" s="760"/>
      <c r="AN55" s="761"/>
      <c r="AO55" s="761"/>
      <c r="AP55" s="668"/>
      <c r="AQ55" s="746"/>
      <c r="AR55" s="761"/>
      <c r="AS55" s="760"/>
      <c r="AT55" s="761"/>
      <c r="AU55" s="761"/>
      <c r="AV55" s="668"/>
      <c r="AW55" s="746"/>
      <c r="AX55" s="761"/>
      <c r="AY55" s="760"/>
      <c r="AZ55" s="761"/>
      <c r="BA55" s="761"/>
      <c r="BB55" s="668"/>
      <c r="BC55" s="746"/>
      <c r="BD55" s="761"/>
      <c r="BE55" s="717"/>
      <c r="BF55" s="696"/>
      <c r="BG55" s="696"/>
      <c r="BH55" s="697"/>
      <c r="BI55" s="732"/>
      <c r="BJ55" s="761"/>
      <c r="BK55" s="717">
        <f>Int!BK72</f>
        <v>0.10643510506798509</v>
      </c>
      <c r="BL55" s="696">
        <f>Int!BL72</f>
        <v>6.5196078431372581E-2</v>
      </c>
      <c r="BM55" s="696">
        <f>Int!BM72</f>
        <v>5.2723653395784609E-2</v>
      </c>
      <c r="BN55" s="697">
        <f>Int!BN72</f>
        <v>3.3735632183907974E-2</v>
      </c>
      <c r="BO55" s="732">
        <f>Int!BO72</f>
        <v>6.3804717826216772E-2</v>
      </c>
      <c r="BP55" s="761"/>
      <c r="BQ55" s="717">
        <f>Int!BQ72</f>
        <v>2.8692480359147066E-2</v>
      </c>
      <c r="BR55" s="696">
        <f>Int!BR72</f>
        <v>5.5729698375870107E-2</v>
      </c>
      <c r="BS55" s="696">
        <f>Int!BS72</f>
        <v>5.4050561797752972E-2</v>
      </c>
      <c r="BT55" s="697">
        <f>Int!BT72</f>
        <v>6.5351170568561837E-2</v>
      </c>
      <c r="BU55" s="732">
        <f>Int!BU72</f>
        <v>5.0940395480225935E-2</v>
      </c>
      <c r="BV55" s="761"/>
      <c r="BW55" s="717">
        <f>Int!BW72</f>
        <v>5.3881081081081125E-2</v>
      </c>
      <c r="BX55" s="696">
        <f>Int!BX72</f>
        <v>5.3302147296502178E-2</v>
      </c>
      <c r="BY55" s="696">
        <f>Int!BY72</f>
        <v>5.463270036095591E-2</v>
      </c>
      <c r="BZ55" s="697">
        <f>Int!BZ72</f>
        <v>5.435953556108708E-2</v>
      </c>
      <c r="CA55" s="732">
        <f>Int!CA72</f>
        <v>5.4050806534860205E-2</v>
      </c>
      <c r="CB55" s="761"/>
      <c r="CC55" s="717">
        <f>Int!CC72</f>
        <v>5.5130802016963187E-2</v>
      </c>
      <c r="CD55" s="696">
        <f>Int!CD72</f>
        <v>5.4266765198476952E-2</v>
      </c>
      <c r="CE55" s="696">
        <f>Int!CE72</f>
        <v>5.5609423878353326E-2</v>
      </c>
      <c r="CF55" s="697">
        <f>Int!CF72</f>
        <v>5.5322843961776558E-2</v>
      </c>
      <c r="CG55" s="732">
        <f>Int!CG72</f>
        <v>5.5088303302094133E-2</v>
      </c>
      <c r="CH55" s="761"/>
      <c r="CI55" s="717">
        <f>Int!CI72</f>
        <v>5.6127415202355646E-2</v>
      </c>
      <c r="CJ55" s="696">
        <f>Int!CJ72</f>
        <v>5.5229332839055401E-2</v>
      </c>
      <c r="CK55" s="696">
        <f>Int!CK72</f>
        <v>5.6611112872840375E-2</v>
      </c>
      <c r="CL55" s="697">
        <f>Int!CL72</f>
        <v>5.6311194579944379E-2</v>
      </c>
      <c r="CM55" s="732">
        <f>Int!CM72</f>
        <v>5.6075975130486899E-2</v>
      </c>
    </row>
    <row r="56" spans="1:91" s="25" customFormat="1" ht="11.25" x14ac:dyDescent="0.2">
      <c r="A56" s="695" t="s">
        <v>6</v>
      </c>
      <c r="B56" s="761"/>
      <c r="C56" s="760"/>
      <c r="D56" s="761"/>
      <c r="E56" s="761"/>
      <c r="F56" s="668"/>
      <c r="G56" s="746"/>
      <c r="H56" s="761"/>
      <c r="I56" s="760"/>
      <c r="J56" s="761"/>
      <c r="K56" s="761"/>
      <c r="L56" s="668"/>
      <c r="M56" s="746"/>
      <c r="N56" s="761"/>
      <c r="O56" s="760"/>
      <c r="P56" s="761"/>
      <c r="Q56" s="761"/>
      <c r="R56" s="668"/>
      <c r="S56" s="746"/>
      <c r="T56" s="761"/>
      <c r="U56" s="760"/>
      <c r="V56" s="761"/>
      <c r="W56" s="761"/>
      <c r="X56" s="668"/>
      <c r="Y56" s="746"/>
      <c r="Z56" s="761"/>
      <c r="AA56" s="760"/>
      <c r="AB56" s="761"/>
      <c r="AC56" s="761"/>
      <c r="AD56" s="668"/>
      <c r="AE56" s="746"/>
      <c r="AF56" s="761"/>
      <c r="AG56" s="760"/>
      <c r="AH56" s="761"/>
      <c r="AI56" s="761"/>
      <c r="AJ56" s="668"/>
      <c r="AK56" s="746"/>
      <c r="AL56" s="761"/>
      <c r="AM56" s="760"/>
      <c r="AN56" s="761"/>
      <c r="AO56" s="761"/>
      <c r="AP56" s="668"/>
      <c r="AQ56" s="746"/>
      <c r="AR56" s="761"/>
      <c r="AS56" s="760"/>
      <c r="AT56" s="761"/>
      <c r="AU56" s="761"/>
      <c r="AV56" s="668"/>
      <c r="AW56" s="746"/>
      <c r="AX56" s="761"/>
      <c r="AY56" s="760"/>
      <c r="AZ56" s="761"/>
      <c r="BA56" s="761"/>
      <c r="BB56" s="668"/>
      <c r="BC56" s="746"/>
      <c r="BD56" s="761"/>
      <c r="BE56" s="717"/>
      <c r="BF56" s="696"/>
      <c r="BG56" s="696"/>
      <c r="BH56" s="697"/>
      <c r="BI56" s="732"/>
      <c r="BJ56" s="761"/>
      <c r="BK56" s="717">
        <f>Int!BK73</f>
        <v>2.7812113720642771E-2</v>
      </c>
      <c r="BL56" s="696">
        <f>Int!BL73</f>
        <v>1.2561274509803922E-2</v>
      </c>
      <c r="BM56" s="696">
        <f>Int!BM73</f>
        <v>0</v>
      </c>
      <c r="BN56" s="697">
        <f>Int!BN73</f>
        <v>0</v>
      </c>
      <c r="BO56" s="732">
        <f>Int!BO73</f>
        <v>9.7790385189608833E-3</v>
      </c>
      <c r="BP56" s="761"/>
      <c r="BQ56" s="717">
        <f>Int!BQ73</f>
        <v>0</v>
      </c>
      <c r="BR56" s="696">
        <f>Int!BR73</f>
        <v>0</v>
      </c>
      <c r="BS56" s="696">
        <f>Int!BS73</f>
        <v>0</v>
      </c>
      <c r="BT56" s="697">
        <f>Int!BT73</f>
        <v>0</v>
      </c>
      <c r="BU56" s="732">
        <f>Int!BU73</f>
        <v>0</v>
      </c>
      <c r="BV56" s="761"/>
      <c r="BW56" s="717">
        <f>Int!BW73</f>
        <v>0</v>
      </c>
      <c r="BX56" s="696">
        <f>Int!BX73</f>
        <v>0</v>
      </c>
      <c r="BY56" s="696">
        <f>Int!BY73</f>
        <v>0</v>
      </c>
      <c r="BZ56" s="697">
        <f>Int!BZ73</f>
        <v>0</v>
      </c>
      <c r="CA56" s="732">
        <f>Int!CA73</f>
        <v>0</v>
      </c>
      <c r="CB56" s="761"/>
      <c r="CC56" s="717">
        <f>Int!CC73</f>
        <v>0</v>
      </c>
      <c r="CD56" s="696">
        <f>Int!CD73</f>
        <v>0</v>
      </c>
      <c r="CE56" s="696">
        <f>Int!CE73</f>
        <v>0</v>
      </c>
      <c r="CF56" s="697">
        <f>Int!CF73</f>
        <v>0</v>
      </c>
      <c r="CG56" s="732">
        <f>Int!CG73</f>
        <v>0</v>
      </c>
      <c r="CH56" s="761"/>
      <c r="CI56" s="717">
        <f>Int!CI73</f>
        <v>0</v>
      </c>
      <c r="CJ56" s="696">
        <f>Int!CJ73</f>
        <v>0</v>
      </c>
      <c r="CK56" s="696">
        <f>Int!CK73</f>
        <v>0</v>
      </c>
      <c r="CL56" s="697">
        <f>Int!CL73</f>
        <v>0</v>
      </c>
      <c r="CM56" s="732">
        <f>Int!CM73</f>
        <v>0</v>
      </c>
    </row>
    <row r="57" spans="1:91" s="25" customFormat="1" ht="11.25" x14ac:dyDescent="0.2">
      <c r="A57" s="695" t="s">
        <v>7</v>
      </c>
      <c r="B57" s="761"/>
      <c r="C57" s="760"/>
      <c r="D57" s="761"/>
      <c r="E57" s="761"/>
      <c r="F57" s="668"/>
      <c r="G57" s="746"/>
      <c r="H57" s="761"/>
      <c r="I57" s="760"/>
      <c r="J57" s="761"/>
      <c r="K57" s="761"/>
      <c r="L57" s="668"/>
      <c r="M57" s="746"/>
      <c r="N57" s="761"/>
      <c r="O57" s="760"/>
      <c r="P57" s="761"/>
      <c r="Q57" s="761"/>
      <c r="R57" s="668"/>
      <c r="S57" s="746"/>
      <c r="T57" s="761"/>
      <c r="U57" s="760"/>
      <c r="V57" s="761"/>
      <c r="W57" s="761"/>
      <c r="X57" s="668"/>
      <c r="Y57" s="746"/>
      <c r="Z57" s="761"/>
      <c r="AA57" s="760"/>
      <c r="AB57" s="761"/>
      <c r="AC57" s="761"/>
      <c r="AD57" s="668"/>
      <c r="AE57" s="746"/>
      <c r="AF57" s="761"/>
      <c r="AG57" s="760"/>
      <c r="AH57" s="761"/>
      <c r="AI57" s="761"/>
      <c r="AJ57" s="668"/>
      <c r="AK57" s="746"/>
      <c r="AL57" s="761"/>
      <c r="AM57" s="760"/>
      <c r="AN57" s="761"/>
      <c r="AO57" s="761"/>
      <c r="AP57" s="668"/>
      <c r="AQ57" s="746"/>
      <c r="AR57" s="761"/>
      <c r="AS57" s="760"/>
      <c r="AT57" s="761"/>
      <c r="AU57" s="761"/>
      <c r="AV57" s="668"/>
      <c r="AW57" s="746"/>
      <c r="AX57" s="761"/>
      <c r="AY57" s="760"/>
      <c r="AZ57" s="761"/>
      <c r="BA57" s="761"/>
      <c r="BB57" s="668"/>
      <c r="BC57" s="746"/>
      <c r="BD57" s="761"/>
      <c r="BE57" s="717"/>
      <c r="BF57" s="696"/>
      <c r="BG57" s="696"/>
      <c r="BH57" s="697"/>
      <c r="BI57" s="732"/>
      <c r="BJ57" s="761"/>
      <c r="BK57" s="717">
        <f>Int!BK74</f>
        <v>7.8622991347342325E-2</v>
      </c>
      <c r="BL57" s="696">
        <f>Int!BL74</f>
        <v>5.2634803921568662E-2</v>
      </c>
      <c r="BM57" s="696">
        <f>Int!BM74</f>
        <v>5.2723653395784609E-2</v>
      </c>
      <c r="BN57" s="697">
        <f>Int!BN74</f>
        <v>3.3735632183907974E-2</v>
      </c>
      <c r="BO57" s="732">
        <f>Int!BO74</f>
        <v>5.4025679307255887E-2</v>
      </c>
      <c r="BP57" s="761"/>
      <c r="BQ57" s="717">
        <f>Int!BQ74</f>
        <v>2.8692480359147066E-2</v>
      </c>
      <c r="BR57" s="696">
        <f>Int!BR74</f>
        <v>5.5729698375870107E-2</v>
      </c>
      <c r="BS57" s="696">
        <f>Int!BS74</f>
        <v>5.4050561797752972E-2</v>
      </c>
      <c r="BT57" s="697">
        <f>Int!BT74</f>
        <v>6.5351170568561837E-2</v>
      </c>
      <c r="BU57" s="732">
        <f>Int!BU74</f>
        <v>5.0940395480225935E-2</v>
      </c>
      <c r="BV57" s="761"/>
      <c r="BW57" s="717">
        <f>Int!BW74</f>
        <v>5.3881081081081125E-2</v>
      </c>
      <c r="BX57" s="696">
        <f>Int!BX74</f>
        <v>5.3302147296502178E-2</v>
      </c>
      <c r="BY57" s="696">
        <f>Int!BY74</f>
        <v>5.463270036095591E-2</v>
      </c>
      <c r="BZ57" s="697">
        <f>Int!BZ74</f>
        <v>5.435953556108708E-2</v>
      </c>
      <c r="CA57" s="732">
        <f>Int!CA74</f>
        <v>5.4050806534860205E-2</v>
      </c>
      <c r="CB57" s="761"/>
      <c r="CC57" s="717">
        <f>Int!CC74</f>
        <v>5.5130802016963187E-2</v>
      </c>
      <c r="CD57" s="696">
        <f>Int!CD74</f>
        <v>5.4266765198476952E-2</v>
      </c>
      <c r="CE57" s="696">
        <f>Int!CE74</f>
        <v>5.5609423878353326E-2</v>
      </c>
      <c r="CF57" s="697">
        <f>Int!CF74</f>
        <v>5.5322843961776558E-2</v>
      </c>
      <c r="CG57" s="732">
        <f>Int!CG74</f>
        <v>5.5088303302094133E-2</v>
      </c>
      <c r="CH57" s="761"/>
      <c r="CI57" s="717">
        <f>Int!CI74</f>
        <v>5.6127415202355646E-2</v>
      </c>
      <c r="CJ57" s="696">
        <f>Int!CJ74</f>
        <v>5.5229332839055401E-2</v>
      </c>
      <c r="CK57" s="696">
        <f>Int!CK74</f>
        <v>5.6611112872840375E-2</v>
      </c>
      <c r="CL57" s="697">
        <f>Int!CL74</f>
        <v>5.6311194579944379E-2</v>
      </c>
      <c r="CM57" s="732">
        <f>Int!CM74</f>
        <v>5.6075975130486899E-2</v>
      </c>
    </row>
    <row r="58" spans="1:91" s="25" customFormat="1" ht="11.25" x14ac:dyDescent="0.2">
      <c r="A58" s="706" t="s">
        <v>107</v>
      </c>
      <c r="B58" s="707"/>
      <c r="C58" s="728"/>
      <c r="D58" s="707"/>
      <c r="E58" s="707"/>
      <c r="F58" s="708"/>
      <c r="G58" s="739"/>
      <c r="H58" s="707"/>
      <c r="I58" s="728"/>
      <c r="J58" s="707"/>
      <c r="K58" s="707"/>
      <c r="L58" s="708"/>
      <c r="M58" s="739"/>
      <c r="N58" s="707"/>
      <c r="O58" s="728"/>
      <c r="P58" s="707"/>
      <c r="Q58" s="707"/>
      <c r="R58" s="708"/>
      <c r="S58" s="739"/>
      <c r="T58" s="707"/>
      <c r="U58" s="728"/>
      <c r="V58" s="707"/>
      <c r="W58" s="707"/>
      <c r="X58" s="708"/>
      <c r="Y58" s="739"/>
      <c r="Z58" s="707"/>
      <c r="AA58" s="728"/>
      <c r="AB58" s="707"/>
      <c r="AC58" s="707"/>
      <c r="AD58" s="708"/>
      <c r="AE58" s="739"/>
      <c r="AF58" s="707"/>
      <c r="AG58" s="728"/>
      <c r="AH58" s="707"/>
      <c r="AI58" s="707"/>
      <c r="AJ58" s="708"/>
      <c r="AK58" s="739"/>
      <c r="AL58" s="707"/>
      <c r="AM58" s="728"/>
      <c r="AN58" s="707"/>
      <c r="AO58" s="707"/>
      <c r="AP58" s="708"/>
      <c r="AQ58" s="739"/>
      <c r="AR58" s="707"/>
      <c r="AS58" s="728"/>
      <c r="AT58" s="707"/>
      <c r="AU58" s="707"/>
      <c r="AV58" s="708"/>
      <c r="AW58" s="739"/>
      <c r="AX58" s="707"/>
      <c r="AY58" s="728"/>
      <c r="AZ58" s="707"/>
      <c r="BA58" s="707"/>
      <c r="BB58" s="708"/>
      <c r="BC58" s="739"/>
      <c r="BD58" s="707"/>
      <c r="BE58" s="728"/>
      <c r="BF58" s="707"/>
      <c r="BG58" s="707"/>
      <c r="BH58" s="708"/>
      <c r="BI58" s="739"/>
      <c r="BJ58" s="707"/>
      <c r="BK58" s="728"/>
      <c r="BL58" s="707"/>
      <c r="BM58" s="707"/>
      <c r="BN58" s="708"/>
      <c r="BO58" s="739"/>
      <c r="BP58" s="707"/>
      <c r="BQ58" s="728"/>
      <c r="BR58" s="707"/>
      <c r="BS58" s="707"/>
      <c r="BT58" s="708"/>
      <c r="BU58" s="739"/>
      <c r="BV58" s="707"/>
      <c r="BW58" s="728"/>
      <c r="BX58" s="707"/>
      <c r="BY58" s="707"/>
      <c r="BZ58" s="708"/>
      <c r="CA58" s="739"/>
      <c r="CB58" s="707"/>
      <c r="CC58" s="728"/>
      <c r="CD58" s="707"/>
      <c r="CE58" s="707"/>
      <c r="CF58" s="708"/>
      <c r="CG58" s="739"/>
      <c r="CH58" s="707"/>
      <c r="CI58" s="728"/>
      <c r="CJ58" s="707"/>
      <c r="CK58" s="707"/>
      <c r="CL58" s="708"/>
      <c r="CM58" s="739"/>
    </row>
    <row r="59" spans="1:91" s="25" customFormat="1" ht="11.25" hidden="1" outlineLevel="1" x14ac:dyDescent="0.2">
      <c r="A59" s="694" t="s">
        <v>4</v>
      </c>
      <c r="B59" s="761"/>
      <c r="C59" s="760"/>
      <c r="D59" s="761"/>
      <c r="E59" s="761"/>
      <c r="F59" s="668"/>
      <c r="G59" s="746"/>
      <c r="H59" s="761"/>
      <c r="I59" s="760"/>
      <c r="J59" s="761"/>
      <c r="K59" s="761"/>
      <c r="L59" s="668"/>
      <c r="M59" s="746"/>
      <c r="N59" s="761"/>
      <c r="O59" s="760"/>
      <c r="P59" s="761"/>
      <c r="Q59" s="761"/>
      <c r="R59" s="668"/>
      <c r="S59" s="746"/>
      <c r="T59" s="761"/>
      <c r="U59" s="760"/>
      <c r="V59" s="761"/>
      <c r="W59" s="761"/>
      <c r="X59" s="668"/>
      <c r="Y59" s="746"/>
      <c r="Z59" s="761"/>
      <c r="AA59" s="760"/>
      <c r="AB59" s="761"/>
      <c r="AC59" s="761"/>
      <c r="AD59" s="668"/>
      <c r="AE59" s="746"/>
      <c r="AF59" s="761"/>
      <c r="AG59" s="760"/>
      <c r="AH59" s="761"/>
      <c r="AI59" s="761"/>
      <c r="AJ59" s="668"/>
      <c r="AK59" s="746"/>
      <c r="AL59" s="761"/>
      <c r="AM59" s="760"/>
      <c r="AN59" s="761"/>
      <c r="AO59" s="761"/>
      <c r="AP59" s="668"/>
      <c r="AQ59" s="746"/>
      <c r="AR59" s="761"/>
      <c r="AS59" s="760"/>
      <c r="AT59" s="761"/>
      <c r="AU59" s="761"/>
      <c r="AV59" s="668"/>
      <c r="AW59" s="746"/>
      <c r="AX59" s="761"/>
      <c r="AY59" s="760"/>
      <c r="AZ59" s="761"/>
      <c r="BA59" s="761"/>
      <c r="BB59" s="668"/>
      <c r="BC59" s="746"/>
      <c r="BD59" s="761"/>
      <c r="BE59" s="718">
        <f t="shared" ref="BE59:BF59" si="6">BE8+BE25+BE42</f>
        <v>2103</v>
      </c>
      <c r="BF59" s="666">
        <f t="shared" si="6"/>
        <v>2138</v>
      </c>
      <c r="BG59" s="666">
        <f>BG8+BG25+BG42</f>
        <v>2179</v>
      </c>
      <c r="BH59" s="667">
        <f t="shared" ref="BH59" si="7">BH8+BH25+BH42</f>
        <v>2201</v>
      </c>
      <c r="BI59" s="733">
        <f>SUM(BE59:BH59)</f>
        <v>8621</v>
      </c>
      <c r="BJ59" s="761"/>
      <c r="BK59" s="718">
        <f>BK8+BK25+BK42</f>
        <v>2231</v>
      </c>
      <c r="BL59" s="666">
        <f t="shared" ref="BL59:BN59" si="8">BL8+BL25+BL42</f>
        <v>2231</v>
      </c>
      <c r="BM59" s="666">
        <f t="shared" si="8"/>
        <v>2209</v>
      </c>
      <c r="BN59" s="667">
        <f t="shared" si="8"/>
        <v>2252</v>
      </c>
      <c r="BO59" s="733">
        <f>SUM(BK59:BN59)</f>
        <v>8923</v>
      </c>
      <c r="BP59" s="761"/>
      <c r="BQ59" s="718">
        <f>BQ8+BQ25+BQ42</f>
        <v>2259</v>
      </c>
      <c r="BR59" s="666">
        <f t="shared" ref="BR59:BT59" si="9">BR8+BR25+BR42</f>
        <v>2323.4939999999997</v>
      </c>
      <c r="BS59" s="666">
        <f t="shared" si="9"/>
        <v>2328.2600000000002</v>
      </c>
      <c r="BT59" s="667">
        <f t="shared" si="9"/>
        <v>2374.375</v>
      </c>
      <c r="BU59" s="733">
        <f>SUM(BQ59:BT59)</f>
        <v>9285.1290000000008</v>
      </c>
      <c r="BV59" s="761"/>
      <c r="BW59" s="718">
        <f t="shared" ref="BW59:BX59" si="10">BW8+BW25+BW42</f>
        <v>2361.3850000000002</v>
      </c>
      <c r="BX59" s="666">
        <f t="shared" si="10"/>
        <v>2428.111715</v>
      </c>
      <c r="BY59" s="666">
        <f>BY8+BY25+BY42</f>
        <v>2433.5090749999999</v>
      </c>
      <c r="BZ59" s="667">
        <f>BZ8+BZ25+BZ42</f>
        <v>2481.6177000000002</v>
      </c>
      <c r="CA59" s="733">
        <f>SUM(BW59:BZ59)</f>
        <v>9704.6234899999999</v>
      </c>
      <c r="CB59" s="761"/>
      <c r="CC59" s="718">
        <f t="shared" ref="CC59:CD59" si="11">CC8+CC25+CC42</f>
        <v>2469.2097749999998</v>
      </c>
      <c r="CD59" s="666">
        <f t="shared" si="11"/>
        <v>2538.2813065250002</v>
      </c>
      <c r="CE59" s="666">
        <f>CE8+CE25+CE42</f>
        <v>2544.4097500000003</v>
      </c>
      <c r="CF59" s="667">
        <f>CF8+CF25+CF42</f>
        <v>2594.6227773749997</v>
      </c>
      <c r="CG59" s="733">
        <f>SUM(CC59:CF59)</f>
        <v>10146.523608900001</v>
      </c>
      <c r="CH59" s="761"/>
      <c r="CI59" s="718">
        <f t="shared" ref="CI59:CJ59" si="12">CI8+CI25+CI42</f>
        <v>2582.2492278750001</v>
      </c>
      <c r="CJ59" s="666">
        <f t="shared" si="12"/>
        <v>2653.7467048508752</v>
      </c>
      <c r="CK59" s="666">
        <f>CK8+CK25+CK42</f>
        <v>2660.6580042828127</v>
      </c>
      <c r="CL59" s="667">
        <f>CL8+CL25+CL42</f>
        <v>2713.0728539540623</v>
      </c>
      <c r="CM59" s="733">
        <f>SUM(CI59:CL59)</f>
        <v>10609.72679096275</v>
      </c>
    </row>
    <row r="60" spans="1:91" s="25" customFormat="1" ht="11.25" hidden="1" outlineLevel="1" x14ac:dyDescent="0.2">
      <c r="A60" s="695" t="s">
        <v>5</v>
      </c>
      <c r="B60" s="761"/>
      <c r="C60" s="760"/>
      <c r="D60" s="761"/>
      <c r="E60" s="761"/>
      <c r="F60" s="668"/>
      <c r="G60" s="746"/>
      <c r="H60" s="761"/>
      <c r="I60" s="760"/>
      <c r="J60" s="761"/>
      <c r="K60" s="761"/>
      <c r="L60" s="668"/>
      <c r="M60" s="746"/>
      <c r="N60" s="761"/>
      <c r="O60" s="760"/>
      <c r="P60" s="761"/>
      <c r="Q60" s="761"/>
      <c r="R60" s="668"/>
      <c r="S60" s="746"/>
      <c r="T60" s="761"/>
      <c r="U60" s="760"/>
      <c r="V60" s="761"/>
      <c r="W60" s="761"/>
      <c r="X60" s="668"/>
      <c r="Y60" s="746"/>
      <c r="Z60" s="761"/>
      <c r="AA60" s="760"/>
      <c r="AB60" s="761"/>
      <c r="AC60" s="761"/>
      <c r="AD60" s="668"/>
      <c r="AE60" s="746"/>
      <c r="AF60" s="761"/>
      <c r="AG60" s="760"/>
      <c r="AH60" s="761"/>
      <c r="AI60" s="761"/>
      <c r="AJ60" s="668"/>
      <c r="AK60" s="746"/>
      <c r="AL60" s="761"/>
      <c r="AM60" s="760"/>
      <c r="AN60" s="761"/>
      <c r="AO60" s="761"/>
      <c r="AP60" s="668"/>
      <c r="AQ60" s="746"/>
      <c r="AR60" s="761"/>
      <c r="AS60" s="760"/>
      <c r="AT60" s="761"/>
      <c r="AU60" s="761"/>
      <c r="AV60" s="668"/>
      <c r="AW60" s="746"/>
      <c r="AX60" s="761"/>
      <c r="AY60" s="760"/>
      <c r="AZ60" s="761"/>
      <c r="BA60" s="761"/>
      <c r="BB60" s="668"/>
      <c r="BC60" s="746"/>
      <c r="BD60" s="761"/>
      <c r="BE60" s="760"/>
      <c r="BF60" s="761"/>
      <c r="BG60" s="761"/>
      <c r="BH60" s="668"/>
      <c r="BI60" s="746"/>
      <c r="BJ60" s="761"/>
      <c r="BK60" s="717">
        <f>BK59/BE59-1</f>
        <v>6.0865430337612825E-2</v>
      </c>
      <c r="BL60" s="696">
        <f t="shared" ref="BL60:BO60" si="13">BL59/BF59-1</f>
        <v>4.3498596819457447E-2</v>
      </c>
      <c r="BM60" s="696">
        <f t="shared" si="13"/>
        <v>1.3767783386874788E-2</v>
      </c>
      <c r="BN60" s="697">
        <f t="shared" si="13"/>
        <v>2.3171285779191253E-2</v>
      </c>
      <c r="BO60" s="732">
        <f t="shared" si="13"/>
        <v>3.5030738893399915E-2</v>
      </c>
      <c r="BP60" s="761"/>
      <c r="BQ60" s="717">
        <f>BQ59/BK59-1</f>
        <v>1.2550425818018907E-2</v>
      </c>
      <c r="BR60" s="696">
        <f t="shared" ref="BR60" si="14">BR59/BL59-1</f>
        <v>4.1458538771851128E-2</v>
      </c>
      <c r="BS60" s="696">
        <f t="shared" ref="BS60" si="15">BS59/BM59-1</f>
        <v>5.3988229968311652E-2</v>
      </c>
      <c r="BT60" s="697">
        <f t="shared" ref="BT60" si="16">BT59/BN59-1</f>
        <v>5.4340586145648295E-2</v>
      </c>
      <c r="BU60" s="732">
        <f t="shared" ref="BU60" si="17">BU59/BO59-1</f>
        <v>4.0583772273899088E-2</v>
      </c>
      <c r="BV60" s="761"/>
      <c r="BW60" s="717">
        <f>BW59/BQ59-1</f>
        <v>4.5323151837096232E-2</v>
      </c>
      <c r="BX60" s="696">
        <f t="shared" ref="BX60" si="18">BX59/BR59-1</f>
        <v>4.5026031915726961E-2</v>
      </c>
      <c r="BY60" s="696">
        <f t="shared" ref="BY60" si="19">BY59/BS59-1</f>
        <v>4.5205035090582601E-2</v>
      </c>
      <c r="BZ60" s="697">
        <f t="shared" ref="BZ60" si="20">BZ59/BT59-1</f>
        <v>4.5166707028165387E-2</v>
      </c>
      <c r="CA60" s="732">
        <f t="shared" ref="CA60" si="21">CA59/BU59-1</f>
        <v>4.5179177370610502E-2</v>
      </c>
      <c r="CB60" s="761"/>
      <c r="CC60" s="717">
        <f>CC59/BW59-1</f>
        <v>4.5661666776065646E-2</v>
      </c>
      <c r="CD60" s="696">
        <f t="shared" ref="CD60" si="22">CD59/BX59-1</f>
        <v>4.5372538192708367E-2</v>
      </c>
      <c r="CE60" s="696">
        <f t="shared" ref="CE60" si="23">CE59/BY59-1</f>
        <v>4.5572328510835813E-2</v>
      </c>
      <c r="CF60" s="697">
        <f t="shared" ref="CF60" si="24">CF59/BZ59-1</f>
        <v>4.5536859837435717E-2</v>
      </c>
      <c r="CG60" s="732">
        <f t="shared" ref="CG60" si="25">CG59/CA59-1</f>
        <v>4.5535009096988821E-2</v>
      </c>
      <c r="CH60" s="761"/>
      <c r="CI60" s="717">
        <f>CI59/CC59-1</f>
        <v>4.5779606908854076E-2</v>
      </c>
      <c r="CJ60" s="696">
        <f t="shared" ref="CJ60" si="26">CJ59/CD59-1</f>
        <v>4.5489598819900445E-2</v>
      </c>
      <c r="CK60" s="696">
        <f t="shared" ref="CK60" si="27">CK59/CE59-1</f>
        <v>4.5687709804921317E-2</v>
      </c>
      <c r="CL60" s="697">
        <f t="shared" ref="CL60" si="28">CL59/CF59-1</f>
        <v>4.5652137802821402E-2</v>
      </c>
      <c r="CM60" s="732">
        <f t="shared" ref="CM60" si="29">CM59/CG59-1</f>
        <v>4.5651417166806985E-2</v>
      </c>
    </row>
    <row r="61" spans="1:91" s="25" customFormat="1" ht="11.25" hidden="1" outlineLevel="1" x14ac:dyDescent="0.2">
      <c r="A61" s="695" t="s">
        <v>6</v>
      </c>
      <c r="B61" s="761"/>
      <c r="C61" s="760"/>
      <c r="D61" s="761"/>
      <c r="E61" s="761"/>
      <c r="F61" s="668"/>
      <c r="G61" s="746"/>
      <c r="H61" s="761"/>
      <c r="I61" s="760"/>
      <c r="J61" s="761"/>
      <c r="K61" s="761"/>
      <c r="L61" s="668"/>
      <c r="M61" s="746"/>
      <c r="N61" s="761"/>
      <c r="O61" s="760"/>
      <c r="P61" s="761"/>
      <c r="Q61" s="761"/>
      <c r="R61" s="668"/>
      <c r="S61" s="746"/>
      <c r="T61" s="761"/>
      <c r="U61" s="760"/>
      <c r="V61" s="761"/>
      <c r="W61" s="761"/>
      <c r="X61" s="668"/>
      <c r="Y61" s="746"/>
      <c r="Z61" s="761"/>
      <c r="AA61" s="760"/>
      <c r="AB61" s="761"/>
      <c r="AC61" s="761"/>
      <c r="AD61" s="668"/>
      <c r="AE61" s="746"/>
      <c r="AF61" s="761"/>
      <c r="AG61" s="760"/>
      <c r="AH61" s="761"/>
      <c r="AI61" s="761"/>
      <c r="AJ61" s="668"/>
      <c r="AK61" s="746"/>
      <c r="AL61" s="761"/>
      <c r="AM61" s="760"/>
      <c r="AN61" s="761"/>
      <c r="AO61" s="761"/>
      <c r="AP61" s="668"/>
      <c r="AQ61" s="746"/>
      <c r="AR61" s="761"/>
      <c r="AS61" s="760"/>
      <c r="AT61" s="761"/>
      <c r="AU61" s="761"/>
      <c r="AV61" s="668"/>
      <c r="AW61" s="746"/>
      <c r="AX61" s="761"/>
      <c r="AY61" s="760"/>
      <c r="AZ61" s="761"/>
      <c r="BA61" s="761"/>
      <c r="BB61" s="668"/>
      <c r="BC61" s="746"/>
      <c r="BD61" s="761"/>
      <c r="BE61" s="760"/>
      <c r="BF61" s="761"/>
      <c r="BG61" s="761"/>
      <c r="BH61" s="668"/>
      <c r="BI61" s="746"/>
      <c r="BJ61" s="761"/>
      <c r="BK61" s="717">
        <f>(BK10*BE8+BK27*BE25+BK44*BE42)/BE59</f>
        <v>8.321445553970519E-3</v>
      </c>
      <c r="BL61" s="696">
        <f>(BL10*BF8+BL27*BF25+BL44*BF42)/BF59</f>
        <v>2.4555659494855005E-3</v>
      </c>
      <c r="BM61" s="696">
        <f>(BM10*BG8+BM27*BG25+BM44*BG42)/BG59</f>
        <v>0</v>
      </c>
      <c r="BN61" s="697">
        <f>(BN10*BH8+BN27*BH25+BN44*BH42)/BH59</f>
        <v>0</v>
      </c>
      <c r="BO61" s="732">
        <f>SUMPRODUCT(BK61:BN61,BE59:BH59)/BI59</f>
        <v>2.6389049994200208E-3</v>
      </c>
      <c r="BP61" s="761"/>
      <c r="BQ61" s="717">
        <f>(BQ10*BK8+BQ27*BK25+BQ44*BK42)/BK59</f>
        <v>0</v>
      </c>
      <c r="BR61" s="696">
        <f>(BR10*BL8+BR27*BL25+BR44*BL42)/BL59</f>
        <v>0</v>
      </c>
      <c r="BS61" s="696">
        <f>(BS10*BM8+BS27*BM25+BS44*BM42)/BM59</f>
        <v>0</v>
      </c>
      <c r="BT61" s="697">
        <f>(BT10*BN8+BT27*BN25+BT44*BN42)/BN59</f>
        <v>0</v>
      </c>
      <c r="BU61" s="732">
        <f>SUMPRODUCT(BQ61:BT61,BK59:BN59)/BO59</f>
        <v>0</v>
      </c>
      <c r="BV61" s="761"/>
      <c r="BW61" s="717">
        <f>(BW10*BQ8+BW27*BQ25+BW44*BQ42)/BQ59</f>
        <v>0</v>
      </c>
      <c r="BX61" s="696">
        <f>(BX10*BR8+BX27*BR25+BX44*BR42)/BR59</f>
        <v>0</v>
      </c>
      <c r="BY61" s="696">
        <f>(BY10*BS8+BY27*BS25+BY44*BS42)/BS59</f>
        <v>0</v>
      </c>
      <c r="BZ61" s="697">
        <f>(BZ10*BT8+BZ27*BT25+BZ44*BT42)/BT59</f>
        <v>0</v>
      </c>
      <c r="CA61" s="732">
        <f>SUMPRODUCT(BW61:BZ61,BQ59:BT59)/BU59</f>
        <v>0</v>
      </c>
      <c r="CB61" s="761"/>
      <c r="CC61" s="717">
        <f>(CC10*BW8+CC27*BW25+CC44*BW42)/BW59</f>
        <v>0</v>
      </c>
      <c r="CD61" s="696">
        <f>(CD10*BX8+CD27*BX25+CD44*BX42)/BX59</f>
        <v>0</v>
      </c>
      <c r="CE61" s="696">
        <f>(CE10*BY8+CE27*BY25+CE44*BY42)/BY59</f>
        <v>0</v>
      </c>
      <c r="CF61" s="697">
        <f>(CF10*BZ8+CF27*BZ25+CF44*BZ42)/BZ59</f>
        <v>0</v>
      </c>
      <c r="CG61" s="732">
        <f>SUMPRODUCT(CC61:CF61,BW59:BZ59)/CA59</f>
        <v>0</v>
      </c>
      <c r="CH61" s="761"/>
      <c r="CI61" s="717">
        <f>(CI10*CC8+CI27*CC25+CI44*CC42)/CC59</f>
        <v>0</v>
      </c>
      <c r="CJ61" s="696">
        <f>(CJ10*CD8+CJ27*CD25+CJ44*CD42)/CD59</f>
        <v>0</v>
      </c>
      <c r="CK61" s="696">
        <f>(CK10*CE8+CK27*CE25+CK44*CE42)/CE59</f>
        <v>0</v>
      </c>
      <c r="CL61" s="697">
        <f>(CL10*CF8+CL27*CF25+CL44*CF42)/CF59</f>
        <v>0</v>
      </c>
      <c r="CM61" s="732">
        <f>SUMPRODUCT(CI61:CL61,CC59:CF59)/CG59</f>
        <v>0</v>
      </c>
    </row>
    <row r="62" spans="1:91" s="25" customFormat="1" ht="11.25" hidden="1" outlineLevel="1" x14ac:dyDescent="0.2">
      <c r="A62" s="695" t="s">
        <v>7</v>
      </c>
      <c r="B62" s="761"/>
      <c r="C62" s="760"/>
      <c r="D62" s="761"/>
      <c r="E62" s="761"/>
      <c r="F62" s="668"/>
      <c r="G62" s="746"/>
      <c r="H62" s="761"/>
      <c r="I62" s="760"/>
      <c r="J62" s="761"/>
      <c r="K62" s="761"/>
      <c r="L62" s="668"/>
      <c r="M62" s="746"/>
      <c r="N62" s="761"/>
      <c r="O62" s="760"/>
      <c r="P62" s="761"/>
      <c r="Q62" s="761"/>
      <c r="R62" s="668"/>
      <c r="S62" s="746"/>
      <c r="T62" s="761"/>
      <c r="U62" s="760"/>
      <c r="V62" s="761"/>
      <c r="W62" s="761"/>
      <c r="X62" s="668"/>
      <c r="Y62" s="746"/>
      <c r="Z62" s="761"/>
      <c r="AA62" s="760"/>
      <c r="AB62" s="761"/>
      <c r="AC62" s="761"/>
      <c r="AD62" s="668"/>
      <c r="AE62" s="746"/>
      <c r="AF62" s="761"/>
      <c r="AG62" s="760"/>
      <c r="AH62" s="761"/>
      <c r="AI62" s="761"/>
      <c r="AJ62" s="668"/>
      <c r="AK62" s="746"/>
      <c r="AL62" s="761"/>
      <c r="AM62" s="760"/>
      <c r="AN62" s="761"/>
      <c r="AO62" s="761"/>
      <c r="AP62" s="668"/>
      <c r="AQ62" s="746"/>
      <c r="AR62" s="761"/>
      <c r="AS62" s="760"/>
      <c r="AT62" s="761"/>
      <c r="AU62" s="761"/>
      <c r="AV62" s="668"/>
      <c r="AW62" s="746"/>
      <c r="AX62" s="761"/>
      <c r="AY62" s="760"/>
      <c r="AZ62" s="761"/>
      <c r="BA62" s="761"/>
      <c r="BB62" s="668"/>
      <c r="BC62" s="746"/>
      <c r="BD62" s="761"/>
      <c r="BE62" s="760"/>
      <c r="BF62" s="761"/>
      <c r="BG62" s="761"/>
      <c r="BH62" s="668"/>
      <c r="BI62" s="746"/>
      <c r="BJ62" s="761"/>
      <c r="BK62" s="717">
        <f>BK60-BK61</f>
        <v>5.2543984783642306E-2</v>
      </c>
      <c r="BL62" s="696">
        <f t="shared" ref="BL62:BO62" si="30">BL60-BL61</f>
        <v>4.104303086997195E-2</v>
      </c>
      <c r="BM62" s="696">
        <f t="shared" si="30"/>
        <v>1.3767783386874788E-2</v>
      </c>
      <c r="BN62" s="697">
        <f t="shared" si="30"/>
        <v>2.3171285779191253E-2</v>
      </c>
      <c r="BO62" s="732">
        <f t="shared" si="30"/>
        <v>3.2391833893979892E-2</v>
      </c>
      <c r="BP62" s="761"/>
      <c r="BQ62" s="717">
        <f>BQ60-BQ61</f>
        <v>1.2550425818018907E-2</v>
      </c>
      <c r="BR62" s="696">
        <f t="shared" ref="BR62:BU62" si="31">BR60-BR61</f>
        <v>4.1458538771851128E-2</v>
      </c>
      <c r="BS62" s="696">
        <f t="shared" si="31"/>
        <v>5.3988229968311652E-2</v>
      </c>
      <c r="BT62" s="697">
        <f t="shared" si="31"/>
        <v>5.4340586145648295E-2</v>
      </c>
      <c r="BU62" s="732">
        <f t="shared" si="31"/>
        <v>4.0583772273899088E-2</v>
      </c>
      <c r="BV62" s="761"/>
      <c r="BW62" s="717">
        <f>BW60-BW61</f>
        <v>4.5323151837096232E-2</v>
      </c>
      <c r="BX62" s="696">
        <f t="shared" ref="BX62:CA62" si="32">BX60-BX61</f>
        <v>4.5026031915726961E-2</v>
      </c>
      <c r="BY62" s="696">
        <f t="shared" si="32"/>
        <v>4.5205035090582601E-2</v>
      </c>
      <c r="BZ62" s="697">
        <f t="shared" si="32"/>
        <v>4.5166707028165387E-2</v>
      </c>
      <c r="CA62" s="732">
        <f t="shared" si="32"/>
        <v>4.5179177370610502E-2</v>
      </c>
      <c r="CB62" s="761"/>
      <c r="CC62" s="717">
        <f>CC60-CC61</f>
        <v>4.5661666776065646E-2</v>
      </c>
      <c r="CD62" s="696">
        <f t="shared" ref="CD62:CG62" si="33">CD60-CD61</f>
        <v>4.5372538192708367E-2</v>
      </c>
      <c r="CE62" s="696">
        <f t="shared" si="33"/>
        <v>4.5572328510835813E-2</v>
      </c>
      <c r="CF62" s="697">
        <f t="shared" si="33"/>
        <v>4.5536859837435717E-2</v>
      </c>
      <c r="CG62" s="732">
        <f t="shared" si="33"/>
        <v>4.5535009096988821E-2</v>
      </c>
      <c r="CH62" s="761"/>
      <c r="CI62" s="717">
        <f>CI60-CI61</f>
        <v>4.5779606908854076E-2</v>
      </c>
      <c r="CJ62" s="696">
        <f t="shared" ref="CJ62:CM62" si="34">CJ60-CJ61</f>
        <v>4.5489598819900445E-2</v>
      </c>
      <c r="CK62" s="696">
        <f t="shared" si="34"/>
        <v>4.5687709804921317E-2</v>
      </c>
      <c r="CL62" s="697">
        <f t="shared" si="34"/>
        <v>4.5652137802821402E-2</v>
      </c>
      <c r="CM62" s="732">
        <f t="shared" si="34"/>
        <v>4.5651417166806985E-2</v>
      </c>
    </row>
    <row r="63" spans="1:91" s="25" customFormat="1" ht="11.25" hidden="1" outlineLevel="1" x14ac:dyDescent="0.2">
      <c r="A63" s="694" t="s">
        <v>8</v>
      </c>
      <c r="B63" s="761"/>
      <c r="C63" s="760"/>
      <c r="D63" s="761"/>
      <c r="E63" s="761"/>
      <c r="F63" s="668"/>
      <c r="G63" s="746"/>
      <c r="H63" s="761"/>
      <c r="I63" s="760"/>
      <c r="J63" s="761"/>
      <c r="K63" s="761"/>
      <c r="L63" s="668"/>
      <c r="M63" s="746"/>
      <c r="N63" s="761"/>
      <c r="O63" s="760"/>
      <c r="P63" s="761"/>
      <c r="Q63" s="761"/>
      <c r="R63" s="668"/>
      <c r="S63" s="746"/>
      <c r="T63" s="761"/>
      <c r="U63" s="760"/>
      <c r="V63" s="761"/>
      <c r="W63" s="761"/>
      <c r="X63" s="668"/>
      <c r="Y63" s="746"/>
      <c r="Z63" s="761"/>
      <c r="AA63" s="760"/>
      <c r="AB63" s="761"/>
      <c r="AC63" s="761"/>
      <c r="AD63" s="668"/>
      <c r="AE63" s="746"/>
      <c r="AF63" s="761"/>
      <c r="AG63" s="760"/>
      <c r="AH63" s="761"/>
      <c r="AI63" s="761"/>
      <c r="AJ63" s="668"/>
      <c r="AK63" s="746"/>
      <c r="AL63" s="761"/>
      <c r="AM63" s="760"/>
      <c r="AN63" s="761"/>
      <c r="AO63" s="761"/>
      <c r="AP63" s="668"/>
      <c r="AQ63" s="746"/>
      <c r="AR63" s="761"/>
      <c r="AS63" s="760"/>
      <c r="AT63" s="761"/>
      <c r="AU63" s="761"/>
      <c r="AV63" s="668"/>
      <c r="AW63" s="746"/>
      <c r="AX63" s="761"/>
      <c r="AY63" s="760"/>
      <c r="AZ63" s="761"/>
      <c r="BA63" s="761"/>
      <c r="BB63" s="668"/>
      <c r="BC63" s="746"/>
      <c r="BD63" s="761"/>
      <c r="BE63" s="718">
        <f>BE12+BE29+BE46</f>
        <v>1484</v>
      </c>
      <c r="BF63" s="666">
        <f>BF12+BF29+BF46</f>
        <v>1528</v>
      </c>
      <c r="BG63" s="666">
        <f>BG12+BG29+BG46</f>
        <v>1694</v>
      </c>
      <c r="BH63" s="667">
        <f>BH12+BH29+BH46</f>
        <v>1710</v>
      </c>
      <c r="BI63" s="733">
        <f>SUM(BE63:BH63)</f>
        <v>6416</v>
      </c>
      <c r="BJ63" s="761"/>
      <c r="BK63" s="718">
        <f>BK12+BK29+BK46</f>
        <v>1601</v>
      </c>
      <c r="BL63" s="666">
        <f>BL12+BL29+BL46</f>
        <v>1620</v>
      </c>
      <c r="BM63" s="666">
        <f>BM12+BM29+BM46</f>
        <v>1751</v>
      </c>
      <c r="BN63" s="667">
        <f>BN12+BN29+BN46</f>
        <v>1842</v>
      </c>
      <c r="BO63" s="733">
        <f>SUM(BK63:BN63)</f>
        <v>6814</v>
      </c>
      <c r="BP63" s="761"/>
      <c r="BQ63" s="718">
        <f>BQ12+BQ29+BQ46</f>
        <v>1774</v>
      </c>
      <c r="BR63" s="666">
        <f>BR12+BR29+BR46</f>
        <v>1837.0570000000002</v>
      </c>
      <c r="BS63" s="666">
        <f>BS12+BS29+BS46</f>
        <v>1971.845</v>
      </c>
      <c r="BT63" s="667">
        <f>BT12+BT29+BT46</f>
        <v>1985.3940000000002</v>
      </c>
      <c r="BU63" s="733">
        <f>SUM(BQ63:BT63)</f>
        <v>7568.2960000000003</v>
      </c>
      <c r="BV63" s="761"/>
      <c r="BW63" s="718">
        <f>BW12+BW29+BW46</f>
        <v>1960.8483945516143</v>
      </c>
      <c r="BX63" s="666">
        <f>BX12+BX29+BX46</f>
        <v>1957.8682776799769</v>
      </c>
      <c r="BY63" s="666">
        <f>BY12+BY29+BY46</f>
        <v>2094.4727559649646</v>
      </c>
      <c r="BZ63" s="667">
        <f>BZ12+BZ29+BZ46</f>
        <v>2108.6376955389424</v>
      </c>
      <c r="CA63" s="733">
        <f>SUM(BW63:BZ63)</f>
        <v>8121.8271237354984</v>
      </c>
      <c r="CB63" s="761"/>
      <c r="CC63" s="718">
        <f>CC12+CC29+CC46</f>
        <v>2083.6930746058097</v>
      </c>
      <c r="CD63" s="666">
        <f>CD12+CD29+CD46</f>
        <v>2079.786091886926</v>
      </c>
      <c r="CE63" s="666">
        <f>CE12+CE29+CE46</f>
        <v>2225.4571117706928</v>
      </c>
      <c r="CF63" s="667">
        <f>CF12+CF29+CF46</f>
        <v>2240.2603644524775</v>
      </c>
      <c r="CG63" s="733">
        <f>SUM(CC63:CF63)</f>
        <v>8629.1966427159059</v>
      </c>
      <c r="CH63" s="761"/>
      <c r="CI63" s="718">
        <f>CI12+CI29+CI46</f>
        <v>2215.0003206156707</v>
      </c>
      <c r="CJ63" s="666">
        <f>CJ12+CJ29+CJ46</f>
        <v>2210.0203574207062</v>
      </c>
      <c r="CK63" s="666">
        <f>CK12+CK29+CK46</f>
        <v>2365.4275360622387</v>
      </c>
      <c r="CL63" s="667">
        <f>CL12+CL29+CL46</f>
        <v>2380.891543467957</v>
      </c>
      <c r="CM63" s="733">
        <f>SUM(CI63:CL63)</f>
        <v>9171.3397575665731</v>
      </c>
    </row>
    <row r="64" spans="1:91" s="25" customFormat="1" ht="11.25" hidden="1" outlineLevel="1" x14ac:dyDescent="0.2">
      <c r="A64" s="695" t="s">
        <v>5</v>
      </c>
      <c r="B64" s="761"/>
      <c r="C64" s="760"/>
      <c r="D64" s="761"/>
      <c r="E64" s="761"/>
      <c r="F64" s="668"/>
      <c r="G64" s="746"/>
      <c r="H64" s="761"/>
      <c r="I64" s="760"/>
      <c r="J64" s="761"/>
      <c r="K64" s="761"/>
      <c r="L64" s="668"/>
      <c r="M64" s="746"/>
      <c r="N64" s="761"/>
      <c r="O64" s="760"/>
      <c r="P64" s="761"/>
      <c r="Q64" s="761"/>
      <c r="R64" s="668"/>
      <c r="S64" s="746"/>
      <c r="T64" s="761"/>
      <c r="U64" s="760"/>
      <c r="V64" s="761"/>
      <c r="W64" s="761"/>
      <c r="X64" s="668"/>
      <c r="Y64" s="746"/>
      <c r="Z64" s="761"/>
      <c r="AA64" s="760"/>
      <c r="AB64" s="761"/>
      <c r="AC64" s="761"/>
      <c r="AD64" s="668"/>
      <c r="AE64" s="746"/>
      <c r="AF64" s="761"/>
      <c r="AG64" s="760"/>
      <c r="AH64" s="761"/>
      <c r="AI64" s="761"/>
      <c r="AJ64" s="668"/>
      <c r="AK64" s="746"/>
      <c r="AL64" s="761"/>
      <c r="AM64" s="760"/>
      <c r="AN64" s="761"/>
      <c r="AO64" s="761"/>
      <c r="AP64" s="668"/>
      <c r="AQ64" s="746"/>
      <c r="AR64" s="761"/>
      <c r="AS64" s="760"/>
      <c r="AT64" s="761"/>
      <c r="AU64" s="761"/>
      <c r="AV64" s="668"/>
      <c r="AW64" s="746"/>
      <c r="AX64" s="761"/>
      <c r="AY64" s="760"/>
      <c r="AZ64" s="761"/>
      <c r="BA64" s="761"/>
      <c r="BB64" s="668"/>
      <c r="BC64" s="746"/>
      <c r="BD64" s="761"/>
      <c r="BE64" s="760"/>
      <c r="BF64" s="761"/>
      <c r="BG64" s="761"/>
      <c r="BH64" s="668"/>
      <c r="BI64" s="746"/>
      <c r="BJ64" s="761"/>
      <c r="BK64" s="717">
        <f>BK63/BE63-1</f>
        <v>7.8840970350404271E-2</v>
      </c>
      <c r="BL64" s="696">
        <f t="shared" ref="BL64:BO64" si="35">BL63/BF63-1</f>
        <v>6.0209424083769614E-2</v>
      </c>
      <c r="BM64" s="696">
        <f t="shared" si="35"/>
        <v>3.3648170011806311E-2</v>
      </c>
      <c r="BN64" s="697">
        <f t="shared" si="35"/>
        <v>7.7192982456140369E-2</v>
      </c>
      <c r="BO64" s="732">
        <f t="shared" si="35"/>
        <v>6.2032418952618462E-2</v>
      </c>
      <c r="BP64" s="761"/>
      <c r="BQ64" s="717">
        <f>BQ63/BK63-1</f>
        <v>0.10805746408494699</v>
      </c>
      <c r="BR64" s="696">
        <f t="shared" ref="BR64" si="36">BR63/BL63-1</f>
        <v>0.13398580246913605</v>
      </c>
      <c r="BS64" s="696">
        <f t="shared" ref="BS64" si="37">BS63/BM63-1</f>
        <v>0.1261250713877784</v>
      </c>
      <c r="BT64" s="697">
        <f t="shared" ref="BT64" si="38">BT63/BN63-1</f>
        <v>7.7846905537459321E-2</v>
      </c>
      <c r="BU64" s="732">
        <f t="shared" ref="BU64" si="39">BU63/BO63-1</f>
        <v>0.11069797475785159</v>
      </c>
      <c r="BV64" s="761"/>
      <c r="BW64" s="717">
        <f>BW63/BQ63-1</f>
        <v>0.10532603976979393</v>
      </c>
      <c r="BX64" s="696">
        <f t="shared" ref="BX64" si="40">BX63/BR63-1</f>
        <v>6.5763488928202385E-2</v>
      </c>
      <c r="BY64" s="696">
        <f t="shared" ref="BY64" si="41">BY63/BS63-1</f>
        <v>6.2189348536504818E-2</v>
      </c>
      <c r="BZ64" s="697">
        <f t="shared" ref="BZ64" si="42">BZ63/BT63-1</f>
        <v>6.2075182829676168E-2</v>
      </c>
      <c r="CA64" s="732">
        <f t="shared" ref="CA64" si="43">CA63/BU63-1</f>
        <v>7.3138144139116346E-2</v>
      </c>
      <c r="CB64" s="761"/>
      <c r="CC64" s="717">
        <f>CC63/BW63-1</f>
        <v>6.2648739390321895E-2</v>
      </c>
      <c r="CD64" s="696">
        <f t="shared" ref="CD64" si="44">CD63/BX63-1</f>
        <v>6.227069287389364E-2</v>
      </c>
      <c r="CE64" s="696">
        <f t="shared" ref="CE64" si="45">CE63/BY63-1</f>
        <v>6.2538104366691272E-2</v>
      </c>
      <c r="CF64" s="697">
        <f t="shared" ref="CF64" si="46">CF63/BZ63-1</f>
        <v>6.242071323679621E-2</v>
      </c>
      <c r="CG64" s="732">
        <f t="shared" ref="CG64" si="47">CG63/CA63-1</f>
        <v>6.2469874235275613E-2</v>
      </c>
      <c r="CH64" s="761"/>
      <c r="CI64" s="717">
        <f>CI63/CC63-1</f>
        <v>6.3016596642814893E-2</v>
      </c>
      <c r="CJ64" s="696">
        <f t="shared" ref="CJ64" si="48">CJ63/CD63-1</f>
        <v>6.2619067432854392E-2</v>
      </c>
      <c r="CK64" s="696">
        <f t="shared" ref="CK64" si="49">CK63/CE63-1</f>
        <v>6.2895134465286606E-2</v>
      </c>
      <c r="CL64" s="697">
        <f t="shared" ref="CL64" si="50">CL63/CF63-1</f>
        <v>6.2774479809113659E-2</v>
      </c>
      <c r="CM64" s="732">
        <f t="shared" ref="CM64" si="51">CM63/CG63-1</f>
        <v>6.2826603367336809E-2</v>
      </c>
    </row>
    <row r="65" spans="1:91" s="25" customFormat="1" ht="11.25" hidden="1" outlineLevel="1" x14ac:dyDescent="0.2">
      <c r="A65" s="695" t="s">
        <v>9</v>
      </c>
      <c r="B65" s="761"/>
      <c r="C65" s="760"/>
      <c r="D65" s="761"/>
      <c r="E65" s="761"/>
      <c r="F65" s="668"/>
      <c r="G65" s="746"/>
      <c r="H65" s="761"/>
      <c r="I65" s="760"/>
      <c r="J65" s="761"/>
      <c r="K65" s="761"/>
      <c r="L65" s="668"/>
      <c r="M65" s="746"/>
      <c r="N65" s="761"/>
      <c r="O65" s="760"/>
      <c r="P65" s="761"/>
      <c r="Q65" s="761"/>
      <c r="R65" s="668"/>
      <c r="S65" s="746"/>
      <c r="T65" s="761"/>
      <c r="U65" s="760"/>
      <c r="V65" s="761"/>
      <c r="W65" s="761"/>
      <c r="X65" s="668"/>
      <c r="Y65" s="746"/>
      <c r="Z65" s="761"/>
      <c r="AA65" s="760"/>
      <c r="AB65" s="761"/>
      <c r="AC65" s="761"/>
      <c r="AD65" s="668"/>
      <c r="AE65" s="746"/>
      <c r="AF65" s="761"/>
      <c r="AG65" s="760"/>
      <c r="AH65" s="761"/>
      <c r="AI65" s="761"/>
      <c r="AJ65" s="668"/>
      <c r="AK65" s="746"/>
      <c r="AL65" s="761"/>
      <c r="AM65" s="760"/>
      <c r="AN65" s="761"/>
      <c r="AO65" s="761"/>
      <c r="AP65" s="668"/>
      <c r="AQ65" s="746"/>
      <c r="AR65" s="761"/>
      <c r="AS65" s="760"/>
      <c r="AT65" s="761"/>
      <c r="AU65" s="761"/>
      <c r="AV65" s="668"/>
      <c r="AW65" s="746"/>
      <c r="AX65" s="761"/>
      <c r="AY65" s="760"/>
      <c r="AZ65" s="761"/>
      <c r="BA65" s="761"/>
      <c r="BB65" s="668"/>
      <c r="BC65" s="746"/>
      <c r="BD65" s="761"/>
      <c r="BE65" s="760"/>
      <c r="BF65" s="761"/>
      <c r="BG65" s="761"/>
      <c r="BH65" s="668"/>
      <c r="BI65" s="746"/>
      <c r="BJ65" s="761"/>
      <c r="BK65" s="717">
        <f>(BK14*BE12+BK31*BE29+BK48*BE46)/BE63</f>
        <v>-1.2115229110512096E-2</v>
      </c>
      <c r="BL65" s="696">
        <f>(BL14*BF12+BL31*BF29+BL48*BF46)/BF63</f>
        <v>-2.058507853403144E-2</v>
      </c>
      <c r="BM65" s="696">
        <f>(BM14*BG12+BM31*BG29+BM48*BG46)/BG63</f>
        <v>-2.4844155844155877E-2</v>
      </c>
      <c r="BN65" s="697">
        <f>(BN14*BH12+BN31*BH29+BN48*BH46)/BH63</f>
        <v>2.5467836257310143E-3</v>
      </c>
      <c r="BO65" s="732">
        <f>SUMPRODUCT(BK65:BN65,BE63:BH63)/BI63</f>
        <v>-1.3585411471321699E-2</v>
      </c>
      <c r="BP65" s="761"/>
      <c r="BQ65" s="717">
        <f>(BQ14*BK12+BQ31*BK29+BQ48*BK46)/BK63</f>
        <v>3.7198625858838215E-2</v>
      </c>
      <c r="BR65" s="696">
        <f>(BR14*BL12+BR31*BL29+BR48*BL46)/BL63</f>
        <v>7.6069135802469129E-2</v>
      </c>
      <c r="BS65" s="696">
        <f>(BS14*BM12+BS31*BM29+BS48*BM46)/BM63</f>
        <v>5.8800685322672755E-2</v>
      </c>
      <c r="BT65" s="697">
        <f>(BT14*BN12+BT31*BN29+BT48*BN46)/BN63</f>
        <v>2.4448425624321389E-2</v>
      </c>
      <c r="BU65" s="732">
        <f>SUMPRODUCT(BQ65:BT65,BK63:BN63)/BO63</f>
        <v>4.85443205165835E-2</v>
      </c>
      <c r="BV65" s="761"/>
      <c r="BW65" s="717">
        <f>(BW14*BQ12+BW31*BQ29+BW48*BQ46)/BQ63</f>
        <v>4.2961327255701447E-2</v>
      </c>
      <c r="BX65" s="696">
        <f>(BX14*BR12+BX31*BR29+BX48*BR46)/BR63</f>
        <v>3.8275975001122904E-3</v>
      </c>
      <c r="BY65" s="696">
        <f>(BY14*BS12+BY31*BS29+BY48*BS46)/BS63</f>
        <v>0</v>
      </c>
      <c r="BZ65" s="697">
        <f>(BZ14*BT12+BZ31*BT29+BZ48*BT46)/BT63</f>
        <v>0</v>
      </c>
      <c r="CA65" s="732">
        <f>SUMPRODUCT(BW65:BZ65,BQ63:BT63)/BU63</f>
        <v>1.0999161413927013E-2</v>
      </c>
      <c r="CB65" s="761"/>
      <c r="CC65" s="717">
        <f>(CC14*BW12+CC31*BW29+CC48*BW46)/BW63</f>
        <v>0</v>
      </c>
      <c r="CD65" s="696">
        <f>(CD14*BX12+CD31*BX29+CD48*BX46)/BX63</f>
        <v>0</v>
      </c>
      <c r="CE65" s="696">
        <f>(CE14*BY12+CE31*BY29+CE48*BY46)/BY63</f>
        <v>0</v>
      </c>
      <c r="CF65" s="697">
        <f>(CF14*BZ12+CF31*BZ29+CF48*BZ46)/BZ63</f>
        <v>0</v>
      </c>
      <c r="CG65" s="732">
        <f>SUMPRODUCT(CC65:CF65,BW63:BZ63)/CA63</f>
        <v>0</v>
      </c>
      <c r="CH65" s="761"/>
      <c r="CI65" s="717">
        <f>(CI14*CC12+CI31*CC29+CI48*CC46)/CC63</f>
        <v>0</v>
      </c>
      <c r="CJ65" s="696">
        <f>(CJ14*CD12+CJ31*CD29+CJ48*CD46)/CD63</f>
        <v>0</v>
      </c>
      <c r="CK65" s="696">
        <f>(CK14*CE12+CK31*CE29+CK48*CE46)/CE63</f>
        <v>0</v>
      </c>
      <c r="CL65" s="697">
        <f>(CL14*CF12+CL31*CF29+CL48*CF46)/CF63</f>
        <v>0</v>
      </c>
      <c r="CM65" s="732">
        <f>SUMPRODUCT(CI65:CL65,CC63:CF63)/CG63</f>
        <v>0</v>
      </c>
    </row>
    <row r="66" spans="1:91" s="25" customFormat="1" ht="11.25" hidden="1" outlineLevel="1" x14ac:dyDescent="0.2">
      <c r="A66" s="695" t="s">
        <v>10</v>
      </c>
      <c r="B66" s="761"/>
      <c r="C66" s="760"/>
      <c r="D66" s="761"/>
      <c r="E66" s="761"/>
      <c r="F66" s="668"/>
      <c r="G66" s="746"/>
      <c r="H66" s="761"/>
      <c r="I66" s="760"/>
      <c r="J66" s="761"/>
      <c r="K66" s="761"/>
      <c r="L66" s="668"/>
      <c r="M66" s="746"/>
      <c r="N66" s="761"/>
      <c r="O66" s="760"/>
      <c r="P66" s="761"/>
      <c r="Q66" s="761"/>
      <c r="R66" s="668"/>
      <c r="S66" s="746"/>
      <c r="T66" s="761"/>
      <c r="U66" s="760"/>
      <c r="V66" s="761"/>
      <c r="W66" s="761"/>
      <c r="X66" s="668"/>
      <c r="Y66" s="746"/>
      <c r="Z66" s="761"/>
      <c r="AA66" s="760"/>
      <c r="AB66" s="761"/>
      <c r="AC66" s="761"/>
      <c r="AD66" s="668"/>
      <c r="AE66" s="746"/>
      <c r="AF66" s="761"/>
      <c r="AG66" s="760"/>
      <c r="AH66" s="761"/>
      <c r="AI66" s="761"/>
      <c r="AJ66" s="668"/>
      <c r="AK66" s="746"/>
      <c r="AL66" s="761"/>
      <c r="AM66" s="760"/>
      <c r="AN66" s="761"/>
      <c r="AO66" s="761"/>
      <c r="AP66" s="668"/>
      <c r="AQ66" s="746"/>
      <c r="AR66" s="761"/>
      <c r="AS66" s="760"/>
      <c r="AT66" s="761"/>
      <c r="AU66" s="761"/>
      <c r="AV66" s="668"/>
      <c r="AW66" s="746"/>
      <c r="AX66" s="761"/>
      <c r="AY66" s="760"/>
      <c r="AZ66" s="761"/>
      <c r="BA66" s="761"/>
      <c r="BB66" s="668"/>
      <c r="BC66" s="746"/>
      <c r="BD66" s="761"/>
      <c r="BE66" s="760"/>
      <c r="BF66" s="761"/>
      <c r="BG66" s="761"/>
      <c r="BH66" s="668"/>
      <c r="BI66" s="746"/>
      <c r="BJ66" s="761"/>
      <c r="BK66" s="717">
        <f>BK64-BK65</f>
        <v>9.0956199460916362E-2</v>
      </c>
      <c r="BL66" s="696">
        <f t="shared" ref="BL66:BO66" si="52">BL64-BL65</f>
        <v>8.0794502617801051E-2</v>
      </c>
      <c r="BM66" s="696">
        <f t="shared" si="52"/>
        <v>5.8492325855962188E-2</v>
      </c>
      <c r="BN66" s="697">
        <f t="shared" si="52"/>
        <v>7.4646198830409349E-2</v>
      </c>
      <c r="BO66" s="732">
        <f t="shared" si="52"/>
        <v>7.5617830423940158E-2</v>
      </c>
      <c r="BP66" s="761"/>
      <c r="BQ66" s="717">
        <f>BQ64-BQ65</f>
        <v>7.0858838226108778E-2</v>
      </c>
      <c r="BR66" s="696">
        <f t="shared" ref="BR66:BU66" si="53">BR64-BR65</f>
        <v>5.7916666666666922E-2</v>
      </c>
      <c r="BS66" s="696">
        <f t="shared" si="53"/>
        <v>6.7324386065105643E-2</v>
      </c>
      <c r="BT66" s="697">
        <f t="shared" si="53"/>
        <v>5.3398479913137932E-2</v>
      </c>
      <c r="BU66" s="732">
        <f t="shared" si="53"/>
        <v>6.2153654241268091E-2</v>
      </c>
      <c r="BV66" s="761"/>
      <c r="BW66" s="717">
        <f>BW64-BW65</f>
        <v>6.2364712514092487E-2</v>
      </c>
      <c r="BX66" s="696">
        <f t="shared" ref="BX66:CA66" si="54">BX64-BX65</f>
        <v>6.1935891428090098E-2</v>
      </c>
      <c r="BY66" s="696">
        <f t="shared" si="54"/>
        <v>6.2189348536504818E-2</v>
      </c>
      <c r="BZ66" s="697">
        <f t="shared" si="54"/>
        <v>6.2075182829676168E-2</v>
      </c>
      <c r="CA66" s="732">
        <f t="shared" si="54"/>
        <v>6.2138982725189335E-2</v>
      </c>
      <c r="CB66" s="761"/>
      <c r="CC66" s="717">
        <f>CC64-CC65</f>
        <v>6.2648739390321895E-2</v>
      </c>
      <c r="CD66" s="696">
        <f t="shared" ref="CD66:CG66" si="55">CD64-CD65</f>
        <v>6.227069287389364E-2</v>
      </c>
      <c r="CE66" s="696">
        <f t="shared" si="55"/>
        <v>6.2538104366691272E-2</v>
      </c>
      <c r="CF66" s="697">
        <f t="shared" si="55"/>
        <v>6.242071323679621E-2</v>
      </c>
      <c r="CG66" s="732">
        <f t="shared" si="55"/>
        <v>6.2469874235275613E-2</v>
      </c>
      <c r="CH66" s="761"/>
      <c r="CI66" s="717">
        <f>CI64-CI65</f>
        <v>6.3016596642814893E-2</v>
      </c>
      <c r="CJ66" s="696">
        <f t="shared" ref="CJ66:CM66" si="56">CJ64-CJ65</f>
        <v>6.2619067432854392E-2</v>
      </c>
      <c r="CK66" s="696">
        <f t="shared" si="56"/>
        <v>6.2895134465286606E-2</v>
      </c>
      <c r="CL66" s="697">
        <f t="shared" si="56"/>
        <v>6.2774479809113659E-2</v>
      </c>
      <c r="CM66" s="732">
        <f t="shared" si="56"/>
        <v>6.2826603367336809E-2</v>
      </c>
    </row>
    <row r="67" spans="1:91" s="25" customFormat="1" ht="11.25" hidden="1" outlineLevel="1" x14ac:dyDescent="0.2">
      <c r="A67" s="695" t="s">
        <v>6</v>
      </c>
      <c r="B67" s="761"/>
      <c r="C67" s="760"/>
      <c r="D67" s="761"/>
      <c r="E67" s="761"/>
      <c r="F67" s="668"/>
      <c r="G67" s="746"/>
      <c r="H67" s="761"/>
      <c r="I67" s="760"/>
      <c r="J67" s="761"/>
      <c r="K67" s="761"/>
      <c r="L67" s="668"/>
      <c r="M67" s="746"/>
      <c r="N67" s="761"/>
      <c r="O67" s="760"/>
      <c r="P67" s="761"/>
      <c r="Q67" s="761"/>
      <c r="R67" s="668"/>
      <c r="S67" s="746"/>
      <c r="T67" s="761"/>
      <c r="U67" s="760"/>
      <c r="V67" s="761"/>
      <c r="W67" s="761"/>
      <c r="X67" s="668"/>
      <c r="Y67" s="746"/>
      <c r="Z67" s="761"/>
      <c r="AA67" s="760"/>
      <c r="AB67" s="761"/>
      <c r="AC67" s="761"/>
      <c r="AD67" s="668"/>
      <c r="AE67" s="746"/>
      <c r="AF67" s="761"/>
      <c r="AG67" s="760"/>
      <c r="AH67" s="761"/>
      <c r="AI67" s="761"/>
      <c r="AJ67" s="668"/>
      <c r="AK67" s="746"/>
      <c r="AL67" s="761"/>
      <c r="AM67" s="760"/>
      <c r="AN67" s="761"/>
      <c r="AO67" s="761"/>
      <c r="AP67" s="668"/>
      <c r="AQ67" s="746"/>
      <c r="AR67" s="761"/>
      <c r="AS67" s="760"/>
      <c r="AT67" s="761"/>
      <c r="AU67" s="761"/>
      <c r="AV67" s="668"/>
      <c r="AW67" s="746"/>
      <c r="AX67" s="761"/>
      <c r="AY67" s="760"/>
      <c r="AZ67" s="761"/>
      <c r="BA67" s="761"/>
      <c r="BB67" s="668"/>
      <c r="BC67" s="746"/>
      <c r="BD67" s="761"/>
      <c r="BE67" s="760"/>
      <c r="BF67" s="761"/>
      <c r="BG67" s="761"/>
      <c r="BH67" s="668"/>
      <c r="BI67" s="746"/>
      <c r="BJ67" s="761"/>
      <c r="BK67" s="717">
        <f>(BK16*BE12+BK33*BE29+BK50*BE46)/BE63</f>
        <v>3.3692722371967657E-3</v>
      </c>
      <c r="BL67" s="696">
        <f>(BL16*BF12+BL33*BF29+BL50*BF46)/BF63</f>
        <v>3.2722513089005235E-3</v>
      </c>
      <c r="BM67" s="696">
        <f>(BM16*BG12+BM33*BG29+BM50*BG46)/BG63</f>
        <v>0</v>
      </c>
      <c r="BN67" s="697">
        <f>(BN16*BH12+BN33*BH29+BN50*BH46)/BH63</f>
        <v>0</v>
      </c>
      <c r="BO67" s="732">
        <f>SUMPRODUCT(BK67:BN67,BE63:BH63)/BI63</f>
        <v>1.5586034912718205E-3</v>
      </c>
      <c r="BP67" s="761"/>
      <c r="BQ67" s="717">
        <f>(BQ16*BK12+BQ33*BK29+BQ50*BK46)/BK63</f>
        <v>0</v>
      </c>
      <c r="BR67" s="696">
        <f>(BR16*BL12+BR33*BL29+BR50*BL46)/BL63</f>
        <v>0</v>
      </c>
      <c r="BS67" s="696">
        <f>(BS16*BM12+BS33*BM29+BS50*BM46)/BM63</f>
        <v>0</v>
      </c>
      <c r="BT67" s="697">
        <f>(BT16*BN12+BT33*BN29+BT50*BN46)/BN63</f>
        <v>0</v>
      </c>
      <c r="BU67" s="732">
        <f>SUMPRODUCT(BQ67:BT67,BK63:BN63)/BO63</f>
        <v>0</v>
      </c>
      <c r="BV67" s="761"/>
      <c r="BW67" s="717">
        <f>(BW16*BQ12+BW33*BQ29+BW50*BQ46)/BQ63</f>
        <v>0</v>
      </c>
      <c r="BX67" s="696">
        <f>(BX16*BR12+BX33*BR29+BX50*BR46)/BR63</f>
        <v>0</v>
      </c>
      <c r="BY67" s="696">
        <f>(BY16*BS12+BY33*BS29+BY50*BS46)/BS63</f>
        <v>0</v>
      </c>
      <c r="BZ67" s="697">
        <f>(BZ16*BT12+BZ33*BT29+BZ50*BT46)/BT63</f>
        <v>0</v>
      </c>
      <c r="CA67" s="732">
        <f>SUMPRODUCT(BW67:BZ67,BQ63:BT63)/BU63</f>
        <v>0</v>
      </c>
      <c r="CB67" s="761"/>
      <c r="CC67" s="717">
        <f>(CC16*BW12+CC33*BW29+CC50*BW46)/BW63</f>
        <v>0</v>
      </c>
      <c r="CD67" s="696">
        <f>(CD16*BX12+CD33*BX29+CD50*BX46)/BX63</f>
        <v>0</v>
      </c>
      <c r="CE67" s="696">
        <f>(CE16*BY12+CE33*BY29+CE50*BY46)/BY63</f>
        <v>0</v>
      </c>
      <c r="CF67" s="697">
        <f>(CF16*BZ12+CF33*BZ29+CF50*BZ46)/BZ63</f>
        <v>0</v>
      </c>
      <c r="CG67" s="732">
        <f>SUMPRODUCT(CC67:CF67,BW63:BZ63)/CA63</f>
        <v>0</v>
      </c>
      <c r="CH67" s="761"/>
      <c r="CI67" s="717">
        <f>(CI16*CC12+CI33*CC29+CI50*CC46)/CC63</f>
        <v>0</v>
      </c>
      <c r="CJ67" s="696">
        <f>(CJ16*CD12+CJ33*CD29+CJ50*CD46)/CD63</f>
        <v>0</v>
      </c>
      <c r="CK67" s="696">
        <f>(CK16*CE12+CK33*CE29+CK50*CE46)/CE63</f>
        <v>0</v>
      </c>
      <c r="CL67" s="697">
        <f>(CL16*CF12+CL33*CF29+CL50*CF46)/CF63</f>
        <v>0</v>
      </c>
      <c r="CM67" s="732">
        <f>SUMPRODUCT(CI67:CL67,CC63:CF63)/CG63</f>
        <v>0</v>
      </c>
    </row>
    <row r="68" spans="1:91" s="25" customFormat="1" ht="11.25" hidden="1" outlineLevel="1" x14ac:dyDescent="0.2">
      <c r="A68" s="695" t="s">
        <v>7</v>
      </c>
      <c r="B68" s="761"/>
      <c r="C68" s="760"/>
      <c r="D68" s="761"/>
      <c r="E68" s="761"/>
      <c r="F68" s="668"/>
      <c r="G68" s="746"/>
      <c r="H68" s="761"/>
      <c r="I68" s="760"/>
      <c r="J68" s="761"/>
      <c r="K68" s="761"/>
      <c r="L68" s="668"/>
      <c r="M68" s="746"/>
      <c r="N68" s="761"/>
      <c r="O68" s="760"/>
      <c r="P68" s="761"/>
      <c r="Q68" s="761"/>
      <c r="R68" s="668"/>
      <c r="S68" s="746"/>
      <c r="T68" s="761"/>
      <c r="U68" s="760"/>
      <c r="V68" s="761"/>
      <c r="W68" s="761"/>
      <c r="X68" s="668"/>
      <c r="Y68" s="746"/>
      <c r="Z68" s="761"/>
      <c r="AA68" s="760"/>
      <c r="AB68" s="761"/>
      <c r="AC68" s="761"/>
      <c r="AD68" s="668"/>
      <c r="AE68" s="746"/>
      <c r="AF68" s="761"/>
      <c r="AG68" s="760"/>
      <c r="AH68" s="761"/>
      <c r="AI68" s="761"/>
      <c r="AJ68" s="668"/>
      <c r="AK68" s="746"/>
      <c r="AL68" s="761"/>
      <c r="AM68" s="760"/>
      <c r="AN68" s="761"/>
      <c r="AO68" s="761"/>
      <c r="AP68" s="668"/>
      <c r="AQ68" s="746"/>
      <c r="AR68" s="761"/>
      <c r="AS68" s="760"/>
      <c r="AT68" s="761"/>
      <c r="AU68" s="761"/>
      <c r="AV68" s="668"/>
      <c r="AW68" s="746"/>
      <c r="AX68" s="761"/>
      <c r="AY68" s="760"/>
      <c r="AZ68" s="761"/>
      <c r="BA68" s="761"/>
      <c r="BB68" s="668"/>
      <c r="BC68" s="746"/>
      <c r="BD68" s="761"/>
      <c r="BE68" s="760"/>
      <c r="BF68" s="761"/>
      <c r="BG68" s="761"/>
      <c r="BH68" s="668"/>
      <c r="BI68" s="746"/>
      <c r="BJ68" s="761"/>
      <c r="BK68" s="717">
        <f>BK66-BK67</f>
        <v>8.7586927223719593E-2</v>
      </c>
      <c r="BL68" s="696">
        <f t="shared" ref="BL68:BO68" si="57">BL66-BL67</f>
        <v>7.7522251308900531E-2</v>
      </c>
      <c r="BM68" s="696">
        <f t="shared" si="57"/>
        <v>5.8492325855962188E-2</v>
      </c>
      <c r="BN68" s="697">
        <f t="shared" si="57"/>
        <v>7.4646198830409349E-2</v>
      </c>
      <c r="BO68" s="732">
        <f t="shared" si="57"/>
        <v>7.4059226932668337E-2</v>
      </c>
      <c r="BP68" s="761"/>
      <c r="BQ68" s="717">
        <f>BQ66-BQ67</f>
        <v>7.0858838226108778E-2</v>
      </c>
      <c r="BR68" s="696">
        <f t="shared" ref="BR68:BU68" si="58">BR66-BR67</f>
        <v>5.7916666666666922E-2</v>
      </c>
      <c r="BS68" s="696">
        <f t="shared" si="58"/>
        <v>6.7324386065105643E-2</v>
      </c>
      <c r="BT68" s="697">
        <f t="shared" si="58"/>
        <v>5.3398479913137932E-2</v>
      </c>
      <c r="BU68" s="732">
        <f t="shared" si="58"/>
        <v>6.2153654241268091E-2</v>
      </c>
      <c r="BV68" s="761"/>
      <c r="BW68" s="717">
        <f>BW66-BW67</f>
        <v>6.2364712514092487E-2</v>
      </c>
      <c r="BX68" s="696">
        <f t="shared" ref="BX68:CA68" si="59">BX66-BX67</f>
        <v>6.1935891428090098E-2</v>
      </c>
      <c r="BY68" s="696">
        <f t="shared" si="59"/>
        <v>6.2189348536504818E-2</v>
      </c>
      <c r="BZ68" s="697">
        <f t="shared" si="59"/>
        <v>6.2075182829676168E-2</v>
      </c>
      <c r="CA68" s="732">
        <f t="shared" si="59"/>
        <v>6.2138982725189335E-2</v>
      </c>
      <c r="CB68" s="761"/>
      <c r="CC68" s="717">
        <f>CC66-CC67</f>
        <v>6.2648739390321895E-2</v>
      </c>
      <c r="CD68" s="696">
        <f t="shared" ref="CD68:CG68" si="60">CD66-CD67</f>
        <v>6.227069287389364E-2</v>
      </c>
      <c r="CE68" s="696">
        <f t="shared" si="60"/>
        <v>6.2538104366691272E-2</v>
      </c>
      <c r="CF68" s="697">
        <f t="shared" si="60"/>
        <v>6.242071323679621E-2</v>
      </c>
      <c r="CG68" s="732">
        <f t="shared" si="60"/>
        <v>6.2469874235275613E-2</v>
      </c>
      <c r="CH68" s="761"/>
      <c r="CI68" s="717">
        <f>CI66-CI67</f>
        <v>6.3016596642814893E-2</v>
      </c>
      <c r="CJ68" s="696">
        <f t="shared" ref="CJ68:CM68" si="61">CJ66-CJ67</f>
        <v>6.2619067432854392E-2</v>
      </c>
      <c r="CK68" s="696">
        <f t="shared" si="61"/>
        <v>6.2895134465286606E-2</v>
      </c>
      <c r="CL68" s="697">
        <f t="shared" si="61"/>
        <v>6.2774479809113659E-2</v>
      </c>
      <c r="CM68" s="732">
        <f t="shared" si="61"/>
        <v>6.2826603367336809E-2</v>
      </c>
    </row>
    <row r="69" spans="1:91" s="25" customFormat="1" ht="11.25" collapsed="1" x14ac:dyDescent="0.2">
      <c r="A69" s="709" t="s">
        <v>11</v>
      </c>
      <c r="B69" s="761"/>
      <c r="C69" s="760"/>
      <c r="D69" s="761"/>
      <c r="E69" s="761"/>
      <c r="F69" s="668"/>
      <c r="G69" s="746"/>
      <c r="H69" s="761"/>
      <c r="I69" s="760"/>
      <c r="J69" s="761"/>
      <c r="K69" s="761"/>
      <c r="L69" s="668"/>
      <c r="M69" s="746"/>
      <c r="N69" s="761"/>
      <c r="O69" s="760"/>
      <c r="P69" s="761"/>
      <c r="Q69" s="761"/>
      <c r="R69" s="668"/>
      <c r="S69" s="746"/>
      <c r="T69" s="761"/>
      <c r="U69" s="760"/>
      <c r="V69" s="761"/>
      <c r="W69" s="761"/>
      <c r="X69" s="668"/>
      <c r="Y69" s="746"/>
      <c r="Z69" s="761"/>
      <c r="AA69" s="760"/>
      <c r="AB69" s="761"/>
      <c r="AC69" s="761"/>
      <c r="AD69" s="668"/>
      <c r="AE69" s="746"/>
      <c r="AF69" s="761"/>
      <c r="AG69" s="760"/>
      <c r="AH69" s="761"/>
      <c r="AI69" s="761"/>
      <c r="AJ69" s="668"/>
      <c r="AK69" s="746"/>
      <c r="AL69" s="761"/>
      <c r="AM69" s="760"/>
      <c r="AN69" s="761"/>
      <c r="AO69" s="761"/>
      <c r="AP69" s="668"/>
      <c r="AQ69" s="746"/>
      <c r="AR69" s="761"/>
      <c r="AS69" s="760"/>
      <c r="AT69" s="761"/>
      <c r="AU69" s="761"/>
      <c r="AV69" s="668"/>
      <c r="AW69" s="746"/>
      <c r="AX69" s="761"/>
      <c r="AY69" s="760"/>
      <c r="AZ69" s="761"/>
      <c r="BA69" s="761"/>
      <c r="BB69" s="668"/>
      <c r="BC69" s="746"/>
      <c r="BD69" s="761"/>
      <c r="BE69" s="729">
        <f>BE59+BE63</f>
        <v>3587</v>
      </c>
      <c r="BF69" s="711">
        <f t="shared" ref="BF69:BH69" si="62">BF59+BF63</f>
        <v>3666</v>
      </c>
      <c r="BG69" s="711">
        <f t="shared" si="62"/>
        <v>3873</v>
      </c>
      <c r="BH69" s="712">
        <f t="shared" si="62"/>
        <v>3911</v>
      </c>
      <c r="BI69" s="740">
        <f>SUM(BE69:BH69)</f>
        <v>15037</v>
      </c>
      <c r="BJ69" s="710"/>
      <c r="BK69" s="729">
        <f>BK59+BK63</f>
        <v>3832</v>
      </c>
      <c r="BL69" s="711">
        <f t="shared" ref="BL69:BN69" si="63">BL59+BL63</f>
        <v>3851</v>
      </c>
      <c r="BM69" s="711">
        <f t="shared" si="63"/>
        <v>3960</v>
      </c>
      <c r="BN69" s="712">
        <f t="shared" si="63"/>
        <v>4094</v>
      </c>
      <c r="BO69" s="740">
        <f>SUM(BK69:BN69)</f>
        <v>15737</v>
      </c>
      <c r="BP69" s="761"/>
      <c r="BQ69" s="729">
        <f>BQ59+BQ63</f>
        <v>4033</v>
      </c>
      <c r="BR69" s="711">
        <f t="shared" ref="BR69:BT69" si="64">BR59+BR63</f>
        <v>4160.5509999999995</v>
      </c>
      <c r="BS69" s="711">
        <f t="shared" si="64"/>
        <v>4300.1050000000005</v>
      </c>
      <c r="BT69" s="712">
        <f t="shared" si="64"/>
        <v>4359.7690000000002</v>
      </c>
      <c r="BU69" s="740">
        <f>SUM(BQ69:BT69)</f>
        <v>16853.424999999999</v>
      </c>
      <c r="BV69" s="761"/>
      <c r="BW69" s="729">
        <f>BW59+BW63</f>
        <v>4322.2333945516148</v>
      </c>
      <c r="BX69" s="711">
        <f t="shared" ref="BX69:BZ69" si="65">BX59+BX63</f>
        <v>4385.9799926799769</v>
      </c>
      <c r="BY69" s="711">
        <f t="shared" si="65"/>
        <v>4527.9818309649645</v>
      </c>
      <c r="BZ69" s="712">
        <f t="shared" si="65"/>
        <v>4590.255395538943</v>
      </c>
      <c r="CA69" s="740">
        <f>SUM(BW69:BZ69)</f>
        <v>17826.450613735498</v>
      </c>
      <c r="CB69" s="761"/>
      <c r="CC69" s="729">
        <f>CC59+CC63</f>
        <v>4552.902849605809</v>
      </c>
      <c r="CD69" s="711">
        <f t="shared" ref="CD69:CF69" si="66">CD59+CD63</f>
        <v>4618.0673984119258</v>
      </c>
      <c r="CE69" s="711">
        <f t="shared" si="66"/>
        <v>4769.8668617706935</v>
      </c>
      <c r="CF69" s="712">
        <f t="shared" si="66"/>
        <v>4834.8831418274767</v>
      </c>
      <c r="CG69" s="740">
        <f>SUM(CC69:CF69)</f>
        <v>18775.720251615905</v>
      </c>
      <c r="CH69" s="761"/>
      <c r="CI69" s="729">
        <f>CI59+CI63</f>
        <v>4797.2495484906703</v>
      </c>
      <c r="CJ69" s="711">
        <f t="shared" ref="CJ69:CL69" si="67">CJ59+CJ63</f>
        <v>4863.7670622715814</v>
      </c>
      <c r="CK69" s="711">
        <f t="shared" si="67"/>
        <v>5026.0855403450514</v>
      </c>
      <c r="CL69" s="712">
        <f t="shared" si="67"/>
        <v>5093.9643974220198</v>
      </c>
      <c r="CM69" s="740">
        <f>SUM(CI69:CL69)</f>
        <v>19781.066548529321</v>
      </c>
    </row>
    <row r="70" spans="1:91" s="25" customFormat="1" ht="11.25" x14ac:dyDescent="0.2">
      <c r="A70" s="695" t="s">
        <v>5</v>
      </c>
      <c r="B70" s="761"/>
      <c r="C70" s="760"/>
      <c r="D70" s="761"/>
      <c r="E70" s="761"/>
      <c r="F70" s="668"/>
      <c r="G70" s="746"/>
      <c r="H70" s="761"/>
      <c r="I70" s="760"/>
      <c r="J70" s="761"/>
      <c r="K70" s="761"/>
      <c r="L70" s="668"/>
      <c r="M70" s="746"/>
      <c r="N70" s="761"/>
      <c r="O70" s="760"/>
      <c r="P70" s="761"/>
      <c r="Q70" s="761"/>
      <c r="R70" s="668"/>
      <c r="S70" s="746"/>
      <c r="T70" s="761"/>
      <c r="U70" s="760"/>
      <c r="V70" s="761"/>
      <c r="W70" s="761"/>
      <c r="X70" s="668"/>
      <c r="Y70" s="746"/>
      <c r="Z70" s="761"/>
      <c r="AA70" s="760"/>
      <c r="AB70" s="761"/>
      <c r="AC70" s="761"/>
      <c r="AD70" s="668"/>
      <c r="AE70" s="746"/>
      <c r="AF70" s="761"/>
      <c r="AG70" s="760"/>
      <c r="AH70" s="761"/>
      <c r="AI70" s="761"/>
      <c r="AJ70" s="668"/>
      <c r="AK70" s="746"/>
      <c r="AL70" s="761"/>
      <c r="AM70" s="760"/>
      <c r="AN70" s="761"/>
      <c r="AO70" s="761"/>
      <c r="AP70" s="668"/>
      <c r="AQ70" s="746"/>
      <c r="AR70" s="761"/>
      <c r="AS70" s="760"/>
      <c r="AT70" s="761"/>
      <c r="AU70" s="761"/>
      <c r="AV70" s="668"/>
      <c r="AW70" s="746"/>
      <c r="AX70" s="761"/>
      <c r="AY70" s="760"/>
      <c r="AZ70" s="761"/>
      <c r="BA70" s="761"/>
      <c r="BB70" s="668"/>
      <c r="BC70" s="746"/>
      <c r="BD70" s="761"/>
      <c r="BE70" s="760"/>
      <c r="BF70" s="761"/>
      <c r="BG70" s="761"/>
      <c r="BH70" s="668"/>
      <c r="BI70" s="746"/>
      <c r="BJ70" s="761"/>
      <c r="BK70" s="717">
        <f>BK69/BE69-1</f>
        <v>6.8302202397546807E-2</v>
      </c>
      <c r="BL70" s="696">
        <f t="shared" ref="BL70:BO70" si="68">BL69/BF69-1</f>
        <v>5.0463720676486634E-2</v>
      </c>
      <c r="BM70" s="696">
        <f t="shared" si="68"/>
        <v>2.2463206816421444E-2</v>
      </c>
      <c r="BN70" s="697">
        <f t="shared" si="68"/>
        <v>4.6791102019943853E-2</v>
      </c>
      <c r="BO70" s="732">
        <f t="shared" si="68"/>
        <v>4.6551838797632472E-2</v>
      </c>
      <c r="BP70" s="761"/>
      <c r="BQ70" s="717">
        <f>BQ69/BK69-1</f>
        <v>5.2453027139874653E-2</v>
      </c>
      <c r="BR70" s="696">
        <f t="shared" ref="BR70" si="69">BR69/BL69-1</f>
        <v>8.0381978706829171E-2</v>
      </c>
      <c r="BS70" s="696">
        <f t="shared" ref="BS70" si="70">BS69/BM69-1</f>
        <v>8.5885101010101161E-2</v>
      </c>
      <c r="BT70" s="697">
        <f t="shared" ref="BT70" si="71">BT69/BN69-1</f>
        <v>6.4916707376648786E-2</v>
      </c>
      <c r="BU70" s="732">
        <f t="shared" ref="BU70" si="72">BU69/BO69-1</f>
        <v>7.0942682849335803E-2</v>
      </c>
      <c r="BV70" s="761"/>
      <c r="BW70" s="717">
        <f>BW69/BQ69-1</f>
        <v>7.1716685978580497E-2</v>
      </c>
      <c r="BX70" s="696">
        <f t="shared" ref="BX70" si="73">BX69/BR69-1</f>
        <v>5.4182485127565405E-2</v>
      </c>
      <c r="BY70" s="696">
        <f t="shared" ref="BY70" si="74">BY69/BS69-1</f>
        <v>5.2993317829439945E-2</v>
      </c>
      <c r="BZ70" s="697">
        <f t="shared" ref="BZ70" si="75">BZ69/BT69-1</f>
        <v>5.2866653150417608E-2</v>
      </c>
      <c r="CA70" s="732">
        <f t="shared" ref="CA70" si="76">CA69/BU69-1</f>
        <v>5.773459185509755E-2</v>
      </c>
      <c r="CB70" s="761"/>
      <c r="CC70" s="717">
        <f>CC69/BW69-1</f>
        <v>5.3368116433731849E-2</v>
      </c>
      <c r="CD70" s="696">
        <f t="shared" ref="CD70" si="77">CD69/BX69-1</f>
        <v>5.291574656503073E-2</v>
      </c>
      <c r="CE70" s="696">
        <f t="shared" ref="CE70" si="78">CE69/BY69-1</f>
        <v>5.3420053311958648E-2</v>
      </c>
      <c r="CF70" s="697">
        <f t="shared" ref="CF70" si="79">CF69/BZ69-1</f>
        <v>5.3292839985826568E-2</v>
      </c>
      <c r="CG70" s="732">
        <f t="shared" ref="CG70" si="80">CG69/CA69-1</f>
        <v>5.3250625065484503E-2</v>
      </c>
      <c r="CH70" s="761"/>
      <c r="CI70" s="717">
        <f>CI69/CC69-1</f>
        <v>5.3668331382475509E-2</v>
      </c>
      <c r="CJ70" s="696">
        <f t="shared" ref="CJ70" si="81">CJ69/CD69-1</f>
        <v>5.320400129806413E-2</v>
      </c>
      <c r="CK70" s="696">
        <f t="shared" ref="CK70" si="82">CK69/CE69-1</f>
        <v>5.3716106968915156E-2</v>
      </c>
      <c r="CL70" s="697">
        <f t="shared" ref="CL70" si="83">CL69/CF69-1</f>
        <v>5.3585836098743123E-2</v>
      </c>
      <c r="CM70" s="732">
        <f t="shared" ref="CM70" si="84">CM69/CG69-1</f>
        <v>5.3545018962822155E-2</v>
      </c>
    </row>
    <row r="71" spans="1:91" s="25" customFormat="1" ht="11.25" x14ac:dyDescent="0.2">
      <c r="A71" s="695" t="s">
        <v>9</v>
      </c>
      <c r="B71" s="761"/>
      <c r="C71" s="760"/>
      <c r="D71" s="761"/>
      <c r="E71" s="761"/>
      <c r="F71" s="668"/>
      <c r="G71" s="746"/>
      <c r="H71" s="761"/>
      <c r="I71" s="760"/>
      <c r="J71" s="761"/>
      <c r="K71" s="761"/>
      <c r="L71" s="668"/>
      <c r="M71" s="746"/>
      <c r="N71" s="761"/>
      <c r="O71" s="760"/>
      <c r="P71" s="761"/>
      <c r="Q71" s="761"/>
      <c r="R71" s="668"/>
      <c r="S71" s="746"/>
      <c r="T71" s="761"/>
      <c r="U71" s="760"/>
      <c r="V71" s="761"/>
      <c r="W71" s="761"/>
      <c r="X71" s="668"/>
      <c r="Y71" s="746"/>
      <c r="Z71" s="761"/>
      <c r="AA71" s="760"/>
      <c r="AB71" s="761"/>
      <c r="AC71" s="761"/>
      <c r="AD71" s="668"/>
      <c r="AE71" s="746"/>
      <c r="AF71" s="761"/>
      <c r="AG71" s="760"/>
      <c r="AH71" s="761"/>
      <c r="AI71" s="761"/>
      <c r="AJ71" s="668"/>
      <c r="AK71" s="746"/>
      <c r="AL71" s="761"/>
      <c r="AM71" s="760"/>
      <c r="AN71" s="761"/>
      <c r="AO71" s="761"/>
      <c r="AP71" s="668"/>
      <c r="AQ71" s="746"/>
      <c r="AR71" s="761"/>
      <c r="AS71" s="760"/>
      <c r="AT71" s="761"/>
      <c r="AU71" s="761"/>
      <c r="AV71" s="668"/>
      <c r="AW71" s="746"/>
      <c r="AX71" s="761"/>
      <c r="AY71" s="760"/>
      <c r="AZ71" s="761"/>
      <c r="BA71" s="761"/>
      <c r="BB71" s="668"/>
      <c r="BC71" s="746"/>
      <c r="BD71" s="761"/>
      <c r="BE71" s="760"/>
      <c r="BF71" s="761"/>
      <c r="BG71" s="761"/>
      <c r="BH71" s="668"/>
      <c r="BI71" s="746"/>
      <c r="BJ71" s="761"/>
      <c r="BK71" s="717">
        <f>BK65*BE63/BE69</f>
        <v>-5.012266517981586E-3</v>
      </c>
      <c r="BL71" s="696">
        <f t="shared" ref="BL71:BN71" si="85">BL65*BF63/BF69</f>
        <v>-8.579923622476825E-3</v>
      </c>
      <c r="BM71" s="696">
        <f t="shared" si="85"/>
        <v>-1.0866511747998981E-2</v>
      </c>
      <c r="BN71" s="697">
        <f t="shared" si="85"/>
        <v>1.1135259524418396E-3</v>
      </c>
      <c r="BO71" s="732">
        <f>SUMPRODUCT(BK71:BN71,BE69:BH69)/BI69</f>
        <v>-5.7966349670812009E-3</v>
      </c>
      <c r="BP71" s="761"/>
      <c r="BQ71" s="717">
        <f>BQ65*BK63/BK69</f>
        <v>1.5541492693110644E-2</v>
      </c>
      <c r="BR71" s="696">
        <f t="shared" ref="BR71" si="86">BR65*BL63/BL69</f>
        <v>3.1999999999999994E-2</v>
      </c>
      <c r="BS71" s="696">
        <f t="shared" ref="BS71" si="87">BS65*BM63/BM69</f>
        <v>2.5999999999999999E-2</v>
      </c>
      <c r="BT71" s="697">
        <f t="shared" ref="BT71" si="88">BT65*BN63/BN69</f>
        <v>1.0999999999999999E-2</v>
      </c>
      <c r="BU71" s="732">
        <f>SUMPRODUCT(BQ71:BT71,BK69:BN69)/BO69</f>
        <v>2.1019317531931113E-2</v>
      </c>
      <c r="BV71" s="761"/>
      <c r="BW71" s="717">
        <f>BW65*BQ63/BQ69</f>
        <v>1.8897444718972072E-2</v>
      </c>
      <c r="BX71" s="696">
        <f t="shared" ref="BX71" si="89">BX65*BR63/BR69</f>
        <v>1.6900441265504944E-3</v>
      </c>
      <c r="BY71" s="696">
        <f t="shared" ref="BY71" si="90">BY65*BS63/BS69</f>
        <v>0</v>
      </c>
      <c r="BZ71" s="697">
        <f t="shared" ref="BZ71" si="91">BZ65*BT63/BT69</f>
        <v>0</v>
      </c>
      <c r="CA71" s="732">
        <f>SUMPRODUCT(BW71:BZ71,BQ69:BT69)/BU69</f>
        <v>4.9393467103795319E-3</v>
      </c>
      <c r="CB71" s="761"/>
      <c r="CC71" s="717">
        <f>CC65*BW63/BW69</f>
        <v>0</v>
      </c>
      <c r="CD71" s="696">
        <f t="shared" ref="CD71" si="92">CD65*BX63/BX69</f>
        <v>0</v>
      </c>
      <c r="CE71" s="696">
        <f t="shared" ref="CE71" si="93">CE65*BY63/BY69</f>
        <v>0</v>
      </c>
      <c r="CF71" s="697">
        <f t="shared" ref="CF71" si="94">CF65*BZ63/BZ69</f>
        <v>0</v>
      </c>
      <c r="CG71" s="732">
        <f>SUMPRODUCT(CC71:CF71,BW69:BZ69)/CA69</f>
        <v>0</v>
      </c>
      <c r="CH71" s="761"/>
      <c r="CI71" s="717">
        <f>CI65*CC63/CC69</f>
        <v>0</v>
      </c>
      <c r="CJ71" s="696">
        <f t="shared" ref="CJ71" si="95">CJ65*CD63/CD69</f>
        <v>0</v>
      </c>
      <c r="CK71" s="696">
        <f t="shared" ref="CK71" si="96">CK65*CE63/CE69</f>
        <v>0</v>
      </c>
      <c r="CL71" s="697">
        <f t="shared" ref="CL71" si="97">CL65*CF63/CF69</f>
        <v>0</v>
      </c>
      <c r="CM71" s="732">
        <f>SUMPRODUCT(CI71:CL71,CC69:CF69)/CG69</f>
        <v>0</v>
      </c>
    </row>
    <row r="72" spans="1:91" s="25" customFormat="1" ht="11.25" x14ac:dyDescent="0.2">
      <c r="A72" s="695" t="s">
        <v>10</v>
      </c>
      <c r="B72" s="761"/>
      <c r="C72" s="760"/>
      <c r="D72" s="761"/>
      <c r="E72" s="761"/>
      <c r="F72" s="668"/>
      <c r="G72" s="746"/>
      <c r="H72" s="761"/>
      <c r="I72" s="760"/>
      <c r="J72" s="761"/>
      <c r="K72" s="761"/>
      <c r="L72" s="668"/>
      <c r="M72" s="746"/>
      <c r="N72" s="761"/>
      <c r="O72" s="760"/>
      <c r="P72" s="761"/>
      <c r="Q72" s="761"/>
      <c r="R72" s="668"/>
      <c r="S72" s="746"/>
      <c r="T72" s="761"/>
      <c r="U72" s="760"/>
      <c r="V72" s="761"/>
      <c r="W72" s="761"/>
      <c r="X72" s="668"/>
      <c r="Y72" s="746"/>
      <c r="Z72" s="761"/>
      <c r="AA72" s="760"/>
      <c r="AB72" s="761"/>
      <c r="AC72" s="761"/>
      <c r="AD72" s="668"/>
      <c r="AE72" s="746"/>
      <c r="AF72" s="761"/>
      <c r="AG72" s="760"/>
      <c r="AH72" s="761"/>
      <c r="AI72" s="761"/>
      <c r="AJ72" s="668"/>
      <c r="AK72" s="746"/>
      <c r="AL72" s="761"/>
      <c r="AM72" s="760"/>
      <c r="AN72" s="761"/>
      <c r="AO72" s="761"/>
      <c r="AP72" s="668"/>
      <c r="AQ72" s="746"/>
      <c r="AR72" s="761"/>
      <c r="AS72" s="760"/>
      <c r="AT72" s="761"/>
      <c r="AU72" s="761"/>
      <c r="AV72" s="668"/>
      <c r="AW72" s="746"/>
      <c r="AX72" s="761"/>
      <c r="AY72" s="760"/>
      <c r="AZ72" s="761"/>
      <c r="BA72" s="761"/>
      <c r="BB72" s="668"/>
      <c r="BC72" s="746"/>
      <c r="BD72" s="761"/>
      <c r="BE72" s="760"/>
      <c r="BF72" s="761"/>
      <c r="BG72" s="761"/>
      <c r="BH72" s="668"/>
      <c r="BI72" s="746"/>
      <c r="BJ72" s="761"/>
      <c r="BK72" s="717">
        <f>BK70-BK71</f>
        <v>7.3314468915528397E-2</v>
      </c>
      <c r="BL72" s="696">
        <f t="shared" ref="BL72:BO72" si="98">BL70-BL71</f>
        <v>5.9043644298963457E-2</v>
      </c>
      <c r="BM72" s="696">
        <f t="shared" si="98"/>
        <v>3.3329718564420421E-2</v>
      </c>
      <c r="BN72" s="697">
        <f t="shared" si="98"/>
        <v>4.5677576067502015E-2</v>
      </c>
      <c r="BO72" s="732">
        <f t="shared" si="98"/>
        <v>5.2348473764713674E-2</v>
      </c>
      <c r="BP72" s="761"/>
      <c r="BQ72" s="717">
        <f>BQ70-BQ71</f>
        <v>3.6911534446764011E-2</v>
      </c>
      <c r="BR72" s="696">
        <f t="shared" ref="BR72:BU72" si="99">BR70-BR71</f>
        <v>4.8381978706829178E-2</v>
      </c>
      <c r="BS72" s="696">
        <f t="shared" si="99"/>
        <v>5.9885101010101166E-2</v>
      </c>
      <c r="BT72" s="697">
        <f t="shared" si="99"/>
        <v>5.391670737664879E-2</v>
      </c>
      <c r="BU72" s="732">
        <f t="shared" si="99"/>
        <v>4.992336531740469E-2</v>
      </c>
      <c r="BV72" s="761"/>
      <c r="BW72" s="717">
        <f>BW70-BW71</f>
        <v>5.2819241259608421E-2</v>
      </c>
      <c r="BX72" s="696">
        <f t="shared" ref="BX72:CA72" si="100">BX70-BX71</f>
        <v>5.2492441001014911E-2</v>
      </c>
      <c r="BY72" s="696">
        <f t="shared" si="100"/>
        <v>5.2993317829439945E-2</v>
      </c>
      <c r="BZ72" s="697">
        <f t="shared" si="100"/>
        <v>5.2866653150417608E-2</v>
      </c>
      <c r="CA72" s="732">
        <f t="shared" si="100"/>
        <v>5.279524514471802E-2</v>
      </c>
      <c r="CB72" s="761"/>
      <c r="CC72" s="717">
        <f>CC70-CC71</f>
        <v>5.3368116433731849E-2</v>
      </c>
      <c r="CD72" s="696">
        <f t="shared" ref="CD72:CG72" si="101">CD70-CD71</f>
        <v>5.291574656503073E-2</v>
      </c>
      <c r="CE72" s="696">
        <f t="shared" si="101"/>
        <v>5.3420053311958648E-2</v>
      </c>
      <c r="CF72" s="697">
        <f t="shared" si="101"/>
        <v>5.3292839985826568E-2</v>
      </c>
      <c r="CG72" s="732">
        <f t="shared" si="101"/>
        <v>5.3250625065484503E-2</v>
      </c>
      <c r="CH72" s="761"/>
      <c r="CI72" s="717">
        <f>CI70-CI71</f>
        <v>5.3668331382475509E-2</v>
      </c>
      <c r="CJ72" s="696">
        <f t="shared" ref="CJ72:CM72" si="102">CJ70-CJ71</f>
        <v>5.320400129806413E-2</v>
      </c>
      <c r="CK72" s="696">
        <f t="shared" si="102"/>
        <v>5.3716106968915156E-2</v>
      </c>
      <c r="CL72" s="697">
        <f t="shared" si="102"/>
        <v>5.3585836098743123E-2</v>
      </c>
      <c r="CM72" s="732">
        <f t="shared" si="102"/>
        <v>5.3545018962822155E-2</v>
      </c>
    </row>
    <row r="73" spans="1:91" s="25" customFormat="1" ht="11.25" x14ac:dyDescent="0.2">
      <c r="A73" s="695" t="s">
        <v>6</v>
      </c>
      <c r="B73" s="761"/>
      <c r="C73" s="760"/>
      <c r="D73" s="761"/>
      <c r="E73" s="761"/>
      <c r="F73" s="668"/>
      <c r="G73" s="746"/>
      <c r="H73" s="761"/>
      <c r="I73" s="760"/>
      <c r="J73" s="761"/>
      <c r="K73" s="761"/>
      <c r="L73" s="668"/>
      <c r="M73" s="746"/>
      <c r="N73" s="761"/>
      <c r="O73" s="760"/>
      <c r="P73" s="761"/>
      <c r="Q73" s="761"/>
      <c r="R73" s="668"/>
      <c r="S73" s="746"/>
      <c r="T73" s="761"/>
      <c r="U73" s="760"/>
      <c r="V73" s="761"/>
      <c r="W73" s="761"/>
      <c r="X73" s="668"/>
      <c r="Y73" s="746"/>
      <c r="Z73" s="761"/>
      <c r="AA73" s="760"/>
      <c r="AB73" s="761"/>
      <c r="AC73" s="761"/>
      <c r="AD73" s="668"/>
      <c r="AE73" s="746"/>
      <c r="AF73" s="761"/>
      <c r="AG73" s="760"/>
      <c r="AH73" s="761"/>
      <c r="AI73" s="761"/>
      <c r="AJ73" s="668"/>
      <c r="AK73" s="746"/>
      <c r="AL73" s="761"/>
      <c r="AM73" s="760"/>
      <c r="AN73" s="761"/>
      <c r="AO73" s="761"/>
      <c r="AP73" s="668"/>
      <c r="AQ73" s="746"/>
      <c r="AR73" s="761"/>
      <c r="AS73" s="760"/>
      <c r="AT73" s="761"/>
      <c r="AU73" s="761"/>
      <c r="AV73" s="668"/>
      <c r="AW73" s="746"/>
      <c r="AX73" s="761"/>
      <c r="AY73" s="760"/>
      <c r="AZ73" s="761"/>
      <c r="BA73" s="761"/>
      <c r="BB73" s="668"/>
      <c r="BC73" s="746"/>
      <c r="BD73" s="761"/>
      <c r="BE73" s="760"/>
      <c r="BF73" s="761"/>
      <c r="BG73" s="761"/>
      <c r="BH73" s="668"/>
      <c r="BI73" s="746"/>
      <c r="BJ73" s="761"/>
      <c r="BK73" s="717">
        <f>(BK61*BE59+BK67*BE63)/BE69</f>
        <v>6.2726512405910234E-3</v>
      </c>
      <c r="BL73" s="696">
        <f t="shared" ref="BL73:BN73" si="103">(BL61*BF59+BL67*BF63)/BF69</f>
        <v>2.7959629023458811E-3</v>
      </c>
      <c r="BM73" s="696">
        <f t="shared" si="103"/>
        <v>0</v>
      </c>
      <c r="BN73" s="697">
        <f t="shared" si="103"/>
        <v>0</v>
      </c>
      <c r="BO73" s="732">
        <f>SUMPRODUCT(BK73:BN73,BE69:BH69)/BI69</f>
        <v>2.1779610294606639E-3</v>
      </c>
      <c r="BP73" s="761"/>
      <c r="BQ73" s="717">
        <f>(BQ61*BK59+BQ67*BK63)/BK69</f>
        <v>0</v>
      </c>
      <c r="BR73" s="696">
        <f t="shared" ref="BR73" si="104">(BR61*BL59+BR67*BL63)/BL69</f>
        <v>0</v>
      </c>
      <c r="BS73" s="696">
        <f t="shared" ref="BS73" si="105">(BS61*BM59+BS67*BM63)/BM69</f>
        <v>0</v>
      </c>
      <c r="BT73" s="697">
        <f t="shared" ref="BT73" si="106">(BT61*BN59+BT67*BN63)/BN69</f>
        <v>0</v>
      </c>
      <c r="BU73" s="732">
        <f>SUMPRODUCT(BQ73:BT73,BK69:BN69)/BO69</f>
        <v>0</v>
      </c>
      <c r="BV73" s="761"/>
      <c r="BW73" s="717">
        <f>(BW61*BQ59+BW67*BQ63)/BQ69</f>
        <v>0</v>
      </c>
      <c r="BX73" s="696">
        <f t="shared" ref="BX73" si="107">(BX61*BR59+BX67*BR63)/BR69</f>
        <v>0</v>
      </c>
      <c r="BY73" s="696">
        <f t="shared" ref="BY73" si="108">(BY61*BS59+BY67*BS63)/BS69</f>
        <v>0</v>
      </c>
      <c r="BZ73" s="697">
        <f t="shared" ref="BZ73" si="109">(BZ61*BT59+BZ67*BT63)/BT69</f>
        <v>0</v>
      </c>
      <c r="CA73" s="732">
        <f>SUMPRODUCT(BW73:BZ73,BQ69:BT69)/BU69</f>
        <v>0</v>
      </c>
      <c r="CB73" s="761"/>
      <c r="CC73" s="717">
        <f>(CC61*BW59+CC67*BW63)/BW69</f>
        <v>0</v>
      </c>
      <c r="CD73" s="696">
        <f t="shared" ref="CD73" si="110">(CD61*BX59+CD67*BX63)/BX69</f>
        <v>0</v>
      </c>
      <c r="CE73" s="696">
        <f t="shared" ref="CE73" si="111">(CE61*BY59+CE67*BY63)/BY69</f>
        <v>0</v>
      </c>
      <c r="CF73" s="697">
        <f t="shared" ref="CF73" si="112">(CF61*BZ59+CF67*BZ63)/BZ69</f>
        <v>0</v>
      </c>
      <c r="CG73" s="732">
        <f>SUMPRODUCT(CC73:CF73,BW69:BZ69)/CA69</f>
        <v>0</v>
      </c>
      <c r="CH73" s="761"/>
      <c r="CI73" s="717">
        <f>(CI61*CC59+CI67*CC63)/CC69</f>
        <v>0</v>
      </c>
      <c r="CJ73" s="696">
        <f t="shared" ref="CJ73" si="113">(CJ61*CD59+CJ67*CD63)/CD69</f>
        <v>0</v>
      </c>
      <c r="CK73" s="696">
        <f t="shared" ref="CK73" si="114">(CK61*CE59+CK67*CE63)/CE69</f>
        <v>0</v>
      </c>
      <c r="CL73" s="697">
        <f t="shared" ref="CL73" si="115">(CL61*CF59+CL67*CF63)/CF69</f>
        <v>0</v>
      </c>
      <c r="CM73" s="732">
        <f>SUMPRODUCT(CI73:CL73,CC69:CF69)/CG69</f>
        <v>0</v>
      </c>
    </row>
    <row r="74" spans="1:91" s="25" customFormat="1" ht="11.25" x14ac:dyDescent="0.2">
      <c r="A74" s="713" t="s">
        <v>7</v>
      </c>
      <c r="B74" s="656"/>
      <c r="C74" s="751"/>
      <c r="D74" s="656"/>
      <c r="E74" s="656"/>
      <c r="F74" s="752"/>
      <c r="G74" s="747"/>
      <c r="H74" s="656"/>
      <c r="I74" s="751"/>
      <c r="J74" s="656"/>
      <c r="K74" s="656"/>
      <c r="L74" s="752"/>
      <c r="M74" s="747"/>
      <c r="N74" s="656"/>
      <c r="O74" s="751"/>
      <c r="P74" s="656"/>
      <c r="Q74" s="656"/>
      <c r="R74" s="752"/>
      <c r="S74" s="747"/>
      <c r="T74" s="656"/>
      <c r="U74" s="751"/>
      <c r="V74" s="656"/>
      <c r="W74" s="656"/>
      <c r="X74" s="752"/>
      <c r="Y74" s="747"/>
      <c r="Z74" s="656"/>
      <c r="AA74" s="751"/>
      <c r="AB74" s="656"/>
      <c r="AC74" s="656"/>
      <c r="AD74" s="752"/>
      <c r="AE74" s="747"/>
      <c r="AF74" s="656"/>
      <c r="AG74" s="751"/>
      <c r="AH74" s="656"/>
      <c r="AI74" s="656"/>
      <c r="AJ74" s="752"/>
      <c r="AK74" s="747"/>
      <c r="AL74" s="656"/>
      <c r="AM74" s="751"/>
      <c r="AN74" s="656"/>
      <c r="AO74" s="656"/>
      <c r="AP74" s="752"/>
      <c r="AQ74" s="747"/>
      <c r="AR74" s="656"/>
      <c r="AS74" s="751"/>
      <c r="AT74" s="656"/>
      <c r="AU74" s="656"/>
      <c r="AV74" s="752"/>
      <c r="AW74" s="747"/>
      <c r="AX74" s="656"/>
      <c r="AY74" s="751"/>
      <c r="AZ74" s="656"/>
      <c r="BA74" s="656"/>
      <c r="BB74" s="752"/>
      <c r="BC74" s="747"/>
      <c r="BD74" s="656"/>
      <c r="BE74" s="751"/>
      <c r="BF74" s="656"/>
      <c r="BG74" s="656"/>
      <c r="BH74" s="752"/>
      <c r="BI74" s="747"/>
      <c r="BJ74" s="656"/>
      <c r="BK74" s="730">
        <f>BK72-BK73</f>
        <v>6.7041817674937373E-2</v>
      </c>
      <c r="BL74" s="714">
        <f t="shared" ref="BL74:BO74" si="116">BL72-BL73</f>
        <v>5.624768139661758E-2</v>
      </c>
      <c r="BM74" s="714">
        <f t="shared" si="116"/>
        <v>3.3329718564420421E-2</v>
      </c>
      <c r="BN74" s="715">
        <f t="shared" si="116"/>
        <v>4.5677576067502015E-2</v>
      </c>
      <c r="BO74" s="741">
        <f t="shared" si="116"/>
        <v>5.0170512735253012E-2</v>
      </c>
      <c r="BP74" s="656"/>
      <c r="BQ74" s="730">
        <f>BQ72-BQ73</f>
        <v>3.6911534446764011E-2</v>
      </c>
      <c r="BR74" s="714">
        <f t="shared" ref="BR74:BU74" si="117">BR72-BR73</f>
        <v>4.8381978706829178E-2</v>
      </c>
      <c r="BS74" s="714">
        <f t="shared" si="117"/>
        <v>5.9885101010101166E-2</v>
      </c>
      <c r="BT74" s="715">
        <f t="shared" si="117"/>
        <v>5.391670737664879E-2</v>
      </c>
      <c r="BU74" s="741">
        <f t="shared" si="117"/>
        <v>4.992336531740469E-2</v>
      </c>
      <c r="BV74" s="656"/>
      <c r="BW74" s="730">
        <f>BW72-BW73</f>
        <v>5.2819241259608421E-2</v>
      </c>
      <c r="BX74" s="714">
        <f t="shared" ref="BX74:CA74" si="118">BX72-BX73</f>
        <v>5.2492441001014911E-2</v>
      </c>
      <c r="BY74" s="714">
        <f t="shared" si="118"/>
        <v>5.2993317829439945E-2</v>
      </c>
      <c r="BZ74" s="715">
        <f t="shared" si="118"/>
        <v>5.2866653150417608E-2</v>
      </c>
      <c r="CA74" s="741">
        <f t="shared" si="118"/>
        <v>5.279524514471802E-2</v>
      </c>
      <c r="CB74" s="656"/>
      <c r="CC74" s="730">
        <f>CC72-CC73</f>
        <v>5.3368116433731849E-2</v>
      </c>
      <c r="CD74" s="714">
        <f t="shared" ref="CD74:CG74" si="119">CD72-CD73</f>
        <v>5.291574656503073E-2</v>
      </c>
      <c r="CE74" s="714">
        <f t="shared" si="119"/>
        <v>5.3420053311958648E-2</v>
      </c>
      <c r="CF74" s="715">
        <f t="shared" si="119"/>
        <v>5.3292839985826568E-2</v>
      </c>
      <c r="CG74" s="741">
        <f t="shared" si="119"/>
        <v>5.3250625065484503E-2</v>
      </c>
      <c r="CH74" s="656"/>
      <c r="CI74" s="730">
        <f>CI72-CI73</f>
        <v>5.3668331382475509E-2</v>
      </c>
      <c r="CJ74" s="714">
        <f t="shared" ref="CJ74:CM74" si="120">CJ72-CJ73</f>
        <v>5.320400129806413E-2</v>
      </c>
      <c r="CK74" s="714">
        <f t="shared" si="120"/>
        <v>5.3716106968915156E-2</v>
      </c>
      <c r="CL74" s="715">
        <f t="shared" si="120"/>
        <v>5.3585836098743123E-2</v>
      </c>
      <c r="CM74" s="741">
        <f t="shared" si="120"/>
        <v>5.3545018962822155E-2</v>
      </c>
    </row>
    <row r="75" spans="1:91" s="25" customFormat="1" ht="11.25" x14ac:dyDescent="0.2">
      <c r="BK75" s="30"/>
      <c r="BL75" s="30"/>
      <c r="BM75" s="30"/>
      <c r="BN75" s="30"/>
      <c r="BQ75" s="30"/>
      <c r="BR75" s="30"/>
      <c r="BS75" s="775"/>
      <c r="BU75" s="776"/>
    </row>
    <row r="76" spans="1:91" s="25" customFormat="1" ht="11.25" x14ac:dyDescent="0.2">
      <c r="A76" s="1" t="s">
        <v>109</v>
      </c>
      <c r="B76" s="762"/>
      <c r="C76" s="762"/>
      <c r="D76" s="762"/>
      <c r="E76" s="762"/>
      <c r="F76" s="762"/>
      <c r="G76" s="762"/>
      <c r="H76" s="762"/>
      <c r="I76" s="762"/>
      <c r="J76" s="762"/>
      <c r="K76" s="762"/>
      <c r="L76" s="762"/>
      <c r="M76" s="762"/>
      <c r="N76" s="762"/>
      <c r="O76" s="762"/>
      <c r="P76" s="762"/>
      <c r="Q76" s="762"/>
      <c r="R76" s="762"/>
      <c r="S76" s="762"/>
      <c r="T76" s="762"/>
      <c r="U76" s="762"/>
      <c r="V76" s="762"/>
      <c r="W76" s="762"/>
      <c r="X76" s="762"/>
      <c r="Y76" s="762"/>
      <c r="Z76" s="762"/>
      <c r="AA76" s="762"/>
      <c r="AB76" s="762"/>
      <c r="AC76" s="762"/>
      <c r="AD76" s="762"/>
      <c r="AE76" s="762"/>
      <c r="AF76" s="762"/>
      <c r="AG76" s="762"/>
      <c r="AH76" s="762"/>
      <c r="AI76" s="762"/>
      <c r="AJ76" s="762"/>
      <c r="AK76" s="762"/>
      <c r="AL76" s="762"/>
      <c r="AM76" s="762"/>
      <c r="AN76" s="762"/>
      <c r="AO76" s="762"/>
      <c r="AP76" s="762"/>
      <c r="AQ76" s="762"/>
      <c r="AR76" s="762"/>
      <c r="AS76" s="762"/>
      <c r="AT76" s="762"/>
      <c r="AU76" s="762"/>
      <c r="AV76" s="762"/>
      <c r="AW76" s="762"/>
      <c r="AX76" s="762"/>
      <c r="AY76" s="762"/>
      <c r="AZ76" s="762"/>
      <c r="BA76" s="762"/>
      <c r="BB76" s="762"/>
      <c r="BC76" s="762"/>
      <c r="BD76" s="762"/>
      <c r="BE76" s="765"/>
      <c r="BF76" s="762"/>
      <c r="BG76" s="762"/>
      <c r="BH76" s="762"/>
      <c r="BI76" s="766"/>
      <c r="BJ76" s="762"/>
      <c r="BK76" s="765"/>
      <c r="BL76" s="762"/>
      <c r="BM76" s="762"/>
      <c r="BN76" s="763"/>
      <c r="BO76" s="766"/>
      <c r="BP76" s="762"/>
      <c r="BQ76" s="765"/>
      <c r="BR76" s="762"/>
      <c r="BS76" s="762"/>
      <c r="BT76" s="763"/>
      <c r="BU76" s="766"/>
      <c r="BV76" s="762"/>
      <c r="BW76" s="765"/>
      <c r="BX76" s="762"/>
      <c r="BY76" s="762"/>
      <c r="BZ76" s="763"/>
      <c r="CA76" s="766"/>
      <c r="CB76" s="762"/>
      <c r="CC76" s="765"/>
      <c r="CD76" s="762"/>
      <c r="CE76" s="762"/>
      <c r="CF76" s="763"/>
      <c r="CG76" s="766"/>
      <c r="CH76" s="762"/>
      <c r="CI76" s="765"/>
      <c r="CJ76" s="762"/>
      <c r="CK76" s="762"/>
      <c r="CL76" s="763"/>
      <c r="CM76" s="766"/>
    </row>
    <row r="77" spans="1:91" s="25" customFormat="1" ht="11.25" hidden="1" outlineLevel="1" x14ac:dyDescent="0.2">
      <c r="A77" s="694" t="s">
        <v>108</v>
      </c>
      <c r="B77" s="761"/>
      <c r="C77" s="761"/>
      <c r="D77" s="761"/>
      <c r="E77" s="761"/>
      <c r="F77" s="761"/>
      <c r="G77" s="761"/>
      <c r="H77" s="761"/>
      <c r="I77" s="761"/>
      <c r="J77" s="761"/>
      <c r="K77" s="761"/>
      <c r="L77" s="761"/>
      <c r="M77" s="761"/>
      <c r="N77" s="761"/>
      <c r="O77" s="761"/>
      <c r="P77" s="761"/>
      <c r="Q77" s="761"/>
      <c r="R77" s="761"/>
      <c r="S77" s="761"/>
      <c r="T77" s="761"/>
      <c r="U77" s="761"/>
      <c r="V77" s="761"/>
      <c r="W77" s="761"/>
      <c r="X77" s="761"/>
      <c r="Y77" s="761"/>
      <c r="Z77" s="761"/>
      <c r="AA77" s="761"/>
      <c r="AB77" s="761"/>
      <c r="AC77" s="761"/>
      <c r="AD77" s="761"/>
      <c r="AE77" s="761"/>
      <c r="AF77" s="761"/>
      <c r="AG77" s="761"/>
      <c r="AH77" s="761"/>
      <c r="AI77" s="761"/>
      <c r="AJ77" s="761"/>
      <c r="AK77" s="761"/>
      <c r="AL77" s="761"/>
      <c r="AM77" s="761"/>
      <c r="AN77" s="761"/>
      <c r="AO77" s="761"/>
      <c r="AP77" s="761"/>
      <c r="AQ77" s="761"/>
      <c r="AR77" s="761"/>
      <c r="AS77" s="761"/>
      <c r="AT77" s="761"/>
      <c r="AU77" s="761"/>
      <c r="AV77" s="761"/>
      <c r="AW77" s="761"/>
      <c r="AX77" s="761"/>
      <c r="AY77" s="761"/>
      <c r="AZ77" s="761"/>
      <c r="BA77" s="761"/>
      <c r="BB77" s="761"/>
      <c r="BC77" s="761"/>
      <c r="BD77" s="761"/>
      <c r="BE77" s="669">
        <v>516</v>
      </c>
      <c r="BF77" s="657">
        <v>495</v>
      </c>
      <c r="BG77" s="657">
        <v>549</v>
      </c>
      <c r="BH77" s="657">
        <v>572</v>
      </c>
      <c r="BI77" s="733">
        <f>SUM(BE77:BH77)</f>
        <v>2132</v>
      </c>
      <c r="BJ77" s="761"/>
      <c r="BK77" s="669">
        <v>551</v>
      </c>
      <c r="BL77" s="657">
        <v>539</v>
      </c>
      <c r="BM77" s="657">
        <v>610</v>
      </c>
      <c r="BN77" s="676">
        <v>652</v>
      </c>
      <c r="BO77" s="733">
        <f>SUM(BK77:BN77)</f>
        <v>2352</v>
      </c>
      <c r="BP77" s="761"/>
      <c r="BQ77" s="669">
        <v>626</v>
      </c>
      <c r="BR77" s="761"/>
      <c r="BS77" s="761"/>
      <c r="BT77" s="668"/>
      <c r="BU77" s="746"/>
      <c r="BV77" s="761"/>
      <c r="BW77" s="760"/>
      <c r="BX77" s="761"/>
      <c r="BY77" s="761"/>
      <c r="BZ77" s="668"/>
      <c r="CA77" s="746"/>
      <c r="CB77" s="761"/>
      <c r="CC77" s="760"/>
      <c r="CD77" s="761"/>
      <c r="CE77" s="761"/>
      <c r="CF77" s="668"/>
      <c r="CG77" s="746"/>
      <c r="CH77" s="761"/>
      <c r="CI77" s="760"/>
      <c r="CJ77" s="761"/>
      <c r="CK77" s="761"/>
      <c r="CL77" s="668"/>
      <c r="CM77" s="746"/>
    </row>
    <row r="78" spans="1:91" s="25" customFormat="1" ht="11.25" hidden="1" outlineLevel="1" x14ac:dyDescent="0.2">
      <c r="A78" s="695" t="s">
        <v>5</v>
      </c>
      <c r="B78" s="761"/>
      <c r="C78" s="761"/>
      <c r="D78" s="761"/>
      <c r="E78" s="761"/>
      <c r="F78" s="761"/>
      <c r="G78" s="761"/>
      <c r="H78" s="761"/>
      <c r="I78" s="761"/>
      <c r="J78" s="761"/>
      <c r="K78" s="761"/>
      <c r="L78" s="761"/>
      <c r="M78" s="761"/>
      <c r="N78" s="761"/>
      <c r="O78" s="761"/>
      <c r="P78" s="761"/>
      <c r="Q78" s="761"/>
      <c r="R78" s="761"/>
      <c r="S78" s="761"/>
      <c r="T78" s="761"/>
      <c r="U78" s="761"/>
      <c r="V78" s="761"/>
      <c r="W78" s="761"/>
      <c r="X78" s="761"/>
      <c r="Y78" s="761"/>
      <c r="Z78" s="761"/>
      <c r="AA78" s="761"/>
      <c r="AB78" s="761"/>
      <c r="AC78" s="761"/>
      <c r="AD78" s="761"/>
      <c r="AE78" s="761"/>
      <c r="AF78" s="761"/>
      <c r="AG78" s="761"/>
      <c r="AH78" s="761"/>
      <c r="AI78" s="761"/>
      <c r="AJ78" s="761"/>
      <c r="AK78" s="761"/>
      <c r="AL78" s="761"/>
      <c r="AM78" s="761"/>
      <c r="AN78" s="761"/>
      <c r="AO78" s="761"/>
      <c r="AP78" s="761"/>
      <c r="AQ78" s="761"/>
      <c r="AR78" s="761"/>
      <c r="AS78" s="761"/>
      <c r="AT78" s="761"/>
      <c r="AU78" s="761"/>
      <c r="AV78" s="761"/>
      <c r="AW78" s="761"/>
      <c r="AX78" s="761"/>
      <c r="AY78" s="761"/>
      <c r="AZ78" s="761"/>
      <c r="BA78" s="761"/>
      <c r="BB78" s="761"/>
      <c r="BC78" s="761"/>
      <c r="BD78" s="761"/>
      <c r="BE78" s="760"/>
      <c r="BF78" s="761"/>
      <c r="BG78" s="761"/>
      <c r="BH78" s="761"/>
      <c r="BI78" s="746"/>
      <c r="BJ78" s="761"/>
      <c r="BK78" s="717">
        <f>BK77/BE77-1</f>
        <v>6.7829457364340984E-2</v>
      </c>
      <c r="BL78" s="696">
        <f t="shared" ref="BL78:BO78" si="121">BL77/BF77-1</f>
        <v>8.8888888888888795E-2</v>
      </c>
      <c r="BM78" s="696">
        <f t="shared" si="121"/>
        <v>0.11111111111111116</v>
      </c>
      <c r="BN78" s="697">
        <f t="shared" si="121"/>
        <v>0.13986013986013979</v>
      </c>
      <c r="BO78" s="732">
        <f t="shared" si="121"/>
        <v>0.1031894934333959</v>
      </c>
      <c r="BP78" s="761"/>
      <c r="BQ78" s="717">
        <f>BQ77/BK77-1</f>
        <v>0.13611615245009068</v>
      </c>
      <c r="BR78" s="761"/>
      <c r="BS78" s="761"/>
      <c r="BT78" s="668"/>
      <c r="BU78" s="746"/>
      <c r="BV78" s="761"/>
      <c r="BW78" s="760"/>
      <c r="BX78" s="761"/>
      <c r="BY78" s="761"/>
      <c r="BZ78" s="668"/>
      <c r="CA78" s="746"/>
      <c r="CB78" s="761"/>
      <c r="CC78" s="760"/>
      <c r="CD78" s="761"/>
      <c r="CE78" s="761"/>
      <c r="CF78" s="668"/>
      <c r="CG78" s="746"/>
      <c r="CH78" s="761"/>
      <c r="CI78" s="760"/>
      <c r="CJ78" s="761"/>
      <c r="CK78" s="761"/>
      <c r="CL78" s="668"/>
      <c r="CM78" s="746"/>
    </row>
    <row r="79" spans="1:91" s="25" customFormat="1" ht="11.25" hidden="1" outlineLevel="1" x14ac:dyDescent="0.2">
      <c r="A79" s="695" t="s">
        <v>9</v>
      </c>
      <c r="B79" s="761"/>
      <c r="C79" s="761"/>
      <c r="D79" s="761"/>
      <c r="E79" s="761"/>
      <c r="F79" s="761"/>
      <c r="G79" s="761"/>
      <c r="H79" s="761"/>
      <c r="I79" s="761"/>
      <c r="J79" s="761"/>
      <c r="K79" s="761"/>
      <c r="L79" s="761"/>
      <c r="M79" s="761"/>
      <c r="N79" s="761"/>
      <c r="O79" s="761"/>
      <c r="P79" s="761"/>
      <c r="Q79" s="761"/>
      <c r="R79" s="761"/>
      <c r="S79" s="761"/>
      <c r="T79" s="761"/>
      <c r="U79" s="761"/>
      <c r="V79" s="761"/>
      <c r="W79" s="761"/>
      <c r="X79" s="761"/>
      <c r="Y79" s="761"/>
      <c r="Z79" s="761"/>
      <c r="AA79" s="761"/>
      <c r="AB79" s="761"/>
      <c r="AC79" s="761"/>
      <c r="AD79" s="761"/>
      <c r="AE79" s="761"/>
      <c r="AF79" s="761"/>
      <c r="AG79" s="761"/>
      <c r="AH79" s="761"/>
      <c r="AI79" s="761"/>
      <c r="AJ79" s="761"/>
      <c r="AK79" s="761"/>
      <c r="AL79" s="761"/>
      <c r="AM79" s="761"/>
      <c r="AN79" s="761"/>
      <c r="AO79" s="761"/>
      <c r="AP79" s="761"/>
      <c r="AQ79" s="761"/>
      <c r="AR79" s="761"/>
      <c r="AS79" s="761"/>
      <c r="AT79" s="761"/>
      <c r="AU79" s="761"/>
      <c r="AV79" s="761"/>
      <c r="AW79" s="761"/>
      <c r="AX79" s="761"/>
      <c r="AY79" s="761"/>
      <c r="AZ79" s="761"/>
      <c r="BA79" s="761"/>
      <c r="BB79" s="761"/>
      <c r="BC79" s="761"/>
      <c r="BD79" s="761"/>
      <c r="BE79" s="760"/>
      <c r="BF79" s="761"/>
      <c r="BG79" s="761"/>
      <c r="BH79" s="761"/>
      <c r="BI79" s="746"/>
      <c r="BJ79" s="761"/>
      <c r="BK79" s="660">
        <f>BK78-BK80</f>
        <v>-3.417054263565901E-2</v>
      </c>
      <c r="BL79" s="661">
        <f t="shared" ref="BL79:BN79" si="122">BL78-BL80</f>
        <v>-1.2111111111111211E-2</v>
      </c>
      <c r="BM79" s="661">
        <f t="shared" si="122"/>
        <v>-1.9888888888888845E-2</v>
      </c>
      <c r="BN79" s="662">
        <f t="shared" si="122"/>
        <v>-2.1398601398602002E-3</v>
      </c>
      <c r="BO79" s="732">
        <f>SUMPRODUCT(BK79:BN79,BE77:BH77)/BI77</f>
        <v>-1.6777673545966279E-2</v>
      </c>
      <c r="BP79" s="761"/>
      <c r="BQ79" s="660">
        <f>BQ78-BQ80</f>
        <v>1.7116152450090683E-2</v>
      </c>
      <c r="BR79" s="761"/>
      <c r="BS79" s="761"/>
      <c r="BT79" s="668"/>
      <c r="BU79" s="746"/>
      <c r="BV79" s="761"/>
      <c r="BW79" s="760"/>
      <c r="BX79" s="761"/>
      <c r="BY79" s="761"/>
      <c r="BZ79" s="668"/>
      <c r="CA79" s="746"/>
      <c r="CB79" s="761"/>
      <c r="CC79" s="760"/>
      <c r="CD79" s="761"/>
      <c r="CE79" s="761"/>
      <c r="CF79" s="668"/>
      <c r="CG79" s="746"/>
      <c r="CH79" s="761"/>
      <c r="CI79" s="760"/>
      <c r="CJ79" s="761"/>
      <c r="CK79" s="761"/>
      <c r="CL79" s="668"/>
      <c r="CM79" s="746"/>
    </row>
    <row r="80" spans="1:91" s="25" customFormat="1" ht="11.25" hidden="1" outlineLevel="1" x14ac:dyDescent="0.2">
      <c r="A80" s="695" t="s">
        <v>7</v>
      </c>
      <c r="B80" s="761"/>
      <c r="C80" s="761"/>
      <c r="D80" s="761"/>
      <c r="E80" s="761"/>
      <c r="F80" s="761"/>
      <c r="G80" s="761"/>
      <c r="H80" s="761"/>
      <c r="I80" s="761"/>
      <c r="J80" s="761"/>
      <c r="K80" s="761"/>
      <c r="L80" s="761"/>
      <c r="M80" s="761"/>
      <c r="N80" s="761"/>
      <c r="O80" s="761"/>
      <c r="P80" s="761"/>
      <c r="Q80" s="761"/>
      <c r="R80" s="761"/>
      <c r="S80" s="761"/>
      <c r="T80" s="761"/>
      <c r="U80" s="761"/>
      <c r="V80" s="761"/>
      <c r="W80" s="761"/>
      <c r="X80" s="761"/>
      <c r="Y80" s="761"/>
      <c r="Z80" s="761"/>
      <c r="AA80" s="761"/>
      <c r="AB80" s="761"/>
      <c r="AC80" s="761"/>
      <c r="AD80" s="761"/>
      <c r="AE80" s="761"/>
      <c r="AF80" s="761"/>
      <c r="AG80" s="761"/>
      <c r="AH80" s="761"/>
      <c r="AI80" s="761"/>
      <c r="AJ80" s="761"/>
      <c r="AK80" s="761"/>
      <c r="AL80" s="761"/>
      <c r="AM80" s="761"/>
      <c r="AN80" s="761"/>
      <c r="AO80" s="761"/>
      <c r="AP80" s="761"/>
      <c r="AQ80" s="761"/>
      <c r="AR80" s="761"/>
      <c r="AS80" s="761"/>
      <c r="AT80" s="761"/>
      <c r="AU80" s="761"/>
      <c r="AV80" s="761"/>
      <c r="AW80" s="761"/>
      <c r="AX80" s="761"/>
      <c r="AY80" s="761"/>
      <c r="AZ80" s="761"/>
      <c r="BA80" s="761"/>
      <c r="BB80" s="761"/>
      <c r="BC80" s="761"/>
      <c r="BD80" s="761"/>
      <c r="BE80" s="760"/>
      <c r="BF80" s="761"/>
      <c r="BG80" s="761"/>
      <c r="BH80" s="761"/>
      <c r="BI80" s="746"/>
      <c r="BJ80" s="761"/>
      <c r="BK80" s="672">
        <v>0.10199999999999999</v>
      </c>
      <c r="BL80" s="673">
        <v>0.10100000000000001</v>
      </c>
      <c r="BM80" s="673">
        <v>0.13100000000000001</v>
      </c>
      <c r="BN80" s="674">
        <v>0.14199999999999999</v>
      </c>
      <c r="BO80" s="732">
        <f t="shared" ref="BO80" si="123">BO78-BO79</f>
        <v>0.11996716697936217</v>
      </c>
      <c r="BP80" s="761"/>
      <c r="BQ80" s="672">
        <v>0.11899999999999999</v>
      </c>
      <c r="BR80" s="761"/>
      <c r="BS80" s="761"/>
      <c r="BT80" s="668"/>
      <c r="BU80" s="746"/>
      <c r="BV80" s="761"/>
      <c r="BW80" s="760"/>
      <c r="BX80" s="761"/>
      <c r="BY80" s="761"/>
      <c r="BZ80" s="668"/>
      <c r="CA80" s="746"/>
      <c r="CB80" s="761"/>
      <c r="CC80" s="760"/>
      <c r="CD80" s="761"/>
      <c r="CE80" s="761"/>
      <c r="CF80" s="668"/>
      <c r="CG80" s="746"/>
      <c r="CH80" s="761"/>
      <c r="CI80" s="760"/>
      <c r="CJ80" s="761"/>
      <c r="CK80" s="761"/>
      <c r="CL80" s="668"/>
      <c r="CM80" s="746"/>
    </row>
    <row r="81" spans="1:91" s="25" customFormat="1" ht="11.25" hidden="1" outlineLevel="1" x14ac:dyDescent="0.2">
      <c r="A81" s="694" t="s">
        <v>110</v>
      </c>
      <c r="B81" s="761"/>
      <c r="C81" s="761"/>
      <c r="D81" s="761"/>
      <c r="E81" s="761"/>
      <c r="F81" s="761"/>
      <c r="G81" s="761"/>
      <c r="H81" s="761"/>
      <c r="I81" s="761"/>
      <c r="J81" s="761"/>
      <c r="K81" s="761"/>
      <c r="L81" s="761"/>
      <c r="M81" s="761"/>
      <c r="N81" s="761"/>
      <c r="O81" s="761"/>
      <c r="P81" s="761"/>
      <c r="Q81" s="761"/>
      <c r="R81" s="761"/>
      <c r="S81" s="761"/>
      <c r="T81" s="761"/>
      <c r="U81" s="761"/>
      <c r="V81" s="761"/>
      <c r="W81" s="761"/>
      <c r="X81" s="761"/>
      <c r="Y81" s="761"/>
      <c r="Z81" s="761"/>
      <c r="AA81" s="761"/>
      <c r="AB81" s="761"/>
      <c r="AC81" s="761"/>
      <c r="AD81" s="761"/>
      <c r="AE81" s="761"/>
      <c r="AF81" s="761"/>
      <c r="AG81" s="761"/>
      <c r="AH81" s="761"/>
      <c r="AI81" s="761"/>
      <c r="AJ81" s="761"/>
      <c r="AK81" s="761"/>
      <c r="AL81" s="761"/>
      <c r="AM81" s="761"/>
      <c r="AN81" s="761"/>
      <c r="AO81" s="761"/>
      <c r="AP81" s="761"/>
      <c r="AQ81" s="761"/>
      <c r="AR81" s="761"/>
      <c r="AS81" s="761"/>
      <c r="AT81" s="761"/>
      <c r="AU81" s="761"/>
      <c r="AV81" s="761"/>
      <c r="AW81" s="761"/>
      <c r="AX81" s="761"/>
      <c r="AY81" s="761"/>
      <c r="AZ81" s="761"/>
      <c r="BA81" s="761"/>
      <c r="BB81" s="761"/>
      <c r="BC81" s="761"/>
      <c r="BD81" s="761"/>
      <c r="BE81" s="669">
        <v>3074</v>
      </c>
      <c r="BF81" s="657">
        <v>3173</v>
      </c>
      <c r="BG81" s="657">
        <v>3324</v>
      </c>
      <c r="BH81" s="657">
        <v>3338</v>
      </c>
      <c r="BI81" s="733">
        <f>SUM(BE81:BH81)</f>
        <v>12909</v>
      </c>
      <c r="BJ81" s="761"/>
      <c r="BK81" s="669">
        <v>3281</v>
      </c>
      <c r="BL81" s="657">
        <v>3311</v>
      </c>
      <c r="BM81" s="657">
        <v>3347</v>
      </c>
      <c r="BN81" s="676">
        <v>3441</v>
      </c>
      <c r="BO81" s="733">
        <f>SUM(BK81:BN81)</f>
        <v>13380</v>
      </c>
      <c r="BP81" s="761"/>
      <c r="BQ81" s="669">
        <v>3406</v>
      </c>
      <c r="BR81" s="761"/>
      <c r="BS81" s="761"/>
      <c r="BT81" s="668"/>
      <c r="BU81" s="746"/>
      <c r="BV81" s="761"/>
      <c r="BW81" s="760"/>
      <c r="BX81" s="761"/>
      <c r="BY81" s="761"/>
      <c r="BZ81" s="668"/>
      <c r="CA81" s="746"/>
      <c r="CB81" s="761"/>
      <c r="CC81" s="760"/>
      <c r="CD81" s="761"/>
      <c r="CE81" s="761"/>
      <c r="CF81" s="668"/>
      <c r="CG81" s="746"/>
      <c r="CH81" s="761"/>
      <c r="CI81" s="760"/>
      <c r="CJ81" s="761"/>
      <c r="CK81" s="761"/>
      <c r="CL81" s="668"/>
      <c r="CM81" s="746"/>
    </row>
    <row r="82" spans="1:91" s="25" customFormat="1" ht="11.25" hidden="1" outlineLevel="1" x14ac:dyDescent="0.2">
      <c r="A82" s="695" t="s">
        <v>5</v>
      </c>
      <c r="B82" s="761"/>
      <c r="C82" s="761"/>
      <c r="D82" s="761"/>
      <c r="E82" s="761"/>
      <c r="F82" s="761"/>
      <c r="G82" s="761"/>
      <c r="H82" s="761"/>
      <c r="I82" s="761"/>
      <c r="J82" s="761"/>
      <c r="K82" s="761"/>
      <c r="L82" s="761"/>
      <c r="M82" s="761"/>
      <c r="N82" s="761"/>
      <c r="O82" s="761"/>
      <c r="P82" s="761"/>
      <c r="Q82" s="761"/>
      <c r="R82" s="761"/>
      <c r="S82" s="761"/>
      <c r="T82" s="761"/>
      <c r="U82" s="761"/>
      <c r="V82" s="761"/>
      <c r="W82" s="761"/>
      <c r="X82" s="761"/>
      <c r="Y82" s="761"/>
      <c r="Z82" s="761"/>
      <c r="AA82" s="761"/>
      <c r="AB82" s="761"/>
      <c r="AC82" s="761"/>
      <c r="AD82" s="761"/>
      <c r="AE82" s="761"/>
      <c r="AF82" s="761"/>
      <c r="AG82" s="761"/>
      <c r="AH82" s="761"/>
      <c r="AI82" s="761"/>
      <c r="AJ82" s="761"/>
      <c r="AK82" s="761"/>
      <c r="AL82" s="761"/>
      <c r="AM82" s="761"/>
      <c r="AN82" s="761"/>
      <c r="AO82" s="761"/>
      <c r="AP82" s="761"/>
      <c r="AQ82" s="761"/>
      <c r="AR82" s="761"/>
      <c r="AS82" s="761"/>
      <c r="AT82" s="761"/>
      <c r="AU82" s="761"/>
      <c r="AV82" s="761"/>
      <c r="AW82" s="761"/>
      <c r="AX82" s="761"/>
      <c r="AY82" s="761"/>
      <c r="AZ82" s="761"/>
      <c r="BA82" s="761"/>
      <c r="BB82" s="761"/>
      <c r="BC82" s="761"/>
      <c r="BD82" s="761"/>
      <c r="BE82" s="760"/>
      <c r="BF82" s="761"/>
      <c r="BG82" s="761"/>
      <c r="BH82" s="761"/>
      <c r="BI82" s="746"/>
      <c r="BJ82" s="761"/>
      <c r="BK82" s="717">
        <f>BK81/BE81-1</f>
        <v>6.7338972023422317E-2</v>
      </c>
      <c r="BL82" s="696">
        <f t="shared" ref="BL82" si="124">BL81/BF81-1</f>
        <v>4.3491963441538051E-2</v>
      </c>
      <c r="BM82" s="696">
        <f t="shared" ref="BM82" si="125">BM81/BG81-1</f>
        <v>6.9193742478941278E-3</v>
      </c>
      <c r="BN82" s="697">
        <f t="shared" ref="BN82" si="126">BN81/BH81-1</f>
        <v>3.0856800479329038E-2</v>
      </c>
      <c r="BO82" s="732">
        <f t="shared" ref="BO82" si="127">BO81/BI81-1</f>
        <v>3.648617243783403E-2</v>
      </c>
      <c r="BP82" s="761"/>
      <c r="BQ82" s="717">
        <f>BQ81/BK81-1</f>
        <v>3.8098140810728376E-2</v>
      </c>
      <c r="BR82" s="761"/>
      <c r="BS82" s="761"/>
      <c r="BT82" s="668"/>
      <c r="BU82" s="746"/>
      <c r="BV82" s="761"/>
      <c r="BW82" s="760"/>
      <c r="BX82" s="761"/>
      <c r="BY82" s="761"/>
      <c r="BZ82" s="668"/>
      <c r="CA82" s="746"/>
      <c r="CB82" s="761"/>
      <c r="CC82" s="760"/>
      <c r="CD82" s="761"/>
      <c r="CE82" s="761"/>
      <c r="CF82" s="668"/>
      <c r="CG82" s="746"/>
      <c r="CH82" s="761"/>
      <c r="CI82" s="760"/>
      <c r="CJ82" s="761"/>
      <c r="CK82" s="761"/>
      <c r="CL82" s="668"/>
      <c r="CM82" s="746"/>
    </row>
    <row r="83" spans="1:91" s="25" customFormat="1" ht="11.25" hidden="1" outlineLevel="1" x14ac:dyDescent="0.2">
      <c r="A83" s="695" t="s">
        <v>9</v>
      </c>
      <c r="B83" s="761"/>
      <c r="C83" s="761"/>
      <c r="D83" s="761"/>
      <c r="E83" s="761"/>
      <c r="F83" s="761"/>
      <c r="G83" s="761"/>
      <c r="H83" s="761"/>
      <c r="I83" s="761"/>
      <c r="J83" s="761"/>
      <c r="K83" s="761"/>
      <c r="L83" s="761"/>
      <c r="M83" s="761"/>
      <c r="N83" s="761"/>
      <c r="O83" s="761"/>
      <c r="P83" s="761"/>
      <c r="Q83" s="761"/>
      <c r="R83" s="761"/>
      <c r="S83" s="761"/>
      <c r="T83" s="761"/>
      <c r="U83" s="761"/>
      <c r="V83" s="761"/>
      <c r="W83" s="761"/>
      <c r="X83" s="761"/>
      <c r="Y83" s="761"/>
      <c r="Z83" s="761"/>
      <c r="AA83" s="761"/>
      <c r="AB83" s="761"/>
      <c r="AC83" s="761"/>
      <c r="AD83" s="761"/>
      <c r="AE83" s="761"/>
      <c r="AF83" s="761"/>
      <c r="AG83" s="761"/>
      <c r="AH83" s="761"/>
      <c r="AI83" s="761"/>
      <c r="AJ83" s="761"/>
      <c r="AK83" s="761"/>
      <c r="AL83" s="761"/>
      <c r="AM83" s="761"/>
      <c r="AN83" s="761"/>
      <c r="AO83" s="761"/>
      <c r="AP83" s="761"/>
      <c r="AQ83" s="761"/>
      <c r="AR83" s="761"/>
      <c r="AS83" s="761"/>
      <c r="AT83" s="761"/>
      <c r="AU83" s="761"/>
      <c r="AV83" s="761"/>
      <c r="AW83" s="761"/>
      <c r="AX83" s="761"/>
      <c r="AY83" s="761"/>
      <c r="AZ83" s="761"/>
      <c r="BA83" s="761"/>
      <c r="BB83" s="761"/>
      <c r="BC83" s="761"/>
      <c r="BD83" s="761"/>
      <c r="BE83" s="760"/>
      <c r="BF83" s="761"/>
      <c r="BG83" s="761"/>
      <c r="BH83" s="761"/>
      <c r="BI83" s="746"/>
      <c r="BJ83" s="761"/>
      <c r="BK83" s="660">
        <f>BK82-BK84</f>
        <v>-1.6610279765776892E-3</v>
      </c>
      <c r="BL83" s="661">
        <f t="shared" ref="BL83" si="128">BL82-BL84</f>
        <v>-8.5080365584619469E-3</v>
      </c>
      <c r="BM83" s="661">
        <f t="shared" ref="BM83" si="129">BM82-BM84</f>
        <v>-1.0080625752105873E-2</v>
      </c>
      <c r="BN83" s="662">
        <f t="shared" ref="BN83" si="130">BN82-BN84</f>
        <v>1.856800479329037E-3</v>
      </c>
      <c r="BO83" s="732">
        <f>SUMPRODUCT(BK83:BN83,BE81:BH81)/BI81</f>
        <v>-4.6023704392283817E-3</v>
      </c>
      <c r="BP83" s="761"/>
      <c r="BQ83" s="660">
        <f>BQ82-BQ84</f>
        <v>1.5098140810728376E-2</v>
      </c>
      <c r="BR83" s="761"/>
      <c r="BS83" s="761"/>
      <c r="BT83" s="668"/>
      <c r="BU83" s="746"/>
      <c r="BV83" s="761"/>
      <c r="BW83" s="760"/>
      <c r="BX83" s="761"/>
      <c r="BY83" s="761"/>
      <c r="BZ83" s="668"/>
      <c r="CA83" s="746"/>
      <c r="CB83" s="761"/>
      <c r="CC83" s="760"/>
      <c r="CD83" s="761"/>
      <c r="CE83" s="761"/>
      <c r="CF83" s="668"/>
      <c r="CG83" s="746"/>
      <c r="CH83" s="761"/>
      <c r="CI83" s="760"/>
      <c r="CJ83" s="761"/>
      <c r="CK83" s="761"/>
      <c r="CL83" s="668"/>
      <c r="CM83" s="746"/>
    </row>
    <row r="84" spans="1:91" s="25" customFormat="1" ht="11.25" hidden="1" outlineLevel="1" x14ac:dyDescent="0.2">
      <c r="A84" s="695" t="s">
        <v>10</v>
      </c>
      <c r="B84" s="761"/>
      <c r="C84" s="761"/>
      <c r="D84" s="761"/>
      <c r="E84" s="761"/>
      <c r="F84" s="761"/>
      <c r="G84" s="761"/>
      <c r="H84" s="761"/>
      <c r="I84" s="761"/>
      <c r="J84" s="761"/>
      <c r="K84" s="761"/>
      <c r="L84" s="761"/>
      <c r="M84" s="761"/>
      <c r="N84" s="761"/>
      <c r="O84" s="761"/>
      <c r="P84" s="761"/>
      <c r="Q84" s="761"/>
      <c r="R84" s="761"/>
      <c r="S84" s="761"/>
      <c r="T84" s="761"/>
      <c r="U84" s="761"/>
      <c r="V84" s="761"/>
      <c r="W84" s="761"/>
      <c r="X84" s="761"/>
      <c r="Y84" s="761"/>
      <c r="Z84" s="761"/>
      <c r="AA84" s="761"/>
      <c r="AB84" s="761"/>
      <c r="AC84" s="761"/>
      <c r="AD84" s="761"/>
      <c r="AE84" s="761"/>
      <c r="AF84" s="761"/>
      <c r="AG84" s="761"/>
      <c r="AH84" s="761"/>
      <c r="AI84" s="761"/>
      <c r="AJ84" s="761"/>
      <c r="AK84" s="761"/>
      <c r="AL84" s="761"/>
      <c r="AM84" s="761"/>
      <c r="AN84" s="761"/>
      <c r="AO84" s="761"/>
      <c r="AP84" s="761"/>
      <c r="AQ84" s="761"/>
      <c r="AR84" s="761"/>
      <c r="AS84" s="761"/>
      <c r="AT84" s="761"/>
      <c r="AU84" s="761"/>
      <c r="AV84" s="761"/>
      <c r="AW84" s="761"/>
      <c r="AX84" s="761"/>
      <c r="AY84" s="761"/>
      <c r="AZ84" s="761"/>
      <c r="BA84" s="761"/>
      <c r="BB84" s="761"/>
      <c r="BC84" s="761"/>
      <c r="BD84" s="761"/>
      <c r="BE84" s="760"/>
      <c r="BF84" s="761"/>
      <c r="BG84" s="761"/>
      <c r="BH84" s="761"/>
      <c r="BI84" s="746"/>
      <c r="BJ84" s="761"/>
      <c r="BK84" s="672">
        <v>6.9000000000000006E-2</v>
      </c>
      <c r="BL84" s="673">
        <v>5.1999999999999998E-2</v>
      </c>
      <c r="BM84" s="673">
        <v>1.7000000000000001E-2</v>
      </c>
      <c r="BN84" s="674">
        <v>2.9000000000000001E-2</v>
      </c>
      <c r="BO84" s="732">
        <f t="shared" ref="BO84" si="131">BO82-BO83</f>
        <v>4.1088542877062414E-2</v>
      </c>
      <c r="BP84" s="761"/>
      <c r="BQ84" s="672">
        <v>2.3E-2</v>
      </c>
      <c r="BR84" s="761"/>
      <c r="BS84" s="761"/>
      <c r="BT84" s="668"/>
      <c r="BU84" s="746"/>
      <c r="BV84" s="761"/>
      <c r="BW84" s="760"/>
      <c r="BX84" s="761"/>
      <c r="BY84" s="761"/>
      <c r="BZ84" s="668"/>
      <c r="CA84" s="746"/>
      <c r="CB84" s="761"/>
      <c r="CC84" s="760"/>
      <c r="CD84" s="761"/>
      <c r="CE84" s="761"/>
      <c r="CF84" s="668"/>
      <c r="CG84" s="746"/>
      <c r="CH84" s="761"/>
      <c r="CI84" s="760"/>
      <c r="CJ84" s="761"/>
      <c r="CK84" s="761"/>
      <c r="CL84" s="668"/>
      <c r="CM84" s="746"/>
    </row>
    <row r="85" spans="1:91" s="25" customFormat="1" ht="11.25" hidden="1" outlineLevel="1" x14ac:dyDescent="0.2">
      <c r="A85" s="694" t="s">
        <v>111</v>
      </c>
      <c r="B85" s="761"/>
      <c r="C85" s="761"/>
      <c r="D85" s="761"/>
      <c r="E85" s="761"/>
      <c r="F85" s="761"/>
      <c r="G85" s="761"/>
      <c r="H85" s="761"/>
      <c r="I85" s="761"/>
      <c r="J85" s="761"/>
      <c r="K85" s="761"/>
      <c r="L85" s="761"/>
      <c r="M85" s="761"/>
      <c r="N85" s="761"/>
      <c r="O85" s="761"/>
      <c r="P85" s="761"/>
      <c r="Q85" s="761"/>
      <c r="R85" s="761"/>
      <c r="S85" s="761"/>
      <c r="T85" s="761"/>
      <c r="U85" s="761"/>
      <c r="V85" s="761"/>
      <c r="W85" s="761"/>
      <c r="X85" s="761"/>
      <c r="Y85" s="761"/>
      <c r="Z85" s="761"/>
      <c r="AA85" s="761"/>
      <c r="AB85" s="761"/>
      <c r="AC85" s="761"/>
      <c r="AD85" s="761"/>
      <c r="AE85" s="761"/>
      <c r="AF85" s="761"/>
      <c r="AG85" s="761"/>
      <c r="AH85" s="761"/>
      <c r="AI85" s="761"/>
      <c r="AJ85" s="761"/>
      <c r="AK85" s="761"/>
      <c r="AL85" s="761"/>
      <c r="AM85" s="761"/>
      <c r="AN85" s="761"/>
      <c r="AO85" s="761"/>
      <c r="AP85" s="761"/>
      <c r="AQ85" s="761"/>
      <c r="AR85" s="761"/>
      <c r="AS85" s="761"/>
      <c r="AT85" s="761"/>
      <c r="AU85" s="761"/>
      <c r="AV85" s="761"/>
      <c r="AW85" s="761"/>
      <c r="AX85" s="761"/>
      <c r="AY85" s="761"/>
      <c r="AZ85" s="761"/>
      <c r="BA85" s="761"/>
      <c r="BB85" s="761"/>
      <c r="BC85" s="761"/>
      <c r="BD85" s="761"/>
      <c r="BE85" s="669">
        <v>206</v>
      </c>
      <c r="BF85" s="657">
        <v>207</v>
      </c>
      <c r="BG85" s="657">
        <v>222</v>
      </c>
      <c r="BH85" s="657">
        <v>219</v>
      </c>
      <c r="BI85" s="733">
        <f>SUM(BE85:BH85)</f>
        <v>854</v>
      </c>
      <c r="BJ85" s="761"/>
      <c r="BK85" s="669">
        <v>220</v>
      </c>
      <c r="BL85" s="657">
        <v>223</v>
      </c>
      <c r="BM85" s="657">
        <v>245</v>
      </c>
      <c r="BN85" s="676">
        <v>252</v>
      </c>
      <c r="BO85" s="733">
        <f>SUM(BK85:BN85)</f>
        <v>940</v>
      </c>
      <c r="BP85" s="761"/>
      <c r="BQ85" s="669">
        <v>252</v>
      </c>
      <c r="BR85" s="761"/>
      <c r="BS85" s="761"/>
      <c r="BT85" s="668"/>
      <c r="BU85" s="746"/>
      <c r="BV85" s="761"/>
      <c r="BW85" s="760"/>
      <c r="BX85" s="761"/>
      <c r="BY85" s="761"/>
      <c r="BZ85" s="668"/>
      <c r="CA85" s="746"/>
      <c r="CB85" s="761"/>
      <c r="CC85" s="760"/>
      <c r="CD85" s="761"/>
      <c r="CE85" s="761"/>
      <c r="CF85" s="668"/>
      <c r="CG85" s="746"/>
      <c r="CH85" s="761"/>
      <c r="CI85" s="760"/>
      <c r="CJ85" s="761"/>
      <c r="CK85" s="761"/>
      <c r="CL85" s="668"/>
      <c r="CM85" s="746"/>
    </row>
    <row r="86" spans="1:91" s="25" customFormat="1" ht="11.25" hidden="1" outlineLevel="1" x14ac:dyDescent="0.2">
      <c r="A86" s="695" t="s">
        <v>5</v>
      </c>
      <c r="B86" s="761"/>
      <c r="C86" s="761"/>
      <c r="D86" s="761"/>
      <c r="E86" s="761"/>
      <c r="F86" s="761"/>
      <c r="G86" s="761"/>
      <c r="H86" s="761"/>
      <c r="I86" s="761"/>
      <c r="J86" s="761"/>
      <c r="K86" s="761"/>
      <c r="L86" s="761"/>
      <c r="M86" s="761"/>
      <c r="N86" s="761"/>
      <c r="O86" s="761"/>
      <c r="P86" s="761"/>
      <c r="Q86" s="761"/>
      <c r="R86" s="761"/>
      <c r="S86" s="761"/>
      <c r="T86" s="761"/>
      <c r="U86" s="761"/>
      <c r="V86" s="761"/>
      <c r="W86" s="761"/>
      <c r="X86" s="761"/>
      <c r="Y86" s="761"/>
      <c r="Z86" s="761"/>
      <c r="AA86" s="761"/>
      <c r="AB86" s="761"/>
      <c r="AC86" s="761"/>
      <c r="AD86" s="761"/>
      <c r="AE86" s="761"/>
      <c r="AF86" s="761"/>
      <c r="AG86" s="761"/>
      <c r="AH86" s="761"/>
      <c r="AI86" s="761"/>
      <c r="AJ86" s="761"/>
      <c r="AK86" s="761"/>
      <c r="AL86" s="761"/>
      <c r="AM86" s="761"/>
      <c r="AN86" s="761"/>
      <c r="AO86" s="761"/>
      <c r="AP86" s="761"/>
      <c r="AQ86" s="761"/>
      <c r="AR86" s="761"/>
      <c r="AS86" s="761"/>
      <c r="AT86" s="761"/>
      <c r="AU86" s="761"/>
      <c r="AV86" s="761"/>
      <c r="AW86" s="761"/>
      <c r="AX86" s="761"/>
      <c r="AY86" s="761"/>
      <c r="AZ86" s="761"/>
      <c r="BA86" s="761"/>
      <c r="BB86" s="761"/>
      <c r="BC86" s="761"/>
      <c r="BD86" s="761"/>
      <c r="BE86" s="760"/>
      <c r="BF86" s="761"/>
      <c r="BG86" s="761"/>
      <c r="BH86" s="761"/>
      <c r="BI86" s="746"/>
      <c r="BJ86" s="761"/>
      <c r="BK86" s="717">
        <f>BK85/BE85-1</f>
        <v>6.7961165048543659E-2</v>
      </c>
      <c r="BL86" s="696">
        <f t="shared" ref="BL86" si="132">BL85/BF85-1</f>
        <v>7.7294685990338063E-2</v>
      </c>
      <c r="BM86" s="696">
        <f t="shared" ref="BM86" si="133">BM85/BG85-1</f>
        <v>0.10360360360360366</v>
      </c>
      <c r="BN86" s="697">
        <f t="shared" ref="BN86" si="134">BN85/BH85-1</f>
        <v>0.15068493150684925</v>
      </c>
      <c r="BO86" s="732">
        <f t="shared" ref="BO86" si="135">BO85/BI85-1</f>
        <v>0.10070257611241207</v>
      </c>
      <c r="BP86" s="761"/>
      <c r="BQ86" s="717">
        <f>BQ85/BK85-1</f>
        <v>0.1454545454545455</v>
      </c>
      <c r="BR86" s="761"/>
      <c r="BS86" s="761"/>
      <c r="BT86" s="668"/>
      <c r="BU86" s="746"/>
      <c r="BV86" s="761"/>
      <c r="BW86" s="760"/>
      <c r="BX86" s="761"/>
      <c r="BY86" s="761"/>
      <c r="BZ86" s="668"/>
      <c r="CA86" s="746"/>
      <c r="CB86" s="761"/>
      <c r="CC86" s="760"/>
      <c r="CD86" s="761"/>
      <c r="CE86" s="761"/>
      <c r="CF86" s="668"/>
      <c r="CG86" s="746"/>
      <c r="CH86" s="761"/>
      <c r="CI86" s="760"/>
      <c r="CJ86" s="761"/>
      <c r="CK86" s="761"/>
      <c r="CL86" s="668"/>
      <c r="CM86" s="746"/>
    </row>
    <row r="87" spans="1:91" s="25" customFormat="1" ht="11.25" hidden="1" outlineLevel="1" x14ac:dyDescent="0.2">
      <c r="A87" s="695" t="s">
        <v>9</v>
      </c>
      <c r="B87" s="761"/>
      <c r="C87" s="761"/>
      <c r="D87" s="761"/>
      <c r="E87" s="761"/>
      <c r="F87" s="761"/>
      <c r="G87" s="761"/>
      <c r="H87" s="761"/>
      <c r="I87" s="761"/>
      <c r="J87" s="761"/>
      <c r="K87" s="761"/>
      <c r="L87" s="761"/>
      <c r="M87" s="761"/>
      <c r="N87" s="761"/>
      <c r="O87" s="761"/>
      <c r="P87" s="761"/>
      <c r="Q87" s="761"/>
      <c r="R87" s="761"/>
      <c r="S87" s="761"/>
      <c r="T87" s="761"/>
      <c r="U87" s="761"/>
      <c r="V87" s="761"/>
      <c r="W87" s="761"/>
      <c r="X87" s="761"/>
      <c r="Y87" s="761"/>
      <c r="Z87" s="761"/>
      <c r="AA87" s="761"/>
      <c r="AB87" s="761"/>
      <c r="AC87" s="761"/>
      <c r="AD87" s="761"/>
      <c r="AE87" s="761"/>
      <c r="AF87" s="761"/>
      <c r="AG87" s="761"/>
      <c r="AH87" s="761"/>
      <c r="AI87" s="761"/>
      <c r="AJ87" s="761"/>
      <c r="AK87" s="761"/>
      <c r="AL87" s="761"/>
      <c r="AM87" s="761"/>
      <c r="AN87" s="761"/>
      <c r="AO87" s="761"/>
      <c r="AP87" s="761"/>
      <c r="AQ87" s="761"/>
      <c r="AR87" s="761"/>
      <c r="AS87" s="761"/>
      <c r="AT87" s="761"/>
      <c r="AU87" s="761"/>
      <c r="AV87" s="761"/>
      <c r="AW87" s="761"/>
      <c r="AX87" s="761"/>
      <c r="AY87" s="761"/>
      <c r="AZ87" s="761"/>
      <c r="BA87" s="761"/>
      <c r="BB87" s="761"/>
      <c r="BC87" s="761"/>
      <c r="BD87" s="761"/>
      <c r="BE87" s="760"/>
      <c r="BF87" s="761"/>
      <c r="BG87" s="761"/>
      <c r="BH87" s="761"/>
      <c r="BI87" s="746"/>
      <c r="BJ87" s="761"/>
      <c r="BK87" s="660">
        <f>BK86-BK88</f>
        <v>-5.8038834951456342E-2</v>
      </c>
      <c r="BL87" s="661">
        <f t="shared" ref="BL87" si="136">BL86-BL88</f>
        <v>-5.3705314009661942E-2</v>
      </c>
      <c r="BM87" s="661">
        <f t="shared" ref="BM87" si="137">BM86-BM88</f>
        <v>-5.3396396396396345E-2</v>
      </c>
      <c r="BN87" s="662">
        <f t="shared" ref="BN87" si="138">BN86-BN88</f>
        <v>-1.2315068493150755E-2</v>
      </c>
      <c r="BO87" s="732">
        <f>SUMPRODUCT(BK87:BN87,BE85:BH85)/BI85</f>
        <v>-4.4056206088993022E-2</v>
      </c>
      <c r="BP87" s="761"/>
      <c r="BQ87" s="660">
        <f>BQ86-BQ88</f>
        <v>2.1454545454545504E-2</v>
      </c>
      <c r="BR87" s="761"/>
      <c r="BS87" s="761"/>
      <c r="BT87" s="668"/>
      <c r="BU87" s="746"/>
      <c r="BV87" s="761"/>
      <c r="BW87" s="760"/>
      <c r="BX87" s="761"/>
      <c r="BY87" s="761"/>
      <c r="BZ87" s="668"/>
      <c r="CA87" s="746"/>
      <c r="CB87" s="761"/>
      <c r="CC87" s="760"/>
      <c r="CD87" s="761"/>
      <c r="CE87" s="761"/>
      <c r="CF87" s="668"/>
      <c r="CG87" s="746"/>
      <c r="CH87" s="761"/>
      <c r="CI87" s="760"/>
      <c r="CJ87" s="761"/>
      <c r="CK87" s="761"/>
      <c r="CL87" s="668"/>
      <c r="CM87" s="746"/>
    </row>
    <row r="88" spans="1:91" s="25" customFormat="1" ht="11.25" hidden="1" outlineLevel="1" x14ac:dyDescent="0.2">
      <c r="A88" s="713" t="s">
        <v>10</v>
      </c>
      <c r="B88" s="656"/>
      <c r="C88" s="656"/>
      <c r="D88" s="656"/>
      <c r="E88" s="656"/>
      <c r="F88" s="656"/>
      <c r="G88" s="656"/>
      <c r="H88" s="656"/>
      <c r="I88" s="656"/>
      <c r="J88" s="656"/>
      <c r="K88" s="656"/>
      <c r="L88" s="656"/>
      <c r="M88" s="656"/>
      <c r="N88" s="656"/>
      <c r="O88" s="656"/>
      <c r="P88" s="656"/>
      <c r="Q88" s="656"/>
      <c r="R88" s="656"/>
      <c r="S88" s="656"/>
      <c r="T88" s="656"/>
      <c r="U88" s="656"/>
      <c r="V88" s="656"/>
      <c r="W88" s="656"/>
      <c r="X88" s="656"/>
      <c r="Y88" s="656"/>
      <c r="Z88" s="656"/>
      <c r="AA88" s="656"/>
      <c r="AB88" s="656"/>
      <c r="AC88" s="656"/>
      <c r="AD88" s="656"/>
      <c r="AE88" s="656"/>
      <c r="AF88" s="656"/>
      <c r="AG88" s="656"/>
      <c r="AH88" s="656"/>
      <c r="AI88" s="656"/>
      <c r="AJ88" s="656"/>
      <c r="AK88" s="656"/>
      <c r="AL88" s="656"/>
      <c r="AM88" s="656"/>
      <c r="AN88" s="656"/>
      <c r="AO88" s="656"/>
      <c r="AP88" s="656"/>
      <c r="AQ88" s="656"/>
      <c r="AR88" s="656"/>
      <c r="AS88" s="656"/>
      <c r="AT88" s="656"/>
      <c r="AU88" s="656"/>
      <c r="AV88" s="656"/>
      <c r="AW88" s="656"/>
      <c r="AX88" s="656"/>
      <c r="AY88" s="656"/>
      <c r="AZ88" s="656"/>
      <c r="BA88" s="656"/>
      <c r="BB88" s="656"/>
      <c r="BC88" s="656"/>
      <c r="BD88" s="656"/>
      <c r="BE88" s="751"/>
      <c r="BF88" s="656"/>
      <c r="BG88" s="656"/>
      <c r="BH88" s="656"/>
      <c r="BI88" s="747"/>
      <c r="BJ88" s="656"/>
      <c r="BK88" s="767">
        <v>0.126</v>
      </c>
      <c r="BL88" s="764">
        <v>0.13100000000000001</v>
      </c>
      <c r="BM88" s="764">
        <v>0.157</v>
      </c>
      <c r="BN88" s="768">
        <v>0.16300000000000001</v>
      </c>
      <c r="BO88" s="741">
        <f t="shared" ref="BO88" si="139">BO86-BO87</f>
        <v>0.14475878220140509</v>
      </c>
      <c r="BP88" s="656"/>
      <c r="BQ88" s="767">
        <v>0.124</v>
      </c>
      <c r="BR88" s="656"/>
      <c r="BS88" s="656"/>
      <c r="BT88" s="752"/>
      <c r="BU88" s="747"/>
      <c r="BV88" s="656"/>
      <c r="BW88" s="751"/>
      <c r="BX88" s="656"/>
      <c r="BY88" s="656"/>
      <c r="BZ88" s="752"/>
      <c r="CA88" s="747"/>
      <c r="CB88" s="656"/>
      <c r="CC88" s="751"/>
      <c r="CD88" s="656"/>
      <c r="CE88" s="656"/>
      <c r="CF88" s="752"/>
      <c r="CG88" s="747"/>
      <c r="CH88" s="656"/>
      <c r="CI88" s="751"/>
      <c r="CJ88" s="656"/>
      <c r="CK88" s="656"/>
      <c r="CL88" s="752"/>
      <c r="CM88" s="747"/>
    </row>
    <row r="89" spans="1:91" s="25" customFormat="1" ht="11.25" collapsed="1" x14ac:dyDescent="0.2"/>
    <row r="90" spans="1:91" s="25" customFormat="1" ht="11.25" x14ac:dyDescent="0.2">
      <c r="A90" s="679" t="s">
        <v>311</v>
      </c>
      <c r="B90" s="353"/>
      <c r="C90" s="353"/>
      <c r="D90" s="353"/>
      <c r="E90" s="353"/>
      <c r="F90" s="353"/>
      <c r="G90" s="353"/>
      <c r="H90" s="353"/>
      <c r="I90" s="353"/>
      <c r="J90" s="353"/>
      <c r="K90" s="353"/>
      <c r="L90" s="353"/>
      <c r="M90" s="353"/>
      <c r="N90" s="353"/>
      <c r="O90" s="353"/>
      <c r="P90" s="353"/>
      <c r="Q90" s="353"/>
      <c r="R90" s="353"/>
      <c r="S90" s="353"/>
      <c r="T90" s="353"/>
      <c r="U90" s="353"/>
      <c r="V90" s="353"/>
      <c r="W90" s="353"/>
      <c r="X90" s="353"/>
      <c r="Y90" s="353"/>
      <c r="Z90" s="353"/>
      <c r="AA90" s="353"/>
      <c r="AB90" s="353"/>
      <c r="AC90" s="353"/>
      <c r="AD90" s="353"/>
      <c r="AE90" s="353"/>
      <c r="AF90" s="353"/>
      <c r="AG90" s="353"/>
      <c r="AH90" s="353"/>
      <c r="AI90" s="353"/>
      <c r="AJ90" s="353"/>
      <c r="AK90" s="353"/>
      <c r="AL90" s="353"/>
      <c r="AM90" s="353"/>
      <c r="AN90" s="353"/>
      <c r="AO90" s="353"/>
      <c r="AP90" s="353"/>
      <c r="AQ90" s="353"/>
      <c r="AR90" s="353"/>
      <c r="AS90" s="353"/>
      <c r="AT90" s="353"/>
      <c r="AU90" s="353"/>
      <c r="AV90" s="353"/>
      <c r="AW90" s="353"/>
      <c r="AX90" s="353"/>
      <c r="AY90" s="353"/>
      <c r="AZ90" s="353"/>
      <c r="BA90" s="353"/>
      <c r="BB90" s="353"/>
      <c r="BC90" s="353"/>
      <c r="BD90" s="353"/>
      <c r="BE90" s="353"/>
      <c r="BF90" s="353"/>
      <c r="BG90" s="353"/>
      <c r="BH90" s="353"/>
      <c r="BI90" s="353"/>
      <c r="BJ90" s="353"/>
      <c r="BK90" s="353"/>
      <c r="BL90" s="353"/>
      <c r="BM90" s="353"/>
      <c r="BN90" s="353"/>
      <c r="BO90" s="353"/>
      <c r="BP90" s="353"/>
      <c r="BQ90" s="353"/>
      <c r="BR90" s="353"/>
      <c r="BS90" s="353"/>
      <c r="BT90" s="353"/>
      <c r="BU90" s="353"/>
      <c r="BV90" s="353"/>
      <c r="BW90" s="353"/>
      <c r="BX90" s="353"/>
      <c r="BY90" s="353"/>
      <c r="BZ90" s="353"/>
      <c r="CA90" s="353"/>
      <c r="CB90" s="353"/>
      <c r="CC90" s="353"/>
      <c r="CD90" s="353"/>
      <c r="CE90" s="353"/>
      <c r="CF90" s="353"/>
      <c r="CG90" s="353"/>
      <c r="CH90" s="353"/>
      <c r="CI90" s="353"/>
      <c r="CJ90" s="353"/>
      <c r="CK90" s="353"/>
      <c r="CL90" s="353"/>
      <c r="CM90" s="353"/>
    </row>
    <row r="91" spans="1:91" s="25" customFormat="1" ht="11.25" x14ac:dyDescent="0.2">
      <c r="A91" s="25" t="s">
        <v>312</v>
      </c>
      <c r="BM91" s="30">
        <f>-32/BG69</f>
        <v>-8.2623289439710812E-3</v>
      </c>
      <c r="BN91" s="30">
        <f>-32/BH69</f>
        <v>-8.1820506264382517E-3</v>
      </c>
      <c r="BQ91" s="691">
        <f>-32/BK69</f>
        <v>-8.350730688935281E-3</v>
      </c>
      <c r="BR91" s="691">
        <f>-32/BL69</f>
        <v>-8.3095299922098156E-3</v>
      </c>
      <c r="BS91" s="691">
        <v>0</v>
      </c>
      <c r="BT91" s="691">
        <v>0</v>
      </c>
      <c r="BU91" s="30">
        <f>SUMPRODUCT(BQ91:BT91,BK69:BN69)/BO69</f>
        <v>-4.0668488276037361E-3</v>
      </c>
    </row>
    <row r="92" spans="1:91" s="25" customFormat="1" ht="11.25" x14ac:dyDescent="0.2">
      <c r="A92" s="25" t="s">
        <v>313</v>
      </c>
      <c r="BN92" s="691">
        <f>-7/BH69</f>
        <v>-1.7898235745333673E-3</v>
      </c>
      <c r="BQ92" s="691">
        <f>-39/BK69</f>
        <v>-1.0177453027139875E-2</v>
      </c>
      <c r="BR92" s="691">
        <v>0</v>
      </c>
      <c r="BS92" s="691">
        <v>0</v>
      </c>
      <c r="BT92" s="691">
        <v>0</v>
      </c>
      <c r="BU92" s="30">
        <f>SUMPRODUCT(BQ92:BT92,BK69:BN69)/BO69</f>
        <v>-2.478236004321027E-3</v>
      </c>
    </row>
    <row r="93" spans="1:91" s="25" customFormat="1" ht="11.25" x14ac:dyDescent="0.2">
      <c r="A93" s="25" t="s">
        <v>88</v>
      </c>
      <c r="BN93" s="691">
        <f>-7.5/BH69</f>
        <v>-1.9176681155714651E-3</v>
      </c>
    </row>
    <row r="94" spans="1:91" s="25" customFormat="1" ht="11.25" x14ac:dyDescent="0.2">
      <c r="A94" s="25" t="s">
        <v>314</v>
      </c>
      <c r="BK94" s="30">
        <f>BK74-BK91-BK92-BK93</f>
        <v>6.7041817674937373E-2</v>
      </c>
      <c r="BL94" s="30">
        <f>BL74-BL91-BL92-BL93</f>
        <v>5.624768139661758E-2</v>
      </c>
      <c r="BM94" s="30">
        <f>BM74-BM91-BM92-BM93</f>
        <v>4.1592047508391503E-2</v>
      </c>
      <c r="BN94" s="30">
        <f>BN74-BN91-BN92-BN93</f>
        <v>5.7567118384045102E-2</v>
      </c>
      <c r="BO94" s="30">
        <f>SUMPRODUCT(BK94:BN94,BE69:BH69)/BI69</f>
        <v>5.5390968943273333E-2</v>
      </c>
      <c r="BQ94" s="30">
        <f>BQ74-BQ91-BQ92-BQ93</f>
        <v>5.5439718162839172E-2</v>
      </c>
      <c r="BR94" s="30">
        <f t="shared" ref="BR94:BT94" si="140">BR74-BR91-BR92-BR93</f>
        <v>5.6691508699038995E-2</v>
      </c>
      <c r="BS94" s="30">
        <f t="shared" si="140"/>
        <v>5.9885101010101166E-2</v>
      </c>
      <c r="BT94" s="30">
        <f t="shared" si="140"/>
        <v>5.391670737664879E-2</v>
      </c>
      <c r="BU94" s="30">
        <f>SUMPRODUCT(BQ94:BT94,BK69:BN69)/BO69</f>
        <v>5.646845014932958E-2</v>
      </c>
    </row>
    <row r="95" spans="1:91" s="25" customFormat="1" ht="11.25" x14ac:dyDescent="0.2"/>
    <row r="96" spans="1:91" s="25" customFormat="1" ht="11.25" x14ac:dyDescent="0.2">
      <c r="A96" s="23" t="s">
        <v>310</v>
      </c>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4"/>
      <c r="BQ96" s="24"/>
      <c r="BR96" s="24"/>
      <c r="BS96" s="24"/>
      <c r="BT96" s="24"/>
      <c r="BU96" s="24"/>
      <c r="BV96" s="24"/>
      <c r="BW96" s="24"/>
      <c r="BX96" s="24"/>
      <c r="BY96" s="24"/>
      <c r="BZ96" s="24"/>
      <c r="CA96" s="24"/>
      <c r="CB96" s="24"/>
      <c r="CC96" s="24"/>
      <c r="CD96" s="24"/>
      <c r="CE96" s="24"/>
      <c r="CF96" s="24"/>
      <c r="CG96" s="24"/>
      <c r="CH96" s="24"/>
      <c r="CI96" s="24"/>
      <c r="CJ96" s="24"/>
      <c r="CK96" s="24"/>
      <c r="CL96" s="24"/>
      <c r="CM96" s="24"/>
    </row>
    <row r="97" spans="1:84" s="25" customFormat="1" ht="11.25" hidden="1" outlineLevel="1" x14ac:dyDescent="0.2">
      <c r="A97" s="26" t="s">
        <v>4</v>
      </c>
      <c r="BE97" s="27">
        <v>38</v>
      </c>
      <c r="BF97" s="27">
        <v>38</v>
      </c>
      <c r="BG97" s="27">
        <v>39</v>
      </c>
      <c r="BH97" s="27">
        <v>43</v>
      </c>
      <c r="BI97" s="28">
        <f>SUM(BE97:BH97)</f>
        <v>158</v>
      </c>
      <c r="BK97" s="27">
        <v>41</v>
      </c>
      <c r="BL97" s="27">
        <v>42</v>
      </c>
      <c r="BM97" s="27">
        <v>44</v>
      </c>
      <c r="BN97" s="27">
        <v>47</v>
      </c>
      <c r="BO97" s="28">
        <f>SUM(BK97:BN97)</f>
        <v>174</v>
      </c>
      <c r="BQ97" s="27">
        <v>46</v>
      </c>
      <c r="BR97" s="27"/>
      <c r="BS97" s="27"/>
      <c r="BT97" s="27"/>
      <c r="BU97" s="28"/>
      <c r="BW97" s="27"/>
      <c r="BX97" s="27"/>
      <c r="BY97" s="27"/>
      <c r="BZ97" s="27"/>
      <c r="CA97" s="28"/>
      <c r="CC97" s="27"/>
      <c r="CD97" s="27"/>
      <c r="CE97" s="27"/>
      <c r="CF97" s="27"/>
    </row>
    <row r="98" spans="1:84" s="25" customFormat="1" ht="11.25" hidden="1" outlineLevel="1" x14ac:dyDescent="0.2">
      <c r="A98" s="29" t="s">
        <v>5</v>
      </c>
      <c r="BE98" s="30"/>
      <c r="BF98" s="30"/>
      <c r="BG98" s="30"/>
      <c r="BH98" s="30"/>
      <c r="BI98" s="30"/>
      <c r="BK98" s="30">
        <f t="shared" ref="BK98:BN98" si="141">BK97/BE97-1</f>
        <v>7.8947368421052655E-2</v>
      </c>
      <c r="BL98" s="30">
        <f t="shared" si="141"/>
        <v>0.10526315789473695</v>
      </c>
      <c r="BM98" s="30">
        <f t="shared" si="141"/>
        <v>0.12820512820512819</v>
      </c>
      <c r="BN98" s="30">
        <f t="shared" si="141"/>
        <v>9.3023255813953432E-2</v>
      </c>
      <c r="BO98" s="30">
        <f>BO97/BI97-1</f>
        <v>0.10126582278481022</v>
      </c>
      <c r="BQ98" s="30">
        <f t="shared" ref="BQ98" si="142">BQ97/BK97-1</f>
        <v>0.12195121951219523</v>
      </c>
      <c r="BR98" s="30"/>
      <c r="BS98" s="30"/>
      <c r="BT98" s="30"/>
      <c r="BU98" s="30"/>
      <c r="BW98" s="30"/>
      <c r="BX98" s="30"/>
      <c r="BY98" s="30"/>
      <c r="BZ98" s="30"/>
      <c r="CA98" s="30"/>
    </row>
    <row r="99" spans="1:84" s="25" customFormat="1" ht="11.25" collapsed="1" x14ac:dyDescent="0.2"/>
    <row r="100" spans="1:84" s="25" customFormat="1" ht="11.25" x14ac:dyDescent="0.2"/>
    <row r="101" spans="1:84" s="25" customFormat="1" ht="11.25" x14ac:dyDescent="0.2"/>
    <row r="102" spans="1:84" s="25" customFormat="1" ht="11.25" x14ac:dyDescent="0.2"/>
    <row r="103" spans="1:84" s="25" customFormat="1" ht="11.25" x14ac:dyDescent="0.2"/>
    <row r="104" spans="1:84" s="25" customFormat="1" ht="11.25" x14ac:dyDescent="0.2"/>
    <row r="105" spans="1:84" s="25" customFormat="1" ht="11.25" x14ac:dyDescent="0.2"/>
    <row r="106" spans="1:84" s="25" customFormat="1" ht="11.25" x14ac:dyDescent="0.2"/>
    <row r="107" spans="1:84" s="25" customFormat="1" ht="11.25" x14ac:dyDescent="0.2"/>
    <row r="108" spans="1:84" s="25" customFormat="1" ht="11.25" x14ac:dyDescent="0.2"/>
    <row r="109" spans="1:84" s="25" customFormat="1" ht="11.25" x14ac:dyDescent="0.2"/>
    <row r="110" spans="1:84" s="25" customFormat="1" ht="11.25" x14ac:dyDescent="0.2"/>
    <row r="111" spans="1:84" s="25" customFormat="1" ht="11.25" x14ac:dyDescent="0.2"/>
  </sheetData>
  <pageMargins left="0.7" right="0.7" top="0.75" bottom="0.75" header="0.3" footer="0.3"/>
  <pageSetup scale="53"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M91"/>
  <sheetViews>
    <sheetView showGridLines="0" zoomScaleNormal="100" workbookViewId="0">
      <pane xSplit="2" ySplit="6" topLeftCell="C7" activePane="bottomRight" state="frozen"/>
      <selection pane="topRight" activeCell="C1" sqref="C1"/>
      <selection pane="bottomLeft" activeCell="A7" sqref="A7"/>
      <selection pane="bottomRight"/>
    </sheetView>
  </sheetViews>
  <sheetFormatPr defaultRowHeight="12.75" outlineLevelRow="1" outlineLevelCol="1" x14ac:dyDescent="0.2"/>
  <cols>
    <col min="1" max="1" width="25.7109375" style="22" customWidth="1"/>
    <col min="2" max="2" width="0.85546875" style="22" customWidth="1"/>
    <col min="3" max="7" width="8.28515625" style="22" hidden="1" customWidth="1" outlineLevel="1"/>
    <col min="8" max="8" width="0.85546875" style="22" hidden="1" customWidth="1" outlineLevel="1"/>
    <col min="9" max="13" width="8.28515625" style="22" hidden="1" customWidth="1" outlineLevel="1"/>
    <col min="14" max="14" width="0.85546875" style="22" hidden="1" customWidth="1" outlineLevel="1"/>
    <col min="15" max="19" width="8.28515625" style="22" hidden="1" customWidth="1" outlineLevel="1"/>
    <col min="20" max="20" width="0.85546875" style="22" hidden="1" customWidth="1" outlineLevel="1"/>
    <col min="21" max="25" width="8.28515625" style="22" hidden="1" customWidth="1" outlineLevel="1"/>
    <col min="26" max="26" width="0.85546875" style="22" hidden="1" customWidth="1" outlineLevel="1"/>
    <col min="27" max="31" width="8.28515625" style="22" hidden="1" customWidth="1" outlineLevel="1"/>
    <col min="32" max="32" width="0.85546875" style="22" hidden="1" customWidth="1" outlineLevel="1"/>
    <col min="33" max="37" width="8.28515625" style="22" hidden="1" customWidth="1" outlineLevel="1"/>
    <col min="38" max="38" width="0.85546875" style="22" hidden="1" customWidth="1" outlineLevel="1"/>
    <col min="39" max="43" width="8.28515625" style="22" hidden="1" customWidth="1" outlineLevel="1"/>
    <col min="44" max="44" width="0.85546875" style="22" hidden="1" customWidth="1" outlineLevel="1"/>
    <col min="45" max="49" width="8.28515625" style="22" hidden="1" customWidth="1" outlineLevel="1"/>
    <col min="50" max="50" width="0.85546875" style="22" hidden="1" customWidth="1" outlineLevel="1"/>
    <col min="51" max="54" width="8.28515625" style="22" hidden="1" customWidth="1" outlineLevel="1"/>
    <col min="55" max="55" width="8.28515625" style="22" customWidth="1" collapsed="1"/>
    <col min="56" max="56" width="0.85546875" style="22" customWidth="1"/>
    <col min="57" max="60" width="8.28515625" style="22" hidden="1" customWidth="1" outlineLevel="1"/>
    <col min="61" max="61" width="8.28515625" style="22" customWidth="1" collapsed="1"/>
    <col min="62" max="62" width="0.85546875" style="22" customWidth="1"/>
    <col min="63" max="66" width="8.28515625" style="22" hidden="1" customWidth="1" outlineLevel="1"/>
    <col min="67" max="67" width="8.28515625" style="22" customWidth="1" collapsed="1"/>
    <col min="68" max="68" width="0.85546875" style="22" customWidth="1"/>
    <col min="69" max="72" width="8.28515625" style="22" hidden="1" customWidth="1" outlineLevel="1"/>
    <col min="73" max="73" width="8.28515625" style="22" customWidth="1" collapsed="1"/>
    <col min="74" max="74" width="0.85546875" style="22" customWidth="1"/>
    <col min="75" max="78" width="8.28515625" style="22" hidden="1" customWidth="1" outlineLevel="1"/>
    <col min="79" max="79" width="8.28515625" style="22" customWidth="1" collapsed="1"/>
    <col min="80" max="80" width="0.85546875" style="22" customWidth="1"/>
    <col min="81" max="84" width="8.28515625" style="22" hidden="1" customWidth="1" outlineLevel="1"/>
    <col min="85" max="85" width="8.28515625" style="22" customWidth="1" collapsed="1"/>
    <col min="86" max="86" width="0.85546875" style="22" customWidth="1"/>
    <col min="87" max="90" width="8.28515625" style="22" hidden="1" customWidth="1" outlineLevel="1"/>
    <col min="91" max="91" width="8.28515625" style="22" customWidth="1" collapsed="1"/>
    <col min="92" max="256" width="9.140625" style="22"/>
    <col min="257" max="257" width="25.7109375" style="22" customWidth="1"/>
    <col min="258" max="258" width="0.85546875" style="22" customWidth="1"/>
    <col min="259" max="263" width="8.28515625" style="22" customWidth="1"/>
    <col min="264" max="264" width="0.85546875" style="22" customWidth="1"/>
    <col min="265" max="269" width="8.28515625" style="22" customWidth="1"/>
    <col min="270" max="270" width="0.85546875" style="22" customWidth="1"/>
    <col min="271" max="275" width="8.28515625" style="22" customWidth="1"/>
    <col min="276" max="276" width="0.85546875" style="22" customWidth="1"/>
    <col min="277" max="281" width="8.28515625" style="22" customWidth="1"/>
    <col min="282" max="282" width="0.85546875" style="22" customWidth="1"/>
    <col min="283" max="287" width="8.28515625" style="22" customWidth="1"/>
    <col min="288" max="288" width="0.85546875" style="22" customWidth="1"/>
    <col min="289" max="293" width="8.28515625" style="22" customWidth="1"/>
    <col min="294" max="294" width="0.85546875" style="22" customWidth="1"/>
    <col min="295" max="299" width="8.28515625" style="22" customWidth="1"/>
    <col min="300" max="300" width="0.85546875" style="22" customWidth="1"/>
    <col min="301" max="305" width="8.28515625" style="22" customWidth="1"/>
    <col min="306" max="306" width="0.85546875" style="22" customWidth="1"/>
    <col min="307" max="311" width="8.28515625" style="22" customWidth="1"/>
    <col min="312" max="312" width="0.85546875" style="22" customWidth="1"/>
    <col min="313" max="317" width="8.28515625" style="22" customWidth="1"/>
    <col min="318" max="318" width="0.85546875" style="22" customWidth="1"/>
    <col min="319" max="323" width="8.28515625" style="22" customWidth="1"/>
    <col min="324" max="324" width="0.85546875" style="22" customWidth="1"/>
    <col min="325" max="329" width="8.28515625" style="22" customWidth="1"/>
    <col min="330" max="330" width="0.85546875" style="22" customWidth="1"/>
    <col min="331" max="335" width="8.28515625" style="22" customWidth="1"/>
    <col min="336" max="336" width="0.85546875" style="22" customWidth="1"/>
    <col min="337" max="341" width="8.28515625" style="22" customWidth="1"/>
    <col min="342" max="342" width="0.85546875" style="22" customWidth="1"/>
    <col min="343" max="347" width="8.28515625" style="22" customWidth="1"/>
    <col min="348" max="512" width="9.140625" style="22"/>
    <col min="513" max="513" width="25.7109375" style="22" customWidth="1"/>
    <col min="514" max="514" width="0.85546875" style="22" customWidth="1"/>
    <col min="515" max="519" width="8.28515625" style="22" customWidth="1"/>
    <col min="520" max="520" width="0.85546875" style="22" customWidth="1"/>
    <col min="521" max="525" width="8.28515625" style="22" customWidth="1"/>
    <col min="526" max="526" width="0.85546875" style="22" customWidth="1"/>
    <col min="527" max="531" width="8.28515625" style="22" customWidth="1"/>
    <col min="532" max="532" width="0.85546875" style="22" customWidth="1"/>
    <col min="533" max="537" width="8.28515625" style="22" customWidth="1"/>
    <col min="538" max="538" width="0.85546875" style="22" customWidth="1"/>
    <col min="539" max="543" width="8.28515625" style="22" customWidth="1"/>
    <col min="544" max="544" width="0.85546875" style="22" customWidth="1"/>
    <col min="545" max="549" width="8.28515625" style="22" customWidth="1"/>
    <col min="550" max="550" width="0.85546875" style="22" customWidth="1"/>
    <col min="551" max="555" width="8.28515625" style="22" customWidth="1"/>
    <col min="556" max="556" width="0.85546875" style="22" customWidth="1"/>
    <col min="557" max="561" width="8.28515625" style="22" customWidth="1"/>
    <col min="562" max="562" width="0.85546875" style="22" customWidth="1"/>
    <col min="563" max="567" width="8.28515625" style="22" customWidth="1"/>
    <col min="568" max="568" width="0.85546875" style="22" customWidth="1"/>
    <col min="569" max="573" width="8.28515625" style="22" customWidth="1"/>
    <col min="574" max="574" width="0.85546875" style="22" customWidth="1"/>
    <col min="575" max="579" width="8.28515625" style="22" customWidth="1"/>
    <col min="580" max="580" width="0.85546875" style="22" customWidth="1"/>
    <col min="581" max="585" width="8.28515625" style="22" customWidth="1"/>
    <col min="586" max="586" width="0.85546875" style="22" customWidth="1"/>
    <col min="587" max="591" width="8.28515625" style="22" customWidth="1"/>
    <col min="592" max="592" width="0.85546875" style="22" customWidth="1"/>
    <col min="593" max="597" width="8.28515625" style="22" customWidth="1"/>
    <col min="598" max="598" width="0.85546875" style="22" customWidth="1"/>
    <col min="599" max="603" width="8.28515625" style="22" customWidth="1"/>
    <col min="604" max="768" width="9.140625" style="22"/>
    <col min="769" max="769" width="25.7109375" style="22" customWidth="1"/>
    <col min="770" max="770" width="0.85546875" style="22" customWidth="1"/>
    <col min="771" max="775" width="8.28515625" style="22" customWidth="1"/>
    <col min="776" max="776" width="0.85546875" style="22" customWidth="1"/>
    <col min="777" max="781" width="8.28515625" style="22" customWidth="1"/>
    <col min="782" max="782" width="0.85546875" style="22" customWidth="1"/>
    <col min="783" max="787" width="8.28515625" style="22" customWidth="1"/>
    <col min="788" max="788" width="0.85546875" style="22" customWidth="1"/>
    <col min="789" max="793" width="8.28515625" style="22" customWidth="1"/>
    <col min="794" max="794" width="0.85546875" style="22" customWidth="1"/>
    <col min="795" max="799" width="8.28515625" style="22" customWidth="1"/>
    <col min="800" max="800" width="0.85546875" style="22" customWidth="1"/>
    <col min="801" max="805" width="8.28515625" style="22" customWidth="1"/>
    <col min="806" max="806" width="0.85546875" style="22" customWidth="1"/>
    <col min="807" max="811" width="8.28515625" style="22" customWidth="1"/>
    <col min="812" max="812" width="0.85546875" style="22" customWidth="1"/>
    <col min="813" max="817" width="8.28515625" style="22" customWidth="1"/>
    <col min="818" max="818" width="0.85546875" style="22" customWidth="1"/>
    <col min="819" max="823" width="8.28515625" style="22" customWidth="1"/>
    <col min="824" max="824" width="0.85546875" style="22" customWidth="1"/>
    <col min="825" max="829" width="8.28515625" style="22" customWidth="1"/>
    <col min="830" max="830" width="0.85546875" style="22" customWidth="1"/>
    <col min="831" max="835" width="8.28515625" style="22" customWidth="1"/>
    <col min="836" max="836" width="0.85546875" style="22" customWidth="1"/>
    <col min="837" max="841" width="8.28515625" style="22" customWidth="1"/>
    <col min="842" max="842" width="0.85546875" style="22" customWidth="1"/>
    <col min="843" max="847" width="8.28515625" style="22" customWidth="1"/>
    <col min="848" max="848" width="0.85546875" style="22" customWidth="1"/>
    <col min="849" max="853" width="8.28515625" style="22" customWidth="1"/>
    <col min="854" max="854" width="0.85546875" style="22" customWidth="1"/>
    <col min="855" max="859" width="8.28515625" style="22" customWidth="1"/>
    <col min="860" max="1024" width="9.140625" style="22"/>
    <col min="1025" max="1025" width="25.7109375" style="22" customWidth="1"/>
    <col min="1026" max="1026" width="0.85546875" style="22" customWidth="1"/>
    <col min="1027" max="1031" width="8.28515625" style="22" customWidth="1"/>
    <col min="1032" max="1032" width="0.85546875" style="22" customWidth="1"/>
    <col min="1033" max="1037" width="8.28515625" style="22" customWidth="1"/>
    <col min="1038" max="1038" width="0.85546875" style="22" customWidth="1"/>
    <col min="1039" max="1043" width="8.28515625" style="22" customWidth="1"/>
    <col min="1044" max="1044" width="0.85546875" style="22" customWidth="1"/>
    <col min="1045" max="1049" width="8.28515625" style="22" customWidth="1"/>
    <col min="1050" max="1050" width="0.85546875" style="22" customWidth="1"/>
    <col min="1051" max="1055" width="8.28515625" style="22" customWidth="1"/>
    <col min="1056" max="1056" width="0.85546875" style="22" customWidth="1"/>
    <col min="1057" max="1061" width="8.28515625" style="22" customWidth="1"/>
    <col min="1062" max="1062" width="0.85546875" style="22" customWidth="1"/>
    <col min="1063" max="1067" width="8.28515625" style="22" customWidth="1"/>
    <col min="1068" max="1068" width="0.85546875" style="22" customWidth="1"/>
    <col min="1069" max="1073" width="8.28515625" style="22" customWidth="1"/>
    <col min="1074" max="1074" width="0.85546875" style="22" customWidth="1"/>
    <col min="1075" max="1079" width="8.28515625" style="22" customWidth="1"/>
    <col min="1080" max="1080" width="0.85546875" style="22" customWidth="1"/>
    <col min="1081" max="1085" width="8.28515625" style="22" customWidth="1"/>
    <col min="1086" max="1086" width="0.85546875" style="22" customWidth="1"/>
    <col min="1087" max="1091" width="8.28515625" style="22" customWidth="1"/>
    <col min="1092" max="1092" width="0.85546875" style="22" customWidth="1"/>
    <col min="1093" max="1097" width="8.28515625" style="22" customWidth="1"/>
    <col min="1098" max="1098" width="0.85546875" style="22" customWidth="1"/>
    <col min="1099" max="1103" width="8.28515625" style="22" customWidth="1"/>
    <col min="1104" max="1104" width="0.85546875" style="22" customWidth="1"/>
    <col min="1105" max="1109" width="8.28515625" style="22" customWidth="1"/>
    <col min="1110" max="1110" width="0.85546875" style="22" customWidth="1"/>
    <col min="1111" max="1115" width="8.28515625" style="22" customWidth="1"/>
    <col min="1116" max="1280" width="9.140625" style="22"/>
    <col min="1281" max="1281" width="25.7109375" style="22" customWidth="1"/>
    <col min="1282" max="1282" width="0.85546875" style="22" customWidth="1"/>
    <col min="1283" max="1287" width="8.28515625" style="22" customWidth="1"/>
    <col min="1288" max="1288" width="0.85546875" style="22" customWidth="1"/>
    <col min="1289" max="1293" width="8.28515625" style="22" customWidth="1"/>
    <col min="1294" max="1294" width="0.85546875" style="22" customWidth="1"/>
    <col min="1295" max="1299" width="8.28515625" style="22" customWidth="1"/>
    <col min="1300" max="1300" width="0.85546875" style="22" customWidth="1"/>
    <col min="1301" max="1305" width="8.28515625" style="22" customWidth="1"/>
    <col min="1306" max="1306" width="0.85546875" style="22" customWidth="1"/>
    <col min="1307" max="1311" width="8.28515625" style="22" customWidth="1"/>
    <col min="1312" max="1312" width="0.85546875" style="22" customWidth="1"/>
    <col min="1313" max="1317" width="8.28515625" style="22" customWidth="1"/>
    <col min="1318" max="1318" width="0.85546875" style="22" customWidth="1"/>
    <col min="1319" max="1323" width="8.28515625" style="22" customWidth="1"/>
    <col min="1324" max="1324" width="0.85546875" style="22" customWidth="1"/>
    <col min="1325" max="1329" width="8.28515625" style="22" customWidth="1"/>
    <col min="1330" max="1330" width="0.85546875" style="22" customWidth="1"/>
    <col min="1331" max="1335" width="8.28515625" style="22" customWidth="1"/>
    <col min="1336" max="1336" width="0.85546875" style="22" customWidth="1"/>
    <col min="1337" max="1341" width="8.28515625" style="22" customWidth="1"/>
    <col min="1342" max="1342" width="0.85546875" style="22" customWidth="1"/>
    <col min="1343" max="1347" width="8.28515625" style="22" customWidth="1"/>
    <col min="1348" max="1348" width="0.85546875" style="22" customWidth="1"/>
    <col min="1349" max="1353" width="8.28515625" style="22" customWidth="1"/>
    <col min="1354" max="1354" width="0.85546875" style="22" customWidth="1"/>
    <col min="1355" max="1359" width="8.28515625" style="22" customWidth="1"/>
    <col min="1360" max="1360" width="0.85546875" style="22" customWidth="1"/>
    <col min="1361" max="1365" width="8.28515625" style="22" customWidth="1"/>
    <col min="1366" max="1366" width="0.85546875" style="22" customWidth="1"/>
    <col min="1367" max="1371" width="8.28515625" style="22" customWidth="1"/>
    <col min="1372" max="1536" width="9.140625" style="22"/>
    <col min="1537" max="1537" width="25.7109375" style="22" customWidth="1"/>
    <col min="1538" max="1538" width="0.85546875" style="22" customWidth="1"/>
    <col min="1539" max="1543" width="8.28515625" style="22" customWidth="1"/>
    <col min="1544" max="1544" width="0.85546875" style="22" customWidth="1"/>
    <col min="1545" max="1549" width="8.28515625" style="22" customWidth="1"/>
    <col min="1550" max="1550" width="0.85546875" style="22" customWidth="1"/>
    <col min="1551" max="1555" width="8.28515625" style="22" customWidth="1"/>
    <col min="1556" max="1556" width="0.85546875" style="22" customWidth="1"/>
    <col min="1557" max="1561" width="8.28515625" style="22" customWidth="1"/>
    <col min="1562" max="1562" width="0.85546875" style="22" customWidth="1"/>
    <col min="1563" max="1567" width="8.28515625" style="22" customWidth="1"/>
    <col min="1568" max="1568" width="0.85546875" style="22" customWidth="1"/>
    <col min="1569" max="1573" width="8.28515625" style="22" customWidth="1"/>
    <col min="1574" max="1574" width="0.85546875" style="22" customWidth="1"/>
    <col min="1575" max="1579" width="8.28515625" style="22" customWidth="1"/>
    <col min="1580" max="1580" width="0.85546875" style="22" customWidth="1"/>
    <col min="1581" max="1585" width="8.28515625" style="22" customWidth="1"/>
    <col min="1586" max="1586" width="0.85546875" style="22" customWidth="1"/>
    <col min="1587" max="1591" width="8.28515625" style="22" customWidth="1"/>
    <col min="1592" max="1592" width="0.85546875" style="22" customWidth="1"/>
    <col min="1593" max="1597" width="8.28515625" style="22" customWidth="1"/>
    <col min="1598" max="1598" width="0.85546875" style="22" customWidth="1"/>
    <col min="1599" max="1603" width="8.28515625" style="22" customWidth="1"/>
    <col min="1604" max="1604" width="0.85546875" style="22" customWidth="1"/>
    <col min="1605" max="1609" width="8.28515625" style="22" customWidth="1"/>
    <col min="1610" max="1610" width="0.85546875" style="22" customWidth="1"/>
    <col min="1611" max="1615" width="8.28515625" style="22" customWidth="1"/>
    <col min="1616" max="1616" width="0.85546875" style="22" customWidth="1"/>
    <col min="1617" max="1621" width="8.28515625" style="22" customWidth="1"/>
    <col min="1622" max="1622" width="0.85546875" style="22" customWidth="1"/>
    <col min="1623" max="1627" width="8.28515625" style="22" customWidth="1"/>
    <col min="1628" max="1792" width="9.140625" style="22"/>
    <col min="1793" max="1793" width="25.7109375" style="22" customWidth="1"/>
    <col min="1794" max="1794" width="0.85546875" style="22" customWidth="1"/>
    <col min="1795" max="1799" width="8.28515625" style="22" customWidth="1"/>
    <col min="1800" max="1800" width="0.85546875" style="22" customWidth="1"/>
    <col min="1801" max="1805" width="8.28515625" style="22" customWidth="1"/>
    <col min="1806" max="1806" width="0.85546875" style="22" customWidth="1"/>
    <col min="1807" max="1811" width="8.28515625" style="22" customWidth="1"/>
    <col min="1812" max="1812" width="0.85546875" style="22" customWidth="1"/>
    <col min="1813" max="1817" width="8.28515625" style="22" customWidth="1"/>
    <col min="1818" max="1818" width="0.85546875" style="22" customWidth="1"/>
    <col min="1819" max="1823" width="8.28515625" style="22" customWidth="1"/>
    <col min="1824" max="1824" width="0.85546875" style="22" customWidth="1"/>
    <col min="1825" max="1829" width="8.28515625" style="22" customWidth="1"/>
    <col min="1830" max="1830" width="0.85546875" style="22" customWidth="1"/>
    <col min="1831" max="1835" width="8.28515625" style="22" customWidth="1"/>
    <col min="1836" max="1836" width="0.85546875" style="22" customWidth="1"/>
    <col min="1837" max="1841" width="8.28515625" style="22" customWidth="1"/>
    <col min="1842" max="1842" width="0.85546875" style="22" customWidth="1"/>
    <col min="1843" max="1847" width="8.28515625" style="22" customWidth="1"/>
    <col min="1848" max="1848" width="0.85546875" style="22" customWidth="1"/>
    <col min="1849" max="1853" width="8.28515625" style="22" customWidth="1"/>
    <col min="1854" max="1854" width="0.85546875" style="22" customWidth="1"/>
    <col min="1855" max="1859" width="8.28515625" style="22" customWidth="1"/>
    <col min="1860" max="1860" width="0.85546875" style="22" customWidth="1"/>
    <col min="1861" max="1865" width="8.28515625" style="22" customWidth="1"/>
    <col min="1866" max="1866" width="0.85546875" style="22" customWidth="1"/>
    <col min="1867" max="1871" width="8.28515625" style="22" customWidth="1"/>
    <col min="1872" max="1872" width="0.85546875" style="22" customWidth="1"/>
    <col min="1873" max="1877" width="8.28515625" style="22" customWidth="1"/>
    <col min="1878" max="1878" width="0.85546875" style="22" customWidth="1"/>
    <col min="1879" max="1883" width="8.28515625" style="22" customWidth="1"/>
    <col min="1884" max="2048" width="9.140625" style="22"/>
    <col min="2049" max="2049" width="25.7109375" style="22" customWidth="1"/>
    <col min="2050" max="2050" width="0.85546875" style="22" customWidth="1"/>
    <col min="2051" max="2055" width="8.28515625" style="22" customWidth="1"/>
    <col min="2056" max="2056" width="0.85546875" style="22" customWidth="1"/>
    <col min="2057" max="2061" width="8.28515625" style="22" customWidth="1"/>
    <col min="2062" max="2062" width="0.85546875" style="22" customWidth="1"/>
    <col min="2063" max="2067" width="8.28515625" style="22" customWidth="1"/>
    <col min="2068" max="2068" width="0.85546875" style="22" customWidth="1"/>
    <col min="2069" max="2073" width="8.28515625" style="22" customWidth="1"/>
    <col min="2074" max="2074" width="0.85546875" style="22" customWidth="1"/>
    <col min="2075" max="2079" width="8.28515625" style="22" customWidth="1"/>
    <col min="2080" max="2080" width="0.85546875" style="22" customWidth="1"/>
    <col min="2081" max="2085" width="8.28515625" style="22" customWidth="1"/>
    <col min="2086" max="2086" width="0.85546875" style="22" customWidth="1"/>
    <col min="2087" max="2091" width="8.28515625" style="22" customWidth="1"/>
    <col min="2092" max="2092" width="0.85546875" style="22" customWidth="1"/>
    <col min="2093" max="2097" width="8.28515625" style="22" customWidth="1"/>
    <col min="2098" max="2098" width="0.85546875" style="22" customWidth="1"/>
    <col min="2099" max="2103" width="8.28515625" style="22" customWidth="1"/>
    <col min="2104" max="2104" width="0.85546875" style="22" customWidth="1"/>
    <col min="2105" max="2109" width="8.28515625" style="22" customWidth="1"/>
    <col min="2110" max="2110" width="0.85546875" style="22" customWidth="1"/>
    <col min="2111" max="2115" width="8.28515625" style="22" customWidth="1"/>
    <col min="2116" max="2116" width="0.85546875" style="22" customWidth="1"/>
    <col min="2117" max="2121" width="8.28515625" style="22" customWidth="1"/>
    <col min="2122" max="2122" width="0.85546875" style="22" customWidth="1"/>
    <col min="2123" max="2127" width="8.28515625" style="22" customWidth="1"/>
    <col min="2128" max="2128" width="0.85546875" style="22" customWidth="1"/>
    <col min="2129" max="2133" width="8.28515625" style="22" customWidth="1"/>
    <col min="2134" max="2134" width="0.85546875" style="22" customWidth="1"/>
    <col min="2135" max="2139" width="8.28515625" style="22" customWidth="1"/>
    <col min="2140" max="2304" width="9.140625" style="22"/>
    <col min="2305" max="2305" width="25.7109375" style="22" customWidth="1"/>
    <col min="2306" max="2306" width="0.85546875" style="22" customWidth="1"/>
    <col min="2307" max="2311" width="8.28515625" style="22" customWidth="1"/>
    <col min="2312" max="2312" width="0.85546875" style="22" customWidth="1"/>
    <col min="2313" max="2317" width="8.28515625" style="22" customWidth="1"/>
    <col min="2318" max="2318" width="0.85546875" style="22" customWidth="1"/>
    <col min="2319" max="2323" width="8.28515625" style="22" customWidth="1"/>
    <col min="2324" max="2324" width="0.85546875" style="22" customWidth="1"/>
    <col min="2325" max="2329" width="8.28515625" style="22" customWidth="1"/>
    <col min="2330" max="2330" width="0.85546875" style="22" customWidth="1"/>
    <col min="2331" max="2335" width="8.28515625" style="22" customWidth="1"/>
    <col min="2336" max="2336" width="0.85546875" style="22" customWidth="1"/>
    <col min="2337" max="2341" width="8.28515625" style="22" customWidth="1"/>
    <col min="2342" max="2342" width="0.85546875" style="22" customWidth="1"/>
    <col min="2343" max="2347" width="8.28515625" style="22" customWidth="1"/>
    <col min="2348" max="2348" width="0.85546875" style="22" customWidth="1"/>
    <col min="2349" max="2353" width="8.28515625" style="22" customWidth="1"/>
    <col min="2354" max="2354" width="0.85546875" style="22" customWidth="1"/>
    <col min="2355" max="2359" width="8.28515625" style="22" customWidth="1"/>
    <col min="2360" max="2360" width="0.85546875" style="22" customWidth="1"/>
    <col min="2361" max="2365" width="8.28515625" style="22" customWidth="1"/>
    <col min="2366" max="2366" width="0.85546875" style="22" customWidth="1"/>
    <col min="2367" max="2371" width="8.28515625" style="22" customWidth="1"/>
    <col min="2372" max="2372" width="0.85546875" style="22" customWidth="1"/>
    <col min="2373" max="2377" width="8.28515625" style="22" customWidth="1"/>
    <col min="2378" max="2378" width="0.85546875" style="22" customWidth="1"/>
    <col min="2379" max="2383" width="8.28515625" style="22" customWidth="1"/>
    <col min="2384" max="2384" width="0.85546875" style="22" customWidth="1"/>
    <col min="2385" max="2389" width="8.28515625" style="22" customWidth="1"/>
    <col min="2390" max="2390" width="0.85546875" style="22" customWidth="1"/>
    <col min="2391" max="2395" width="8.28515625" style="22" customWidth="1"/>
    <col min="2396" max="2560" width="9.140625" style="22"/>
    <col min="2561" max="2561" width="25.7109375" style="22" customWidth="1"/>
    <col min="2562" max="2562" width="0.85546875" style="22" customWidth="1"/>
    <col min="2563" max="2567" width="8.28515625" style="22" customWidth="1"/>
    <col min="2568" max="2568" width="0.85546875" style="22" customWidth="1"/>
    <col min="2569" max="2573" width="8.28515625" style="22" customWidth="1"/>
    <col min="2574" max="2574" width="0.85546875" style="22" customWidth="1"/>
    <col min="2575" max="2579" width="8.28515625" style="22" customWidth="1"/>
    <col min="2580" max="2580" width="0.85546875" style="22" customWidth="1"/>
    <col min="2581" max="2585" width="8.28515625" style="22" customWidth="1"/>
    <col min="2586" max="2586" width="0.85546875" style="22" customWidth="1"/>
    <col min="2587" max="2591" width="8.28515625" style="22" customWidth="1"/>
    <col min="2592" max="2592" width="0.85546875" style="22" customWidth="1"/>
    <col min="2593" max="2597" width="8.28515625" style="22" customWidth="1"/>
    <col min="2598" max="2598" width="0.85546875" style="22" customWidth="1"/>
    <col min="2599" max="2603" width="8.28515625" style="22" customWidth="1"/>
    <col min="2604" max="2604" width="0.85546875" style="22" customWidth="1"/>
    <col min="2605" max="2609" width="8.28515625" style="22" customWidth="1"/>
    <col min="2610" max="2610" width="0.85546875" style="22" customWidth="1"/>
    <col min="2611" max="2615" width="8.28515625" style="22" customWidth="1"/>
    <col min="2616" max="2616" width="0.85546875" style="22" customWidth="1"/>
    <col min="2617" max="2621" width="8.28515625" style="22" customWidth="1"/>
    <col min="2622" max="2622" width="0.85546875" style="22" customWidth="1"/>
    <col min="2623" max="2627" width="8.28515625" style="22" customWidth="1"/>
    <col min="2628" max="2628" width="0.85546875" style="22" customWidth="1"/>
    <col min="2629" max="2633" width="8.28515625" style="22" customWidth="1"/>
    <col min="2634" max="2634" width="0.85546875" style="22" customWidth="1"/>
    <col min="2635" max="2639" width="8.28515625" style="22" customWidth="1"/>
    <col min="2640" max="2640" width="0.85546875" style="22" customWidth="1"/>
    <col min="2641" max="2645" width="8.28515625" style="22" customWidth="1"/>
    <col min="2646" max="2646" width="0.85546875" style="22" customWidth="1"/>
    <col min="2647" max="2651" width="8.28515625" style="22" customWidth="1"/>
    <col min="2652" max="2816" width="9.140625" style="22"/>
    <col min="2817" max="2817" width="25.7109375" style="22" customWidth="1"/>
    <col min="2818" max="2818" width="0.85546875" style="22" customWidth="1"/>
    <col min="2819" max="2823" width="8.28515625" style="22" customWidth="1"/>
    <col min="2824" max="2824" width="0.85546875" style="22" customWidth="1"/>
    <col min="2825" max="2829" width="8.28515625" style="22" customWidth="1"/>
    <col min="2830" max="2830" width="0.85546875" style="22" customWidth="1"/>
    <col min="2831" max="2835" width="8.28515625" style="22" customWidth="1"/>
    <col min="2836" max="2836" width="0.85546875" style="22" customWidth="1"/>
    <col min="2837" max="2841" width="8.28515625" style="22" customWidth="1"/>
    <col min="2842" max="2842" width="0.85546875" style="22" customWidth="1"/>
    <col min="2843" max="2847" width="8.28515625" style="22" customWidth="1"/>
    <col min="2848" max="2848" width="0.85546875" style="22" customWidth="1"/>
    <col min="2849" max="2853" width="8.28515625" style="22" customWidth="1"/>
    <col min="2854" max="2854" width="0.85546875" style="22" customWidth="1"/>
    <col min="2855" max="2859" width="8.28515625" style="22" customWidth="1"/>
    <col min="2860" max="2860" width="0.85546875" style="22" customWidth="1"/>
    <col min="2861" max="2865" width="8.28515625" style="22" customWidth="1"/>
    <col min="2866" max="2866" width="0.85546875" style="22" customWidth="1"/>
    <col min="2867" max="2871" width="8.28515625" style="22" customWidth="1"/>
    <col min="2872" max="2872" width="0.85546875" style="22" customWidth="1"/>
    <col min="2873" max="2877" width="8.28515625" style="22" customWidth="1"/>
    <col min="2878" max="2878" width="0.85546875" style="22" customWidth="1"/>
    <col min="2879" max="2883" width="8.28515625" style="22" customWidth="1"/>
    <col min="2884" max="2884" width="0.85546875" style="22" customWidth="1"/>
    <col min="2885" max="2889" width="8.28515625" style="22" customWidth="1"/>
    <col min="2890" max="2890" width="0.85546875" style="22" customWidth="1"/>
    <col min="2891" max="2895" width="8.28515625" style="22" customWidth="1"/>
    <col min="2896" max="2896" width="0.85546875" style="22" customWidth="1"/>
    <col min="2897" max="2901" width="8.28515625" style="22" customWidth="1"/>
    <col min="2902" max="2902" width="0.85546875" style="22" customWidth="1"/>
    <col min="2903" max="2907" width="8.28515625" style="22" customWidth="1"/>
    <col min="2908" max="3072" width="9.140625" style="22"/>
    <col min="3073" max="3073" width="25.7109375" style="22" customWidth="1"/>
    <col min="3074" max="3074" width="0.85546875" style="22" customWidth="1"/>
    <col min="3075" max="3079" width="8.28515625" style="22" customWidth="1"/>
    <col min="3080" max="3080" width="0.85546875" style="22" customWidth="1"/>
    <col min="3081" max="3085" width="8.28515625" style="22" customWidth="1"/>
    <col min="3086" max="3086" width="0.85546875" style="22" customWidth="1"/>
    <col min="3087" max="3091" width="8.28515625" style="22" customWidth="1"/>
    <col min="3092" max="3092" width="0.85546875" style="22" customWidth="1"/>
    <col min="3093" max="3097" width="8.28515625" style="22" customWidth="1"/>
    <col min="3098" max="3098" width="0.85546875" style="22" customWidth="1"/>
    <col min="3099" max="3103" width="8.28515625" style="22" customWidth="1"/>
    <col min="3104" max="3104" width="0.85546875" style="22" customWidth="1"/>
    <col min="3105" max="3109" width="8.28515625" style="22" customWidth="1"/>
    <col min="3110" max="3110" width="0.85546875" style="22" customWidth="1"/>
    <col min="3111" max="3115" width="8.28515625" style="22" customWidth="1"/>
    <col min="3116" max="3116" width="0.85546875" style="22" customWidth="1"/>
    <col min="3117" max="3121" width="8.28515625" style="22" customWidth="1"/>
    <col min="3122" max="3122" width="0.85546875" style="22" customWidth="1"/>
    <col min="3123" max="3127" width="8.28515625" style="22" customWidth="1"/>
    <col min="3128" max="3128" width="0.85546875" style="22" customWidth="1"/>
    <col min="3129" max="3133" width="8.28515625" style="22" customWidth="1"/>
    <col min="3134" max="3134" width="0.85546875" style="22" customWidth="1"/>
    <col min="3135" max="3139" width="8.28515625" style="22" customWidth="1"/>
    <col min="3140" max="3140" width="0.85546875" style="22" customWidth="1"/>
    <col min="3141" max="3145" width="8.28515625" style="22" customWidth="1"/>
    <col min="3146" max="3146" width="0.85546875" style="22" customWidth="1"/>
    <col min="3147" max="3151" width="8.28515625" style="22" customWidth="1"/>
    <col min="3152" max="3152" width="0.85546875" style="22" customWidth="1"/>
    <col min="3153" max="3157" width="8.28515625" style="22" customWidth="1"/>
    <col min="3158" max="3158" width="0.85546875" style="22" customWidth="1"/>
    <col min="3159" max="3163" width="8.28515625" style="22" customWidth="1"/>
    <col min="3164" max="3328" width="9.140625" style="22"/>
    <col min="3329" max="3329" width="25.7109375" style="22" customWidth="1"/>
    <col min="3330" max="3330" width="0.85546875" style="22" customWidth="1"/>
    <col min="3331" max="3335" width="8.28515625" style="22" customWidth="1"/>
    <col min="3336" max="3336" width="0.85546875" style="22" customWidth="1"/>
    <col min="3337" max="3341" width="8.28515625" style="22" customWidth="1"/>
    <col min="3342" max="3342" width="0.85546875" style="22" customWidth="1"/>
    <col min="3343" max="3347" width="8.28515625" style="22" customWidth="1"/>
    <col min="3348" max="3348" width="0.85546875" style="22" customWidth="1"/>
    <col min="3349" max="3353" width="8.28515625" style="22" customWidth="1"/>
    <col min="3354" max="3354" width="0.85546875" style="22" customWidth="1"/>
    <col min="3355" max="3359" width="8.28515625" style="22" customWidth="1"/>
    <col min="3360" max="3360" width="0.85546875" style="22" customWidth="1"/>
    <col min="3361" max="3365" width="8.28515625" style="22" customWidth="1"/>
    <col min="3366" max="3366" width="0.85546875" style="22" customWidth="1"/>
    <col min="3367" max="3371" width="8.28515625" style="22" customWidth="1"/>
    <col min="3372" max="3372" width="0.85546875" style="22" customWidth="1"/>
    <col min="3373" max="3377" width="8.28515625" style="22" customWidth="1"/>
    <col min="3378" max="3378" width="0.85546875" style="22" customWidth="1"/>
    <col min="3379" max="3383" width="8.28515625" style="22" customWidth="1"/>
    <col min="3384" max="3384" width="0.85546875" style="22" customWidth="1"/>
    <col min="3385" max="3389" width="8.28515625" style="22" customWidth="1"/>
    <col min="3390" max="3390" width="0.85546875" style="22" customWidth="1"/>
    <col min="3391" max="3395" width="8.28515625" style="22" customWidth="1"/>
    <col min="3396" max="3396" width="0.85546875" style="22" customWidth="1"/>
    <col min="3397" max="3401" width="8.28515625" style="22" customWidth="1"/>
    <col min="3402" max="3402" width="0.85546875" style="22" customWidth="1"/>
    <col min="3403" max="3407" width="8.28515625" style="22" customWidth="1"/>
    <col min="3408" max="3408" width="0.85546875" style="22" customWidth="1"/>
    <col min="3409" max="3413" width="8.28515625" style="22" customWidth="1"/>
    <col min="3414" max="3414" width="0.85546875" style="22" customWidth="1"/>
    <col min="3415" max="3419" width="8.28515625" style="22" customWidth="1"/>
    <col min="3420" max="3584" width="9.140625" style="22"/>
    <col min="3585" max="3585" width="25.7109375" style="22" customWidth="1"/>
    <col min="3586" max="3586" width="0.85546875" style="22" customWidth="1"/>
    <col min="3587" max="3591" width="8.28515625" style="22" customWidth="1"/>
    <col min="3592" max="3592" width="0.85546875" style="22" customWidth="1"/>
    <col min="3593" max="3597" width="8.28515625" style="22" customWidth="1"/>
    <col min="3598" max="3598" width="0.85546875" style="22" customWidth="1"/>
    <col min="3599" max="3603" width="8.28515625" style="22" customWidth="1"/>
    <col min="3604" max="3604" width="0.85546875" style="22" customWidth="1"/>
    <col min="3605" max="3609" width="8.28515625" style="22" customWidth="1"/>
    <col min="3610" max="3610" width="0.85546875" style="22" customWidth="1"/>
    <col min="3611" max="3615" width="8.28515625" style="22" customWidth="1"/>
    <col min="3616" max="3616" width="0.85546875" style="22" customWidth="1"/>
    <col min="3617" max="3621" width="8.28515625" style="22" customWidth="1"/>
    <col min="3622" max="3622" width="0.85546875" style="22" customWidth="1"/>
    <col min="3623" max="3627" width="8.28515625" style="22" customWidth="1"/>
    <col min="3628" max="3628" width="0.85546875" style="22" customWidth="1"/>
    <col min="3629" max="3633" width="8.28515625" style="22" customWidth="1"/>
    <col min="3634" max="3634" width="0.85546875" style="22" customWidth="1"/>
    <col min="3635" max="3639" width="8.28515625" style="22" customWidth="1"/>
    <col min="3640" max="3640" width="0.85546875" style="22" customWidth="1"/>
    <col min="3641" max="3645" width="8.28515625" style="22" customWidth="1"/>
    <col min="3646" max="3646" width="0.85546875" style="22" customWidth="1"/>
    <col min="3647" max="3651" width="8.28515625" style="22" customWidth="1"/>
    <col min="3652" max="3652" width="0.85546875" style="22" customWidth="1"/>
    <col min="3653" max="3657" width="8.28515625" style="22" customWidth="1"/>
    <col min="3658" max="3658" width="0.85546875" style="22" customWidth="1"/>
    <col min="3659" max="3663" width="8.28515625" style="22" customWidth="1"/>
    <col min="3664" max="3664" width="0.85546875" style="22" customWidth="1"/>
    <col min="3665" max="3669" width="8.28515625" style="22" customWidth="1"/>
    <col min="3670" max="3670" width="0.85546875" style="22" customWidth="1"/>
    <col min="3671" max="3675" width="8.28515625" style="22" customWidth="1"/>
    <col min="3676" max="3840" width="9.140625" style="22"/>
    <col min="3841" max="3841" width="25.7109375" style="22" customWidth="1"/>
    <col min="3842" max="3842" width="0.85546875" style="22" customWidth="1"/>
    <col min="3843" max="3847" width="8.28515625" style="22" customWidth="1"/>
    <col min="3848" max="3848" width="0.85546875" style="22" customWidth="1"/>
    <col min="3849" max="3853" width="8.28515625" style="22" customWidth="1"/>
    <col min="3854" max="3854" width="0.85546875" style="22" customWidth="1"/>
    <col min="3855" max="3859" width="8.28515625" style="22" customWidth="1"/>
    <col min="3860" max="3860" width="0.85546875" style="22" customWidth="1"/>
    <col min="3861" max="3865" width="8.28515625" style="22" customWidth="1"/>
    <col min="3866" max="3866" width="0.85546875" style="22" customWidth="1"/>
    <col min="3867" max="3871" width="8.28515625" style="22" customWidth="1"/>
    <col min="3872" max="3872" width="0.85546875" style="22" customWidth="1"/>
    <col min="3873" max="3877" width="8.28515625" style="22" customWidth="1"/>
    <col min="3878" max="3878" width="0.85546875" style="22" customWidth="1"/>
    <col min="3879" max="3883" width="8.28515625" style="22" customWidth="1"/>
    <col min="3884" max="3884" width="0.85546875" style="22" customWidth="1"/>
    <col min="3885" max="3889" width="8.28515625" style="22" customWidth="1"/>
    <col min="3890" max="3890" width="0.85546875" style="22" customWidth="1"/>
    <col min="3891" max="3895" width="8.28515625" style="22" customWidth="1"/>
    <col min="3896" max="3896" width="0.85546875" style="22" customWidth="1"/>
    <col min="3897" max="3901" width="8.28515625" style="22" customWidth="1"/>
    <col min="3902" max="3902" width="0.85546875" style="22" customWidth="1"/>
    <col min="3903" max="3907" width="8.28515625" style="22" customWidth="1"/>
    <col min="3908" max="3908" width="0.85546875" style="22" customWidth="1"/>
    <col min="3909" max="3913" width="8.28515625" style="22" customWidth="1"/>
    <col min="3914" max="3914" width="0.85546875" style="22" customWidth="1"/>
    <col min="3915" max="3919" width="8.28515625" style="22" customWidth="1"/>
    <col min="3920" max="3920" width="0.85546875" style="22" customWidth="1"/>
    <col min="3921" max="3925" width="8.28515625" style="22" customWidth="1"/>
    <col min="3926" max="3926" width="0.85546875" style="22" customWidth="1"/>
    <col min="3927" max="3931" width="8.28515625" style="22" customWidth="1"/>
    <col min="3932" max="4096" width="9.140625" style="22"/>
    <col min="4097" max="4097" width="25.7109375" style="22" customWidth="1"/>
    <col min="4098" max="4098" width="0.85546875" style="22" customWidth="1"/>
    <col min="4099" max="4103" width="8.28515625" style="22" customWidth="1"/>
    <col min="4104" max="4104" width="0.85546875" style="22" customWidth="1"/>
    <col min="4105" max="4109" width="8.28515625" style="22" customWidth="1"/>
    <col min="4110" max="4110" width="0.85546875" style="22" customWidth="1"/>
    <col min="4111" max="4115" width="8.28515625" style="22" customWidth="1"/>
    <col min="4116" max="4116" width="0.85546875" style="22" customWidth="1"/>
    <col min="4117" max="4121" width="8.28515625" style="22" customWidth="1"/>
    <col min="4122" max="4122" width="0.85546875" style="22" customWidth="1"/>
    <col min="4123" max="4127" width="8.28515625" style="22" customWidth="1"/>
    <col min="4128" max="4128" width="0.85546875" style="22" customWidth="1"/>
    <col min="4129" max="4133" width="8.28515625" style="22" customWidth="1"/>
    <col min="4134" max="4134" width="0.85546875" style="22" customWidth="1"/>
    <col min="4135" max="4139" width="8.28515625" style="22" customWidth="1"/>
    <col min="4140" max="4140" width="0.85546875" style="22" customWidth="1"/>
    <col min="4141" max="4145" width="8.28515625" style="22" customWidth="1"/>
    <col min="4146" max="4146" width="0.85546875" style="22" customWidth="1"/>
    <col min="4147" max="4151" width="8.28515625" style="22" customWidth="1"/>
    <col min="4152" max="4152" width="0.85546875" style="22" customWidth="1"/>
    <col min="4153" max="4157" width="8.28515625" style="22" customWidth="1"/>
    <col min="4158" max="4158" width="0.85546875" style="22" customWidth="1"/>
    <col min="4159" max="4163" width="8.28515625" style="22" customWidth="1"/>
    <col min="4164" max="4164" width="0.85546875" style="22" customWidth="1"/>
    <col min="4165" max="4169" width="8.28515625" style="22" customWidth="1"/>
    <col min="4170" max="4170" width="0.85546875" style="22" customWidth="1"/>
    <col min="4171" max="4175" width="8.28515625" style="22" customWidth="1"/>
    <col min="4176" max="4176" width="0.85546875" style="22" customWidth="1"/>
    <col min="4177" max="4181" width="8.28515625" style="22" customWidth="1"/>
    <col min="4182" max="4182" width="0.85546875" style="22" customWidth="1"/>
    <col min="4183" max="4187" width="8.28515625" style="22" customWidth="1"/>
    <col min="4188" max="4352" width="9.140625" style="22"/>
    <col min="4353" max="4353" width="25.7109375" style="22" customWidth="1"/>
    <col min="4354" max="4354" width="0.85546875" style="22" customWidth="1"/>
    <col min="4355" max="4359" width="8.28515625" style="22" customWidth="1"/>
    <col min="4360" max="4360" width="0.85546875" style="22" customWidth="1"/>
    <col min="4361" max="4365" width="8.28515625" style="22" customWidth="1"/>
    <col min="4366" max="4366" width="0.85546875" style="22" customWidth="1"/>
    <col min="4367" max="4371" width="8.28515625" style="22" customWidth="1"/>
    <col min="4372" max="4372" width="0.85546875" style="22" customWidth="1"/>
    <col min="4373" max="4377" width="8.28515625" style="22" customWidth="1"/>
    <col min="4378" max="4378" width="0.85546875" style="22" customWidth="1"/>
    <col min="4379" max="4383" width="8.28515625" style="22" customWidth="1"/>
    <col min="4384" max="4384" width="0.85546875" style="22" customWidth="1"/>
    <col min="4385" max="4389" width="8.28515625" style="22" customWidth="1"/>
    <col min="4390" max="4390" width="0.85546875" style="22" customWidth="1"/>
    <col min="4391" max="4395" width="8.28515625" style="22" customWidth="1"/>
    <col min="4396" max="4396" width="0.85546875" style="22" customWidth="1"/>
    <col min="4397" max="4401" width="8.28515625" style="22" customWidth="1"/>
    <col min="4402" max="4402" width="0.85546875" style="22" customWidth="1"/>
    <col min="4403" max="4407" width="8.28515625" style="22" customWidth="1"/>
    <col min="4408" max="4408" width="0.85546875" style="22" customWidth="1"/>
    <col min="4409" max="4413" width="8.28515625" style="22" customWidth="1"/>
    <col min="4414" max="4414" width="0.85546875" style="22" customWidth="1"/>
    <col min="4415" max="4419" width="8.28515625" style="22" customWidth="1"/>
    <col min="4420" max="4420" width="0.85546875" style="22" customWidth="1"/>
    <col min="4421" max="4425" width="8.28515625" style="22" customWidth="1"/>
    <col min="4426" max="4426" width="0.85546875" style="22" customWidth="1"/>
    <col min="4427" max="4431" width="8.28515625" style="22" customWidth="1"/>
    <col min="4432" max="4432" width="0.85546875" style="22" customWidth="1"/>
    <col min="4433" max="4437" width="8.28515625" style="22" customWidth="1"/>
    <col min="4438" max="4438" width="0.85546875" style="22" customWidth="1"/>
    <col min="4439" max="4443" width="8.28515625" style="22" customWidth="1"/>
    <col min="4444" max="4608" width="9.140625" style="22"/>
    <col min="4609" max="4609" width="25.7109375" style="22" customWidth="1"/>
    <col min="4610" max="4610" width="0.85546875" style="22" customWidth="1"/>
    <col min="4611" max="4615" width="8.28515625" style="22" customWidth="1"/>
    <col min="4616" max="4616" width="0.85546875" style="22" customWidth="1"/>
    <col min="4617" max="4621" width="8.28515625" style="22" customWidth="1"/>
    <col min="4622" max="4622" width="0.85546875" style="22" customWidth="1"/>
    <col min="4623" max="4627" width="8.28515625" style="22" customWidth="1"/>
    <col min="4628" max="4628" width="0.85546875" style="22" customWidth="1"/>
    <col min="4629" max="4633" width="8.28515625" style="22" customWidth="1"/>
    <col min="4634" max="4634" width="0.85546875" style="22" customWidth="1"/>
    <col min="4635" max="4639" width="8.28515625" style="22" customWidth="1"/>
    <col min="4640" max="4640" width="0.85546875" style="22" customWidth="1"/>
    <col min="4641" max="4645" width="8.28515625" style="22" customWidth="1"/>
    <col min="4646" max="4646" width="0.85546875" style="22" customWidth="1"/>
    <col min="4647" max="4651" width="8.28515625" style="22" customWidth="1"/>
    <col min="4652" max="4652" width="0.85546875" style="22" customWidth="1"/>
    <col min="4653" max="4657" width="8.28515625" style="22" customWidth="1"/>
    <col min="4658" max="4658" width="0.85546875" style="22" customWidth="1"/>
    <col min="4659" max="4663" width="8.28515625" style="22" customWidth="1"/>
    <col min="4664" max="4664" width="0.85546875" style="22" customWidth="1"/>
    <col min="4665" max="4669" width="8.28515625" style="22" customWidth="1"/>
    <col min="4670" max="4670" width="0.85546875" style="22" customWidth="1"/>
    <col min="4671" max="4675" width="8.28515625" style="22" customWidth="1"/>
    <col min="4676" max="4676" width="0.85546875" style="22" customWidth="1"/>
    <col min="4677" max="4681" width="8.28515625" style="22" customWidth="1"/>
    <col min="4682" max="4682" width="0.85546875" style="22" customWidth="1"/>
    <col min="4683" max="4687" width="8.28515625" style="22" customWidth="1"/>
    <col min="4688" max="4688" width="0.85546875" style="22" customWidth="1"/>
    <col min="4689" max="4693" width="8.28515625" style="22" customWidth="1"/>
    <col min="4694" max="4694" width="0.85546875" style="22" customWidth="1"/>
    <col min="4695" max="4699" width="8.28515625" style="22" customWidth="1"/>
    <col min="4700" max="4864" width="9.140625" style="22"/>
    <col min="4865" max="4865" width="25.7109375" style="22" customWidth="1"/>
    <col min="4866" max="4866" width="0.85546875" style="22" customWidth="1"/>
    <col min="4867" max="4871" width="8.28515625" style="22" customWidth="1"/>
    <col min="4872" max="4872" width="0.85546875" style="22" customWidth="1"/>
    <col min="4873" max="4877" width="8.28515625" style="22" customWidth="1"/>
    <col min="4878" max="4878" width="0.85546875" style="22" customWidth="1"/>
    <col min="4879" max="4883" width="8.28515625" style="22" customWidth="1"/>
    <col min="4884" max="4884" width="0.85546875" style="22" customWidth="1"/>
    <col min="4885" max="4889" width="8.28515625" style="22" customWidth="1"/>
    <col min="4890" max="4890" width="0.85546875" style="22" customWidth="1"/>
    <col min="4891" max="4895" width="8.28515625" style="22" customWidth="1"/>
    <col min="4896" max="4896" width="0.85546875" style="22" customWidth="1"/>
    <col min="4897" max="4901" width="8.28515625" style="22" customWidth="1"/>
    <col min="4902" max="4902" width="0.85546875" style="22" customWidth="1"/>
    <col min="4903" max="4907" width="8.28515625" style="22" customWidth="1"/>
    <col min="4908" max="4908" width="0.85546875" style="22" customWidth="1"/>
    <col min="4909" max="4913" width="8.28515625" style="22" customWidth="1"/>
    <col min="4914" max="4914" width="0.85546875" style="22" customWidth="1"/>
    <col min="4915" max="4919" width="8.28515625" style="22" customWidth="1"/>
    <col min="4920" max="4920" width="0.85546875" style="22" customWidth="1"/>
    <col min="4921" max="4925" width="8.28515625" style="22" customWidth="1"/>
    <col min="4926" max="4926" width="0.85546875" style="22" customWidth="1"/>
    <col min="4927" max="4931" width="8.28515625" style="22" customWidth="1"/>
    <col min="4932" max="4932" width="0.85546875" style="22" customWidth="1"/>
    <col min="4933" max="4937" width="8.28515625" style="22" customWidth="1"/>
    <col min="4938" max="4938" width="0.85546875" style="22" customWidth="1"/>
    <col min="4939" max="4943" width="8.28515625" style="22" customWidth="1"/>
    <col min="4944" max="4944" width="0.85546875" style="22" customWidth="1"/>
    <col min="4945" max="4949" width="8.28515625" style="22" customWidth="1"/>
    <col min="4950" max="4950" width="0.85546875" style="22" customWidth="1"/>
    <col min="4951" max="4955" width="8.28515625" style="22" customWidth="1"/>
    <col min="4956" max="5120" width="9.140625" style="22"/>
    <col min="5121" max="5121" width="25.7109375" style="22" customWidth="1"/>
    <col min="5122" max="5122" width="0.85546875" style="22" customWidth="1"/>
    <col min="5123" max="5127" width="8.28515625" style="22" customWidth="1"/>
    <col min="5128" max="5128" width="0.85546875" style="22" customWidth="1"/>
    <col min="5129" max="5133" width="8.28515625" style="22" customWidth="1"/>
    <col min="5134" max="5134" width="0.85546875" style="22" customWidth="1"/>
    <col min="5135" max="5139" width="8.28515625" style="22" customWidth="1"/>
    <col min="5140" max="5140" width="0.85546875" style="22" customWidth="1"/>
    <col min="5141" max="5145" width="8.28515625" style="22" customWidth="1"/>
    <col min="5146" max="5146" width="0.85546875" style="22" customWidth="1"/>
    <col min="5147" max="5151" width="8.28515625" style="22" customWidth="1"/>
    <col min="5152" max="5152" width="0.85546875" style="22" customWidth="1"/>
    <col min="5153" max="5157" width="8.28515625" style="22" customWidth="1"/>
    <col min="5158" max="5158" width="0.85546875" style="22" customWidth="1"/>
    <col min="5159" max="5163" width="8.28515625" style="22" customWidth="1"/>
    <col min="5164" max="5164" width="0.85546875" style="22" customWidth="1"/>
    <col min="5165" max="5169" width="8.28515625" style="22" customWidth="1"/>
    <col min="5170" max="5170" width="0.85546875" style="22" customWidth="1"/>
    <col min="5171" max="5175" width="8.28515625" style="22" customWidth="1"/>
    <col min="5176" max="5176" width="0.85546875" style="22" customWidth="1"/>
    <col min="5177" max="5181" width="8.28515625" style="22" customWidth="1"/>
    <col min="5182" max="5182" width="0.85546875" style="22" customWidth="1"/>
    <col min="5183" max="5187" width="8.28515625" style="22" customWidth="1"/>
    <col min="5188" max="5188" width="0.85546875" style="22" customWidth="1"/>
    <col min="5189" max="5193" width="8.28515625" style="22" customWidth="1"/>
    <col min="5194" max="5194" width="0.85546875" style="22" customWidth="1"/>
    <col min="5195" max="5199" width="8.28515625" style="22" customWidth="1"/>
    <col min="5200" max="5200" width="0.85546875" style="22" customWidth="1"/>
    <col min="5201" max="5205" width="8.28515625" style="22" customWidth="1"/>
    <col min="5206" max="5206" width="0.85546875" style="22" customWidth="1"/>
    <col min="5207" max="5211" width="8.28515625" style="22" customWidth="1"/>
    <col min="5212" max="5376" width="9.140625" style="22"/>
    <col min="5377" max="5377" width="25.7109375" style="22" customWidth="1"/>
    <col min="5378" max="5378" width="0.85546875" style="22" customWidth="1"/>
    <col min="5379" max="5383" width="8.28515625" style="22" customWidth="1"/>
    <col min="5384" max="5384" width="0.85546875" style="22" customWidth="1"/>
    <col min="5385" max="5389" width="8.28515625" style="22" customWidth="1"/>
    <col min="5390" max="5390" width="0.85546875" style="22" customWidth="1"/>
    <col min="5391" max="5395" width="8.28515625" style="22" customWidth="1"/>
    <col min="5396" max="5396" width="0.85546875" style="22" customWidth="1"/>
    <col min="5397" max="5401" width="8.28515625" style="22" customWidth="1"/>
    <col min="5402" max="5402" width="0.85546875" style="22" customWidth="1"/>
    <col min="5403" max="5407" width="8.28515625" style="22" customWidth="1"/>
    <col min="5408" max="5408" width="0.85546875" style="22" customWidth="1"/>
    <col min="5409" max="5413" width="8.28515625" style="22" customWidth="1"/>
    <col min="5414" max="5414" width="0.85546875" style="22" customWidth="1"/>
    <col min="5415" max="5419" width="8.28515625" style="22" customWidth="1"/>
    <col min="5420" max="5420" width="0.85546875" style="22" customWidth="1"/>
    <col min="5421" max="5425" width="8.28515625" style="22" customWidth="1"/>
    <col min="5426" max="5426" width="0.85546875" style="22" customWidth="1"/>
    <col min="5427" max="5431" width="8.28515625" style="22" customWidth="1"/>
    <col min="5432" max="5432" width="0.85546875" style="22" customWidth="1"/>
    <col min="5433" max="5437" width="8.28515625" style="22" customWidth="1"/>
    <col min="5438" max="5438" width="0.85546875" style="22" customWidth="1"/>
    <col min="5439" max="5443" width="8.28515625" style="22" customWidth="1"/>
    <col min="5444" max="5444" width="0.85546875" style="22" customWidth="1"/>
    <col min="5445" max="5449" width="8.28515625" style="22" customWidth="1"/>
    <col min="5450" max="5450" width="0.85546875" style="22" customWidth="1"/>
    <col min="5451" max="5455" width="8.28515625" style="22" customWidth="1"/>
    <col min="5456" max="5456" width="0.85546875" style="22" customWidth="1"/>
    <col min="5457" max="5461" width="8.28515625" style="22" customWidth="1"/>
    <col min="5462" max="5462" width="0.85546875" style="22" customWidth="1"/>
    <col min="5463" max="5467" width="8.28515625" style="22" customWidth="1"/>
    <col min="5468" max="5632" width="9.140625" style="22"/>
    <col min="5633" max="5633" width="25.7109375" style="22" customWidth="1"/>
    <col min="5634" max="5634" width="0.85546875" style="22" customWidth="1"/>
    <col min="5635" max="5639" width="8.28515625" style="22" customWidth="1"/>
    <col min="5640" max="5640" width="0.85546875" style="22" customWidth="1"/>
    <col min="5641" max="5645" width="8.28515625" style="22" customWidth="1"/>
    <col min="5646" max="5646" width="0.85546875" style="22" customWidth="1"/>
    <col min="5647" max="5651" width="8.28515625" style="22" customWidth="1"/>
    <col min="5652" max="5652" width="0.85546875" style="22" customWidth="1"/>
    <col min="5653" max="5657" width="8.28515625" style="22" customWidth="1"/>
    <col min="5658" max="5658" width="0.85546875" style="22" customWidth="1"/>
    <col min="5659" max="5663" width="8.28515625" style="22" customWidth="1"/>
    <col min="5664" max="5664" width="0.85546875" style="22" customWidth="1"/>
    <col min="5665" max="5669" width="8.28515625" style="22" customWidth="1"/>
    <col min="5670" max="5670" width="0.85546875" style="22" customWidth="1"/>
    <col min="5671" max="5675" width="8.28515625" style="22" customWidth="1"/>
    <col min="5676" max="5676" width="0.85546875" style="22" customWidth="1"/>
    <col min="5677" max="5681" width="8.28515625" style="22" customWidth="1"/>
    <col min="5682" max="5682" width="0.85546875" style="22" customWidth="1"/>
    <col min="5683" max="5687" width="8.28515625" style="22" customWidth="1"/>
    <col min="5688" max="5688" width="0.85546875" style="22" customWidth="1"/>
    <col min="5689" max="5693" width="8.28515625" style="22" customWidth="1"/>
    <col min="5694" max="5694" width="0.85546875" style="22" customWidth="1"/>
    <col min="5695" max="5699" width="8.28515625" style="22" customWidth="1"/>
    <col min="5700" max="5700" width="0.85546875" style="22" customWidth="1"/>
    <col min="5701" max="5705" width="8.28515625" style="22" customWidth="1"/>
    <col min="5706" max="5706" width="0.85546875" style="22" customWidth="1"/>
    <col min="5707" max="5711" width="8.28515625" style="22" customWidth="1"/>
    <col min="5712" max="5712" width="0.85546875" style="22" customWidth="1"/>
    <col min="5713" max="5717" width="8.28515625" style="22" customWidth="1"/>
    <col min="5718" max="5718" width="0.85546875" style="22" customWidth="1"/>
    <col min="5719" max="5723" width="8.28515625" style="22" customWidth="1"/>
    <col min="5724" max="5888" width="9.140625" style="22"/>
    <col min="5889" max="5889" width="25.7109375" style="22" customWidth="1"/>
    <col min="5890" max="5890" width="0.85546875" style="22" customWidth="1"/>
    <col min="5891" max="5895" width="8.28515625" style="22" customWidth="1"/>
    <col min="5896" max="5896" width="0.85546875" style="22" customWidth="1"/>
    <col min="5897" max="5901" width="8.28515625" style="22" customWidth="1"/>
    <col min="5902" max="5902" width="0.85546875" style="22" customWidth="1"/>
    <col min="5903" max="5907" width="8.28515625" style="22" customWidth="1"/>
    <col min="5908" max="5908" width="0.85546875" style="22" customWidth="1"/>
    <col min="5909" max="5913" width="8.28515625" style="22" customWidth="1"/>
    <col min="5914" max="5914" width="0.85546875" style="22" customWidth="1"/>
    <col min="5915" max="5919" width="8.28515625" style="22" customWidth="1"/>
    <col min="5920" max="5920" width="0.85546875" style="22" customWidth="1"/>
    <col min="5921" max="5925" width="8.28515625" style="22" customWidth="1"/>
    <col min="5926" max="5926" width="0.85546875" style="22" customWidth="1"/>
    <col min="5927" max="5931" width="8.28515625" style="22" customWidth="1"/>
    <col min="5932" max="5932" width="0.85546875" style="22" customWidth="1"/>
    <col min="5933" max="5937" width="8.28515625" style="22" customWidth="1"/>
    <col min="5938" max="5938" width="0.85546875" style="22" customWidth="1"/>
    <col min="5939" max="5943" width="8.28515625" style="22" customWidth="1"/>
    <col min="5944" max="5944" width="0.85546875" style="22" customWidth="1"/>
    <col min="5945" max="5949" width="8.28515625" style="22" customWidth="1"/>
    <col min="5950" max="5950" width="0.85546875" style="22" customWidth="1"/>
    <col min="5951" max="5955" width="8.28515625" style="22" customWidth="1"/>
    <col min="5956" max="5956" width="0.85546875" style="22" customWidth="1"/>
    <col min="5957" max="5961" width="8.28515625" style="22" customWidth="1"/>
    <col min="5962" max="5962" width="0.85546875" style="22" customWidth="1"/>
    <col min="5963" max="5967" width="8.28515625" style="22" customWidth="1"/>
    <col min="5968" max="5968" width="0.85546875" style="22" customWidth="1"/>
    <col min="5969" max="5973" width="8.28515625" style="22" customWidth="1"/>
    <col min="5974" max="5974" width="0.85546875" style="22" customWidth="1"/>
    <col min="5975" max="5979" width="8.28515625" style="22" customWidth="1"/>
    <col min="5980" max="6144" width="9.140625" style="22"/>
    <col min="6145" max="6145" width="25.7109375" style="22" customWidth="1"/>
    <col min="6146" max="6146" width="0.85546875" style="22" customWidth="1"/>
    <col min="6147" max="6151" width="8.28515625" style="22" customWidth="1"/>
    <col min="6152" max="6152" width="0.85546875" style="22" customWidth="1"/>
    <col min="6153" max="6157" width="8.28515625" style="22" customWidth="1"/>
    <col min="6158" max="6158" width="0.85546875" style="22" customWidth="1"/>
    <col min="6159" max="6163" width="8.28515625" style="22" customWidth="1"/>
    <col min="6164" max="6164" width="0.85546875" style="22" customWidth="1"/>
    <col min="6165" max="6169" width="8.28515625" style="22" customWidth="1"/>
    <col min="6170" max="6170" width="0.85546875" style="22" customWidth="1"/>
    <col min="6171" max="6175" width="8.28515625" style="22" customWidth="1"/>
    <col min="6176" max="6176" width="0.85546875" style="22" customWidth="1"/>
    <col min="6177" max="6181" width="8.28515625" style="22" customWidth="1"/>
    <col min="6182" max="6182" width="0.85546875" style="22" customWidth="1"/>
    <col min="6183" max="6187" width="8.28515625" style="22" customWidth="1"/>
    <col min="6188" max="6188" width="0.85546875" style="22" customWidth="1"/>
    <col min="6189" max="6193" width="8.28515625" style="22" customWidth="1"/>
    <col min="6194" max="6194" width="0.85546875" style="22" customWidth="1"/>
    <col min="6195" max="6199" width="8.28515625" style="22" customWidth="1"/>
    <col min="6200" max="6200" width="0.85546875" style="22" customWidth="1"/>
    <col min="6201" max="6205" width="8.28515625" style="22" customWidth="1"/>
    <col min="6206" max="6206" width="0.85546875" style="22" customWidth="1"/>
    <col min="6207" max="6211" width="8.28515625" style="22" customWidth="1"/>
    <col min="6212" max="6212" width="0.85546875" style="22" customWidth="1"/>
    <col min="6213" max="6217" width="8.28515625" style="22" customWidth="1"/>
    <col min="6218" max="6218" width="0.85546875" style="22" customWidth="1"/>
    <col min="6219" max="6223" width="8.28515625" style="22" customWidth="1"/>
    <col min="6224" max="6224" width="0.85546875" style="22" customWidth="1"/>
    <col min="6225" max="6229" width="8.28515625" style="22" customWidth="1"/>
    <col min="6230" max="6230" width="0.85546875" style="22" customWidth="1"/>
    <col min="6231" max="6235" width="8.28515625" style="22" customWidth="1"/>
    <col min="6236" max="6400" width="9.140625" style="22"/>
    <col min="6401" max="6401" width="25.7109375" style="22" customWidth="1"/>
    <col min="6402" max="6402" width="0.85546875" style="22" customWidth="1"/>
    <col min="6403" max="6407" width="8.28515625" style="22" customWidth="1"/>
    <col min="6408" max="6408" width="0.85546875" style="22" customWidth="1"/>
    <col min="6409" max="6413" width="8.28515625" style="22" customWidth="1"/>
    <col min="6414" max="6414" width="0.85546875" style="22" customWidth="1"/>
    <col min="6415" max="6419" width="8.28515625" style="22" customWidth="1"/>
    <col min="6420" max="6420" width="0.85546875" style="22" customWidth="1"/>
    <col min="6421" max="6425" width="8.28515625" style="22" customWidth="1"/>
    <col min="6426" max="6426" width="0.85546875" style="22" customWidth="1"/>
    <col min="6427" max="6431" width="8.28515625" style="22" customWidth="1"/>
    <col min="6432" max="6432" width="0.85546875" style="22" customWidth="1"/>
    <col min="6433" max="6437" width="8.28515625" style="22" customWidth="1"/>
    <col min="6438" max="6438" width="0.85546875" style="22" customWidth="1"/>
    <col min="6439" max="6443" width="8.28515625" style="22" customWidth="1"/>
    <col min="6444" max="6444" width="0.85546875" style="22" customWidth="1"/>
    <col min="6445" max="6449" width="8.28515625" style="22" customWidth="1"/>
    <col min="6450" max="6450" width="0.85546875" style="22" customWidth="1"/>
    <col min="6451" max="6455" width="8.28515625" style="22" customWidth="1"/>
    <col min="6456" max="6456" width="0.85546875" style="22" customWidth="1"/>
    <col min="6457" max="6461" width="8.28515625" style="22" customWidth="1"/>
    <col min="6462" max="6462" width="0.85546875" style="22" customWidth="1"/>
    <col min="6463" max="6467" width="8.28515625" style="22" customWidth="1"/>
    <col min="6468" max="6468" width="0.85546875" style="22" customWidth="1"/>
    <col min="6469" max="6473" width="8.28515625" style="22" customWidth="1"/>
    <col min="6474" max="6474" width="0.85546875" style="22" customWidth="1"/>
    <col min="6475" max="6479" width="8.28515625" style="22" customWidth="1"/>
    <col min="6480" max="6480" width="0.85546875" style="22" customWidth="1"/>
    <col min="6481" max="6485" width="8.28515625" style="22" customWidth="1"/>
    <col min="6486" max="6486" width="0.85546875" style="22" customWidth="1"/>
    <col min="6487" max="6491" width="8.28515625" style="22" customWidth="1"/>
    <col min="6492" max="6656" width="9.140625" style="22"/>
    <col min="6657" max="6657" width="25.7109375" style="22" customWidth="1"/>
    <col min="6658" max="6658" width="0.85546875" style="22" customWidth="1"/>
    <col min="6659" max="6663" width="8.28515625" style="22" customWidth="1"/>
    <col min="6664" max="6664" width="0.85546875" style="22" customWidth="1"/>
    <col min="6665" max="6669" width="8.28515625" style="22" customWidth="1"/>
    <col min="6670" max="6670" width="0.85546875" style="22" customWidth="1"/>
    <col min="6671" max="6675" width="8.28515625" style="22" customWidth="1"/>
    <col min="6676" max="6676" width="0.85546875" style="22" customWidth="1"/>
    <col min="6677" max="6681" width="8.28515625" style="22" customWidth="1"/>
    <col min="6682" max="6682" width="0.85546875" style="22" customWidth="1"/>
    <col min="6683" max="6687" width="8.28515625" style="22" customWidth="1"/>
    <col min="6688" max="6688" width="0.85546875" style="22" customWidth="1"/>
    <col min="6689" max="6693" width="8.28515625" style="22" customWidth="1"/>
    <col min="6694" max="6694" width="0.85546875" style="22" customWidth="1"/>
    <col min="6695" max="6699" width="8.28515625" style="22" customWidth="1"/>
    <col min="6700" max="6700" width="0.85546875" style="22" customWidth="1"/>
    <col min="6701" max="6705" width="8.28515625" style="22" customWidth="1"/>
    <col min="6706" max="6706" width="0.85546875" style="22" customWidth="1"/>
    <col min="6707" max="6711" width="8.28515625" style="22" customWidth="1"/>
    <col min="6712" max="6712" width="0.85546875" style="22" customWidth="1"/>
    <col min="6713" max="6717" width="8.28515625" style="22" customWidth="1"/>
    <col min="6718" max="6718" width="0.85546875" style="22" customWidth="1"/>
    <col min="6719" max="6723" width="8.28515625" style="22" customWidth="1"/>
    <col min="6724" max="6724" width="0.85546875" style="22" customWidth="1"/>
    <col min="6725" max="6729" width="8.28515625" style="22" customWidth="1"/>
    <col min="6730" max="6730" width="0.85546875" style="22" customWidth="1"/>
    <col min="6731" max="6735" width="8.28515625" style="22" customWidth="1"/>
    <col min="6736" max="6736" width="0.85546875" style="22" customWidth="1"/>
    <col min="6737" max="6741" width="8.28515625" style="22" customWidth="1"/>
    <col min="6742" max="6742" width="0.85546875" style="22" customWidth="1"/>
    <col min="6743" max="6747" width="8.28515625" style="22" customWidth="1"/>
    <col min="6748" max="6912" width="9.140625" style="22"/>
    <col min="6913" max="6913" width="25.7109375" style="22" customWidth="1"/>
    <col min="6914" max="6914" width="0.85546875" style="22" customWidth="1"/>
    <col min="6915" max="6919" width="8.28515625" style="22" customWidth="1"/>
    <col min="6920" max="6920" width="0.85546875" style="22" customWidth="1"/>
    <col min="6921" max="6925" width="8.28515625" style="22" customWidth="1"/>
    <col min="6926" max="6926" width="0.85546875" style="22" customWidth="1"/>
    <col min="6927" max="6931" width="8.28515625" style="22" customWidth="1"/>
    <col min="6932" max="6932" width="0.85546875" style="22" customWidth="1"/>
    <col min="6933" max="6937" width="8.28515625" style="22" customWidth="1"/>
    <col min="6938" max="6938" width="0.85546875" style="22" customWidth="1"/>
    <col min="6939" max="6943" width="8.28515625" style="22" customWidth="1"/>
    <col min="6944" max="6944" width="0.85546875" style="22" customWidth="1"/>
    <col min="6945" max="6949" width="8.28515625" style="22" customWidth="1"/>
    <col min="6950" max="6950" width="0.85546875" style="22" customWidth="1"/>
    <col min="6951" max="6955" width="8.28515625" style="22" customWidth="1"/>
    <col min="6956" max="6956" width="0.85546875" style="22" customWidth="1"/>
    <col min="6957" max="6961" width="8.28515625" style="22" customWidth="1"/>
    <col min="6962" max="6962" width="0.85546875" style="22" customWidth="1"/>
    <col min="6963" max="6967" width="8.28515625" style="22" customWidth="1"/>
    <col min="6968" max="6968" width="0.85546875" style="22" customWidth="1"/>
    <col min="6969" max="6973" width="8.28515625" style="22" customWidth="1"/>
    <col min="6974" max="6974" width="0.85546875" style="22" customWidth="1"/>
    <col min="6975" max="6979" width="8.28515625" style="22" customWidth="1"/>
    <col min="6980" max="6980" width="0.85546875" style="22" customWidth="1"/>
    <col min="6981" max="6985" width="8.28515625" style="22" customWidth="1"/>
    <col min="6986" max="6986" width="0.85546875" style="22" customWidth="1"/>
    <col min="6987" max="6991" width="8.28515625" style="22" customWidth="1"/>
    <col min="6992" max="6992" width="0.85546875" style="22" customWidth="1"/>
    <col min="6993" max="6997" width="8.28515625" style="22" customWidth="1"/>
    <col min="6998" max="6998" width="0.85546875" style="22" customWidth="1"/>
    <col min="6999" max="7003" width="8.28515625" style="22" customWidth="1"/>
    <col min="7004" max="7168" width="9.140625" style="22"/>
    <col min="7169" max="7169" width="25.7109375" style="22" customWidth="1"/>
    <col min="7170" max="7170" width="0.85546875" style="22" customWidth="1"/>
    <col min="7171" max="7175" width="8.28515625" style="22" customWidth="1"/>
    <col min="7176" max="7176" width="0.85546875" style="22" customWidth="1"/>
    <col min="7177" max="7181" width="8.28515625" style="22" customWidth="1"/>
    <col min="7182" max="7182" width="0.85546875" style="22" customWidth="1"/>
    <col min="7183" max="7187" width="8.28515625" style="22" customWidth="1"/>
    <col min="7188" max="7188" width="0.85546875" style="22" customWidth="1"/>
    <col min="7189" max="7193" width="8.28515625" style="22" customWidth="1"/>
    <col min="7194" max="7194" width="0.85546875" style="22" customWidth="1"/>
    <col min="7195" max="7199" width="8.28515625" style="22" customWidth="1"/>
    <col min="7200" max="7200" width="0.85546875" style="22" customWidth="1"/>
    <col min="7201" max="7205" width="8.28515625" style="22" customWidth="1"/>
    <col min="7206" max="7206" width="0.85546875" style="22" customWidth="1"/>
    <col min="7207" max="7211" width="8.28515625" style="22" customWidth="1"/>
    <col min="7212" max="7212" width="0.85546875" style="22" customWidth="1"/>
    <col min="7213" max="7217" width="8.28515625" style="22" customWidth="1"/>
    <col min="7218" max="7218" width="0.85546875" style="22" customWidth="1"/>
    <col min="7219" max="7223" width="8.28515625" style="22" customWidth="1"/>
    <col min="7224" max="7224" width="0.85546875" style="22" customWidth="1"/>
    <col min="7225" max="7229" width="8.28515625" style="22" customWidth="1"/>
    <col min="7230" max="7230" width="0.85546875" style="22" customWidth="1"/>
    <col min="7231" max="7235" width="8.28515625" style="22" customWidth="1"/>
    <col min="7236" max="7236" width="0.85546875" style="22" customWidth="1"/>
    <col min="7237" max="7241" width="8.28515625" style="22" customWidth="1"/>
    <col min="7242" max="7242" width="0.85546875" style="22" customWidth="1"/>
    <col min="7243" max="7247" width="8.28515625" style="22" customWidth="1"/>
    <col min="7248" max="7248" width="0.85546875" style="22" customWidth="1"/>
    <col min="7249" max="7253" width="8.28515625" style="22" customWidth="1"/>
    <col min="7254" max="7254" width="0.85546875" style="22" customWidth="1"/>
    <col min="7255" max="7259" width="8.28515625" style="22" customWidth="1"/>
    <col min="7260" max="7424" width="9.140625" style="22"/>
    <col min="7425" max="7425" width="25.7109375" style="22" customWidth="1"/>
    <col min="7426" max="7426" width="0.85546875" style="22" customWidth="1"/>
    <col min="7427" max="7431" width="8.28515625" style="22" customWidth="1"/>
    <col min="7432" max="7432" width="0.85546875" style="22" customWidth="1"/>
    <col min="7433" max="7437" width="8.28515625" style="22" customWidth="1"/>
    <col min="7438" max="7438" width="0.85546875" style="22" customWidth="1"/>
    <col min="7439" max="7443" width="8.28515625" style="22" customWidth="1"/>
    <col min="7444" max="7444" width="0.85546875" style="22" customWidth="1"/>
    <col min="7445" max="7449" width="8.28515625" style="22" customWidth="1"/>
    <col min="7450" max="7450" width="0.85546875" style="22" customWidth="1"/>
    <col min="7451" max="7455" width="8.28515625" style="22" customWidth="1"/>
    <col min="7456" max="7456" width="0.85546875" style="22" customWidth="1"/>
    <col min="7457" max="7461" width="8.28515625" style="22" customWidth="1"/>
    <col min="7462" max="7462" width="0.85546875" style="22" customWidth="1"/>
    <col min="7463" max="7467" width="8.28515625" style="22" customWidth="1"/>
    <col min="7468" max="7468" width="0.85546875" style="22" customWidth="1"/>
    <col min="7469" max="7473" width="8.28515625" style="22" customWidth="1"/>
    <col min="7474" max="7474" width="0.85546875" style="22" customWidth="1"/>
    <col min="7475" max="7479" width="8.28515625" style="22" customWidth="1"/>
    <col min="7480" max="7480" width="0.85546875" style="22" customWidth="1"/>
    <col min="7481" max="7485" width="8.28515625" style="22" customWidth="1"/>
    <col min="7486" max="7486" width="0.85546875" style="22" customWidth="1"/>
    <col min="7487" max="7491" width="8.28515625" style="22" customWidth="1"/>
    <col min="7492" max="7492" width="0.85546875" style="22" customWidth="1"/>
    <col min="7493" max="7497" width="8.28515625" style="22" customWidth="1"/>
    <col min="7498" max="7498" width="0.85546875" style="22" customWidth="1"/>
    <col min="7499" max="7503" width="8.28515625" style="22" customWidth="1"/>
    <col min="7504" max="7504" width="0.85546875" style="22" customWidth="1"/>
    <col min="7505" max="7509" width="8.28515625" style="22" customWidth="1"/>
    <col min="7510" max="7510" width="0.85546875" style="22" customWidth="1"/>
    <col min="7511" max="7515" width="8.28515625" style="22" customWidth="1"/>
    <col min="7516" max="7680" width="9.140625" style="22"/>
    <col min="7681" max="7681" width="25.7109375" style="22" customWidth="1"/>
    <col min="7682" max="7682" width="0.85546875" style="22" customWidth="1"/>
    <col min="7683" max="7687" width="8.28515625" style="22" customWidth="1"/>
    <col min="7688" max="7688" width="0.85546875" style="22" customWidth="1"/>
    <col min="7689" max="7693" width="8.28515625" style="22" customWidth="1"/>
    <col min="7694" max="7694" width="0.85546875" style="22" customWidth="1"/>
    <col min="7695" max="7699" width="8.28515625" style="22" customWidth="1"/>
    <col min="7700" max="7700" width="0.85546875" style="22" customWidth="1"/>
    <col min="7701" max="7705" width="8.28515625" style="22" customWidth="1"/>
    <col min="7706" max="7706" width="0.85546875" style="22" customWidth="1"/>
    <col min="7707" max="7711" width="8.28515625" style="22" customWidth="1"/>
    <col min="7712" max="7712" width="0.85546875" style="22" customWidth="1"/>
    <col min="7713" max="7717" width="8.28515625" style="22" customWidth="1"/>
    <col min="7718" max="7718" width="0.85546875" style="22" customWidth="1"/>
    <col min="7719" max="7723" width="8.28515625" style="22" customWidth="1"/>
    <col min="7724" max="7724" width="0.85546875" style="22" customWidth="1"/>
    <col min="7725" max="7729" width="8.28515625" style="22" customWidth="1"/>
    <col min="7730" max="7730" width="0.85546875" style="22" customWidth="1"/>
    <col min="7731" max="7735" width="8.28515625" style="22" customWidth="1"/>
    <col min="7736" max="7736" width="0.85546875" style="22" customWidth="1"/>
    <col min="7737" max="7741" width="8.28515625" style="22" customWidth="1"/>
    <col min="7742" max="7742" width="0.85546875" style="22" customWidth="1"/>
    <col min="7743" max="7747" width="8.28515625" style="22" customWidth="1"/>
    <col min="7748" max="7748" width="0.85546875" style="22" customWidth="1"/>
    <col min="7749" max="7753" width="8.28515625" style="22" customWidth="1"/>
    <col min="7754" max="7754" width="0.85546875" style="22" customWidth="1"/>
    <col min="7755" max="7759" width="8.28515625" style="22" customWidth="1"/>
    <col min="7760" max="7760" width="0.85546875" style="22" customWidth="1"/>
    <col min="7761" max="7765" width="8.28515625" style="22" customWidth="1"/>
    <col min="7766" max="7766" width="0.85546875" style="22" customWidth="1"/>
    <col min="7767" max="7771" width="8.28515625" style="22" customWidth="1"/>
    <col min="7772" max="7936" width="9.140625" style="22"/>
    <col min="7937" max="7937" width="25.7109375" style="22" customWidth="1"/>
    <col min="7938" max="7938" width="0.85546875" style="22" customWidth="1"/>
    <col min="7939" max="7943" width="8.28515625" style="22" customWidth="1"/>
    <col min="7944" max="7944" width="0.85546875" style="22" customWidth="1"/>
    <col min="7945" max="7949" width="8.28515625" style="22" customWidth="1"/>
    <col min="7950" max="7950" width="0.85546875" style="22" customWidth="1"/>
    <col min="7951" max="7955" width="8.28515625" style="22" customWidth="1"/>
    <col min="7956" max="7956" width="0.85546875" style="22" customWidth="1"/>
    <col min="7957" max="7961" width="8.28515625" style="22" customWidth="1"/>
    <col min="7962" max="7962" width="0.85546875" style="22" customWidth="1"/>
    <col min="7963" max="7967" width="8.28515625" style="22" customWidth="1"/>
    <col min="7968" max="7968" width="0.85546875" style="22" customWidth="1"/>
    <col min="7969" max="7973" width="8.28515625" style="22" customWidth="1"/>
    <col min="7974" max="7974" width="0.85546875" style="22" customWidth="1"/>
    <col min="7975" max="7979" width="8.28515625" style="22" customWidth="1"/>
    <col min="7980" max="7980" width="0.85546875" style="22" customWidth="1"/>
    <col min="7981" max="7985" width="8.28515625" style="22" customWidth="1"/>
    <col min="7986" max="7986" width="0.85546875" style="22" customWidth="1"/>
    <col min="7987" max="7991" width="8.28515625" style="22" customWidth="1"/>
    <col min="7992" max="7992" width="0.85546875" style="22" customWidth="1"/>
    <col min="7993" max="7997" width="8.28515625" style="22" customWidth="1"/>
    <col min="7998" max="7998" width="0.85546875" style="22" customWidth="1"/>
    <col min="7999" max="8003" width="8.28515625" style="22" customWidth="1"/>
    <col min="8004" max="8004" width="0.85546875" style="22" customWidth="1"/>
    <col min="8005" max="8009" width="8.28515625" style="22" customWidth="1"/>
    <col min="8010" max="8010" width="0.85546875" style="22" customWidth="1"/>
    <col min="8011" max="8015" width="8.28515625" style="22" customWidth="1"/>
    <col min="8016" max="8016" width="0.85546875" style="22" customWidth="1"/>
    <col min="8017" max="8021" width="8.28515625" style="22" customWidth="1"/>
    <col min="8022" max="8022" width="0.85546875" style="22" customWidth="1"/>
    <col min="8023" max="8027" width="8.28515625" style="22" customWidth="1"/>
    <col min="8028" max="8192" width="9.140625" style="22"/>
    <col min="8193" max="8193" width="25.7109375" style="22" customWidth="1"/>
    <col min="8194" max="8194" width="0.85546875" style="22" customWidth="1"/>
    <col min="8195" max="8199" width="8.28515625" style="22" customWidth="1"/>
    <col min="8200" max="8200" width="0.85546875" style="22" customWidth="1"/>
    <col min="8201" max="8205" width="8.28515625" style="22" customWidth="1"/>
    <col min="8206" max="8206" width="0.85546875" style="22" customWidth="1"/>
    <col min="8207" max="8211" width="8.28515625" style="22" customWidth="1"/>
    <col min="8212" max="8212" width="0.85546875" style="22" customWidth="1"/>
    <col min="8213" max="8217" width="8.28515625" style="22" customWidth="1"/>
    <col min="8218" max="8218" width="0.85546875" style="22" customWidth="1"/>
    <col min="8219" max="8223" width="8.28515625" style="22" customWidth="1"/>
    <col min="8224" max="8224" width="0.85546875" style="22" customWidth="1"/>
    <col min="8225" max="8229" width="8.28515625" style="22" customWidth="1"/>
    <col min="8230" max="8230" width="0.85546875" style="22" customWidth="1"/>
    <col min="8231" max="8235" width="8.28515625" style="22" customWidth="1"/>
    <col min="8236" max="8236" width="0.85546875" style="22" customWidth="1"/>
    <col min="8237" max="8241" width="8.28515625" style="22" customWidth="1"/>
    <col min="8242" max="8242" width="0.85546875" style="22" customWidth="1"/>
    <col min="8243" max="8247" width="8.28515625" style="22" customWidth="1"/>
    <col min="8248" max="8248" width="0.85546875" style="22" customWidth="1"/>
    <col min="8249" max="8253" width="8.28515625" style="22" customWidth="1"/>
    <col min="8254" max="8254" width="0.85546875" style="22" customWidth="1"/>
    <col min="8255" max="8259" width="8.28515625" style="22" customWidth="1"/>
    <col min="8260" max="8260" width="0.85546875" style="22" customWidth="1"/>
    <col min="8261" max="8265" width="8.28515625" style="22" customWidth="1"/>
    <col min="8266" max="8266" width="0.85546875" style="22" customWidth="1"/>
    <col min="8267" max="8271" width="8.28515625" style="22" customWidth="1"/>
    <col min="8272" max="8272" width="0.85546875" style="22" customWidth="1"/>
    <col min="8273" max="8277" width="8.28515625" style="22" customWidth="1"/>
    <col min="8278" max="8278" width="0.85546875" style="22" customWidth="1"/>
    <col min="8279" max="8283" width="8.28515625" style="22" customWidth="1"/>
    <col min="8284" max="8448" width="9.140625" style="22"/>
    <col min="8449" max="8449" width="25.7109375" style="22" customWidth="1"/>
    <col min="8450" max="8450" width="0.85546875" style="22" customWidth="1"/>
    <col min="8451" max="8455" width="8.28515625" style="22" customWidth="1"/>
    <col min="8456" max="8456" width="0.85546875" style="22" customWidth="1"/>
    <col min="8457" max="8461" width="8.28515625" style="22" customWidth="1"/>
    <col min="8462" max="8462" width="0.85546875" style="22" customWidth="1"/>
    <col min="8463" max="8467" width="8.28515625" style="22" customWidth="1"/>
    <col min="8468" max="8468" width="0.85546875" style="22" customWidth="1"/>
    <col min="8469" max="8473" width="8.28515625" style="22" customWidth="1"/>
    <col min="8474" max="8474" width="0.85546875" style="22" customWidth="1"/>
    <col min="8475" max="8479" width="8.28515625" style="22" customWidth="1"/>
    <col min="8480" max="8480" width="0.85546875" style="22" customWidth="1"/>
    <col min="8481" max="8485" width="8.28515625" style="22" customWidth="1"/>
    <col min="8486" max="8486" width="0.85546875" style="22" customWidth="1"/>
    <col min="8487" max="8491" width="8.28515625" style="22" customWidth="1"/>
    <col min="8492" max="8492" width="0.85546875" style="22" customWidth="1"/>
    <col min="8493" max="8497" width="8.28515625" style="22" customWidth="1"/>
    <col min="8498" max="8498" width="0.85546875" style="22" customWidth="1"/>
    <col min="8499" max="8503" width="8.28515625" style="22" customWidth="1"/>
    <col min="8504" max="8504" width="0.85546875" style="22" customWidth="1"/>
    <col min="8505" max="8509" width="8.28515625" style="22" customWidth="1"/>
    <col min="8510" max="8510" width="0.85546875" style="22" customWidth="1"/>
    <col min="8511" max="8515" width="8.28515625" style="22" customWidth="1"/>
    <col min="8516" max="8516" width="0.85546875" style="22" customWidth="1"/>
    <col min="8517" max="8521" width="8.28515625" style="22" customWidth="1"/>
    <col min="8522" max="8522" width="0.85546875" style="22" customWidth="1"/>
    <col min="8523" max="8527" width="8.28515625" style="22" customWidth="1"/>
    <col min="8528" max="8528" width="0.85546875" style="22" customWidth="1"/>
    <col min="8529" max="8533" width="8.28515625" style="22" customWidth="1"/>
    <col min="8534" max="8534" width="0.85546875" style="22" customWidth="1"/>
    <col min="8535" max="8539" width="8.28515625" style="22" customWidth="1"/>
    <col min="8540" max="8704" width="9.140625" style="22"/>
    <col min="8705" max="8705" width="25.7109375" style="22" customWidth="1"/>
    <col min="8706" max="8706" width="0.85546875" style="22" customWidth="1"/>
    <col min="8707" max="8711" width="8.28515625" style="22" customWidth="1"/>
    <col min="8712" max="8712" width="0.85546875" style="22" customWidth="1"/>
    <col min="8713" max="8717" width="8.28515625" style="22" customWidth="1"/>
    <col min="8718" max="8718" width="0.85546875" style="22" customWidth="1"/>
    <col min="8719" max="8723" width="8.28515625" style="22" customWidth="1"/>
    <col min="8724" max="8724" width="0.85546875" style="22" customWidth="1"/>
    <col min="8725" max="8729" width="8.28515625" style="22" customWidth="1"/>
    <col min="8730" max="8730" width="0.85546875" style="22" customWidth="1"/>
    <col min="8731" max="8735" width="8.28515625" style="22" customWidth="1"/>
    <col min="8736" max="8736" width="0.85546875" style="22" customWidth="1"/>
    <col min="8737" max="8741" width="8.28515625" style="22" customWidth="1"/>
    <col min="8742" max="8742" width="0.85546875" style="22" customWidth="1"/>
    <col min="8743" max="8747" width="8.28515625" style="22" customWidth="1"/>
    <col min="8748" max="8748" width="0.85546875" style="22" customWidth="1"/>
    <col min="8749" max="8753" width="8.28515625" style="22" customWidth="1"/>
    <col min="8754" max="8754" width="0.85546875" style="22" customWidth="1"/>
    <col min="8755" max="8759" width="8.28515625" style="22" customWidth="1"/>
    <col min="8760" max="8760" width="0.85546875" style="22" customWidth="1"/>
    <col min="8761" max="8765" width="8.28515625" style="22" customWidth="1"/>
    <col min="8766" max="8766" width="0.85546875" style="22" customWidth="1"/>
    <col min="8767" max="8771" width="8.28515625" style="22" customWidth="1"/>
    <col min="8772" max="8772" width="0.85546875" style="22" customWidth="1"/>
    <col min="8773" max="8777" width="8.28515625" style="22" customWidth="1"/>
    <col min="8778" max="8778" width="0.85546875" style="22" customWidth="1"/>
    <col min="8779" max="8783" width="8.28515625" style="22" customWidth="1"/>
    <col min="8784" max="8784" width="0.85546875" style="22" customWidth="1"/>
    <col min="8785" max="8789" width="8.28515625" style="22" customWidth="1"/>
    <col min="8790" max="8790" width="0.85546875" style="22" customWidth="1"/>
    <col min="8791" max="8795" width="8.28515625" style="22" customWidth="1"/>
    <col min="8796" max="8960" width="9.140625" style="22"/>
    <col min="8961" max="8961" width="25.7109375" style="22" customWidth="1"/>
    <col min="8962" max="8962" width="0.85546875" style="22" customWidth="1"/>
    <col min="8963" max="8967" width="8.28515625" style="22" customWidth="1"/>
    <col min="8968" max="8968" width="0.85546875" style="22" customWidth="1"/>
    <col min="8969" max="8973" width="8.28515625" style="22" customWidth="1"/>
    <col min="8974" max="8974" width="0.85546875" style="22" customWidth="1"/>
    <col min="8975" max="8979" width="8.28515625" style="22" customWidth="1"/>
    <col min="8980" max="8980" width="0.85546875" style="22" customWidth="1"/>
    <col min="8981" max="8985" width="8.28515625" style="22" customWidth="1"/>
    <col min="8986" max="8986" width="0.85546875" style="22" customWidth="1"/>
    <col min="8987" max="8991" width="8.28515625" style="22" customWidth="1"/>
    <col min="8992" max="8992" width="0.85546875" style="22" customWidth="1"/>
    <col min="8993" max="8997" width="8.28515625" style="22" customWidth="1"/>
    <col min="8998" max="8998" width="0.85546875" style="22" customWidth="1"/>
    <col min="8999" max="9003" width="8.28515625" style="22" customWidth="1"/>
    <col min="9004" max="9004" width="0.85546875" style="22" customWidth="1"/>
    <col min="9005" max="9009" width="8.28515625" style="22" customWidth="1"/>
    <col min="9010" max="9010" width="0.85546875" style="22" customWidth="1"/>
    <col min="9011" max="9015" width="8.28515625" style="22" customWidth="1"/>
    <col min="9016" max="9016" width="0.85546875" style="22" customWidth="1"/>
    <col min="9017" max="9021" width="8.28515625" style="22" customWidth="1"/>
    <col min="9022" max="9022" width="0.85546875" style="22" customWidth="1"/>
    <col min="9023" max="9027" width="8.28515625" style="22" customWidth="1"/>
    <col min="9028" max="9028" width="0.85546875" style="22" customWidth="1"/>
    <col min="9029" max="9033" width="8.28515625" style="22" customWidth="1"/>
    <col min="9034" max="9034" width="0.85546875" style="22" customWidth="1"/>
    <col min="9035" max="9039" width="8.28515625" style="22" customWidth="1"/>
    <col min="9040" max="9040" width="0.85546875" style="22" customWidth="1"/>
    <col min="9041" max="9045" width="8.28515625" style="22" customWidth="1"/>
    <col min="9046" max="9046" width="0.85546875" style="22" customWidth="1"/>
    <col min="9047" max="9051" width="8.28515625" style="22" customWidth="1"/>
    <col min="9052" max="9216" width="9.140625" style="22"/>
    <col min="9217" max="9217" width="25.7109375" style="22" customWidth="1"/>
    <col min="9218" max="9218" width="0.85546875" style="22" customWidth="1"/>
    <col min="9219" max="9223" width="8.28515625" style="22" customWidth="1"/>
    <col min="9224" max="9224" width="0.85546875" style="22" customWidth="1"/>
    <col min="9225" max="9229" width="8.28515625" style="22" customWidth="1"/>
    <col min="9230" max="9230" width="0.85546875" style="22" customWidth="1"/>
    <col min="9231" max="9235" width="8.28515625" style="22" customWidth="1"/>
    <col min="9236" max="9236" width="0.85546875" style="22" customWidth="1"/>
    <col min="9237" max="9241" width="8.28515625" style="22" customWidth="1"/>
    <col min="9242" max="9242" width="0.85546875" style="22" customWidth="1"/>
    <col min="9243" max="9247" width="8.28515625" style="22" customWidth="1"/>
    <col min="9248" max="9248" width="0.85546875" style="22" customWidth="1"/>
    <col min="9249" max="9253" width="8.28515625" style="22" customWidth="1"/>
    <col min="9254" max="9254" width="0.85546875" style="22" customWidth="1"/>
    <col min="9255" max="9259" width="8.28515625" style="22" customWidth="1"/>
    <col min="9260" max="9260" width="0.85546875" style="22" customWidth="1"/>
    <col min="9261" max="9265" width="8.28515625" style="22" customWidth="1"/>
    <col min="9266" max="9266" width="0.85546875" style="22" customWidth="1"/>
    <col min="9267" max="9271" width="8.28515625" style="22" customWidth="1"/>
    <col min="9272" max="9272" width="0.85546875" style="22" customWidth="1"/>
    <col min="9273" max="9277" width="8.28515625" style="22" customWidth="1"/>
    <col min="9278" max="9278" width="0.85546875" style="22" customWidth="1"/>
    <col min="9279" max="9283" width="8.28515625" style="22" customWidth="1"/>
    <col min="9284" max="9284" width="0.85546875" style="22" customWidth="1"/>
    <col min="9285" max="9289" width="8.28515625" style="22" customWidth="1"/>
    <col min="9290" max="9290" width="0.85546875" style="22" customWidth="1"/>
    <col min="9291" max="9295" width="8.28515625" style="22" customWidth="1"/>
    <col min="9296" max="9296" width="0.85546875" style="22" customWidth="1"/>
    <col min="9297" max="9301" width="8.28515625" style="22" customWidth="1"/>
    <col min="9302" max="9302" width="0.85546875" style="22" customWidth="1"/>
    <col min="9303" max="9307" width="8.28515625" style="22" customWidth="1"/>
    <col min="9308" max="9472" width="9.140625" style="22"/>
    <col min="9473" max="9473" width="25.7109375" style="22" customWidth="1"/>
    <col min="9474" max="9474" width="0.85546875" style="22" customWidth="1"/>
    <col min="9475" max="9479" width="8.28515625" style="22" customWidth="1"/>
    <col min="9480" max="9480" width="0.85546875" style="22" customWidth="1"/>
    <col min="9481" max="9485" width="8.28515625" style="22" customWidth="1"/>
    <col min="9486" max="9486" width="0.85546875" style="22" customWidth="1"/>
    <col min="9487" max="9491" width="8.28515625" style="22" customWidth="1"/>
    <col min="9492" max="9492" width="0.85546875" style="22" customWidth="1"/>
    <col min="9493" max="9497" width="8.28515625" style="22" customWidth="1"/>
    <col min="9498" max="9498" width="0.85546875" style="22" customWidth="1"/>
    <col min="9499" max="9503" width="8.28515625" style="22" customWidth="1"/>
    <col min="9504" max="9504" width="0.85546875" style="22" customWidth="1"/>
    <col min="9505" max="9509" width="8.28515625" style="22" customWidth="1"/>
    <col min="9510" max="9510" width="0.85546875" style="22" customWidth="1"/>
    <col min="9511" max="9515" width="8.28515625" style="22" customWidth="1"/>
    <col min="9516" max="9516" width="0.85546875" style="22" customWidth="1"/>
    <col min="9517" max="9521" width="8.28515625" style="22" customWidth="1"/>
    <col min="9522" max="9522" width="0.85546875" style="22" customWidth="1"/>
    <col min="9523" max="9527" width="8.28515625" style="22" customWidth="1"/>
    <col min="9528" max="9528" width="0.85546875" style="22" customWidth="1"/>
    <col min="9529" max="9533" width="8.28515625" style="22" customWidth="1"/>
    <col min="9534" max="9534" width="0.85546875" style="22" customWidth="1"/>
    <col min="9535" max="9539" width="8.28515625" style="22" customWidth="1"/>
    <col min="9540" max="9540" width="0.85546875" style="22" customWidth="1"/>
    <col min="9541" max="9545" width="8.28515625" style="22" customWidth="1"/>
    <col min="9546" max="9546" width="0.85546875" style="22" customWidth="1"/>
    <col min="9547" max="9551" width="8.28515625" style="22" customWidth="1"/>
    <col min="9552" max="9552" width="0.85546875" style="22" customWidth="1"/>
    <col min="9553" max="9557" width="8.28515625" style="22" customWidth="1"/>
    <col min="9558" max="9558" width="0.85546875" style="22" customWidth="1"/>
    <col min="9559" max="9563" width="8.28515625" style="22" customWidth="1"/>
    <col min="9564" max="9728" width="9.140625" style="22"/>
    <col min="9729" max="9729" width="25.7109375" style="22" customWidth="1"/>
    <col min="9730" max="9730" width="0.85546875" style="22" customWidth="1"/>
    <col min="9731" max="9735" width="8.28515625" style="22" customWidth="1"/>
    <col min="9736" max="9736" width="0.85546875" style="22" customWidth="1"/>
    <col min="9737" max="9741" width="8.28515625" style="22" customWidth="1"/>
    <col min="9742" max="9742" width="0.85546875" style="22" customWidth="1"/>
    <col min="9743" max="9747" width="8.28515625" style="22" customWidth="1"/>
    <col min="9748" max="9748" width="0.85546875" style="22" customWidth="1"/>
    <col min="9749" max="9753" width="8.28515625" style="22" customWidth="1"/>
    <col min="9754" max="9754" width="0.85546875" style="22" customWidth="1"/>
    <col min="9755" max="9759" width="8.28515625" style="22" customWidth="1"/>
    <col min="9760" max="9760" width="0.85546875" style="22" customWidth="1"/>
    <col min="9761" max="9765" width="8.28515625" style="22" customWidth="1"/>
    <col min="9766" max="9766" width="0.85546875" style="22" customWidth="1"/>
    <col min="9767" max="9771" width="8.28515625" style="22" customWidth="1"/>
    <col min="9772" max="9772" width="0.85546875" style="22" customWidth="1"/>
    <col min="9773" max="9777" width="8.28515625" style="22" customWidth="1"/>
    <col min="9778" max="9778" width="0.85546875" style="22" customWidth="1"/>
    <col min="9779" max="9783" width="8.28515625" style="22" customWidth="1"/>
    <col min="9784" max="9784" width="0.85546875" style="22" customWidth="1"/>
    <col min="9785" max="9789" width="8.28515625" style="22" customWidth="1"/>
    <col min="9790" max="9790" width="0.85546875" style="22" customWidth="1"/>
    <col min="9791" max="9795" width="8.28515625" style="22" customWidth="1"/>
    <col min="9796" max="9796" width="0.85546875" style="22" customWidth="1"/>
    <col min="9797" max="9801" width="8.28515625" style="22" customWidth="1"/>
    <col min="9802" max="9802" width="0.85546875" style="22" customWidth="1"/>
    <col min="9803" max="9807" width="8.28515625" style="22" customWidth="1"/>
    <col min="9808" max="9808" width="0.85546875" style="22" customWidth="1"/>
    <col min="9809" max="9813" width="8.28515625" style="22" customWidth="1"/>
    <col min="9814" max="9814" width="0.85546875" style="22" customWidth="1"/>
    <col min="9815" max="9819" width="8.28515625" style="22" customWidth="1"/>
    <col min="9820" max="9984" width="9.140625" style="22"/>
    <col min="9985" max="9985" width="25.7109375" style="22" customWidth="1"/>
    <col min="9986" max="9986" width="0.85546875" style="22" customWidth="1"/>
    <col min="9987" max="9991" width="8.28515625" style="22" customWidth="1"/>
    <col min="9992" max="9992" width="0.85546875" style="22" customWidth="1"/>
    <col min="9993" max="9997" width="8.28515625" style="22" customWidth="1"/>
    <col min="9998" max="9998" width="0.85546875" style="22" customWidth="1"/>
    <col min="9999" max="10003" width="8.28515625" style="22" customWidth="1"/>
    <col min="10004" max="10004" width="0.85546875" style="22" customWidth="1"/>
    <col min="10005" max="10009" width="8.28515625" style="22" customWidth="1"/>
    <col min="10010" max="10010" width="0.85546875" style="22" customWidth="1"/>
    <col min="10011" max="10015" width="8.28515625" style="22" customWidth="1"/>
    <col min="10016" max="10016" width="0.85546875" style="22" customWidth="1"/>
    <col min="10017" max="10021" width="8.28515625" style="22" customWidth="1"/>
    <col min="10022" max="10022" width="0.85546875" style="22" customWidth="1"/>
    <col min="10023" max="10027" width="8.28515625" style="22" customWidth="1"/>
    <col min="10028" max="10028" width="0.85546875" style="22" customWidth="1"/>
    <col min="10029" max="10033" width="8.28515625" style="22" customWidth="1"/>
    <col min="10034" max="10034" width="0.85546875" style="22" customWidth="1"/>
    <col min="10035" max="10039" width="8.28515625" style="22" customWidth="1"/>
    <col min="10040" max="10040" width="0.85546875" style="22" customWidth="1"/>
    <col min="10041" max="10045" width="8.28515625" style="22" customWidth="1"/>
    <col min="10046" max="10046" width="0.85546875" style="22" customWidth="1"/>
    <col min="10047" max="10051" width="8.28515625" style="22" customWidth="1"/>
    <col min="10052" max="10052" width="0.85546875" style="22" customWidth="1"/>
    <col min="10053" max="10057" width="8.28515625" style="22" customWidth="1"/>
    <col min="10058" max="10058" width="0.85546875" style="22" customWidth="1"/>
    <col min="10059" max="10063" width="8.28515625" style="22" customWidth="1"/>
    <col min="10064" max="10064" width="0.85546875" style="22" customWidth="1"/>
    <col min="10065" max="10069" width="8.28515625" style="22" customWidth="1"/>
    <col min="10070" max="10070" width="0.85546875" style="22" customWidth="1"/>
    <col min="10071" max="10075" width="8.28515625" style="22" customWidth="1"/>
    <col min="10076" max="10240" width="9.140625" style="22"/>
    <col min="10241" max="10241" width="25.7109375" style="22" customWidth="1"/>
    <col min="10242" max="10242" width="0.85546875" style="22" customWidth="1"/>
    <col min="10243" max="10247" width="8.28515625" style="22" customWidth="1"/>
    <col min="10248" max="10248" width="0.85546875" style="22" customWidth="1"/>
    <col min="10249" max="10253" width="8.28515625" style="22" customWidth="1"/>
    <col min="10254" max="10254" width="0.85546875" style="22" customWidth="1"/>
    <col min="10255" max="10259" width="8.28515625" style="22" customWidth="1"/>
    <col min="10260" max="10260" width="0.85546875" style="22" customWidth="1"/>
    <col min="10261" max="10265" width="8.28515625" style="22" customWidth="1"/>
    <col min="10266" max="10266" width="0.85546875" style="22" customWidth="1"/>
    <col min="10267" max="10271" width="8.28515625" style="22" customWidth="1"/>
    <col min="10272" max="10272" width="0.85546875" style="22" customWidth="1"/>
    <col min="10273" max="10277" width="8.28515625" style="22" customWidth="1"/>
    <col min="10278" max="10278" width="0.85546875" style="22" customWidth="1"/>
    <col min="10279" max="10283" width="8.28515625" style="22" customWidth="1"/>
    <col min="10284" max="10284" width="0.85546875" style="22" customWidth="1"/>
    <col min="10285" max="10289" width="8.28515625" style="22" customWidth="1"/>
    <col min="10290" max="10290" width="0.85546875" style="22" customWidth="1"/>
    <col min="10291" max="10295" width="8.28515625" style="22" customWidth="1"/>
    <col min="10296" max="10296" width="0.85546875" style="22" customWidth="1"/>
    <col min="10297" max="10301" width="8.28515625" style="22" customWidth="1"/>
    <col min="10302" max="10302" width="0.85546875" style="22" customWidth="1"/>
    <col min="10303" max="10307" width="8.28515625" style="22" customWidth="1"/>
    <col min="10308" max="10308" width="0.85546875" style="22" customWidth="1"/>
    <col min="10309" max="10313" width="8.28515625" style="22" customWidth="1"/>
    <col min="10314" max="10314" width="0.85546875" style="22" customWidth="1"/>
    <col min="10315" max="10319" width="8.28515625" style="22" customWidth="1"/>
    <col min="10320" max="10320" width="0.85546875" style="22" customWidth="1"/>
    <col min="10321" max="10325" width="8.28515625" style="22" customWidth="1"/>
    <col min="10326" max="10326" width="0.85546875" style="22" customWidth="1"/>
    <col min="10327" max="10331" width="8.28515625" style="22" customWidth="1"/>
    <col min="10332" max="10496" width="9.140625" style="22"/>
    <col min="10497" max="10497" width="25.7109375" style="22" customWidth="1"/>
    <col min="10498" max="10498" width="0.85546875" style="22" customWidth="1"/>
    <col min="10499" max="10503" width="8.28515625" style="22" customWidth="1"/>
    <col min="10504" max="10504" width="0.85546875" style="22" customWidth="1"/>
    <col min="10505" max="10509" width="8.28515625" style="22" customWidth="1"/>
    <col min="10510" max="10510" width="0.85546875" style="22" customWidth="1"/>
    <col min="10511" max="10515" width="8.28515625" style="22" customWidth="1"/>
    <col min="10516" max="10516" width="0.85546875" style="22" customWidth="1"/>
    <col min="10517" max="10521" width="8.28515625" style="22" customWidth="1"/>
    <col min="10522" max="10522" width="0.85546875" style="22" customWidth="1"/>
    <col min="10523" max="10527" width="8.28515625" style="22" customWidth="1"/>
    <col min="10528" max="10528" width="0.85546875" style="22" customWidth="1"/>
    <col min="10529" max="10533" width="8.28515625" style="22" customWidth="1"/>
    <col min="10534" max="10534" width="0.85546875" style="22" customWidth="1"/>
    <col min="10535" max="10539" width="8.28515625" style="22" customWidth="1"/>
    <col min="10540" max="10540" width="0.85546875" style="22" customWidth="1"/>
    <col min="10541" max="10545" width="8.28515625" style="22" customWidth="1"/>
    <col min="10546" max="10546" width="0.85546875" style="22" customWidth="1"/>
    <col min="10547" max="10551" width="8.28515625" style="22" customWidth="1"/>
    <col min="10552" max="10552" width="0.85546875" style="22" customWidth="1"/>
    <col min="10553" max="10557" width="8.28515625" style="22" customWidth="1"/>
    <col min="10558" max="10558" width="0.85546875" style="22" customWidth="1"/>
    <col min="10559" max="10563" width="8.28515625" style="22" customWidth="1"/>
    <col min="10564" max="10564" width="0.85546875" style="22" customWidth="1"/>
    <col min="10565" max="10569" width="8.28515625" style="22" customWidth="1"/>
    <col min="10570" max="10570" width="0.85546875" style="22" customWidth="1"/>
    <col min="10571" max="10575" width="8.28515625" style="22" customWidth="1"/>
    <col min="10576" max="10576" width="0.85546875" style="22" customWidth="1"/>
    <col min="10577" max="10581" width="8.28515625" style="22" customWidth="1"/>
    <col min="10582" max="10582" width="0.85546875" style="22" customWidth="1"/>
    <col min="10583" max="10587" width="8.28515625" style="22" customWidth="1"/>
    <col min="10588" max="10752" width="9.140625" style="22"/>
    <col min="10753" max="10753" width="25.7109375" style="22" customWidth="1"/>
    <col min="10754" max="10754" width="0.85546875" style="22" customWidth="1"/>
    <col min="10755" max="10759" width="8.28515625" style="22" customWidth="1"/>
    <col min="10760" max="10760" width="0.85546875" style="22" customWidth="1"/>
    <col min="10761" max="10765" width="8.28515625" style="22" customWidth="1"/>
    <col min="10766" max="10766" width="0.85546875" style="22" customWidth="1"/>
    <col min="10767" max="10771" width="8.28515625" style="22" customWidth="1"/>
    <col min="10772" max="10772" width="0.85546875" style="22" customWidth="1"/>
    <col min="10773" max="10777" width="8.28515625" style="22" customWidth="1"/>
    <col min="10778" max="10778" width="0.85546875" style="22" customWidth="1"/>
    <col min="10779" max="10783" width="8.28515625" style="22" customWidth="1"/>
    <col min="10784" max="10784" width="0.85546875" style="22" customWidth="1"/>
    <col min="10785" max="10789" width="8.28515625" style="22" customWidth="1"/>
    <col min="10790" max="10790" width="0.85546875" style="22" customWidth="1"/>
    <col min="10791" max="10795" width="8.28515625" style="22" customWidth="1"/>
    <col min="10796" max="10796" width="0.85546875" style="22" customWidth="1"/>
    <col min="10797" max="10801" width="8.28515625" style="22" customWidth="1"/>
    <col min="10802" max="10802" width="0.85546875" style="22" customWidth="1"/>
    <col min="10803" max="10807" width="8.28515625" style="22" customWidth="1"/>
    <col min="10808" max="10808" width="0.85546875" style="22" customWidth="1"/>
    <col min="10809" max="10813" width="8.28515625" style="22" customWidth="1"/>
    <col min="10814" max="10814" width="0.85546875" style="22" customWidth="1"/>
    <col min="10815" max="10819" width="8.28515625" style="22" customWidth="1"/>
    <col min="10820" max="10820" width="0.85546875" style="22" customWidth="1"/>
    <col min="10821" max="10825" width="8.28515625" style="22" customWidth="1"/>
    <col min="10826" max="10826" width="0.85546875" style="22" customWidth="1"/>
    <col min="10827" max="10831" width="8.28515625" style="22" customWidth="1"/>
    <col min="10832" max="10832" width="0.85546875" style="22" customWidth="1"/>
    <col min="10833" max="10837" width="8.28515625" style="22" customWidth="1"/>
    <col min="10838" max="10838" width="0.85546875" style="22" customWidth="1"/>
    <col min="10839" max="10843" width="8.28515625" style="22" customWidth="1"/>
    <col min="10844" max="11008" width="9.140625" style="22"/>
    <col min="11009" max="11009" width="25.7109375" style="22" customWidth="1"/>
    <col min="11010" max="11010" width="0.85546875" style="22" customWidth="1"/>
    <col min="11011" max="11015" width="8.28515625" style="22" customWidth="1"/>
    <col min="11016" max="11016" width="0.85546875" style="22" customWidth="1"/>
    <col min="11017" max="11021" width="8.28515625" style="22" customWidth="1"/>
    <col min="11022" max="11022" width="0.85546875" style="22" customWidth="1"/>
    <col min="11023" max="11027" width="8.28515625" style="22" customWidth="1"/>
    <col min="11028" max="11028" width="0.85546875" style="22" customWidth="1"/>
    <col min="11029" max="11033" width="8.28515625" style="22" customWidth="1"/>
    <col min="11034" max="11034" width="0.85546875" style="22" customWidth="1"/>
    <col min="11035" max="11039" width="8.28515625" style="22" customWidth="1"/>
    <col min="11040" max="11040" width="0.85546875" style="22" customWidth="1"/>
    <col min="11041" max="11045" width="8.28515625" style="22" customWidth="1"/>
    <col min="11046" max="11046" width="0.85546875" style="22" customWidth="1"/>
    <col min="11047" max="11051" width="8.28515625" style="22" customWidth="1"/>
    <col min="11052" max="11052" width="0.85546875" style="22" customWidth="1"/>
    <col min="11053" max="11057" width="8.28515625" style="22" customWidth="1"/>
    <col min="11058" max="11058" width="0.85546875" style="22" customWidth="1"/>
    <col min="11059" max="11063" width="8.28515625" style="22" customWidth="1"/>
    <col min="11064" max="11064" width="0.85546875" style="22" customWidth="1"/>
    <col min="11065" max="11069" width="8.28515625" style="22" customWidth="1"/>
    <col min="11070" max="11070" width="0.85546875" style="22" customWidth="1"/>
    <col min="11071" max="11075" width="8.28515625" style="22" customWidth="1"/>
    <col min="11076" max="11076" width="0.85546875" style="22" customWidth="1"/>
    <col min="11077" max="11081" width="8.28515625" style="22" customWidth="1"/>
    <col min="11082" max="11082" width="0.85546875" style="22" customWidth="1"/>
    <col min="11083" max="11087" width="8.28515625" style="22" customWidth="1"/>
    <col min="11088" max="11088" width="0.85546875" style="22" customWidth="1"/>
    <col min="11089" max="11093" width="8.28515625" style="22" customWidth="1"/>
    <col min="11094" max="11094" width="0.85546875" style="22" customWidth="1"/>
    <col min="11095" max="11099" width="8.28515625" style="22" customWidth="1"/>
    <col min="11100" max="11264" width="9.140625" style="22"/>
    <col min="11265" max="11265" width="25.7109375" style="22" customWidth="1"/>
    <col min="11266" max="11266" width="0.85546875" style="22" customWidth="1"/>
    <col min="11267" max="11271" width="8.28515625" style="22" customWidth="1"/>
    <col min="11272" max="11272" width="0.85546875" style="22" customWidth="1"/>
    <col min="11273" max="11277" width="8.28515625" style="22" customWidth="1"/>
    <col min="11278" max="11278" width="0.85546875" style="22" customWidth="1"/>
    <col min="11279" max="11283" width="8.28515625" style="22" customWidth="1"/>
    <col min="11284" max="11284" width="0.85546875" style="22" customWidth="1"/>
    <col min="11285" max="11289" width="8.28515625" style="22" customWidth="1"/>
    <col min="11290" max="11290" width="0.85546875" style="22" customWidth="1"/>
    <col min="11291" max="11295" width="8.28515625" style="22" customWidth="1"/>
    <col min="11296" max="11296" width="0.85546875" style="22" customWidth="1"/>
    <col min="11297" max="11301" width="8.28515625" style="22" customWidth="1"/>
    <col min="11302" max="11302" width="0.85546875" style="22" customWidth="1"/>
    <col min="11303" max="11307" width="8.28515625" style="22" customWidth="1"/>
    <col min="11308" max="11308" width="0.85546875" style="22" customWidth="1"/>
    <col min="11309" max="11313" width="8.28515625" style="22" customWidth="1"/>
    <col min="11314" max="11314" width="0.85546875" style="22" customWidth="1"/>
    <col min="11315" max="11319" width="8.28515625" style="22" customWidth="1"/>
    <col min="11320" max="11320" width="0.85546875" style="22" customWidth="1"/>
    <col min="11321" max="11325" width="8.28515625" style="22" customWidth="1"/>
    <col min="11326" max="11326" width="0.85546875" style="22" customWidth="1"/>
    <col min="11327" max="11331" width="8.28515625" style="22" customWidth="1"/>
    <col min="11332" max="11332" width="0.85546875" style="22" customWidth="1"/>
    <col min="11333" max="11337" width="8.28515625" style="22" customWidth="1"/>
    <col min="11338" max="11338" width="0.85546875" style="22" customWidth="1"/>
    <col min="11339" max="11343" width="8.28515625" style="22" customWidth="1"/>
    <col min="11344" max="11344" width="0.85546875" style="22" customWidth="1"/>
    <col min="11345" max="11349" width="8.28515625" style="22" customWidth="1"/>
    <col min="11350" max="11350" width="0.85546875" style="22" customWidth="1"/>
    <col min="11351" max="11355" width="8.28515625" style="22" customWidth="1"/>
    <col min="11356" max="11520" width="9.140625" style="22"/>
    <col min="11521" max="11521" width="25.7109375" style="22" customWidth="1"/>
    <col min="11522" max="11522" width="0.85546875" style="22" customWidth="1"/>
    <col min="11523" max="11527" width="8.28515625" style="22" customWidth="1"/>
    <col min="11528" max="11528" width="0.85546875" style="22" customWidth="1"/>
    <col min="11529" max="11533" width="8.28515625" style="22" customWidth="1"/>
    <col min="11534" max="11534" width="0.85546875" style="22" customWidth="1"/>
    <col min="11535" max="11539" width="8.28515625" style="22" customWidth="1"/>
    <col min="11540" max="11540" width="0.85546875" style="22" customWidth="1"/>
    <col min="11541" max="11545" width="8.28515625" style="22" customWidth="1"/>
    <col min="11546" max="11546" width="0.85546875" style="22" customWidth="1"/>
    <col min="11547" max="11551" width="8.28515625" style="22" customWidth="1"/>
    <col min="11552" max="11552" width="0.85546875" style="22" customWidth="1"/>
    <col min="11553" max="11557" width="8.28515625" style="22" customWidth="1"/>
    <col min="11558" max="11558" width="0.85546875" style="22" customWidth="1"/>
    <col min="11559" max="11563" width="8.28515625" style="22" customWidth="1"/>
    <col min="11564" max="11564" width="0.85546875" style="22" customWidth="1"/>
    <col min="11565" max="11569" width="8.28515625" style="22" customWidth="1"/>
    <col min="11570" max="11570" width="0.85546875" style="22" customWidth="1"/>
    <col min="11571" max="11575" width="8.28515625" style="22" customWidth="1"/>
    <col min="11576" max="11576" width="0.85546875" style="22" customWidth="1"/>
    <col min="11577" max="11581" width="8.28515625" style="22" customWidth="1"/>
    <col min="11582" max="11582" width="0.85546875" style="22" customWidth="1"/>
    <col min="11583" max="11587" width="8.28515625" style="22" customWidth="1"/>
    <col min="11588" max="11588" width="0.85546875" style="22" customWidth="1"/>
    <col min="11589" max="11593" width="8.28515625" style="22" customWidth="1"/>
    <col min="11594" max="11594" width="0.85546875" style="22" customWidth="1"/>
    <col min="11595" max="11599" width="8.28515625" style="22" customWidth="1"/>
    <col min="11600" max="11600" width="0.85546875" style="22" customWidth="1"/>
    <col min="11601" max="11605" width="8.28515625" style="22" customWidth="1"/>
    <col min="11606" max="11606" width="0.85546875" style="22" customWidth="1"/>
    <col min="11607" max="11611" width="8.28515625" style="22" customWidth="1"/>
    <col min="11612" max="11776" width="9.140625" style="22"/>
    <col min="11777" max="11777" width="25.7109375" style="22" customWidth="1"/>
    <col min="11778" max="11778" width="0.85546875" style="22" customWidth="1"/>
    <col min="11779" max="11783" width="8.28515625" style="22" customWidth="1"/>
    <col min="11784" max="11784" width="0.85546875" style="22" customWidth="1"/>
    <col min="11785" max="11789" width="8.28515625" style="22" customWidth="1"/>
    <col min="11790" max="11790" width="0.85546875" style="22" customWidth="1"/>
    <col min="11791" max="11795" width="8.28515625" style="22" customWidth="1"/>
    <col min="11796" max="11796" width="0.85546875" style="22" customWidth="1"/>
    <col min="11797" max="11801" width="8.28515625" style="22" customWidth="1"/>
    <col min="11802" max="11802" width="0.85546875" style="22" customWidth="1"/>
    <col min="11803" max="11807" width="8.28515625" style="22" customWidth="1"/>
    <col min="11808" max="11808" width="0.85546875" style="22" customWidth="1"/>
    <col min="11809" max="11813" width="8.28515625" style="22" customWidth="1"/>
    <col min="11814" max="11814" width="0.85546875" style="22" customWidth="1"/>
    <col min="11815" max="11819" width="8.28515625" style="22" customWidth="1"/>
    <col min="11820" max="11820" width="0.85546875" style="22" customWidth="1"/>
    <col min="11821" max="11825" width="8.28515625" style="22" customWidth="1"/>
    <col min="11826" max="11826" width="0.85546875" style="22" customWidth="1"/>
    <col min="11827" max="11831" width="8.28515625" style="22" customWidth="1"/>
    <col min="11832" max="11832" width="0.85546875" style="22" customWidth="1"/>
    <col min="11833" max="11837" width="8.28515625" style="22" customWidth="1"/>
    <col min="11838" max="11838" width="0.85546875" style="22" customWidth="1"/>
    <col min="11839" max="11843" width="8.28515625" style="22" customWidth="1"/>
    <col min="11844" max="11844" width="0.85546875" style="22" customWidth="1"/>
    <col min="11845" max="11849" width="8.28515625" style="22" customWidth="1"/>
    <col min="11850" max="11850" width="0.85546875" style="22" customWidth="1"/>
    <col min="11851" max="11855" width="8.28515625" style="22" customWidth="1"/>
    <col min="11856" max="11856" width="0.85546875" style="22" customWidth="1"/>
    <col min="11857" max="11861" width="8.28515625" style="22" customWidth="1"/>
    <col min="11862" max="11862" width="0.85546875" style="22" customWidth="1"/>
    <col min="11863" max="11867" width="8.28515625" style="22" customWidth="1"/>
    <col min="11868" max="12032" width="9.140625" style="22"/>
    <col min="12033" max="12033" width="25.7109375" style="22" customWidth="1"/>
    <col min="12034" max="12034" width="0.85546875" style="22" customWidth="1"/>
    <col min="12035" max="12039" width="8.28515625" style="22" customWidth="1"/>
    <col min="12040" max="12040" width="0.85546875" style="22" customWidth="1"/>
    <col min="12041" max="12045" width="8.28515625" style="22" customWidth="1"/>
    <col min="12046" max="12046" width="0.85546875" style="22" customWidth="1"/>
    <col min="12047" max="12051" width="8.28515625" style="22" customWidth="1"/>
    <col min="12052" max="12052" width="0.85546875" style="22" customWidth="1"/>
    <col min="12053" max="12057" width="8.28515625" style="22" customWidth="1"/>
    <col min="12058" max="12058" width="0.85546875" style="22" customWidth="1"/>
    <col min="12059" max="12063" width="8.28515625" style="22" customWidth="1"/>
    <col min="12064" max="12064" width="0.85546875" style="22" customWidth="1"/>
    <col min="12065" max="12069" width="8.28515625" style="22" customWidth="1"/>
    <col min="12070" max="12070" width="0.85546875" style="22" customWidth="1"/>
    <col min="12071" max="12075" width="8.28515625" style="22" customWidth="1"/>
    <col min="12076" max="12076" width="0.85546875" style="22" customWidth="1"/>
    <col min="12077" max="12081" width="8.28515625" style="22" customWidth="1"/>
    <col min="12082" max="12082" width="0.85546875" style="22" customWidth="1"/>
    <col min="12083" max="12087" width="8.28515625" style="22" customWidth="1"/>
    <col min="12088" max="12088" width="0.85546875" style="22" customWidth="1"/>
    <col min="12089" max="12093" width="8.28515625" style="22" customWidth="1"/>
    <col min="12094" max="12094" width="0.85546875" style="22" customWidth="1"/>
    <col min="12095" max="12099" width="8.28515625" style="22" customWidth="1"/>
    <col min="12100" max="12100" width="0.85546875" style="22" customWidth="1"/>
    <col min="12101" max="12105" width="8.28515625" style="22" customWidth="1"/>
    <col min="12106" max="12106" width="0.85546875" style="22" customWidth="1"/>
    <col min="12107" max="12111" width="8.28515625" style="22" customWidth="1"/>
    <col min="12112" max="12112" width="0.85546875" style="22" customWidth="1"/>
    <col min="12113" max="12117" width="8.28515625" style="22" customWidth="1"/>
    <col min="12118" max="12118" width="0.85546875" style="22" customWidth="1"/>
    <col min="12119" max="12123" width="8.28515625" style="22" customWidth="1"/>
    <col min="12124" max="12288" width="9.140625" style="22"/>
    <col min="12289" max="12289" width="25.7109375" style="22" customWidth="1"/>
    <col min="12290" max="12290" width="0.85546875" style="22" customWidth="1"/>
    <col min="12291" max="12295" width="8.28515625" style="22" customWidth="1"/>
    <col min="12296" max="12296" width="0.85546875" style="22" customWidth="1"/>
    <col min="12297" max="12301" width="8.28515625" style="22" customWidth="1"/>
    <col min="12302" max="12302" width="0.85546875" style="22" customWidth="1"/>
    <col min="12303" max="12307" width="8.28515625" style="22" customWidth="1"/>
    <col min="12308" max="12308" width="0.85546875" style="22" customWidth="1"/>
    <col min="12309" max="12313" width="8.28515625" style="22" customWidth="1"/>
    <col min="12314" max="12314" width="0.85546875" style="22" customWidth="1"/>
    <col min="12315" max="12319" width="8.28515625" style="22" customWidth="1"/>
    <col min="12320" max="12320" width="0.85546875" style="22" customWidth="1"/>
    <col min="12321" max="12325" width="8.28515625" style="22" customWidth="1"/>
    <col min="12326" max="12326" width="0.85546875" style="22" customWidth="1"/>
    <col min="12327" max="12331" width="8.28515625" style="22" customWidth="1"/>
    <col min="12332" max="12332" width="0.85546875" style="22" customWidth="1"/>
    <col min="12333" max="12337" width="8.28515625" style="22" customWidth="1"/>
    <col min="12338" max="12338" width="0.85546875" style="22" customWidth="1"/>
    <col min="12339" max="12343" width="8.28515625" style="22" customWidth="1"/>
    <col min="12344" max="12344" width="0.85546875" style="22" customWidth="1"/>
    <col min="12345" max="12349" width="8.28515625" style="22" customWidth="1"/>
    <col min="12350" max="12350" width="0.85546875" style="22" customWidth="1"/>
    <col min="12351" max="12355" width="8.28515625" style="22" customWidth="1"/>
    <col min="12356" max="12356" width="0.85546875" style="22" customWidth="1"/>
    <col min="12357" max="12361" width="8.28515625" style="22" customWidth="1"/>
    <col min="12362" max="12362" width="0.85546875" style="22" customWidth="1"/>
    <col min="12363" max="12367" width="8.28515625" style="22" customWidth="1"/>
    <col min="12368" max="12368" width="0.85546875" style="22" customWidth="1"/>
    <col min="12369" max="12373" width="8.28515625" style="22" customWidth="1"/>
    <col min="12374" max="12374" width="0.85546875" style="22" customWidth="1"/>
    <col min="12375" max="12379" width="8.28515625" style="22" customWidth="1"/>
    <col min="12380" max="12544" width="9.140625" style="22"/>
    <col min="12545" max="12545" width="25.7109375" style="22" customWidth="1"/>
    <col min="12546" max="12546" width="0.85546875" style="22" customWidth="1"/>
    <col min="12547" max="12551" width="8.28515625" style="22" customWidth="1"/>
    <col min="12552" max="12552" width="0.85546875" style="22" customWidth="1"/>
    <col min="12553" max="12557" width="8.28515625" style="22" customWidth="1"/>
    <col min="12558" max="12558" width="0.85546875" style="22" customWidth="1"/>
    <col min="12559" max="12563" width="8.28515625" style="22" customWidth="1"/>
    <col min="12564" max="12564" width="0.85546875" style="22" customWidth="1"/>
    <col min="12565" max="12569" width="8.28515625" style="22" customWidth="1"/>
    <col min="12570" max="12570" width="0.85546875" style="22" customWidth="1"/>
    <col min="12571" max="12575" width="8.28515625" style="22" customWidth="1"/>
    <col min="12576" max="12576" width="0.85546875" style="22" customWidth="1"/>
    <col min="12577" max="12581" width="8.28515625" style="22" customWidth="1"/>
    <col min="12582" max="12582" width="0.85546875" style="22" customWidth="1"/>
    <col min="12583" max="12587" width="8.28515625" style="22" customWidth="1"/>
    <col min="12588" max="12588" width="0.85546875" style="22" customWidth="1"/>
    <col min="12589" max="12593" width="8.28515625" style="22" customWidth="1"/>
    <col min="12594" max="12594" width="0.85546875" style="22" customWidth="1"/>
    <col min="12595" max="12599" width="8.28515625" style="22" customWidth="1"/>
    <col min="12600" max="12600" width="0.85546875" style="22" customWidth="1"/>
    <col min="12601" max="12605" width="8.28515625" style="22" customWidth="1"/>
    <col min="12606" max="12606" width="0.85546875" style="22" customWidth="1"/>
    <col min="12607" max="12611" width="8.28515625" style="22" customWidth="1"/>
    <col min="12612" max="12612" width="0.85546875" style="22" customWidth="1"/>
    <col min="12613" max="12617" width="8.28515625" style="22" customWidth="1"/>
    <col min="12618" max="12618" width="0.85546875" style="22" customWidth="1"/>
    <col min="12619" max="12623" width="8.28515625" style="22" customWidth="1"/>
    <col min="12624" max="12624" width="0.85546875" style="22" customWidth="1"/>
    <col min="12625" max="12629" width="8.28515625" style="22" customWidth="1"/>
    <col min="12630" max="12630" width="0.85546875" style="22" customWidth="1"/>
    <col min="12631" max="12635" width="8.28515625" style="22" customWidth="1"/>
    <col min="12636" max="12800" width="9.140625" style="22"/>
    <col min="12801" max="12801" width="25.7109375" style="22" customWidth="1"/>
    <col min="12802" max="12802" width="0.85546875" style="22" customWidth="1"/>
    <col min="12803" max="12807" width="8.28515625" style="22" customWidth="1"/>
    <col min="12808" max="12808" width="0.85546875" style="22" customWidth="1"/>
    <col min="12809" max="12813" width="8.28515625" style="22" customWidth="1"/>
    <col min="12814" max="12814" width="0.85546875" style="22" customWidth="1"/>
    <col min="12815" max="12819" width="8.28515625" style="22" customWidth="1"/>
    <col min="12820" max="12820" width="0.85546875" style="22" customWidth="1"/>
    <col min="12821" max="12825" width="8.28515625" style="22" customWidth="1"/>
    <col min="12826" max="12826" width="0.85546875" style="22" customWidth="1"/>
    <col min="12827" max="12831" width="8.28515625" style="22" customWidth="1"/>
    <col min="12832" max="12832" width="0.85546875" style="22" customWidth="1"/>
    <col min="12833" max="12837" width="8.28515625" style="22" customWidth="1"/>
    <col min="12838" max="12838" width="0.85546875" style="22" customWidth="1"/>
    <col min="12839" max="12843" width="8.28515625" style="22" customWidth="1"/>
    <col min="12844" max="12844" width="0.85546875" style="22" customWidth="1"/>
    <col min="12845" max="12849" width="8.28515625" style="22" customWidth="1"/>
    <col min="12850" max="12850" width="0.85546875" style="22" customWidth="1"/>
    <col min="12851" max="12855" width="8.28515625" style="22" customWidth="1"/>
    <col min="12856" max="12856" width="0.85546875" style="22" customWidth="1"/>
    <col min="12857" max="12861" width="8.28515625" style="22" customWidth="1"/>
    <col min="12862" max="12862" width="0.85546875" style="22" customWidth="1"/>
    <col min="12863" max="12867" width="8.28515625" style="22" customWidth="1"/>
    <col min="12868" max="12868" width="0.85546875" style="22" customWidth="1"/>
    <col min="12869" max="12873" width="8.28515625" style="22" customWidth="1"/>
    <col min="12874" max="12874" width="0.85546875" style="22" customWidth="1"/>
    <col min="12875" max="12879" width="8.28515625" style="22" customWidth="1"/>
    <col min="12880" max="12880" width="0.85546875" style="22" customWidth="1"/>
    <col min="12881" max="12885" width="8.28515625" style="22" customWidth="1"/>
    <col min="12886" max="12886" width="0.85546875" style="22" customWidth="1"/>
    <col min="12887" max="12891" width="8.28515625" style="22" customWidth="1"/>
    <col min="12892" max="13056" width="9.140625" style="22"/>
    <col min="13057" max="13057" width="25.7109375" style="22" customWidth="1"/>
    <col min="13058" max="13058" width="0.85546875" style="22" customWidth="1"/>
    <col min="13059" max="13063" width="8.28515625" style="22" customWidth="1"/>
    <col min="13064" max="13064" width="0.85546875" style="22" customWidth="1"/>
    <col min="13065" max="13069" width="8.28515625" style="22" customWidth="1"/>
    <col min="13070" max="13070" width="0.85546875" style="22" customWidth="1"/>
    <col min="13071" max="13075" width="8.28515625" style="22" customWidth="1"/>
    <col min="13076" max="13076" width="0.85546875" style="22" customWidth="1"/>
    <col min="13077" max="13081" width="8.28515625" style="22" customWidth="1"/>
    <col min="13082" max="13082" width="0.85546875" style="22" customWidth="1"/>
    <col min="13083" max="13087" width="8.28515625" style="22" customWidth="1"/>
    <col min="13088" max="13088" width="0.85546875" style="22" customWidth="1"/>
    <col min="13089" max="13093" width="8.28515625" style="22" customWidth="1"/>
    <col min="13094" max="13094" width="0.85546875" style="22" customWidth="1"/>
    <col min="13095" max="13099" width="8.28515625" style="22" customWidth="1"/>
    <col min="13100" max="13100" width="0.85546875" style="22" customWidth="1"/>
    <col min="13101" max="13105" width="8.28515625" style="22" customWidth="1"/>
    <col min="13106" max="13106" width="0.85546875" style="22" customWidth="1"/>
    <col min="13107" max="13111" width="8.28515625" style="22" customWidth="1"/>
    <col min="13112" max="13112" width="0.85546875" style="22" customWidth="1"/>
    <col min="13113" max="13117" width="8.28515625" style="22" customWidth="1"/>
    <col min="13118" max="13118" width="0.85546875" style="22" customWidth="1"/>
    <col min="13119" max="13123" width="8.28515625" style="22" customWidth="1"/>
    <col min="13124" max="13124" width="0.85546875" style="22" customWidth="1"/>
    <col min="13125" max="13129" width="8.28515625" style="22" customWidth="1"/>
    <col min="13130" max="13130" width="0.85546875" style="22" customWidth="1"/>
    <col min="13131" max="13135" width="8.28515625" style="22" customWidth="1"/>
    <col min="13136" max="13136" width="0.85546875" style="22" customWidth="1"/>
    <col min="13137" max="13141" width="8.28515625" style="22" customWidth="1"/>
    <col min="13142" max="13142" width="0.85546875" style="22" customWidth="1"/>
    <col min="13143" max="13147" width="8.28515625" style="22" customWidth="1"/>
    <col min="13148" max="13312" width="9.140625" style="22"/>
    <col min="13313" max="13313" width="25.7109375" style="22" customWidth="1"/>
    <col min="13314" max="13314" width="0.85546875" style="22" customWidth="1"/>
    <col min="13315" max="13319" width="8.28515625" style="22" customWidth="1"/>
    <col min="13320" max="13320" width="0.85546875" style="22" customWidth="1"/>
    <col min="13321" max="13325" width="8.28515625" style="22" customWidth="1"/>
    <col min="13326" max="13326" width="0.85546875" style="22" customWidth="1"/>
    <col min="13327" max="13331" width="8.28515625" style="22" customWidth="1"/>
    <col min="13332" max="13332" width="0.85546875" style="22" customWidth="1"/>
    <col min="13333" max="13337" width="8.28515625" style="22" customWidth="1"/>
    <col min="13338" max="13338" width="0.85546875" style="22" customWidth="1"/>
    <col min="13339" max="13343" width="8.28515625" style="22" customWidth="1"/>
    <col min="13344" max="13344" width="0.85546875" style="22" customWidth="1"/>
    <col min="13345" max="13349" width="8.28515625" style="22" customWidth="1"/>
    <col min="13350" max="13350" width="0.85546875" style="22" customWidth="1"/>
    <col min="13351" max="13355" width="8.28515625" style="22" customWidth="1"/>
    <col min="13356" max="13356" width="0.85546875" style="22" customWidth="1"/>
    <col min="13357" max="13361" width="8.28515625" style="22" customWidth="1"/>
    <col min="13362" max="13362" width="0.85546875" style="22" customWidth="1"/>
    <col min="13363" max="13367" width="8.28515625" style="22" customWidth="1"/>
    <col min="13368" max="13368" width="0.85546875" style="22" customWidth="1"/>
    <col min="13369" max="13373" width="8.28515625" style="22" customWidth="1"/>
    <col min="13374" max="13374" width="0.85546875" style="22" customWidth="1"/>
    <col min="13375" max="13379" width="8.28515625" style="22" customWidth="1"/>
    <col min="13380" max="13380" width="0.85546875" style="22" customWidth="1"/>
    <col min="13381" max="13385" width="8.28515625" style="22" customWidth="1"/>
    <col min="13386" max="13386" width="0.85546875" style="22" customWidth="1"/>
    <col min="13387" max="13391" width="8.28515625" style="22" customWidth="1"/>
    <col min="13392" max="13392" width="0.85546875" style="22" customWidth="1"/>
    <col min="13393" max="13397" width="8.28515625" style="22" customWidth="1"/>
    <col min="13398" max="13398" width="0.85546875" style="22" customWidth="1"/>
    <col min="13399" max="13403" width="8.28515625" style="22" customWidth="1"/>
    <col min="13404" max="13568" width="9.140625" style="22"/>
    <col min="13569" max="13569" width="25.7109375" style="22" customWidth="1"/>
    <col min="13570" max="13570" width="0.85546875" style="22" customWidth="1"/>
    <col min="13571" max="13575" width="8.28515625" style="22" customWidth="1"/>
    <col min="13576" max="13576" width="0.85546875" style="22" customWidth="1"/>
    <col min="13577" max="13581" width="8.28515625" style="22" customWidth="1"/>
    <col min="13582" max="13582" width="0.85546875" style="22" customWidth="1"/>
    <col min="13583" max="13587" width="8.28515625" style="22" customWidth="1"/>
    <col min="13588" max="13588" width="0.85546875" style="22" customWidth="1"/>
    <col min="13589" max="13593" width="8.28515625" style="22" customWidth="1"/>
    <col min="13594" max="13594" width="0.85546875" style="22" customWidth="1"/>
    <col min="13595" max="13599" width="8.28515625" style="22" customWidth="1"/>
    <col min="13600" max="13600" width="0.85546875" style="22" customWidth="1"/>
    <col min="13601" max="13605" width="8.28515625" style="22" customWidth="1"/>
    <col min="13606" max="13606" width="0.85546875" style="22" customWidth="1"/>
    <col min="13607" max="13611" width="8.28515625" style="22" customWidth="1"/>
    <col min="13612" max="13612" width="0.85546875" style="22" customWidth="1"/>
    <col min="13613" max="13617" width="8.28515625" style="22" customWidth="1"/>
    <col min="13618" max="13618" width="0.85546875" style="22" customWidth="1"/>
    <col min="13619" max="13623" width="8.28515625" style="22" customWidth="1"/>
    <col min="13624" max="13624" width="0.85546875" style="22" customWidth="1"/>
    <col min="13625" max="13629" width="8.28515625" style="22" customWidth="1"/>
    <col min="13630" max="13630" width="0.85546875" style="22" customWidth="1"/>
    <col min="13631" max="13635" width="8.28515625" style="22" customWidth="1"/>
    <col min="13636" max="13636" width="0.85546875" style="22" customWidth="1"/>
    <col min="13637" max="13641" width="8.28515625" style="22" customWidth="1"/>
    <col min="13642" max="13642" width="0.85546875" style="22" customWidth="1"/>
    <col min="13643" max="13647" width="8.28515625" style="22" customWidth="1"/>
    <col min="13648" max="13648" width="0.85546875" style="22" customWidth="1"/>
    <col min="13649" max="13653" width="8.28515625" style="22" customWidth="1"/>
    <col min="13654" max="13654" width="0.85546875" style="22" customWidth="1"/>
    <col min="13655" max="13659" width="8.28515625" style="22" customWidth="1"/>
    <col min="13660" max="13824" width="9.140625" style="22"/>
    <col min="13825" max="13825" width="25.7109375" style="22" customWidth="1"/>
    <col min="13826" max="13826" width="0.85546875" style="22" customWidth="1"/>
    <col min="13827" max="13831" width="8.28515625" style="22" customWidth="1"/>
    <col min="13832" max="13832" width="0.85546875" style="22" customWidth="1"/>
    <col min="13833" max="13837" width="8.28515625" style="22" customWidth="1"/>
    <col min="13838" max="13838" width="0.85546875" style="22" customWidth="1"/>
    <col min="13839" max="13843" width="8.28515625" style="22" customWidth="1"/>
    <col min="13844" max="13844" width="0.85546875" style="22" customWidth="1"/>
    <col min="13845" max="13849" width="8.28515625" style="22" customWidth="1"/>
    <col min="13850" max="13850" width="0.85546875" style="22" customWidth="1"/>
    <col min="13851" max="13855" width="8.28515625" style="22" customWidth="1"/>
    <col min="13856" max="13856" width="0.85546875" style="22" customWidth="1"/>
    <col min="13857" max="13861" width="8.28515625" style="22" customWidth="1"/>
    <col min="13862" max="13862" width="0.85546875" style="22" customWidth="1"/>
    <col min="13863" max="13867" width="8.28515625" style="22" customWidth="1"/>
    <col min="13868" max="13868" width="0.85546875" style="22" customWidth="1"/>
    <col min="13869" max="13873" width="8.28515625" style="22" customWidth="1"/>
    <col min="13874" max="13874" width="0.85546875" style="22" customWidth="1"/>
    <col min="13875" max="13879" width="8.28515625" style="22" customWidth="1"/>
    <col min="13880" max="13880" width="0.85546875" style="22" customWidth="1"/>
    <col min="13881" max="13885" width="8.28515625" style="22" customWidth="1"/>
    <col min="13886" max="13886" width="0.85546875" style="22" customWidth="1"/>
    <col min="13887" max="13891" width="8.28515625" style="22" customWidth="1"/>
    <col min="13892" max="13892" width="0.85546875" style="22" customWidth="1"/>
    <col min="13893" max="13897" width="8.28515625" style="22" customWidth="1"/>
    <col min="13898" max="13898" width="0.85546875" style="22" customWidth="1"/>
    <col min="13899" max="13903" width="8.28515625" style="22" customWidth="1"/>
    <col min="13904" max="13904" width="0.85546875" style="22" customWidth="1"/>
    <col min="13905" max="13909" width="8.28515625" style="22" customWidth="1"/>
    <col min="13910" max="13910" width="0.85546875" style="22" customWidth="1"/>
    <col min="13911" max="13915" width="8.28515625" style="22" customWidth="1"/>
    <col min="13916" max="14080" width="9.140625" style="22"/>
    <col min="14081" max="14081" width="25.7109375" style="22" customWidth="1"/>
    <col min="14082" max="14082" width="0.85546875" style="22" customWidth="1"/>
    <col min="14083" max="14087" width="8.28515625" style="22" customWidth="1"/>
    <col min="14088" max="14088" width="0.85546875" style="22" customWidth="1"/>
    <col min="14089" max="14093" width="8.28515625" style="22" customWidth="1"/>
    <col min="14094" max="14094" width="0.85546875" style="22" customWidth="1"/>
    <col min="14095" max="14099" width="8.28515625" style="22" customWidth="1"/>
    <col min="14100" max="14100" width="0.85546875" style="22" customWidth="1"/>
    <col min="14101" max="14105" width="8.28515625" style="22" customWidth="1"/>
    <col min="14106" max="14106" width="0.85546875" style="22" customWidth="1"/>
    <col min="14107" max="14111" width="8.28515625" style="22" customWidth="1"/>
    <col min="14112" max="14112" width="0.85546875" style="22" customWidth="1"/>
    <col min="14113" max="14117" width="8.28515625" style="22" customWidth="1"/>
    <col min="14118" max="14118" width="0.85546875" style="22" customWidth="1"/>
    <col min="14119" max="14123" width="8.28515625" style="22" customWidth="1"/>
    <col min="14124" max="14124" width="0.85546875" style="22" customWidth="1"/>
    <col min="14125" max="14129" width="8.28515625" style="22" customWidth="1"/>
    <col min="14130" max="14130" width="0.85546875" style="22" customWidth="1"/>
    <col min="14131" max="14135" width="8.28515625" style="22" customWidth="1"/>
    <col min="14136" max="14136" width="0.85546875" style="22" customWidth="1"/>
    <col min="14137" max="14141" width="8.28515625" style="22" customWidth="1"/>
    <col min="14142" max="14142" width="0.85546875" style="22" customWidth="1"/>
    <col min="14143" max="14147" width="8.28515625" style="22" customWidth="1"/>
    <col min="14148" max="14148" width="0.85546875" style="22" customWidth="1"/>
    <col min="14149" max="14153" width="8.28515625" style="22" customWidth="1"/>
    <col min="14154" max="14154" width="0.85546875" style="22" customWidth="1"/>
    <col min="14155" max="14159" width="8.28515625" style="22" customWidth="1"/>
    <col min="14160" max="14160" width="0.85546875" style="22" customWidth="1"/>
    <col min="14161" max="14165" width="8.28515625" style="22" customWidth="1"/>
    <col min="14166" max="14166" width="0.85546875" style="22" customWidth="1"/>
    <col min="14167" max="14171" width="8.28515625" style="22" customWidth="1"/>
    <col min="14172" max="14336" width="9.140625" style="22"/>
    <col min="14337" max="14337" width="25.7109375" style="22" customWidth="1"/>
    <col min="14338" max="14338" width="0.85546875" style="22" customWidth="1"/>
    <col min="14339" max="14343" width="8.28515625" style="22" customWidth="1"/>
    <col min="14344" max="14344" width="0.85546875" style="22" customWidth="1"/>
    <col min="14345" max="14349" width="8.28515625" style="22" customWidth="1"/>
    <col min="14350" max="14350" width="0.85546875" style="22" customWidth="1"/>
    <col min="14351" max="14355" width="8.28515625" style="22" customWidth="1"/>
    <col min="14356" max="14356" width="0.85546875" style="22" customWidth="1"/>
    <col min="14357" max="14361" width="8.28515625" style="22" customWidth="1"/>
    <col min="14362" max="14362" width="0.85546875" style="22" customWidth="1"/>
    <col min="14363" max="14367" width="8.28515625" style="22" customWidth="1"/>
    <col min="14368" max="14368" width="0.85546875" style="22" customWidth="1"/>
    <col min="14369" max="14373" width="8.28515625" style="22" customWidth="1"/>
    <col min="14374" max="14374" width="0.85546875" style="22" customWidth="1"/>
    <col min="14375" max="14379" width="8.28515625" style="22" customWidth="1"/>
    <col min="14380" max="14380" width="0.85546875" style="22" customWidth="1"/>
    <col min="14381" max="14385" width="8.28515625" style="22" customWidth="1"/>
    <col min="14386" max="14386" width="0.85546875" style="22" customWidth="1"/>
    <col min="14387" max="14391" width="8.28515625" style="22" customWidth="1"/>
    <col min="14392" max="14392" width="0.85546875" style="22" customWidth="1"/>
    <col min="14393" max="14397" width="8.28515625" style="22" customWidth="1"/>
    <col min="14398" max="14398" width="0.85546875" style="22" customWidth="1"/>
    <col min="14399" max="14403" width="8.28515625" style="22" customWidth="1"/>
    <col min="14404" max="14404" width="0.85546875" style="22" customWidth="1"/>
    <col min="14405" max="14409" width="8.28515625" style="22" customWidth="1"/>
    <col min="14410" max="14410" width="0.85546875" style="22" customWidth="1"/>
    <col min="14411" max="14415" width="8.28515625" style="22" customWidth="1"/>
    <col min="14416" max="14416" width="0.85546875" style="22" customWidth="1"/>
    <col min="14417" max="14421" width="8.28515625" style="22" customWidth="1"/>
    <col min="14422" max="14422" width="0.85546875" style="22" customWidth="1"/>
    <col min="14423" max="14427" width="8.28515625" style="22" customWidth="1"/>
    <col min="14428" max="14592" width="9.140625" style="22"/>
    <col min="14593" max="14593" width="25.7109375" style="22" customWidth="1"/>
    <col min="14594" max="14594" width="0.85546875" style="22" customWidth="1"/>
    <col min="14595" max="14599" width="8.28515625" style="22" customWidth="1"/>
    <col min="14600" max="14600" width="0.85546875" style="22" customWidth="1"/>
    <col min="14601" max="14605" width="8.28515625" style="22" customWidth="1"/>
    <col min="14606" max="14606" width="0.85546875" style="22" customWidth="1"/>
    <col min="14607" max="14611" width="8.28515625" style="22" customWidth="1"/>
    <col min="14612" max="14612" width="0.85546875" style="22" customWidth="1"/>
    <col min="14613" max="14617" width="8.28515625" style="22" customWidth="1"/>
    <col min="14618" max="14618" width="0.85546875" style="22" customWidth="1"/>
    <col min="14619" max="14623" width="8.28515625" style="22" customWidth="1"/>
    <col min="14624" max="14624" width="0.85546875" style="22" customWidth="1"/>
    <col min="14625" max="14629" width="8.28515625" style="22" customWidth="1"/>
    <col min="14630" max="14630" width="0.85546875" style="22" customWidth="1"/>
    <col min="14631" max="14635" width="8.28515625" style="22" customWidth="1"/>
    <col min="14636" max="14636" width="0.85546875" style="22" customWidth="1"/>
    <col min="14637" max="14641" width="8.28515625" style="22" customWidth="1"/>
    <col min="14642" max="14642" width="0.85546875" style="22" customWidth="1"/>
    <col min="14643" max="14647" width="8.28515625" style="22" customWidth="1"/>
    <col min="14648" max="14648" width="0.85546875" style="22" customWidth="1"/>
    <col min="14649" max="14653" width="8.28515625" style="22" customWidth="1"/>
    <col min="14654" max="14654" width="0.85546875" style="22" customWidth="1"/>
    <col min="14655" max="14659" width="8.28515625" style="22" customWidth="1"/>
    <col min="14660" max="14660" width="0.85546875" style="22" customWidth="1"/>
    <col min="14661" max="14665" width="8.28515625" style="22" customWidth="1"/>
    <col min="14666" max="14666" width="0.85546875" style="22" customWidth="1"/>
    <col min="14667" max="14671" width="8.28515625" style="22" customWidth="1"/>
    <col min="14672" max="14672" width="0.85546875" style="22" customWidth="1"/>
    <col min="14673" max="14677" width="8.28515625" style="22" customWidth="1"/>
    <col min="14678" max="14678" width="0.85546875" style="22" customWidth="1"/>
    <col min="14679" max="14683" width="8.28515625" style="22" customWidth="1"/>
    <col min="14684" max="14848" width="9.140625" style="22"/>
    <col min="14849" max="14849" width="25.7109375" style="22" customWidth="1"/>
    <col min="14850" max="14850" width="0.85546875" style="22" customWidth="1"/>
    <col min="14851" max="14855" width="8.28515625" style="22" customWidth="1"/>
    <col min="14856" max="14856" width="0.85546875" style="22" customWidth="1"/>
    <col min="14857" max="14861" width="8.28515625" style="22" customWidth="1"/>
    <col min="14862" max="14862" width="0.85546875" style="22" customWidth="1"/>
    <col min="14863" max="14867" width="8.28515625" style="22" customWidth="1"/>
    <col min="14868" max="14868" width="0.85546875" style="22" customWidth="1"/>
    <col min="14869" max="14873" width="8.28515625" style="22" customWidth="1"/>
    <col min="14874" max="14874" width="0.85546875" style="22" customWidth="1"/>
    <col min="14875" max="14879" width="8.28515625" style="22" customWidth="1"/>
    <col min="14880" max="14880" width="0.85546875" style="22" customWidth="1"/>
    <col min="14881" max="14885" width="8.28515625" style="22" customWidth="1"/>
    <col min="14886" max="14886" width="0.85546875" style="22" customWidth="1"/>
    <col min="14887" max="14891" width="8.28515625" style="22" customWidth="1"/>
    <col min="14892" max="14892" width="0.85546875" style="22" customWidth="1"/>
    <col min="14893" max="14897" width="8.28515625" style="22" customWidth="1"/>
    <col min="14898" max="14898" width="0.85546875" style="22" customWidth="1"/>
    <col min="14899" max="14903" width="8.28515625" style="22" customWidth="1"/>
    <col min="14904" max="14904" width="0.85546875" style="22" customWidth="1"/>
    <col min="14905" max="14909" width="8.28515625" style="22" customWidth="1"/>
    <col min="14910" max="14910" width="0.85546875" style="22" customWidth="1"/>
    <col min="14911" max="14915" width="8.28515625" style="22" customWidth="1"/>
    <col min="14916" max="14916" width="0.85546875" style="22" customWidth="1"/>
    <col min="14917" max="14921" width="8.28515625" style="22" customWidth="1"/>
    <col min="14922" max="14922" width="0.85546875" style="22" customWidth="1"/>
    <col min="14923" max="14927" width="8.28515625" style="22" customWidth="1"/>
    <col min="14928" max="14928" width="0.85546875" style="22" customWidth="1"/>
    <col min="14929" max="14933" width="8.28515625" style="22" customWidth="1"/>
    <col min="14934" max="14934" width="0.85546875" style="22" customWidth="1"/>
    <col min="14935" max="14939" width="8.28515625" style="22" customWidth="1"/>
    <col min="14940" max="15104" width="9.140625" style="22"/>
    <col min="15105" max="15105" width="25.7109375" style="22" customWidth="1"/>
    <col min="15106" max="15106" width="0.85546875" style="22" customWidth="1"/>
    <col min="15107" max="15111" width="8.28515625" style="22" customWidth="1"/>
    <col min="15112" max="15112" width="0.85546875" style="22" customWidth="1"/>
    <col min="15113" max="15117" width="8.28515625" style="22" customWidth="1"/>
    <col min="15118" max="15118" width="0.85546875" style="22" customWidth="1"/>
    <col min="15119" max="15123" width="8.28515625" style="22" customWidth="1"/>
    <col min="15124" max="15124" width="0.85546875" style="22" customWidth="1"/>
    <col min="15125" max="15129" width="8.28515625" style="22" customWidth="1"/>
    <col min="15130" max="15130" width="0.85546875" style="22" customWidth="1"/>
    <col min="15131" max="15135" width="8.28515625" style="22" customWidth="1"/>
    <col min="15136" max="15136" width="0.85546875" style="22" customWidth="1"/>
    <col min="15137" max="15141" width="8.28515625" style="22" customWidth="1"/>
    <col min="15142" max="15142" width="0.85546875" style="22" customWidth="1"/>
    <col min="15143" max="15147" width="8.28515625" style="22" customWidth="1"/>
    <col min="15148" max="15148" width="0.85546875" style="22" customWidth="1"/>
    <col min="15149" max="15153" width="8.28515625" style="22" customWidth="1"/>
    <col min="15154" max="15154" width="0.85546875" style="22" customWidth="1"/>
    <col min="15155" max="15159" width="8.28515625" style="22" customWidth="1"/>
    <col min="15160" max="15160" width="0.85546875" style="22" customWidth="1"/>
    <col min="15161" max="15165" width="8.28515625" style="22" customWidth="1"/>
    <col min="15166" max="15166" width="0.85546875" style="22" customWidth="1"/>
    <col min="15167" max="15171" width="8.28515625" style="22" customWidth="1"/>
    <col min="15172" max="15172" width="0.85546875" style="22" customWidth="1"/>
    <col min="15173" max="15177" width="8.28515625" style="22" customWidth="1"/>
    <col min="15178" max="15178" width="0.85546875" style="22" customWidth="1"/>
    <col min="15179" max="15183" width="8.28515625" style="22" customWidth="1"/>
    <col min="15184" max="15184" width="0.85546875" style="22" customWidth="1"/>
    <col min="15185" max="15189" width="8.28515625" style="22" customWidth="1"/>
    <col min="15190" max="15190" width="0.85546875" style="22" customWidth="1"/>
    <col min="15191" max="15195" width="8.28515625" style="22" customWidth="1"/>
    <col min="15196" max="15360" width="9.140625" style="22"/>
    <col min="15361" max="15361" width="25.7109375" style="22" customWidth="1"/>
    <col min="15362" max="15362" width="0.85546875" style="22" customWidth="1"/>
    <col min="15363" max="15367" width="8.28515625" style="22" customWidth="1"/>
    <col min="15368" max="15368" width="0.85546875" style="22" customWidth="1"/>
    <col min="15369" max="15373" width="8.28515625" style="22" customWidth="1"/>
    <col min="15374" max="15374" width="0.85546875" style="22" customWidth="1"/>
    <col min="15375" max="15379" width="8.28515625" style="22" customWidth="1"/>
    <col min="15380" max="15380" width="0.85546875" style="22" customWidth="1"/>
    <col min="15381" max="15385" width="8.28515625" style="22" customWidth="1"/>
    <col min="15386" max="15386" width="0.85546875" style="22" customWidth="1"/>
    <col min="15387" max="15391" width="8.28515625" style="22" customWidth="1"/>
    <col min="15392" max="15392" width="0.85546875" style="22" customWidth="1"/>
    <col min="15393" max="15397" width="8.28515625" style="22" customWidth="1"/>
    <col min="15398" max="15398" width="0.85546875" style="22" customWidth="1"/>
    <col min="15399" max="15403" width="8.28515625" style="22" customWidth="1"/>
    <col min="15404" max="15404" width="0.85546875" style="22" customWidth="1"/>
    <col min="15405" max="15409" width="8.28515625" style="22" customWidth="1"/>
    <col min="15410" max="15410" width="0.85546875" style="22" customWidth="1"/>
    <col min="15411" max="15415" width="8.28515625" style="22" customWidth="1"/>
    <col min="15416" max="15416" width="0.85546875" style="22" customWidth="1"/>
    <col min="15417" max="15421" width="8.28515625" style="22" customWidth="1"/>
    <col min="15422" max="15422" width="0.85546875" style="22" customWidth="1"/>
    <col min="15423" max="15427" width="8.28515625" style="22" customWidth="1"/>
    <col min="15428" max="15428" width="0.85546875" style="22" customWidth="1"/>
    <col min="15429" max="15433" width="8.28515625" style="22" customWidth="1"/>
    <col min="15434" max="15434" width="0.85546875" style="22" customWidth="1"/>
    <col min="15435" max="15439" width="8.28515625" style="22" customWidth="1"/>
    <col min="15440" max="15440" width="0.85546875" style="22" customWidth="1"/>
    <col min="15441" max="15445" width="8.28515625" style="22" customWidth="1"/>
    <col min="15446" max="15446" width="0.85546875" style="22" customWidth="1"/>
    <col min="15447" max="15451" width="8.28515625" style="22" customWidth="1"/>
    <col min="15452" max="15616" width="9.140625" style="22"/>
    <col min="15617" max="15617" width="25.7109375" style="22" customWidth="1"/>
    <col min="15618" max="15618" width="0.85546875" style="22" customWidth="1"/>
    <col min="15619" max="15623" width="8.28515625" style="22" customWidth="1"/>
    <col min="15624" max="15624" width="0.85546875" style="22" customWidth="1"/>
    <col min="15625" max="15629" width="8.28515625" style="22" customWidth="1"/>
    <col min="15630" max="15630" width="0.85546875" style="22" customWidth="1"/>
    <col min="15631" max="15635" width="8.28515625" style="22" customWidth="1"/>
    <col min="15636" max="15636" width="0.85546875" style="22" customWidth="1"/>
    <col min="15637" max="15641" width="8.28515625" style="22" customWidth="1"/>
    <col min="15642" max="15642" width="0.85546875" style="22" customWidth="1"/>
    <col min="15643" max="15647" width="8.28515625" style="22" customWidth="1"/>
    <col min="15648" max="15648" width="0.85546875" style="22" customWidth="1"/>
    <col min="15649" max="15653" width="8.28515625" style="22" customWidth="1"/>
    <col min="15654" max="15654" width="0.85546875" style="22" customWidth="1"/>
    <col min="15655" max="15659" width="8.28515625" style="22" customWidth="1"/>
    <col min="15660" max="15660" width="0.85546875" style="22" customWidth="1"/>
    <col min="15661" max="15665" width="8.28515625" style="22" customWidth="1"/>
    <col min="15666" max="15666" width="0.85546875" style="22" customWidth="1"/>
    <col min="15667" max="15671" width="8.28515625" style="22" customWidth="1"/>
    <col min="15672" max="15672" width="0.85546875" style="22" customWidth="1"/>
    <col min="15673" max="15677" width="8.28515625" style="22" customWidth="1"/>
    <col min="15678" max="15678" width="0.85546875" style="22" customWidth="1"/>
    <col min="15679" max="15683" width="8.28515625" style="22" customWidth="1"/>
    <col min="15684" max="15684" width="0.85546875" style="22" customWidth="1"/>
    <col min="15685" max="15689" width="8.28515625" style="22" customWidth="1"/>
    <col min="15690" max="15690" width="0.85546875" style="22" customWidth="1"/>
    <col min="15691" max="15695" width="8.28515625" style="22" customWidth="1"/>
    <col min="15696" max="15696" width="0.85546875" style="22" customWidth="1"/>
    <col min="15697" max="15701" width="8.28515625" style="22" customWidth="1"/>
    <col min="15702" max="15702" width="0.85546875" style="22" customWidth="1"/>
    <col min="15703" max="15707" width="8.28515625" style="22" customWidth="1"/>
    <col min="15708" max="15872" width="9.140625" style="22"/>
    <col min="15873" max="15873" width="25.7109375" style="22" customWidth="1"/>
    <col min="15874" max="15874" width="0.85546875" style="22" customWidth="1"/>
    <col min="15875" max="15879" width="8.28515625" style="22" customWidth="1"/>
    <col min="15880" max="15880" width="0.85546875" style="22" customWidth="1"/>
    <col min="15881" max="15885" width="8.28515625" style="22" customWidth="1"/>
    <col min="15886" max="15886" width="0.85546875" style="22" customWidth="1"/>
    <col min="15887" max="15891" width="8.28515625" style="22" customWidth="1"/>
    <col min="15892" max="15892" width="0.85546875" style="22" customWidth="1"/>
    <col min="15893" max="15897" width="8.28515625" style="22" customWidth="1"/>
    <col min="15898" max="15898" width="0.85546875" style="22" customWidth="1"/>
    <col min="15899" max="15903" width="8.28515625" style="22" customWidth="1"/>
    <col min="15904" max="15904" width="0.85546875" style="22" customWidth="1"/>
    <col min="15905" max="15909" width="8.28515625" style="22" customWidth="1"/>
    <col min="15910" max="15910" width="0.85546875" style="22" customWidth="1"/>
    <col min="15911" max="15915" width="8.28515625" style="22" customWidth="1"/>
    <col min="15916" max="15916" width="0.85546875" style="22" customWidth="1"/>
    <col min="15917" max="15921" width="8.28515625" style="22" customWidth="1"/>
    <col min="15922" max="15922" width="0.85546875" style="22" customWidth="1"/>
    <col min="15923" max="15927" width="8.28515625" style="22" customWidth="1"/>
    <col min="15928" max="15928" width="0.85546875" style="22" customWidth="1"/>
    <col min="15929" max="15933" width="8.28515625" style="22" customWidth="1"/>
    <col min="15934" max="15934" width="0.85546875" style="22" customWidth="1"/>
    <col min="15935" max="15939" width="8.28515625" style="22" customWidth="1"/>
    <col min="15940" max="15940" width="0.85546875" style="22" customWidth="1"/>
    <col min="15941" max="15945" width="8.28515625" style="22" customWidth="1"/>
    <col min="15946" max="15946" width="0.85546875" style="22" customWidth="1"/>
    <col min="15947" max="15951" width="8.28515625" style="22" customWidth="1"/>
    <col min="15952" max="15952" width="0.85546875" style="22" customWidth="1"/>
    <col min="15953" max="15957" width="8.28515625" style="22" customWidth="1"/>
    <col min="15958" max="15958" width="0.85546875" style="22" customWidth="1"/>
    <col min="15959" max="15963" width="8.28515625" style="22" customWidth="1"/>
    <col min="15964" max="16128" width="9.140625" style="22"/>
    <col min="16129" max="16129" width="25.7109375" style="22" customWidth="1"/>
    <col min="16130" max="16130" width="0.85546875" style="22" customWidth="1"/>
    <col min="16131" max="16135" width="8.28515625" style="22" customWidth="1"/>
    <col min="16136" max="16136" width="0.85546875" style="22" customWidth="1"/>
    <col min="16137" max="16141" width="8.28515625" style="22" customWidth="1"/>
    <col min="16142" max="16142" width="0.85546875" style="22" customWidth="1"/>
    <col min="16143" max="16147" width="8.28515625" style="22" customWidth="1"/>
    <col min="16148" max="16148" width="0.85546875" style="22" customWidth="1"/>
    <col min="16149" max="16153" width="8.28515625" style="22" customWidth="1"/>
    <col min="16154" max="16154" width="0.85546875" style="22" customWidth="1"/>
    <col min="16155" max="16159" width="8.28515625" style="22" customWidth="1"/>
    <col min="16160" max="16160" width="0.85546875" style="22" customWidth="1"/>
    <col min="16161" max="16165" width="8.28515625" style="22" customWidth="1"/>
    <col min="16166" max="16166" width="0.85546875" style="22" customWidth="1"/>
    <col min="16167" max="16171" width="8.28515625" style="22" customWidth="1"/>
    <col min="16172" max="16172" width="0.85546875" style="22" customWidth="1"/>
    <col min="16173" max="16177" width="8.28515625" style="22" customWidth="1"/>
    <col min="16178" max="16178" width="0.85546875" style="22" customWidth="1"/>
    <col min="16179" max="16183" width="8.28515625" style="22" customWidth="1"/>
    <col min="16184" max="16184" width="0.85546875" style="22" customWidth="1"/>
    <col min="16185" max="16189" width="8.28515625" style="22" customWidth="1"/>
    <col min="16190" max="16190" width="0.85546875" style="22" customWidth="1"/>
    <col min="16191" max="16195" width="8.28515625" style="22" customWidth="1"/>
    <col min="16196" max="16196" width="0.85546875" style="22" customWidth="1"/>
    <col min="16197" max="16201" width="8.28515625" style="22" customWidth="1"/>
    <col min="16202" max="16202" width="0.85546875" style="22" customWidth="1"/>
    <col min="16203" max="16207" width="8.28515625" style="22" customWidth="1"/>
    <col min="16208" max="16208" width="0.85546875" style="22" customWidth="1"/>
    <col min="16209" max="16213" width="8.28515625" style="22" customWidth="1"/>
    <col min="16214" max="16214" width="0.85546875" style="22" customWidth="1"/>
    <col min="16215" max="16219" width="8.28515625" style="22" customWidth="1"/>
    <col min="16220" max="16384" width="9.140625" style="22"/>
  </cols>
  <sheetData>
    <row r="1" spans="1:91" s="3" customFormat="1" x14ac:dyDescent="0.2">
      <c r="A1" s="2" t="str">
        <f>TOC!$A$4</f>
        <v>Becton Dickinson</v>
      </c>
    </row>
    <row r="2" spans="1:91" s="3" customFormat="1" x14ac:dyDescent="0.2">
      <c r="A2" s="4" t="s">
        <v>2</v>
      </c>
      <c r="B2" s="5"/>
      <c r="C2" s="5"/>
      <c r="D2" s="5"/>
      <c r="E2" s="5"/>
      <c r="F2" s="5"/>
      <c r="G2" s="5"/>
      <c r="H2" s="5"/>
      <c r="I2" s="5"/>
      <c r="J2" s="5"/>
      <c r="K2" s="5"/>
      <c r="L2" s="5"/>
      <c r="M2" s="5"/>
      <c r="N2" s="5"/>
      <c r="O2" s="5"/>
      <c r="P2" s="5"/>
      <c r="Q2" s="5"/>
      <c r="R2" s="5"/>
      <c r="S2" s="5"/>
      <c r="T2" s="5"/>
      <c r="U2" s="5"/>
      <c r="V2" s="5"/>
      <c r="W2" s="5"/>
      <c r="X2" s="5"/>
      <c r="Y2" s="5"/>
      <c r="Z2" s="5"/>
      <c r="AA2" s="5"/>
      <c r="AB2" s="5"/>
      <c r="AC2" s="6"/>
      <c r="AD2" s="5"/>
      <c r="AE2" s="5"/>
      <c r="AF2" s="5"/>
      <c r="AG2" s="5"/>
      <c r="AH2" s="5"/>
      <c r="AI2" s="5"/>
      <c r="AJ2" s="5"/>
      <c r="AK2" s="7"/>
      <c r="AL2" s="5"/>
      <c r="AM2" s="5"/>
      <c r="AN2" s="5"/>
      <c r="AO2" s="6"/>
      <c r="AP2" s="6"/>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row>
    <row r="3" spans="1:91" s="3" customFormat="1" ht="11.25" x14ac:dyDescent="0.2">
      <c r="A3" s="8" t="s">
        <v>0</v>
      </c>
      <c r="AO3" s="9"/>
      <c r="AP3" s="9"/>
    </row>
    <row r="4" spans="1:91" s="3" customFormat="1" ht="11.25" x14ac:dyDescent="0.2">
      <c r="A4" s="8" t="s">
        <v>1</v>
      </c>
      <c r="AO4" s="9"/>
      <c r="AP4" s="9"/>
    </row>
    <row r="5" spans="1:91" s="3" customFormat="1" ht="11.25" x14ac:dyDescent="0.2">
      <c r="A5" s="10"/>
      <c r="B5" s="11"/>
      <c r="C5" s="12">
        <v>2007</v>
      </c>
      <c r="D5" s="13"/>
      <c r="E5" s="13"/>
      <c r="F5" s="13"/>
      <c r="G5" s="14">
        <f>C5</f>
        <v>2007</v>
      </c>
      <c r="H5" s="15"/>
      <c r="I5" s="12">
        <f>C5+1</f>
        <v>2008</v>
      </c>
      <c r="J5" s="13"/>
      <c r="K5" s="13"/>
      <c r="L5" s="13"/>
      <c r="M5" s="14">
        <f>I5</f>
        <v>2008</v>
      </c>
      <c r="N5" s="16"/>
      <c r="O5" s="12">
        <f>I5+1</f>
        <v>2009</v>
      </c>
      <c r="P5" s="13"/>
      <c r="Q5" s="13"/>
      <c r="R5" s="13"/>
      <c r="S5" s="14">
        <f>O5</f>
        <v>2009</v>
      </c>
      <c r="T5" s="16"/>
      <c r="U5" s="12">
        <f>O5+1</f>
        <v>2010</v>
      </c>
      <c r="V5" s="13"/>
      <c r="W5" s="13"/>
      <c r="X5" s="13"/>
      <c r="Y5" s="14">
        <f>U5</f>
        <v>2010</v>
      </c>
      <c r="Z5" s="16"/>
      <c r="AA5" s="12">
        <f>U5+1</f>
        <v>2011</v>
      </c>
      <c r="AB5" s="13"/>
      <c r="AC5" s="13"/>
      <c r="AD5" s="13"/>
      <c r="AE5" s="14">
        <f>AA5</f>
        <v>2011</v>
      </c>
      <c r="AF5" s="16"/>
      <c r="AG5" s="12">
        <f>AA5+1</f>
        <v>2012</v>
      </c>
      <c r="AH5" s="13"/>
      <c r="AI5" s="13"/>
      <c r="AJ5" s="13"/>
      <c r="AK5" s="14">
        <f>AG5</f>
        <v>2012</v>
      </c>
      <c r="AL5" s="16"/>
      <c r="AM5" s="12">
        <f>AG5+1</f>
        <v>2013</v>
      </c>
      <c r="AN5" s="13"/>
      <c r="AO5" s="13"/>
      <c r="AP5" s="13"/>
      <c r="AQ5" s="14">
        <f>AM5</f>
        <v>2013</v>
      </c>
      <c r="AR5" s="16"/>
      <c r="AS5" s="12">
        <f>AM5+1</f>
        <v>2014</v>
      </c>
      <c r="AT5" s="13"/>
      <c r="AU5" s="13"/>
      <c r="AV5" s="13"/>
      <c r="AW5" s="14">
        <f>AS5</f>
        <v>2014</v>
      </c>
      <c r="AX5" s="16"/>
      <c r="AY5" s="12">
        <f>AS5+1</f>
        <v>2015</v>
      </c>
      <c r="AZ5" s="13"/>
      <c r="BA5" s="13"/>
      <c r="BB5" s="13"/>
      <c r="BC5" s="14">
        <f>AY5</f>
        <v>2015</v>
      </c>
      <c r="BD5" s="16"/>
      <c r="BE5" s="12">
        <f>AY5+1</f>
        <v>2016</v>
      </c>
      <c r="BF5" s="13"/>
      <c r="BG5" s="13"/>
      <c r="BH5" s="13"/>
      <c r="BI5" s="14">
        <f>BE5</f>
        <v>2016</v>
      </c>
      <c r="BJ5" s="16"/>
      <c r="BK5" s="17">
        <f>BE5+1</f>
        <v>2017</v>
      </c>
      <c r="BL5" s="13"/>
      <c r="BM5" s="13"/>
      <c r="BN5" s="13"/>
      <c r="BO5" s="18">
        <f>BK5</f>
        <v>2017</v>
      </c>
      <c r="BP5" s="16"/>
      <c r="BQ5" s="17">
        <f>BK5+1</f>
        <v>2018</v>
      </c>
      <c r="BR5" s="13"/>
      <c r="BS5" s="13"/>
      <c r="BT5" s="13"/>
      <c r="BU5" s="18">
        <f>BQ5</f>
        <v>2018</v>
      </c>
      <c r="BV5" s="16"/>
      <c r="BW5" s="17">
        <f>BQ5+1</f>
        <v>2019</v>
      </c>
      <c r="BX5" s="13"/>
      <c r="BY5" s="13"/>
      <c r="BZ5" s="13"/>
      <c r="CA5" s="18">
        <f>BW5</f>
        <v>2019</v>
      </c>
      <c r="CB5" s="16"/>
      <c r="CC5" s="17">
        <f>BW5+1</f>
        <v>2020</v>
      </c>
      <c r="CD5" s="13"/>
      <c r="CE5" s="13"/>
      <c r="CF5" s="13"/>
      <c r="CG5" s="18">
        <f>CC5</f>
        <v>2020</v>
      </c>
      <c r="CH5" s="16"/>
      <c r="CI5" s="17">
        <f>CC5+1</f>
        <v>2021</v>
      </c>
      <c r="CJ5" s="13"/>
      <c r="CK5" s="13"/>
      <c r="CL5" s="13"/>
      <c r="CM5" s="18">
        <f>CI5</f>
        <v>2021</v>
      </c>
    </row>
    <row r="6" spans="1:91" s="3" customFormat="1" ht="11.25" x14ac:dyDescent="0.2">
      <c r="A6" s="10"/>
      <c r="B6" s="11"/>
      <c r="C6" s="19">
        <v>39082</v>
      </c>
      <c r="D6" s="19">
        <v>39172</v>
      </c>
      <c r="E6" s="19">
        <v>39263</v>
      </c>
      <c r="F6" s="19">
        <v>39355</v>
      </c>
      <c r="G6" s="15"/>
      <c r="H6" s="15"/>
      <c r="I6" s="19">
        <f>F6+FLOOR(365/4,1)+1</f>
        <v>39447</v>
      </c>
      <c r="J6" s="19">
        <f>D6+365+1</f>
        <v>39538</v>
      </c>
      <c r="K6" s="19">
        <f>J6+FLOOR(365/4,1)</f>
        <v>39629</v>
      </c>
      <c r="L6" s="19">
        <f>K6+FLOOR(365/4,1)+1</f>
        <v>39721</v>
      </c>
      <c r="M6" s="15"/>
      <c r="N6" s="16"/>
      <c r="O6" s="19">
        <f>L6+FLOOR(365/4,1)+1</f>
        <v>39813</v>
      </c>
      <c r="P6" s="19">
        <f>J6+365</f>
        <v>39903</v>
      </c>
      <c r="Q6" s="19">
        <f>P6+FLOOR(365/4,1)</f>
        <v>39994</v>
      </c>
      <c r="R6" s="19">
        <f>Q6+FLOOR(365/4,1)+1</f>
        <v>40086</v>
      </c>
      <c r="S6" s="15"/>
      <c r="T6" s="16"/>
      <c r="U6" s="19">
        <f>R6+FLOOR(365/4,1)+1</f>
        <v>40178</v>
      </c>
      <c r="V6" s="19">
        <f>P6+365</f>
        <v>40268</v>
      </c>
      <c r="W6" s="19">
        <f>V6+FLOOR(365/4,1)</f>
        <v>40359</v>
      </c>
      <c r="X6" s="19">
        <f>W6+FLOOR(365/4,1)+1</f>
        <v>40451</v>
      </c>
      <c r="Y6" s="15"/>
      <c r="Z6" s="16"/>
      <c r="AA6" s="19">
        <f>X6+FLOOR(365/4,1)+1</f>
        <v>40543</v>
      </c>
      <c r="AB6" s="19">
        <f>V6+365</f>
        <v>40633</v>
      </c>
      <c r="AC6" s="19">
        <f>AB6+FLOOR(365/4,1)</f>
        <v>40724</v>
      </c>
      <c r="AD6" s="19">
        <f>AC6+FLOOR(365/4,1)+1</f>
        <v>40816</v>
      </c>
      <c r="AE6" s="15"/>
      <c r="AF6" s="16"/>
      <c r="AG6" s="19">
        <f>AD6+FLOOR(365/4,1)+1</f>
        <v>40908</v>
      </c>
      <c r="AH6" s="19">
        <f>AB6+365+1</f>
        <v>40999</v>
      </c>
      <c r="AI6" s="19">
        <f>AH6+FLOOR(365/4,1)</f>
        <v>41090</v>
      </c>
      <c r="AJ6" s="19">
        <f>AI6+FLOOR(365/4,1)+1</f>
        <v>41182</v>
      </c>
      <c r="AK6" s="15"/>
      <c r="AL6" s="16"/>
      <c r="AM6" s="19">
        <f>AJ6+FLOOR(365/4,1)+1</f>
        <v>41274</v>
      </c>
      <c r="AN6" s="19">
        <f>AH6+365</f>
        <v>41364</v>
      </c>
      <c r="AO6" s="19">
        <f>AN6+FLOOR(365/4,1)</f>
        <v>41455</v>
      </c>
      <c r="AP6" s="19">
        <f>AO6+FLOOR(365/4,1)+1</f>
        <v>41547</v>
      </c>
      <c r="AQ6" s="15"/>
      <c r="AR6" s="16"/>
      <c r="AS6" s="19">
        <f>AP6+FLOOR(365/4,1)+1</f>
        <v>41639</v>
      </c>
      <c r="AT6" s="19">
        <f>AN6+365</f>
        <v>41729</v>
      </c>
      <c r="AU6" s="19">
        <f>AT6+FLOOR(365/4,1)</f>
        <v>41820</v>
      </c>
      <c r="AV6" s="19">
        <f>AU6+FLOOR(365/4,1)+1</f>
        <v>41912</v>
      </c>
      <c r="AW6" s="15"/>
      <c r="AX6" s="16"/>
      <c r="AY6" s="20">
        <f>AV6+FLOOR(365/4,1)+1</f>
        <v>42004</v>
      </c>
      <c r="AZ6" s="20">
        <f>AT6+365</f>
        <v>42094</v>
      </c>
      <c r="BA6" s="20">
        <f>AZ6+FLOOR(365/4,1)</f>
        <v>42185</v>
      </c>
      <c r="BB6" s="20">
        <f>BA6+FLOOR(365/4,1)+1</f>
        <v>42277</v>
      </c>
      <c r="BC6" s="15"/>
      <c r="BD6" s="16"/>
      <c r="BE6" s="20">
        <f>BB6+FLOOR(365/4,1)+1</f>
        <v>42369</v>
      </c>
      <c r="BF6" s="20">
        <f>AZ6+365+1</f>
        <v>42460</v>
      </c>
      <c r="BG6" s="20">
        <f>BF6+FLOOR(365/4,1)</f>
        <v>42551</v>
      </c>
      <c r="BH6" s="20">
        <f>BG6+FLOOR(365/4,1)+1</f>
        <v>42643</v>
      </c>
      <c r="BI6" s="15"/>
      <c r="BJ6" s="16"/>
      <c r="BK6" s="20">
        <f>BH6+FLOOR(365/4,1)+1</f>
        <v>42735</v>
      </c>
      <c r="BL6" s="20">
        <f>BF6+365</f>
        <v>42825</v>
      </c>
      <c r="BM6" s="20">
        <f>BL6+FLOOR(365/4,1)</f>
        <v>42916</v>
      </c>
      <c r="BN6" s="20">
        <f>BM6+FLOOR(365/4,1)+1</f>
        <v>43008</v>
      </c>
      <c r="BO6" s="15"/>
      <c r="BP6" s="16"/>
      <c r="BQ6" s="20">
        <f>BN6+FLOOR(365/4,1)+1</f>
        <v>43100</v>
      </c>
      <c r="BR6" s="21">
        <f>BL6+365</f>
        <v>43190</v>
      </c>
      <c r="BS6" s="21">
        <f>BR6+FLOOR(365/4,1)</f>
        <v>43281</v>
      </c>
      <c r="BT6" s="21">
        <f>BS6+FLOOR(365/4,1)+1</f>
        <v>43373</v>
      </c>
      <c r="BU6" s="15"/>
      <c r="BV6" s="16"/>
      <c r="BW6" s="21">
        <f>BT6+FLOOR(365/4,1)+1</f>
        <v>43465</v>
      </c>
      <c r="BX6" s="21">
        <f>BR6+365</f>
        <v>43555</v>
      </c>
      <c r="BY6" s="21">
        <f>BX6+FLOOR(365/4,1)</f>
        <v>43646</v>
      </c>
      <c r="BZ6" s="21">
        <f>BY6+FLOOR(365/4,1)+1</f>
        <v>43738</v>
      </c>
      <c r="CA6" s="15"/>
      <c r="CB6" s="16"/>
      <c r="CC6" s="21">
        <f>BZ6+FLOOR(365/4,1)+1</f>
        <v>43830</v>
      </c>
      <c r="CD6" s="21">
        <f>BX6+365+1</f>
        <v>43921</v>
      </c>
      <c r="CE6" s="21">
        <f>CD6+FLOOR(365/4,1)</f>
        <v>44012</v>
      </c>
      <c r="CF6" s="21">
        <f>CE6+FLOOR(365/4,1)+1</f>
        <v>44104</v>
      </c>
      <c r="CG6" s="15"/>
      <c r="CH6" s="16"/>
      <c r="CI6" s="21">
        <f>CF6+FLOOR(365/4,1)+1</f>
        <v>44196</v>
      </c>
      <c r="CJ6" s="21">
        <f>CD6+365</f>
        <v>44286</v>
      </c>
      <c r="CK6" s="21">
        <f>CJ6+FLOOR(365/4,1)</f>
        <v>44377</v>
      </c>
      <c r="CL6" s="21">
        <f>CK6+FLOOR(365/4,1)+1</f>
        <v>44469</v>
      </c>
      <c r="CM6" s="15"/>
    </row>
    <row r="7" spans="1:91" s="25" customFormat="1" ht="11.25" x14ac:dyDescent="0.2">
      <c r="A7" s="663" t="s">
        <v>3</v>
      </c>
      <c r="B7" s="692"/>
      <c r="C7" s="716"/>
      <c r="D7" s="692"/>
      <c r="E7" s="692"/>
      <c r="F7" s="693"/>
      <c r="G7" s="731"/>
      <c r="H7" s="692"/>
      <c r="I7" s="716"/>
      <c r="J7" s="692"/>
      <c r="K7" s="692"/>
      <c r="L7" s="693"/>
      <c r="M7" s="731"/>
      <c r="N7" s="692"/>
      <c r="O7" s="716"/>
      <c r="P7" s="692"/>
      <c r="Q7" s="692"/>
      <c r="R7" s="693"/>
      <c r="S7" s="731"/>
      <c r="T7" s="692"/>
      <c r="U7" s="716"/>
      <c r="V7" s="692"/>
      <c r="W7" s="692"/>
      <c r="X7" s="693"/>
      <c r="Y7" s="731"/>
      <c r="Z7" s="692"/>
      <c r="AA7" s="716"/>
      <c r="AB7" s="692"/>
      <c r="AC7" s="692"/>
      <c r="AD7" s="693"/>
      <c r="AE7" s="731"/>
      <c r="AF7" s="692"/>
      <c r="AG7" s="716"/>
      <c r="AH7" s="692"/>
      <c r="AI7" s="692"/>
      <c r="AJ7" s="693"/>
      <c r="AK7" s="731"/>
      <c r="AL7" s="692"/>
      <c r="AM7" s="716"/>
      <c r="AN7" s="692"/>
      <c r="AO7" s="692"/>
      <c r="AP7" s="692"/>
      <c r="AQ7" s="731"/>
      <c r="AR7" s="692"/>
      <c r="AS7" s="716"/>
      <c r="AT7" s="692"/>
      <c r="AU7" s="692"/>
      <c r="AV7" s="692"/>
      <c r="AW7" s="731"/>
      <c r="AX7" s="692"/>
      <c r="AY7" s="748" t="s">
        <v>300</v>
      </c>
      <c r="AZ7" s="692"/>
      <c r="BA7" s="692"/>
      <c r="BB7" s="693"/>
      <c r="BC7" s="731"/>
      <c r="BD7" s="692"/>
      <c r="BE7" s="748" t="s">
        <v>112</v>
      </c>
      <c r="BF7" s="692"/>
      <c r="BG7" s="692"/>
      <c r="BH7" s="693"/>
      <c r="BI7" s="731"/>
      <c r="BJ7" s="692"/>
      <c r="BK7" s="716"/>
      <c r="BL7" s="692"/>
      <c r="BM7" s="692"/>
      <c r="BN7" s="693"/>
      <c r="BO7" s="731"/>
      <c r="BP7" s="692"/>
      <c r="BQ7" s="716"/>
      <c r="BR7" s="692"/>
      <c r="BS7" s="692"/>
      <c r="BT7" s="693"/>
      <c r="BU7" s="731"/>
      <c r="BV7" s="692"/>
      <c r="BW7" s="716"/>
      <c r="BX7" s="692"/>
      <c r="BY7" s="692"/>
      <c r="BZ7" s="693"/>
      <c r="CA7" s="731"/>
      <c r="CB7" s="692"/>
      <c r="CC7" s="716"/>
      <c r="CD7" s="692"/>
      <c r="CE7" s="692"/>
      <c r="CF7" s="693"/>
      <c r="CG7" s="731"/>
      <c r="CH7" s="692"/>
      <c r="CI7" s="716"/>
      <c r="CJ7" s="692"/>
      <c r="CK7" s="692"/>
      <c r="CL7" s="693"/>
      <c r="CM7" s="731"/>
    </row>
    <row r="8" spans="1:91" s="25" customFormat="1" ht="11.25" hidden="1" outlineLevel="1" x14ac:dyDescent="0.2">
      <c r="A8" s="694" t="s">
        <v>4</v>
      </c>
      <c r="B8" s="665"/>
      <c r="C8" s="308">
        <v>242.30099999999999</v>
      </c>
      <c r="D8" s="309">
        <v>230.881</v>
      </c>
      <c r="E8" s="309">
        <v>238.36</v>
      </c>
      <c r="F8" s="310">
        <v>243.42699999999999</v>
      </c>
      <c r="G8" s="311">
        <v>954.96900000000005</v>
      </c>
      <c r="H8" s="116"/>
      <c r="I8" s="308">
        <v>252.745</v>
      </c>
      <c r="J8" s="309">
        <v>232.447</v>
      </c>
      <c r="K8" s="309">
        <v>243.96</v>
      </c>
      <c r="L8" s="310">
        <v>248.11099999999999</v>
      </c>
      <c r="M8" s="115">
        <f>SUM(I8:L8)</f>
        <v>977.26300000000003</v>
      </c>
      <c r="N8" s="116"/>
      <c r="O8" s="308">
        <v>244.03700000000001</v>
      </c>
      <c r="P8" s="309">
        <v>231.041</v>
      </c>
      <c r="Q8" s="309">
        <v>244.077</v>
      </c>
      <c r="R8" s="310">
        <v>255.16800000000001</v>
      </c>
      <c r="S8" s="115">
        <f>SUM(O8:R8)</f>
        <v>974.32299999999998</v>
      </c>
      <c r="T8" s="116"/>
      <c r="U8" s="308">
        <v>273.99099999999999</v>
      </c>
      <c r="V8" s="309">
        <v>237.17400000000001</v>
      </c>
      <c r="W8" s="309">
        <v>239.86600000000001</v>
      </c>
      <c r="X8" s="310">
        <v>256.29000000000002</v>
      </c>
      <c r="Y8" s="115">
        <f>SUM(U8:X8)</f>
        <v>1007.3209999999999</v>
      </c>
      <c r="Z8" s="116"/>
      <c r="AA8" s="308">
        <v>254.25399999999999</v>
      </c>
      <c r="AB8" s="309">
        <v>234.571</v>
      </c>
      <c r="AC8" s="309">
        <v>244.756</v>
      </c>
      <c r="AD8" s="310">
        <v>246.74600000000001</v>
      </c>
      <c r="AE8" s="115">
        <f>SUM(AA8:AD8)</f>
        <v>980.327</v>
      </c>
      <c r="AF8" s="116"/>
      <c r="AG8" s="308">
        <v>248.41499999999999</v>
      </c>
      <c r="AH8" s="309">
        <v>237.59899999999999</v>
      </c>
      <c r="AI8" s="309">
        <v>241.32</v>
      </c>
      <c r="AJ8" s="310">
        <v>250.66399999999999</v>
      </c>
      <c r="AK8" s="115">
        <f>SUM(AG8:AJ8)</f>
        <v>977.99800000000005</v>
      </c>
      <c r="AL8" s="116"/>
      <c r="AM8" s="308">
        <v>249.19200000000001</v>
      </c>
      <c r="AN8" s="309">
        <v>235.624</v>
      </c>
      <c r="AO8" s="309">
        <v>245.869</v>
      </c>
      <c r="AP8" s="309">
        <v>252</v>
      </c>
      <c r="AQ8" s="115">
        <f>SUM(AM8:AP8)</f>
        <v>982.68500000000006</v>
      </c>
      <c r="AR8" s="116"/>
      <c r="AS8" s="308">
        <v>262</v>
      </c>
      <c r="AT8" s="309">
        <v>240</v>
      </c>
      <c r="AU8" s="309">
        <v>256.39999999999998</v>
      </c>
      <c r="AV8" s="309">
        <v>256.89999999999998</v>
      </c>
      <c r="AW8" s="115">
        <f>SUM(AS8:AV8)</f>
        <v>1015.3</v>
      </c>
      <c r="AX8" s="116"/>
      <c r="AY8" s="312">
        <v>267.8</v>
      </c>
      <c r="AZ8" s="309">
        <v>255.7</v>
      </c>
      <c r="BA8" s="318">
        <v>479</v>
      </c>
      <c r="BB8" s="313">
        <v>481</v>
      </c>
      <c r="BC8" s="315">
        <f>SUM(AY8:BB8)</f>
        <v>1483.5</v>
      </c>
      <c r="BD8" s="665"/>
      <c r="BE8" s="669">
        <v>468</v>
      </c>
      <c r="BF8" s="657">
        <v>458</v>
      </c>
      <c r="BG8" s="657">
        <v>465</v>
      </c>
      <c r="BH8" s="676">
        <v>492</v>
      </c>
      <c r="BI8" s="733">
        <f>SUM(BE8:BH8)</f>
        <v>1883</v>
      </c>
      <c r="BJ8" s="665"/>
      <c r="BK8" s="669">
        <v>481</v>
      </c>
      <c r="BL8" s="657">
        <v>488</v>
      </c>
      <c r="BM8" s="657">
        <v>476</v>
      </c>
      <c r="BN8" s="676">
        <v>491</v>
      </c>
      <c r="BO8" s="733">
        <f>SUM(BK8:BN8)</f>
        <v>1936</v>
      </c>
      <c r="BP8" s="665"/>
      <c r="BQ8" s="669">
        <v>512</v>
      </c>
      <c r="BR8" s="666">
        <f>BL8*(1+BR9)</f>
        <v>492.88</v>
      </c>
      <c r="BS8" s="666">
        <f>BM8*(1+BS9)</f>
        <v>490.28000000000003</v>
      </c>
      <c r="BT8" s="667">
        <f>BN8*(1+BT9)</f>
        <v>515.55000000000007</v>
      </c>
      <c r="BU8" s="733">
        <f>SUM(BQ8:BT8)</f>
        <v>2010.71</v>
      </c>
      <c r="BV8" s="665"/>
      <c r="BW8" s="718">
        <f>BQ8*(1+BW9)</f>
        <v>537.6</v>
      </c>
      <c r="BX8" s="666">
        <f>BR8*(1+BX9)</f>
        <v>517.524</v>
      </c>
      <c r="BY8" s="666">
        <f>BS8*(1+BY9)</f>
        <v>514.7940000000001</v>
      </c>
      <c r="BZ8" s="667">
        <f>BT8*(1+BZ9)</f>
        <v>541.3275000000001</v>
      </c>
      <c r="CA8" s="733">
        <f>SUM(BW8:BZ8)</f>
        <v>2111.2455</v>
      </c>
      <c r="CB8" s="665"/>
      <c r="CC8" s="718">
        <f>BW8*(1+CC9)</f>
        <v>564.48</v>
      </c>
      <c r="CD8" s="666">
        <f>BX8*(1+CD9)</f>
        <v>543.40020000000004</v>
      </c>
      <c r="CE8" s="666">
        <f>BY8*(1+CE9)</f>
        <v>540.53370000000018</v>
      </c>
      <c r="CF8" s="667">
        <f>BZ8*(1+CF9)</f>
        <v>568.39387500000009</v>
      </c>
      <c r="CG8" s="733">
        <f>SUM(CC8:CF8)</f>
        <v>2216.8077750000002</v>
      </c>
      <c r="CH8" s="665"/>
      <c r="CI8" s="718">
        <f>CC8*(1+CI9)</f>
        <v>592.70400000000006</v>
      </c>
      <c r="CJ8" s="666">
        <f>CD8*(1+CJ9)</f>
        <v>570.57021000000009</v>
      </c>
      <c r="CK8" s="666">
        <f>CE8*(1+CK9)</f>
        <v>567.56038500000022</v>
      </c>
      <c r="CL8" s="667">
        <f>CF8*(1+CL9)</f>
        <v>596.81356875000017</v>
      </c>
      <c r="CM8" s="733">
        <f>SUM(CI8:CL8)</f>
        <v>2327.6481637500005</v>
      </c>
    </row>
    <row r="9" spans="1:91" s="25" customFormat="1" ht="11.25" hidden="1" outlineLevel="1" x14ac:dyDescent="0.2">
      <c r="A9" s="695" t="s">
        <v>5</v>
      </c>
      <c r="B9" s="665"/>
      <c r="C9" s="193">
        <v>9.0139742470733308E-2</v>
      </c>
      <c r="D9" s="191">
        <v>4.922063167461932E-2</v>
      </c>
      <c r="E9" s="191">
        <v>3.5793901522229499E-2</v>
      </c>
      <c r="F9" s="192">
        <v>4.9561940568787488E-2</v>
      </c>
      <c r="G9" s="220">
        <v>5.5948277863841156E-2</v>
      </c>
      <c r="H9" s="314"/>
      <c r="I9" s="152">
        <f>I8/C8-1</f>
        <v>4.3103412697430121E-2</v>
      </c>
      <c r="J9" s="151">
        <f>J8/D8-1</f>
        <v>6.7827149050809776E-3</v>
      </c>
      <c r="K9" s="151">
        <f>K8/E8-1</f>
        <v>2.3493874811209903E-2</v>
      </c>
      <c r="L9" s="153">
        <f>L8/F8-1</f>
        <v>1.9241908251755202E-2</v>
      </c>
      <c r="M9" s="154">
        <f>M8/G8-1</f>
        <v>2.3345260422066083E-2</v>
      </c>
      <c r="N9" s="314"/>
      <c r="O9" s="152">
        <f>O8/I8-1</f>
        <v>-3.4453698391659571E-2</v>
      </c>
      <c r="P9" s="151">
        <f>P8/J8-1</f>
        <v>-6.0486906692708287E-3</v>
      </c>
      <c r="Q9" s="151">
        <f>Q8/K8-1</f>
        <v>4.7958681751092413E-4</v>
      </c>
      <c r="R9" s="153">
        <f>R8/L8-1</f>
        <v>2.8442914663195262E-2</v>
      </c>
      <c r="S9" s="154">
        <f>S8/M8-1</f>
        <v>-3.008402037118052E-3</v>
      </c>
      <c r="T9" s="314"/>
      <c r="U9" s="152">
        <f>U8/O8-1</f>
        <v>0.12274368231046928</v>
      </c>
      <c r="V9" s="151">
        <f>V8/P8-1</f>
        <v>2.6545072086772592E-2</v>
      </c>
      <c r="W9" s="151">
        <f>W8/Q8-1</f>
        <v>-1.7252752205246691E-2</v>
      </c>
      <c r="X9" s="153">
        <f>X8/R8-1</f>
        <v>4.3971030850264992E-3</v>
      </c>
      <c r="Y9" s="154">
        <f>Y8/S8-1</f>
        <v>3.386761884919065E-2</v>
      </c>
      <c r="Z9" s="314"/>
      <c r="AA9" s="152">
        <f>AA8/U8-1</f>
        <v>-7.2035212835458107E-2</v>
      </c>
      <c r="AB9" s="151">
        <f>AB8/V8-1</f>
        <v>-1.0975064720416317E-2</v>
      </c>
      <c r="AC9" s="151">
        <f>AC8/W8-1</f>
        <v>2.038638239683821E-2</v>
      </c>
      <c r="AD9" s="153">
        <f>AD8/X8-1</f>
        <v>-3.723906512154207E-2</v>
      </c>
      <c r="AE9" s="154">
        <f>AE8/Y8-1</f>
        <v>-2.679781320949326E-2</v>
      </c>
      <c r="AF9" s="314"/>
      <c r="AG9" s="152">
        <f>AG8/AA8-1</f>
        <v>-2.296522375262533E-2</v>
      </c>
      <c r="AH9" s="151">
        <f>AH8/AB8-1</f>
        <v>1.2908671574917596E-2</v>
      </c>
      <c r="AI9" s="151">
        <f>AI8/AC8-1</f>
        <v>-1.4038470967003946E-2</v>
      </c>
      <c r="AJ9" s="153">
        <f>AJ8/AD8-1</f>
        <v>1.5878676857983498E-2</v>
      </c>
      <c r="AK9" s="154">
        <f>AK8/AE8-1</f>
        <v>-2.3757378915402194E-3</v>
      </c>
      <c r="AL9" s="314"/>
      <c r="AM9" s="152">
        <f>AM8/AG8-1</f>
        <v>3.1278304450215177E-3</v>
      </c>
      <c r="AN9" s="151">
        <f>AN8/AH8-1</f>
        <v>-8.3123245468204043E-3</v>
      </c>
      <c r="AO9" s="151">
        <f>AO8/AI8-1</f>
        <v>1.885048897729158E-2</v>
      </c>
      <c r="AP9" s="151">
        <f>AP8/AJ8-1</f>
        <v>5.3298439345099702E-3</v>
      </c>
      <c r="AQ9" s="154">
        <f>AQ8/AK8-1</f>
        <v>4.7924433383299547E-3</v>
      </c>
      <c r="AR9" s="314"/>
      <c r="AS9" s="152">
        <f>AS8/AM8-1</f>
        <v>5.1398118719702124E-2</v>
      </c>
      <c r="AT9" s="151">
        <f>AT8/AN8-1</f>
        <v>1.857196210912293E-2</v>
      </c>
      <c r="AU9" s="151">
        <f>AU8/AO8-1</f>
        <v>4.2831751867864476E-2</v>
      </c>
      <c r="AV9" s="151">
        <f>AV8/AP8-1</f>
        <v>1.9444444444444375E-2</v>
      </c>
      <c r="AW9" s="154">
        <f>AW8/AQ8-1</f>
        <v>3.3189679297027874E-2</v>
      </c>
      <c r="AX9" s="314"/>
      <c r="AY9" s="152">
        <f>AY8/AS8-1</f>
        <v>2.2137404580152786E-2</v>
      </c>
      <c r="AZ9" s="151">
        <f>AZ8/AT8-1</f>
        <v>6.5416666666666679E-2</v>
      </c>
      <c r="BA9" s="188">
        <f>BA8/AU8-1</f>
        <v>0.86817472698907983</v>
      </c>
      <c r="BB9" s="155">
        <f>BB8/AV8-1</f>
        <v>0.8723238614246791</v>
      </c>
      <c r="BC9" s="156">
        <f>BC8/AW8-1</f>
        <v>0.46114448931350349</v>
      </c>
      <c r="BD9" s="665"/>
      <c r="BE9" s="749"/>
      <c r="BF9" s="702"/>
      <c r="BG9" s="665"/>
      <c r="BH9" s="668"/>
      <c r="BI9" s="746"/>
      <c r="BJ9" s="665"/>
      <c r="BK9" s="717">
        <f>BK8/BE8-1</f>
        <v>2.7777777777777679E-2</v>
      </c>
      <c r="BL9" s="696">
        <f t="shared" ref="BL9:BO9" si="0">BL8/BF8-1</f>
        <v>6.5502183406113579E-2</v>
      </c>
      <c r="BM9" s="696">
        <f t="shared" si="0"/>
        <v>2.3655913978494647E-2</v>
      </c>
      <c r="BN9" s="697">
        <f t="shared" si="0"/>
        <v>-2.0325203252032908E-3</v>
      </c>
      <c r="BO9" s="732">
        <f t="shared" si="0"/>
        <v>2.814657461497605E-2</v>
      </c>
      <c r="BP9" s="665"/>
      <c r="BQ9" s="717">
        <f>BQ8/BK8-1</f>
        <v>6.4449064449064508E-2</v>
      </c>
      <c r="BR9" s="696">
        <f>BR10+BR11</f>
        <v>0.01</v>
      </c>
      <c r="BS9" s="696">
        <f>BS10+BS11</f>
        <v>0.03</v>
      </c>
      <c r="BT9" s="697">
        <f>BT10+BT11</f>
        <v>0.05</v>
      </c>
      <c r="BU9" s="732">
        <f>BU8/BO8-1</f>
        <v>3.8589876033057857E-2</v>
      </c>
      <c r="BV9" s="665"/>
      <c r="BW9" s="717">
        <f>BW10+BW11</f>
        <v>0.05</v>
      </c>
      <c r="BX9" s="696">
        <f>BX10+BX11</f>
        <v>0.05</v>
      </c>
      <c r="BY9" s="696">
        <f>BY10+BY11</f>
        <v>0.05</v>
      </c>
      <c r="BZ9" s="697">
        <f>BZ10+BZ11</f>
        <v>0.05</v>
      </c>
      <c r="CA9" s="732">
        <f>CA8/BU8-1</f>
        <v>5.0000000000000044E-2</v>
      </c>
      <c r="CB9" s="665"/>
      <c r="CC9" s="717">
        <f>CC10+CC11</f>
        <v>0.05</v>
      </c>
      <c r="CD9" s="696">
        <f>CD10+CD11</f>
        <v>0.05</v>
      </c>
      <c r="CE9" s="696">
        <f>CE10+CE11</f>
        <v>0.05</v>
      </c>
      <c r="CF9" s="697">
        <f>CF10+CF11</f>
        <v>0.05</v>
      </c>
      <c r="CG9" s="732">
        <f>CG8/CA8-1</f>
        <v>5.0000000000000044E-2</v>
      </c>
      <c r="CH9" s="665"/>
      <c r="CI9" s="717">
        <f>CI10+CI11</f>
        <v>0.05</v>
      </c>
      <c r="CJ9" s="696">
        <f>CJ10+CJ11</f>
        <v>0.05</v>
      </c>
      <c r="CK9" s="696">
        <f>CK10+CK11</f>
        <v>0.05</v>
      </c>
      <c r="CL9" s="697">
        <f>CL10+CL11</f>
        <v>0.05</v>
      </c>
      <c r="CM9" s="732">
        <f>CM8/CG8-1</f>
        <v>5.0000000000000044E-2</v>
      </c>
    </row>
    <row r="10" spans="1:91" s="25" customFormat="1" ht="11.25" hidden="1" outlineLevel="1" x14ac:dyDescent="0.2">
      <c r="A10" s="695" t="s">
        <v>6</v>
      </c>
      <c r="B10" s="665"/>
      <c r="C10" s="193">
        <v>0</v>
      </c>
      <c r="D10" s="191">
        <v>0</v>
      </c>
      <c r="E10" s="191">
        <v>0</v>
      </c>
      <c r="F10" s="192">
        <v>0</v>
      </c>
      <c r="G10" s="220">
        <v>0</v>
      </c>
      <c r="H10" s="314"/>
      <c r="I10" s="193">
        <v>0</v>
      </c>
      <c r="J10" s="191">
        <v>0</v>
      </c>
      <c r="K10" s="191">
        <v>0</v>
      </c>
      <c r="L10" s="192">
        <v>0</v>
      </c>
      <c r="M10" s="154">
        <f>SUMPRODUCT(I10:L10,C8:F8)/G8:G8</f>
        <v>0</v>
      </c>
      <c r="N10" s="314"/>
      <c r="O10" s="193">
        <f>-12.218/Med!I8</f>
        <v>-4.8341213476033158E-2</v>
      </c>
      <c r="P10" s="191">
        <f>-11.309/Med!J8</f>
        <v>-4.8651950767271676E-2</v>
      </c>
      <c r="Q10" s="191">
        <f>-12.094/Med!K8</f>
        <v>-4.9573700606656827E-2</v>
      </c>
      <c r="R10" s="192">
        <f>-11.902/Med!L8</f>
        <v>-4.7970464832272651E-2</v>
      </c>
      <c r="S10" s="154">
        <f>SUMPRODUCT(O10:R10,I8:L8)/M8:M8</f>
        <v>-4.8628670071413735E-2</v>
      </c>
      <c r="T10" s="314"/>
      <c r="U10" s="193">
        <v>0</v>
      </c>
      <c r="V10" s="191">
        <v>0</v>
      </c>
      <c r="W10" s="191">
        <v>0</v>
      </c>
      <c r="X10" s="192">
        <v>0</v>
      </c>
      <c r="Y10" s="154">
        <f>SUMPRODUCT(U10:X10,O8:R8)/S8:S8</f>
        <v>0</v>
      </c>
      <c r="Z10" s="314"/>
      <c r="AA10" s="193">
        <v>0</v>
      </c>
      <c r="AB10" s="191">
        <v>0</v>
      </c>
      <c r="AC10" s="191">
        <v>0</v>
      </c>
      <c r="AD10" s="192">
        <f>10.3/2/X8</f>
        <v>2.009442428498966E-2</v>
      </c>
      <c r="AE10" s="154">
        <f>SUMPRODUCT(AA10:AD10,U8:X8)/Y8:Y8</f>
        <v>5.112570868670464E-3</v>
      </c>
      <c r="AF10" s="314"/>
      <c r="AG10" s="193">
        <f>10.3/AA8</f>
        <v>4.0510670431930282E-2</v>
      </c>
      <c r="AH10" s="191">
        <f>10.3/AB8</f>
        <v>4.3909946242289118E-2</v>
      </c>
      <c r="AI10" s="191">
        <f>10.3/AC8</f>
        <v>4.2082727287584373E-2</v>
      </c>
      <c r="AJ10" s="192">
        <f>10.3/2/AD8</f>
        <v>2.0871665599442341E-2</v>
      </c>
      <c r="AK10" s="154">
        <f>SUMPRODUCT(AG10:AJ10,AA8:AD8)/AE8:AE8</f>
        <v>3.6773443963085795E-2</v>
      </c>
      <c r="AL10" s="314"/>
      <c r="AM10" s="193">
        <v>0</v>
      </c>
      <c r="AN10" s="191">
        <v>0</v>
      </c>
      <c r="AO10" s="191">
        <v>0</v>
      </c>
      <c r="AP10" s="191">
        <v>0</v>
      </c>
      <c r="AQ10" s="154">
        <f>SUMPRODUCT(AM10:AP10,AG8:AJ8)/AK8:AK8</f>
        <v>0</v>
      </c>
      <c r="AR10" s="314"/>
      <c r="AS10" s="193">
        <v>0</v>
      </c>
      <c r="AT10" s="191">
        <v>0</v>
      </c>
      <c r="AU10" s="191">
        <v>0</v>
      </c>
      <c r="AV10" s="191">
        <v>0</v>
      </c>
      <c r="AW10" s="154">
        <f>SUMPRODUCT(AS10:AV10,AM8:AP8)/AQ8:AQ8</f>
        <v>0</v>
      </c>
      <c r="AX10" s="314"/>
      <c r="AY10" s="193">
        <v>0</v>
      </c>
      <c r="AZ10" s="191">
        <v>0</v>
      </c>
      <c r="BA10" s="320">
        <v>0.81903276131045244</v>
      </c>
      <c r="BB10" s="194">
        <v>0.81743869209809272</v>
      </c>
      <c r="BC10" s="156">
        <f>SUMPRODUCT(AY10:BB10,AS8:AV8)/AW8</f>
        <v>0.4136708362060475</v>
      </c>
      <c r="BD10" s="665"/>
      <c r="BE10" s="749"/>
      <c r="BF10" s="702"/>
      <c r="BG10" s="673">
        <v>0</v>
      </c>
      <c r="BH10" s="674">
        <v>0</v>
      </c>
      <c r="BI10" s="746"/>
      <c r="BJ10" s="665"/>
      <c r="BK10" s="672">
        <v>0</v>
      </c>
      <c r="BL10" s="673">
        <v>0</v>
      </c>
      <c r="BM10" s="673">
        <v>0</v>
      </c>
      <c r="BN10" s="674">
        <v>0</v>
      </c>
      <c r="BO10" s="732">
        <f>SUMPRODUCT(BK10:BN10,BE8:BH8)/BI8</f>
        <v>0</v>
      </c>
      <c r="BP10" s="665"/>
      <c r="BQ10" s="672">
        <v>0</v>
      </c>
      <c r="BR10" s="673">
        <v>0</v>
      </c>
      <c r="BS10" s="673">
        <v>0</v>
      </c>
      <c r="BT10" s="674">
        <v>0</v>
      </c>
      <c r="BU10" s="732">
        <f>SUMPRODUCT(BQ10:BT10,BK8:BN8)/BO8</f>
        <v>0</v>
      </c>
      <c r="BV10" s="665"/>
      <c r="BW10" s="672">
        <v>0</v>
      </c>
      <c r="BX10" s="673">
        <v>0</v>
      </c>
      <c r="BY10" s="673">
        <v>0</v>
      </c>
      <c r="BZ10" s="674">
        <v>0</v>
      </c>
      <c r="CA10" s="732">
        <f>SUMPRODUCT(BW10:BZ10,BQ8:BT8)/BU8</f>
        <v>0</v>
      </c>
      <c r="CB10" s="665"/>
      <c r="CC10" s="672">
        <v>0</v>
      </c>
      <c r="CD10" s="673">
        <v>0</v>
      </c>
      <c r="CE10" s="673">
        <v>0</v>
      </c>
      <c r="CF10" s="674">
        <v>0</v>
      </c>
      <c r="CG10" s="732">
        <f>SUMPRODUCT(CC10:CF10,BW8:BZ8)/CA8</f>
        <v>0</v>
      </c>
      <c r="CH10" s="665"/>
      <c r="CI10" s="672">
        <v>0</v>
      </c>
      <c r="CJ10" s="673">
        <v>0</v>
      </c>
      <c r="CK10" s="673">
        <v>0</v>
      </c>
      <c r="CL10" s="674">
        <v>0</v>
      </c>
      <c r="CM10" s="732">
        <f>SUMPRODUCT(CI10:CL10,CC8:CF8)/CG8</f>
        <v>0</v>
      </c>
    </row>
    <row r="11" spans="1:91" s="25" customFormat="1" ht="11.25" hidden="1" outlineLevel="1" x14ac:dyDescent="0.2">
      <c r="A11" s="695" t="s">
        <v>7</v>
      </c>
      <c r="B11" s="665"/>
      <c r="C11" s="193">
        <v>9.0139742470733308E-2</v>
      </c>
      <c r="D11" s="191">
        <v>4.922063167461932E-2</v>
      </c>
      <c r="E11" s="191">
        <v>3.5793901522229499E-2</v>
      </c>
      <c r="F11" s="192">
        <v>4.9561940568787488E-2</v>
      </c>
      <c r="G11" s="220">
        <v>5.5948277863841302E-2</v>
      </c>
      <c r="H11" s="314"/>
      <c r="I11" s="152">
        <f>I9-I10</f>
        <v>4.3103412697430121E-2</v>
      </c>
      <c r="J11" s="151">
        <f>J9-J10</f>
        <v>6.7827149050809776E-3</v>
      </c>
      <c r="K11" s="151">
        <f>K9-K10</f>
        <v>2.3493874811209903E-2</v>
      </c>
      <c r="L11" s="153">
        <f>L9-L10</f>
        <v>1.9241908251755202E-2</v>
      </c>
      <c r="M11" s="154">
        <f>SUMPRODUCT(I11:L11,C8:F8)/G8</f>
        <v>2.3345260422066076E-2</v>
      </c>
      <c r="N11" s="314"/>
      <c r="O11" s="152">
        <f>O9-O10</f>
        <v>1.3887515084373588E-2</v>
      </c>
      <c r="P11" s="151">
        <f>P9-P10</f>
        <v>4.2603260098000847E-2</v>
      </c>
      <c r="Q11" s="151">
        <f>Q9-Q10</f>
        <v>5.0053287424167751E-2</v>
      </c>
      <c r="R11" s="153">
        <f>R9-R10</f>
        <v>7.641337949546792E-2</v>
      </c>
      <c r="S11" s="154">
        <f>SUMPRODUCT(O11:R11,I8:L8)/M8</f>
        <v>4.5620268034295787E-2</v>
      </c>
      <c r="T11" s="314"/>
      <c r="U11" s="152">
        <f>U9-U10</f>
        <v>0.12274368231046928</v>
      </c>
      <c r="V11" s="151">
        <f>V9-V10</f>
        <v>2.6545072086772592E-2</v>
      </c>
      <c r="W11" s="151">
        <f>W9-W10</f>
        <v>-1.7252752205246691E-2</v>
      </c>
      <c r="X11" s="153">
        <f>X9-X10</f>
        <v>4.3971030850264992E-3</v>
      </c>
      <c r="Y11" s="154">
        <f>SUMPRODUCT(U11:X11,O8:R8)/S8</f>
        <v>3.3867618849190734E-2</v>
      </c>
      <c r="Z11" s="314"/>
      <c r="AA11" s="152">
        <f>AA9-AA10</f>
        <v>-7.2035212835458107E-2</v>
      </c>
      <c r="AB11" s="151">
        <f>AB9-AB10</f>
        <v>-1.0975064720416317E-2</v>
      </c>
      <c r="AC11" s="151">
        <f>AC9-AC10</f>
        <v>2.038638239683821E-2</v>
      </c>
      <c r="AD11" s="153">
        <f>AD9-AD10</f>
        <v>-5.7333489406531726E-2</v>
      </c>
      <c r="AE11" s="154">
        <f>SUMPRODUCT(AA11:AD11,U8:X8)/Y8</f>
        <v>-3.1910384078163816E-2</v>
      </c>
      <c r="AF11" s="314"/>
      <c r="AG11" s="152">
        <f>AG9-AG10</f>
        <v>-6.3475894184555612E-2</v>
      </c>
      <c r="AH11" s="151">
        <f>AH9-AH10</f>
        <v>-3.1001274667371521E-2</v>
      </c>
      <c r="AI11" s="151">
        <f>AI9-AI10</f>
        <v>-5.612119825458832E-2</v>
      </c>
      <c r="AJ11" s="153">
        <f>AJ9-AJ10</f>
        <v>-4.9929887414588425E-3</v>
      </c>
      <c r="AK11" s="154">
        <f>SUMPRODUCT(AG11:AJ11,AA8:AD8)/AE8</f>
        <v>-3.914918185462609E-2</v>
      </c>
      <c r="AL11" s="314"/>
      <c r="AM11" s="152">
        <f>AM9-AM10</f>
        <v>3.1278304450215177E-3</v>
      </c>
      <c r="AN11" s="151">
        <f>AN9-AN10</f>
        <v>-8.3123245468204043E-3</v>
      </c>
      <c r="AO11" s="151">
        <f>AO9-AO10</f>
        <v>1.885048897729158E-2</v>
      </c>
      <c r="AP11" s="151">
        <f>AP9-AP10</f>
        <v>5.3298439345099702E-3</v>
      </c>
      <c r="AQ11" s="154">
        <f>SUMPRODUCT(AM11:AP11,AG8:AJ8)/AK8</f>
        <v>4.792443338329986E-3</v>
      </c>
      <c r="AR11" s="314"/>
      <c r="AS11" s="152">
        <f>AS9-AS10</f>
        <v>5.1398118719702124E-2</v>
      </c>
      <c r="AT11" s="151">
        <f>AT9-AT10</f>
        <v>1.857196210912293E-2</v>
      </c>
      <c r="AU11" s="151">
        <f>AU9-AU10</f>
        <v>4.2831751867864476E-2</v>
      </c>
      <c r="AV11" s="151">
        <f>AV9-AV10</f>
        <v>1.9444444444444375E-2</v>
      </c>
      <c r="AW11" s="154">
        <f>SUMPRODUCT(AS11:AV11,AM8:AP8)/AQ8</f>
        <v>3.3189679297027985E-2</v>
      </c>
      <c r="AX11" s="314"/>
      <c r="AY11" s="152">
        <f>AY9-AY10</f>
        <v>2.2137404580152786E-2</v>
      </c>
      <c r="AZ11" s="151">
        <f>AZ9-AZ10</f>
        <v>6.5416666666666679E-2</v>
      </c>
      <c r="BA11" s="188">
        <f>BA9-BA10</f>
        <v>4.9141965678627386E-2</v>
      </c>
      <c r="BB11" s="155">
        <f>BB9-BB10</f>
        <v>5.488516932658638E-2</v>
      </c>
      <c r="BC11" s="156">
        <f>BC9-BC10</f>
        <v>4.7473653107455993E-2</v>
      </c>
      <c r="BD11" s="665"/>
      <c r="BE11" s="749"/>
      <c r="BF11" s="702"/>
      <c r="BG11" s="665"/>
      <c r="BH11" s="668"/>
      <c r="BI11" s="746"/>
      <c r="BJ11" s="665"/>
      <c r="BK11" s="717">
        <f>BK9-BK10</f>
        <v>2.7777777777777679E-2</v>
      </c>
      <c r="BL11" s="696">
        <f t="shared" ref="BL11:BO11" si="1">BL9-BL10</f>
        <v>6.5502183406113579E-2</v>
      </c>
      <c r="BM11" s="696">
        <f t="shared" si="1"/>
        <v>2.3655913978494647E-2</v>
      </c>
      <c r="BN11" s="697">
        <f t="shared" si="1"/>
        <v>-2.0325203252032908E-3</v>
      </c>
      <c r="BO11" s="732">
        <f t="shared" si="1"/>
        <v>2.814657461497605E-2</v>
      </c>
      <c r="BP11" s="665"/>
      <c r="BQ11" s="717">
        <f>BQ9-BQ10</f>
        <v>6.4449064449064508E-2</v>
      </c>
      <c r="BR11" s="673">
        <v>0.01</v>
      </c>
      <c r="BS11" s="673">
        <v>0.03</v>
      </c>
      <c r="BT11" s="674">
        <v>0.05</v>
      </c>
      <c r="BU11" s="732">
        <f>BU9-BU10</f>
        <v>3.8589876033057857E-2</v>
      </c>
      <c r="BV11" s="665"/>
      <c r="BW11" s="672">
        <v>0.05</v>
      </c>
      <c r="BX11" s="673">
        <f>BW11</f>
        <v>0.05</v>
      </c>
      <c r="BY11" s="673">
        <f>BX11</f>
        <v>0.05</v>
      </c>
      <c r="BZ11" s="674">
        <f>BY11</f>
        <v>0.05</v>
      </c>
      <c r="CA11" s="732">
        <f>CA9-CA10</f>
        <v>5.0000000000000044E-2</v>
      </c>
      <c r="CB11" s="665"/>
      <c r="CC11" s="672">
        <v>0.05</v>
      </c>
      <c r="CD11" s="673">
        <f>CC11</f>
        <v>0.05</v>
      </c>
      <c r="CE11" s="673">
        <f>CD11</f>
        <v>0.05</v>
      </c>
      <c r="CF11" s="674">
        <f>CE11</f>
        <v>0.05</v>
      </c>
      <c r="CG11" s="732">
        <f>CG9-CG10</f>
        <v>5.0000000000000044E-2</v>
      </c>
      <c r="CH11" s="665"/>
      <c r="CI11" s="672">
        <v>0.05</v>
      </c>
      <c r="CJ11" s="673">
        <f>CI11</f>
        <v>0.05</v>
      </c>
      <c r="CK11" s="673">
        <f>CJ11</f>
        <v>0.05</v>
      </c>
      <c r="CL11" s="674">
        <f>CK11</f>
        <v>0.05</v>
      </c>
      <c r="CM11" s="732">
        <f>CM9-CM10</f>
        <v>5.0000000000000044E-2</v>
      </c>
    </row>
    <row r="12" spans="1:91" s="25" customFormat="1" ht="11.25" hidden="1" outlineLevel="1" x14ac:dyDescent="0.2">
      <c r="A12" s="694" t="s">
        <v>8</v>
      </c>
      <c r="B12" s="665"/>
      <c r="C12" s="308">
        <v>225.458</v>
      </c>
      <c r="D12" s="309">
        <v>216.459</v>
      </c>
      <c r="E12" s="309">
        <v>233.83500000000001</v>
      </c>
      <c r="F12" s="310">
        <v>233.36600000000001</v>
      </c>
      <c r="G12" s="311">
        <v>909.11800000000005</v>
      </c>
      <c r="H12" s="116"/>
      <c r="I12" s="308">
        <v>246.066</v>
      </c>
      <c r="J12" s="309">
        <v>248.26900000000001</v>
      </c>
      <c r="K12" s="309">
        <v>272.06400000000002</v>
      </c>
      <c r="L12" s="310">
        <v>261.19</v>
      </c>
      <c r="M12" s="115">
        <f>SUM(I12:L12)</f>
        <v>1027.5890000000002</v>
      </c>
      <c r="N12" s="116"/>
      <c r="O12" s="308">
        <v>211.595</v>
      </c>
      <c r="P12" s="309">
        <v>219.07900000000001</v>
      </c>
      <c r="Q12" s="309">
        <v>230.934</v>
      </c>
      <c r="R12" s="310">
        <v>253.38399999999999</v>
      </c>
      <c r="S12" s="115">
        <f>SUM(O12:R12)</f>
        <v>914.99199999999996</v>
      </c>
      <c r="T12" s="116"/>
      <c r="U12" s="308">
        <v>259.18599999999998</v>
      </c>
      <c r="V12" s="309">
        <v>244.09</v>
      </c>
      <c r="W12" s="309">
        <v>253.68700000000001</v>
      </c>
      <c r="X12" s="310">
        <v>245.72399999999999</v>
      </c>
      <c r="Y12" s="115">
        <f>SUM(U12:X12)</f>
        <v>1002.6869999999999</v>
      </c>
      <c r="Z12" s="116"/>
      <c r="AA12" s="308">
        <v>258.47399999999999</v>
      </c>
      <c r="AB12" s="309">
        <v>270.02</v>
      </c>
      <c r="AC12" s="309">
        <v>284.262</v>
      </c>
      <c r="AD12" s="310">
        <v>288.65300000000002</v>
      </c>
      <c r="AE12" s="115">
        <f>SUM(AA12:AD12)</f>
        <v>1101.4089999999999</v>
      </c>
      <c r="AF12" s="116"/>
      <c r="AG12" s="308">
        <v>273.89299999999997</v>
      </c>
      <c r="AH12" s="309">
        <v>281.33999999999997</v>
      </c>
      <c r="AI12" s="309">
        <v>290.45100000000002</v>
      </c>
      <c r="AJ12" s="310">
        <v>281.60300000000001</v>
      </c>
      <c r="AK12" s="115">
        <f>SUM(AG12:AJ12)</f>
        <v>1127.287</v>
      </c>
      <c r="AL12" s="116"/>
      <c r="AM12" s="308">
        <v>286.74599999999998</v>
      </c>
      <c r="AN12" s="309">
        <v>302.94099999999997</v>
      </c>
      <c r="AO12" s="309">
        <v>315.04700000000003</v>
      </c>
      <c r="AP12" s="309">
        <v>308</v>
      </c>
      <c r="AQ12" s="115">
        <f>SUM(AM12:AP12)</f>
        <v>1212.7339999999999</v>
      </c>
      <c r="AR12" s="116"/>
      <c r="AS12" s="308">
        <v>317</v>
      </c>
      <c r="AT12" s="309">
        <v>311</v>
      </c>
      <c r="AU12" s="309">
        <v>333.2</v>
      </c>
      <c r="AV12" s="309">
        <v>330.9</v>
      </c>
      <c r="AW12" s="115">
        <f>SUM(AS12:AV12)</f>
        <v>1292.0999999999999</v>
      </c>
      <c r="AX12" s="116"/>
      <c r="AY12" s="312">
        <v>332.7</v>
      </c>
      <c r="AZ12" s="309">
        <v>309.10000000000002</v>
      </c>
      <c r="BA12" s="318">
        <v>369.4</v>
      </c>
      <c r="BB12" s="313">
        <v>356</v>
      </c>
      <c r="BC12" s="315">
        <f>SUM(AY12:BB12)</f>
        <v>1367.1999999999998</v>
      </c>
      <c r="BD12" s="665"/>
      <c r="BE12" s="669">
        <v>382</v>
      </c>
      <c r="BF12" s="657">
        <v>370</v>
      </c>
      <c r="BG12" s="657">
        <v>405</v>
      </c>
      <c r="BH12" s="676">
        <v>401</v>
      </c>
      <c r="BI12" s="733">
        <f>SUM(BE12:BH12)</f>
        <v>1558</v>
      </c>
      <c r="BJ12" s="665"/>
      <c r="BK12" s="669">
        <v>406</v>
      </c>
      <c r="BL12" s="657">
        <v>397</v>
      </c>
      <c r="BM12" s="657">
        <v>426</v>
      </c>
      <c r="BN12" s="676">
        <v>434</v>
      </c>
      <c r="BO12" s="733">
        <f>SUM(BK12:BN12)</f>
        <v>1663</v>
      </c>
      <c r="BP12" s="665"/>
      <c r="BQ12" s="669">
        <v>440</v>
      </c>
      <c r="BR12" s="666">
        <f>BL12*(1+BR13)</f>
        <v>436.23318830023442</v>
      </c>
      <c r="BS12" s="666">
        <f>BM12*(1+BS13)</f>
        <v>465.00588873970531</v>
      </c>
      <c r="BT12" s="667">
        <f>BN12*(1+BT13)</f>
        <v>461.03024684876067</v>
      </c>
      <c r="BU12" s="733">
        <f>SUM(BQ12:BT12)</f>
        <v>1802.2693238887005</v>
      </c>
      <c r="BV12" s="665"/>
      <c r="BW12" s="718">
        <f>BQ12*(1+BW13)</f>
        <v>480.49470811925187</v>
      </c>
      <c r="BX12" s="666">
        <f>BR12*(1+BX13)</f>
        <v>463.5807906392634</v>
      </c>
      <c r="BY12" s="666">
        <f>BS12*(1+BY13)</f>
        <v>492.90624206408768</v>
      </c>
      <c r="BZ12" s="667">
        <f>BT12*(1+BZ13)</f>
        <v>488.69206165968632</v>
      </c>
      <c r="CA12" s="733">
        <f>SUM(BW12:BZ12)</f>
        <v>1925.6738024822894</v>
      </c>
      <c r="CB12" s="665"/>
      <c r="CC12" s="718">
        <f>BW12*(1+CC13)</f>
        <v>509.32439060640701</v>
      </c>
      <c r="CD12" s="666">
        <f>BX12*(1+CD13)</f>
        <v>491.39563807761925</v>
      </c>
      <c r="CE12" s="666">
        <f>BY12*(1+CE13)</f>
        <v>522.48061658793301</v>
      </c>
      <c r="CF12" s="667">
        <f>BZ12*(1+CF13)</f>
        <v>518.01358535926749</v>
      </c>
      <c r="CG12" s="733">
        <f>SUM(CC12:CF12)</f>
        <v>2041.2142306312267</v>
      </c>
      <c r="CH12" s="665"/>
      <c r="CI12" s="718">
        <f>CC12*(1+CI13)</f>
        <v>539.88385404279143</v>
      </c>
      <c r="CJ12" s="666">
        <f>CD12*(1+CJ13)</f>
        <v>520.87937636227639</v>
      </c>
      <c r="CK12" s="666">
        <f>CE12*(1+CK13)</f>
        <v>553.82945358320899</v>
      </c>
      <c r="CL12" s="667">
        <f>CF12*(1+CL13)</f>
        <v>549.09440048082354</v>
      </c>
      <c r="CM12" s="733">
        <f>SUM(CI12:CL12)</f>
        <v>2163.6870844691002</v>
      </c>
    </row>
    <row r="13" spans="1:91" s="25" customFormat="1" ht="11.25" hidden="1" outlineLevel="1" x14ac:dyDescent="0.2">
      <c r="A13" s="695" t="s">
        <v>5</v>
      </c>
      <c r="B13" s="665"/>
      <c r="C13" s="193">
        <v>9.5003812585904734E-2</v>
      </c>
      <c r="D13" s="191">
        <v>5.8318787861008747E-2</v>
      </c>
      <c r="E13" s="191">
        <v>7.2672058277100771E-2</v>
      </c>
      <c r="F13" s="192">
        <v>8.0643294080601668E-2</v>
      </c>
      <c r="G13" s="220">
        <v>7.6679473028475664E-2</v>
      </c>
      <c r="H13" s="314"/>
      <c r="I13" s="152">
        <f>I12/C12-1</f>
        <v>9.1405051051637098E-2</v>
      </c>
      <c r="J13" s="151">
        <f>J12/D12-1</f>
        <v>0.14695623651592227</v>
      </c>
      <c r="K13" s="151">
        <f>K12/E12-1</f>
        <v>0.16348707421900066</v>
      </c>
      <c r="L13" s="153">
        <f>L12/F12-1</f>
        <v>0.11922902222260312</v>
      </c>
      <c r="M13" s="154">
        <f>M12/G12-1</f>
        <v>0.13031421663634446</v>
      </c>
      <c r="N13" s="314"/>
      <c r="O13" s="152">
        <f>O12/I12-1</f>
        <v>-0.14008843155901263</v>
      </c>
      <c r="P13" s="151">
        <f>P12/J12-1</f>
        <v>-0.11757408295034821</v>
      </c>
      <c r="Q13" s="151">
        <f>Q12/K12-1</f>
        <v>-0.15117766407904032</v>
      </c>
      <c r="R13" s="153">
        <f>R12/L12-1</f>
        <v>-2.9886289674183608E-2</v>
      </c>
      <c r="S13" s="154">
        <f>S12/M12-1</f>
        <v>-0.10957396390969565</v>
      </c>
      <c r="T13" s="314"/>
      <c r="U13" s="152">
        <f>U12/O12-1</f>
        <v>0.22491552257851066</v>
      </c>
      <c r="V13" s="151">
        <f>V12/P12-1</f>
        <v>0.1141642968974661</v>
      </c>
      <c r="W13" s="151">
        <f>W12/Q12-1</f>
        <v>9.8525985779486902E-2</v>
      </c>
      <c r="X13" s="153">
        <f>X12/R12-1</f>
        <v>-3.0230795946073918E-2</v>
      </c>
      <c r="Y13" s="154">
        <f>Y12/S12-1</f>
        <v>9.5842368020703894E-2</v>
      </c>
      <c r="Z13" s="314"/>
      <c r="AA13" s="152">
        <f>AA12/U12-1</f>
        <v>-2.7470619555067799E-3</v>
      </c>
      <c r="AB13" s="151">
        <f>AB12/V12-1</f>
        <v>0.10623130812405246</v>
      </c>
      <c r="AC13" s="151">
        <f>AC12/W12-1</f>
        <v>0.12052253367338484</v>
      </c>
      <c r="AD13" s="153">
        <f>AD12/X12-1</f>
        <v>0.17470413960378317</v>
      </c>
      <c r="AE13" s="154">
        <f>AE12/Y12-1</f>
        <v>9.8457444845699627E-2</v>
      </c>
      <c r="AF13" s="314"/>
      <c r="AG13" s="152">
        <f>AG12/AA12-1</f>
        <v>5.9653969064586754E-2</v>
      </c>
      <c r="AH13" s="151">
        <f>AH12/AB12-1</f>
        <v>4.192282053181251E-2</v>
      </c>
      <c r="AI13" s="151">
        <f>AI12/AC12-1</f>
        <v>2.1772167929586139E-2</v>
      </c>
      <c r="AJ13" s="153">
        <f>AJ12/AD12-1</f>
        <v>-2.4423789117036798E-2</v>
      </c>
      <c r="AK13" s="154">
        <f>AK12/AE12-1</f>
        <v>2.3495359126355586E-2</v>
      </c>
      <c r="AL13" s="314"/>
      <c r="AM13" s="152">
        <f>AM12/AG12-1</f>
        <v>4.6927084664449392E-2</v>
      </c>
      <c r="AN13" s="151">
        <f>AN12/AH12-1</f>
        <v>7.6778986279945949E-2</v>
      </c>
      <c r="AO13" s="151">
        <f>AO12/AI12-1</f>
        <v>8.4682097840943937E-2</v>
      </c>
      <c r="AP13" s="151">
        <f>AP12/AJ12-1</f>
        <v>9.3738347957940782E-2</v>
      </c>
      <c r="AQ13" s="154">
        <f>AQ12/AK12-1</f>
        <v>7.5798798353923891E-2</v>
      </c>
      <c r="AR13" s="314"/>
      <c r="AS13" s="152">
        <f>AS12/AM12-1</f>
        <v>0.10550801057381798</v>
      </c>
      <c r="AT13" s="151">
        <f>AT12/AN12-1</f>
        <v>2.6602539768469935E-2</v>
      </c>
      <c r="AU13" s="151">
        <f>AU12/AO12-1</f>
        <v>5.761997416258513E-2</v>
      </c>
      <c r="AV13" s="151">
        <f>AV12/AP12-1</f>
        <v>7.4350649350649167E-2</v>
      </c>
      <c r="AW13" s="154">
        <f>AW12/AQ12-1</f>
        <v>6.5443864854122902E-2</v>
      </c>
      <c r="AX13" s="314"/>
      <c r="AY13" s="152">
        <f>AY12/AS12-1</f>
        <v>4.9526813880126141E-2</v>
      </c>
      <c r="AZ13" s="151">
        <f>AZ12/AT12-1</f>
        <v>-6.1093247588424049E-3</v>
      </c>
      <c r="BA13" s="188">
        <f>BA12/AU12-1</f>
        <v>0.10864345738295311</v>
      </c>
      <c r="BB13" s="155">
        <f>BB12/AV12-1</f>
        <v>7.5853732245391381E-2</v>
      </c>
      <c r="BC13" s="156">
        <f>BC12/AW12-1</f>
        <v>5.8122436343936101E-2</v>
      </c>
      <c r="BD13" s="665"/>
      <c r="BE13" s="664"/>
      <c r="BF13" s="665"/>
      <c r="BG13" s="665"/>
      <c r="BH13" s="668"/>
      <c r="BI13" s="746"/>
      <c r="BJ13" s="665"/>
      <c r="BK13" s="717">
        <f>BK12/BE12-1</f>
        <v>6.2827225130890119E-2</v>
      </c>
      <c r="BL13" s="696">
        <f t="shared" ref="BL13" si="2">BL12/BF12-1</f>
        <v>7.2972972972972894E-2</v>
      </c>
      <c r="BM13" s="696">
        <f t="shared" ref="BM13" si="3">BM12/BG12-1</f>
        <v>5.1851851851851816E-2</v>
      </c>
      <c r="BN13" s="697">
        <f t="shared" ref="BN13" si="4">BN12/BH12-1</f>
        <v>8.2294264339152212E-2</v>
      </c>
      <c r="BO13" s="732">
        <f t="shared" ref="BO13" si="5">BO12/BI12-1</f>
        <v>6.7394094993581621E-2</v>
      </c>
      <c r="BP13" s="665"/>
      <c r="BQ13" s="717">
        <f>BQ12/BK12-1</f>
        <v>8.3743842364532028E-2</v>
      </c>
      <c r="BR13" s="696">
        <f>BR14+BR15</f>
        <v>9.8824151889759168E-2</v>
      </c>
      <c r="BS13" s="696">
        <f>BS14+BS15</f>
        <v>9.156311910728937E-2</v>
      </c>
      <c r="BT13" s="697">
        <f>BT14+BT15</f>
        <v>6.2281674766729557E-2</v>
      </c>
      <c r="BU13" s="732">
        <f>BU12/BO12-1</f>
        <v>8.3745835170595528E-2</v>
      </c>
      <c r="BV13" s="665"/>
      <c r="BW13" s="717">
        <f>BW14+BW15</f>
        <v>9.2033427543754306E-2</v>
      </c>
      <c r="BX13" s="696">
        <f>BX14+BX15</f>
        <v>6.269032955880291E-2</v>
      </c>
      <c r="BY13" s="696">
        <f>BY14+BY15</f>
        <v>0.06</v>
      </c>
      <c r="BZ13" s="697">
        <f>BZ14+BZ15</f>
        <v>0.06</v>
      </c>
      <c r="CA13" s="732">
        <f>CA12/BU12-1</f>
        <v>6.8471718936725212E-2</v>
      </c>
      <c r="CB13" s="665"/>
      <c r="CC13" s="717">
        <f>CC14+CC15</f>
        <v>0.06</v>
      </c>
      <c r="CD13" s="696">
        <f>CD14+CD15</f>
        <v>0.06</v>
      </c>
      <c r="CE13" s="696">
        <f>CE14+CE15</f>
        <v>0.06</v>
      </c>
      <c r="CF13" s="697">
        <f>CF14+CF15</f>
        <v>0.06</v>
      </c>
      <c r="CG13" s="732">
        <f>CG12/CA12-1</f>
        <v>6.0000000000000053E-2</v>
      </c>
      <c r="CH13" s="665"/>
      <c r="CI13" s="717">
        <f>CI14+CI15</f>
        <v>0.06</v>
      </c>
      <c r="CJ13" s="696">
        <f>CJ14+CJ15</f>
        <v>0.06</v>
      </c>
      <c r="CK13" s="696">
        <f>CK14+CK15</f>
        <v>0.06</v>
      </c>
      <c r="CL13" s="697">
        <f>CL14+CL15</f>
        <v>0.06</v>
      </c>
      <c r="CM13" s="732">
        <f>CM12/CG12-1</f>
        <v>6.0000000000000053E-2</v>
      </c>
    </row>
    <row r="14" spans="1:91" s="25" customFormat="1" ht="11.25" hidden="1" outlineLevel="1" x14ac:dyDescent="0.2">
      <c r="A14" s="695" t="s">
        <v>9</v>
      </c>
      <c r="B14" s="665"/>
      <c r="C14" s="193">
        <v>3.3000000000000002E-2</v>
      </c>
      <c r="D14" s="191">
        <v>4.4999999999999998E-2</v>
      </c>
      <c r="E14" s="191">
        <v>5.7000000000000002E-2</v>
      </c>
      <c r="F14" s="192">
        <v>6.0999999999999999E-2</v>
      </c>
      <c r="G14" s="220">
        <v>4.9000000000000002E-2</v>
      </c>
      <c r="H14" s="191"/>
      <c r="I14" s="193">
        <v>9.5000000000000001E-2</v>
      </c>
      <c r="J14" s="191">
        <v>9.1999999999999998E-2</v>
      </c>
      <c r="K14" s="191">
        <v>0.10199999999999999</v>
      </c>
      <c r="L14" s="192">
        <v>7.2999999999999995E-2</v>
      </c>
      <c r="M14" s="220">
        <v>0.09</v>
      </c>
      <c r="N14" s="191"/>
      <c r="O14" s="193">
        <v>-8.8999999999999996E-2</v>
      </c>
      <c r="P14" s="191">
        <v>-0.11</v>
      </c>
      <c r="Q14" s="191">
        <v>-0.13900000000000001</v>
      </c>
      <c r="R14" s="192">
        <v>-9.1999999999999998E-2</v>
      </c>
      <c r="S14" s="220">
        <v>-0.108</v>
      </c>
      <c r="T14" s="191"/>
      <c r="U14" s="193">
        <v>6.7000000000000004E-2</v>
      </c>
      <c r="V14" s="191">
        <v>5.1999999999999998E-2</v>
      </c>
      <c r="W14" s="191">
        <v>2.8000000000000001E-2</v>
      </c>
      <c r="X14" s="192">
        <v>-8.0000000000000002E-3</v>
      </c>
      <c r="Y14" s="220">
        <v>0.03</v>
      </c>
      <c r="Z14" s="191"/>
      <c r="AA14" s="193">
        <v>1.9E-2</v>
      </c>
      <c r="AB14" s="191">
        <v>4.9000000000000002E-2</v>
      </c>
      <c r="AC14" s="191">
        <v>9.0999999999999998E-2</v>
      </c>
      <c r="AD14" s="192">
        <v>9.7000000000000003E-2</v>
      </c>
      <c r="AE14" s="156">
        <f>SUMPRODUCT(AA14:AD14,U12:X12)/Y12</f>
        <v>6.3634702554236769E-2</v>
      </c>
      <c r="AF14" s="191"/>
      <c r="AG14" s="193">
        <v>-5.0000000000000001E-3</v>
      </c>
      <c r="AH14" s="191">
        <v>-0.01</v>
      </c>
      <c r="AI14" s="191">
        <v>-6.2E-2</v>
      </c>
      <c r="AJ14" s="192">
        <v>-9.1999999999999998E-2</v>
      </c>
      <c r="AK14" s="156">
        <f>SUMPRODUCT(AG14:AJ14,AA12:AD12)/AE12</f>
        <v>-4.3737512586151016E-2</v>
      </c>
      <c r="AL14" s="191"/>
      <c r="AM14" s="193">
        <v>-2.4E-2</v>
      </c>
      <c r="AN14" s="191">
        <v>-7.0000000000000001E-3</v>
      </c>
      <c r="AO14" s="191">
        <v>-0.02</v>
      </c>
      <c r="AP14" s="191">
        <v>-1.7000000000000001E-2</v>
      </c>
      <c r="AQ14" s="156">
        <f>SUMPRODUCT(AM14:AP14,AG12:AJ12)/AK12</f>
        <v>-1.697800382688703E-2</v>
      </c>
      <c r="AR14" s="191"/>
      <c r="AS14" s="193">
        <v>-0.02</v>
      </c>
      <c r="AT14" s="191">
        <v>-3.6999999999999998E-2</v>
      </c>
      <c r="AU14" s="191">
        <v>-1.4999999999999999E-2</v>
      </c>
      <c r="AV14" s="191">
        <v>4.0000000000000001E-3</v>
      </c>
      <c r="AW14" s="156">
        <f>SUMPRODUCT(AS14:AV14,AM12:AP12)/AQ12</f>
        <v>-1.6852369934379677E-2</v>
      </c>
      <c r="AX14" s="321"/>
      <c r="AY14" s="193">
        <v>-5.6000000000000001E-2</v>
      </c>
      <c r="AZ14" s="191">
        <v>-0.09</v>
      </c>
      <c r="BA14" s="320">
        <f>-49/AU12</f>
        <v>-0.14705882352941177</v>
      </c>
      <c r="BB14" s="194">
        <f>-52/AV12</f>
        <v>-0.15714717437292233</v>
      </c>
      <c r="BC14" s="156">
        <f>SUMPRODUCT(AY14:BB14,AS12:AV12)/AW12</f>
        <v>-0.11356860924077083</v>
      </c>
      <c r="BD14" s="665"/>
      <c r="BE14" s="749"/>
      <c r="BF14" s="702"/>
      <c r="BG14" s="665"/>
      <c r="BH14" s="668"/>
      <c r="BI14" s="746"/>
      <c r="BJ14" s="665"/>
      <c r="BK14" s="660">
        <f>BK13-BK15</f>
        <v>-2.0172774869109886E-2</v>
      </c>
      <c r="BL14" s="661">
        <f t="shared" ref="BL14" si="6">BL13-BL15</f>
        <v>-1.40270270270271E-2</v>
      </c>
      <c r="BM14" s="661">
        <f t="shared" ref="BM14" si="7">BM13-BM15</f>
        <v>-2.6148148148148184E-2</v>
      </c>
      <c r="BN14" s="662">
        <f t="shared" ref="BN14" si="8">BN13-BN15</f>
        <v>3.2942643391522114E-3</v>
      </c>
      <c r="BO14" s="732">
        <f>SUMPRODUCT(BK14:BN14,BE12:BH12)/BI12</f>
        <v>-1.4226572528883171E-2</v>
      </c>
      <c r="BP14" s="665"/>
      <c r="BQ14" s="660">
        <f>BQ13-BQ15</f>
        <v>3.3743842364532026E-2</v>
      </c>
      <c r="BR14" s="698">
        <v>5.382415188975917E-2</v>
      </c>
      <c r="BS14" s="698">
        <v>4.156311910728936E-2</v>
      </c>
      <c r="BT14" s="742">
        <v>1.7281674766729559E-2</v>
      </c>
      <c r="BU14" s="732">
        <f>SUMPRODUCT(BQ14:BT14,BK12:BN12)/BO12</f>
        <v>3.6244331863319483E-2</v>
      </c>
      <c r="BV14" s="665"/>
      <c r="BW14" s="743">
        <v>3.2033427543754309E-2</v>
      </c>
      <c r="BX14" s="698">
        <v>2.6903295588029167E-3</v>
      </c>
      <c r="BY14" s="698">
        <v>0</v>
      </c>
      <c r="BZ14" s="742">
        <v>0</v>
      </c>
      <c r="CA14" s="732">
        <f>SUMPRODUCT(BW14:BZ14,BQ12:BT12)/BU12</f>
        <v>8.4717189367252161E-3</v>
      </c>
      <c r="CB14" s="665"/>
      <c r="CC14" s="743">
        <v>0</v>
      </c>
      <c r="CD14" s="698">
        <v>0</v>
      </c>
      <c r="CE14" s="698">
        <v>0</v>
      </c>
      <c r="CF14" s="742">
        <v>0</v>
      </c>
      <c r="CG14" s="732">
        <f>SUMPRODUCT(CC14:CF14,BW12:BZ12)/CA12</f>
        <v>0</v>
      </c>
      <c r="CH14" s="665"/>
      <c r="CI14" s="743">
        <v>0</v>
      </c>
      <c r="CJ14" s="698">
        <v>0</v>
      </c>
      <c r="CK14" s="698">
        <v>0</v>
      </c>
      <c r="CL14" s="742">
        <v>0</v>
      </c>
      <c r="CM14" s="732">
        <f>SUMPRODUCT(CI14:CL14,CC12:CF12)/CG12</f>
        <v>0</v>
      </c>
    </row>
    <row r="15" spans="1:91" s="25" customFormat="1" ht="11.25" hidden="1" outlineLevel="1" x14ac:dyDescent="0.2">
      <c r="A15" s="695" t="s">
        <v>10</v>
      </c>
      <c r="B15" s="665"/>
      <c r="C15" s="193">
        <v>6.2003812585904733E-2</v>
      </c>
      <c r="D15" s="191">
        <v>1.3318787861008749E-2</v>
      </c>
      <c r="E15" s="191">
        <v>1.5672058277100769E-2</v>
      </c>
      <c r="F15" s="192">
        <v>1.964329408060167E-2</v>
      </c>
      <c r="G15" s="220">
        <v>2.7679473028475662E-2</v>
      </c>
      <c r="H15" s="188"/>
      <c r="I15" s="190">
        <f>I13-I14</f>
        <v>-3.5949489483629027E-3</v>
      </c>
      <c r="J15" s="188">
        <f>J13-J14</f>
        <v>5.4956236515922269E-2</v>
      </c>
      <c r="K15" s="188">
        <f>K13-K14</f>
        <v>6.1487074219000667E-2</v>
      </c>
      <c r="L15" s="155">
        <f>L13-L14</f>
        <v>4.6229022222603125E-2</v>
      </c>
      <c r="M15" s="156">
        <f>M13-M14</f>
        <v>4.0314216636344463E-2</v>
      </c>
      <c r="N15" s="188"/>
      <c r="O15" s="152">
        <f>O13-O14</f>
        <v>-5.1088431559012631E-2</v>
      </c>
      <c r="P15" s="188">
        <f>P13-P14</f>
        <v>-7.5740829503482127E-3</v>
      </c>
      <c r="Q15" s="188">
        <f>Q13-Q14</f>
        <v>-1.2177664079040307E-2</v>
      </c>
      <c r="R15" s="155">
        <f>R13-R14</f>
        <v>6.211371032581639E-2</v>
      </c>
      <c r="S15" s="156">
        <f>S13-S14</f>
        <v>-1.5739639096956498E-3</v>
      </c>
      <c r="T15" s="188"/>
      <c r="U15" s="190">
        <f>U13-U14</f>
        <v>0.15791552257851066</v>
      </c>
      <c r="V15" s="188">
        <f>V13-V14</f>
        <v>6.2164296897466102E-2</v>
      </c>
      <c r="W15" s="188">
        <f>W13-W14</f>
        <v>7.0525985779486905E-2</v>
      </c>
      <c r="X15" s="155">
        <f>X13-X14</f>
        <v>-2.2230795946073918E-2</v>
      </c>
      <c r="Y15" s="156">
        <f>Y13-Y14</f>
        <v>6.5842368020703895E-2</v>
      </c>
      <c r="Z15" s="188"/>
      <c r="AA15" s="190">
        <f>AA13-AA14</f>
        <v>-2.1747061955506779E-2</v>
      </c>
      <c r="AB15" s="188">
        <f>AB13-AB14</f>
        <v>5.7231308124052457E-2</v>
      </c>
      <c r="AC15" s="188">
        <f>AC13-AC14</f>
        <v>2.9522533673384838E-2</v>
      </c>
      <c r="AD15" s="155">
        <f>AD13-AD14</f>
        <v>7.7704139603783168E-2</v>
      </c>
      <c r="AE15" s="156">
        <f>SUMPRODUCT(AA15:AD15,U12:X12)/Y12</f>
        <v>3.4822742291462823E-2</v>
      </c>
      <c r="AF15" s="188"/>
      <c r="AG15" s="190">
        <f>AG13-AG14</f>
        <v>6.4653969064586758E-2</v>
      </c>
      <c r="AH15" s="188">
        <f>AH13-AH14</f>
        <v>5.1922820531812512E-2</v>
      </c>
      <c r="AI15" s="188">
        <f>AI13-AI14</f>
        <v>8.3772167929586139E-2</v>
      </c>
      <c r="AJ15" s="155">
        <f>AJ13-AJ14</f>
        <v>6.75762108829632E-2</v>
      </c>
      <c r="AK15" s="156">
        <f>SUMPRODUCT(AG15:AJ15,AA12:AD12)/AE12</f>
        <v>6.7232871712506456E-2</v>
      </c>
      <c r="AL15" s="188"/>
      <c r="AM15" s="190">
        <f>AM13-AM14</f>
        <v>7.0927084664449386E-2</v>
      </c>
      <c r="AN15" s="188">
        <f>AN13-AN14</f>
        <v>8.3778986279945955E-2</v>
      </c>
      <c r="AO15" s="188">
        <f>AO13-AO14</f>
        <v>0.10468209784094394</v>
      </c>
      <c r="AP15" s="188">
        <f>AP13-AP14</f>
        <v>0.11073834795794078</v>
      </c>
      <c r="AQ15" s="156">
        <f>SUMPRODUCT(AM15:AP15,AG12:AJ12)/AK12</f>
        <v>9.2776802180811135E-2</v>
      </c>
      <c r="AR15" s="188"/>
      <c r="AS15" s="190">
        <f>AS13-AS14</f>
        <v>0.12550801057381797</v>
      </c>
      <c r="AT15" s="188">
        <f>AT13-AT14</f>
        <v>6.360253976846994E-2</v>
      </c>
      <c r="AU15" s="188">
        <f>AU13-AU14</f>
        <v>7.261997416258513E-2</v>
      </c>
      <c r="AV15" s="188">
        <f>AV13-AV14</f>
        <v>7.0350649350649164E-2</v>
      </c>
      <c r="AW15" s="156">
        <f>SUMPRODUCT(AS15:AV15,AM12:AP12)/AQ12</f>
        <v>8.2296234788502648E-2</v>
      </c>
      <c r="AX15" s="188"/>
      <c r="AY15" s="190">
        <f>AY13-AY14</f>
        <v>0.10552681388012614</v>
      </c>
      <c r="AZ15" s="188">
        <f>AZ13-AZ14</f>
        <v>8.3890675241157592E-2</v>
      </c>
      <c r="BA15" s="188">
        <f>BA13-BA14</f>
        <v>0.25570228091236491</v>
      </c>
      <c r="BB15" s="155">
        <f>BB13-BB14</f>
        <v>0.23300090661831371</v>
      </c>
      <c r="BC15" s="156">
        <f>BC13-BC14</f>
        <v>0.17169104558470694</v>
      </c>
      <c r="BD15" s="665"/>
      <c r="BE15" s="749"/>
      <c r="BF15" s="702"/>
      <c r="BG15" s="665"/>
      <c r="BH15" s="668"/>
      <c r="BI15" s="746"/>
      <c r="BJ15" s="665"/>
      <c r="BK15" s="672">
        <v>8.3000000000000004E-2</v>
      </c>
      <c r="BL15" s="673">
        <v>8.6999999999999994E-2</v>
      </c>
      <c r="BM15" s="673">
        <v>7.8E-2</v>
      </c>
      <c r="BN15" s="674">
        <v>7.9000000000000001E-2</v>
      </c>
      <c r="BO15" s="732">
        <f t="shared" ref="BO15" si="9">BO13-BO14</f>
        <v>8.1620667522464788E-2</v>
      </c>
      <c r="BP15" s="665"/>
      <c r="BQ15" s="672">
        <v>0.05</v>
      </c>
      <c r="BR15" s="696">
        <f>BR16+BR17</f>
        <v>4.4999999999999998E-2</v>
      </c>
      <c r="BS15" s="696">
        <f>BS16+BS17</f>
        <v>0.05</v>
      </c>
      <c r="BT15" s="697">
        <f>BT16+BT17</f>
        <v>4.4999999999999998E-2</v>
      </c>
      <c r="BU15" s="732">
        <f>BU13-BU14</f>
        <v>4.7501503307276045E-2</v>
      </c>
      <c r="BV15" s="665"/>
      <c r="BW15" s="717">
        <f>BW16+BW17</f>
        <v>0.06</v>
      </c>
      <c r="BX15" s="696">
        <f>BX16+BX17</f>
        <v>0.06</v>
      </c>
      <c r="BY15" s="696">
        <f>BY16+BY17</f>
        <v>0.06</v>
      </c>
      <c r="BZ15" s="697">
        <f>BZ16+BZ17</f>
        <v>0.06</v>
      </c>
      <c r="CA15" s="732">
        <f>CA13-CA14</f>
        <v>0.06</v>
      </c>
      <c r="CB15" s="665"/>
      <c r="CC15" s="717">
        <f>CC16+CC17</f>
        <v>0.06</v>
      </c>
      <c r="CD15" s="696">
        <f>CD16+CD17</f>
        <v>0.06</v>
      </c>
      <c r="CE15" s="696">
        <f>CE16+CE17</f>
        <v>0.06</v>
      </c>
      <c r="CF15" s="697">
        <f>CF16+CF17</f>
        <v>0.06</v>
      </c>
      <c r="CG15" s="732">
        <f>CG13-CG14</f>
        <v>6.0000000000000053E-2</v>
      </c>
      <c r="CH15" s="665"/>
      <c r="CI15" s="717">
        <f>CI16+CI17</f>
        <v>0.06</v>
      </c>
      <c r="CJ15" s="696">
        <f>CJ16+CJ17</f>
        <v>0.06</v>
      </c>
      <c r="CK15" s="696">
        <f>CK16+CK17</f>
        <v>0.06</v>
      </c>
      <c r="CL15" s="697">
        <f>CL16+CL17</f>
        <v>0.06</v>
      </c>
      <c r="CM15" s="732">
        <f>CM13-CM14</f>
        <v>6.0000000000000053E-2</v>
      </c>
    </row>
    <row r="16" spans="1:91" s="25" customFormat="1" ht="11.25" hidden="1" outlineLevel="1" x14ac:dyDescent="0.2">
      <c r="A16" s="695" t="s">
        <v>6</v>
      </c>
      <c r="B16" s="665"/>
      <c r="C16" s="193">
        <v>0</v>
      </c>
      <c r="D16" s="191">
        <v>0</v>
      </c>
      <c r="E16" s="191">
        <v>0</v>
      </c>
      <c r="F16" s="192">
        <v>0</v>
      </c>
      <c r="G16" s="220">
        <v>0</v>
      </c>
      <c r="H16" s="188"/>
      <c r="I16" s="193">
        <v>0</v>
      </c>
      <c r="J16" s="191">
        <v>0</v>
      </c>
      <c r="K16" s="191">
        <v>0</v>
      </c>
      <c r="L16" s="192">
        <v>0</v>
      </c>
      <c r="M16" s="154">
        <f>SUMPRODUCT(I16:L16,C12:F12)/G12</f>
        <v>0</v>
      </c>
      <c r="N16" s="188"/>
      <c r="O16" s="193">
        <f>-12.651/I12</f>
        <v>-5.1413035527053716E-2</v>
      </c>
      <c r="P16" s="191">
        <f>-11.154/J12</f>
        <v>-4.4927075067769232E-2</v>
      </c>
      <c r="Q16" s="191">
        <f>-11.767/K12</f>
        <v>-4.3250852740531635E-2</v>
      </c>
      <c r="R16" s="192">
        <f>-12.52/L12</f>
        <v>-4.7934453845859336E-2</v>
      </c>
      <c r="S16" s="154">
        <f>SUMPRODUCT(O16:R16,I12:L12)/M12</f>
        <v>-4.6800812387053567E-2</v>
      </c>
      <c r="T16" s="188"/>
      <c r="U16" s="193">
        <v>0</v>
      </c>
      <c r="V16" s="191">
        <v>0</v>
      </c>
      <c r="W16" s="191">
        <v>0</v>
      </c>
      <c r="X16" s="192">
        <v>0</v>
      </c>
      <c r="Y16" s="154">
        <f>SUMPRODUCT(U16:X16,O12:R12)/S12</f>
        <v>0</v>
      </c>
      <c r="Z16" s="188"/>
      <c r="AA16" s="193">
        <v>0</v>
      </c>
      <c r="AB16" s="191">
        <v>0</v>
      </c>
      <c r="AC16" s="191">
        <v>0</v>
      </c>
      <c r="AD16" s="192">
        <f>3.4/2/X12</f>
        <v>6.9183311357457963E-3</v>
      </c>
      <c r="AE16" s="154">
        <f>SUMPRODUCT(AA16:AD16,U12:X12)/Y12</f>
        <v>1.6954443410555837E-3</v>
      </c>
      <c r="AF16" s="188"/>
      <c r="AG16" s="193">
        <f>3.4/AA12</f>
        <v>1.3154127687891239E-2</v>
      </c>
      <c r="AH16" s="191">
        <f>3.4/AB12</f>
        <v>1.2591659877046146E-2</v>
      </c>
      <c r="AI16" s="191">
        <f>3.4/AC12</f>
        <v>1.1960796729777458E-2</v>
      </c>
      <c r="AJ16" s="192">
        <f>3.4/2/AD12</f>
        <v>5.8894243260939599E-3</v>
      </c>
      <c r="AK16" s="154">
        <f>SUMPRODUCT(AG16:AJ16,AA12:AD12)/AE12</f>
        <v>1.0804342437732033E-2</v>
      </c>
      <c r="AL16" s="188"/>
      <c r="AM16" s="193">
        <v>0</v>
      </c>
      <c r="AN16" s="191">
        <v>0</v>
      </c>
      <c r="AO16" s="191">
        <v>0</v>
      </c>
      <c r="AP16" s="191">
        <v>0</v>
      </c>
      <c r="AQ16" s="154">
        <f>SUMPRODUCT(AM16:AP16,AG12:AJ12)/AK12</f>
        <v>0</v>
      </c>
      <c r="AR16" s="188"/>
      <c r="AS16" s="193">
        <v>0</v>
      </c>
      <c r="AT16" s="191">
        <v>0</v>
      </c>
      <c r="AU16" s="191">
        <v>0</v>
      </c>
      <c r="AV16" s="191">
        <v>0</v>
      </c>
      <c r="AW16" s="154">
        <f>SUMPRODUCT(AS16:AV16,AM12:AP12)/AQ12</f>
        <v>0</v>
      </c>
      <c r="AX16" s="188"/>
      <c r="AY16" s="193">
        <v>0</v>
      </c>
      <c r="AZ16" s="191">
        <v>0</v>
      </c>
      <c r="BA16" s="320">
        <v>0.20258103241296518</v>
      </c>
      <c r="BB16" s="194">
        <v>0.17527954064672108</v>
      </c>
      <c r="BC16" s="156">
        <f>SUMPRODUCT(AY16:BB16,AS12:AV12)/AW12</f>
        <v>9.7128705208575195E-2</v>
      </c>
      <c r="BD16" s="665"/>
      <c r="BE16" s="749"/>
      <c r="BF16" s="702"/>
      <c r="BG16" s="673">
        <v>0</v>
      </c>
      <c r="BH16" s="674">
        <v>0</v>
      </c>
      <c r="BI16" s="746"/>
      <c r="BJ16" s="665"/>
      <c r="BK16" s="672">
        <v>0</v>
      </c>
      <c r="BL16" s="673">
        <v>0</v>
      </c>
      <c r="BM16" s="673">
        <v>0</v>
      </c>
      <c r="BN16" s="674">
        <v>0</v>
      </c>
      <c r="BO16" s="732">
        <f>SUMPRODUCT(BK16:BN16,BE12:BH12)/BI12</f>
        <v>0</v>
      </c>
      <c r="BP16" s="665"/>
      <c r="BQ16" s="672">
        <v>0</v>
      </c>
      <c r="BR16" s="673">
        <v>0</v>
      </c>
      <c r="BS16" s="673">
        <v>0</v>
      </c>
      <c r="BT16" s="674">
        <v>0</v>
      </c>
      <c r="BU16" s="732">
        <f>SUMPRODUCT(BQ16:BT16,BK12:BN12)/BO12</f>
        <v>0</v>
      </c>
      <c r="BV16" s="665"/>
      <c r="BW16" s="672">
        <v>0</v>
      </c>
      <c r="BX16" s="673">
        <v>0</v>
      </c>
      <c r="BY16" s="673">
        <v>0</v>
      </c>
      <c r="BZ16" s="674">
        <v>0</v>
      </c>
      <c r="CA16" s="732">
        <f>SUMPRODUCT(BW16:BZ16,BQ12:BT12)/BU12</f>
        <v>0</v>
      </c>
      <c r="CB16" s="665"/>
      <c r="CC16" s="672">
        <v>0</v>
      </c>
      <c r="CD16" s="673">
        <v>0</v>
      </c>
      <c r="CE16" s="673">
        <v>0</v>
      </c>
      <c r="CF16" s="674">
        <v>0</v>
      </c>
      <c r="CG16" s="732">
        <f>SUMPRODUCT(CC16:CF16,BW12:BZ12)/CA12</f>
        <v>0</v>
      </c>
      <c r="CH16" s="665"/>
      <c r="CI16" s="672">
        <v>0</v>
      </c>
      <c r="CJ16" s="673">
        <v>0</v>
      </c>
      <c r="CK16" s="673">
        <v>0</v>
      </c>
      <c r="CL16" s="674">
        <v>0</v>
      </c>
      <c r="CM16" s="732">
        <f>SUMPRODUCT(CI16:CL16,CC12:CF12)/CG12</f>
        <v>0</v>
      </c>
    </row>
    <row r="17" spans="1:91" s="25" customFormat="1" ht="11.25" hidden="1" outlineLevel="1" x14ac:dyDescent="0.2">
      <c r="A17" s="695" t="s">
        <v>7</v>
      </c>
      <c r="B17" s="665"/>
      <c r="C17" s="193">
        <v>6.2003812585904733E-2</v>
      </c>
      <c r="D17" s="191">
        <v>1.3318787861008749E-2</v>
      </c>
      <c r="E17" s="191">
        <v>1.5672058277100769E-2</v>
      </c>
      <c r="F17" s="192">
        <v>1.964329408060167E-2</v>
      </c>
      <c r="G17" s="220">
        <v>2.7415513541424921E-2</v>
      </c>
      <c r="H17" s="188"/>
      <c r="I17" s="152">
        <f>I15-I16</f>
        <v>-3.5949489483629027E-3</v>
      </c>
      <c r="J17" s="151">
        <f>J15-J16</f>
        <v>5.4956236515922269E-2</v>
      </c>
      <c r="K17" s="151">
        <f>K15-K16</f>
        <v>6.1487074219000667E-2</v>
      </c>
      <c r="L17" s="153">
        <f>L15-L16</f>
        <v>4.6229022222603125E-2</v>
      </c>
      <c r="M17" s="154">
        <f>SUMPRODUCT(I17:L17,C12:F12)/G12</f>
        <v>3.9875323115371203E-2</v>
      </c>
      <c r="N17" s="188"/>
      <c r="O17" s="152">
        <f>O15-O16</f>
        <v>3.2460396804108449E-4</v>
      </c>
      <c r="P17" s="151">
        <f>P15-P16</f>
        <v>3.7352992117421019E-2</v>
      </c>
      <c r="Q17" s="151">
        <f>Q15-Q16</f>
        <v>3.1073188661491329E-2</v>
      </c>
      <c r="R17" s="153">
        <f>R15-R16</f>
        <v>0.11004816417167573</v>
      </c>
      <c r="S17" s="154">
        <f>SUMPRODUCT(O17:R17,I12:L12)/M12</f>
        <v>4.5301029886462341E-2</v>
      </c>
      <c r="T17" s="188"/>
      <c r="U17" s="152">
        <f>U15-U16</f>
        <v>0.15791552257851066</v>
      </c>
      <c r="V17" s="151">
        <f>V15-V16</f>
        <v>6.2164296897466102E-2</v>
      </c>
      <c r="W17" s="151">
        <f>W15-W16</f>
        <v>7.0525985779486905E-2</v>
      </c>
      <c r="X17" s="153">
        <f>X15-X16</f>
        <v>-2.2230795946073918E-2</v>
      </c>
      <c r="Y17" s="154">
        <f>SUMPRODUCT(U17:X17,O12:R12)/S12</f>
        <v>6.3046394941157935E-2</v>
      </c>
      <c r="Z17" s="188"/>
      <c r="AA17" s="152">
        <f>AA15-AA16</f>
        <v>-2.1747061955506779E-2</v>
      </c>
      <c r="AB17" s="151">
        <f>AB15-AB16</f>
        <v>5.7231308124052457E-2</v>
      </c>
      <c r="AC17" s="151">
        <f>AC15-AC16</f>
        <v>2.9522533673384838E-2</v>
      </c>
      <c r="AD17" s="153">
        <f>AD15-AD16</f>
        <v>7.0785808468037364E-2</v>
      </c>
      <c r="AE17" s="154">
        <f>SUMPRODUCT(AA17:AD17,U12:X12)/Y12</f>
        <v>3.3127297950407232E-2</v>
      </c>
      <c r="AF17" s="188"/>
      <c r="AG17" s="152">
        <f>AG15-AG16</f>
        <v>5.149984137669552E-2</v>
      </c>
      <c r="AH17" s="151">
        <f>AH15-AH16</f>
        <v>3.933116065476637E-2</v>
      </c>
      <c r="AI17" s="151">
        <f>AI15-AI16</f>
        <v>7.1811371199808682E-2</v>
      </c>
      <c r="AJ17" s="153">
        <f>AJ15-AJ16</f>
        <v>6.1686786556869239E-2</v>
      </c>
      <c r="AK17" s="154">
        <f>SUMPRODUCT(AG17:AJ17,AA12:AD12)/AE12</f>
        <v>5.642852927477441E-2</v>
      </c>
      <c r="AL17" s="188"/>
      <c r="AM17" s="152">
        <f>AM15-AM16</f>
        <v>7.0927084664449386E-2</v>
      </c>
      <c r="AN17" s="151">
        <f>AN15-AN16</f>
        <v>8.3778986279945955E-2</v>
      </c>
      <c r="AO17" s="151">
        <f>AO15-AO16</f>
        <v>0.10468209784094394</v>
      </c>
      <c r="AP17" s="151">
        <f>AP15-AP16</f>
        <v>0.11073834795794078</v>
      </c>
      <c r="AQ17" s="154">
        <f>SUMPRODUCT(AM17:AP17,AG12:AJ12)/AK12</f>
        <v>9.2776802180811135E-2</v>
      </c>
      <c r="AR17" s="188"/>
      <c r="AS17" s="152">
        <f>AS15-AS16</f>
        <v>0.12550801057381797</v>
      </c>
      <c r="AT17" s="151">
        <f>AT15-AT16</f>
        <v>6.360253976846994E-2</v>
      </c>
      <c r="AU17" s="151">
        <f>AU15-AU16</f>
        <v>7.261997416258513E-2</v>
      </c>
      <c r="AV17" s="151">
        <f>AV15-AV16</f>
        <v>7.0350649350649164E-2</v>
      </c>
      <c r="AW17" s="154">
        <f>SUMPRODUCT(AS17:AV17,AM12:AP12)/AQ12</f>
        <v>8.2296234788502648E-2</v>
      </c>
      <c r="AX17" s="188"/>
      <c r="AY17" s="152">
        <f>AY15-AY16</f>
        <v>0.10552681388012614</v>
      </c>
      <c r="AZ17" s="151">
        <f>AZ15-AZ16</f>
        <v>8.3890675241157592E-2</v>
      </c>
      <c r="BA17" s="188">
        <f>BA15-BA16</f>
        <v>5.3121248499399726E-2</v>
      </c>
      <c r="BB17" s="155">
        <f>BB15-BB16</f>
        <v>5.7721365971592636E-2</v>
      </c>
      <c r="BC17" s="156">
        <f>BC15-BC16</f>
        <v>7.4562340376131742E-2</v>
      </c>
      <c r="BD17" s="665"/>
      <c r="BE17" s="749"/>
      <c r="BF17" s="702"/>
      <c r="BG17" s="665"/>
      <c r="BH17" s="668"/>
      <c r="BI17" s="746"/>
      <c r="BJ17" s="665"/>
      <c r="BK17" s="717">
        <f>BK15-BK16</f>
        <v>8.3000000000000004E-2</v>
      </c>
      <c r="BL17" s="696">
        <f t="shared" ref="BL17:BO17" si="10">BL15-BL16</f>
        <v>8.6999999999999994E-2</v>
      </c>
      <c r="BM17" s="696">
        <f t="shared" si="10"/>
        <v>7.8E-2</v>
      </c>
      <c r="BN17" s="697">
        <f t="shared" si="10"/>
        <v>7.9000000000000001E-2</v>
      </c>
      <c r="BO17" s="732">
        <f t="shared" si="10"/>
        <v>8.1620667522464788E-2</v>
      </c>
      <c r="BP17" s="665"/>
      <c r="BQ17" s="717">
        <f>BQ15-BQ16</f>
        <v>0.05</v>
      </c>
      <c r="BR17" s="673">
        <v>4.4999999999999998E-2</v>
      </c>
      <c r="BS17" s="673">
        <v>0.05</v>
      </c>
      <c r="BT17" s="674">
        <v>4.4999999999999998E-2</v>
      </c>
      <c r="BU17" s="732">
        <f>BU15-BU16</f>
        <v>4.7501503307276045E-2</v>
      </c>
      <c r="BV17" s="665"/>
      <c r="BW17" s="195">
        <v>0.06</v>
      </c>
      <c r="BX17" s="320">
        <f>BW17</f>
        <v>0.06</v>
      </c>
      <c r="BY17" s="320">
        <f>BX17</f>
        <v>0.06</v>
      </c>
      <c r="BZ17" s="194">
        <f>BY17</f>
        <v>0.06</v>
      </c>
      <c r="CA17" s="732">
        <f>CA15-CA16</f>
        <v>0.06</v>
      </c>
      <c r="CB17" s="665"/>
      <c r="CC17" s="195">
        <v>0.06</v>
      </c>
      <c r="CD17" s="320">
        <f>CC17</f>
        <v>0.06</v>
      </c>
      <c r="CE17" s="320">
        <f>CD17</f>
        <v>0.06</v>
      </c>
      <c r="CF17" s="194">
        <f>CE17</f>
        <v>0.06</v>
      </c>
      <c r="CG17" s="732">
        <f>CG15-CG16</f>
        <v>6.0000000000000053E-2</v>
      </c>
      <c r="CH17" s="665"/>
      <c r="CI17" s="195">
        <v>0.06</v>
      </c>
      <c r="CJ17" s="320">
        <f>CI17</f>
        <v>0.06</v>
      </c>
      <c r="CK17" s="320">
        <f>CJ17</f>
        <v>0.06</v>
      </c>
      <c r="CL17" s="194">
        <f>CK17</f>
        <v>0.06</v>
      </c>
      <c r="CM17" s="732">
        <f>CM15-CM16</f>
        <v>6.0000000000000053E-2</v>
      </c>
    </row>
    <row r="18" spans="1:91" s="25" customFormat="1" ht="11.25" collapsed="1" x14ac:dyDescent="0.2">
      <c r="A18" s="694" t="s">
        <v>11</v>
      </c>
      <c r="B18" s="665"/>
      <c r="C18" s="118">
        <f>C8+C12</f>
        <v>467.75900000000001</v>
      </c>
      <c r="D18" s="116">
        <f>D8+D12</f>
        <v>447.34000000000003</v>
      </c>
      <c r="E18" s="116">
        <f>E8+E12</f>
        <v>472.19500000000005</v>
      </c>
      <c r="F18" s="117">
        <f>F8+F12</f>
        <v>476.79300000000001</v>
      </c>
      <c r="G18" s="315">
        <f>SUM(C18:F18)</f>
        <v>1864.087</v>
      </c>
      <c r="H18" s="16"/>
      <c r="I18" s="118">
        <f>I8+I12</f>
        <v>498.81100000000004</v>
      </c>
      <c r="J18" s="116">
        <f>J8+J12</f>
        <v>480.71600000000001</v>
      </c>
      <c r="K18" s="116">
        <f>K8+K12</f>
        <v>516.024</v>
      </c>
      <c r="L18" s="117">
        <f>L8+L12</f>
        <v>509.30099999999999</v>
      </c>
      <c r="M18" s="315">
        <f>SUM(I18:L18)</f>
        <v>2004.8519999999999</v>
      </c>
      <c r="N18" s="16"/>
      <c r="O18" s="118">
        <f>O8+O12</f>
        <v>455.63200000000001</v>
      </c>
      <c r="P18" s="116">
        <f>P8+P12</f>
        <v>450.12</v>
      </c>
      <c r="Q18" s="116">
        <f>Q8+Q12</f>
        <v>475.01099999999997</v>
      </c>
      <c r="R18" s="117">
        <f>R8+R12</f>
        <v>508.55200000000002</v>
      </c>
      <c r="S18" s="315">
        <f>SUM(O18:R18)</f>
        <v>1889.3150000000001</v>
      </c>
      <c r="T18" s="16"/>
      <c r="U18" s="118">
        <f>U8+U12</f>
        <v>533.17699999999991</v>
      </c>
      <c r="V18" s="116">
        <f>V8+V12</f>
        <v>481.26400000000001</v>
      </c>
      <c r="W18" s="116">
        <f>W8+W12</f>
        <v>493.553</v>
      </c>
      <c r="X18" s="117">
        <f>X8+X12</f>
        <v>502.01400000000001</v>
      </c>
      <c r="Y18" s="315">
        <f>SUM(U18:X18)</f>
        <v>2010.0079999999998</v>
      </c>
      <c r="Z18" s="16"/>
      <c r="AA18" s="118">
        <f>AA8+AA12</f>
        <v>512.72799999999995</v>
      </c>
      <c r="AB18" s="116">
        <f>AB8+AB12</f>
        <v>504.59100000000001</v>
      </c>
      <c r="AC18" s="116">
        <f>AC8+AC12</f>
        <v>529.01800000000003</v>
      </c>
      <c r="AD18" s="117">
        <f>AD8+AD12</f>
        <v>535.399</v>
      </c>
      <c r="AE18" s="315">
        <f>SUM(AA18:AD18)</f>
        <v>2081.7359999999999</v>
      </c>
      <c r="AF18" s="16"/>
      <c r="AG18" s="118">
        <f>AG8+AG12</f>
        <v>522.30799999999999</v>
      </c>
      <c r="AH18" s="116">
        <f>AH8+AH12</f>
        <v>518.93899999999996</v>
      </c>
      <c r="AI18" s="116">
        <f>AI8+AI12</f>
        <v>531.77099999999996</v>
      </c>
      <c r="AJ18" s="117">
        <f>AJ8+AJ12</f>
        <v>532.26700000000005</v>
      </c>
      <c r="AK18" s="315">
        <f>SUM(AG18:AJ18)</f>
        <v>2105.2849999999999</v>
      </c>
      <c r="AL18" s="16"/>
      <c r="AM18" s="118">
        <f>AM8+AM12</f>
        <v>535.93799999999999</v>
      </c>
      <c r="AN18" s="116">
        <f>AN8+AN12</f>
        <v>538.56499999999994</v>
      </c>
      <c r="AO18" s="116">
        <f>AO8+AO12</f>
        <v>560.91600000000005</v>
      </c>
      <c r="AP18" s="116">
        <f>AP8+AP12</f>
        <v>560</v>
      </c>
      <c r="AQ18" s="315">
        <f>SUM(AM18:AP18)</f>
        <v>2195.4189999999999</v>
      </c>
      <c r="AR18" s="16"/>
      <c r="AS18" s="118">
        <f>AS8+AS12</f>
        <v>579</v>
      </c>
      <c r="AT18" s="116">
        <f>AT8+AT12</f>
        <v>551</v>
      </c>
      <c r="AU18" s="116">
        <f>AU8+AU12</f>
        <v>589.59999999999991</v>
      </c>
      <c r="AV18" s="116">
        <f>AV8+AV12</f>
        <v>587.79999999999995</v>
      </c>
      <c r="AW18" s="315">
        <f>SUM(AS18:AV18)</f>
        <v>2307.3999999999996</v>
      </c>
      <c r="AX18" s="16"/>
      <c r="AY18" s="118">
        <f>AY8+AY12</f>
        <v>600.5</v>
      </c>
      <c r="AZ18" s="116">
        <f>AZ8+AZ12</f>
        <v>564.79999999999995</v>
      </c>
      <c r="BA18" s="116">
        <f>BA8+BA12</f>
        <v>848.4</v>
      </c>
      <c r="BB18" s="117">
        <f>BB8+BB12</f>
        <v>837</v>
      </c>
      <c r="BC18" s="315">
        <f>SUM(AY18:BB18)</f>
        <v>2850.7</v>
      </c>
      <c r="BD18" s="665"/>
      <c r="BE18" s="718">
        <f>BE8+BE12</f>
        <v>850</v>
      </c>
      <c r="BF18" s="666">
        <f t="shared" ref="BF18:BH18" si="11">BF8+BF12</f>
        <v>828</v>
      </c>
      <c r="BG18" s="666">
        <f t="shared" si="11"/>
        <v>870</v>
      </c>
      <c r="BH18" s="667">
        <f t="shared" si="11"/>
        <v>893</v>
      </c>
      <c r="BI18" s="733">
        <f>SUM(BE18:BH18)</f>
        <v>3441</v>
      </c>
      <c r="BJ18" s="665"/>
      <c r="BK18" s="718">
        <f>BK8+BK12</f>
        <v>887</v>
      </c>
      <c r="BL18" s="666">
        <f t="shared" ref="BL18:BN18" si="12">BL8+BL12</f>
        <v>885</v>
      </c>
      <c r="BM18" s="666">
        <f t="shared" si="12"/>
        <v>902</v>
      </c>
      <c r="BN18" s="667">
        <f t="shared" si="12"/>
        <v>925</v>
      </c>
      <c r="BO18" s="733">
        <f>SUM(BK18:BN18)</f>
        <v>3599</v>
      </c>
      <c r="BP18" s="665"/>
      <c r="BQ18" s="718">
        <f>BQ8+BQ12</f>
        <v>952</v>
      </c>
      <c r="BR18" s="666">
        <f t="shared" ref="BR18:BT18" si="13">BR8+BR12</f>
        <v>929.11318830023447</v>
      </c>
      <c r="BS18" s="666">
        <f t="shared" si="13"/>
        <v>955.28588873970534</v>
      </c>
      <c r="BT18" s="667">
        <f t="shared" si="13"/>
        <v>976.58024684876068</v>
      </c>
      <c r="BU18" s="733">
        <f>SUM(BQ18:BT18)</f>
        <v>3812.9793238887005</v>
      </c>
      <c r="BV18" s="665"/>
      <c r="BW18" s="718">
        <f>BW8+BW12</f>
        <v>1018.0947081192519</v>
      </c>
      <c r="BX18" s="666">
        <f t="shared" ref="BX18:BZ18" si="14">BX8+BX12</f>
        <v>981.10479063926346</v>
      </c>
      <c r="BY18" s="666">
        <f t="shared" si="14"/>
        <v>1007.7002420640878</v>
      </c>
      <c r="BZ18" s="667">
        <f t="shared" si="14"/>
        <v>1030.0195616596864</v>
      </c>
      <c r="CA18" s="733">
        <f>SUM(BW18:BZ18)</f>
        <v>4036.9193024822898</v>
      </c>
      <c r="CB18" s="665"/>
      <c r="CC18" s="718">
        <f>CC8+CC12</f>
        <v>1073.804390606407</v>
      </c>
      <c r="CD18" s="666">
        <f t="shared" ref="CD18:CF18" si="15">CD8+CD12</f>
        <v>1034.7958380776192</v>
      </c>
      <c r="CE18" s="666">
        <f t="shared" si="15"/>
        <v>1063.0143165879331</v>
      </c>
      <c r="CF18" s="667">
        <f t="shared" si="15"/>
        <v>1086.4074603592676</v>
      </c>
      <c r="CG18" s="733">
        <f>SUM(CC18:CF18)</f>
        <v>4258.0220056312264</v>
      </c>
      <c r="CH18" s="665"/>
      <c r="CI18" s="718">
        <f>CI8+CI12</f>
        <v>1132.5878540427916</v>
      </c>
      <c r="CJ18" s="666">
        <f t="shared" ref="CJ18:CL18" si="16">CJ8+CJ12</f>
        <v>1091.4495863622765</v>
      </c>
      <c r="CK18" s="666">
        <f t="shared" si="16"/>
        <v>1121.3898385832092</v>
      </c>
      <c r="CL18" s="667">
        <f t="shared" si="16"/>
        <v>1145.9079692308237</v>
      </c>
      <c r="CM18" s="733">
        <f>SUM(CI18:CL18)</f>
        <v>4491.3352482191003</v>
      </c>
    </row>
    <row r="19" spans="1:91" s="25" customFormat="1" ht="11.25" x14ac:dyDescent="0.2">
      <c r="A19" s="695" t="s">
        <v>5</v>
      </c>
      <c r="B19" s="665"/>
      <c r="C19" s="190"/>
      <c r="D19" s="188"/>
      <c r="E19" s="188"/>
      <c r="F19" s="155"/>
      <c r="G19" s="156"/>
      <c r="H19" s="16"/>
      <c r="I19" s="190">
        <f>I18/C18-1</f>
        <v>6.6384612588961556E-2</v>
      </c>
      <c r="J19" s="188">
        <f>J18/D18-1</f>
        <v>7.4609916394688502E-2</v>
      </c>
      <c r="K19" s="188">
        <f>K18/E18-1</f>
        <v>9.281970372409698E-2</v>
      </c>
      <c r="L19" s="155">
        <f>L18/F18-1</f>
        <v>6.8180531173905656E-2</v>
      </c>
      <c r="M19" s="156">
        <f>M18/G18-1</f>
        <v>7.5514179327466957E-2</v>
      </c>
      <c r="N19" s="16"/>
      <c r="O19" s="190">
        <f>O18/I18-1</f>
        <v>-8.6563848832523771E-2</v>
      </c>
      <c r="P19" s="188">
        <f>P18/J18-1</f>
        <v>-6.364672696560969E-2</v>
      </c>
      <c r="Q19" s="188">
        <f>Q18/K18-1</f>
        <v>-7.9478861448304849E-2</v>
      </c>
      <c r="R19" s="155">
        <f>R18/L18-1</f>
        <v>-1.4706430971075379E-3</v>
      </c>
      <c r="S19" s="156">
        <f>S18/M18-1</f>
        <v>-5.7628692791288239E-2</v>
      </c>
      <c r="T19" s="16"/>
      <c r="U19" s="190">
        <f>U18/O18-1</f>
        <v>0.17019217263054376</v>
      </c>
      <c r="V19" s="188">
        <f>V18/P18-1</f>
        <v>6.9190438105394048E-2</v>
      </c>
      <c r="W19" s="188">
        <f>W18/Q18-1</f>
        <v>3.9034885507914563E-2</v>
      </c>
      <c r="X19" s="155">
        <f>X18/R18-1</f>
        <v>-1.2856109109786185E-2</v>
      </c>
      <c r="Y19" s="156">
        <f>Y18/S18-1</f>
        <v>6.3881883116367444E-2</v>
      </c>
      <c r="Z19" s="229"/>
      <c r="AA19" s="190">
        <f>AA18/U18-1</f>
        <v>-3.8353117257496017E-2</v>
      </c>
      <c r="AB19" s="188">
        <f>AB18/V18-1</f>
        <v>4.8470278267229716E-2</v>
      </c>
      <c r="AC19" s="188">
        <f>AC18/W18-1</f>
        <v>7.1856517942348708E-2</v>
      </c>
      <c r="AD19" s="155">
        <f>AD18/X18-1</f>
        <v>6.6502129422685297E-2</v>
      </c>
      <c r="AE19" s="156">
        <f>AE18/Y18-1</f>
        <v>3.5685430107740945E-2</v>
      </c>
      <c r="AF19" s="229"/>
      <c r="AG19" s="190">
        <f>AG18/AA18-1</f>
        <v>1.8684370660467131E-2</v>
      </c>
      <c r="AH19" s="188">
        <f>AH18/AB18-1</f>
        <v>2.8434910650407819E-2</v>
      </c>
      <c r="AI19" s="188">
        <f>AI18/AC18-1</f>
        <v>5.2039817170681513E-3</v>
      </c>
      <c r="AJ19" s="155">
        <f>AJ18/AD18-1</f>
        <v>-5.8498428274986747E-3</v>
      </c>
      <c r="AK19" s="156">
        <f>AK18/AE18-1</f>
        <v>1.1312193284835237E-2</v>
      </c>
      <c r="AL19" s="229"/>
      <c r="AM19" s="190">
        <f>AM18/AG18-1</f>
        <v>2.6095713640227558E-2</v>
      </c>
      <c r="AN19" s="188">
        <f>AN18/AH18-1</f>
        <v>3.7819473965148065E-2</v>
      </c>
      <c r="AO19" s="188">
        <f>AO18/AI18-1</f>
        <v>5.4807426505018242E-2</v>
      </c>
      <c r="AP19" s="188">
        <f>AP18/AJ18-1</f>
        <v>5.2103549534350035E-2</v>
      </c>
      <c r="AQ19" s="156">
        <f>AQ18/AK18-1</f>
        <v>4.2813205812989752E-2</v>
      </c>
      <c r="AR19" s="229"/>
      <c r="AS19" s="190">
        <f>AS18/AM18-1</f>
        <v>8.034884632177608E-2</v>
      </c>
      <c r="AT19" s="188">
        <f>AT18/AN18-1</f>
        <v>2.3089135016200579E-2</v>
      </c>
      <c r="AU19" s="188">
        <f>AU18/AO18-1</f>
        <v>5.1137781771245283E-2</v>
      </c>
      <c r="AV19" s="188">
        <f>AV18/AP18-1</f>
        <v>4.96428571428571E-2</v>
      </c>
      <c r="AW19" s="156">
        <f>AW18/AQ18-1</f>
        <v>5.1006664331501028E-2</v>
      </c>
      <c r="AX19" s="229"/>
      <c r="AY19" s="190">
        <f>AY18/AS18-1</f>
        <v>3.7132987910190041E-2</v>
      </c>
      <c r="AZ19" s="188">
        <f>AZ18/AT18-1</f>
        <v>2.5045372050816583E-2</v>
      </c>
      <c r="BA19" s="188">
        <f>BA18/AU18-1</f>
        <v>0.43894165535956597</v>
      </c>
      <c r="BB19" s="155">
        <f>BB18/AV18-1</f>
        <v>0.42395372575706025</v>
      </c>
      <c r="BC19" s="156">
        <f>BC18/AW18-1</f>
        <v>0.23545982491115547</v>
      </c>
      <c r="BD19" s="665"/>
      <c r="BE19" s="664"/>
      <c r="BF19" s="665"/>
      <c r="BG19" s="665"/>
      <c r="BH19" s="668"/>
      <c r="BI19" s="746"/>
      <c r="BJ19" s="665"/>
      <c r="BK19" s="717">
        <f>BK18/BE18-1</f>
        <v>4.3529411764705817E-2</v>
      </c>
      <c r="BL19" s="696">
        <f t="shared" ref="BL19" si="17">BL18/BF18-1</f>
        <v>6.8840579710145011E-2</v>
      </c>
      <c r="BM19" s="696">
        <f t="shared" ref="BM19" si="18">BM18/BG18-1</f>
        <v>3.6781609195402298E-2</v>
      </c>
      <c r="BN19" s="697">
        <f t="shared" ref="BN19" si="19">BN18/BH18-1</f>
        <v>3.5834266517357216E-2</v>
      </c>
      <c r="BO19" s="732">
        <f t="shared" ref="BO19" si="20">BO18/BI18-1</f>
        <v>4.5916884626562071E-2</v>
      </c>
      <c r="BP19" s="665"/>
      <c r="BQ19" s="717">
        <f>BQ18/BK18-1</f>
        <v>7.3280721533258264E-2</v>
      </c>
      <c r="BR19" s="696">
        <f t="shared" ref="BR19" si="21">BR18/BL18-1</f>
        <v>4.9845410508739585E-2</v>
      </c>
      <c r="BS19" s="696">
        <f t="shared" ref="BS19" si="22">BS18/BM18-1</f>
        <v>5.9075264678165595E-2</v>
      </c>
      <c r="BT19" s="697">
        <f t="shared" ref="BT19" si="23">BT18/BN18-1</f>
        <v>5.5762429025687288E-2</v>
      </c>
      <c r="BU19" s="732">
        <f t="shared" ref="BU19" si="24">BU18/BO18-1</f>
        <v>5.9455216418088597E-2</v>
      </c>
      <c r="BV19" s="665"/>
      <c r="BW19" s="717">
        <f>BW18/BQ18-1</f>
        <v>6.9427214410978877E-2</v>
      </c>
      <c r="BX19" s="696">
        <f t="shared" ref="BX19" si="25">BX18/BR18-1</f>
        <v>5.5958308410350988E-2</v>
      </c>
      <c r="BY19" s="696">
        <f t="shared" ref="BY19" si="26">BY18/BS18-1</f>
        <v>5.4867714411161117E-2</v>
      </c>
      <c r="BZ19" s="697">
        <f t="shared" ref="BZ19" si="27">BZ18/BT18-1</f>
        <v>5.4720863936541964E-2</v>
      </c>
      <c r="CA19" s="732">
        <f t="shared" ref="CA19" si="28">CA18/BU18-1</f>
        <v>5.8730971130785514E-2</v>
      </c>
      <c r="CB19" s="665"/>
      <c r="CC19" s="717">
        <f>CC18/BW18-1</f>
        <v>5.4719548233453486E-2</v>
      </c>
      <c r="CD19" s="696">
        <f t="shared" ref="CD19" si="29">CD18/BX18-1</f>
        <v>5.4725089461006515E-2</v>
      </c>
      <c r="CE19" s="696">
        <f t="shared" ref="CE19" si="30">CE18/BY18-1</f>
        <v>5.4891397476043657E-2</v>
      </c>
      <c r="CF19" s="697">
        <f t="shared" ref="CF19" si="31">CF18/BZ18-1</f>
        <v>5.4744493015960405E-2</v>
      </c>
      <c r="CG19" s="732">
        <f t="shared" ref="CG19" si="32">CG18/CA18-1</f>
        <v>5.4770156790843183E-2</v>
      </c>
      <c r="CH19" s="665"/>
      <c r="CI19" s="717">
        <f>CI18/CC18-1</f>
        <v>5.4743176644293623E-2</v>
      </c>
      <c r="CJ19" s="696">
        <f t="shared" ref="CJ19" si="33">CJ18/CD18-1</f>
        <v>5.4748720665426243E-2</v>
      </c>
      <c r="CK19" s="696">
        <f t="shared" ref="CK19" si="34">CK18/CE18-1</f>
        <v>5.4915085417334808E-2</v>
      </c>
      <c r="CL19" s="697">
        <f t="shared" ref="CL19" si="35">CL18/CF18-1</f>
        <v>5.4768133543449338E-2</v>
      </c>
      <c r="CM19" s="732">
        <f t="shared" ref="CM19" si="36">CM18/CG18-1</f>
        <v>5.4793808552261458E-2</v>
      </c>
    </row>
    <row r="20" spans="1:91" s="25" customFormat="1" ht="11.25" x14ac:dyDescent="0.2">
      <c r="A20" s="695" t="s">
        <v>9</v>
      </c>
      <c r="B20" s="665"/>
      <c r="C20" s="190"/>
      <c r="D20" s="188"/>
      <c r="E20" s="188"/>
      <c r="F20" s="155"/>
      <c r="G20" s="156"/>
      <c r="H20" s="16"/>
      <c r="I20" s="190">
        <f>(I14*C12)/C18</f>
        <v>4.5789626709480738E-2</v>
      </c>
      <c r="J20" s="188">
        <f>(J14*D12)/D18</f>
        <v>4.4516984843743015E-2</v>
      </c>
      <c r="K20" s="188">
        <f>(K14*E12)/E18</f>
        <v>5.0511271826258211E-2</v>
      </c>
      <c r="L20" s="155">
        <f>(L14*F12)/F18</f>
        <v>3.5729798885470211E-2</v>
      </c>
      <c r="M20" s="156">
        <f>SUMPRODUCT(I20:L20,C18:F18)/G18</f>
        <v>4.4107182765611264E-2</v>
      </c>
      <c r="N20" s="16"/>
      <c r="O20" s="190">
        <f>(O14*I12)/I18</f>
        <v>-4.3904152073631089E-2</v>
      </c>
      <c r="P20" s="188">
        <f>(P14*J12)/J18</f>
        <v>-5.6810237229466043E-2</v>
      </c>
      <c r="Q20" s="188">
        <f>(Q14*K12)/K18</f>
        <v>-7.3285149527928944E-2</v>
      </c>
      <c r="R20" s="155">
        <f>(R14*L12)/L18</f>
        <v>-4.7181293576882825E-2</v>
      </c>
      <c r="S20" s="156">
        <f>SUMPRODUCT(O20:R20,I18:L18)/M18</f>
        <v>-5.5393535283402476E-2</v>
      </c>
      <c r="T20" s="16"/>
      <c r="U20" s="190">
        <f>(U14*O12)/O18</f>
        <v>3.1114726358113569E-2</v>
      </c>
      <c r="V20" s="188">
        <f>(V14*P12)/P18</f>
        <v>2.5309046476495158E-2</v>
      </c>
      <c r="W20" s="188">
        <f>(W14*Q12)/Q18</f>
        <v>1.3612636338947942E-2</v>
      </c>
      <c r="X20" s="155">
        <f>(X14*R12)/R18</f>
        <v>-3.9859680032720349E-3</v>
      </c>
      <c r="Y20" s="156">
        <f>SUMPRODUCT(U20:X20,O18:R18)/S18</f>
        <v>1.5883033268671451E-2</v>
      </c>
      <c r="Z20" s="229"/>
      <c r="AA20" s="190">
        <f>(AA14*U12)/U18</f>
        <v>9.2362086136498767E-3</v>
      </c>
      <c r="AB20" s="188">
        <f>(AB14*V12)/V18</f>
        <v>2.4852077030486388E-2</v>
      </c>
      <c r="AC20" s="188">
        <f>(AC14*W12)/W18</f>
        <v>4.6774139758040172E-2</v>
      </c>
      <c r="AD20" s="155">
        <f>(AD14*X12)/X18</f>
        <v>4.7479209743154574E-2</v>
      </c>
      <c r="AE20" s="156">
        <f>SUMPRODUCT(AA20:AD20,U18:X18)/Y18</f>
        <v>3.1743997536328214E-2</v>
      </c>
      <c r="AF20" s="229"/>
      <c r="AG20" s="190">
        <f>(AG14*AA12)/AA18</f>
        <v>-2.5205762119486358E-3</v>
      </c>
      <c r="AH20" s="188">
        <f>(AH14*AB12)/AB18</f>
        <v>-5.3512646876381059E-3</v>
      </c>
      <c r="AI20" s="188">
        <f>(AI14*AC12)/AC18</f>
        <v>-3.3315017636450936E-2</v>
      </c>
      <c r="AJ20" s="155">
        <f>(AJ14*AD12)/AD18</f>
        <v>-4.9600533433943661E-2</v>
      </c>
      <c r="AK20" s="156">
        <f>SUMPRODUCT(AG20:AJ20,AA18:AD18)/AE18</f>
        <v>-2.3140729660245107E-2</v>
      </c>
      <c r="AL20" s="229"/>
      <c r="AM20" s="190">
        <f>(AM14*AG12)/AG18</f>
        <v>-1.2585355767095276E-2</v>
      </c>
      <c r="AN20" s="188">
        <f>(AN14*AH12)/AH18</f>
        <v>-3.7950125159219102E-3</v>
      </c>
      <c r="AO20" s="188">
        <f>(AO14*AI12)/AI18</f>
        <v>-1.092391273687358E-2</v>
      </c>
      <c r="AP20" s="188">
        <f>(AP14*AJ12)/AJ18</f>
        <v>-8.9940781600211916E-3</v>
      </c>
      <c r="AQ20" s="156">
        <f>SUMPRODUCT(AM20:AP20,AG18:AJ18)/AK18</f>
        <v>-9.0909701061851495E-3</v>
      </c>
      <c r="AR20" s="229"/>
      <c r="AS20" s="190">
        <f>(AS14*AM12)/AM18</f>
        <v>-1.0700715381256788E-2</v>
      </c>
      <c r="AT20" s="188">
        <f>(AT14*AN12)/AN18</f>
        <v>-2.081237547928291E-2</v>
      </c>
      <c r="AU20" s="188">
        <f>(AU14*AO12)/AO18</f>
        <v>-8.4249780715829111E-3</v>
      </c>
      <c r="AV20" s="188">
        <f>(AV14*AP12)/AP18</f>
        <v>2.2000000000000001E-3</v>
      </c>
      <c r="AW20" s="156">
        <f>SUMPRODUCT(AS20:AV20,AM18:AP18)/AQ18</f>
        <v>-9.3091305122165752E-3</v>
      </c>
      <c r="AX20" s="229"/>
      <c r="AY20" s="190">
        <f>(AY14*AS12)/AS18</f>
        <v>-3.0659758203799653E-2</v>
      </c>
      <c r="AZ20" s="188">
        <f>(AZ14*AT12)/AT18</f>
        <v>-5.0798548094373862E-2</v>
      </c>
      <c r="BA20" s="188">
        <f>(BA14*AU12)/AU18</f>
        <v>-8.310719131614655E-2</v>
      </c>
      <c r="BB20" s="155">
        <f>(BB14*AV12)/AV18</f>
        <v>-8.846546444368833E-2</v>
      </c>
      <c r="BC20" s="156">
        <f>SUMPRODUCT(AY20:BB20,AS18:AV18)/AW18</f>
        <v>-6.3596255525699932E-2</v>
      </c>
      <c r="BD20" s="665"/>
      <c r="BE20" s="664"/>
      <c r="BF20" s="665"/>
      <c r="BG20" s="665"/>
      <c r="BH20" s="668"/>
      <c r="BI20" s="746"/>
      <c r="BJ20" s="665"/>
      <c r="BK20" s="717">
        <f>BK14*BE12/BE18</f>
        <v>-9.0658823529411493E-3</v>
      </c>
      <c r="BL20" s="696">
        <f t="shared" ref="BL20:BN20" si="37">BL14*BF12/BF18</f>
        <v>-6.2681159420290185E-3</v>
      </c>
      <c r="BM20" s="696">
        <f t="shared" si="37"/>
        <v>-1.2172413793103465E-2</v>
      </c>
      <c r="BN20" s="697">
        <f t="shared" si="37"/>
        <v>1.479283314669694E-3</v>
      </c>
      <c r="BO20" s="732">
        <f>SUMPRODUCT(BK20:BN20,BE18:BH18)/BI18</f>
        <v>-6.4414414414414364E-3</v>
      </c>
      <c r="BP20" s="665"/>
      <c r="BQ20" s="717">
        <f>BQ14*BK12/BK18</f>
        <v>1.5445321307779033E-2</v>
      </c>
      <c r="BR20" s="696">
        <f t="shared" ref="BR20" si="38">BR14*BL12/BL18</f>
        <v>2.4144845536988011E-2</v>
      </c>
      <c r="BS20" s="696">
        <f t="shared" ref="BS20" si="39">BS14*BM12/BM18</f>
        <v>1.9629588403220918E-2</v>
      </c>
      <c r="BT20" s="697">
        <f t="shared" ref="BT20" si="40">BT14*BN12/BN18</f>
        <v>8.1083749716331123E-3</v>
      </c>
      <c r="BU20" s="732">
        <f>SUMPRODUCT(BQ20:BT20,BK18:BN18)/BO18</f>
        <v>1.6747519835704446E-2</v>
      </c>
      <c r="BV20" s="665"/>
      <c r="BW20" s="717">
        <f>BW14*BQ12/BQ18</f>
        <v>1.4805365671483084E-2</v>
      </c>
      <c r="BX20" s="696">
        <f t="shared" ref="BX20" si="41">BX14*BR12/BR18</f>
        <v>1.2631518482285472E-3</v>
      </c>
      <c r="BY20" s="696">
        <f t="shared" ref="BY20" si="42">BY14*BS12/BS18</f>
        <v>0</v>
      </c>
      <c r="BZ20" s="697">
        <f t="shared" ref="BZ20" si="43">BZ14*BT12/BT18</f>
        <v>0</v>
      </c>
      <c r="CA20" s="732">
        <f>SUMPRODUCT(BW20:BZ20,BQ18:BT18)/BU18</f>
        <v>4.0043015876349746E-3</v>
      </c>
      <c r="CB20" s="665"/>
      <c r="CC20" s="717">
        <f>CC14*BW12/BW18</f>
        <v>0</v>
      </c>
      <c r="CD20" s="696">
        <f t="shared" ref="CD20" si="44">CD14*BX12/BX18</f>
        <v>0</v>
      </c>
      <c r="CE20" s="696">
        <f t="shared" ref="CE20" si="45">CE14*BY12/BY18</f>
        <v>0</v>
      </c>
      <c r="CF20" s="697">
        <f t="shared" ref="CF20" si="46">CF14*BZ12/BZ18</f>
        <v>0</v>
      </c>
      <c r="CG20" s="732">
        <f>SUMPRODUCT(CC20:CF20,BW18:BZ18)/CA18</f>
        <v>0</v>
      </c>
      <c r="CH20" s="665"/>
      <c r="CI20" s="717">
        <f>CI14*CC12/CC18</f>
        <v>0</v>
      </c>
      <c r="CJ20" s="696">
        <f t="shared" ref="CJ20" si="47">CJ14*CD12/CD18</f>
        <v>0</v>
      </c>
      <c r="CK20" s="696">
        <f t="shared" ref="CK20" si="48">CK14*CE12/CE18</f>
        <v>0</v>
      </c>
      <c r="CL20" s="697">
        <f t="shared" ref="CL20" si="49">CL14*CF12/CF18</f>
        <v>0</v>
      </c>
      <c r="CM20" s="732">
        <f>SUMPRODUCT(CI20:CL20,CC18:CF18)/CG18</f>
        <v>0</v>
      </c>
    </row>
    <row r="21" spans="1:91" s="25" customFormat="1" ht="11.25" x14ac:dyDescent="0.2">
      <c r="A21" s="695" t="s">
        <v>10</v>
      </c>
      <c r="B21" s="665"/>
      <c r="C21" s="190"/>
      <c r="D21" s="188"/>
      <c r="E21" s="188"/>
      <c r="F21" s="155"/>
      <c r="G21" s="156"/>
      <c r="H21" s="16"/>
      <c r="I21" s="190">
        <f>I19-I20</f>
        <v>2.0594985879480818E-2</v>
      </c>
      <c r="J21" s="188">
        <f>J19-J20</f>
        <v>3.0092931550945487E-2</v>
      </c>
      <c r="K21" s="188">
        <f>K19-K20</f>
        <v>4.2308431897838769E-2</v>
      </c>
      <c r="L21" s="155">
        <f>L19-L20</f>
        <v>3.2450732288435445E-2</v>
      </c>
      <c r="M21" s="156">
        <f>M19-M20</f>
        <v>3.1406996561855693E-2</v>
      </c>
      <c r="N21" s="16"/>
      <c r="O21" s="190">
        <f>O19-O20</f>
        <v>-4.2659696758892682E-2</v>
      </c>
      <c r="P21" s="188">
        <f>P19-P20</f>
        <v>-6.8364897361436472E-3</v>
      </c>
      <c r="Q21" s="188">
        <f>Q19-Q20</f>
        <v>-6.193711920375905E-3</v>
      </c>
      <c r="R21" s="155">
        <f>R19-R20</f>
        <v>4.5710650479775287E-2</v>
      </c>
      <c r="S21" s="156">
        <f>S19-S20</f>
        <v>-2.2351575078857627E-3</v>
      </c>
      <c r="T21" s="16"/>
      <c r="U21" s="190">
        <f>U19-U20</f>
        <v>0.13907744627243018</v>
      </c>
      <c r="V21" s="188">
        <f>V19-V20</f>
        <v>4.388139162889889E-2</v>
      </c>
      <c r="W21" s="188">
        <f>W19-W20</f>
        <v>2.5422249168966619E-2</v>
      </c>
      <c r="X21" s="155">
        <f>X19-X20</f>
        <v>-8.8701411065141497E-3</v>
      </c>
      <c r="Y21" s="156">
        <f>Y19-Y20</f>
        <v>4.7998849847695993E-2</v>
      </c>
      <c r="Z21" s="229"/>
      <c r="AA21" s="190">
        <f>AA19-AA20</f>
        <v>-4.7589325871145893E-2</v>
      </c>
      <c r="AB21" s="188">
        <f>AB19-AB20</f>
        <v>2.3618201236743328E-2</v>
      </c>
      <c r="AC21" s="188">
        <f>AC19-AC20</f>
        <v>2.5082378184308536E-2</v>
      </c>
      <c r="AD21" s="155">
        <f>AD19-AD20</f>
        <v>1.9022919679530723E-2</v>
      </c>
      <c r="AE21" s="156">
        <f>AE19-AE20</f>
        <v>3.9414325714127313E-3</v>
      </c>
      <c r="AF21" s="229"/>
      <c r="AG21" s="190">
        <f>AG19-AG20</f>
        <v>2.1204946872415767E-2</v>
      </c>
      <c r="AH21" s="188">
        <f>AH19-AH20</f>
        <v>3.3786175338045926E-2</v>
      </c>
      <c r="AI21" s="188">
        <f>AI19-AI20</f>
        <v>3.8518999353519087E-2</v>
      </c>
      <c r="AJ21" s="155">
        <f>AJ19-AJ20</f>
        <v>4.3750690606444986E-2</v>
      </c>
      <c r="AK21" s="156">
        <f>AK19-AK20</f>
        <v>3.4452922945080344E-2</v>
      </c>
      <c r="AL21" s="229"/>
      <c r="AM21" s="190">
        <f>AM19-AM20</f>
        <v>3.8681069407322834E-2</v>
      </c>
      <c r="AN21" s="188">
        <f>AN19-AN20</f>
        <v>4.1614486481069975E-2</v>
      </c>
      <c r="AO21" s="188">
        <f>AO19-AO20</f>
        <v>6.5731339241891826E-2</v>
      </c>
      <c r="AP21" s="188">
        <f>AP19-AP20</f>
        <v>6.1097627694371229E-2</v>
      </c>
      <c r="AQ21" s="156">
        <f>AQ19-AQ20</f>
        <v>5.19041759191749E-2</v>
      </c>
      <c r="AR21" s="229"/>
      <c r="AS21" s="190">
        <f>AS19-AS20</f>
        <v>9.1049561703032869E-2</v>
      </c>
      <c r="AT21" s="188">
        <f>AT19-AT20</f>
        <v>4.3901510495483492E-2</v>
      </c>
      <c r="AU21" s="188">
        <f>AU19-AU20</f>
        <v>5.9562759842828196E-2</v>
      </c>
      <c r="AV21" s="188">
        <f>AV19-AV20</f>
        <v>4.7442857142857099E-2</v>
      </c>
      <c r="AW21" s="156">
        <f>AW19-AW20</f>
        <v>6.0315794843717602E-2</v>
      </c>
      <c r="AX21" s="229"/>
      <c r="AY21" s="190">
        <f>AY19-AY20</f>
        <v>6.7792746113989694E-2</v>
      </c>
      <c r="AZ21" s="188">
        <f>AZ19-AZ20</f>
        <v>7.5843920145190452E-2</v>
      </c>
      <c r="BA21" s="188">
        <f>BA19-BA20</f>
        <v>0.5220488466757125</v>
      </c>
      <c r="BB21" s="155">
        <f>BB19-BB20</f>
        <v>0.51241919020074855</v>
      </c>
      <c r="BC21" s="156">
        <f>BC19-BC20</f>
        <v>0.29905608043685539</v>
      </c>
      <c r="BD21" s="665"/>
      <c r="BE21" s="664"/>
      <c r="BF21" s="665"/>
      <c r="BG21" s="665"/>
      <c r="BH21" s="668"/>
      <c r="BI21" s="746"/>
      <c r="BJ21" s="665"/>
      <c r="BK21" s="717">
        <f>BK19-BK20</f>
        <v>5.2595294117646962E-2</v>
      </c>
      <c r="BL21" s="696">
        <f t="shared" ref="BL21:BO21" si="50">BL19-BL20</f>
        <v>7.5108695652174026E-2</v>
      </c>
      <c r="BM21" s="696">
        <f t="shared" si="50"/>
        <v>4.8954022988505763E-2</v>
      </c>
      <c r="BN21" s="697">
        <f t="shared" si="50"/>
        <v>3.4354983202687525E-2</v>
      </c>
      <c r="BO21" s="732">
        <f t="shared" si="50"/>
        <v>5.2358326068003509E-2</v>
      </c>
      <c r="BP21" s="665"/>
      <c r="BQ21" s="717">
        <f>BQ19-BQ20</f>
        <v>5.7835400225479228E-2</v>
      </c>
      <c r="BR21" s="696">
        <f t="shared" ref="BR21:BU21" si="51">BR19-BR20</f>
        <v>2.5700564971751574E-2</v>
      </c>
      <c r="BS21" s="696">
        <f t="shared" si="51"/>
        <v>3.9445676274944677E-2</v>
      </c>
      <c r="BT21" s="697">
        <f t="shared" si="51"/>
        <v>4.7654054054054179E-2</v>
      </c>
      <c r="BU21" s="732">
        <f t="shared" si="51"/>
        <v>4.2707696582384151E-2</v>
      </c>
      <c r="BV21" s="665"/>
      <c r="BW21" s="717">
        <f>BW19-BW20</f>
        <v>5.4621848739495792E-2</v>
      </c>
      <c r="BX21" s="696">
        <f t="shared" ref="BX21:CA21" si="52">BX19-BX20</f>
        <v>5.4695156562122441E-2</v>
      </c>
      <c r="BY21" s="696">
        <f t="shared" si="52"/>
        <v>5.4867714411161117E-2</v>
      </c>
      <c r="BZ21" s="697">
        <f t="shared" si="52"/>
        <v>5.4720863936541964E-2</v>
      </c>
      <c r="CA21" s="732">
        <f t="shared" si="52"/>
        <v>5.4726669543150537E-2</v>
      </c>
      <c r="CB21" s="665"/>
      <c r="CC21" s="717">
        <f>CC19-CC20</f>
        <v>5.4719548233453486E-2</v>
      </c>
      <c r="CD21" s="696">
        <f t="shared" ref="CD21:CG21" si="53">CD19-CD20</f>
        <v>5.4725089461006515E-2</v>
      </c>
      <c r="CE21" s="696">
        <f t="shared" si="53"/>
        <v>5.4891397476043657E-2</v>
      </c>
      <c r="CF21" s="697">
        <f t="shared" si="53"/>
        <v>5.4744493015960405E-2</v>
      </c>
      <c r="CG21" s="732">
        <f t="shared" si="53"/>
        <v>5.4770156790843183E-2</v>
      </c>
      <c r="CH21" s="665"/>
      <c r="CI21" s="717">
        <f>CI19-CI20</f>
        <v>5.4743176644293623E-2</v>
      </c>
      <c r="CJ21" s="696">
        <f t="shared" ref="CJ21:CM21" si="54">CJ19-CJ20</f>
        <v>5.4748720665426243E-2</v>
      </c>
      <c r="CK21" s="696">
        <f t="shared" si="54"/>
        <v>5.4915085417334808E-2</v>
      </c>
      <c r="CL21" s="697">
        <f t="shared" si="54"/>
        <v>5.4768133543449338E-2</v>
      </c>
      <c r="CM21" s="732">
        <f t="shared" si="54"/>
        <v>5.4793808552261458E-2</v>
      </c>
    </row>
    <row r="22" spans="1:91" s="25" customFormat="1" ht="11.25" x14ac:dyDescent="0.2">
      <c r="A22" s="695" t="s">
        <v>6</v>
      </c>
      <c r="B22" s="665"/>
      <c r="C22" s="190"/>
      <c r="D22" s="188"/>
      <c r="E22" s="188"/>
      <c r="F22" s="155"/>
      <c r="G22" s="156"/>
      <c r="H22" s="16"/>
      <c r="I22" s="190">
        <f>(I16*C12)/C18</f>
        <v>0</v>
      </c>
      <c r="J22" s="188">
        <f>(J16*D12)/D18</f>
        <v>0</v>
      </c>
      <c r="K22" s="188">
        <f>(K16*E12)/E18</f>
        <v>0</v>
      </c>
      <c r="L22" s="155">
        <f>(L16*F12)/F18</f>
        <v>0</v>
      </c>
      <c r="M22" s="156">
        <f>SUMPRODUCT(I22:L22,C18:F18)/G18</f>
        <v>0</v>
      </c>
      <c r="N22" s="16"/>
      <c r="O22" s="190">
        <f>(O16*I12)/I18</f>
        <v>-2.5362311576929936E-2</v>
      </c>
      <c r="P22" s="188">
        <f>(P16*J12)/J18</f>
        <v>-2.3202889023872724E-2</v>
      </c>
      <c r="Q22" s="188">
        <f>(Q16*K12)/K18</f>
        <v>-2.2803202951800692E-2</v>
      </c>
      <c r="R22" s="155">
        <f>(R16*L12)/L18</f>
        <v>-2.4582712384228579E-2</v>
      </c>
      <c r="S22" s="156">
        <f>SUMPRODUCT(O22:R22,I18:L18)/M18</f>
        <v>-2.3987805583654057E-2</v>
      </c>
      <c r="T22" s="16"/>
      <c r="U22" s="190">
        <f>(U16*O12)/O18</f>
        <v>0</v>
      </c>
      <c r="V22" s="188">
        <f>(V16*P12)/P18</f>
        <v>0</v>
      </c>
      <c r="W22" s="188">
        <f>(W16*Q12)/Q18</f>
        <v>0</v>
      </c>
      <c r="X22" s="155">
        <f>(X16*R12)/R18</f>
        <v>0</v>
      </c>
      <c r="Y22" s="156">
        <f>SUMPRODUCT(U22:X22,O18:R18)/S18</f>
        <v>0</v>
      </c>
      <c r="Z22" s="229"/>
      <c r="AA22" s="190">
        <f>(AA16*U12)/U18</f>
        <v>0</v>
      </c>
      <c r="AB22" s="188">
        <f>(AB16*V12)/V18</f>
        <v>0</v>
      </c>
      <c r="AC22" s="188">
        <f>(AC16*W12)/W18</f>
        <v>0</v>
      </c>
      <c r="AD22" s="155">
        <f>(AD16*X12)/X18</f>
        <v>3.3863597429553754E-3</v>
      </c>
      <c r="AE22" s="156">
        <f>SUMPRODUCT(AA22:AD22,U18:X18)/Y18</f>
        <v>8.4576777803869443E-4</v>
      </c>
      <c r="AF22" s="229"/>
      <c r="AG22" s="190">
        <f>(AG16*AA12)/AA18</f>
        <v>6.6311962678067124E-3</v>
      </c>
      <c r="AH22" s="188">
        <f>(AH16*AB12)/AB18</f>
        <v>6.7381304858786621E-3</v>
      </c>
      <c r="AI22" s="188">
        <f>(AI16*AC12)/AC18</f>
        <v>6.4270024838474302E-3</v>
      </c>
      <c r="AJ22" s="155">
        <f>(AJ16*AD12)/AD18</f>
        <v>3.1752020455772237E-3</v>
      </c>
      <c r="AK22" s="156">
        <f>SUMPRODUCT(AG22:AJ22,AA18:AD18)/AE18</f>
        <v>5.7163828650703061E-3</v>
      </c>
      <c r="AL22" s="229"/>
      <c r="AM22" s="190">
        <f>(AM16*AG12)/AG18</f>
        <v>0</v>
      </c>
      <c r="AN22" s="188">
        <f>(AN16*AH12)/AH18</f>
        <v>0</v>
      </c>
      <c r="AO22" s="188">
        <f>(AO16*AI12)/AI18</f>
        <v>0</v>
      </c>
      <c r="AP22" s="188">
        <f>(AP16*AJ12)/AJ18</f>
        <v>0</v>
      </c>
      <c r="AQ22" s="156">
        <f>SUMPRODUCT(AM22:AP22,AG18:AJ18)/AK18</f>
        <v>0</v>
      </c>
      <c r="AR22" s="229"/>
      <c r="AS22" s="190">
        <f>(AS10*AM8+AS16*AM12)/AM18</f>
        <v>0</v>
      </c>
      <c r="AT22" s="188">
        <f>(AT10*AN8+AT16*AN12)/AN18</f>
        <v>0</v>
      </c>
      <c r="AU22" s="188">
        <f>(AU10*AO8+AU16*AO12)/AO18</f>
        <v>0</v>
      </c>
      <c r="AV22" s="188">
        <f>(AV10*AP8+AV16*AP12)/AP18</f>
        <v>0</v>
      </c>
      <c r="AW22" s="156">
        <f>SUMPRODUCT(AS22:AV22,AM18:AP18)/AQ18</f>
        <v>0</v>
      </c>
      <c r="AX22" s="229"/>
      <c r="AY22" s="190">
        <f>(AY10*AS8+AY16*AS12)/AS18</f>
        <v>0</v>
      </c>
      <c r="AZ22" s="188">
        <f>(AZ10*AT8+AZ16*AT12)/AT18</f>
        <v>0</v>
      </c>
      <c r="BA22" s="188">
        <f>(BA10*AU8+BA16*AU12)/AU18</f>
        <v>0.47065807327001363</v>
      </c>
      <c r="BB22" s="155">
        <f>(BB10*AV8+BB16*AV12)/AV18</f>
        <v>0.4559373936713168</v>
      </c>
      <c r="BC22" s="156">
        <f>SUMPRODUCT(AY22:BB22,AS18:AV18)/AW18</f>
        <v>0.23641327901534198</v>
      </c>
      <c r="BD22" s="665"/>
      <c r="BE22" s="664"/>
      <c r="BF22" s="665"/>
      <c r="BG22" s="665"/>
      <c r="BH22" s="668"/>
      <c r="BI22" s="746"/>
      <c r="BJ22" s="665"/>
      <c r="BK22" s="717">
        <f>(BK10*BE8+BK16*BE12)/BE18</f>
        <v>0</v>
      </c>
      <c r="BL22" s="696">
        <f t="shared" ref="BL22:BN22" si="55">(BL10*BF8+BL16*BF12)/BF18</f>
        <v>0</v>
      </c>
      <c r="BM22" s="696">
        <f t="shared" si="55"/>
        <v>0</v>
      </c>
      <c r="BN22" s="697">
        <f t="shared" si="55"/>
        <v>0</v>
      </c>
      <c r="BO22" s="732">
        <f>SUMPRODUCT(BK22:BN22,BE18:BH18)/BI18</f>
        <v>0</v>
      </c>
      <c r="BP22" s="665"/>
      <c r="BQ22" s="717">
        <f>(BQ10*BK8+BQ16*BK12)/BK18</f>
        <v>0</v>
      </c>
      <c r="BR22" s="696">
        <f t="shared" ref="BR22" si="56">(BR10*BL8+BR16*BL12)/BL18</f>
        <v>0</v>
      </c>
      <c r="BS22" s="696">
        <f t="shared" ref="BS22" si="57">(BS10*BM8+BS16*BM12)/BM18</f>
        <v>0</v>
      </c>
      <c r="BT22" s="697">
        <f t="shared" ref="BT22" si="58">(BT10*BN8+BT16*BN12)/BN18</f>
        <v>0</v>
      </c>
      <c r="BU22" s="732">
        <f>SUMPRODUCT(BQ22:BT22,BK18:BN18)/BO18</f>
        <v>0</v>
      </c>
      <c r="BV22" s="665"/>
      <c r="BW22" s="717">
        <f>(BW10*BQ8+BW16*BQ12)/BQ18</f>
        <v>0</v>
      </c>
      <c r="BX22" s="696">
        <f t="shared" ref="BX22" si="59">(BX10*BR8+BX16*BR12)/BR18</f>
        <v>0</v>
      </c>
      <c r="BY22" s="696">
        <f t="shared" ref="BY22" si="60">(BY10*BS8+BY16*BS12)/BS18</f>
        <v>0</v>
      </c>
      <c r="BZ22" s="697">
        <f t="shared" ref="BZ22" si="61">(BZ10*BT8+BZ16*BT12)/BT18</f>
        <v>0</v>
      </c>
      <c r="CA22" s="732">
        <f>SUMPRODUCT(BW22:BZ22,BQ18:BT18)/BU18</f>
        <v>0</v>
      </c>
      <c r="CB22" s="665"/>
      <c r="CC22" s="717">
        <f>(CC10*BW8+CC16*BW12)/BW18</f>
        <v>0</v>
      </c>
      <c r="CD22" s="696">
        <f t="shared" ref="CD22" si="62">(CD10*BX8+CD16*BX12)/BX18</f>
        <v>0</v>
      </c>
      <c r="CE22" s="696">
        <f t="shared" ref="CE22" si="63">(CE10*BY8+CE16*BY12)/BY18</f>
        <v>0</v>
      </c>
      <c r="CF22" s="697">
        <f t="shared" ref="CF22" si="64">(CF10*BZ8+CF16*BZ12)/BZ18</f>
        <v>0</v>
      </c>
      <c r="CG22" s="732">
        <f>SUMPRODUCT(CC22:CF22,BW18:BZ18)/CA18</f>
        <v>0</v>
      </c>
      <c r="CH22" s="665"/>
      <c r="CI22" s="717">
        <f>(CI10*CC8+CI16*CC12)/CC18</f>
        <v>0</v>
      </c>
      <c r="CJ22" s="696">
        <f t="shared" ref="CJ22" si="65">(CJ10*CD8+CJ16*CD12)/CD18</f>
        <v>0</v>
      </c>
      <c r="CK22" s="696">
        <f t="shared" ref="CK22" si="66">(CK10*CE8+CK16*CE12)/CE18</f>
        <v>0</v>
      </c>
      <c r="CL22" s="697">
        <f t="shared" ref="CL22" si="67">(CL10*CF8+CL16*CF12)/CF18</f>
        <v>0</v>
      </c>
      <c r="CM22" s="732">
        <f>SUMPRODUCT(CI22:CL22,CC18:CF18)/CG18</f>
        <v>0</v>
      </c>
    </row>
    <row r="23" spans="1:91" s="25" customFormat="1" ht="11.25" x14ac:dyDescent="0.2">
      <c r="A23" s="695" t="s">
        <v>7</v>
      </c>
      <c r="B23" s="665"/>
      <c r="C23" s="203"/>
      <c r="D23" s="197"/>
      <c r="E23" s="197"/>
      <c r="F23" s="202"/>
      <c r="G23" s="349"/>
      <c r="H23" s="350"/>
      <c r="I23" s="203">
        <f>I21-I22</f>
        <v>2.0594985879480818E-2</v>
      </c>
      <c r="J23" s="197">
        <f>J21-J22</f>
        <v>3.0092931550945487E-2</v>
      </c>
      <c r="K23" s="197">
        <f>K21-K22</f>
        <v>4.2308431897838769E-2</v>
      </c>
      <c r="L23" s="202">
        <f>L21-L22</f>
        <v>3.2450732288435445E-2</v>
      </c>
      <c r="M23" s="349">
        <f>M21-M22</f>
        <v>3.1406996561855693E-2</v>
      </c>
      <c r="N23" s="350"/>
      <c r="O23" s="203">
        <f>O21-O22</f>
        <v>-1.7297385181962745E-2</v>
      </c>
      <c r="P23" s="197">
        <f>P21-P22</f>
        <v>1.6366399287729077E-2</v>
      </c>
      <c r="Q23" s="197">
        <f>Q21-Q22</f>
        <v>1.6609491031424787E-2</v>
      </c>
      <c r="R23" s="202">
        <f>R21-R22</f>
        <v>7.0293362864003867E-2</v>
      </c>
      <c r="S23" s="349">
        <f>S21-S22</f>
        <v>2.1752648075768294E-2</v>
      </c>
      <c r="T23" s="350"/>
      <c r="U23" s="190">
        <f>U21-U22</f>
        <v>0.13907744627243018</v>
      </c>
      <c r="V23" s="188">
        <f>V21-V22</f>
        <v>4.388139162889889E-2</v>
      </c>
      <c r="W23" s="188">
        <f>W21-W22</f>
        <v>2.5422249168966619E-2</v>
      </c>
      <c r="X23" s="155">
        <f>X21-X22</f>
        <v>-8.8701411065141497E-3</v>
      </c>
      <c r="Y23" s="156">
        <f>Y21-Y22</f>
        <v>4.7998849847695993E-2</v>
      </c>
      <c r="Z23" s="237"/>
      <c r="AA23" s="190">
        <f>AA21-AA22</f>
        <v>-4.7589325871145893E-2</v>
      </c>
      <c r="AB23" s="188">
        <f>AB21-AB22</f>
        <v>2.3618201236743328E-2</v>
      </c>
      <c r="AC23" s="188">
        <f>AC21-AC22</f>
        <v>2.5082378184308536E-2</v>
      </c>
      <c r="AD23" s="155">
        <f>AD21-AD22</f>
        <v>1.5636559936575346E-2</v>
      </c>
      <c r="AE23" s="156">
        <f>AE21-AE22</f>
        <v>3.0956647933740367E-3</v>
      </c>
      <c r="AF23" s="237"/>
      <c r="AG23" s="190">
        <f>AG21-AG22</f>
        <v>1.4573750604609054E-2</v>
      </c>
      <c r="AH23" s="188">
        <f>AH21-AH22</f>
        <v>2.7048044852167264E-2</v>
      </c>
      <c r="AI23" s="188">
        <f>AI21-AI22</f>
        <v>3.2091996869671659E-2</v>
      </c>
      <c r="AJ23" s="155">
        <f>AJ21-AJ22</f>
        <v>4.0575488560867762E-2</v>
      </c>
      <c r="AK23" s="156">
        <f>AK21-AK22</f>
        <v>2.8736540080010038E-2</v>
      </c>
      <c r="AL23" s="237"/>
      <c r="AM23" s="190">
        <f>AM21-AM22</f>
        <v>3.8681069407322834E-2</v>
      </c>
      <c r="AN23" s="188">
        <f>AN21-AN22</f>
        <v>4.1614486481069975E-2</v>
      </c>
      <c r="AO23" s="188">
        <f>AO21-AO22</f>
        <v>6.5731339241891826E-2</v>
      </c>
      <c r="AP23" s="188">
        <f>AP21-AP22</f>
        <v>6.1097627694371229E-2</v>
      </c>
      <c r="AQ23" s="156">
        <f>AQ21-AQ22</f>
        <v>5.19041759191749E-2</v>
      </c>
      <c r="AR23" s="237"/>
      <c r="AS23" s="190">
        <f>AS21-AS22</f>
        <v>9.1049561703032869E-2</v>
      </c>
      <c r="AT23" s="188">
        <f>AT21-AT22</f>
        <v>4.3901510495483492E-2</v>
      </c>
      <c r="AU23" s="188">
        <f>AU21-AU22</f>
        <v>5.9562759842828196E-2</v>
      </c>
      <c r="AV23" s="188">
        <f>AV21-AV22</f>
        <v>4.7442857142857099E-2</v>
      </c>
      <c r="AW23" s="156">
        <f>AW21-AW22</f>
        <v>6.0315794843717602E-2</v>
      </c>
      <c r="AX23" s="237"/>
      <c r="AY23" s="190">
        <f>AY21-AY22</f>
        <v>6.7792746113989694E-2</v>
      </c>
      <c r="AZ23" s="188">
        <f>AZ21-AZ22</f>
        <v>7.5843920145190452E-2</v>
      </c>
      <c r="BA23" s="188">
        <f>BA21-BA22</f>
        <v>5.1390773405698864E-2</v>
      </c>
      <c r="BB23" s="155">
        <f>BB21-BB22</f>
        <v>5.6481796529431749E-2</v>
      </c>
      <c r="BC23" s="156">
        <f>BC21-BC22</f>
        <v>6.2642801421513405E-2</v>
      </c>
      <c r="BD23" s="665"/>
      <c r="BE23" s="664"/>
      <c r="BF23" s="665"/>
      <c r="BG23" s="665"/>
      <c r="BH23" s="668"/>
      <c r="BI23" s="746"/>
      <c r="BJ23" s="665"/>
      <c r="BK23" s="717">
        <f>BK21-BK22</f>
        <v>5.2595294117646962E-2</v>
      </c>
      <c r="BL23" s="696">
        <f t="shared" ref="BL23:BO23" si="68">BL21-BL22</f>
        <v>7.5108695652174026E-2</v>
      </c>
      <c r="BM23" s="696">
        <f t="shared" si="68"/>
        <v>4.8954022988505763E-2</v>
      </c>
      <c r="BN23" s="697">
        <f t="shared" si="68"/>
        <v>3.4354983202687525E-2</v>
      </c>
      <c r="BO23" s="732">
        <f t="shared" si="68"/>
        <v>5.2358326068003509E-2</v>
      </c>
      <c r="BP23" s="665"/>
      <c r="BQ23" s="717">
        <f>BQ21-BQ22</f>
        <v>5.7835400225479228E-2</v>
      </c>
      <c r="BR23" s="696">
        <f t="shared" ref="BR23:BU23" si="69">BR21-BR22</f>
        <v>2.5700564971751574E-2</v>
      </c>
      <c r="BS23" s="696">
        <f t="shared" si="69"/>
        <v>3.9445676274944677E-2</v>
      </c>
      <c r="BT23" s="697">
        <f t="shared" si="69"/>
        <v>4.7654054054054179E-2</v>
      </c>
      <c r="BU23" s="732">
        <f t="shared" si="69"/>
        <v>4.2707696582384151E-2</v>
      </c>
      <c r="BV23" s="665"/>
      <c r="BW23" s="717">
        <f>BW21-BW22</f>
        <v>5.4621848739495792E-2</v>
      </c>
      <c r="BX23" s="696">
        <f t="shared" ref="BX23:CA23" si="70">BX21-BX22</f>
        <v>5.4695156562122441E-2</v>
      </c>
      <c r="BY23" s="696">
        <f t="shared" si="70"/>
        <v>5.4867714411161117E-2</v>
      </c>
      <c r="BZ23" s="697">
        <f t="shared" si="70"/>
        <v>5.4720863936541964E-2</v>
      </c>
      <c r="CA23" s="732">
        <f t="shared" si="70"/>
        <v>5.4726669543150537E-2</v>
      </c>
      <c r="CB23" s="665"/>
      <c r="CC23" s="717">
        <f>CC21-CC22</f>
        <v>5.4719548233453486E-2</v>
      </c>
      <c r="CD23" s="696">
        <f t="shared" ref="CD23:CG23" si="71">CD21-CD22</f>
        <v>5.4725089461006515E-2</v>
      </c>
      <c r="CE23" s="696">
        <f t="shared" si="71"/>
        <v>5.4891397476043657E-2</v>
      </c>
      <c r="CF23" s="697">
        <f t="shared" si="71"/>
        <v>5.4744493015960405E-2</v>
      </c>
      <c r="CG23" s="732">
        <f t="shared" si="71"/>
        <v>5.4770156790843183E-2</v>
      </c>
      <c r="CH23" s="665"/>
      <c r="CI23" s="717">
        <f>CI21-CI22</f>
        <v>5.4743176644293623E-2</v>
      </c>
      <c r="CJ23" s="696">
        <f t="shared" ref="CJ23:CM23" si="72">CJ21-CJ22</f>
        <v>5.4748720665426243E-2</v>
      </c>
      <c r="CK23" s="696">
        <f t="shared" si="72"/>
        <v>5.4915085417334808E-2</v>
      </c>
      <c r="CL23" s="697">
        <f t="shared" si="72"/>
        <v>5.4768133543449338E-2</v>
      </c>
      <c r="CM23" s="732">
        <f t="shared" si="72"/>
        <v>5.4793808552261458E-2</v>
      </c>
    </row>
    <row r="24" spans="1:91" s="25" customFormat="1" ht="11.25" x14ac:dyDescent="0.2">
      <c r="A24" s="699" t="s">
        <v>24</v>
      </c>
      <c r="B24" s="700"/>
      <c r="C24" s="719"/>
      <c r="D24" s="700"/>
      <c r="E24" s="700"/>
      <c r="F24" s="701"/>
      <c r="G24" s="734"/>
      <c r="H24" s="700"/>
      <c r="I24" s="719"/>
      <c r="J24" s="700"/>
      <c r="K24" s="700"/>
      <c r="L24" s="701"/>
      <c r="M24" s="734"/>
      <c r="N24" s="700"/>
      <c r="O24" s="719"/>
      <c r="P24" s="700"/>
      <c r="Q24" s="700"/>
      <c r="R24" s="701"/>
      <c r="S24" s="734"/>
      <c r="T24" s="700"/>
      <c r="U24" s="719"/>
      <c r="V24" s="700"/>
      <c r="W24" s="700"/>
      <c r="X24" s="701"/>
      <c r="Y24" s="734"/>
      <c r="Z24" s="700"/>
      <c r="AA24" s="719"/>
      <c r="AB24" s="700"/>
      <c r="AC24" s="700"/>
      <c r="AD24" s="701"/>
      <c r="AE24" s="734"/>
      <c r="AF24" s="700"/>
      <c r="AG24" s="719"/>
      <c r="AH24" s="700"/>
      <c r="AI24" s="700"/>
      <c r="AJ24" s="701"/>
      <c r="AK24" s="734"/>
      <c r="AL24" s="700"/>
      <c r="AM24" s="719"/>
      <c r="AN24" s="700"/>
      <c r="AO24" s="700"/>
      <c r="AP24" s="700"/>
      <c r="AQ24" s="734"/>
      <c r="AR24" s="700"/>
      <c r="AS24" s="719"/>
      <c r="AT24" s="700"/>
      <c r="AU24" s="700"/>
      <c r="AV24" s="700"/>
      <c r="AW24" s="734"/>
      <c r="AX24" s="700"/>
      <c r="AY24" s="719"/>
      <c r="AZ24" s="700"/>
      <c r="BA24" s="700"/>
      <c r="BB24" s="701"/>
      <c r="BC24" s="734"/>
      <c r="BD24" s="700"/>
      <c r="BE24" s="750"/>
      <c r="BF24" s="700"/>
      <c r="BG24" s="700"/>
      <c r="BH24" s="701"/>
      <c r="BI24" s="734"/>
      <c r="BJ24" s="700"/>
      <c r="BK24" s="719"/>
      <c r="BL24" s="700"/>
      <c r="BM24" s="700"/>
      <c r="BN24" s="701"/>
      <c r="BO24" s="734"/>
      <c r="BP24" s="700"/>
      <c r="BQ24" s="719"/>
      <c r="BR24" s="700"/>
      <c r="BS24" s="700"/>
      <c r="BT24" s="701"/>
      <c r="BU24" s="734"/>
      <c r="BV24" s="700"/>
      <c r="BW24" s="719"/>
      <c r="BX24" s="700"/>
      <c r="BY24" s="700"/>
      <c r="BZ24" s="701"/>
      <c r="CA24" s="734"/>
      <c r="CB24" s="700"/>
      <c r="CC24" s="719"/>
      <c r="CD24" s="700"/>
      <c r="CE24" s="700"/>
      <c r="CF24" s="701"/>
      <c r="CG24" s="734"/>
      <c r="CH24" s="700"/>
      <c r="CI24" s="719"/>
      <c r="CJ24" s="700"/>
      <c r="CK24" s="700"/>
      <c r="CL24" s="701"/>
      <c r="CM24" s="734"/>
    </row>
    <row r="25" spans="1:91" s="25" customFormat="1" ht="11.25" hidden="1" outlineLevel="1" x14ac:dyDescent="0.2">
      <c r="A25" s="744" t="s">
        <v>4</v>
      </c>
      <c r="B25" s="702"/>
      <c r="C25" s="749"/>
      <c r="D25" s="702"/>
      <c r="E25" s="702"/>
      <c r="F25" s="757"/>
      <c r="G25" s="756"/>
      <c r="H25" s="702"/>
      <c r="I25" s="749"/>
      <c r="J25" s="702"/>
      <c r="K25" s="702"/>
      <c r="L25" s="757"/>
      <c r="M25" s="756"/>
      <c r="N25" s="702"/>
      <c r="O25" s="749"/>
      <c r="P25" s="702"/>
      <c r="Q25" s="702"/>
      <c r="R25" s="757"/>
      <c r="S25" s="756"/>
      <c r="T25" s="702"/>
      <c r="U25" s="322"/>
      <c r="V25" s="323"/>
      <c r="W25" s="323"/>
      <c r="X25" s="324"/>
      <c r="Y25" s="325"/>
      <c r="Z25" s="326"/>
      <c r="AA25" s="322"/>
      <c r="AB25" s="323"/>
      <c r="AC25" s="323"/>
      <c r="AD25" s="324"/>
      <c r="AE25" s="325"/>
      <c r="AF25" s="326"/>
      <c r="AG25" s="322"/>
      <c r="AH25" s="323"/>
      <c r="AI25" s="323"/>
      <c r="AJ25" s="324"/>
      <c r="AK25" s="325"/>
      <c r="AL25" s="326"/>
      <c r="AM25" s="322">
        <v>402</v>
      </c>
      <c r="AN25" s="323">
        <v>394</v>
      </c>
      <c r="AO25" s="323">
        <v>393</v>
      </c>
      <c r="AP25" s="323">
        <v>353</v>
      </c>
      <c r="AQ25" s="325">
        <f>SUM(AM25:AP25)</f>
        <v>1542</v>
      </c>
      <c r="AR25" s="326"/>
      <c r="AS25" s="322">
        <v>396</v>
      </c>
      <c r="AT25" s="323">
        <v>378</v>
      </c>
      <c r="AU25" s="323">
        <v>488</v>
      </c>
      <c r="AV25" s="323">
        <v>346</v>
      </c>
      <c r="AW25" s="325">
        <f>SUM(AS25:AV25)</f>
        <v>1608</v>
      </c>
      <c r="AX25" s="326"/>
      <c r="AY25" s="327">
        <v>426</v>
      </c>
      <c r="AZ25" s="323">
        <v>418</v>
      </c>
      <c r="BA25" s="318">
        <v>442</v>
      </c>
      <c r="BB25" s="313">
        <v>390</v>
      </c>
      <c r="BC25" s="115">
        <f>SUM(BA25:BB25)</f>
        <v>832</v>
      </c>
      <c r="BD25" s="665"/>
      <c r="BE25" s="669">
        <v>439</v>
      </c>
      <c r="BF25" s="657">
        <v>439</v>
      </c>
      <c r="BG25" s="657">
        <v>473</v>
      </c>
      <c r="BH25" s="676">
        <v>428</v>
      </c>
      <c r="BI25" s="733">
        <f>SUM(BE25:BH25)</f>
        <v>1779</v>
      </c>
      <c r="BJ25" s="665"/>
      <c r="BK25" s="669">
        <v>492</v>
      </c>
      <c r="BL25" s="657">
        <v>464</v>
      </c>
      <c r="BM25" s="657">
        <v>447</v>
      </c>
      <c r="BN25" s="676">
        <v>440</v>
      </c>
      <c r="BO25" s="733">
        <f>SUM(BK25:BN25)</f>
        <v>1843</v>
      </c>
      <c r="BP25" s="665"/>
      <c r="BQ25" s="718">
        <v>471</v>
      </c>
      <c r="BR25" s="666">
        <f>BL25*(1+BR26)</f>
        <v>494.15999999999997</v>
      </c>
      <c r="BS25" s="666">
        <f>BM25*(1+BS26)</f>
        <v>500.64000000000004</v>
      </c>
      <c r="BT25" s="667">
        <f>BN25*(1+BT26)</f>
        <v>479.6</v>
      </c>
      <c r="BU25" s="733">
        <f>SUM(BQ25:BT25)</f>
        <v>1945.4</v>
      </c>
      <c r="BV25" s="665"/>
      <c r="BW25" s="718">
        <f>BQ25*(1+BW26)</f>
        <v>496.90499999999997</v>
      </c>
      <c r="BX25" s="666">
        <f>BR25*(1+BX26)</f>
        <v>521.33879999999999</v>
      </c>
      <c r="BY25" s="666">
        <f>BS25*(1+BY26)</f>
        <v>528.17520000000002</v>
      </c>
      <c r="BZ25" s="667">
        <f>BT25*(1+BZ26)</f>
        <v>505.97800000000001</v>
      </c>
      <c r="CA25" s="733">
        <f>SUM(BW25:BZ25)</f>
        <v>2052.3969999999999</v>
      </c>
      <c r="CB25" s="665"/>
      <c r="CC25" s="718">
        <f>BW25*(1+CC26)</f>
        <v>524.2347749999999</v>
      </c>
      <c r="CD25" s="666">
        <f>BX25*(1+CD26)</f>
        <v>550.01243399999998</v>
      </c>
      <c r="CE25" s="666">
        <f>BY25*(1+CE26)</f>
        <v>557.22483599999998</v>
      </c>
      <c r="CF25" s="667">
        <f>BZ25*(1+CF26)</f>
        <v>533.80678999999998</v>
      </c>
      <c r="CG25" s="733">
        <f>SUM(CC25:CF25)</f>
        <v>2165.2788350000001</v>
      </c>
      <c r="CH25" s="665"/>
      <c r="CI25" s="718">
        <f>CC25*(1+CI26)</f>
        <v>553.06768762499985</v>
      </c>
      <c r="CJ25" s="666">
        <f>CD25*(1+CJ26)</f>
        <v>580.26311786999997</v>
      </c>
      <c r="CK25" s="666">
        <f>CE25*(1+CK26)</f>
        <v>587.87220198</v>
      </c>
      <c r="CL25" s="667">
        <f>CF25*(1+CL26)</f>
        <v>563.16616345</v>
      </c>
      <c r="CM25" s="733">
        <f>SUM(CI25:CL25)</f>
        <v>2284.3691709249997</v>
      </c>
    </row>
    <row r="26" spans="1:91" s="25" customFormat="1" ht="11.25" hidden="1" outlineLevel="1" x14ac:dyDescent="0.2">
      <c r="A26" s="745" t="s">
        <v>5</v>
      </c>
      <c r="B26" s="702"/>
      <c r="C26" s="749"/>
      <c r="D26" s="702"/>
      <c r="E26" s="702"/>
      <c r="F26" s="757"/>
      <c r="G26" s="756"/>
      <c r="H26" s="702"/>
      <c r="I26" s="749"/>
      <c r="J26" s="702"/>
      <c r="K26" s="702"/>
      <c r="L26" s="757"/>
      <c r="M26" s="756"/>
      <c r="N26" s="702"/>
      <c r="O26" s="749"/>
      <c r="P26" s="702"/>
      <c r="Q26" s="702"/>
      <c r="R26" s="757"/>
      <c r="S26" s="756"/>
      <c r="T26" s="702"/>
      <c r="U26" s="328"/>
      <c r="V26" s="329"/>
      <c r="W26" s="329"/>
      <c r="X26" s="330"/>
      <c r="Y26" s="331"/>
      <c r="Z26" s="332"/>
      <c r="AA26" s="328"/>
      <c r="AB26" s="329"/>
      <c r="AC26" s="329"/>
      <c r="AD26" s="330"/>
      <c r="AE26" s="331"/>
      <c r="AF26" s="332"/>
      <c r="AG26" s="328"/>
      <c r="AH26" s="329"/>
      <c r="AI26" s="329"/>
      <c r="AJ26" s="330"/>
      <c r="AK26" s="331"/>
      <c r="AL26" s="332"/>
      <c r="AM26" s="328"/>
      <c r="AN26" s="329"/>
      <c r="AO26" s="329"/>
      <c r="AP26" s="329"/>
      <c r="AQ26" s="331"/>
      <c r="AR26" s="332"/>
      <c r="AS26" s="328">
        <f>AS25/AM25-1</f>
        <v>-1.4925373134328401E-2</v>
      </c>
      <c r="AT26" s="329">
        <f>AT25/AN25-1</f>
        <v>-4.0609137055837574E-2</v>
      </c>
      <c r="AU26" s="329">
        <f>AU25/AO25-1</f>
        <v>0.24173027989821882</v>
      </c>
      <c r="AV26" s="329">
        <f>AV25/AP25-1</f>
        <v>-1.9830028328611915E-2</v>
      </c>
      <c r="AW26" s="331">
        <f>AW25/AQ25-1</f>
        <v>4.2801556420233533E-2</v>
      </c>
      <c r="AX26" s="332"/>
      <c r="AY26" s="328">
        <f>AY25/AS25-1</f>
        <v>7.575757575757569E-2</v>
      </c>
      <c r="AZ26" s="329">
        <f>AZ25/AT25-1</f>
        <v>0.10582010582010581</v>
      </c>
      <c r="BA26" s="151">
        <f>BA25/AU25-1</f>
        <v>-9.4262295081967262E-2</v>
      </c>
      <c r="BB26" s="153">
        <f>BB25/AV25-1</f>
        <v>0.12716763005780352</v>
      </c>
      <c r="BC26" s="154"/>
      <c r="BD26" s="665"/>
      <c r="BE26" s="717">
        <v>4.2488262910798102E-2</v>
      </c>
      <c r="BF26" s="696">
        <f>BF25/AZ25-1</f>
        <v>5.0239234449760861E-2</v>
      </c>
      <c r="BG26" s="696">
        <f>BG25/BA25-1</f>
        <v>7.0135746606334815E-2</v>
      </c>
      <c r="BH26" s="697">
        <f>BH25/BB25-1</f>
        <v>9.7435897435897534E-2</v>
      </c>
      <c r="BI26" s="732">
        <f>BI25/BC25-1</f>
        <v>1.1382211538461537</v>
      </c>
      <c r="BJ26" s="665"/>
      <c r="BK26" s="717">
        <f>BK25/BE25-1</f>
        <v>0.12072892938496582</v>
      </c>
      <c r="BL26" s="696">
        <f t="shared" ref="BL26" si="73">BL25/BF25-1</f>
        <v>5.6947608200455635E-2</v>
      </c>
      <c r="BM26" s="696">
        <f t="shared" ref="BM26" si="74">BM25/BG25-1</f>
        <v>-5.4968287526427018E-2</v>
      </c>
      <c r="BN26" s="697">
        <f t="shared" ref="BN26" si="75">BN25/BH25-1</f>
        <v>2.8037383177569986E-2</v>
      </c>
      <c r="BO26" s="732">
        <f t="shared" ref="BO26" si="76">BO25/BI25-1</f>
        <v>3.597526700393483E-2</v>
      </c>
      <c r="BP26" s="665"/>
      <c r="BQ26" s="717">
        <f>BQ25/BK25-1</f>
        <v>-4.2682926829268331E-2</v>
      </c>
      <c r="BR26" s="696">
        <f>BR27+BR28</f>
        <v>6.5000000000000002E-2</v>
      </c>
      <c r="BS26" s="696">
        <f>BS27+BS28</f>
        <v>0.12</v>
      </c>
      <c r="BT26" s="697">
        <f>BT27+BT28</f>
        <v>0.09</v>
      </c>
      <c r="BU26" s="732">
        <f>BU25/BO25-1</f>
        <v>5.5561584373304385E-2</v>
      </c>
      <c r="BV26" s="665"/>
      <c r="BW26" s="717">
        <f>BW27+BW28</f>
        <v>5.5E-2</v>
      </c>
      <c r="BX26" s="696">
        <f>BX27+BX28</f>
        <v>5.5E-2</v>
      </c>
      <c r="BY26" s="696">
        <f>BY27+BY28</f>
        <v>5.5E-2</v>
      </c>
      <c r="BZ26" s="697">
        <f>BZ27+BZ28</f>
        <v>5.5E-2</v>
      </c>
      <c r="CA26" s="732">
        <f>CA25/BU25-1</f>
        <v>5.4999999999999938E-2</v>
      </c>
      <c r="CB26" s="665"/>
      <c r="CC26" s="717">
        <f>CC27+CC28</f>
        <v>5.5E-2</v>
      </c>
      <c r="CD26" s="696">
        <f>CD27+CD28</f>
        <v>5.5E-2</v>
      </c>
      <c r="CE26" s="696">
        <f>CE27+CE28</f>
        <v>5.5E-2</v>
      </c>
      <c r="CF26" s="697">
        <f>CF27+CF28</f>
        <v>5.5E-2</v>
      </c>
      <c r="CG26" s="732">
        <f>CG25/CA25-1</f>
        <v>5.500000000000016E-2</v>
      </c>
      <c r="CH26" s="665"/>
      <c r="CI26" s="717">
        <f>CI27+CI28</f>
        <v>5.5E-2</v>
      </c>
      <c r="CJ26" s="696">
        <f>CJ27+CJ28</f>
        <v>5.5E-2</v>
      </c>
      <c r="CK26" s="696">
        <f>CK27+CK28</f>
        <v>5.5E-2</v>
      </c>
      <c r="CL26" s="697">
        <f>CL27+CL28</f>
        <v>5.5E-2</v>
      </c>
      <c r="CM26" s="732">
        <f>CM25/CG25-1</f>
        <v>5.4999999999999938E-2</v>
      </c>
    </row>
    <row r="27" spans="1:91" s="25" customFormat="1" ht="11.25" hidden="1" outlineLevel="1" x14ac:dyDescent="0.2">
      <c r="A27" s="745" t="s">
        <v>6</v>
      </c>
      <c r="B27" s="702"/>
      <c r="C27" s="749"/>
      <c r="D27" s="702"/>
      <c r="E27" s="702"/>
      <c r="F27" s="757"/>
      <c r="G27" s="756"/>
      <c r="H27" s="702"/>
      <c r="I27" s="749"/>
      <c r="J27" s="702"/>
      <c r="K27" s="702"/>
      <c r="L27" s="757"/>
      <c r="M27" s="756"/>
      <c r="N27" s="702"/>
      <c r="O27" s="749"/>
      <c r="P27" s="702"/>
      <c r="Q27" s="702"/>
      <c r="R27" s="757"/>
      <c r="S27" s="756"/>
      <c r="T27" s="702"/>
      <c r="U27" s="333"/>
      <c r="V27" s="334"/>
      <c r="W27" s="334"/>
      <c r="X27" s="335"/>
      <c r="Y27" s="331"/>
      <c r="Z27" s="332"/>
      <c r="AA27" s="333"/>
      <c r="AB27" s="334"/>
      <c r="AC27" s="334"/>
      <c r="AD27" s="335"/>
      <c r="AE27" s="331"/>
      <c r="AF27" s="332"/>
      <c r="AG27" s="333"/>
      <c r="AH27" s="334"/>
      <c r="AI27" s="334"/>
      <c r="AJ27" s="335"/>
      <c r="AK27" s="331"/>
      <c r="AL27" s="332"/>
      <c r="AM27" s="333"/>
      <c r="AN27" s="334"/>
      <c r="AO27" s="334"/>
      <c r="AP27" s="334"/>
      <c r="AQ27" s="331"/>
      <c r="AR27" s="332"/>
      <c r="AS27" s="333">
        <v>0</v>
      </c>
      <c r="AT27" s="334">
        <v>0</v>
      </c>
      <c r="AU27" s="334">
        <v>0</v>
      </c>
      <c r="AV27" s="334">
        <v>0</v>
      </c>
      <c r="AW27" s="331">
        <f>SUMPRODUCT(AS27:AV27,AM25:AP25)/AQ25:AQ25</f>
        <v>0</v>
      </c>
      <c r="AX27" s="332"/>
      <c r="AY27" s="333">
        <v>0</v>
      </c>
      <c r="AZ27" s="334">
        <v>0</v>
      </c>
      <c r="BA27" s="191">
        <v>0</v>
      </c>
      <c r="BB27" s="192">
        <v>0</v>
      </c>
      <c r="BC27" s="319"/>
      <c r="BD27" s="665"/>
      <c r="BE27" s="672">
        <v>0</v>
      </c>
      <c r="BF27" s="673">
        <v>0</v>
      </c>
      <c r="BG27" s="673">
        <v>0</v>
      </c>
      <c r="BH27" s="674">
        <v>0</v>
      </c>
      <c r="BI27" s="732">
        <f>SUM(BE25:BF25)/BC25</f>
        <v>1.0552884615384615</v>
      </c>
      <c r="BJ27" s="665"/>
      <c r="BK27" s="672">
        <v>0</v>
      </c>
      <c r="BL27" s="673">
        <v>0</v>
      </c>
      <c r="BM27" s="673">
        <v>0</v>
      </c>
      <c r="BN27" s="674">
        <v>0</v>
      </c>
      <c r="BO27" s="732">
        <f>SUMPRODUCT(BK27:BN27,BE25:BH25)/BI25</f>
        <v>0</v>
      </c>
      <c r="BP27" s="665"/>
      <c r="BQ27" s="672">
        <v>0</v>
      </c>
      <c r="BR27" s="673">
        <v>0</v>
      </c>
      <c r="BS27" s="673">
        <v>0</v>
      </c>
      <c r="BT27" s="674">
        <v>0</v>
      </c>
      <c r="BU27" s="732">
        <f>SUMPRODUCT(BQ27:BT27,BK25:BN25)/BO25</f>
        <v>0</v>
      </c>
      <c r="BV27" s="665"/>
      <c r="BW27" s="672">
        <v>0</v>
      </c>
      <c r="BX27" s="673">
        <v>0</v>
      </c>
      <c r="BY27" s="673">
        <v>0</v>
      </c>
      <c r="BZ27" s="674">
        <v>0</v>
      </c>
      <c r="CA27" s="732">
        <f>SUMPRODUCT(BW27:BZ27,BQ25:BT25)/BU25</f>
        <v>0</v>
      </c>
      <c r="CB27" s="665"/>
      <c r="CC27" s="672">
        <v>0</v>
      </c>
      <c r="CD27" s="673">
        <v>0</v>
      </c>
      <c r="CE27" s="673">
        <v>0</v>
      </c>
      <c r="CF27" s="674">
        <v>0</v>
      </c>
      <c r="CG27" s="732">
        <f>SUMPRODUCT(CC27:CF27,BW25:BZ25)/CA25</f>
        <v>0</v>
      </c>
      <c r="CH27" s="665"/>
      <c r="CI27" s="672">
        <v>0</v>
      </c>
      <c r="CJ27" s="673">
        <v>0</v>
      </c>
      <c r="CK27" s="673">
        <v>0</v>
      </c>
      <c r="CL27" s="674">
        <v>0</v>
      </c>
      <c r="CM27" s="732">
        <f>SUMPRODUCT(CI27:CL27,CC25:CF25)/CG25</f>
        <v>0</v>
      </c>
    </row>
    <row r="28" spans="1:91" s="25" customFormat="1" ht="11.25" hidden="1" outlineLevel="1" x14ac:dyDescent="0.2">
      <c r="A28" s="745" t="s">
        <v>7</v>
      </c>
      <c r="B28" s="702"/>
      <c r="C28" s="749"/>
      <c r="D28" s="702"/>
      <c r="E28" s="702"/>
      <c r="F28" s="757"/>
      <c r="G28" s="756"/>
      <c r="H28" s="702"/>
      <c r="I28" s="749"/>
      <c r="J28" s="702"/>
      <c r="K28" s="702"/>
      <c r="L28" s="757"/>
      <c r="M28" s="756"/>
      <c r="N28" s="702"/>
      <c r="O28" s="749"/>
      <c r="P28" s="702"/>
      <c r="Q28" s="702"/>
      <c r="R28" s="757"/>
      <c r="S28" s="756"/>
      <c r="T28" s="702"/>
      <c r="U28" s="328"/>
      <c r="V28" s="329"/>
      <c r="W28" s="329"/>
      <c r="X28" s="330"/>
      <c r="Y28" s="331"/>
      <c r="Z28" s="332"/>
      <c r="AA28" s="328"/>
      <c r="AB28" s="329"/>
      <c r="AC28" s="329"/>
      <c r="AD28" s="330"/>
      <c r="AE28" s="331"/>
      <c r="AF28" s="332"/>
      <c r="AG28" s="328"/>
      <c r="AH28" s="329"/>
      <c r="AI28" s="329"/>
      <c r="AJ28" s="330"/>
      <c r="AK28" s="331"/>
      <c r="AL28" s="332"/>
      <c r="AM28" s="328"/>
      <c r="AN28" s="329"/>
      <c r="AO28" s="329"/>
      <c r="AP28" s="329"/>
      <c r="AQ28" s="331"/>
      <c r="AR28" s="332"/>
      <c r="AS28" s="328">
        <f>AS26-AS27</f>
        <v>-1.4925373134328401E-2</v>
      </c>
      <c r="AT28" s="329">
        <f>AT26-AT27</f>
        <v>-4.0609137055837574E-2</v>
      </c>
      <c r="AU28" s="329">
        <f>AU26-AU27</f>
        <v>0.24173027989821882</v>
      </c>
      <c r="AV28" s="329">
        <f>AV26-AV27</f>
        <v>-1.9830028328611915E-2</v>
      </c>
      <c r="AW28" s="331">
        <f>SUMPRODUCT(AS28:AV28,AM25:AP25)/AQ25</f>
        <v>4.2801556420233443E-2</v>
      </c>
      <c r="AX28" s="332"/>
      <c r="AY28" s="328">
        <f>AY26-AY27</f>
        <v>7.575757575757569E-2</v>
      </c>
      <c r="AZ28" s="329">
        <f>AZ26-AZ27</f>
        <v>0.10582010582010581</v>
      </c>
      <c r="BA28" s="188">
        <f>BA26-BA27</f>
        <v>-9.4262295081967262E-2</v>
      </c>
      <c r="BB28" s="155">
        <f>BB26-BB27</f>
        <v>0.12716763005780352</v>
      </c>
      <c r="BC28" s="154"/>
      <c r="BD28" s="665"/>
      <c r="BE28" s="717">
        <v>4.2488262910798102E-2</v>
      </c>
      <c r="BF28" s="696">
        <f>BF26-BF27</f>
        <v>5.0239234449760861E-2</v>
      </c>
      <c r="BG28" s="696">
        <f>BG26-BG27</f>
        <v>7.0135746606334815E-2</v>
      </c>
      <c r="BH28" s="697">
        <f>BH26-BH27</f>
        <v>9.7435897435897534E-2</v>
      </c>
      <c r="BI28" s="732">
        <f>BI26-BI27</f>
        <v>8.2932692307692291E-2</v>
      </c>
      <c r="BJ28" s="665"/>
      <c r="BK28" s="717">
        <f>BK26-BK27</f>
        <v>0.12072892938496582</v>
      </c>
      <c r="BL28" s="696">
        <f t="shared" ref="BL28" si="77">BL26-BL27</f>
        <v>5.6947608200455635E-2</v>
      </c>
      <c r="BM28" s="696">
        <f t="shared" ref="BM28" si="78">BM26-BM27</f>
        <v>-5.4968287526427018E-2</v>
      </c>
      <c r="BN28" s="697">
        <f t="shared" ref="BN28" si="79">BN26-BN27</f>
        <v>2.8037383177569986E-2</v>
      </c>
      <c r="BO28" s="732">
        <f t="shared" ref="BO28" si="80">BO26-BO27</f>
        <v>3.597526700393483E-2</v>
      </c>
      <c r="BP28" s="665"/>
      <c r="BQ28" s="717">
        <f>BQ26-BQ27</f>
        <v>-4.2682926829268331E-2</v>
      </c>
      <c r="BR28" s="673">
        <v>6.5000000000000002E-2</v>
      </c>
      <c r="BS28" s="673">
        <v>0.12</v>
      </c>
      <c r="BT28" s="674">
        <v>0.09</v>
      </c>
      <c r="BU28" s="732">
        <f>BU26-BU27</f>
        <v>5.5561584373304385E-2</v>
      </c>
      <c r="BV28" s="665"/>
      <c r="BW28" s="672">
        <v>5.5E-2</v>
      </c>
      <c r="BX28" s="673">
        <f>BW28</f>
        <v>5.5E-2</v>
      </c>
      <c r="BY28" s="673">
        <f>BX28</f>
        <v>5.5E-2</v>
      </c>
      <c r="BZ28" s="674">
        <f>BY28</f>
        <v>5.5E-2</v>
      </c>
      <c r="CA28" s="732">
        <f>CA26-CA27</f>
        <v>5.4999999999999938E-2</v>
      </c>
      <c r="CB28" s="665"/>
      <c r="CC28" s="672">
        <v>5.5E-2</v>
      </c>
      <c r="CD28" s="673">
        <f>CC28</f>
        <v>5.5E-2</v>
      </c>
      <c r="CE28" s="673">
        <f>CD28</f>
        <v>5.5E-2</v>
      </c>
      <c r="CF28" s="674">
        <f>CE28</f>
        <v>5.5E-2</v>
      </c>
      <c r="CG28" s="732">
        <f>CG26-CG27</f>
        <v>5.500000000000016E-2</v>
      </c>
      <c r="CH28" s="665"/>
      <c r="CI28" s="672">
        <v>5.5E-2</v>
      </c>
      <c r="CJ28" s="673">
        <f>CI28</f>
        <v>5.5E-2</v>
      </c>
      <c r="CK28" s="673">
        <f>CJ28</f>
        <v>5.5E-2</v>
      </c>
      <c r="CL28" s="674">
        <f>CK28</f>
        <v>5.5E-2</v>
      </c>
      <c r="CM28" s="732">
        <f>CM26-CM27</f>
        <v>5.4999999999999938E-2</v>
      </c>
    </row>
    <row r="29" spans="1:91" s="25" customFormat="1" ht="11.25" hidden="1" outlineLevel="1" x14ac:dyDescent="0.2">
      <c r="A29" s="744" t="s">
        <v>8</v>
      </c>
      <c r="B29" s="702"/>
      <c r="C29" s="749"/>
      <c r="D29" s="702"/>
      <c r="E29" s="702"/>
      <c r="F29" s="757"/>
      <c r="G29" s="756"/>
      <c r="H29" s="702"/>
      <c r="I29" s="749"/>
      <c r="J29" s="702"/>
      <c r="K29" s="702"/>
      <c r="L29" s="757"/>
      <c r="M29" s="756"/>
      <c r="N29" s="702"/>
      <c r="O29" s="749"/>
      <c r="P29" s="702"/>
      <c r="Q29" s="702"/>
      <c r="R29" s="757"/>
      <c r="S29" s="756"/>
      <c r="T29" s="702"/>
      <c r="U29" s="322"/>
      <c r="V29" s="323"/>
      <c r="W29" s="323"/>
      <c r="X29" s="324"/>
      <c r="Y29" s="325"/>
      <c r="Z29" s="326"/>
      <c r="AA29" s="322"/>
      <c r="AB29" s="323"/>
      <c r="AC29" s="323"/>
      <c r="AD29" s="324"/>
      <c r="AE29" s="325"/>
      <c r="AF29" s="326"/>
      <c r="AG29" s="322"/>
      <c r="AH29" s="323"/>
      <c r="AI29" s="323"/>
      <c r="AJ29" s="324"/>
      <c r="AK29" s="325"/>
      <c r="AL29" s="326"/>
      <c r="AM29" s="322">
        <v>94</v>
      </c>
      <c r="AN29" s="323">
        <v>93</v>
      </c>
      <c r="AO29" s="323">
        <v>107</v>
      </c>
      <c r="AP29" s="323">
        <v>83</v>
      </c>
      <c r="AQ29" s="325">
        <f>SUM(AM29:AP29)</f>
        <v>377</v>
      </c>
      <c r="AR29" s="326"/>
      <c r="AS29" s="322">
        <v>95</v>
      </c>
      <c r="AT29" s="323">
        <v>100</v>
      </c>
      <c r="AU29" s="323">
        <v>124</v>
      </c>
      <c r="AV29" s="323">
        <v>97</v>
      </c>
      <c r="AW29" s="325">
        <f>SUM(AS29:AV29)</f>
        <v>416</v>
      </c>
      <c r="AX29" s="326"/>
      <c r="AY29" s="327">
        <v>114</v>
      </c>
      <c r="AZ29" s="323">
        <v>94</v>
      </c>
      <c r="BA29" s="318">
        <v>112.4</v>
      </c>
      <c r="BB29" s="313">
        <v>89</v>
      </c>
      <c r="BC29" s="115">
        <f>SUM(BA29:BB29)</f>
        <v>201.4</v>
      </c>
      <c r="BD29" s="665"/>
      <c r="BE29" s="669">
        <v>106</v>
      </c>
      <c r="BF29" s="657">
        <v>94</v>
      </c>
      <c r="BG29" s="657">
        <v>112</v>
      </c>
      <c r="BH29" s="676">
        <v>107</v>
      </c>
      <c r="BI29" s="733">
        <f>SUM(BE29:BH29)</f>
        <v>419</v>
      </c>
      <c r="BJ29" s="665"/>
      <c r="BK29" s="669">
        <v>109</v>
      </c>
      <c r="BL29" s="657">
        <v>103</v>
      </c>
      <c r="BM29" s="657">
        <v>109</v>
      </c>
      <c r="BN29" s="676">
        <v>131</v>
      </c>
      <c r="BO29" s="733">
        <f>SUM(BK29:BN29)</f>
        <v>452</v>
      </c>
      <c r="BP29" s="665"/>
      <c r="BQ29" s="669">
        <v>116</v>
      </c>
      <c r="BR29" s="666">
        <f>BL29*(1+BR30)</f>
        <v>114.72388764464519</v>
      </c>
      <c r="BS29" s="666">
        <f>BM29*(1+BS30)</f>
        <v>128.79037998269453</v>
      </c>
      <c r="BT29" s="667">
        <f>BN29*(1+BT30)</f>
        <v>142.43389939444157</v>
      </c>
      <c r="BU29" s="733">
        <f>SUM(BQ29:BT29)</f>
        <v>501.94816702178127</v>
      </c>
      <c r="BV29" s="665"/>
      <c r="BW29" s="718">
        <f>BQ29*(1+BW30)</f>
        <v>128.4158775950755</v>
      </c>
      <c r="BX29" s="666">
        <f>BR29*(1+BX30)</f>
        <v>123.63682428402475</v>
      </c>
      <c r="BY29" s="666">
        <f>BS29*(1+BY30)</f>
        <v>138.44965848139663</v>
      </c>
      <c r="BZ29" s="667">
        <f>BT29*(1+BZ30)</f>
        <v>153.11644184902468</v>
      </c>
      <c r="CA29" s="733">
        <f>SUM(BW29:BZ29)</f>
        <v>543.61880220952162</v>
      </c>
      <c r="CB29" s="665"/>
      <c r="CC29" s="718">
        <f>BW29*(1+CC30)</f>
        <v>138.04706841470616</v>
      </c>
      <c r="CD29" s="666">
        <f>BX29*(1+CD30)</f>
        <v>132.90958610532661</v>
      </c>
      <c r="CE29" s="666">
        <f>BY29*(1+CE30)</f>
        <v>148.83338286750137</v>
      </c>
      <c r="CF29" s="667">
        <f>BZ29*(1+CF30)</f>
        <v>164.60017498770154</v>
      </c>
      <c r="CG29" s="733">
        <f>SUM(CC29:CF29)</f>
        <v>584.39021237523571</v>
      </c>
      <c r="CH29" s="665"/>
      <c r="CI29" s="718">
        <f>CC29*(1+CI30)</f>
        <v>148.40059854580912</v>
      </c>
      <c r="CJ29" s="666">
        <f>CD29*(1+CJ30)</f>
        <v>142.87780506322611</v>
      </c>
      <c r="CK29" s="666">
        <f>CE29*(1+CK30)</f>
        <v>159.99588658256397</v>
      </c>
      <c r="CL29" s="667">
        <f>CF29*(1+CL30)</f>
        <v>176.94518811177915</v>
      </c>
      <c r="CM29" s="733">
        <f>SUM(CI29:CL29)</f>
        <v>628.21947830337831</v>
      </c>
    </row>
    <row r="30" spans="1:91" s="25" customFormat="1" ht="11.25" hidden="1" outlineLevel="1" x14ac:dyDescent="0.2">
      <c r="A30" s="745" t="s">
        <v>5</v>
      </c>
      <c r="B30" s="702"/>
      <c r="C30" s="749"/>
      <c r="D30" s="702"/>
      <c r="E30" s="702"/>
      <c r="F30" s="757"/>
      <c r="G30" s="756"/>
      <c r="H30" s="702"/>
      <c r="I30" s="749"/>
      <c r="J30" s="702"/>
      <c r="K30" s="702"/>
      <c r="L30" s="757"/>
      <c r="M30" s="756"/>
      <c r="N30" s="702"/>
      <c r="O30" s="749"/>
      <c r="P30" s="702"/>
      <c r="Q30" s="702"/>
      <c r="R30" s="757"/>
      <c r="S30" s="756"/>
      <c r="T30" s="702"/>
      <c r="U30" s="328"/>
      <c r="V30" s="329"/>
      <c r="W30" s="329"/>
      <c r="X30" s="330"/>
      <c r="Y30" s="331"/>
      <c r="Z30" s="332"/>
      <c r="AA30" s="328"/>
      <c r="AB30" s="329"/>
      <c r="AC30" s="329"/>
      <c r="AD30" s="330"/>
      <c r="AE30" s="331"/>
      <c r="AF30" s="332"/>
      <c r="AG30" s="328"/>
      <c r="AH30" s="329"/>
      <c r="AI30" s="329"/>
      <c r="AJ30" s="330"/>
      <c r="AK30" s="331"/>
      <c r="AL30" s="332"/>
      <c r="AM30" s="328"/>
      <c r="AN30" s="329"/>
      <c r="AO30" s="329"/>
      <c r="AP30" s="329"/>
      <c r="AQ30" s="331"/>
      <c r="AR30" s="332"/>
      <c r="AS30" s="328">
        <f>AS29/AM29-1</f>
        <v>1.0638297872340496E-2</v>
      </c>
      <c r="AT30" s="329">
        <f>AT29/AN29-1</f>
        <v>7.5268817204301008E-2</v>
      </c>
      <c r="AU30" s="329">
        <f>AU29/AO29-1</f>
        <v>0.1588785046728971</v>
      </c>
      <c r="AV30" s="329">
        <f>AV29/AP29-1</f>
        <v>0.16867469879518082</v>
      </c>
      <c r="AW30" s="331">
        <f>AW29/AQ29-1</f>
        <v>0.10344827586206895</v>
      </c>
      <c r="AX30" s="332"/>
      <c r="AY30" s="328">
        <f>AY29/AS29-1</f>
        <v>0.19999999999999996</v>
      </c>
      <c r="AZ30" s="329">
        <f>AZ29/AT29-1</f>
        <v>-6.0000000000000053E-2</v>
      </c>
      <c r="BA30" s="151">
        <f>BA29/AU29-1</f>
        <v>-9.3548387096774155E-2</v>
      </c>
      <c r="BB30" s="153">
        <f>BB29/AV29-1</f>
        <v>-8.2474226804123751E-2</v>
      </c>
      <c r="BC30" s="154"/>
      <c r="BD30" s="665"/>
      <c r="BE30" s="717">
        <f>BE29/AY29-1</f>
        <v>-7.0175438596491224E-2</v>
      </c>
      <c r="BF30" s="696">
        <f>BF29/AZ29-1</f>
        <v>0</v>
      </c>
      <c r="BG30" s="696">
        <f>BG29/BA29-1</f>
        <v>-3.558718861210064E-3</v>
      </c>
      <c r="BH30" s="697">
        <f>BH29/BB29-1</f>
        <v>0.202247191011236</v>
      </c>
      <c r="BI30" s="732">
        <f>BI29/BC29-1</f>
        <v>1.0804369414101291</v>
      </c>
      <c r="BJ30" s="665"/>
      <c r="BK30" s="717">
        <f>BK29/BE29-1</f>
        <v>2.8301886792452935E-2</v>
      </c>
      <c r="BL30" s="696">
        <f t="shared" ref="BL30" si="81">BL29/BF29-1</f>
        <v>9.5744680851063801E-2</v>
      </c>
      <c r="BM30" s="696">
        <f t="shared" ref="BM30" si="82">BM29/BG29-1</f>
        <v>-2.6785714285714302E-2</v>
      </c>
      <c r="BN30" s="697">
        <f t="shared" ref="BN30" si="83">BN29/BH29-1</f>
        <v>0.22429906542056077</v>
      </c>
      <c r="BO30" s="732">
        <f t="shared" ref="BO30" si="84">BO29/BI29-1</f>
        <v>7.8758949880668228E-2</v>
      </c>
      <c r="BP30" s="665"/>
      <c r="BQ30" s="717">
        <f>BQ29/BK29-1</f>
        <v>6.4220183486238591E-2</v>
      </c>
      <c r="BR30" s="696">
        <f>BR31+BR32</f>
        <v>0.11382415188975917</v>
      </c>
      <c r="BS30" s="696">
        <f>BS31+BS32</f>
        <v>0.18156311910728937</v>
      </c>
      <c r="BT30" s="697">
        <f>BT31+BT32</f>
        <v>8.7281674766729572E-2</v>
      </c>
      <c r="BU30" s="732">
        <f>BU29/BO29-1</f>
        <v>0.11050479429597626</v>
      </c>
      <c r="BV30" s="665"/>
      <c r="BW30" s="717">
        <f>BW31+BW32</f>
        <v>0.10703342754375431</v>
      </c>
      <c r="BX30" s="696">
        <f>BX31+BX32</f>
        <v>7.7690329558802909E-2</v>
      </c>
      <c r="BY30" s="696">
        <f>BY31+BY32</f>
        <v>7.4999999999999997E-2</v>
      </c>
      <c r="BZ30" s="697">
        <f>BZ31+BZ32</f>
        <v>7.4999999999999997E-2</v>
      </c>
      <c r="CA30" s="732">
        <f>CA29/BU29-1</f>
        <v>8.3017805274567591E-2</v>
      </c>
      <c r="CB30" s="665"/>
      <c r="CC30" s="717">
        <f>CC31+CC32</f>
        <v>7.4999999999999997E-2</v>
      </c>
      <c r="CD30" s="696">
        <f>CD31+CD32</f>
        <v>7.4999999999999997E-2</v>
      </c>
      <c r="CE30" s="696">
        <f>CE31+CE32</f>
        <v>7.4999999999999997E-2</v>
      </c>
      <c r="CF30" s="697">
        <f>CF31+CF32</f>
        <v>7.4999999999999997E-2</v>
      </c>
      <c r="CG30" s="732">
        <f>CG29/CA29-1</f>
        <v>7.4999999999999956E-2</v>
      </c>
      <c r="CH30" s="665"/>
      <c r="CI30" s="717">
        <f>CI31+CI32</f>
        <v>7.4999999999999997E-2</v>
      </c>
      <c r="CJ30" s="696">
        <f>CJ31+CJ32</f>
        <v>7.4999999999999997E-2</v>
      </c>
      <c r="CK30" s="696">
        <f>CK31+CK32</f>
        <v>7.4999999999999997E-2</v>
      </c>
      <c r="CL30" s="697">
        <f>CL31+CL32</f>
        <v>7.4999999999999997E-2</v>
      </c>
      <c r="CM30" s="732">
        <f>CM29/CG29-1</f>
        <v>7.4999999999999956E-2</v>
      </c>
    </row>
    <row r="31" spans="1:91" s="25" customFormat="1" ht="11.25" hidden="1" outlineLevel="1" x14ac:dyDescent="0.2">
      <c r="A31" s="745" t="s">
        <v>9</v>
      </c>
      <c r="B31" s="702"/>
      <c r="C31" s="749"/>
      <c r="D31" s="702"/>
      <c r="E31" s="702"/>
      <c r="F31" s="757"/>
      <c r="G31" s="756"/>
      <c r="H31" s="702"/>
      <c r="I31" s="749"/>
      <c r="J31" s="702"/>
      <c r="K31" s="702"/>
      <c r="L31" s="757"/>
      <c r="M31" s="756"/>
      <c r="N31" s="702"/>
      <c r="O31" s="749"/>
      <c r="P31" s="702"/>
      <c r="Q31" s="702"/>
      <c r="R31" s="757"/>
      <c r="S31" s="756"/>
      <c r="T31" s="702"/>
      <c r="U31" s="333"/>
      <c r="V31" s="334"/>
      <c r="W31" s="334"/>
      <c r="X31" s="335"/>
      <c r="Y31" s="336"/>
      <c r="Z31" s="334"/>
      <c r="AA31" s="333"/>
      <c r="AB31" s="334"/>
      <c r="AC31" s="334"/>
      <c r="AD31" s="335"/>
      <c r="AE31" s="337"/>
      <c r="AF31" s="334"/>
      <c r="AG31" s="333"/>
      <c r="AH31" s="334"/>
      <c r="AI31" s="334"/>
      <c r="AJ31" s="335"/>
      <c r="AK31" s="337"/>
      <c r="AL31" s="334"/>
      <c r="AM31" s="333"/>
      <c r="AN31" s="334"/>
      <c r="AO31" s="334"/>
      <c r="AP31" s="334"/>
      <c r="AQ31" s="337"/>
      <c r="AR31" s="334"/>
      <c r="AS31" s="333">
        <v>4.0000000000000001E-3</v>
      </c>
      <c r="AT31" s="334">
        <v>6.0000000000000001E-3</v>
      </c>
      <c r="AU31" s="334">
        <v>2.9000000000000001E-2</v>
      </c>
      <c r="AV31" s="334">
        <v>1.6E-2</v>
      </c>
      <c r="AW31" s="337">
        <f>SUMPRODUCT(AS31:AV31,AM29:AP29)/AQ29</f>
        <v>1.4230769230769231E-2</v>
      </c>
      <c r="AX31" s="338"/>
      <c r="AY31" s="333">
        <v>-0.08</v>
      </c>
      <c r="AZ31" s="334">
        <v>-0.13500000000000001</v>
      </c>
      <c r="BA31" s="320">
        <f>-20/AU29</f>
        <v>-0.16129032258064516</v>
      </c>
      <c r="BB31" s="194">
        <f>-14/AV29</f>
        <v>-0.14432989690721648</v>
      </c>
      <c r="BC31" s="156"/>
      <c r="BD31" s="665"/>
      <c r="BE31" s="672">
        <f>-12/AY29</f>
        <v>-0.10526315789473684</v>
      </c>
      <c r="BF31" s="673">
        <f>-6/AZ29</f>
        <v>-6.3829787234042548E-2</v>
      </c>
      <c r="BG31" s="673">
        <f>-2/BA29</f>
        <v>-1.779359430604982E-2</v>
      </c>
      <c r="BH31" s="674">
        <f>-3/BB29</f>
        <v>-3.3707865168539325E-2</v>
      </c>
      <c r="BI31" s="732">
        <f>SUMPRODUCT(BG31:BH31,BA29:BB29)/BC29</f>
        <v>-2.4826216484607744E-2</v>
      </c>
      <c r="BJ31" s="665"/>
      <c r="BK31" s="660">
        <f>BK30-BK32</f>
        <v>-4.0698113207547071E-2</v>
      </c>
      <c r="BL31" s="661">
        <f t="shared" ref="BL31" si="85">BL30-BL32</f>
        <v>-4.0255319148936208E-2</v>
      </c>
      <c r="BM31" s="661">
        <f t="shared" ref="BM31" si="86">BM30-BM32</f>
        <v>-3.6785714285714304E-2</v>
      </c>
      <c r="BN31" s="662">
        <f t="shared" ref="BN31" si="87">BN30-BN32</f>
        <v>9.2990654205607759E-3</v>
      </c>
      <c r="BO31" s="732">
        <f>SUMPRODUCT(BK31:BN31,BE29:BH29)/BI29</f>
        <v>-2.6785202863961789E-2</v>
      </c>
      <c r="BP31" s="665"/>
      <c r="BQ31" s="660">
        <f>BQ30-BQ32</f>
        <v>5.8220183486238593E-2</v>
      </c>
      <c r="BR31" s="698">
        <v>5.382415188975917E-2</v>
      </c>
      <c r="BS31" s="698">
        <v>4.156311910728936E-2</v>
      </c>
      <c r="BT31" s="742">
        <v>1.7281674766729559E-2</v>
      </c>
      <c r="BU31" s="732">
        <f>SUMPRODUCT(BQ31:BT31,BK29:BN29)/BO29</f>
        <v>4.1336652703056004E-2</v>
      </c>
      <c r="BV31" s="665"/>
      <c r="BW31" s="743">
        <v>3.2033427543754309E-2</v>
      </c>
      <c r="BX31" s="698">
        <v>2.6903295588029167E-3</v>
      </c>
      <c r="BY31" s="698">
        <v>0</v>
      </c>
      <c r="BZ31" s="742">
        <v>0</v>
      </c>
      <c r="CA31" s="732">
        <f>SUMPRODUCT(BW31:BZ31,BQ29:BT29)/BU29</f>
        <v>8.0178052745673942E-3</v>
      </c>
      <c r="CB31" s="665"/>
      <c r="CC31" s="743">
        <v>0</v>
      </c>
      <c r="CD31" s="698">
        <v>0</v>
      </c>
      <c r="CE31" s="698">
        <v>0</v>
      </c>
      <c r="CF31" s="742">
        <v>0</v>
      </c>
      <c r="CG31" s="732">
        <f>SUMPRODUCT(CC31:CF31,BW29:BZ29)/CA29</f>
        <v>0</v>
      </c>
      <c r="CH31" s="665"/>
      <c r="CI31" s="743">
        <v>0</v>
      </c>
      <c r="CJ31" s="698">
        <v>0</v>
      </c>
      <c r="CK31" s="698">
        <v>0</v>
      </c>
      <c r="CL31" s="742">
        <v>0</v>
      </c>
      <c r="CM31" s="732">
        <f>SUMPRODUCT(CI31:CL31,CC29:CF29)/CG29</f>
        <v>0</v>
      </c>
    </row>
    <row r="32" spans="1:91" s="25" customFormat="1" ht="11.25" hidden="1" outlineLevel="1" x14ac:dyDescent="0.2">
      <c r="A32" s="745" t="s">
        <v>10</v>
      </c>
      <c r="B32" s="702"/>
      <c r="C32" s="749"/>
      <c r="D32" s="702"/>
      <c r="E32" s="702"/>
      <c r="F32" s="757"/>
      <c r="G32" s="756"/>
      <c r="H32" s="702"/>
      <c r="I32" s="749"/>
      <c r="J32" s="702"/>
      <c r="K32" s="702"/>
      <c r="L32" s="757"/>
      <c r="M32" s="756"/>
      <c r="N32" s="702"/>
      <c r="O32" s="749"/>
      <c r="P32" s="702"/>
      <c r="Q32" s="702"/>
      <c r="R32" s="757"/>
      <c r="S32" s="756"/>
      <c r="T32" s="702"/>
      <c r="U32" s="339"/>
      <c r="V32" s="340"/>
      <c r="W32" s="340"/>
      <c r="X32" s="341"/>
      <c r="Y32" s="337"/>
      <c r="Z32" s="340"/>
      <c r="AA32" s="339"/>
      <c r="AB32" s="340"/>
      <c r="AC32" s="340"/>
      <c r="AD32" s="341"/>
      <c r="AE32" s="337"/>
      <c r="AF32" s="340"/>
      <c r="AG32" s="339"/>
      <c r="AH32" s="340"/>
      <c r="AI32" s="340"/>
      <c r="AJ32" s="341"/>
      <c r="AK32" s="337"/>
      <c r="AL32" s="340"/>
      <c r="AM32" s="339"/>
      <c r="AN32" s="340"/>
      <c r="AO32" s="340"/>
      <c r="AP32" s="340"/>
      <c r="AQ32" s="337"/>
      <c r="AR32" s="340"/>
      <c r="AS32" s="339">
        <f>AS30-AS31</f>
        <v>6.6382978723404963E-3</v>
      </c>
      <c r="AT32" s="340">
        <f>AT30-AT31</f>
        <v>6.9268817204301003E-2</v>
      </c>
      <c r="AU32" s="340">
        <f>AU30-AU31</f>
        <v>0.1298785046728971</v>
      </c>
      <c r="AV32" s="340">
        <f>AV30-AV31</f>
        <v>0.15267469879518081</v>
      </c>
      <c r="AW32" s="337">
        <f>SUMPRODUCT(AS32:AV32,AM29:AP29)/AQ29</f>
        <v>8.9217506631299723E-2</v>
      </c>
      <c r="AX32" s="340"/>
      <c r="AY32" s="339">
        <f>AY30-AY31</f>
        <v>0.27999999999999997</v>
      </c>
      <c r="AZ32" s="340">
        <f>AZ30-AZ31</f>
        <v>7.4999999999999956E-2</v>
      </c>
      <c r="BA32" s="188">
        <f>BA30-BA31</f>
        <v>6.7741935483871002E-2</v>
      </c>
      <c r="BB32" s="155">
        <f>BB30-BB31</f>
        <v>6.185567010309273E-2</v>
      </c>
      <c r="BC32" s="156"/>
      <c r="BD32" s="665"/>
      <c r="BE32" s="660">
        <f>BE30-BE31</f>
        <v>3.5087719298245612E-2</v>
      </c>
      <c r="BF32" s="661">
        <f>BF30-BF31</f>
        <v>6.3829787234042548E-2</v>
      </c>
      <c r="BG32" s="661">
        <f>BG30-BG31</f>
        <v>1.4234875444839756E-2</v>
      </c>
      <c r="BH32" s="662">
        <f>BH30-BH31</f>
        <v>0.23595505617977533</v>
      </c>
      <c r="BI32" s="732">
        <f>BI30-BI31</f>
        <v>1.1052631578947369</v>
      </c>
      <c r="BJ32" s="665"/>
      <c r="BK32" s="672">
        <v>6.9000000000000006E-2</v>
      </c>
      <c r="BL32" s="673">
        <v>0.13600000000000001</v>
      </c>
      <c r="BM32" s="673">
        <v>0.01</v>
      </c>
      <c r="BN32" s="674">
        <v>0.215</v>
      </c>
      <c r="BO32" s="732">
        <f t="shared" ref="BO32" si="88">BO30-BO31</f>
        <v>0.10554415274463001</v>
      </c>
      <c r="BP32" s="665"/>
      <c r="BQ32" s="672">
        <v>6.0000000000000001E-3</v>
      </c>
      <c r="BR32" s="696">
        <f>BR33+BR34</f>
        <v>0.06</v>
      </c>
      <c r="BS32" s="696">
        <f>BS33+BS34</f>
        <v>0.14000000000000001</v>
      </c>
      <c r="BT32" s="697">
        <f>BT33+BT34</f>
        <v>7.0000000000000007E-2</v>
      </c>
      <c r="BU32" s="732">
        <f>BU30-BU31</f>
        <v>6.9168141592920257E-2</v>
      </c>
      <c r="BV32" s="665"/>
      <c r="BW32" s="717">
        <f>BW33+BW34</f>
        <v>7.4999999999999997E-2</v>
      </c>
      <c r="BX32" s="696">
        <f>BX33+BX34</f>
        <v>7.4999999999999997E-2</v>
      </c>
      <c r="BY32" s="696">
        <f>BY33+BY34</f>
        <v>7.4999999999999997E-2</v>
      </c>
      <c r="BZ32" s="697">
        <f>BZ33+BZ34</f>
        <v>7.4999999999999997E-2</v>
      </c>
      <c r="CA32" s="732">
        <f>CA30-CA31</f>
        <v>7.5000000000000192E-2</v>
      </c>
      <c r="CB32" s="665"/>
      <c r="CC32" s="717">
        <f>CC33+CC34</f>
        <v>7.4999999999999997E-2</v>
      </c>
      <c r="CD32" s="696">
        <f>CD33+CD34</f>
        <v>7.4999999999999997E-2</v>
      </c>
      <c r="CE32" s="696">
        <f>CE33+CE34</f>
        <v>7.4999999999999997E-2</v>
      </c>
      <c r="CF32" s="697">
        <f>CF33+CF34</f>
        <v>7.4999999999999997E-2</v>
      </c>
      <c r="CG32" s="732">
        <f>CG30-CG31</f>
        <v>7.4999999999999956E-2</v>
      </c>
      <c r="CH32" s="665"/>
      <c r="CI32" s="717">
        <f>CI33+CI34</f>
        <v>7.4999999999999997E-2</v>
      </c>
      <c r="CJ32" s="696">
        <f>CJ33+CJ34</f>
        <v>7.4999999999999997E-2</v>
      </c>
      <c r="CK32" s="696">
        <f>CK33+CK34</f>
        <v>7.4999999999999997E-2</v>
      </c>
      <c r="CL32" s="697">
        <f>CL33+CL34</f>
        <v>7.4999999999999997E-2</v>
      </c>
      <c r="CM32" s="732">
        <f>CM30-CM31</f>
        <v>7.4999999999999956E-2</v>
      </c>
    </row>
    <row r="33" spans="1:91" s="25" customFormat="1" ht="11.25" hidden="1" outlineLevel="1" x14ac:dyDescent="0.2">
      <c r="A33" s="745" t="s">
        <v>6</v>
      </c>
      <c r="B33" s="702"/>
      <c r="C33" s="749"/>
      <c r="D33" s="702"/>
      <c r="E33" s="702"/>
      <c r="F33" s="757"/>
      <c r="G33" s="756"/>
      <c r="H33" s="702"/>
      <c r="I33" s="749"/>
      <c r="J33" s="702"/>
      <c r="K33" s="702"/>
      <c r="L33" s="757"/>
      <c r="M33" s="756"/>
      <c r="N33" s="702"/>
      <c r="O33" s="749"/>
      <c r="P33" s="702"/>
      <c r="Q33" s="702"/>
      <c r="R33" s="757"/>
      <c r="S33" s="756"/>
      <c r="T33" s="702"/>
      <c r="U33" s="333"/>
      <c r="V33" s="334"/>
      <c r="W33" s="334"/>
      <c r="X33" s="335"/>
      <c r="Y33" s="331"/>
      <c r="Z33" s="340"/>
      <c r="AA33" s="333"/>
      <c r="AB33" s="334"/>
      <c r="AC33" s="334"/>
      <c r="AD33" s="335"/>
      <c r="AE33" s="331"/>
      <c r="AF33" s="340"/>
      <c r="AG33" s="333"/>
      <c r="AH33" s="334"/>
      <c r="AI33" s="334"/>
      <c r="AJ33" s="335"/>
      <c r="AK33" s="331"/>
      <c r="AL33" s="340"/>
      <c r="AM33" s="333"/>
      <c r="AN33" s="334"/>
      <c r="AO33" s="334"/>
      <c r="AP33" s="334"/>
      <c r="AQ33" s="331"/>
      <c r="AR33" s="340"/>
      <c r="AS33" s="333">
        <v>0</v>
      </c>
      <c r="AT33" s="334">
        <v>0</v>
      </c>
      <c r="AU33" s="334">
        <v>0</v>
      </c>
      <c r="AV33" s="334">
        <v>0</v>
      </c>
      <c r="AW33" s="331">
        <f>SUMPRODUCT(AS33:AV33,AM29:AP29)/AQ29</f>
        <v>0</v>
      </c>
      <c r="AX33" s="340"/>
      <c r="AY33" s="333">
        <v>0</v>
      </c>
      <c r="AZ33" s="334">
        <v>0</v>
      </c>
      <c r="BA33" s="191">
        <v>0</v>
      </c>
      <c r="BB33" s="192">
        <v>0</v>
      </c>
      <c r="BC33" s="319"/>
      <c r="BD33" s="665"/>
      <c r="BE33" s="672">
        <v>0</v>
      </c>
      <c r="BF33" s="673">
        <v>0</v>
      </c>
      <c r="BG33" s="673">
        <v>0</v>
      </c>
      <c r="BH33" s="674">
        <v>0</v>
      </c>
      <c r="BI33" s="732">
        <f>SUM(BE29:BF29)/BC29</f>
        <v>0.99304865938430975</v>
      </c>
      <c r="BJ33" s="665"/>
      <c r="BK33" s="672">
        <v>0</v>
      </c>
      <c r="BL33" s="673">
        <v>0</v>
      </c>
      <c r="BM33" s="673">
        <v>0</v>
      </c>
      <c r="BN33" s="674">
        <v>0</v>
      </c>
      <c r="BO33" s="732">
        <f>SUMPRODUCT(BK33:BN33,BE29:BH29)/BI29</f>
        <v>0</v>
      </c>
      <c r="BP33" s="665"/>
      <c r="BQ33" s="672">
        <v>0</v>
      </c>
      <c r="BR33" s="673">
        <v>0</v>
      </c>
      <c r="BS33" s="673">
        <v>0</v>
      </c>
      <c r="BT33" s="674">
        <v>0</v>
      </c>
      <c r="BU33" s="732">
        <f>SUMPRODUCT(BQ33:BT33,BK29:BN29)/BO29</f>
        <v>0</v>
      </c>
      <c r="BV33" s="665"/>
      <c r="BW33" s="672">
        <v>0</v>
      </c>
      <c r="BX33" s="673">
        <v>0</v>
      </c>
      <c r="BY33" s="673">
        <v>0</v>
      </c>
      <c r="BZ33" s="674">
        <v>0</v>
      </c>
      <c r="CA33" s="732">
        <f>SUMPRODUCT(BW33:BZ33,BQ29:BT29)/BU29</f>
        <v>0</v>
      </c>
      <c r="CB33" s="665"/>
      <c r="CC33" s="672">
        <v>0</v>
      </c>
      <c r="CD33" s="673">
        <v>0</v>
      </c>
      <c r="CE33" s="673">
        <v>0</v>
      </c>
      <c r="CF33" s="674">
        <v>0</v>
      </c>
      <c r="CG33" s="732">
        <f>SUMPRODUCT(CC33:CF33,BW29:BZ29)/CA29</f>
        <v>0</v>
      </c>
      <c r="CH33" s="665"/>
      <c r="CI33" s="672">
        <v>0</v>
      </c>
      <c r="CJ33" s="673">
        <v>0</v>
      </c>
      <c r="CK33" s="673">
        <v>0</v>
      </c>
      <c r="CL33" s="674">
        <v>0</v>
      </c>
      <c r="CM33" s="732">
        <f>SUMPRODUCT(CI33:CL33,CC29:CF29)/CG29</f>
        <v>0</v>
      </c>
    </row>
    <row r="34" spans="1:91" s="25" customFormat="1" ht="11.25" hidden="1" outlineLevel="1" x14ac:dyDescent="0.2">
      <c r="A34" s="745" t="s">
        <v>7</v>
      </c>
      <c r="B34" s="702"/>
      <c r="C34" s="749"/>
      <c r="D34" s="702"/>
      <c r="E34" s="702"/>
      <c r="F34" s="757"/>
      <c r="G34" s="756"/>
      <c r="H34" s="702"/>
      <c r="I34" s="749"/>
      <c r="J34" s="702"/>
      <c r="K34" s="702"/>
      <c r="L34" s="757"/>
      <c r="M34" s="756"/>
      <c r="N34" s="702"/>
      <c r="O34" s="749"/>
      <c r="P34" s="702"/>
      <c r="Q34" s="702"/>
      <c r="R34" s="757"/>
      <c r="S34" s="756"/>
      <c r="T34" s="702"/>
      <c r="U34" s="328"/>
      <c r="V34" s="329"/>
      <c r="W34" s="329"/>
      <c r="X34" s="330"/>
      <c r="Y34" s="331"/>
      <c r="Z34" s="340"/>
      <c r="AA34" s="328"/>
      <c r="AB34" s="329"/>
      <c r="AC34" s="329"/>
      <c r="AD34" s="330"/>
      <c r="AE34" s="331"/>
      <c r="AF34" s="340"/>
      <c r="AG34" s="328"/>
      <c r="AH34" s="329"/>
      <c r="AI34" s="329"/>
      <c r="AJ34" s="330"/>
      <c r="AK34" s="331"/>
      <c r="AL34" s="340"/>
      <c r="AM34" s="328"/>
      <c r="AN34" s="329"/>
      <c r="AO34" s="329"/>
      <c r="AP34" s="329"/>
      <c r="AQ34" s="331"/>
      <c r="AR34" s="340"/>
      <c r="AS34" s="328">
        <f>AS32-AS33</f>
        <v>6.6382978723404963E-3</v>
      </c>
      <c r="AT34" s="329">
        <f>AT32-AT33</f>
        <v>6.9268817204301003E-2</v>
      </c>
      <c r="AU34" s="329">
        <f>AU32-AU33</f>
        <v>0.1298785046728971</v>
      </c>
      <c r="AV34" s="329">
        <f>AV32-AV33</f>
        <v>0.15267469879518081</v>
      </c>
      <c r="AW34" s="331">
        <f>SUMPRODUCT(AS34:AV34,AM29:AP29)/AQ29</f>
        <v>8.9217506631299723E-2</v>
      </c>
      <c r="AX34" s="340"/>
      <c r="AY34" s="328">
        <f>AY32-AY33</f>
        <v>0.27999999999999997</v>
      </c>
      <c r="AZ34" s="329">
        <f>AZ32-AZ33</f>
        <v>7.4999999999999956E-2</v>
      </c>
      <c r="BA34" s="188">
        <f>BA32-BA33</f>
        <v>6.7741935483871002E-2</v>
      </c>
      <c r="BB34" s="155">
        <f>BB32-BB33</f>
        <v>6.185567010309273E-2</v>
      </c>
      <c r="BC34" s="154"/>
      <c r="BD34" s="665"/>
      <c r="BE34" s="717">
        <f>BE32-BE33</f>
        <v>3.5087719298245612E-2</v>
      </c>
      <c r="BF34" s="696">
        <f>BF32-BF33</f>
        <v>6.3829787234042548E-2</v>
      </c>
      <c r="BG34" s="696">
        <f>BG32-BG33</f>
        <v>1.4234875444839756E-2</v>
      </c>
      <c r="BH34" s="697">
        <f>BH32-BH33</f>
        <v>0.23595505617977533</v>
      </c>
      <c r="BI34" s="732">
        <f>BI32-BI33</f>
        <v>0.1122144985104272</v>
      </c>
      <c r="BJ34" s="665"/>
      <c r="BK34" s="717">
        <f>BK32-BK33</f>
        <v>6.9000000000000006E-2</v>
      </c>
      <c r="BL34" s="696">
        <f t="shared" ref="BL34" si="89">BL32-BL33</f>
        <v>0.13600000000000001</v>
      </c>
      <c r="BM34" s="696">
        <f t="shared" ref="BM34" si="90">BM32-BM33</f>
        <v>0.01</v>
      </c>
      <c r="BN34" s="697">
        <f t="shared" ref="BN34" si="91">BN32-BN33</f>
        <v>0.215</v>
      </c>
      <c r="BO34" s="732">
        <f t="shared" ref="BO34" si="92">BO32-BO33</f>
        <v>0.10554415274463001</v>
      </c>
      <c r="BP34" s="665"/>
      <c r="BQ34" s="717">
        <f>BQ32-BQ33</f>
        <v>6.0000000000000001E-3</v>
      </c>
      <c r="BR34" s="673">
        <v>0.06</v>
      </c>
      <c r="BS34" s="673">
        <v>0.14000000000000001</v>
      </c>
      <c r="BT34" s="674">
        <v>7.0000000000000007E-2</v>
      </c>
      <c r="BU34" s="732">
        <f>BU32-BU33</f>
        <v>6.9168141592920257E-2</v>
      </c>
      <c r="BV34" s="665"/>
      <c r="BW34" s="672">
        <v>7.4999999999999997E-2</v>
      </c>
      <c r="BX34" s="673">
        <f>BW34</f>
        <v>7.4999999999999997E-2</v>
      </c>
      <c r="BY34" s="673">
        <f>BX34</f>
        <v>7.4999999999999997E-2</v>
      </c>
      <c r="BZ34" s="674">
        <f>BY34</f>
        <v>7.4999999999999997E-2</v>
      </c>
      <c r="CA34" s="732">
        <f>CA32-CA33</f>
        <v>7.5000000000000192E-2</v>
      </c>
      <c r="CB34" s="665"/>
      <c r="CC34" s="672">
        <v>7.4999999999999997E-2</v>
      </c>
      <c r="CD34" s="673">
        <f>CC34</f>
        <v>7.4999999999999997E-2</v>
      </c>
      <c r="CE34" s="673">
        <f>CD34</f>
        <v>7.4999999999999997E-2</v>
      </c>
      <c r="CF34" s="674">
        <f>CE34</f>
        <v>7.4999999999999997E-2</v>
      </c>
      <c r="CG34" s="732">
        <f>CG32-CG33</f>
        <v>7.4999999999999956E-2</v>
      </c>
      <c r="CH34" s="665"/>
      <c r="CI34" s="672">
        <v>7.4999999999999997E-2</v>
      </c>
      <c r="CJ34" s="673">
        <f>CI34</f>
        <v>7.4999999999999997E-2</v>
      </c>
      <c r="CK34" s="673">
        <f>CJ34</f>
        <v>7.4999999999999997E-2</v>
      </c>
      <c r="CL34" s="674">
        <f>CK34</f>
        <v>7.4999999999999997E-2</v>
      </c>
      <c r="CM34" s="732">
        <f>CM32-CM33</f>
        <v>7.4999999999999956E-2</v>
      </c>
    </row>
    <row r="35" spans="1:91" s="25" customFormat="1" ht="11.25" collapsed="1" x14ac:dyDescent="0.2">
      <c r="A35" s="744" t="s">
        <v>11</v>
      </c>
      <c r="B35" s="702"/>
      <c r="C35" s="749"/>
      <c r="D35" s="702"/>
      <c r="E35" s="702"/>
      <c r="F35" s="757"/>
      <c r="G35" s="756"/>
      <c r="H35" s="702"/>
      <c r="I35" s="749"/>
      <c r="J35" s="702"/>
      <c r="K35" s="702"/>
      <c r="L35" s="757"/>
      <c r="M35" s="756"/>
      <c r="N35" s="702"/>
      <c r="O35" s="749"/>
      <c r="P35" s="702"/>
      <c r="Q35" s="702"/>
      <c r="R35" s="757"/>
      <c r="S35" s="756"/>
      <c r="T35" s="702"/>
      <c r="U35" s="327">
        <v>432.66500000000002</v>
      </c>
      <c r="V35" s="342">
        <v>399.8075</v>
      </c>
      <c r="W35" s="342">
        <v>487</v>
      </c>
      <c r="X35" s="343">
        <v>404</v>
      </c>
      <c r="Y35" s="325">
        <f>SUM(U35:X35)</f>
        <v>1723.4725000000001</v>
      </c>
      <c r="Z35" s="344"/>
      <c r="AA35" s="327">
        <v>462</v>
      </c>
      <c r="AB35" s="342">
        <v>431</v>
      </c>
      <c r="AC35" s="342">
        <v>527</v>
      </c>
      <c r="AD35" s="343">
        <v>454</v>
      </c>
      <c r="AE35" s="325">
        <f>SUM(AA35:AD35)</f>
        <v>1874</v>
      </c>
      <c r="AF35" s="344"/>
      <c r="AG35" s="327">
        <v>502</v>
      </c>
      <c r="AH35" s="342">
        <v>513</v>
      </c>
      <c r="AI35" s="342">
        <v>551</v>
      </c>
      <c r="AJ35" s="343">
        <v>454</v>
      </c>
      <c r="AK35" s="325">
        <f>SUM(AG35:AJ35)</f>
        <v>2020</v>
      </c>
      <c r="AL35" s="344"/>
      <c r="AM35" s="345">
        <f>AM25+AM29</f>
        <v>496</v>
      </c>
      <c r="AN35" s="346">
        <f>AN25+AN29</f>
        <v>487</v>
      </c>
      <c r="AO35" s="346">
        <f>AO25+AO29</f>
        <v>500</v>
      </c>
      <c r="AP35" s="346">
        <f>AP25+AP29</f>
        <v>436</v>
      </c>
      <c r="AQ35" s="325">
        <f>SUM(AM35:AP35)</f>
        <v>1919</v>
      </c>
      <c r="AR35" s="344"/>
      <c r="AS35" s="345">
        <f>AS25+AS29</f>
        <v>491</v>
      </c>
      <c r="AT35" s="346">
        <f>AT25+AT29</f>
        <v>478</v>
      </c>
      <c r="AU35" s="346">
        <f>AU25+AU29</f>
        <v>612</v>
      </c>
      <c r="AV35" s="346">
        <f>AV25+AV29</f>
        <v>443</v>
      </c>
      <c r="AW35" s="325">
        <f>SUM(AS35:AV35)</f>
        <v>2024</v>
      </c>
      <c r="AX35" s="344"/>
      <c r="AY35" s="345">
        <f>AY25+AY29</f>
        <v>540</v>
      </c>
      <c r="AZ35" s="346">
        <f>AZ25+AZ29</f>
        <v>512</v>
      </c>
      <c r="BA35" s="113">
        <f>BA25+BA29</f>
        <v>554.4</v>
      </c>
      <c r="BB35" s="114">
        <f>BB25+BB29</f>
        <v>479</v>
      </c>
      <c r="BC35" s="115">
        <f>SUM(BA35:BB35)</f>
        <v>1033.4000000000001</v>
      </c>
      <c r="BD35" s="665"/>
      <c r="BE35" s="718">
        <f>BE25+BE29</f>
        <v>545</v>
      </c>
      <c r="BF35" s="666">
        <f t="shared" ref="BF35:BH35" si="93">BF25+BF29</f>
        <v>533</v>
      </c>
      <c r="BG35" s="666">
        <f t="shared" si="93"/>
        <v>585</v>
      </c>
      <c r="BH35" s="667">
        <f t="shared" si="93"/>
        <v>535</v>
      </c>
      <c r="BI35" s="733">
        <f>SUM(BE35:BH35)</f>
        <v>2198</v>
      </c>
      <c r="BJ35" s="665"/>
      <c r="BK35" s="718">
        <f>BK25+BK29</f>
        <v>601</v>
      </c>
      <c r="BL35" s="666">
        <f t="shared" ref="BL35:BN35" si="94">BL25+BL29</f>
        <v>567</v>
      </c>
      <c r="BM35" s="666">
        <f t="shared" si="94"/>
        <v>556</v>
      </c>
      <c r="BN35" s="667">
        <f t="shared" si="94"/>
        <v>571</v>
      </c>
      <c r="BO35" s="733">
        <f>SUM(BK35:BN35)</f>
        <v>2295</v>
      </c>
      <c r="BP35" s="665"/>
      <c r="BQ35" s="718">
        <f>BQ25+BQ29</f>
        <v>587</v>
      </c>
      <c r="BR35" s="666">
        <f t="shared" ref="BR35:BT35" si="95">BR25+BR29</f>
        <v>608.88388764464514</v>
      </c>
      <c r="BS35" s="666">
        <f t="shared" si="95"/>
        <v>629.4303799826946</v>
      </c>
      <c r="BT35" s="667">
        <f t="shared" si="95"/>
        <v>622.03389939444162</v>
      </c>
      <c r="BU35" s="733">
        <f>SUM(BQ35:BT35)</f>
        <v>2447.3481670217816</v>
      </c>
      <c r="BV35" s="665"/>
      <c r="BW35" s="718">
        <f>BW25+BW29</f>
        <v>625.32087759507544</v>
      </c>
      <c r="BX35" s="666">
        <f t="shared" ref="BX35:BZ35" si="96">BX25+BX29</f>
        <v>644.97562428402478</v>
      </c>
      <c r="BY35" s="666">
        <f t="shared" si="96"/>
        <v>666.62485848139659</v>
      </c>
      <c r="BZ35" s="667">
        <f t="shared" si="96"/>
        <v>659.09444184902463</v>
      </c>
      <c r="CA35" s="733">
        <f>SUM(BW35:BZ35)</f>
        <v>2596.0158022095211</v>
      </c>
      <c r="CB35" s="665"/>
      <c r="CC35" s="718">
        <f>CC25+CC29</f>
        <v>662.28184341470603</v>
      </c>
      <c r="CD35" s="666">
        <f t="shared" ref="CD35:CF35" si="97">CD25+CD29</f>
        <v>682.92202010532662</v>
      </c>
      <c r="CE35" s="666">
        <f t="shared" si="97"/>
        <v>706.05821886750141</v>
      </c>
      <c r="CF35" s="667">
        <f t="shared" si="97"/>
        <v>698.40696498770149</v>
      </c>
      <c r="CG35" s="733">
        <f>SUM(CC35:CF35)</f>
        <v>2749.6690473752356</v>
      </c>
      <c r="CH35" s="665"/>
      <c r="CI35" s="718">
        <f>CI25+CI29</f>
        <v>701.46828617080894</v>
      </c>
      <c r="CJ35" s="666">
        <f t="shared" ref="CJ35:CL35" si="98">CJ25+CJ29</f>
        <v>723.14092293322608</v>
      </c>
      <c r="CK35" s="666">
        <f t="shared" si="98"/>
        <v>747.86808856256403</v>
      </c>
      <c r="CL35" s="667">
        <f t="shared" si="98"/>
        <v>740.1113515617792</v>
      </c>
      <c r="CM35" s="733">
        <f>SUM(CI35:CL35)</f>
        <v>2912.588649228378</v>
      </c>
    </row>
    <row r="36" spans="1:91" s="25" customFormat="1" ht="11.25" x14ac:dyDescent="0.2">
      <c r="A36" s="745" t="s">
        <v>5</v>
      </c>
      <c r="B36" s="702"/>
      <c r="C36" s="749"/>
      <c r="D36" s="702"/>
      <c r="E36" s="702"/>
      <c r="F36" s="757"/>
      <c r="G36" s="756"/>
      <c r="H36" s="702"/>
      <c r="I36" s="749"/>
      <c r="J36" s="702"/>
      <c r="K36" s="702"/>
      <c r="L36" s="757"/>
      <c r="M36" s="756"/>
      <c r="N36" s="702"/>
      <c r="O36" s="749"/>
      <c r="P36" s="702"/>
      <c r="Q36" s="702"/>
      <c r="R36" s="757"/>
      <c r="S36" s="756"/>
      <c r="T36" s="702"/>
      <c r="U36" s="328"/>
      <c r="V36" s="329"/>
      <c r="W36" s="329"/>
      <c r="X36" s="330"/>
      <c r="Y36" s="331"/>
      <c r="Z36" s="340"/>
      <c r="AA36" s="328">
        <f>AA35/U35-1</f>
        <v>6.7800723423433684E-2</v>
      </c>
      <c r="AB36" s="329">
        <f>AB35/V35-1</f>
        <v>7.8018796545837654E-2</v>
      </c>
      <c r="AC36" s="329">
        <f>AC35/W35-1</f>
        <v>8.2135523613963146E-2</v>
      </c>
      <c r="AD36" s="330">
        <f>AD35/X35-1</f>
        <v>0.12376237623762387</v>
      </c>
      <c r="AE36" s="331">
        <f>AE35/Y35-1</f>
        <v>8.7339658741291126E-2</v>
      </c>
      <c r="AF36" s="340"/>
      <c r="AG36" s="328">
        <f>AG35/AA35-1</f>
        <v>8.6580086580086535E-2</v>
      </c>
      <c r="AH36" s="329">
        <f>AH35/AB35-1</f>
        <v>0.19025522041763332</v>
      </c>
      <c r="AI36" s="329">
        <f>AI35/AC35-1</f>
        <v>4.5540796963946972E-2</v>
      </c>
      <c r="AJ36" s="330">
        <f>AJ35/AD35-1</f>
        <v>0</v>
      </c>
      <c r="AK36" s="331">
        <f>AK35/AE35-1</f>
        <v>7.7908217716115225E-2</v>
      </c>
      <c r="AL36" s="340"/>
      <c r="AM36" s="328">
        <f>AM35/AG35-1</f>
        <v>-1.195219123505975E-2</v>
      </c>
      <c r="AN36" s="329">
        <f>AN35/AH35-1</f>
        <v>-5.0682261208576995E-2</v>
      </c>
      <c r="AO36" s="329">
        <f>AO35/AI35-1</f>
        <v>-9.2558983666061745E-2</v>
      </c>
      <c r="AP36" s="329">
        <f>AP35/AJ35-1</f>
        <v>-3.9647577092510988E-2</v>
      </c>
      <c r="AQ36" s="331">
        <f>AQ35/AK35-1</f>
        <v>-5.0000000000000044E-2</v>
      </c>
      <c r="AR36" s="340"/>
      <c r="AS36" s="328">
        <f>AS35/AM35-1</f>
        <v>-1.0080645161290369E-2</v>
      </c>
      <c r="AT36" s="329">
        <f>AT35/AN35-1</f>
        <v>-1.848049281314168E-2</v>
      </c>
      <c r="AU36" s="329">
        <f>AU35/AO35-1</f>
        <v>0.22399999999999998</v>
      </c>
      <c r="AV36" s="329">
        <f>AV35/AP35-1</f>
        <v>1.6055045871559592E-2</v>
      </c>
      <c r="AW36" s="331">
        <f>AW35/AQ35-1</f>
        <v>5.4715997915581127E-2</v>
      </c>
      <c r="AX36" s="340"/>
      <c r="AY36" s="328">
        <f>AY35/AS35-1</f>
        <v>9.9796334012219878E-2</v>
      </c>
      <c r="AZ36" s="329">
        <f>AZ35/AT35-1</f>
        <v>7.1129707112970619E-2</v>
      </c>
      <c r="BA36" s="188">
        <f>BA35/AU35-1</f>
        <v>-9.4117647058823528E-2</v>
      </c>
      <c r="BB36" s="155">
        <f>BB35/AV35-1</f>
        <v>8.1264108352144371E-2</v>
      </c>
      <c r="BC36" s="154"/>
      <c r="BD36" s="665"/>
      <c r="BE36" s="717">
        <f>BE35/AY35-1</f>
        <v>9.2592592592593004E-3</v>
      </c>
      <c r="BF36" s="696">
        <f t="shared" ref="BF36" si="99">BF35/AZ35-1</f>
        <v>4.1015625E-2</v>
      </c>
      <c r="BG36" s="696">
        <f t="shared" ref="BG36" si="100">BG35/BA35-1</f>
        <v>5.5194805194805241E-2</v>
      </c>
      <c r="BH36" s="697">
        <f t="shared" ref="BH36" si="101">BH35/BB35-1</f>
        <v>0.1169102296450939</v>
      </c>
      <c r="BI36" s="732">
        <f t="shared" ref="BI36" si="102">BI35/BC35-1</f>
        <v>1.1269595509967099</v>
      </c>
      <c r="BJ36" s="665"/>
      <c r="BK36" s="717">
        <f>BK35/BE35-1</f>
        <v>0.10275229357798166</v>
      </c>
      <c r="BL36" s="696">
        <f t="shared" ref="BL36" si="103">BL35/BF35-1</f>
        <v>6.3789868667917471E-2</v>
      </c>
      <c r="BM36" s="696">
        <f t="shared" ref="BM36" si="104">BM35/BG35-1</f>
        <v>-4.9572649572649619E-2</v>
      </c>
      <c r="BN36" s="697">
        <f t="shared" ref="BN36" si="105">BN35/BH35-1</f>
        <v>6.7289719626168143E-2</v>
      </c>
      <c r="BO36" s="732">
        <f t="shared" ref="BO36" si="106">BO35/BI35-1</f>
        <v>4.4131028207461398E-2</v>
      </c>
      <c r="BP36" s="665"/>
      <c r="BQ36" s="717">
        <f>BQ35/BK35-1</f>
        <v>-2.3294509151414289E-2</v>
      </c>
      <c r="BR36" s="696">
        <f t="shared" ref="BR36" si="107">BR35/BL35-1</f>
        <v>7.3869290378562935E-2</v>
      </c>
      <c r="BS36" s="696">
        <f t="shared" ref="BS36" si="108">BS35/BM35-1</f>
        <v>0.13206902874585369</v>
      </c>
      <c r="BT36" s="697">
        <f t="shared" ref="BT36" si="109">BT35/BN35-1</f>
        <v>8.9376356207428342E-2</v>
      </c>
      <c r="BU36" s="732">
        <f t="shared" ref="BU36" si="110">BU35/BO35-1</f>
        <v>6.6382643582475698E-2</v>
      </c>
      <c r="BV36" s="665"/>
      <c r="BW36" s="717">
        <f>BW35/BQ35-1</f>
        <v>6.5282585340844079E-2</v>
      </c>
      <c r="BX36" s="696">
        <f t="shared" ref="BX36" si="111">BX35/BR35-1</f>
        <v>5.927523682552005E-2</v>
      </c>
      <c r="BY36" s="696">
        <f t="shared" ref="BY36" si="112">BY35/BS35-1</f>
        <v>5.9092283565538306E-2</v>
      </c>
      <c r="BZ36" s="697">
        <f t="shared" ref="BZ36" si="113">BZ35/BT35-1</f>
        <v>5.9579618555615665E-2</v>
      </c>
      <c r="CA36" s="732">
        <f t="shared" ref="CA36" si="114">CA35/BU35-1</f>
        <v>6.0746418180726458E-2</v>
      </c>
      <c r="CB36" s="665"/>
      <c r="CC36" s="717">
        <f>CC35/BW35-1</f>
        <v>5.910719942980136E-2</v>
      </c>
      <c r="CD36" s="696">
        <f t="shared" ref="CD36" si="115">CD35/BX35-1</f>
        <v>5.883384486572707E-2</v>
      </c>
      <c r="CE36" s="696">
        <f t="shared" ref="CE36" si="116">CE35/BY35-1</f>
        <v>5.9153750245581671E-2</v>
      </c>
      <c r="CF36" s="697">
        <f t="shared" ref="CF36" si="117">CF35/BZ35-1</f>
        <v>5.9646267124312979E-2</v>
      </c>
      <c r="CG36" s="732">
        <f t="shared" ref="CG36" si="118">CG35/CA35-1</f>
        <v>5.9188100871703897E-2</v>
      </c>
      <c r="CH36" s="665"/>
      <c r="CI36" s="717">
        <f>CI35/CC35-1</f>
        <v>5.9168831435961966E-2</v>
      </c>
      <c r="CJ36" s="696">
        <f t="shared" ref="CJ36" si="119">CJ35/CD35-1</f>
        <v>5.8892379574605691E-2</v>
      </c>
      <c r="CK36" s="696">
        <f t="shared" ref="CK36" si="120">CK35/CE35-1</f>
        <v>5.9215895485395631E-2</v>
      </c>
      <c r="CL36" s="697">
        <f t="shared" ref="CL36" si="121">CL35/CF35-1</f>
        <v>5.9713589160457659E-2</v>
      </c>
      <c r="CM36" s="732">
        <f t="shared" ref="CM36" si="122">CM35/CG35-1</f>
        <v>5.9250622182571933E-2</v>
      </c>
    </row>
    <row r="37" spans="1:91" s="25" customFormat="1" ht="11.25" x14ac:dyDescent="0.2">
      <c r="A37" s="745" t="s">
        <v>9</v>
      </c>
      <c r="B37" s="702"/>
      <c r="C37" s="749"/>
      <c r="D37" s="702"/>
      <c r="E37" s="702"/>
      <c r="F37" s="757"/>
      <c r="G37" s="756"/>
      <c r="H37" s="702"/>
      <c r="I37" s="749"/>
      <c r="J37" s="702"/>
      <c r="K37" s="702"/>
      <c r="L37" s="757"/>
      <c r="M37" s="756"/>
      <c r="N37" s="702"/>
      <c r="O37" s="749"/>
      <c r="P37" s="702"/>
      <c r="Q37" s="702"/>
      <c r="R37" s="757"/>
      <c r="S37" s="756"/>
      <c r="T37" s="702"/>
      <c r="U37" s="333"/>
      <c r="V37" s="334"/>
      <c r="W37" s="334"/>
      <c r="X37" s="335"/>
      <c r="Y37" s="336"/>
      <c r="Z37" s="334"/>
      <c r="AA37" s="333"/>
      <c r="AB37" s="334"/>
      <c r="AC37" s="334"/>
      <c r="AD37" s="335"/>
      <c r="AE37" s="336"/>
      <c r="AF37" s="334"/>
      <c r="AG37" s="339"/>
      <c r="AH37" s="340"/>
      <c r="AI37" s="340"/>
      <c r="AJ37" s="341"/>
      <c r="AK37" s="337"/>
      <c r="AL37" s="334"/>
      <c r="AM37" s="339"/>
      <c r="AN37" s="340"/>
      <c r="AO37" s="340"/>
      <c r="AP37" s="340"/>
      <c r="AQ37" s="337"/>
      <c r="AR37" s="334"/>
      <c r="AS37" s="339">
        <f>AS31*AM29/AM35</f>
        <v>7.5806451612903222E-4</v>
      </c>
      <c r="AT37" s="340">
        <f>AT31*AN29/AN35</f>
        <v>1.1457905544147845E-3</v>
      </c>
      <c r="AU37" s="340">
        <f>AU31*AO29/AO35</f>
        <v>6.2060000000000006E-3</v>
      </c>
      <c r="AV37" s="340">
        <f>AV31*AP29/AP35</f>
        <v>3.0458715596330278E-3</v>
      </c>
      <c r="AW37" s="337">
        <f>SUMPRODUCT(AS37:AV37,AM35:AP35)/AQ35</f>
        <v>2.7957269411151642E-3</v>
      </c>
      <c r="AX37" s="334"/>
      <c r="AY37" s="339">
        <f>AY31*AS29/AS35</f>
        <v>-1.5478615071283097E-2</v>
      </c>
      <c r="AZ37" s="340">
        <f>AZ31*AT29/AT35</f>
        <v>-2.8242677824267783E-2</v>
      </c>
      <c r="BA37" s="188">
        <f>BA31*AU29/AU35</f>
        <v>-3.2679738562091505E-2</v>
      </c>
      <c r="BB37" s="155">
        <f>BB31*AV29/AV35</f>
        <v>-3.1602708803611733E-2</v>
      </c>
      <c r="BC37" s="156"/>
      <c r="BD37" s="665"/>
      <c r="BE37" s="717">
        <f>BE31*AY29/AY35</f>
        <v>-2.2222222222222223E-2</v>
      </c>
      <c r="BF37" s="696">
        <f t="shared" ref="BF37" si="123">BF31*AZ29/AZ35</f>
        <v>-1.1718749999999998E-2</v>
      </c>
      <c r="BG37" s="696">
        <f t="shared" ref="BG37" si="124">BG31*BA29/BA35</f>
        <v>-3.6075036075036075E-3</v>
      </c>
      <c r="BH37" s="697">
        <f t="shared" ref="BH37" si="125">BH31*BB29/BB35</f>
        <v>-6.2630480167014616E-3</v>
      </c>
      <c r="BI37" s="732">
        <f>SUMPRODUCT(BE37:BH37,AY35:BB35)/BC35</f>
        <v>-2.2256628604606154E-2</v>
      </c>
      <c r="BJ37" s="665"/>
      <c r="BK37" s="717">
        <f>BK31*BE29/BE35</f>
        <v>-7.9155963302752104E-3</v>
      </c>
      <c r="BL37" s="696">
        <f t="shared" ref="BL37" si="126">BL31*BF29/BF35</f>
        <v>-7.0994371482176423E-3</v>
      </c>
      <c r="BM37" s="696">
        <f t="shared" ref="BM37" si="127">BM31*BG29/BG35</f>
        <v>-7.042735042735046E-3</v>
      </c>
      <c r="BN37" s="697">
        <f t="shared" ref="BN37" si="128">BN31*BH29/BH35</f>
        <v>1.859813084112155E-3</v>
      </c>
      <c r="BO37" s="732">
        <f>SUMPRODUCT(BK37:BN37,BE35:BH35)/BI35</f>
        <v>-5.1060054595086397E-3</v>
      </c>
      <c r="BP37" s="665"/>
      <c r="BQ37" s="717">
        <f>BQ31*BK29/BK35</f>
        <v>1.0559068219633955E-2</v>
      </c>
      <c r="BR37" s="696">
        <f t="shared" ref="BR37" si="129">BR31*BL29/BL35</f>
        <v>9.7775796201855295E-3</v>
      </c>
      <c r="BS37" s="696">
        <f t="shared" ref="BS37" si="130">BS31*BM29/BM35</f>
        <v>8.1481654365009714E-3</v>
      </c>
      <c r="BT37" s="697">
        <f t="shared" ref="BT37" si="131">BT31*BN29/BN35</f>
        <v>3.9647975384265715E-3</v>
      </c>
      <c r="BU37" s="732">
        <f>SUMPRODUCT(BQ37:BT37,BK35:BN35)/BO35</f>
        <v>8.1412492469635361E-3</v>
      </c>
      <c r="BV37" s="665"/>
      <c r="BW37" s="717">
        <f>BW31*BQ29/BQ35</f>
        <v>6.330285511201874E-3</v>
      </c>
      <c r="BX37" s="696">
        <f t="shared" ref="BX37" si="132">BX31*BR29/BR35</f>
        <v>5.0690299463352555E-4</v>
      </c>
      <c r="BY37" s="696">
        <f t="shared" ref="BY37" si="133">BY31*BS29/BS35</f>
        <v>0</v>
      </c>
      <c r="BZ37" s="697">
        <f t="shared" ref="BZ37" si="134">BZ31*BT29/BT35</f>
        <v>0</v>
      </c>
      <c r="CA37" s="732">
        <f>SUMPRODUCT(BW37:BZ37,BQ35:BT35)/BU35</f>
        <v>1.6444422233572846E-3</v>
      </c>
      <c r="CB37" s="665"/>
      <c r="CC37" s="717">
        <f>CC31*BW29/BW35</f>
        <v>0</v>
      </c>
      <c r="CD37" s="696">
        <f t="shared" ref="CD37" si="135">CD31*BX29/BX35</f>
        <v>0</v>
      </c>
      <c r="CE37" s="696">
        <f t="shared" ref="CE37" si="136">CE31*BY29/BY35</f>
        <v>0</v>
      </c>
      <c r="CF37" s="697">
        <f t="shared" ref="CF37" si="137">CF31*BZ29/BZ35</f>
        <v>0</v>
      </c>
      <c r="CG37" s="732">
        <f>SUMPRODUCT(CC37:CF37,BW35:BZ35)/CA35</f>
        <v>0</v>
      </c>
      <c r="CH37" s="665"/>
      <c r="CI37" s="717">
        <f>CI31*CC29/CC35</f>
        <v>0</v>
      </c>
      <c r="CJ37" s="696">
        <f t="shared" ref="CJ37" si="138">CJ31*CD29/CD35</f>
        <v>0</v>
      </c>
      <c r="CK37" s="696">
        <f t="shared" ref="CK37" si="139">CK31*CE29/CE35</f>
        <v>0</v>
      </c>
      <c r="CL37" s="697">
        <f t="shared" ref="CL37" si="140">CL31*CF29/CF35</f>
        <v>0</v>
      </c>
      <c r="CM37" s="732">
        <f>SUMPRODUCT(CI37:CL37,CC35:CF35)/CG35</f>
        <v>0</v>
      </c>
    </row>
    <row r="38" spans="1:91" s="25" customFormat="1" ht="11.25" x14ac:dyDescent="0.2">
      <c r="A38" s="745" t="s">
        <v>10</v>
      </c>
      <c r="B38" s="702"/>
      <c r="C38" s="749"/>
      <c r="D38" s="702"/>
      <c r="E38" s="702"/>
      <c r="F38" s="757"/>
      <c r="G38" s="756"/>
      <c r="H38" s="702"/>
      <c r="I38" s="749"/>
      <c r="J38" s="702"/>
      <c r="K38" s="702"/>
      <c r="L38" s="757"/>
      <c r="M38" s="756"/>
      <c r="N38" s="702"/>
      <c r="O38" s="749"/>
      <c r="P38" s="702"/>
      <c r="Q38" s="702"/>
      <c r="R38" s="757"/>
      <c r="S38" s="756"/>
      <c r="T38" s="702"/>
      <c r="U38" s="328"/>
      <c r="V38" s="329"/>
      <c r="W38" s="329"/>
      <c r="X38" s="330"/>
      <c r="Y38" s="331"/>
      <c r="Z38" s="329"/>
      <c r="AA38" s="328"/>
      <c r="AB38" s="329"/>
      <c r="AC38" s="329"/>
      <c r="AD38" s="330"/>
      <c r="AE38" s="331"/>
      <c r="AF38" s="340"/>
      <c r="AG38" s="328"/>
      <c r="AH38" s="329"/>
      <c r="AI38" s="329"/>
      <c r="AJ38" s="330"/>
      <c r="AK38" s="331"/>
      <c r="AL38" s="340"/>
      <c r="AM38" s="328"/>
      <c r="AN38" s="329"/>
      <c r="AO38" s="329"/>
      <c r="AP38" s="329"/>
      <c r="AQ38" s="331"/>
      <c r="AR38" s="340"/>
      <c r="AS38" s="328">
        <f>AS36-AS37</f>
        <v>-1.0838709677419402E-2</v>
      </c>
      <c r="AT38" s="329">
        <f>AT36-AT37</f>
        <v>-1.9626283367556466E-2</v>
      </c>
      <c r="AU38" s="329">
        <f>AU36-AU37</f>
        <v>0.21779399999999999</v>
      </c>
      <c r="AV38" s="329">
        <f>AV36-AV37</f>
        <v>1.3009174311926565E-2</v>
      </c>
      <c r="AW38" s="331">
        <f>AW36-AW37</f>
        <v>5.1920270974465964E-2</v>
      </c>
      <c r="AX38" s="340"/>
      <c r="AY38" s="328">
        <f>AY36-AY37</f>
        <v>0.11527494908350297</v>
      </c>
      <c r="AZ38" s="329">
        <f>AZ36-AZ37</f>
        <v>9.9372384937238406E-2</v>
      </c>
      <c r="BA38" s="188">
        <f>BA36-BA37</f>
        <v>-6.1437908496732023E-2</v>
      </c>
      <c r="BB38" s="155">
        <f>BB36-BB37</f>
        <v>0.11286681715575611</v>
      </c>
      <c r="BC38" s="154"/>
      <c r="BD38" s="665"/>
      <c r="BE38" s="717">
        <f>BE36-BE37</f>
        <v>3.1481481481481527E-2</v>
      </c>
      <c r="BF38" s="696">
        <f t="shared" ref="BF38" si="141">BF36-BF37</f>
        <v>5.2734375E-2</v>
      </c>
      <c r="BG38" s="696">
        <f t="shared" ref="BG38" si="142">BG36-BG37</f>
        <v>5.8802308802308849E-2</v>
      </c>
      <c r="BH38" s="697">
        <f t="shared" ref="BH38" si="143">BH36-BH37</f>
        <v>0.12317327766179537</v>
      </c>
      <c r="BI38" s="732">
        <f t="shared" ref="BI38" si="144">BI36-BI37</f>
        <v>1.1492161796013161</v>
      </c>
      <c r="BJ38" s="665"/>
      <c r="BK38" s="717">
        <f>BK36-BK37</f>
        <v>0.11066788990825686</v>
      </c>
      <c r="BL38" s="696">
        <f t="shared" ref="BL38" si="145">BL36-BL37</f>
        <v>7.0889305816135117E-2</v>
      </c>
      <c r="BM38" s="696">
        <f t="shared" ref="BM38" si="146">BM36-BM37</f>
        <v>-4.2529914529914573E-2</v>
      </c>
      <c r="BN38" s="697">
        <f t="shared" ref="BN38" si="147">BN36-BN37</f>
        <v>6.5429906542055993E-2</v>
      </c>
      <c r="BO38" s="732">
        <f t="shared" ref="BO38" si="148">BO36-BO37</f>
        <v>4.9237033666970034E-2</v>
      </c>
      <c r="BP38" s="665"/>
      <c r="BQ38" s="717">
        <f>BQ36-BQ37</f>
        <v>-3.3853577371048243E-2</v>
      </c>
      <c r="BR38" s="696">
        <f t="shared" ref="BR38:BU38" si="149">BR36-BR37</f>
        <v>6.4091710758377413E-2</v>
      </c>
      <c r="BS38" s="696">
        <f t="shared" si="149"/>
        <v>0.12392086330935272</v>
      </c>
      <c r="BT38" s="697">
        <f t="shared" si="149"/>
        <v>8.5411558669001769E-2</v>
      </c>
      <c r="BU38" s="732">
        <f t="shared" si="149"/>
        <v>5.8241394335512162E-2</v>
      </c>
      <c r="BV38" s="665"/>
      <c r="BW38" s="717">
        <f>BW36-BW37</f>
        <v>5.8952299829642202E-2</v>
      </c>
      <c r="BX38" s="696">
        <f t="shared" ref="BX38:CA38" si="150">BX36-BX37</f>
        <v>5.8768333830886525E-2</v>
      </c>
      <c r="BY38" s="696">
        <f t="shared" si="150"/>
        <v>5.9092283565538306E-2</v>
      </c>
      <c r="BZ38" s="697">
        <f t="shared" si="150"/>
        <v>5.9579618555615665E-2</v>
      </c>
      <c r="CA38" s="732">
        <f t="shared" si="150"/>
        <v>5.9101975957369171E-2</v>
      </c>
      <c r="CB38" s="665"/>
      <c r="CC38" s="717">
        <f>CC36-CC37</f>
        <v>5.910719942980136E-2</v>
      </c>
      <c r="CD38" s="696">
        <f t="shared" ref="CD38:CG38" si="151">CD36-CD37</f>
        <v>5.883384486572707E-2</v>
      </c>
      <c r="CE38" s="696">
        <f t="shared" si="151"/>
        <v>5.9153750245581671E-2</v>
      </c>
      <c r="CF38" s="697">
        <f t="shared" si="151"/>
        <v>5.9646267124312979E-2</v>
      </c>
      <c r="CG38" s="732">
        <f t="shared" si="151"/>
        <v>5.9188100871703897E-2</v>
      </c>
      <c r="CH38" s="665"/>
      <c r="CI38" s="717">
        <f>CI36-CI37</f>
        <v>5.9168831435961966E-2</v>
      </c>
      <c r="CJ38" s="696">
        <f t="shared" ref="CJ38:CM38" si="152">CJ36-CJ37</f>
        <v>5.8892379574605691E-2</v>
      </c>
      <c r="CK38" s="696">
        <f t="shared" si="152"/>
        <v>5.9215895485395631E-2</v>
      </c>
      <c r="CL38" s="697">
        <f t="shared" si="152"/>
        <v>5.9713589160457659E-2</v>
      </c>
      <c r="CM38" s="732">
        <f t="shared" si="152"/>
        <v>5.9250622182571933E-2</v>
      </c>
    </row>
    <row r="39" spans="1:91" s="25" customFormat="1" ht="11.25" x14ac:dyDescent="0.2">
      <c r="A39" s="745" t="s">
        <v>6</v>
      </c>
      <c r="B39" s="702"/>
      <c r="C39" s="749"/>
      <c r="D39" s="702"/>
      <c r="E39" s="702"/>
      <c r="F39" s="757"/>
      <c r="G39" s="756"/>
      <c r="H39" s="702"/>
      <c r="I39" s="749"/>
      <c r="J39" s="702"/>
      <c r="K39" s="702"/>
      <c r="L39" s="757"/>
      <c r="M39" s="756"/>
      <c r="N39" s="702"/>
      <c r="O39" s="749"/>
      <c r="P39" s="702"/>
      <c r="Q39" s="702"/>
      <c r="R39" s="757"/>
      <c r="S39" s="756"/>
      <c r="T39" s="702"/>
      <c r="U39" s="328"/>
      <c r="V39" s="329"/>
      <c r="W39" s="329"/>
      <c r="X39" s="330"/>
      <c r="Y39" s="331"/>
      <c r="Z39" s="329"/>
      <c r="AA39" s="328"/>
      <c r="AB39" s="329"/>
      <c r="AC39" s="329"/>
      <c r="AD39" s="330"/>
      <c r="AE39" s="331"/>
      <c r="AF39" s="340"/>
      <c r="AG39" s="328"/>
      <c r="AH39" s="329"/>
      <c r="AI39" s="329"/>
      <c r="AJ39" s="330"/>
      <c r="AK39" s="331"/>
      <c r="AL39" s="340"/>
      <c r="AM39" s="328"/>
      <c r="AN39" s="329"/>
      <c r="AO39" s="329"/>
      <c r="AP39" s="329"/>
      <c r="AQ39" s="331"/>
      <c r="AR39" s="340"/>
      <c r="AS39" s="328">
        <f>(AS27*AM25+AS33*AM29)/AM35</f>
        <v>0</v>
      </c>
      <c r="AT39" s="329">
        <f>(AT27*AN25+AT33*AN29)/AN35</f>
        <v>0</v>
      </c>
      <c r="AU39" s="329">
        <f>(AU27*AO25+AU33*AO29)/AO35</f>
        <v>0</v>
      </c>
      <c r="AV39" s="329">
        <f>(AV27*AP25+AV33*AP29)/AP35</f>
        <v>0</v>
      </c>
      <c r="AW39" s="331">
        <f>SUMPRODUCT(AS39:AV39,AM35:AP35)/AQ35</f>
        <v>0</v>
      </c>
      <c r="AX39" s="340"/>
      <c r="AY39" s="328">
        <f>(AY27*AS25+AY33*AS29)/AS35</f>
        <v>0</v>
      </c>
      <c r="AZ39" s="329">
        <f>(AZ27*AT25+AZ33*AT29)/AT35</f>
        <v>0</v>
      </c>
      <c r="BA39" s="188">
        <f>(BA27*AU25+BA33*AU29)/AU35</f>
        <v>0</v>
      </c>
      <c r="BB39" s="155">
        <f>(BB27*AV25+BB33*AV29)/AV35</f>
        <v>0</v>
      </c>
      <c r="BC39" s="319"/>
      <c r="BD39" s="665"/>
      <c r="BE39" s="717">
        <f>(BE27*AY25+BE33*AY29)/AY35</f>
        <v>0</v>
      </c>
      <c r="BF39" s="696">
        <f t="shared" ref="BF39" si="153">(BF27*AZ25+BF33*AZ29)/AZ35</f>
        <v>0</v>
      </c>
      <c r="BG39" s="696">
        <f t="shared" ref="BG39" si="154">(BG27*BA25+BG33*BA29)/BA35</f>
        <v>0</v>
      </c>
      <c r="BH39" s="697">
        <f t="shared" ref="BH39" si="155">(BH27*BB25+BH33*BB29)/BB35</f>
        <v>0</v>
      </c>
      <c r="BI39" s="732">
        <f>SUMPRODUCT(BE39:BH39,AY35:BB35)/BC35</f>
        <v>0</v>
      </c>
      <c r="BJ39" s="665"/>
      <c r="BK39" s="717">
        <f>(BK27*BE25+BK33*BE29)/BE35</f>
        <v>0</v>
      </c>
      <c r="BL39" s="696">
        <f t="shared" ref="BL39" si="156">(BL27*BF25+BL33*BF29)/BF35</f>
        <v>0</v>
      </c>
      <c r="BM39" s="696">
        <f t="shared" ref="BM39" si="157">(BM27*BG25+BM33*BG29)/BG35</f>
        <v>0</v>
      </c>
      <c r="BN39" s="697">
        <f t="shared" ref="BN39" si="158">(BN27*BH25+BN33*BH29)/BH35</f>
        <v>0</v>
      </c>
      <c r="BO39" s="732">
        <f>SUMPRODUCT(BK39:BN39,BE35:BH35)/BI35</f>
        <v>0</v>
      </c>
      <c r="BP39" s="665"/>
      <c r="BQ39" s="717">
        <f>(BQ27*BK25+BQ33*BK29)/BK35</f>
        <v>0</v>
      </c>
      <c r="BR39" s="696">
        <f t="shared" ref="BR39" si="159">(BR27*BL25+BR33*BL29)/BL35</f>
        <v>0</v>
      </c>
      <c r="BS39" s="696">
        <f t="shared" ref="BS39" si="160">(BS27*BM25+BS33*BM29)/BM35</f>
        <v>0</v>
      </c>
      <c r="BT39" s="697">
        <f t="shared" ref="BT39" si="161">(BT27*BN25+BT33*BN29)/BN35</f>
        <v>0</v>
      </c>
      <c r="BU39" s="732">
        <f>SUMPRODUCT(BQ39:BT39,BK35:BN35)/BO35</f>
        <v>0</v>
      </c>
      <c r="BV39" s="665"/>
      <c r="BW39" s="717">
        <f>(BW27*BQ25+BW33*BQ29)/BQ35</f>
        <v>0</v>
      </c>
      <c r="BX39" s="696">
        <f t="shared" ref="BX39" si="162">(BX27*BR25+BX33*BR29)/BR35</f>
        <v>0</v>
      </c>
      <c r="BY39" s="696">
        <f t="shared" ref="BY39" si="163">(BY27*BS25+BY33*BS29)/BS35</f>
        <v>0</v>
      </c>
      <c r="BZ39" s="697">
        <f t="shared" ref="BZ39" si="164">(BZ27*BT25+BZ33*BT29)/BT35</f>
        <v>0</v>
      </c>
      <c r="CA39" s="732">
        <f>SUMPRODUCT(BW39:BZ39,BQ35:BT35)/BU35</f>
        <v>0</v>
      </c>
      <c r="CB39" s="665"/>
      <c r="CC39" s="717">
        <f>(CC27*BW25+CC33*BW29)/BW35</f>
        <v>0</v>
      </c>
      <c r="CD39" s="696">
        <f t="shared" ref="CD39" si="165">(CD27*BX25+CD33*BX29)/BX35</f>
        <v>0</v>
      </c>
      <c r="CE39" s="696">
        <f t="shared" ref="CE39" si="166">(CE27*BY25+CE33*BY29)/BY35</f>
        <v>0</v>
      </c>
      <c r="CF39" s="697">
        <f t="shared" ref="CF39" si="167">(CF27*BZ25+CF33*BZ29)/BZ35</f>
        <v>0</v>
      </c>
      <c r="CG39" s="732">
        <f>SUMPRODUCT(CC39:CF39,BW35:BZ35)/CA35</f>
        <v>0</v>
      </c>
      <c r="CH39" s="665"/>
      <c r="CI39" s="717">
        <f>(CI27*CC25+CI33*CC29)/CC35</f>
        <v>0</v>
      </c>
      <c r="CJ39" s="696">
        <f t="shared" ref="CJ39" si="168">(CJ27*CD25+CJ33*CD29)/CD35</f>
        <v>0</v>
      </c>
      <c r="CK39" s="696">
        <f t="shared" ref="CK39" si="169">(CK27*CE25+CK33*CE29)/CE35</f>
        <v>0</v>
      </c>
      <c r="CL39" s="697">
        <f t="shared" ref="CL39" si="170">(CL27*CF25+CL33*CF29)/CF35</f>
        <v>0</v>
      </c>
      <c r="CM39" s="732">
        <f>SUMPRODUCT(CI39:CL39,CC35:CF35)/CG35</f>
        <v>0</v>
      </c>
    </row>
    <row r="40" spans="1:91" s="25" customFormat="1" ht="11.25" x14ac:dyDescent="0.2">
      <c r="A40" s="745" t="s">
        <v>7</v>
      </c>
      <c r="B40" s="702"/>
      <c r="C40" s="749"/>
      <c r="D40" s="702"/>
      <c r="E40" s="702"/>
      <c r="F40" s="757"/>
      <c r="G40" s="756"/>
      <c r="H40" s="702"/>
      <c r="I40" s="749"/>
      <c r="J40" s="702"/>
      <c r="K40" s="702"/>
      <c r="L40" s="757"/>
      <c r="M40" s="756"/>
      <c r="N40" s="702"/>
      <c r="O40" s="749"/>
      <c r="P40" s="702"/>
      <c r="Q40" s="702"/>
      <c r="R40" s="757"/>
      <c r="S40" s="756"/>
      <c r="T40" s="702"/>
      <c r="U40" s="328"/>
      <c r="V40" s="329"/>
      <c r="W40" s="329"/>
      <c r="X40" s="330"/>
      <c r="Y40" s="331"/>
      <c r="Z40" s="347"/>
      <c r="AA40" s="328"/>
      <c r="AB40" s="329"/>
      <c r="AC40" s="329"/>
      <c r="AD40" s="330"/>
      <c r="AE40" s="331"/>
      <c r="AF40" s="348"/>
      <c r="AG40" s="328"/>
      <c r="AH40" s="329"/>
      <c r="AI40" s="329"/>
      <c r="AJ40" s="330"/>
      <c r="AK40" s="331"/>
      <c r="AL40" s="348"/>
      <c r="AM40" s="328"/>
      <c r="AN40" s="329"/>
      <c r="AO40" s="329"/>
      <c r="AP40" s="329"/>
      <c r="AQ40" s="331"/>
      <c r="AR40" s="348"/>
      <c r="AS40" s="328">
        <f>AS38-AS39</f>
        <v>-1.0838709677419402E-2</v>
      </c>
      <c r="AT40" s="329">
        <f>AT38-AT39</f>
        <v>-1.9626283367556466E-2</v>
      </c>
      <c r="AU40" s="329">
        <f>AU38-AU39</f>
        <v>0.21779399999999999</v>
      </c>
      <c r="AV40" s="329">
        <f>AV38-AV39</f>
        <v>1.3009174311926565E-2</v>
      </c>
      <c r="AW40" s="331">
        <f>AW38-AW39</f>
        <v>5.1920270974465964E-2</v>
      </c>
      <c r="AX40" s="348"/>
      <c r="AY40" s="328">
        <f>AY38-AY39</f>
        <v>0.11527494908350297</v>
      </c>
      <c r="AZ40" s="329">
        <f>AZ38-AZ39</f>
        <v>9.9372384937238406E-2</v>
      </c>
      <c r="BA40" s="188">
        <f>BA38-BA39</f>
        <v>-6.1437908496732023E-2</v>
      </c>
      <c r="BB40" s="155">
        <f>BB38-BB39</f>
        <v>0.11286681715575611</v>
      </c>
      <c r="BC40" s="154"/>
      <c r="BD40" s="665"/>
      <c r="BE40" s="717">
        <f>BE38-BE39</f>
        <v>3.1481481481481527E-2</v>
      </c>
      <c r="BF40" s="696">
        <f t="shared" ref="BF40" si="171">BF38-BF39</f>
        <v>5.2734375E-2</v>
      </c>
      <c r="BG40" s="696">
        <f t="shared" ref="BG40" si="172">BG38-BG39</f>
        <v>5.8802308802308849E-2</v>
      </c>
      <c r="BH40" s="697">
        <f t="shared" ref="BH40" si="173">BH38-BH39</f>
        <v>0.12317327766179537</v>
      </c>
      <c r="BI40" s="732">
        <f t="shared" ref="BI40" si="174">BI38-BI39</f>
        <v>1.1492161796013161</v>
      </c>
      <c r="BJ40" s="665"/>
      <c r="BK40" s="717">
        <f>BK38-BK39</f>
        <v>0.11066788990825686</v>
      </c>
      <c r="BL40" s="696">
        <f t="shared" ref="BL40" si="175">BL38-BL39</f>
        <v>7.0889305816135117E-2</v>
      </c>
      <c r="BM40" s="696">
        <f t="shared" ref="BM40" si="176">BM38-BM39</f>
        <v>-4.2529914529914573E-2</v>
      </c>
      <c r="BN40" s="697">
        <f t="shared" ref="BN40" si="177">BN38-BN39</f>
        <v>6.5429906542055993E-2</v>
      </c>
      <c r="BO40" s="732">
        <f t="shared" ref="BO40" si="178">BO38-BO39</f>
        <v>4.9237033666970034E-2</v>
      </c>
      <c r="BP40" s="665"/>
      <c r="BQ40" s="717">
        <f>BQ38-BQ39</f>
        <v>-3.3853577371048243E-2</v>
      </c>
      <c r="BR40" s="696">
        <f t="shared" ref="BR40:BU40" si="179">BR38-BR39</f>
        <v>6.4091710758377413E-2</v>
      </c>
      <c r="BS40" s="696">
        <f t="shared" si="179"/>
        <v>0.12392086330935272</v>
      </c>
      <c r="BT40" s="697">
        <f t="shared" si="179"/>
        <v>8.5411558669001769E-2</v>
      </c>
      <c r="BU40" s="732">
        <f t="shared" si="179"/>
        <v>5.8241394335512162E-2</v>
      </c>
      <c r="BV40" s="665"/>
      <c r="BW40" s="717">
        <f>BW38-BW39</f>
        <v>5.8952299829642202E-2</v>
      </c>
      <c r="BX40" s="696">
        <f t="shared" ref="BX40:CA40" si="180">BX38-BX39</f>
        <v>5.8768333830886525E-2</v>
      </c>
      <c r="BY40" s="696">
        <f t="shared" si="180"/>
        <v>5.9092283565538306E-2</v>
      </c>
      <c r="BZ40" s="697">
        <f t="shared" si="180"/>
        <v>5.9579618555615665E-2</v>
      </c>
      <c r="CA40" s="732">
        <f t="shared" si="180"/>
        <v>5.9101975957369171E-2</v>
      </c>
      <c r="CB40" s="665"/>
      <c r="CC40" s="717">
        <f>CC38-CC39</f>
        <v>5.910719942980136E-2</v>
      </c>
      <c r="CD40" s="696">
        <f t="shared" ref="CD40:CG40" si="181">CD38-CD39</f>
        <v>5.883384486572707E-2</v>
      </c>
      <c r="CE40" s="696">
        <f t="shared" si="181"/>
        <v>5.9153750245581671E-2</v>
      </c>
      <c r="CF40" s="697">
        <f t="shared" si="181"/>
        <v>5.9646267124312979E-2</v>
      </c>
      <c r="CG40" s="732">
        <f t="shared" si="181"/>
        <v>5.9188100871703897E-2</v>
      </c>
      <c r="CH40" s="665"/>
      <c r="CI40" s="717">
        <f>CI38-CI39</f>
        <v>5.9168831435961966E-2</v>
      </c>
      <c r="CJ40" s="696">
        <f t="shared" ref="CJ40:CM40" si="182">CJ38-CJ39</f>
        <v>5.8892379574605691E-2</v>
      </c>
      <c r="CK40" s="696">
        <f t="shared" si="182"/>
        <v>5.9215895485395631E-2</v>
      </c>
      <c r="CL40" s="697">
        <f t="shared" si="182"/>
        <v>5.9713589160457659E-2</v>
      </c>
      <c r="CM40" s="732">
        <f t="shared" si="182"/>
        <v>5.9250622182571933E-2</v>
      </c>
    </row>
    <row r="41" spans="1:91" s="25" customFormat="1" ht="11.25" x14ac:dyDescent="0.2">
      <c r="A41" s="699" t="s">
        <v>12</v>
      </c>
      <c r="B41" s="700"/>
      <c r="C41" s="719"/>
      <c r="D41" s="700"/>
      <c r="E41" s="700"/>
      <c r="F41" s="701"/>
      <c r="G41" s="734"/>
      <c r="H41" s="700"/>
      <c r="I41" s="719"/>
      <c r="J41" s="700"/>
      <c r="K41" s="700"/>
      <c r="L41" s="701"/>
      <c r="M41" s="734"/>
      <c r="N41" s="700"/>
      <c r="O41" s="716"/>
      <c r="P41" s="692"/>
      <c r="Q41" s="692"/>
      <c r="R41" s="693"/>
      <c r="S41" s="734"/>
      <c r="T41" s="700"/>
      <c r="U41" s="719"/>
      <c r="V41" s="700"/>
      <c r="W41" s="700"/>
      <c r="X41" s="701"/>
      <c r="Y41" s="734"/>
      <c r="Z41" s="700"/>
      <c r="AA41" s="719"/>
      <c r="AB41" s="700"/>
      <c r="AC41" s="700"/>
      <c r="AD41" s="701"/>
      <c r="AE41" s="734"/>
      <c r="AF41" s="700"/>
      <c r="AG41" s="719"/>
      <c r="AH41" s="700"/>
      <c r="AI41" s="700"/>
      <c r="AJ41" s="701"/>
      <c r="AK41" s="734"/>
      <c r="AL41" s="700"/>
      <c r="AM41" s="719"/>
      <c r="AN41" s="700"/>
      <c r="AO41" s="700"/>
      <c r="AP41" s="700"/>
      <c r="AQ41" s="734"/>
      <c r="AR41" s="700"/>
      <c r="AS41" s="719"/>
      <c r="AT41" s="700"/>
      <c r="AU41" s="700"/>
      <c r="AV41" s="700"/>
      <c r="AW41" s="734"/>
      <c r="AX41" s="700"/>
      <c r="AY41" s="719"/>
      <c r="AZ41" s="700"/>
      <c r="BA41" s="700"/>
      <c r="BB41" s="701"/>
      <c r="BC41" s="734"/>
      <c r="BD41" s="700"/>
      <c r="BE41" s="719"/>
      <c r="BF41" s="700"/>
      <c r="BG41" s="700"/>
      <c r="BH41" s="701"/>
      <c r="BI41" s="734"/>
      <c r="BJ41" s="700"/>
      <c r="BK41" s="719"/>
      <c r="BL41" s="700"/>
      <c r="BM41" s="700"/>
      <c r="BN41" s="701"/>
      <c r="BO41" s="734"/>
      <c r="BP41" s="700"/>
      <c r="BQ41" s="719"/>
      <c r="BR41" s="700"/>
      <c r="BS41" s="700"/>
      <c r="BT41" s="701"/>
      <c r="BU41" s="734"/>
      <c r="BV41" s="700"/>
      <c r="BW41" s="719"/>
      <c r="BX41" s="700"/>
      <c r="BY41" s="700"/>
      <c r="BZ41" s="701"/>
      <c r="CA41" s="734"/>
      <c r="CB41" s="700"/>
      <c r="CC41" s="719"/>
      <c r="CD41" s="700"/>
      <c r="CE41" s="700"/>
      <c r="CF41" s="701"/>
      <c r="CG41" s="734"/>
      <c r="CH41" s="700"/>
      <c r="CI41" s="719"/>
      <c r="CJ41" s="700"/>
      <c r="CK41" s="700"/>
      <c r="CL41" s="701"/>
      <c r="CM41" s="734"/>
    </row>
    <row r="42" spans="1:91" s="25" customFormat="1" ht="11.25" hidden="1" outlineLevel="1" x14ac:dyDescent="0.2">
      <c r="A42" s="694" t="s">
        <v>4</v>
      </c>
      <c r="B42" s="665"/>
      <c r="C42" s="308">
        <v>90.492000000000004</v>
      </c>
      <c r="D42" s="309">
        <v>97.647000000000006</v>
      </c>
      <c r="E42" s="309">
        <v>92.116</v>
      </c>
      <c r="F42" s="310">
        <v>98.384</v>
      </c>
      <c r="G42" s="311">
        <v>378.63900000000001</v>
      </c>
      <c r="H42" s="116"/>
      <c r="I42" s="308">
        <v>98.525999999999996</v>
      </c>
      <c r="J42" s="309">
        <v>96.882999999999996</v>
      </c>
      <c r="K42" s="309">
        <v>102.663</v>
      </c>
      <c r="L42" s="310">
        <v>102.592</v>
      </c>
      <c r="M42" s="115">
        <f>SUM(I42:L42)</f>
        <v>400.66399999999999</v>
      </c>
      <c r="N42" s="116"/>
      <c r="O42" s="308">
        <v>88.465000000000003</v>
      </c>
      <c r="P42" s="309">
        <v>83.233000000000004</v>
      </c>
      <c r="Q42" s="309">
        <v>91.33</v>
      </c>
      <c r="R42" s="310">
        <v>88.59</v>
      </c>
      <c r="S42" s="115">
        <f>SUM(O42:R42)</f>
        <v>351.61800000000005</v>
      </c>
      <c r="T42" s="116"/>
      <c r="U42" s="308">
        <v>96.563999999999993</v>
      </c>
      <c r="V42" s="309">
        <v>92.515000000000001</v>
      </c>
      <c r="W42" s="309">
        <v>96.070999999999998</v>
      </c>
      <c r="X42" s="310">
        <v>98.632999999999996</v>
      </c>
      <c r="Y42" s="115">
        <f>SUM(U42:X42)</f>
        <v>383.78299999999996</v>
      </c>
      <c r="Z42" s="116"/>
      <c r="AA42" s="308">
        <v>99.584999999999994</v>
      </c>
      <c r="AB42" s="309">
        <v>95.938999999999993</v>
      </c>
      <c r="AC42" s="309">
        <v>100.465</v>
      </c>
      <c r="AD42" s="310">
        <v>104.819</v>
      </c>
      <c r="AE42" s="115">
        <f>SUM(AA42:AD42)</f>
        <v>400.80800000000005</v>
      </c>
      <c r="AF42" s="116"/>
      <c r="AG42" s="308">
        <v>105.526</v>
      </c>
      <c r="AH42" s="309">
        <v>105.72499999999999</v>
      </c>
      <c r="AI42" s="309">
        <v>110.01300000000001</v>
      </c>
      <c r="AJ42" s="310">
        <v>113.04600000000001</v>
      </c>
      <c r="AK42" s="115">
        <f>SUM(AG42:AJ42)</f>
        <v>434.31</v>
      </c>
      <c r="AL42" s="116"/>
      <c r="AM42" s="308">
        <v>112.404</v>
      </c>
      <c r="AN42" s="309">
        <v>106.643</v>
      </c>
      <c r="AO42" s="309">
        <v>117.05500000000001</v>
      </c>
      <c r="AP42" s="309">
        <v>113</v>
      </c>
      <c r="AQ42" s="115">
        <f>SUM(AM42:AP42)</f>
        <v>449.10199999999998</v>
      </c>
      <c r="AR42" s="116"/>
      <c r="AS42" s="308">
        <v>122</v>
      </c>
      <c r="AT42" s="309">
        <v>118</v>
      </c>
      <c r="AU42" s="309">
        <v>118.1</v>
      </c>
      <c r="AV42" s="309">
        <v>122.5</v>
      </c>
      <c r="AW42" s="115">
        <f>SUM(AS42:AV42)</f>
        <v>480.6</v>
      </c>
      <c r="AX42" s="116"/>
      <c r="AY42" s="312">
        <v>123</v>
      </c>
      <c r="AZ42" s="309">
        <v>120</v>
      </c>
      <c r="BA42" s="309">
        <v>118.4</v>
      </c>
      <c r="BB42" s="313">
        <v>130</v>
      </c>
      <c r="BC42" s="115">
        <f>SUM(AY42:BB42)</f>
        <v>491.4</v>
      </c>
      <c r="BD42" s="665"/>
      <c r="BE42" s="669">
        <v>134</v>
      </c>
      <c r="BF42" s="657">
        <v>125</v>
      </c>
      <c r="BG42" s="657">
        <v>127</v>
      </c>
      <c r="BH42" s="676">
        <v>135</v>
      </c>
      <c r="BI42" s="733">
        <f>SUM(BE42:BH42)</f>
        <v>521</v>
      </c>
      <c r="BJ42" s="665"/>
      <c r="BK42" s="669">
        <v>144</v>
      </c>
      <c r="BL42" s="657">
        <v>124</v>
      </c>
      <c r="BM42" s="657">
        <v>132</v>
      </c>
      <c r="BN42" s="676">
        <v>147</v>
      </c>
      <c r="BO42" s="733">
        <f>SUM(BK42:BN42)</f>
        <v>547</v>
      </c>
      <c r="BP42" s="665"/>
      <c r="BQ42" s="669">
        <v>146</v>
      </c>
      <c r="BR42" s="666">
        <f>BL42*(1+BR43)</f>
        <v>133.92000000000002</v>
      </c>
      <c r="BS42" s="666">
        <f>BM42*(1+BS43)</f>
        <v>137.28</v>
      </c>
      <c r="BT42" s="667">
        <f>BN42*(1+BT43)</f>
        <v>148.47</v>
      </c>
      <c r="BU42" s="733">
        <f>SUM(BQ42:BT42)</f>
        <v>565.67000000000007</v>
      </c>
      <c r="BV42" s="665"/>
      <c r="BW42" s="718">
        <f>BQ42*(1+BW43)</f>
        <v>154.03</v>
      </c>
      <c r="BX42" s="666">
        <f>BR42*(1+BX43)</f>
        <v>141.28560000000002</v>
      </c>
      <c r="BY42" s="666">
        <f>BS42*(1+BY43)</f>
        <v>144.8304</v>
      </c>
      <c r="BZ42" s="667">
        <f>BT42*(1+BZ43)</f>
        <v>156.63584999999998</v>
      </c>
      <c r="CA42" s="733">
        <f>SUM(BW42:BZ42)</f>
        <v>596.78184999999996</v>
      </c>
      <c r="CB42" s="665"/>
      <c r="CC42" s="718">
        <f>BW42*(1+CC43)</f>
        <v>162.88672500000001</v>
      </c>
      <c r="CD42" s="666">
        <f>BX42*(1+CD43)</f>
        <v>149.40952200000004</v>
      </c>
      <c r="CE42" s="666">
        <f>BY42*(1+CE43)</f>
        <v>153.15814800000001</v>
      </c>
      <c r="CF42" s="667">
        <f>BZ42*(1+CF43)</f>
        <v>165.64241137499999</v>
      </c>
      <c r="CG42" s="733">
        <f>SUM(CC42:CF42)</f>
        <v>631.09680637500014</v>
      </c>
      <c r="CH42" s="665"/>
      <c r="CI42" s="718">
        <f>CC42*(1+CI43)</f>
        <v>172.25271168750004</v>
      </c>
      <c r="CJ42" s="666">
        <f>CD42*(1+CJ43)</f>
        <v>158.00056951500005</v>
      </c>
      <c r="CK42" s="666">
        <f>CE42*(1+CK43)</f>
        <v>161.96474151000004</v>
      </c>
      <c r="CL42" s="667">
        <f>CF42*(1+CL43)</f>
        <v>175.16685002906252</v>
      </c>
      <c r="CM42" s="733">
        <f>SUM(CI42:CL42)</f>
        <v>667.38487274156262</v>
      </c>
    </row>
    <row r="43" spans="1:91" s="25" customFormat="1" ht="11.25" hidden="1" outlineLevel="1" x14ac:dyDescent="0.2">
      <c r="A43" s="695" t="s">
        <v>5</v>
      </c>
      <c r="B43" s="665"/>
      <c r="C43" s="193">
        <v>3.4486199975605203E-3</v>
      </c>
      <c r="D43" s="191">
        <v>7.7591153880109509E-2</v>
      </c>
      <c r="E43" s="191">
        <v>7.0095955019632505E-2</v>
      </c>
      <c r="F43" s="192">
        <v>0.1144540099682827</v>
      </c>
      <c r="G43" s="220">
        <v>6.6111234686436315E-2</v>
      </c>
      <c r="H43" s="314"/>
      <c r="I43" s="152">
        <f>I42/C42-1</f>
        <v>8.8781328736241782E-2</v>
      </c>
      <c r="J43" s="151">
        <f>J42/D42-1</f>
        <v>-7.8241010988562287E-3</v>
      </c>
      <c r="K43" s="151">
        <f>K42/E42-1</f>
        <v>0.11449693864258115</v>
      </c>
      <c r="L43" s="153">
        <f>L42/F42-1</f>
        <v>4.2771182306065914E-2</v>
      </c>
      <c r="M43" s="154">
        <f>M42/G42-1</f>
        <v>5.8168862689791601E-2</v>
      </c>
      <c r="N43" s="314"/>
      <c r="O43" s="152">
        <f>O42/I42-1</f>
        <v>-0.10211517771958667</v>
      </c>
      <c r="P43" s="151">
        <f>P42/J42-1</f>
        <v>-0.1408915908879782</v>
      </c>
      <c r="Q43" s="151">
        <f>Q42/K42-1</f>
        <v>-0.1103903061472975</v>
      </c>
      <c r="R43" s="153">
        <f>R42/L42-1</f>
        <v>-0.13648237679351216</v>
      </c>
      <c r="S43" s="154">
        <f>S42/M42-1</f>
        <v>-0.12241179641794608</v>
      </c>
      <c r="T43" s="314"/>
      <c r="U43" s="152">
        <f>U42/O42-1</f>
        <v>9.1550330639235789E-2</v>
      </c>
      <c r="V43" s="151">
        <f>V42/P42-1</f>
        <v>0.11151826799466558</v>
      </c>
      <c r="W43" s="151">
        <f>W42/Q42-1</f>
        <v>5.191065367349168E-2</v>
      </c>
      <c r="X43" s="153">
        <f>X42/R42-1</f>
        <v>0.11336493960943672</v>
      </c>
      <c r="Y43" s="154">
        <f>Y42/S42-1</f>
        <v>9.1477114368433643E-2</v>
      </c>
      <c r="Z43" s="314"/>
      <c r="AA43" s="152">
        <f>AA42/U42-1</f>
        <v>3.1284950913383902E-2</v>
      </c>
      <c r="AB43" s="151">
        <f>AB42/V42-1</f>
        <v>3.7010214559801025E-2</v>
      </c>
      <c r="AC43" s="151">
        <f>AC42/W42-1</f>
        <v>4.5737007005235863E-2</v>
      </c>
      <c r="AD43" s="153">
        <f>AD42/X42-1</f>
        <v>6.2717346121480722E-2</v>
      </c>
      <c r="AE43" s="154">
        <f>AE42/Y42-1</f>
        <v>4.4361006089378874E-2</v>
      </c>
      <c r="AF43" s="314"/>
      <c r="AG43" s="152">
        <f>AG42/AA42-1</f>
        <v>5.9657578952653445E-2</v>
      </c>
      <c r="AH43" s="151">
        <f>AH42/AB42-1</f>
        <v>0.10200231397033543</v>
      </c>
      <c r="AI43" s="151">
        <f>AI42/AC42-1</f>
        <v>9.5038072960732523E-2</v>
      </c>
      <c r="AJ43" s="153">
        <f>AJ42/AD42-1</f>
        <v>7.84876787605302E-2</v>
      </c>
      <c r="AK43" s="154">
        <f>AK42/AE42-1</f>
        <v>8.358615596495067E-2</v>
      </c>
      <c r="AL43" s="314"/>
      <c r="AM43" s="152">
        <f>AM42/AG42-1</f>
        <v>6.5178249909974895E-2</v>
      </c>
      <c r="AN43" s="151">
        <f>AN42/AH42-1</f>
        <v>8.6829037597542236E-3</v>
      </c>
      <c r="AO43" s="151">
        <f>AO42/AI42-1</f>
        <v>6.4010616927090425E-2</v>
      </c>
      <c r="AP43" s="151">
        <f>AP42/AJ42-1</f>
        <v>-4.0691399961079178E-4</v>
      </c>
      <c r="AQ43" s="154">
        <f>AQ42/AK42-1</f>
        <v>3.4058621721811511E-2</v>
      </c>
      <c r="AR43" s="314"/>
      <c r="AS43" s="152">
        <f>AS42/AM42-1</f>
        <v>8.5370627379808495E-2</v>
      </c>
      <c r="AT43" s="151">
        <f>AT42/AN42-1</f>
        <v>0.10649550368988114</v>
      </c>
      <c r="AU43" s="151">
        <f>AU42/AO42-1</f>
        <v>8.9274272777752905E-3</v>
      </c>
      <c r="AV43" s="151">
        <f>AV42/AP42-1</f>
        <v>8.4070796460177011E-2</v>
      </c>
      <c r="AW43" s="154">
        <f>AW42/AQ42-1</f>
        <v>7.0135514871900062E-2</v>
      </c>
      <c r="AX43" s="314"/>
      <c r="AY43" s="152">
        <f>AY42/AS42-1</f>
        <v>8.1967213114753079E-3</v>
      </c>
      <c r="AZ43" s="151">
        <f>AZ42/AT42-1</f>
        <v>1.6949152542372836E-2</v>
      </c>
      <c r="BA43" s="151">
        <f>BA42/AU42-1</f>
        <v>2.5402201524133972E-3</v>
      </c>
      <c r="BB43" s="155">
        <f>BB42/AV42-1</f>
        <v>6.1224489795918435E-2</v>
      </c>
      <c r="BC43" s="154">
        <f>BC42/AW42-1</f>
        <v>2.2471910112359383E-2</v>
      </c>
      <c r="BD43" s="665"/>
      <c r="BE43" s="717">
        <f>BE42/AY42-1</f>
        <v>8.9430894308943021E-2</v>
      </c>
      <c r="BF43" s="696">
        <f t="shared" ref="BF43" si="183">BF42/AZ42-1</f>
        <v>4.1666666666666741E-2</v>
      </c>
      <c r="BG43" s="696">
        <f t="shared" ref="BG43" si="184">BG42/BA42-1</f>
        <v>7.2635135135135087E-2</v>
      </c>
      <c r="BH43" s="697">
        <f t="shared" ref="BH43" si="185">BH42/BB42-1</f>
        <v>3.8461538461538547E-2</v>
      </c>
      <c r="BI43" s="732">
        <f t="shared" ref="BI43" si="186">BI42/BC42-1</f>
        <v>6.0236060236060318E-2</v>
      </c>
      <c r="BJ43" s="665"/>
      <c r="BK43" s="717">
        <f>BK42/BE42-1</f>
        <v>7.4626865671641784E-2</v>
      </c>
      <c r="BL43" s="696">
        <f t="shared" ref="BL43" si="187">BL42/BF42-1</f>
        <v>-8.0000000000000071E-3</v>
      </c>
      <c r="BM43" s="696">
        <f t="shared" ref="BM43" si="188">BM42/BG42-1</f>
        <v>3.937007874015741E-2</v>
      </c>
      <c r="BN43" s="697">
        <f t="shared" ref="BN43" si="189">BN42/BH42-1</f>
        <v>8.8888888888888795E-2</v>
      </c>
      <c r="BO43" s="732">
        <f t="shared" ref="BO43" si="190">BO42/BI42-1</f>
        <v>4.9904030710172798E-2</v>
      </c>
      <c r="BP43" s="665"/>
      <c r="BQ43" s="717">
        <f>BQ42/BK42-1</f>
        <v>1.388888888888884E-2</v>
      </c>
      <c r="BR43" s="696">
        <f>BR44+BR45</f>
        <v>0.08</v>
      </c>
      <c r="BS43" s="696">
        <f>BS44+BS45</f>
        <v>0.04</v>
      </c>
      <c r="BT43" s="697">
        <f>BT44+BT45</f>
        <v>0.01</v>
      </c>
      <c r="BU43" s="732">
        <f>BU42/BO42-1</f>
        <v>3.4131627056672942E-2</v>
      </c>
      <c r="BV43" s="665"/>
      <c r="BW43" s="717">
        <f>BW44+BW45</f>
        <v>5.5E-2</v>
      </c>
      <c r="BX43" s="696">
        <f>BX44+BX45</f>
        <v>5.5E-2</v>
      </c>
      <c r="BY43" s="696">
        <f>BY44+BY45</f>
        <v>5.5E-2</v>
      </c>
      <c r="BZ43" s="697">
        <f>BZ44+BZ45</f>
        <v>5.5E-2</v>
      </c>
      <c r="CA43" s="732">
        <f>CA42/BU42-1</f>
        <v>5.4999999999999716E-2</v>
      </c>
      <c r="CB43" s="665"/>
      <c r="CC43" s="717">
        <f>CC44+CC45</f>
        <v>5.7500000000000002E-2</v>
      </c>
      <c r="CD43" s="696">
        <f>CD44+CD45</f>
        <v>5.7500000000000002E-2</v>
      </c>
      <c r="CE43" s="696">
        <f>CE44+CE45</f>
        <v>5.7500000000000002E-2</v>
      </c>
      <c r="CF43" s="697">
        <f>CF44+CF45</f>
        <v>5.7500000000000002E-2</v>
      </c>
      <c r="CG43" s="732">
        <f>CG42/CA42-1</f>
        <v>5.7500000000000329E-2</v>
      </c>
      <c r="CH43" s="665"/>
      <c r="CI43" s="717">
        <f>CI44+CI45</f>
        <v>5.7500000000000002E-2</v>
      </c>
      <c r="CJ43" s="696">
        <f>CJ44+CJ45</f>
        <v>5.7500000000000002E-2</v>
      </c>
      <c r="CK43" s="696">
        <f>CK44+CK45</f>
        <v>5.7500000000000002E-2</v>
      </c>
      <c r="CL43" s="697">
        <f>CL44+CL45</f>
        <v>5.7500000000000002E-2</v>
      </c>
      <c r="CM43" s="732">
        <f>CM42/CG42-1</f>
        <v>5.7499999999999885E-2</v>
      </c>
    </row>
    <row r="44" spans="1:91" s="25" customFormat="1" ht="11.25" hidden="1" outlineLevel="1" x14ac:dyDescent="0.2">
      <c r="A44" s="695" t="s">
        <v>6</v>
      </c>
      <c r="B44" s="665"/>
      <c r="C44" s="193">
        <v>0</v>
      </c>
      <c r="D44" s="191">
        <v>0</v>
      </c>
      <c r="E44" s="191">
        <v>0</v>
      </c>
      <c r="F44" s="192">
        <v>0</v>
      </c>
      <c r="G44" s="220">
        <v>0</v>
      </c>
      <c r="H44" s="314"/>
      <c r="I44" s="193">
        <v>0</v>
      </c>
      <c r="J44" s="191">
        <v>0</v>
      </c>
      <c r="K44" s="191">
        <v>0</v>
      </c>
      <c r="L44" s="192">
        <v>0</v>
      </c>
      <c r="M44" s="154">
        <f>SUMPRODUCT(I44:L44,C42:F42)/G42:G42</f>
        <v>0</v>
      </c>
      <c r="N44" s="314"/>
      <c r="O44" s="193">
        <f>-13.347/I42</f>
        <v>-0.13546678034224469</v>
      </c>
      <c r="P44" s="191">
        <f>-13.963/J42</f>
        <v>-0.1441222918365451</v>
      </c>
      <c r="Q44" s="191">
        <f>-13.5/K42</f>
        <v>-0.13149820285789429</v>
      </c>
      <c r="R44" s="192">
        <f>-13.5/L42</f>
        <v>-0.13158920773549596</v>
      </c>
      <c r="S44" s="154">
        <f>SUMPRODUCT(O44:R44,I42:L42)/M42:M42</f>
        <v>-0.13554998702154422</v>
      </c>
      <c r="T44" s="314"/>
      <c r="U44" s="193">
        <v>0</v>
      </c>
      <c r="V44" s="191">
        <v>0</v>
      </c>
      <c r="W44" s="191">
        <v>0</v>
      </c>
      <c r="X44" s="192">
        <v>0</v>
      </c>
      <c r="Y44" s="154">
        <f>SUMPRODUCT(U44:X44,O42:R42)/S42:S42</f>
        <v>0</v>
      </c>
      <c r="Z44" s="314"/>
      <c r="AA44" s="193">
        <v>0</v>
      </c>
      <c r="AB44" s="191">
        <v>0</v>
      </c>
      <c r="AC44" s="191">
        <v>0</v>
      </c>
      <c r="AD44" s="192">
        <v>0</v>
      </c>
      <c r="AE44" s="154">
        <f>SUMPRODUCT(AA44:AD44,U42:X42)/Y42:Y42</f>
        <v>0</v>
      </c>
      <c r="AF44" s="314"/>
      <c r="AG44" s="193">
        <v>0</v>
      </c>
      <c r="AH44" s="191">
        <v>0</v>
      </c>
      <c r="AI44" s="191">
        <v>0</v>
      </c>
      <c r="AJ44" s="192">
        <v>0</v>
      </c>
      <c r="AK44" s="154">
        <f>SUMPRODUCT(AG44:AJ44,AA42:AD42)/AE42:AE42</f>
        <v>0</v>
      </c>
      <c r="AL44" s="314"/>
      <c r="AM44" s="193">
        <v>0</v>
      </c>
      <c r="AN44" s="191">
        <v>0</v>
      </c>
      <c r="AO44" s="191">
        <v>0</v>
      </c>
      <c r="AP44" s="191">
        <v>0</v>
      </c>
      <c r="AQ44" s="154">
        <f>SUMPRODUCT(AM44:AP44,AG42:AJ42)/AK42:AK42</f>
        <v>0</v>
      </c>
      <c r="AR44" s="314"/>
      <c r="AS44" s="193">
        <v>0</v>
      </c>
      <c r="AT44" s="191">
        <v>0</v>
      </c>
      <c r="AU44" s="191">
        <v>0</v>
      </c>
      <c r="AV44" s="191">
        <v>0</v>
      </c>
      <c r="AW44" s="154">
        <f>SUMPRODUCT(AS44:AV44,AM42:AP42)/AQ42:AQ42</f>
        <v>0</v>
      </c>
      <c r="AX44" s="314"/>
      <c r="AY44" s="193">
        <v>0</v>
      </c>
      <c r="AZ44" s="191">
        <v>0</v>
      </c>
      <c r="BA44" s="191">
        <v>0</v>
      </c>
      <c r="BB44" s="192">
        <v>0</v>
      </c>
      <c r="BC44" s="154">
        <f>SUMPRODUCT(AY44:BB44,AS42:AV42)/AW42:AW42</f>
        <v>0</v>
      </c>
      <c r="BD44" s="665"/>
      <c r="BE44" s="672">
        <v>0</v>
      </c>
      <c r="BF44" s="673">
        <v>0</v>
      </c>
      <c r="BG44" s="673">
        <v>0</v>
      </c>
      <c r="BH44" s="674">
        <v>0</v>
      </c>
      <c r="BI44" s="732">
        <f>SUMPRODUCT(BE44:BH44,AY42:BB42)/BC42</f>
        <v>0</v>
      </c>
      <c r="BJ44" s="665"/>
      <c r="BK44" s="672">
        <v>0</v>
      </c>
      <c r="BL44" s="673">
        <v>0</v>
      </c>
      <c r="BM44" s="673">
        <v>0</v>
      </c>
      <c r="BN44" s="674">
        <v>0</v>
      </c>
      <c r="BO44" s="732">
        <f>SUMPRODUCT(BK44:BN44,BE42:BH42)/BI42</f>
        <v>0</v>
      </c>
      <c r="BP44" s="665"/>
      <c r="BQ44" s="672">
        <v>0</v>
      </c>
      <c r="BR44" s="673">
        <v>0</v>
      </c>
      <c r="BS44" s="673">
        <v>0</v>
      </c>
      <c r="BT44" s="674">
        <v>0</v>
      </c>
      <c r="BU44" s="732">
        <f>SUMPRODUCT(BQ44:BT44,BK42:BN42)/BO42</f>
        <v>0</v>
      </c>
      <c r="BV44" s="665"/>
      <c r="BW44" s="672">
        <v>0</v>
      </c>
      <c r="BX44" s="673">
        <v>0</v>
      </c>
      <c r="BY44" s="673">
        <v>0</v>
      </c>
      <c r="BZ44" s="674">
        <v>0</v>
      </c>
      <c r="CA44" s="732">
        <f>SUMPRODUCT(BW44:BZ44,BQ42:BT42)/BU42</f>
        <v>0</v>
      </c>
      <c r="CB44" s="665"/>
      <c r="CC44" s="672">
        <v>0</v>
      </c>
      <c r="CD44" s="673">
        <v>0</v>
      </c>
      <c r="CE44" s="673">
        <v>0</v>
      </c>
      <c r="CF44" s="674">
        <v>0</v>
      </c>
      <c r="CG44" s="732">
        <f>SUMPRODUCT(CC44:CF44,BW42:BZ42)/CA42</f>
        <v>0</v>
      </c>
      <c r="CH44" s="665"/>
      <c r="CI44" s="672">
        <v>0</v>
      </c>
      <c r="CJ44" s="673">
        <v>0</v>
      </c>
      <c r="CK44" s="673">
        <v>0</v>
      </c>
      <c r="CL44" s="674">
        <v>0</v>
      </c>
      <c r="CM44" s="732">
        <f>SUMPRODUCT(CI44:CL44,CC42:CF42)/CG42</f>
        <v>0</v>
      </c>
    </row>
    <row r="45" spans="1:91" s="25" customFormat="1" ht="11.25" hidden="1" outlineLevel="1" x14ac:dyDescent="0.2">
      <c r="A45" s="695" t="s">
        <v>7</v>
      </c>
      <c r="B45" s="665"/>
      <c r="C45" s="193">
        <v>3.4486199975605203E-3</v>
      </c>
      <c r="D45" s="191">
        <v>7.7591153880109509E-2</v>
      </c>
      <c r="E45" s="191">
        <v>7.0095955019632505E-2</v>
      </c>
      <c r="F45" s="192">
        <v>0.1144540099682827</v>
      </c>
      <c r="G45" s="220">
        <v>6.6111234686436246E-2</v>
      </c>
      <c r="H45" s="314"/>
      <c r="I45" s="152">
        <f>I43-I44</f>
        <v>8.8781328736241782E-2</v>
      </c>
      <c r="J45" s="151">
        <f>J43-J44</f>
        <v>-7.8241010988562287E-3</v>
      </c>
      <c r="K45" s="151">
        <f>K43-K44</f>
        <v>0.11449693864258115</v>
      </c>
      <c r="L45" s="153">
        <f>L43-L44</f>
        <v>4.2771182306065914E-2</v>
      </c>
      <c r="M45" s="154">
        <f>SUMPRODUCT(I45:L45,C42:F42)/G42</f>
        <v>5.8168862689791517E-2</v>
      </c>
      <c r="N45" s="314"/>
      <c r="O45" s="152">
        <f>O43-O44</f>
        <v>3.3351602622658016E-2</v>
      </c>
      <c r="P45" s="151">
        <f>P43-P44</f>
        <v>3.2307009485668947E-3</v>
      </c>
      <c r="Q45" s="151">
        <f>Q43-Q44</f>
        <v>2.1107896710596791E-2</v>
      </c>
      <c r="R45" s="153">
        <f>R43-R44</f>
        <v>-4.8931690580162057E-3</v>
      </c>
      <c r="S45" s="154">
        <f>SUMPRODUCT(O45:R45,I42:L42)/M42</f>
        <v>1.3138190603598051E-2</v>
      </c>
      <c r="T45" s="314"/>
      <c r="U45" s="152">
        <f>U43-U44</f>
        <v>9.1550330639235789E-2</v>
      </c>
      <c r="V45" s="151">
        <f>V43-V44</f>
        <v>0.11151826799466558</v>
      </c>
      <c r="W45" s="151">
        <f>W43-W44</f>
        <v>5.191065367349168E-2</v>
      </c>
      <c r="X45" s="153">
        <f>X43-X44</f>
        <v>0.11336493960943672</v>
      </c>
      <c r="Y45" s="154">
        <f>SUMPRODUCT(U45:X45,O42:R42)/S42</f>
        <v>9.1477114368433893E-2</v>
      </c>
      <c r="Z45" s="314"/>
      <c r="AA45" s="152">
        <f>AA43-AA44</f>
        <v>3.1284950913383902E-2</v>
      </c>
      <c r="AB45" s="151">
        <f>AB43-AB44</f>
        <v>3.7010214559801025E-2</v>
      </c>
      <c r="AC45" s="151">
        <f>AC43-AC44</f>
        <v>4.5737007005235863E-2</v>
      </c>
      <c r="AD45" s="153">
        <f>AD43-AD44</f>
        <v>6.2717346121480722E-2</v>
      </c>
      <c r="AE45" s="154">
        <f>SUMPRODUCT(AA45:AD45,U42:X42)/Y42</f>
        <v>4.436100608937868E-2</v>
      </c>
      <c r="AF45" s="314"/>
      <c r="AG45" s="152">
        <f>AG43-AG44</f>
        <v>5.9657578952653445E-2</v>
      </c>
      <c r="AH45" s="151">
        <f>AH43-AH44</f>
        <v>0.10200231397033543</v>
      </c>
      <c r="AI45" s="151">
        <f>AI43-AI44</f>
        <v>9.5038072960732523E-2</v>
      </c>
      <c r="AJ45" s="153">
        <f>AJ43-AJ44</f>
        <v>7.84876787605302E-2</v>
      </c>
      <c r="AK45" s="154">
        <f>SUMPRODUCT(AG45:AJ45,AA42:AD42)/AE42</f>
        <v>8.3586155964950809E-2</v>
      </c>
      <c r="AL45" s="314"/>
      <c r="AM45" s="152">
        <f>AM43-AM44</f>
        <v>6.5178249909974895E-2</v>
      </c>
      <c r="AN45" s="151">
        <f>AN43-AN44</f>
        <v>8.6829037597542236E-3</v>
      </c>
      <c r="AO45" s="151">
        <f>AO43-AO44</f>
        <v>6.4010616927090425E-2</v>
      </c>
      <c r="AP45" s="151">
        <f>AP43-AP44</f>
        <v>-4.0691399961079178E-4</v>
      </c>
      <c r="AQ45" s="154">
        <f>SUMPRODUCT(AM45:AP45,AG42:AJ42)/AK42</f>
        <v>3.4058621721811663E-2</v>
      </c>
      <c r="AR45" s="314"/>
      <c r="AS45" s="152">
        <f>AS43-AS44</f>
        <v>8.5370627379808495E-2</v>
      </c>
      <c r="AT45" s="151">
        <f>AT43-AT44</f>
        <v>0.10649550368988114</v>
      </c>
      <c r="AU45" s="151">
        <f>AU43-AU44</f>
        <v>8.9274272777752905E-3</v>
      </c>
      <c r="AV45" s="151">
        <f>AV43-AV44</f>
        <v>8.4070796460177011E-2</v>
      </c>
      <c r="AW45" s="154">
        <f>SUMPRODUCT(AS45:AV45,AM42:AP42)/AQ42</f>
        <v>7.0135514871899882E-2</v>
      </c>
      <c r="AX45" s="314"/>
      <c r="AY45" s="152">
        <f>AY43-AY44</f>
        <v>8.1967213114753079E-3</v>
      </c>
      <c r="AZ45" s="151">
        <f>AZ43-AZ44</f>
        <v>1.6949152542372836E-2</v>
      </c>
      <c r="BA45" s="151">
        <f>BA43-BA44</f>
        <v>2.5402201524133972E-3</v>
      </c>
      <c r="BB45" s="155">
        <f>BB43-BB44</f>
        <v>6.1224489795918435E-2</v>
      </c>
      <c r="BC45" s="154">
        <f>SUMPRODUCT(AY45:BB45,AS42:AV42)/AW42</f>
        <v>2.2471910112359574E-2</v>
      </c>
      <c r="BD45" s="665"/>
      <c r="BE45" s="717">
        <f>BE43-BE44</f>
        <v>8.9430894308943021E-2</v>
      </c>
      <c r="BF45" s="696">
        <f t="shared" ref="BF45" si="191">BF43-BF44</f>
        <v>4.1666666666666741E-2</v>
      </c>
      <c r="BG45" s="696">
        <f t="shared" ref="BG45" si="192">BG43-BG44</f>
        <v>7.2635135135135087E-2</v>
      </c>
      <c r="BH45" s="697">
        <f t="shared" ref="BH45" si="193">BH43-BH44</f>
        <v>3.8461538461538547E-2</v>
      </c>
      <c r="BI45" s="732">
        <f t="shared" ref="BI45" si="194">BI43-BI44</f>
        <v>6.0236060236060318E-2</v>
      </c>
      <c r="BJ45" s="665"/>
      <c r="BK45" s="717">
        <f>BK43-BK44</f>
        <v>7.4626865671641784E-2</v>
      </c>
      <c r="BL45" s="696">
        <f t="shared" ref="BL45" si="195">BL43-BL44</f>
        <v>-8.0000000000000071E-3</v>
      </c>
      <c r="BM45" s="696">
        <f t="shared" ref="BM45" si="196">BM43-BM44</f>
        <v>3.937007874015741E-2</v>
      </c>
      <c r="BN45" s="697">
        <f t="shared" ref="BN45" si="197">BN43-BN44</f>
        <v>8.8888888888888795E-2</v>
      </c>
      <c r="BO45" s="732">
        <f t="shared" ref="BO45" si="198">BO43-BO44</f>
        <v>4.9904030710172798E-2</v>
      </c>
      <c r="BP45" s="665"/>
      <c r="BQ45" s="717">
        <f>BQ43-BQ44</f>
        <v>1.388888888888884E-2</v>
      </c>
      <c r="BR45" s="673">
        <v>0.08</v>
      </c>
      <c r="BS45" s="673">
        <v>0.04</v>
      </c>
      <c r="BT45" s="674">
        <v>0.01</v>
      </c>
      <c r="BU45" s="732">
        <f>SUMPRODUCT(BQ45:BT45,BK42:BN42)/BO42</f>
        <v>3.4131627056672748E-2</v>
      </c>
      <c r="BV45" s="665"/>
      <c r="BW45" s="672">
        <v>5.5E-2</v>
      </c>
      <c r="BX45" s="673">
        <f>BW45</f>
        <v>5.5E-2</v>
      </c>
      <c r="BY45" s="673">
        <f>BX45</f>
        <v>5.5E-2</v>
      </c>
      <c r="BZ45" s="674">
        <f>BY45</f>
        <v>5.5E-2</v>
      </c>
      <c r="CA45" s="732">
        <f>SUMPRODUCT(BW45:BZ45,BQ42:BT42)/BU42</f>
        <v>5.4999999999999986E-2</v>
      </c>
      <c r="CB45" s="665"/>
      <c r="CC45" s="672">
        <v>5.7500000000000002E-2</v>
      </c>
      <c r="CD45" s="673">
        <f>CC45</f>
        <v>5.7500000000000002E-2</v>
      </c>
      <c r="CE45" s="673">
        <f>CD45</f>
        <v>5.7500000000000002E-2</v>
      </c>
      <c r="CF45" s="674">
        <f>CE45</f>
        <v>5.7500000000000002E-2</v>
      </c>
      <c r="CG45" s="732">
        <f>SUMPRODUCT(CC45:CF45,BW42:BZ42)/CA42</f>
        <v>5.7500000000000002E-2</v>
      </c>
      <c r="CH45" s="665"/>
      <c r="CI45" s="672">
        <v>5.7500000000000002E-2</v>
      </c>
      <c r="CJ45" s="673">
        <f>CI45</f>
        <v>5.7500000000000002E-2</v>
      </c>
      <c r="CK45" s="673">
        <f>CJ45</f>
        <v>5.7500000000000002E-2</v>
      </c>
      <c r="CL45" s="674">
        <f>CK45</f>
        <v>5.7500000000000002E-2</v>
      </c>
      <c r="CM45" s="732">
        <f>SUMPRODUCT(CI45:CL45,CC42:CF42)/CG42</f>
        <v>5.7499999999999996E-2</v>
      </c>
    </row>
    <row r="46" spans="1:91" s="25" customFormat="1" ht="11.25" hidden="1" outlineLevel="1" x14ac:dyDescent="0.2">
      <c r="A46" s="694" t="s">
        <v>8</v>
      </c>
      <c r="B46" s="665"/>
      <c r="C46" s="308">
        <v>78.194000000000003</v>
      </c>
      <c r="D46" s="309">
        <v>73.543999999999997</v>
      </c>
      <c r="E46" s="309">
        <v>82.754000000000005</v>
      </c>
      <c r="F46" s="310">
        <v>82.850999999999999</v>
      </c>
      <c r="G46" s="311">
        <v>317.34300000000002</v>
      </c>
      <c r="H46" s="116"/>
      <c r="I46" s="308">
        <v>90.861000000000004</v>
      </c>
      <c r="J46" s="309">
        <v>90.576999999999998</v>
      </c>
      <c r="K46" s="309">
        <v>97.298000000000002</v>
      </c>
      <c r="L46" s="310">
        <v>95.921000000000006</v>
      </c>
      <c r="M46" s="115">
        <f>SUM(I46:L46)</f>
        <v>374.65699999999998</v>
      </c>
      <c r="N46" s="116"/>
      <c r="O46" s="308">
        <v>91.540999999999997</v>
      </c>
      <c r="P46" s="309">
        <v>85.159000000000006</v>
      </c>
      <c r="Q46" s="309">
        <v>94.521000000000001</v>
      </c>
      <c r="R46" s="310">
        <v>92.097999999999999</v>
      </c>
      <c r="S46" s="115">
        <f>SUM(O46:R46)</f>
        <v>363.31900000000002</v>
      </c>
      <c r="T46" s="116"/>
      <c r="U46" s="308">
        <v>104.95699999999999</v>
      </c>
      <c r="V46" s="309">
        <v>95.471000000000004</v>
      </c>
      <c r="W46" s="309">
        <v>101.081</v>
      </c>
      <c r="X46" s="310">
        <v>100.468</v>
      </c>
      <c r="Y46" s="115">
        <f>SUM(U46:X46)</f>
        <v>401.97700000000003</v>
      </c>
      <c r="Z46" s="116"/>
      <c r="AA46" s="308">
        <v>114.297</v>
      </c>
      <c r="AB46" s="309">
        <v>111.82</v>
      </c>
      <c r="AC46" s="309">
        <v>119.71899999999999</v>
      </c>
      <c r="AD46" s="310">
        <v>119.83199999999999</v>
      </c>
      <c r="AE46" s="115">
        <f>SUM(AA46:AD46)</f>
        <v>465.66800000000001</v>
      </c>
      <c r="AF46" s="116"/>
      <c r="AG46" s="308">
        <v>120.39400000000001</v>
      </c>
      <c r="AH46" s="309">
        <v>113.52</v>
      </c>
      <c r="AI46" s="309">
        <v>122.66200000000001</v>
      </c>
      <c r="AJ46" s="310">
        <v>120.39100000000001</v>
      </c>
      <c r="AK46" s="315">
        <f>SUM(AG46:AJ46)</f>
        <v>476.96700000000004</v>
      </c>
      <c r="AL46" s="116"/>
      <c r="AM46" s="308">
        <v>130.398</v>
      </c>
      <c r="AN46" s="309">
        <v>125.449</v>
      </c>
      <c r="AO46" s="309">
        <v>132.55099999999999</v>
      </c>
      <c r="AP46" s="309">
        <v>131</v>
      </c>
      <c r="AQ46" s="315">
        <f>SUM(AM46:AP46)</f>
        <v>519.39799999999991</v>
      </c>
      <c r="AR46" s="116"/>
      <c r="AS46" s="308">
        <v>142</v>
      </c>
      <c r="AT46" s="309">
        <v>133</v>
      </c>
      <c r="AU46" s="309">
        <v>140</v>
      </c>
      <c r="AV46" s="309">
        <v>141.4</v>
      </c>
      <c r="AW46" s="315">
        <f>SUM(AS46:AV46)</f>
        <v>556.4</v>
      </c>
      <c r="AX46" s="116"/>
      <c r="AY46" s="308">
        <v>140.79</v>
      </c>
      <c r="AZ46" s="309">
        <v>126.7</v>
      </c>
      <c r="BA46" s="309">
        <v>126.4</v>
      </c>
      <c r="BB46" s="313">
        <v>127</v>
      </c>
      <c r="BC46" s="315">
        <f>SUM(AY46:BB46)</f>
        <v>520.89</v>
      </c>
      <c r="BD46" s="665"/>
      <c r="BE46" s="669">
        <v>121</v>
      </c>
      <c r="BF46" s="657">
        <v>118</v>
      </c>
      <c r="BG46" s="657">
        <v>132</v>
      </c>
      <c r="BH46" s="676">
        <v>131</v>
      </c>
      <c r="BI46" s="733">
        <f>SUM(BE46:BH46)</f>
        <v>502</v>
      </c>
      <c r="BJ46" s="665"/>
      <c r="BK46" s="669">
        <v>124</v>
      </c>
      <c r="BL46" s="657">
        <v>119</v>
      </c>
      <c r="BM46" s="657">
        <v>131</v>
      </c>
      <c r="BN46" s="676">
        <v>136</v>
      </c>
      <c r="BO46" s="733">
        <f>SUM(BK46:BN46)</f>
        <v>510</v>
      </c>
      <c r="BP46" s="665"/>
      <c r="BQ46" s="669">
        <v>132</v>
      </c>
      <c r="BR46" s="666">
        <f>BL46*(1+BR47)</f>
        <v>130.16507407488135</v>
      </c>
      <c r="BS46" s="666">
        <f>BM46*(1+BS47)</f>
        <v>142.99476860305492</v>
      </c>
      <c r="BT46" s="667">
        <f>BN46*(1+BT47)</f>
        <v>141.0703077682752</v>
      </c>
      <c r="BU46" s="733">
        <f>SUM(BQ46:BT46)</f>
        <v>546.23015044621138</v>
      </c>
      <c r="BV46" s="665"/>
      <c r="BW46" s="718">
        <f>BQ46*(1+BW47)</f>
        <v>144.80841243577558</v>
      </c>
      <c r="BX46" s="666">
        <f>BR46*(1+BX47)</f>
        <v>138.97599083605607</v>
      </c>
      <c r="BY46" s="666">
        <f>BS46*(1+BY47)</f>
        <v>152.28942856225348</v>
      </c>
      <c r="BZ46" s="667">
        <f>BT46*(1+BZ47)</f>
        <v>150.23987777321307</v>
      </c>
      <c r="CA46" s="733">
        <f>SUM(BW46:BZ46)</f>
        <v>586.31370960729816</v>
      </c>
      <c r="CB46" s="665"/>
      <c r="CC46" s="718">
        <f>BW46*(1+CC47)</f>
        <v>154.22095924410098</v>
      </c>
      <c r="CD46" s="666">
        <f>BX46*(1+CD47)</f>
        <v>148.00943024039969</v>
      </c>
      <c r="CE46" s="666">
        <f>BY46*(1+CE47)</f>
        <v>162.18824141879995</v>
      </c>
      <c r="CF46" s="667">
        <f>BZ46*(1+CF47)</f>
        <v>160.00546982847192</v>
      </c>
      <c r="CG46" s="733">
        <f>SUM(CC46:CF46)</f>
        <v>624.42410073177257</v>
      </c>
      <c r="CH46" s="665"/>
      <c r="CI46" s="718">
        <f>CC46*(1+CI47)</f>
        <v>164.24532159496755</v>
      </c>
      <c r="CJ46" s="666">
        <f>CD46*(1+CJ47)</f>
        <v>157.63004320602568</v>
      </c>
      <c r="CK46" s="666">
        <f>CE46*(1+CK47)</f>
        <v>172.73047711102194</v>
      </c>
      <c r="CL46" s="667">
        <f>CF46*(1+CL47)</f>
        <v>170.40582536732259</v>
      </c>
      <c r="CM46" s="733">
        <f>SUM(CI46:CL46)</f>
        <v>665.01166727933776</v>
      </c>
    </row>
    <row r="47" spans="1:91" s="25" customFormat="1" ht="11.25" hidden="1" outlineLevel="1" x14ac:dyDescent="0.2">
      <c r="A47" s="695" t="s">
        <v>5</v>
      </c>
      <c r="B47" s="665"/>
      <c r="C47" s="193">
        <v>6.6839484275871497E-2</v>
      </c>
      <c r="D47" s="191">
        <v>1.3449454304927722E-2</v>
      </c>
      <c r="E47" s="191">
        <v>6.5593613185681354E-2</v>
      </c>
      <c r="F47" s="192">
        <v>6.4334622252482543E-2</v>
      </c>
      <c r="G47" s="220">
        <v>5.3015270468466991E-2</v>
      </c>
      <c r="H47" s="314"/>
      <c r="I47" s="152">
        <f>I46/C46-1</f>
        <v>0.16199452643425327</v>
      </c>
      <c r="J47" s="151">
        <f>J46/D46-1</f>
        <v>0.23160284999456104</v>
      </c>
      <c r="K47" s="151">
        <f>K46/E46-1</f>
        <v>0.1757498126978756</v>
      </c>
      <c r="L47" s="153">
        <f>L46/F46-1</f>
        <v>0.15775307479692469</v>
      </c>
      <c r="M47" s="154">
        <f>M46/G46-1</f>
        <v>0.18060584288923964</v>
      </c>
      <c r="N47" s="314"/>
      <c r="O47" s="152">
        <f>O46/I46-1</f>
        <v>7.4839590143185308E-3</v>
      </c>
      <c r="P47" s="151">
        <f>P46/J46-1</f>
        <v>-5.9816509709970433E-2</v>
      </c>
      <c r="Q47" s="151">
        <f>Q46/K46-1</f>
        <v>-2.8541182758124561E-2</v>
      </c>
      <c r="R47" s="153">
        <f>R46/L46-1</f>
        <v>-3.9855714598471703E-2</v>
      </c>
      <c r="S47" s="154">
        <f>S46/M46-1</f>
        <v>-3.0262346626380832E-2</v>
      </c>
      <c r="T47" s="314"/>
      <c r="U47" s="152">
        <f>U46/O46-1</f>
        <v>0.14655728034432647</v>
      </c>
      <c r="V47" s="151">
        <f>V46/P46-1</f>
        <v>0.12109113540553551</v>
      </c>
      <c r="W47" s="151">
        <f>W46/Q46-1</f>
        <v>6.9402566625406115E-2</v>
      </c>
      <c r="X47" s="153">
        <f>X46/R46-1</f>
        <v>9.0881452365958015E-2</v>
      </c>
      <c r="Y47" s="154">
        <f>Y46/S46-1</f>
        <v>0.10640236266201342</v>
      </c>
      <c r="Z47" s="314"/>
      <c r="AA47" s="152">
        <f>AA46/U46-1</f>
        <v>8.8988823994588406E-2</v>
      </c>
      <c r="AB47" s="151">
        <f>AB46/V46-1</f>
        <v>0.17124571859517546</v>
      </c>
      <c r="AC47" s="151">
        <f>AC46/W46-1</f>
        <v>0.18438677891987609</v>
      </c>
      <c r="AD47" s="153">
        <f>AD46/X46-1</f>
        <v>0.19273798622446936</v>
      </c>
      <c r="AE47" s="154">
        <f>AE46/Y46-1</f>
        <v>0.15844438860929855</v>
      </c>
      <c r="AF47" s="314"/>
      <c r="AG47" s="152">
        <f>AG46/AA46-1</f>
        <v>5.3343482331119851E-2</v>
      </c>
      <c r="AH47" s="151">
        <f>AH46/AB46-1</f>
        <v>1.5203004829189792E-2</v>
      </c>
      <c r="AI47" s="151">
        <f>AI46/AC46-1</f>
        <v>2.4582564171100829E-2</v>
      </c>
      <c r="AJ47" s="153">
        <f>AJ46/AD46-1</f>
        <v>4.6648641431337179E-3</v>
      </c>
      <c r="AK47" s="154">
        <f>AK46/AE46-1</f>
        <v>2.4264067962582958E-2</v>
      </c>
      <c r="AL47" s="314"/>
      <c r="AM47" s="152">
        <f>AM46/AG46-1</f>
        <v>8.3093841885808262E-2</v>
      </c>
      <c r="AN47" s="151">
        <f>AN46/AH46-1</f>
        <v>0.10508280479210708</v>
      </c>
      <c r="AO47" s="151">
        <f>AO46/AI46-1</f>
        <v>8.0619914888066191E-2</v>
      </c>
      <c r="AP47" s="151">
        <f>AP46/AJ46-1</f>
        <v>8.8121205073468989E-2</v>
      </c>
      <c r="AQ47" s="154">
        <f>AQ46/AK46-1</f>
        <v>8.8960032874391359E-2</v>
      </c>
      <c r="AR47" s="314"/>
      <c r="AS47" s="152">
        <f>AS46/AM46-1</f>
        <v>8.8973757266215703E-2</v>
      </c>
      <c r="AT47" s="151">
        <f>AT46/AN46-1</f>
        <v>6.019179108641759E-2</v>
      </c>
      <c r="AU47" s="151">
        <f>AU46/AO46-1</f>
        <v>5.6197237289798085E-2</v>
      </c>
      <c r="AV47" s="151">
        <f>AV46/AP46-1</f>
        <v>7.938931297709928E-2</v>
      </c>
      <c r="AW47" s="154">
        <f>AW46/AQ46-1</f>
        <v>7.1240166500448732E-2</v>
      </c>
      <c r="AX47" s="314"/>
      <c r="AY47" s="152">
        <f>AY46/AS46-1</f>
        <v>-8.5211267605634911E-3</v>
      </c>
      <c r="AZ47" s="151">
        <f>AZ46/AT46-1</f>
        <v>-4.7368421052631504E-2</v>
      </c>
      <c r="BA47" s="151">
        <f>BA46/AU46-1</f>
        <v>-9.7142857142857086E-2</v>
      </c>
      <c r="BB47" s="153">
        <f>BB46/AV46-1</f>
        <v>-0.10183875530410191</v>
      </c>
      <c r="BC47" s="154">
        <f>BC46/AW46-1</f>
        <v>-6.3820992092020079E-2</v>
      </c>
      <c r="BD47" s="665"/>
      <c r="BE47" s="717">
        <f>BE46/AY46-1</f>
        <v>-0.14056396050855879</v>
      </c>
      <c r="BF47" s="696">
        <f t="shared" ref="BF47" si="199">BF46/AZ46-1</f>
        <v>-6.866614048934494E-2</v>
      </c>
      <c r="BG47" s="696">
        <f t="shared" ref="BG47" si="200">BG46/BA46-1</f>
        <v>4.4303797468354444E-2</v>
      </c>
      <c r="BH47" s="697">
        <f t="shared" ref="BH47" si="201">BH46/BB46-1</f>
        <v>3.1496062992125928E-2</v>
      </c>
      <c r="BI47" s="732">
        <f t="shared" ref="BI47" si="202">BI46/BC46-1</f>
        <v>-3.626485438384297E-2</v>
      </c>
      <c r="BJ47" s="665"/>
      <c r="BK47" s="717">
        <f>BK46/BE46-1</f>
        <v>2.4793388429751984E-2</v>
      </c>
      <c r="BL47" s="696">
        <f t="shared" ref="BL47" si="203">BL46/BF46-1</f>
        <v>8.4745762711864181E-3</v>
      </c>
      <c r="BM47" s="696">
        <f t="shared" ref="BM47" si="204">BM46/BG46-1</f>
        <v>-7.575757575757569E-3</v>
      </c>
      <c r="BN47" s="697">
        <f t="shared" ref="BN47" si="205">BN46/BH46-1</f>
        <v>3.8167938931297662E-2</v>
      </c>
      <c r="BO47" s="732">
        <f t="shared" ref="BO47" si="206">BO46/BI46-1</f>
        <v>1.5936254980079667E-2</v>
      </c>
      <c r="BP47" s="665"/>
      <c r="BQ47" s="717">
        <f>BQ46/BK46-1</f>
        <v>6.4516129032258007E-2</v>
      </c>
      <c r="BR47" s="696">
        <f>BR48+BR49</f>
        <v>9.3824151889759178E-2</v>
      </c>
      <c r="BS47" s="696">
        <f>BS48+BS49</f>
        <v>9.156311910728937E-2</v>
      </c>
      <c r="BT47" s="697">
        <f>BT48+BT49</f>
        <v>3.7281674766729556E-2</v>
      </c>
      <c r="BU47" s="732">
        <f>BU46/BO46-1</f>
        <v>7.1039510678845952E-2</v>
      </c>
      <c r="BV47" s="665"/>
      <c r="BW47" s="717">
        <f>BW48+BW49</f>
        <v>9.7033427543754311E-2</v>
      </c>
      <c r="BX47" s="696">
        <f>BX48+BX49</f>
        <v>6.7690329558802914E-2</v>
      </c>
      <c r="BY47" s="696">
        <f>BY48+BY49</f>
        <v>6.5000000000000002E-2</v>
      </c>
      <c r="BZ47" s="697">
        <f>BZ48+BZ49</f>
        <v>6.5000000000000002E-2</v>
      </c>
      <c r="CA47" s="732">
        <f>CA46/BU46-1</f>
        <v>7.3382179889452948E-2</v>
      </c>
      <c r="CB47" s="665"/>
      <c r="CC47" s="717">
        <f>CC48+CC49</f>
        <v>6.5000000000000002E-2</v>
      </c>
      <c r="CD47" s="696">
        <f>CD48+CD49</f>
        <v>6.5000000000000002E-2</v>
      </c>
      <c r="CE47" s="696">
        <f>CE48+CE49</f>
        <v>6.5000000000000002E-2</v>
      </c>
      <c r="CF47" s="697">
        <f>CF48+CF49</f>
        <v>6.5000000000000002E-2</v>
      </c>
      <c r="CG47" s="732">
        <f>CG46/CA46-1</f>
        <v>6.4999999999999947E-2</v>
      </c>
      <c r="CH47" s="665"/>
      <c r="CI47" s="717">
        <f>CI48+CI49</f>
        <v>6.5000000000000002E-2</v>
      </c>
      <c r="CJ47" s="696">
        <f>CJ48+CJ49</f>
        <v>6.5000000000000002E-2</v>
      </c>
      <c r="CK47" s="696">
        <f>CK48+CK49</f>
        <v>6.5000000000000002E-2</v>
      </c>
      <c r="CL47" s="697">
        <f>CL48+CL49</f>
        <v>6.5000000000000002E-2</v>
      </c>
      <c r="CM47" s="732">
        <f>CM46/CG46-1</f>
        <v>6.4999999999999947E-2</v>
      </c>
    </row>
    <row r="48" spans="1:91" s="25" customFormat="1" ht="11.25" hidden="1" outlineLevel="1" x14ac:dyDescent="0.2">
      <c r="A48" s="695" t="s">
        <v>9</v>
      </c>
      <c r="B48" s="665"/>
      <c r="C48" s="193">
        <v>3.5000000000000003E-2</v>
      </c>
      <c r="D48" s="191">
        <v>4.8000000000000001E-2</v>
      </c>
      <c r="E48" s="191">
        <v>5.8000000000000003E-2</v>
      </c>
      <c r="F48" s="192">
        <v>5.5E-2</v>
      </c>
      <c r="G48" s="220">
        <v>4.9000000000000002E-2</v>
      </c>
      <c r="H48" s="191"/>
      <c r="I48" s="193">
        <v>0.11</v>
      </c>
      <c r="J48" s="191">
        <v>0.115</v>
      </c>
      <c r="K48" s="191">
        <v>0.128</v>
      </c>
      <c r="L48" s="192">
        <v>9.1999999999999998E-2</v>
      </c>
      <c r="M48" s="220">
        <v>0.111</v>
      </c>
      <c r="N48" s="191"/>
      <c r="O48" s="193">
        <v>-6.0999999999999999E-2</v>
      </c>
      <c r="P48" s="191">
        <v>-6.6000000000000003E-2</v>
      </c>
      <c r="Q48" s="191">
        <v>-0.12</v>
      </c>
      <c r="R48" s="192">
        <v>-5.6000000000000001E-2</v>
      </c>
      <c r="S48" s="220">
        <v>-7.4999999999999997E-2</v>
      </c>
      <c r="T48" s="191"/>
      <c r="U48" s="193">
        <v>7.0000000000000007E-2</v>
      </c>
      <c r="V48" s="191">
        <v>2.8000000000000001E-2</v>
      </c>
      <c r="W48" s="191">
        <v>-3.0000000000000001E-3</v>
      </c>
      <c r="X48" s="192">
        <v>-2.9000000000000001E-2</v>
      </c>
      <c r="Y48" s="220">
        <v>1.4999999999999999E-2</v>
      </c>
      <c r="Z48" s="191"/>
      <c r="AA48" s="193">
        <v>1E-3</v>
      </c>
      <c r="AB48" s="191">
        <v>4.7E-2</v>
      </c>
      <c r="AC48" s="191">
        <v>0.106</v>
      </c>
      <c r="AD48" s="192">
        <v>0.11700000000000001</v>
      </c>
      <c r="AE48" s="156">
        <f>SUMPRODUCT(AA48:AD48,U46:X46)/Y46</f>
        <v>6.7320856665928644E-2</v>
      </c>
      <c r="AF48" s="191"/>
      <c r="AG48" s="193">
        <v>3.0000000000000001E-3</v>
      </c>
      <c r="AH48" s="191">
        <v>-1.7999999999999999E-2</v>
      </c>
      <c r="AI48" s="191">
        <v>-6.2E-2</v>
      </c>
      <c r="AJ48" s="192">
        <v>-9.2999999999999999E-2</v>
      </c>
      <c r="AK48" s="156">
        <f>SUMPRODUCT(AG48:AJ48,AA46:AD46)/AE46</f>
        <v>-4.345762002113094E-2</v>
      </c>
      <c r="AL48" s="191"/>
      <c r="AM48" s="193">
        <v>-3.1E-2</v>
      </c>
      <c r="AN48" s="191">
        <v>-1.4999999999999999E-2</v>
      </c>
      <c r="AO48" s="191">
        <v>-0.04</v>
      </c>
      <c r="AP48" s="191">
        <v>-2.5000000000000001E-2</v>
      </c>
      <c r="AQ48" s="156">
        <f>SUMPRODUCT(AM48:AP48,AG46:AJ46)/AK46</f>
        <v>-2.7992018315732538E-2</v>
      </c>
      <c r="AR48" s="191"/>
      <c r="AS48" s="193">
        <v>-2.8000000000000001E-2</v>
      </c>
      <c r="AT48" s="191">
        <v>-4.2999999999999997E-2</v>
      </c>
      <c r="AU48" s="191">
        <v>-2E-3</v>
      </c>
      <c r="AV48" s="191">
        <v>1E-3</v>
      </c>
      <c r="AW48" s="156">
        <f>SUMPRODUCT(AS48:AV48,AM46:AP46)/AQ46</f>
        <v>-1.7673446952048335E-2</v>
      </c>
      <c r="AX48" s="191"/>
      <c r="AY48" s="193">
        <v>-6.9000000000000006E-2</v>
      </c>
      <c r="AZ48" s="191">
        <v>-0.108</v>
      </c>
      <c r="BA48" s="191">
        <f>-22/AU46</f>
        <v>-0.15714285714285714</v>
      </c>
      <c r="BB48" s="194">
        <f>-23/AV46</f>
        <v>-0.16265912305516264</v>
      </c>
      <c r="BC48" s="156">
        <f>SUMPRODUCT(AY48:BB48,AS46:AV46)/AW46</f>
        <v>-0.12430265995686558</v>
      </c>
      <c r="BD48" s="665"/>
      <c r="BE48" s="193">
        <f>-18.4/AY46</f>
        <v>-0.1306911002201861</v>
      </c>
      <c r="BF48" s="191">
        <f>-12.2/AZ46</f>
        <v>-9.6290449881610091E-2</v>
      </c>
      <c r="BG48" s="191">
        <f>-2.8/BA46</f>
        <v>-2.2151898734177212E-2</v>
      </c>
      <c r="BH48" s="194">
        <f>-0.15/BB46</f>
        <v>-1.1811023622047244E-3</v>
      </c>
      <c r="BI48" s="732">
        <f>SUMPRODUCT(BE48:BH48,AY46:BB46)/BC46</f>
        <v>-6.4408992301637574E-2</v>
      </c>
      <c r="BJ48" s="665"/>
      <c r="BK48" s="660">
        <f>BK47-BK49</f>
        <v>8.7933884297519832E-3</v>
      </c>
      <c r="BL48" s="661">
        <f t="shared" ref="BL48:BN48" si="207">BL47-BL49</f>
        <v>-8.5254237288135831E-3</v>
      </c>
      <c r="BM48" s="661">
        <f t="shared" si="207"/>
        <v>-1.9575757575757569E-2</v>
      </c>
      <c r="BN48" s="662">
        <f t="shared" si="207"/>
        <v>-2.8320610687023393E-3</v>
      </c>
      <c r="BO48" s="732">
        <f>SUMPRODUCT(BK48:BN48,BE46:BH46)/BI46</f>
        <v>-5.7709163346613924E-3</v>
      </c>
      <c r="BP48" s="665"/>
      <c r="BQ48" s="660">
        <f>BQ47-BQ49</f>
        <v>3.2516129032258007E-2</v>
      </c>
      <c r="BR48" s="698">
        <v>5.382415188975917E-2</v>
      </c>
      <c r="BS48" s="698">
        <v>4.156311910728936E-2</v>
      </c>
      <c r="BT48" s="742">
        <v>1.7281674766729559E-2</v>
      </c>
      <c r="BU48" s="732">
        <f>SUMPRODUCT(BQ48:BT48,BK46:BN46)/BO46</f>
        <v>3.5749314600414625E-2</v>
      </c>
      <c r="BV48" s="665"/>
      <c r="BW48" s="743">
        <v>3.2033427543754309E-2</v>
      </c>
      <c r="BX48" s="698">
        <v>2.6903295588029167E-3</v>
      </c>
      <c r="BY48" s="698">
        <v>0</v>
      </c>
      <c r="BZ48" s="742">
        <v>0</v>
      </c>
      <c r="CA48" s="732">
        <f>SUMPRODUCT(BW48:BZ48,BQ46:BT46)/BU46</f>
        <v>8.3821798894527684E-3</v>
      </c>
      <c r="CB48" s="665"/>
      <c r="CC48" s="743">
        <v>0</v>
      </c>
      <c r="CD48" s="698">
        <v>0</v>
      </c>
      <c r="CE48" s="698">
        <v>0</v>
      </c>
      <c r="CF48" s="742">
        <v>0</v>
      </c>
      <c r="CG48" s="732">
        <f>SUMPRODUCT(CC48:CF48,BW46:BZ46)/CA46</f>
        <v>0</v>
      </c>
      <c r="CH48" s="665"/>
      <c r="CI48" s="743">
        <v>0</v>
      </c>
      <c r="CJ48" s="698">
        <v>0</v>
      </c>
      <c r="CK48" s="698">
        <v>0</v>
      </c>
      <c r="CL48" s="742">
        <v>0</v>
      </c>
      <c r="CM48" s="732">
        <f>SUMPRODUCT(CI48:CL48,CC46:CF46)/CG46</f>
        <v>0</v>
      </c>
    </row>
    <row r="49" spans="1:91" s="25" customFormat="1" ht="11.25" hidden="1" outlineLevel="1" x14ac:dyDescent="0.2">
      <c r="A49" s="695" t="s">
        <v>10</v>
      </c>
      <c r="B49" s="665"/>
      <c r="C49" s="193">
        <v>3.1839484275871494E-2</v>
      </c>
      <c r="D49" s="191">
        <v>-3.4550545695072279E-2</v>
      </c>
      <c r="E49" s="191">
        <v>7.5936131856813513E-3</v>
      </c>
      <c r="F49" s="192">
        <v>9.3346222524825426E-3</v>
      </c>
      <c r="G49" s="220">
        <v>4.0152704684669888E-3</v>
      </c>
      <c r="H49" s="151"/>
      <c r="I49" s="152">
        <f>I47-I48</f>
        <v>5.1994526434253271E-2</v>
      </c>
      <c r="J49" s="151">
        <f>J47-J48</f>
        <v>0.11660284999456104</v>
      </c>
      <c r="K49" s="151">
        <f>K47-K48</f>
        <v>4.7749812697875593E-2</v>
      </c>
      <c r="L49" s="153">
        <f>L47-L48</f>
        <v>6.5753074796924688E-2</v>
      </c>
      <c r="M49" s="154">
        <f>M47-M48</f>
        <v>6.9605842889239641E-2</v>
      </c>
      <c r="N49" s="188"/>
      <c r="O49" s="152">
        <f>O47-O48</f>
        <v>6.848395901431853E-2</v>
      </c>
      <c r="P49" s="151">
        <f>P47-P48</f>
        <v>6.1834902900295696E-3</v>
      </c>
      <c r="Q49" s="151">
        <f>Q47-Q48</f>
        <v>9.1458817241875434E-2</v>
      </c>
      <c r="R49" s="153">
        <f>R47-R48</f>
        <v>1.6144285401528298E-2</v>
      </c>
      <c r="S49" s="154">
        <f>S47-S48</f>
        <v>4.4737653373619166E-2</v>
      </c>
      <c r="T49" s="151"/>
      <c r="U49" s="152">
        <f>U47-U48</f>
        <v>7.6557280344326462E-2</v>
      </c>
      <c r="V49" s="151">
        <f>V47-V48</f>
        <v>9.3091135405535513E-2</v>
      </c>
      <c r="W49" s="151">
        <f>W47-W48</f>
        <v>7.2402566625406117E-2</v>
      </c>
      <c r="X49" s="153">
        <f>X47-X48</f>
        <v>0.11988145236595801</v>
      </c>
      <c r="Y49" s="154">
        <f>Y47-Y48</f>
        <v>9.1402362662013417E-2</v>
      </c>
      <c r="Z49" s="151"/>
      <c r="AA49" s="152">
        <f>AA47-AA48</f>
        <v>8.7988823994588405E-2</v>
      </c>
      <c r="AB49" s="151">
        <f>AB47-AB48</f>
        <v>0.12424571859517546</v>
      </c>
      <c r="AC49" s="151">
        <f>AC47-AC48</f>
        <v>7.8386778919876096E-2</v>
      </c>
      <c r="AD49" s="153">
        <f>AD47-AD48</f>
        <v>7.5737986224469353E-2</v>
      </c>
      <c r="AE49" s="156">
        <f>SUMPRODUCT(AA49:AD49,U46:X46)/Y46</f>
        <v>9.1123531943369876E-2</v>
      </c>
      <c r="AF49" s="188"/>
      <c r="AG49" s="152">
        <f>AG47-AG48</f>
        <v>5.0343482331119849E-2</v>
      </c>
      <c r="AH49" s="151">
        <f>AH47-AH48</f>
        <v>3.3203004829189794E-2</v>
      </c>
      <c r="AI49" s="151">
        <f>AI47-AI48</f>
        <v>8.6582564171100829E-2</v>
      </c>
      <c r="AJ49" s="153">
        <f>AJ47-AJ48</f>
        <v>9.7664864143133717E-2</v>
      </c>
      <c r="AK49" s="156">
        <f>SUMPRODUCT(AG49:AJ49,AA46:AD46)/AE46</f>
        <v>6.7721687983713766E-2</v>
      </c>
      <c r="AL49" s="188"/>
      <c r="AM49" s="152">
        <f>AM47-AM48</f>
        <v>0.11409384188580826</v>
      </c>
      <c r="AN49" s="151">
        <f>AN47-AN48</f>
        <v>0.12008280479210708</v>
      </c>
      <c r="AO49" s="151">
        <f>AO47-AO48</f>
        <v>0.1206199148880662</v>
      </c>
      <c r="AP49" s="151">
        <f>AP47-AP48</f>
        <v>0.11312120507346898</v>
      </c>
      <c r="AQ49" s="156">
        <f>SUMPRODUCT(AM49:AP49,AG46:AJ46)/AK46</f>
        <v>0.11695205119012421</v>
      </c>
      <c r="AR49" s="188"/>
      <c r="AS49" s="152">
        <f>AS47-AS48</f>
        <v>0.1169737572662157</v>
      </c>
      <c r="AT49" s="151">
        <f>AT47-AT48</f>
        <v>0.10319179108641759</v>
      </c>
      <c r="AU49" s="151">
        <f>AU47-AU48</f>
        <v>5.8197237289798087E-2</v>
      </c>
      <c r="AV49" s="151">
        <f>AV47-AV48</f>
        <v>7.8389312977099279E-2</v>
      </c>
      <c r="AW49" s="156">
        <f>SUMPRODUCT(AS49:AV49,AM46:AP46)/AQ46</f>
        <v>8.8913613452496987E-2</v>
      </c>
      <c r="AX49" s="188"/>
      <c r="AY49" s="152">
        <f>AY47-AY48</f>
        <v>6.0478873239436515E-2</v>
      </c>
      <c r="AZ49" s="151">
        <f>AZ47-AZ48</f>
        <v>6.0631578947368495E-2</v>
      </c>
      <c r="BA49" s="151">
        <f>BA47-BA48</f>
        <v>6.0000000000000053E-2</v>
      </c>
      <c r="BB49" s="155">
        <f>BB47-BB48</f>
        <v>6.0820367751060728E-2</v>
      </c>
      <c r="BC49" s="156">
        <f>SUMPRODUCT(AY49:BB49,AS46:AV46)/AW46</f>
        <v>6.0481667864845413E-2</v>
      </c>
      <c r="BD49" s="665"/>
      <c r="BE49" s="717">
        <f>BE47-BE48</f>
        <v>-9.8728602883726979E-3</v>
      </c>
      <c r="BF49" s="696">
        <f t="shared" ref="BF49:BI49" si="208">BF47-BF48</f>
        <v>2.7624309392265151E-2</v>
      </c>
      <c r="BG49" s="696">
        <f t="shared" si="208"/>
        <v>6.6455696202531653E-2</v>
      </c>
      <c r="BH49" s="697">
        <f t="shared" si="208"/>
        <v>3.2677165354330656E-2</v>
      </c>
      <c r="BI49" s="732">
        <f t="shared" si="208"/>
        <v>2.8144137917794604E-2</v>
      </c>
      <c r="BJ49" s="665"/>
      <c r="BK49" s="672">
        <v>1.6E-2</v>
      </c>
      <c r="BL49" s="673">
        <v>1.7000000000000001E-2</v>
      </c>
      <c r="BM49" s="673">
        <v>1.2E-2</v>
      </c>
      <c r="BN49" s="674">
        <v>4.1000000000000002E-2</v>
      </c>
      <c r="BO49" s="732">
        <f t="shared" ref="BO49" si="209">BO47-BO48</f>
        <v>2.170717131474106E-2</v>
      </c>
      <c r="BP49" s="665"/>
      <c r="BQ49" s="672">
        <v>3.2000000000000001E-2</v>
      </c>
      <c r="BR49" s="696">
        <f>BR50+BR51</f>
        <v>0.04</v>
      </c>
      <c r="BS49" s="696">
        <f>BS50+BS51</f>
        <v>0.05</v>
      </c>
      <c r="BT49" s="697">
        <f>BT50+BT51</f>
        <v>0.02</v>
      </c>
      <c r="BU49" s="732">
        <f>BU47-BU48</f>
        <v>3.5290196078431327E-2</v>
      </c>
      <c r="BV49" s="665"/>
      <c r="BW49" s="717">
        <f>BW50+BW51</f>
        <v>6.5000000000000002E-2</v>
      </c>
      <c r="BX49" s="696">
        <f>BX50+BX51</f>
        <v>6.5000000000000002E-2</v>
      </c>
      <c r="BY49" s="696">
        <f>BY50+BY51</f>
        <v>6.5000000000000002E-2</v>
      </c>
      <c r="BZ49" s="697">
        <f>BZ50+BZ51</f>
        <v>6.5000000000000002E-2</v>
      </c>
      <c r="CA49" s="732">
        <f>CA47-CA48</f>
        <v>6.5000000000000183E-2</v>
      </c>
      <c r="CB49" s="665"/>
      <c r="CC49" s="717">
        <f>CC50+CC51</f>
        <v>6.5000000000000002E-2</v>
      </c>
      <c r="CD49" s="696">
        <f>CD50+CD51</f>
        <v>6.5000000000000002E-2</v>
      </c>
      <c r="CE49" s="696">
        <f>CE50+CE51</f>
        <v>6.5000000000000002E-2</v>
      </c>
      <c r="CF49" s="697">
        <f>CF50+CF51</f>
        <v>6.5000000000000002E-2</v>
      </c>
      <c r="CG49" s="732">
        <f>CG47-CG48</f>
        <v>6.4999999999999947E-2</v>
      </c>
      <c r="CH49" s="665"/>
      <c r="CI49" s="717">
        <f>CI50+CI51</f>
        <v>6.5000000000000002E-2</v>
      </c>
      <c r="CJ49" s="696">
        <f>CJ50+CJ51</f>
        <v>6.5000000000000002E-2</v>
      </c>
      <c r="CK49" s="696">
        <f>CK50+CK51</f>
        <v>6.5000000000000002E-2</v>
      </c>
      <c r="CL49" s="697">
        <f>CL50+CL51</f>
        <v>6.5000000000000002E-2</v>
      </c>
      <c r="CM49" s="732">
        <f>CM47-CM48</f>
        <v>6.4999999999999947E-2</v>
      </c>
    </row>
    <row r="50" spans="1:91" s="25" customFormat="1" ht="11.25" hidden="1" outlineLevel="1" x14ac:dyDescent="0.2">
      <c r="A50" s="695" t="s">
        <v>6</v>
      </c>
      <c r="B50" s="665"/>
      <c r="C50" s="193">
        <v>0</v>
      </c>
      <c r="D50" s="191">
        <v>0</v>
      </c>
      <c r="E50" s="191">
        <v>0</v>
      </c>
      <c r="F50" s="192">
        <v>0</v>
      </c>
      <c r="G50" s="220">
        <v>0</v>
      </c>
      <c r="H50" s="151"/>
      <c r="I50" s="193">
        <v>0</v>
      </c>
      <c r="J50" s="191">
        <v>0</v>
      </c>
      <c r="K50" s="191">
        <v>0</v>
      </c>
      <c r="L50" s="192">
        <v>0</v>
      </c>
      <c r="M50" s="154">
        <f>SUMPRODUCT(I50:L50,C46:F46)/G46</f>
        <v>0</v>
      </c>
      <c r="N50" s="188"/>
      <c r="O50" s="193">
        <f>-2.239/I46</f>
        <v>-2.4642035636851894E-2</v>
      </c>
      <c r="P50" s="191">
        <f>-1.874/J46</f>
        <v>-2.0689579032204645E-2</v>
      </c>
      <c r="Q50" s="191">
        <f>-2/K46</f>
        <v>-2.0555407099837612E-2</v>
      </c>
      <c r="R50" s="192">
        <f>-2/L46</f>
        <v>-2.0850491550338298E-2</v>
      </c>
      <c r="S50" s="154">
        <f>SUMPRODUCT(O50:R50,I46:L46)/M46</f>
        <v>-2.1654473291570688E-2</v>
      </c>
      <c r="T50" s="151"/>
      <c r="U50" s="193">
        <v>0</v>
      </c>
      <c r="V50" s="191">
        <v>0</v>
      </c>
      <c r="W50" s="191">
        <v>0</v>
      </c>
      <c r="X50" s="192">
        <v>0</v>
      </c>
      <c r="Y50" s="154">
        <f>SUMPRODUCT(U50:X50,O46:R46)/S46</f>
        <v>0</v>
      </c>
      <c r="Z50" s="151"/>
      <c r="AA50" s="193">
        <v>0</v>
      </c>
      <c r="AB50" s="191">
        <v>0</v>
      </c>
      <c r="AC50" s="191">
        <v>0</v>
      </c>
      <c r="AD50" s="192">
        <v>0</v>
      </c>
      <c r="AE50" s="154">
        <f>SUMPRODUCT(AA50:AD50,U46:X46)/Y46</f>
        <v>0</v>
      </c>
      <c r="AF50" s="188"/>
      <c r="AG50" s="193">
        <v>0</v>
      </c>
      <c r="AH50" s="191">
        <v>0</v>
      </c>
      <c r="AI50" s="191">
        <v>0</v>
      </c>
      <c r="AJ50" s="192">
        <v>0</v>
      </c>
      <c r="AK50" s="154">
        <f>SUMPRODUCT(AG50:AJ50,AA46:AD46)/AE46</f>
        <v>0</v>
      </c>
      <c r="AL50" s="188"/>
      <c r="AM50" s="193">
        <v>0</v>
      </c>
      <c r="AN50" s="191">
        <v>0</v>
      </c>
      <c r="AO50" s="191">
        <v>0</v>
      </c>
      <c r="AP50" s="191">
        <v>0</v>
      </c>
      <c r="AQ50" s="154">
        <f>SUMPRODUCT(AM50:AP50,AG46:AJ46)/AK46</f>
        <v>0</v>
      </c>
      <c r="AR50" s="188"/>
      <c r="AS50" s="193">
        <v>0</v>
      </c>
      <c r="AT50" s="191">
        <v>0</v>
      </c>
      <c r="AU50" s="191">
        <v>0</v>
      </c>
      <c r="AV50" s="191">
        <v>0</v>
      </c>
      <c r="AW50" s="154">
        <f>SUMPRODUCT(AS50:AV50,AM46:AP46)/AQ46</f>
        <v>0</v>
      </c>
      <c r="AX50" s="188"/>
      <c r="AY50" s="193">
        <v>0</v>
      </c>
      <c r="AZ50" s="191">
        <v>0</v>
      </c>
      <c r="BA50" s="191">
        <v>0</v>
      </c>
      <c r="BB50" s="192">
        <v>0</v>
      </c>
      <c r="BC50" s="154">
        <f>SUMPRODUCT(AY50:BB50,AS46:AV46)/AW46</f>
        <v>0</v>
      </c>
      <c r="BD50" s="665"/>
      <c r="BE50" s="672">
        <v>0</v>
      </c>
      <c r="BF50" s="673">
        <v>0</v>
      </c>
      <c r="BG50" s="673">
        <v>0</v>
      </c>
      <c r="BH50" s="674">
        <v>0</v>
      </c>
      <c r="BI50" s="732">
        <f>SUMPRODUCT(BE50:BH50,AY46:BB46)/BC46</f>
        <v>0</v>
      </c>
      <c r="BJ50" s="665"/>
      <c r="BK50" s="672">
        <v>0</v>
      </c>
      <c r="BL50" s="673">
        <v>0</v>
      </c>
      <c r="BM50" s="673">
        <v>0</v>
      </c>
      <c r="BN50" s="674">
        <v>0</v>
      </c>
      <c r="BO50" s="732">
        <f>SUMPRODUCT(BK50:BN50,BE46:BH46)/BI46</f>
        <v>0</v>
      </c>
      <c r="BP50" s="665"/>
      <c r="BQ50" s="672">
        <v>0</v>
      </c>
      <c r="BR50" s="673">
        <v>0</v>
      </c>
      <c r="BS50" s="673">
        <v>0</v>
      </c>
      <c r="BT50" s="674">
        <v>0</v>
      </c>
      <c r="BU50" s="732">
        <f>SUMPRODUCT(BQ50:BT50,BK46:BN46)/BO46</f>
        <v>0</v>
      </c>
      <c r="BV50" s="665"/>
      <c r="BW50" s="672">
        <v>0</v>
      </c>
      <c r="BX50" s="673">
        <v>0</v>
      </c>
      <c r="BY50" s="673">
        <v>0</v>
      </c>
      <c r="BZ50" s="674">
        <v>0</v>
      </c>
      <c r="CA50" s="732">
        <f>SUMPRODUCT(BW50:BZ50,BQ46:BT46)/BU46</f>
        <v>0</v>
      </c>
      <c r="CB50" s="665"/>
      <c r="CC50" s="672">
        <v>0</v>
      </c>
      <c r="CD50" s="673">
        <v>0</v>
      </c>
      <c r="CE50" s="673">
        <v>0</v>
      </c>
      <c r="CF50" s="674">
        <v>0</v>
      </c>
      <c r="CG50" s="732">
        <f>SUMPRODUCT(CC50:CF50,BW46:BZ46)/CA46</f>
        <v>0</v>
      </c>
      <c r="CH50" s="665"/>
      <c r="CI50" s="672">
        <v>0</v>
      </c>
      <c r="CJ50" s="673">
        <v>0</v>
      </c>
      <c r="CK50" s="673">
        <v>0</v>
      </c>
      <c r="CL50" s="674">
        <v>0</v>
      </c>
      <c r="CM50" s="732">
        <f>SUMPRODUCT(CI50:CL50,CC46:CF46)/CG46</f>
        <v>0</v>
      </c>
    </row>
    <row r="51" spans="1:91" s="25" customFormat="1" ht="11.25" hidden="1" outlineLevel="1" x14ac:dyDescent="0.2">
      <c r="A51" s="745" t="s">
        <v>7</v>
      </c>
      <c r="B51" s="702"/>
      <c r="C51" s="193">
        <v>3.1839484275871494E-2</v>
      </c>
      <c r="D51" s="191">
        <v>-3.4550545695072279E-2</v>
      </c>
      <c r="E51" s="191">
        <v>7.5936131856813513E-3</v>
      </c>
      <c r="F51" s="192">
        <v>9.3346222524825426E-3</v>
      </c>
      <c r="G51" s="220">
        <v>3.7919539695918198E-3</v>
      </c>
      <c r="H51" s="151"/>
      <c r="I51" s="152">
        <f>I49-I50</f>
        <v>5.1994526434253271E-2</v>
      </c>
      <c r="J51" s="151">
        <f>J49-J50</f>
        <v>0.11660284999456104</v>
      </c>
      <c r="K51" s="151">
        <f>K49-K50</f>
        <v>4.7749812697875593E-2</v>
      </c>
      <c r="L51" s="153">
        <f>L49-L50</f>
        <v>6.5753074796924688E-2</v>
      </c>
      <c r="M51" s="154">
        <f>SUMPRODUCT(I51:L51,C46:F46)/G46</f>
        <v>6.9452598607815524E-2</v>
      </c>
      <c r="N51" s="188"/>
      <c r="O51" s="152">
        <f>O49-O50</f>
        <v>9.3125994651170427E-2</v>
      </c>
      <c r="P51" s="151">
        <f>P49-P50</f>
        <v>2.6873069322234214E-2</v>
      </c>
      <c r="Q51" s="151">
        <f>Q49-Q50</f>
        <v>0.11201422434171304</v>
      </c>
      <c r="R51" s="153">
        <f>R49-R50</f>
        <v>3.6994776951866593E-2</v>
      </c>
      <c r="S51" s="154">
        <f>SUMPRODUCT(O51:R51,I46:L46)/M46</f>
        <v>6.764304150196046E-2</v>
      </c>
      <c r="T51" s="151"/>
      <c r="U51" s="152">
        <f>U49-U50</f>
        <v>7.6557280344326462E-2</v>
      </c>
      <c r="V51" s="151">
        <f>V49-V50</f>
        <v>9.3091135405535513E-2</v>
      </c>
      <c r="W51" s="151">
        <f>W49-W50</f>
        <v>7.2402566625406117E-2</v>
      </c>
      <c r="X51" s="153">
        <f>X49-X50</f>
        <v>0.11988145236595801</v>
      </c>
      <c r="Y51" s="154">
        <f>SUMPRODUCT(U51:X51,O46:R46)/S46</f>
        <v>9.0334067307242388E-2</v>
      </c>
      <c r="Z51" s="151"/>
      <c r="AA51" s="152">
        <f>AA49-AA50</f>
        <v>8.7988823994588405E-2</v>
      </c>
      <c r="AB51" s="151">
        <f>AB49-AB50</f>
        <v>0.12424571859517546</v>
      </c>
      <c r="AC51" s="151">
        <f>AC49-AC50</f>
        <v>7.8386778919876096E-2</v>
      </c>
      <c r="AD51" s="153">
        <f>AD49-AD50</f>
        <v>7.5737986224469353E-2</v>
      </c>
      <c r="AE51" s="154">
        <f>SUMPRODUCT(AA51:AD51,U46:X46)/Y46</f>
        <v>9.1123531943369876E-2</v>
      </c>
      <c r="AF51" s="188"/>
      <c r="AG51" s="152">
        <f>AG49-AG50</f>
        <v>5.0343482331119849E-2</v>
      </c>
      <c r="AH51" s="151">
        <f>AH49-AH50</f>
        <v>3.3203004829189794E-2</v>
      </c>
      <c r="AI51" s="151">
        <f>AI49-AI50</f>
        <v>8.6582564171100829E-2</v>
      </c>
      <c r="AJ51" s="153">
        <f>AJ49-AJ50</f>
        <v>9.7664864143133717E-2</v>
      </c>
      <c r="AK51" s="154">
        <f>SUMPRODUCT(AG51:AJ51,AA46:AD46)/AE46</f>
        <v>6.7721687983713766E-2</v>
      </c>
      <c r="AL51" s="188"/>
      <c r="AM51" s="152">
        <f>AM49-AM50</f>
        <v>0.11409384188580826</v>
      </c>
      <c r="AN51" s="151">
        <f>AN49-AN50</f>
        <v>0.12008280479210708</v>
      </c>
      <c r="AO51" s="151">
        <f>AO49-AO50</f>
        <v>0.1206199148880662</v>
      </c>
      <c r="AP51" s="151">
        <f>AP49-AP50</f>
        <v>0.11312120507346898</v>
      </c>
      <c r="AQ51" s="154">
        <f>SUMPRODUCT(AM51:AP51,AG46:AJ46)/AK46</f>
        <v>0.11695205119012421</v>
      </c>
      <c r="AR51" s="188"/>
      <c r="AS51" s="152">
        <f>AS49-AS50</f>
        <v>0.1169737572662157</v>
      </c>
      <c r="AT51" s="151">
        <f>AT49-AT50</f>
        <v>0.10319179108641759</v>
      </c>
      <c r="AU51" s="151">
        <f>AU49-AU50</f>
        <v>5.8197237289798087E-2</v>
      </c>
      <c r="AV51" s="151">
        <f>AV49-AV50</f>
        <v>7.8389312977099279E-2</v>
      </c>
      <c r="AW51" s="154">
        <f>SUMPRODUCT(AS51:AV51,AM46:AP46)/AQ46</f>
        <v>8.8913613452496987E-2</v>
      </c>
      <c r="AX51" s="188"/>
      <c r="AY51" s="152">
        <f>AY49-AY50</f>
        <v>6.0478873239436515E-2</v>
      </c>
      <c r="AZ51" s="151">
        <f>AZ49-AZ50</f>
        <v>6.0631578947368495E-2</v>
      </c>
      <c r="BA51" s="151">
        <f>BA49-BA50</f>
        <v>6.0000000000000053E-2</v>
      </c>
      <c r="BB51" s="155">
        <f>BB49-BB50</f>
        <v>6.0820367751060728E-2</v>
      </c>
      <c r="BC51" s="154">
        <f>SUMPRODUCT(AY51:BB51,AS46:AV46)/AW46</f>
        <v>6.0481667864845413E-2</v>
      </c>
      <c r="BD51" s="665"/>
      <c r="BE51" s="717">
        <f>BE49-BE50</f>
        <v>-9.8728602883726979E-3</v>
      </c>
      <c r="BF51" s="696">
        <f t="shared" ref="BF51" si="210">BF49-BF50</f>
        <v>2.7624309392265151E-2</v>
      </c>
      <c r="BG51" s="696">
        <f t="shared" ref="BG51" si="211">BG49-BG50</f>
        <v>6.6455696202531653E-2</v>
      </c>
      <c r="BH51" s="697">
        <f t="shared" ref="BH51" si="212">BH49-BH50</f>
        <v>3.2677165354330656E-2</v>
      </c>
      <c r="BI51" s="732">
        <f t="shared" ref="BI51" si="213">BI49-BI50</f>
        <v>2.8144137917794604E-2</v>
      </c>
      <c r="BJ51" s="665"/>
      <c r="BK51" s="717">
        <f>BK49-BK50</f>
        <v>1.6E-2</v>
      </c>
      <c r="BL51" s="696">
        <f t="shared" ref="BL51" si="214">BL49-BL50</f>
        <v>1.7000000000000001E-2</v>
      </c>
      <c r="BM51" s="696">
        <f t="shared" ref="BM51" si="215">BM49-BM50</f>
        <v>1.2E-2</v>
      </c>
      <c r="BN51" s="697">
        <f t="shared" ref="BN51" si="216">BN49-BN50</f>
        <v>4.1000000000000002E-2</v>
      </c>
      <c r="BO51" s="732">
        <f t="shared" ref="BO51" si="217">BO49-BO50</f>
        <v>2.170717131474106E-2</v>
      </c>
      <c r="BP51" s="665"/>
      <c r="BQ51" s="717">
        <f>BQ49-BQ50</f>
        <v>3.2000000000000001E-2</v>
      </c>
      <c r="BR51" s="673">
        <v>0.04</v>
      </c>
      <c r="BS51" s="673">
        <v>0.05</v>
      </c>
      <c r="BT51" s="674">
        <v>0.02</v>
      </c>
      <c r="BU51" s="732">
        <f>SUMPRODUCT(BQ51:BT51,BK46:BN46)/BO46</f>
        <v>3.5290196078431375E-2</v>
      </c>
      <c r="BV51" s="665"/>
      <c r="BW51" s="672">
        <v>6.5000000000000002E-2</v>
      </c>
      <c r="BX51" s="673">
        <f>BW51</f>
        <v>6.5000000000000002E-2</v>
      </c>
      <c r="BY51" s="673">
        <f>BX51</f>
        <v>6.5000000000000002E-2</v>
      </c>
      <c r="BZ51" s="674">
        <f>BY51</f>
        <v>6.5000000000000002E-2</v>
      </c>
      <c r="CA51" s="732">
        <f>SUMPRODUCT(BW51:BZ51,BQ46:BT46)/BU46</f>
        <v>6.5000000000000016E-2</v>
      </c>
      <c r="CB51" s="665"/>
      <c r="CC51" s="672">
        <v>6.5000000000000002E-2</v>
      </c>
      <c r="CD51" s="673">
        <f>CC51</f>
        <v>6.5000000000000002E-2</v>
      </c>
      <c r="CE51" s="673">
        <f>CD51</f>
        <v>6.5000000000000002E-2</v>
      </c>
      <c r="CF51" s="674">
        <f>CE51</f>
        <v>6.5000000000000002E-2</v>
      </c>
      <c r="CG51" s="732">
        <f>SUMPRODUCT(CC51:CF51,BW46:BZ46)/CA46</f>
        <v>6.5000000000000002E-2</v>
      </c>
      <c r="CH51" s="665"/>
      <c r="CI51" s="672">
        <v>6.5000000000000002E-2</v>
      </c>
      <c r="CJ51" s="673">
        <f>CI51</f>
        <v>6.5000000000000002E-2</v>
      </c>
      <c r="CK51" s="673">
        <f>CJ51</f>
        <v>6.5000000000000002E-2</v>
      </c>
      <c r="CL51" s="674">
        <f>CK51</f>
        <v>6.5000000000000002E-2</v>
      </c>
      <c r="CM51" s="732">
        <f>SUMPRODUCT(CI51:CL51,CC46:CF46)/CG46</f>
        <v>6.5000000000000002E-2</v>
      </c>
    </row>
    <row r="52" spans="1:91" s="25" customFormat="1" ht="11.25" collapsed="1" x14ac:dyDescent="0.2">
      <c r="A52" s="744" t="s">
        <v>11</v>
      </c>
      <c r="B52" s="702"/>
      <c r="C52" s="308">
        <v>168.68600000000001</v>
      </c>
      <c r="D52" s="309">
        <v>171.191</v>
      </c>
      <c r="E52" s="309">
        <v>174.87</v>
      </c>
      <c r="F52" s="310">
        <v>181.23500000000001</v>
      </c>
      <c r="G52" s="311">
        <v>695.98200000000008</v>
      </c>
      <c r="H52" s="116"/>
      <c r="I52" s="112">
        <f>I46+I42</f>
        <v>189.387</v>
      </c>
      <c r="J52" s="113">
        <f>J46+J42</f>
        <v>187.45999999999998</v>
      </c>
      <c r="K52" s="113">
        <f>K46+K42</f>
        <v>199.96100000000001</v>
      </c>
      <c r="L52" s="114">
        <f>L46+L42</f>
        <v>198.51300000000001</v>
      </c>
      <c r="M52" s="115">
        <f>SUM(I52:L52)</f>
        <v>775.32100000000003</v>
      </c>
      <c r="N52" s="116"/>
      <c r="O52" s="112">
        <f>O46+O42</f>
        <v>180.006</v>
      </c>
      <c r="P52" s="113">
        <f>P46+P42</f>
        <v>168.392</v>
      </c>
      <c r="Q52" s="113">
        <f>Q46+Q42</f>
        <v>185.851</v>
      </c>
      <c r="R52" s="114">
        <f>R46+R42</f>
        <v>180.68799999999999</v>
      </c>
      <c r="S52" s="115">
        <f>SUM(O52:R52)</f>
        <v>714.93700000000001</v>
      </c>
      <c r="T52" s="116"/>
      <c r="U52" s="112">
        <f>U46+U42</f>
        <v>201.52099999999999</v>
      </c>
      <c r="V52" s="113">
        <f>V46+V42</f>
        <v>187.98599999999999</v>
      </c>
      <c r="W52" s="113">
        <f>W46+W42</f>
        <v>197.15199999999999</v>
      </c>
      <c r="X52" s="114">
        <f>X46+X42</f>
        <v>199.101</v>
      </c>
      <c r="Y52" s="115">
        <f>SUM(U52:X52)</f>
        <v>785.75999999999988</v>
      </c>
      <c r="Z52" s="92"/>
      <c r="AA52" s="112">
        <f>AA46+AA42</f>
        <v>213.88200000000001</v>
      </c>
      <c r="AB52" s="113">
        <f>AB46+AB42</f>
        <v>207.75899999999999</v>
      </c>
      <c r="AC52" s="113">
        <f>AC46+AC42</f>
        <v>220.184</v>
      </c>
      <c r="AD52" s="114">
        <f>AD46+AD42</f>
        <v>224.65100000000001</v>
      </c>
      <c r="AE52" s="115">
        <f>SUM(AA52:AD52)</f>
        <v>866.47599999999989</v>
      </c>
      <c r="AF52" s="92"/>
      <c r="AG52" s="112">
        <f>AG46+AG42</f>
        <v>225.92000000000002</v>
      </c>
      <c r="AH52" s="113">
        <f>AH46+AH42</f>
        <v>219.245</v>
      </c>
      <c r="AI52" s="113">
        <f>AI46+AI42</f>
        <v>232.67500000000001</v>
      </c>
      <c r="AJ52" s="114">
        <f>AJ46+AJ42</f>
        <v>233.43700000000001</v>
      </c>
      <c r="AK52" s="115">
        <f>SUM(AG52:AJ52)</f>
        <v>911.27700000000004</v>
      </c>
      <c r="AL52" s="92"/>
      <c r="AM52" s="112">
        <f>AM46+AM42</f>
        <v>242.80199999999999</v>
      </c>
      <c r="AN52" s="113">
        <f>AN46+AN42</f>
        <v>232.09199999999998</v>
      </c>
      <c r="AO52" s="113">
        <f>AO46+AO42</f>
        <v>249.60599999999999</v>
      </c>
      <c r="AP52" s="113">
        <f>AP46+AP42</f>
        <v>244</v>
      </c>
      <c r="AQ52" s="115">
        <f>SUM(AM52:AP52)</f>
        <v>968.5</v>
      </c>
      <c r="AR52" s="92"/>
      <c r="AS52" s="112">
        <f>AS46+AS42</f>
        <v>264</v>
      </c>
      <c r="AT52" s="113">
        <f>AT46+AT42</f>
        <v>251</v>
      </c>
      <c r="AU52" s="113">
        <f>AU42+AU46</f>
        <v>258.10000000000002</v>
      </c>
      <c r="AV52" s="113">
        <f>AV42+AV46</f>
        <v>263.89999999999998</v>
      </c>
      <c r="AW52" s="115">
        <f>SUM(AS52:AV52)</f>
        <v>1037</v>
      </c>
      <c r="AX52" s="92"/>
      <c r="AY52" s="112">
        <f>AY42+AY46</f>
        <v>263.78999999999996</v>
      </c>
      <c r="AZ52" s="113">
        <f>AZ42+AZ46</f>
        <v>246.7</v>
      </c>
      <c r="BA52" s="113">
        <f>BA42+BA46</f>
        <v>244.8</v>
      </c>
      <c r="BB52" s="114">
        <f>BB42+BB46</f>
        <v>257</v>
      </c>
      <c r="BC52" s="115">
        <f>SUM(AY52:BB52)</f>
        <v>1012.29</v>
      </c>
      <c r="BD52" s="665"/>
      <c r="BE52" s="718">
        <f>BE42+BE46</f>
        <v>255</v>
      </c>
      <c r="BF52" s="666">
        <f t="shared" ref="BF52:BH52" si="218">BF42+BF46</f>
        <v>243</v>
      </c>
      <c r="BG52" s="666">
        <f t="shared" si="218"/>
        <v>259</v>
      </c>
      <c r="BH52" s="667">
        <f t="shared" si="218"/>
        <v>266</v>
      </c>
      <c r="BI52" s="733">
        <f>SUM(BE52:BH52)</f>
        <v>1023</v>
      </c>
      <c r="BJ52" s="665"/>
      <c r="BK52" s="718">
        <f>BK42+BK46</f>
        <v>268</v>
      </c>
      <c r="BL52" s="666">
        <f t="shared" ref="BL52:BN52" si="219">BL42+BL46</f>
        <v>243</v>
      </c>
      <c r="BM52" s="666">
        <f t="shared" si="219"/>
        <v>263</v>
      </c>
      <c r="BN52" s="667">
        <f t="shared" si="219"/>
        <v>283</v>
      </c>
      <c r="BO52" s="733">
        <f>SUM(BK52:BN52)</f>
        <v>1057</v>
      </c>
      <c r="BP52" s="665"/>
      <c r="BQ52" s="718">
        <f>BQ42+BQ46</f>
        <v>278</v>
      </c>
      <c r="BR52" s="666">
        <f t="shared" ref="BR52:BT52" si="220">BR42+BR46</f>
        <v>264.08507407488139</v>
      </c>
      <c r="BS52" s="666">
        <f t="shared" si="220"/>
        <v>280.27476860305489</v>
      </c>
      <c r="BT52" s="667">
        <f t="shared" si="220"/>
        <v>289.54030776827517</v>
      </c>
      <c r="BU52" s="733">
        <f>SUM(BQ52:BT52)</f>
        <v>1111.9001504462115</v>
      </c>
      <c r="BV52" s="665"/>
      <c r="BW52" s="718">
        <f>BW42+BW46</f>
        <v>298.83841243577558</v>
      </c>
      <c r="BX52" s="666">
        <f t="shared" ref="BX52:BZ52" si="221">BX42+BX46</f>
        <v>280.26159083605609</v>
      </c>
      <c r="BY52" s="666">
        <f t="shared" si="221"/>
        <v>297.11982856225347</v>
      </c>
      <c r="BZ52" s="667">
        <f t="shared" si="221"/>
        <v>306.87572777321304</v>
      </c>
      <c r="CA52" s="733">
        <f>SUM(BW52:BZ52)</f>
        <v>1183.0955596072981</v>
      </c>
      <c r="CB52" s="665"/>
      <c r="CC52" s="718">
        <f>CC42+CC46</f>
        <v>317.10768424410099</v>
      </c>
      <c r="CD52" s="666">
        <f t="shared" ref="CD52:CF52" si="222">CD42+CD46</f>
        <v>297.41895224039973</v>
      </c>
      <c r="CE52" s="666">
        <f t="shared" si="222"/>
        <v>315.34638941879996</v>
      </c>
      <c r="CF52" s="667">
        <f t="shared" si="222"/>
        <v>325.64788120347191</v>
      </c>
      <c r="CG52" s="733">
        <f>SUM(CC52:CF52)</f>
        <v>1255.5209071067725</v>
      </c>
      <c r="CH52" s="665"/>
      <c r="CI52" s="718">
        <f>CI42+CI46</f>
        <v>336.49803328246759</v>
      </c>
      <c r="CJ52" s="666">
        <f t="shared" ref="CJ52:CL52" si="223">CJ42+CJ46</f>
        <v>315.63061272102573</v>
      </c>
      <c r="CK52" s="666">
        <f t="shared" si="223"/>
        <v>334.69521862102198</v>
      </c>
      <c r="CL52" s="667">
        <f t="shared" si="223"/>
        <v>345.57267539638508</v>
      </c>
      <c r="CM52" s="733">
        <f>SUM(CI52:CL52)</f>
        <v>1332.3965400209004</v>
      </c>
    </row>
    <row r="53" spans="1:91" s="25" customFormat="1" ht="11.25" x14ac:dyDescent="0.2">
      <c r="A53" s="745" t="s">
        <v>5</v>
      </c>
      <c r="B53" s="702"/>
      <c r="C53" s="193">
        <v>3.1870121608064794E-2</v>
      </c>
      <c r="D53" s="191">
        <v>4.9067310520639396E-2</v>
      </c>
      <c r="E53" s="191">
        <v>6.7960572119553975E-2</v>
      </c>
      <c r="F53" s="192">
        <v>9.0968740029977901E-2</v>
      </c>
      <c r="G53" s="220">
        <v>6.0099767716385921E-2</v>
      </c>
      <c r="H53" s="188"/>
      <c r="I53" s="152">
        <f>I52/C52-1</f>
        <v>0.12271913496081477</v>
      </c>
      <c r="J53" s="151">
        <f>J52/D52-1</f>
        <v>9.5034201564334397E-2</v>
      </c>
      <c r="K53" s="151">
        <f>K52/E52-1</f>
        <v>0.14348373077143028</v>
      </c>
      <c r="L53" s="153">
        <f>L52/F52-1</f>
        <v>9.5334786327144316E-2</v>
      </c>
      <c r="M53" s="154">
        <f>M52/G52-1</f>
        <v>0.11399576425827096</v>
      </c>
      <c r="N53" s="188"/>
      <c r="O53" s="152">
        <f>O52/I52-1</f>
        <v>-4.953349490725345E-2</v>
      </c>
      <c r="P53" s="151">
        <f>P52/J52-1</f>
        <v>-0.10171769977595213</v>
      </c>
      <c r="Q53" s="151">
        <f>Q52/K52-1</f>
        <v>-7.0563759933187087E-2</v>
      </c>
      <c r="R53" s="153">
        <f>R52/L52-1</f>
        <v>-8.9792608040783262E-2</v>
      </c>
      <c r="S53" s="154">
        <f>S52/M52-1</f>
        <v>-7.788258024740724E-2</v>
      </c>
      <c r="T53" s="188"/>
      <c r="U53" s="152">
        <f>U52/O52-1</f>
        <v>0.11952379365132271</v>
      </c>
      <c r="V53" s="151">
        <f>V52/P52-1</f>
        <v>0.11635944700460832</v>
      </c>
      <c r="W53" s="151">
        <f>W52/Q52-1</f>
        <v>6.0806775320014328E-2</v>
      </c>
      <c r="X53" s="153">
        <f>X52/R52-1</f>
        <v>0.10190494111396453</v>
      </c>
      <c r="Y53" s="154">
        <f>Y52/S52-1</f>
        <v>9.9061875382026487E-2</v>
      </c>
      <c r="Z53" s="188"/>
      <c r="AA53" s="152">
        <f>AA52/U52-1</f>
        <v>6.1338520551208253E-2</v>
      </c>
      <c r="AB53" s="151">
        <f>AB52/V52-1</f>
        <v>0.10518336471864931</v>
      </c>
      <c r="AC53" s="151">
        <f>AC52/W52-1</f>
        <v>0.11682356760266188</v>
      </c>
      <c r="AD53" s="153">
        <f>AD52/X52-1</f>
        <v>0.12832682909679005</v>
      </c>
      <c r="AE53" s="154">
        <f>AE52/Y52-1</f>
        <v>0.10272347790674008</v>
      </c>
      <c r="AF53" s="188"/>
      <c r="AG53" s="152">
        <f>AG52/AA52-1</f>
        <v>5.6283371204683075E-2</v>
      </c>
      <c r="AH53" s="151">
        <f>AH52/AB52-1</f>
        <v>5.5285210267665974E-2</v>
      </c>
      <c r="AI53" s="151">
        <f>AI52/AC52-1</f>
        <v>5.6729825963739433E-2</v>
      </c>
      <c r="AJ53" s="153">
        <f>AJ52/AD52-1</f>
        <v>3.910955214977907E-2</v>
      </c>
      <c r="AK53" s="154">
        <f>AK52/AE52-1</f>
        <v>5.1704836602514348E-2</v>
      </c>
      <c r="AL53" s="188"/>
      <c r="AM53" s="152">
        <f>AM52/AG52-1</f>
        <v>7.4725566572237945E-2</v>
      </c>
      <c r="AN53" s="151">
        <f>AN52/AH52-1</f>
        <v>5.8596547241670294E-2</v>
      </c>
      <c r="AO53" s="151">
        <f>AO52/AI52-1</f>
        <v>7.2766734715805192E-2</v>
      </c>
      <c r="AP53" s="151">
        <f>AP52/AJ52-1</f>
        <v>4.5249896117582011E-2</v>
      </c>
      <c r="AQ53" s="154">
        <f>AQ52/AK52-1</f>
        <v>6.2794298550276073E-2</v>
      </c>
      <c r="AR53" s="188"/>
      <c r="AS53" s="152">
        <f>AS52/AM52-1</f>
        <v>8.7305705883806484E-2</v>
      </c>
      <c r="AT53" s="151">
        <f>AT52/AN52-1</f>
        <v>8.1467693845544087E-2</v>
      </c>
      <c r="AU53" s="151">
        <f>AU52/AO52-1</f>
        <v>3.4029630697980151E-2</v>
      </c>
      <c r="AV53" s="151">
        <f>AV52/AP52-1</f>
        <v>8.1557377049180202E-2</v>
      </c>
      <c r="AW53" s="154">
        <f>AW52/AQ52-1</f>
        <v>7.0727929788332533E-2</v>
      </c>
      <c r="AX53" s="188"/>
      <c r="AY53" s="152">
        <f>AY52/AS52-1</f>
        <v>-7.9545454545471017E-4</v>
      </c>
      <c r="AZ53" s="151">
        <f>AZ52/AT52-1</f>
        <v>-1.7131474103585731E-2</v>
      </c>
      <c r="BA53" s="151">
        <f>BA52/AU52-1</f>
        <v>-5.1530414567996896E-2</v>
      </c>
      <c r="BB53" s="153">
        <f>BB52/AV52-1</f>
        <v>-2.6146267525577804E-2</v>
      </c>
      <c r="BC53" s="154">
        <f>BC52/AW52-1</f>
        <v>-2.382835101253622E-2</v>
      </c>
      <c r="BD53" s="665"/>
      <c r="BE53" s="717">
        <f>BE52/AY52-1</f>
        <v>-3.3321960650517291E-2</v>
      </c>
      <c r="BF53" s="696">
        <f t="shared" ref="BF53" si="224">BF52/AZ52-1</f>
        <v>-1.4997973246858476E-2</v>
      </c>
      <c r="BG53" s="696">
        <f t="shared" ref="BG53" si="225">BG52/BA52-1</f>
        <v>5.8006535947712434E-2</v>
      </c>
      <c r="BH53" s="697">
        <f t="shared" ref="BH53" si="226">BH52/BB52-1</f>
        <v>3.5019455252918386E-2</v>
      </c>
      <c r="BI53" s="732">
        <f t="shared" ref="BI53" si="227">BI52/BC52-1</f>
        <v>1.0579972142370275E-2</v>
      </c>
      <c r="BJ53" s="665"/>
      <c r="BK53" s="717">
        <f>BK52/BE52-1</f>
        <v>5.0980392156862786E-2</v>
      </c>
      <c r="BL53" s="696">
        <f t="shared" ref="BL53" si="228">BL52/BF52-1</f>
        <v>0</v>
      </c>
      <c r="BM53" s="696">
        <f t="shared" ref="BM53" si="229">BM52/BG52-1</f>
        <v>1.5444015444015413E-2</v>
      </c>
      <c r="BN53" s="697">
        <f t="shared" ref="BN53" si="230">BN52/BH52-1</f>
        <v>6.3909774436090139E-2</v>
      </c>
      <c r="BO53" s="732">
        <f t="shared" ref="BO53" si="231">BO52/BI52-1</f>
        <v>3.3235581622678367E-2</v>
      </c>
      <c r="BP53" s="665"/>
      <c r="BQ53" s="717">
        <f>BQ52/BK52-1</f>
        <v>3.7313432835820892E-2</v>
      </c>
      <c r="BR53" s="696">
        <f t="shared" ref="BR53" si="232">BR52/BL52-1</f>
        <v>8.6769852160005767E-2</v>
      </c>
      <c r="BS53" s="696">
        <f t="shared" ref="BS53" si="233">BS52/BM52-1</f>
        <v>6.5683530810094704E-2</v>
      </c>
      <c r="BT53" s="697">
        <f t="shared" ref="BT53" si="234">BT52/BN52-1</f>
        <v>2.3110628156449264E-2</v>
      </c>
      <c r="BU53" s="732">
        <f t="shared" ref="BU53" si="235">BU52/BO52-1</f>
        <v>5.1939593610417667E-2</v>
      </c>
      <c r="BV53" s="665"/>
      <c r="BW53" s="717">
        <f>BW52/BQ52-1</f>
        <v>7.4958318114300759E-2</v>
      </c>
      <c r="BX53" s="696">
        <f t="shared" ref="BX53" si="236">BX52/BR52-1</f>
        <v>6.1254945277928963E-2</v>
      </c>
      <c r="BY53" s="696">
        <f t="shared" ref="BY53" si="237">BY52/BS52-1</f>
        <v>6.0101949394723242E-2</v>
      </c>
      <c r="BZ53" s="697">
        <f t="shared" ref="BZ53" si="238">BZ52/BT52-1</f>
        <v>5.9872216544066603E-2</v>
      </c>
      <c r="CA53" s="732">
        <f t="shared" ref="CA53" si="239">CA52/BU52-1</f>
        <v>6.4030397992585586E-2</v>
      </c>
      <c r="CB53" s="665"/>
      <c r="CC53" s="717">
        <f>CC52/BW52-1</f>
        <v>6.1134282100537174E-2</v>
      </c>
      <c r="CD53" s="696">
        <f t="shared" ref="CD53" si="240">CD52/BX52-1</f>
        <v>6.1219096605999557E-2</v>
      </c>
      <c r="CE53" s="696">
        <f t="shared" ref="CE53" si="241">CE52/BY52-1</f>
        <v>6.1344141670866659E-2</v>
      </c>
      <c r="CF53" s="697">
        <f t="shared" ref="CF53" si="242">CF52/BZ52-1</f>
        <v>6.1171841665274451E-2</v>
      </c>
      <c r="CG53" s="732">
        <f t="shared" ref="CG53" si="243">CG52/CA52-1</f>
        <v>6.1216819648544973E-2</v>
      </c>
      <c r="CH53" s="665"/>
      <c r="CI53" s="717">
        <f>CI52/CC52-1</f>
        <v>6.1147521809784999E-2</v>
      </c>
      <c r="CJ53" s="696">
        <f t="shared" ref="CJ53" si="244">CJ52/CD52-1</f>
        <v>6.1232346975339302E-2</v>
      </c>
      <c r="CK53" s="696">
        <f t="shared" ref="CK53" si="245">CK52/CE52-1</f>
        <v>6.1357383028494361E-2</v>
      </c>
      <c r="CL53" s="697">
        <f t="shared" ref="CL53" si="246">CL52/CF52-1</f>
        <v>6.1185087768047541E-2</v>
      </c>
      <c r="CM53" s="732">
        <f t="shared" ref="CM53" si="247">CM52/CG52-1</f>
        <v>6.1230069908816187E-2</v>
      </c>
    </row>
    <row r="54" spans="1:91" s="25" customFormat="1" ht="11.25" x14ac:dyDescent="0.2">
      <c r="A54" s="745" t="s">
        <v>9</v>
      </c>
      <c r="B54" s="702"/>
      <c r="C54" s="193">
        <v>1.6E-2</v>
      </c>
      <c r="D54" s="191">
        <v>2.1000000000000001E-2</v>
      </c>
      <c r="E54" s="191">
        <v>2.5999999999999999E-2</v>
      </c>
      <c r="F54" s="192">
        <v>2.5000000000000001E-2</v>
      </c>
      <c r="G54" s="220">
        <v>2.1999999999999999E-2</v>
      </c>
      <c r="H54" s="191"/>
      <c r="I54" s="193">
        <v>5.0999999999999997E-2</v>
      </c>
      <c r="J54" s="191">
        <v>4.9000000000000002E-2</v>
      </c>
      <c r="K54" s="191">
        <v>0.06</v>
      </c>
      <c r="L54" s="192">
        <v>4.1000000000000002E-2</v>
      </c>
      <c r="M54" s="220">
        <v>5.0999999999999997E-2</v>
      </c>
      <c r="N54" s="191"/>
      <c r="O54" s="193">
        <v>-2.9000000000000001E-2</v>
      </c>
      <c r="P54" s="191">
        <v>-3.2000000000000001E-2</v>
      </c>
      <c r="Q54" s="191">
        <v>-6.2E-2</v>
      </c>
      <c r="R54" s="192">
        <v>-0.03</v>
      </c>
      <c r="S54" s="220">
        <v>-3.7999999999999999E-2</v>
      </c>
      <c r="T54" s="191"/>
      <c r="U54" s="193">
        <v>3.5999999999999997E-2</v>
      </c>
      <c r="V54" s="191">
        <v>1.4E-2</v>
      </c>
      <c r="W54" s="191">
        <v>-1E-3</v>
      </c>
      <c r="X54" s="192">
        <v>-1.4999999999999999E-2</v>
      </c>
      <c r="Y54" s="220">
        <v>8.0000000000000002E-3</v>
      </c>
      <c r="Z54" s="191"/>
      <c r="AA54" s="193">
        <v>0</v>
      </c>
      <c r="AB54" s="191">
        <v>2.4E-2</v>
      </c>
      <c r="AC54" s="191">
        <v>5.5E-2</v>
      </c>
      <c r="AD54" s="192">
        <v>5.8000000000000003E-2</v>
      </c>
      <c r="AE54" s="156">
        <f>SUMPRODUCT(AA54:AD54,U52:X52)/Y52</f>
        <v>3.4238039604968441E-2</v>
      </c>
      <c r="AF54" s="191"/>
      <c r="AG54" s="193">
        <v>1E-3</v>
      </c>
      <c r="AH54" s="191">
        <v>-0.01</v>
      </c>
      <c r="AI54" s="191">
        <v>-3.4000000000000002E-2</v>
      </c>
      <c r="AJ54" s="192">
        <v>-0.05</v>
      </c>
      <c r="AK54" s="156">
        <f>SUMPRODUCT(AG54:AJ54,AA52:AD52)/AE52</f>
        <v>-2.3754280557107186E-2</v>
      </c>
      <c r="AL54" s="191"/>
      <c r="AM54" s="193">
        <v>-1.6E-2</v>
      </c>
      <c r="AN54" s="191">
        <v>-7.0000000000000001E-3</v>
      </c>
      <c r="AO54" s="191">
        <v>-2.1000000000000001E-2</v>
      </c>
      <c r="AP54" s="191">
        <v>-1.2E-2</v>
      </c>
      <c r="AQ54" s="156">
        <f>SUMPRODUCT(AM54:AP54,AG52:AJ52)/AK52</f>
        <v>-1.4086665196202693E-2</v>
      </c>
      <c r="AR54" s="191"/>
      <c r="AS54" s="193">
        <v>-1.4999999999999999E-2</v>
      </c>
      <c r="AT54" s="191">
        <v>-2.3E-2</v>
      </c>
      <c r="AU54" s="191">
        <v>-1E-3</v>
      </c>
      <c r="AV54" s="188">
        <f>AV48*AP46/AP52</f>
        <v>5.368852459016394E-4</v>
      </c>
      <c r="AW54" s="156">
        <f>SUMPRODUCT(AS54:AV54,AM52:AP52)/AQ52</f>
        <v>-9.3946845637583893E-3</v>
      </c>
      <c r="AX54" s="191"/>
      <c r="AY54" s="190">
        <f>AY48*AS46/AS52</f>
        <v>-3.7113636363636363E-2</v>
      </c>
      <c r="AZ54" s="188">
        <f>AZ48*AT46/AT52</f>
        <v>-5.7227091633466134E-2</v>
      </c>
      <c r="BA54" s="188">
        <f>BA48*AU46/AU52</f>
        <v>-8.5238279736536221E-2</v>
      </c>
      <c r="BB54" s="155">
        <f>BB48*AV46/AV52</f>
        <v>-8.7154225085259579E-2</v>
      </c>
      <c r="BC54" s="156">
        <f>SUMPRODUCT(AY54:BB54,AS52:AV52)/AW52</f>
        <v>-6.6694310511089691E-2</v>
      </c>
      <c r="BD54" s="665"/>
      <c r="BE54" s="717">
        <f>BE48*AY46/AY52</f>
        <v>-6.97524546040411E-2</v>
      </c>
      <c r="BF54" s="696">
        <f t="shared" ref="BF54" si="248">BF48*AZ46/AZ52</f>
        <v>-4.9452776651803809E-2</v>
      </c>
      <c r="BG54" s="696">
        <f t="shared" ref="BG54" si="249">BG48*BA46/BA52</f>
        <v>-1.1437908496732025E-2</v>
      </c>
      <c r="BH54" s="697">
        <f t="shared" ref="BH54" si="250">BH48*BB46/BB52</f>
        <v>-5.8365758754863812E-4</v>
      </c>
      <c r="BI54" s="732">
        <f>SUMPRODUCT(BE54:BH54,AY52:BB52)/BC52</f>
        <v>-3.3142676505744401E-2</v>
      </c>
      <c r="BJ54" s="665"/>
      <c r="BK54" s="717">
        <f>BK48*BE46/BE52</f>
        <v>4.1725490196078043E-3</v>
      </c>
      <c r="BL54" s="696">
        <f t="shared" ref="BL54" si="251">BL48*BF46/BF52</f>
        <v>-4.1399176954732631E-3</v>
      </c>
      <c r="BM54" s="696">
        <f t="shared" ref="BM54" si="252">BM48*BG46/BG52</f>
        <v>-9.976833976833974E-3</v>
      </c>
      <c r="BN54" s="697">
        <f t="shared" ref="BN54" si="253">BN48*BH46/BH52</f>
        <v>-1.3947368421052873E-3</v>
      </c>
      <c r="BO54" s="732">
        <f>SUMPRODUCT(BK54:BN54,BE52:BH52)/BI52</f>
        <v>-2.8318670576735279E-3</v>
      </c>
      <c r="BP54" s="665"/>
      <c r="BQ54" s="717">
        <f>BQ48*BK46/BK52</f>
        <v>1.5044776119402959E-2</v>
      </c>
      <c r="BR54" s="696">
        <f t="shared" ref="BR54" si="254">BR48*BL46/BL52</f>
        <v>2.6358329526260663E-2</v>
      </c>
      <c r="BS54" s="696">
        <f t="shared" ref="BS54" si="255">BS48*BM46/BM52</f>
        <v>2.0702542216938808E-2</v>
      </c>
      <c r="BT54" s="697">
        <f t="shared" ref="BT54" si="256">BT48*BN46/BN52</f>
        <v>8.3049744462021895E-3</v>
      </c>
      <c r="BU54" s="732">
        <f>SUMPRODUCT(BQ54:BT54,BK52:BN52)/BO52</f>
        <v>1.7248959740975837E-2</v>
      </c>
      <c r="BV54" s="665"/>
      <c r="BW54" s="717">
        <f>BW48*BQ46/BQ52</f>
        <v>1.5210116675451687E-2</v>
      </c>
      <c r="BX54" s="696">
        <f t="shared" ref="BX54" si="257">BX48*BR46/BR52</f>
        <v>1.3260383894628171E-3</v>
      </c>
      <c r="BY54" s="696">
        <f t="shared" ref="BY54" si="258">BY48*BS46/BS52</f>
        <v>0</v>
      </c>
      <c r="BZ54" s="697">
        <f t="shared" ref="BZ54" si="259">BZ48*BT46/BT52</f>
        <v>0</v>
      </c>
      <c r="CA54" s="732">
        <f>SUMPRODUCT(BW54:BZ54,BQ52:BT52)/BU52</f>
        <v>4.117815237497339E-3</v>
      </c>
      <c r="CB54" s="665"/>
      <c r="CC54" s="717">
        <f>CC48*BW46/BW52</f>
        <v>0</v>
      </c>
      <c r="CD54" s="696">
        <f t="shared" ref="CD54" si="260">CD48*BX46/BX52</f>
        <v>0</v>
      </c>
      <c r="CE54" s="696">
        <f t="shared" ref="CE54" si="261">CE48*BY46/BY52</f>
        <v>0</v>
      </c>
      <c r="CF54" s="697">
        <f t="shared" ref="CF54" si="262">CF48*BZ46/BZ52</f>
        <v>0</v>
      </c>
      <c r="CG54" s="732">
        <f>SUMPRODUCT(CC54:CF54,BW52:BZ52)/CA52</f>
        <v>0</v>
      </c>
      <c r="CH54" s="665"/>
      <c r="CI54" s="717">
        <f>CI48*CC46/CC52</f>
        <v>0</v>
      </c>
      <c r="CJ54" s="696">
        <f t="shared" ref="CJ54" si="263">CJ48*CD46/CD52</f>
        <v>0</v>
      </c>
      <c r="CK54" s="696">
        <f t="shared" ref="CK54" si="264">CK48*CE46/CE52</f>
        <v>0</v>
      </c>
      <c r="CL54" s="697">
        <f t="shared" ref="CL54" si="265">CL48*CF46/CF52</f>
        <v>0</v>
      </c>
      <c r="CM54" s="732">
        <f>SUMPRODUCT(CI54:CL54,CC52:CF52)/CG52</f>
        <v>0</v>
      </c>
    </row>
    <row r="55" spans="1:91" s="25" customFormat="1" ht="11.25" x14ac:dyDescent="0.2">
      <c r="A55" s="745" t="s">
        <v>10</v>
      </c>
      <c r="B55" s="702"/>
      <c r="C55" s="193">
        <v>1.5870121608064794E-2</v>
      </c>
      <c r="D55" s="191">
        <v>2.8067310520639394E-2</v>
      </c>
      <c r="E55" s="191">
        <v>4.1960572119553979E-2</v>
      </c>
      <c r="F55" s="192">
        <v>6.5968740029977907E-2</v>
      </c>
      <c r="G55" s="220">
        <v>3.8099767716385922E-2</v>
      </c>
      <c r="H55" s="151"/>
      <c r="I55" s="152">
        <f>I53-I54</f>
        <v>7.1719134960814779E-2</v>
      </c>
      <c r="J55" s="151">
        <f>J53-J54</f>
        <v>4.6034201564334395E-2</v>
      </c>
      <c r="K55" s="151">
        <f>K53-K54</f>
        <v>8.3483730771430287E-2</v>
      </c>
      <c r="L55" s="153">
        <f>L53-L54</f>
        <v>5.4334786327144315E-2</v>
      </c>
      <c r="M55" s="154">
        <f>M53-M54</f>
        <v>6.299576425827097E-2</v>
      </c>
      <c r="N55" s="188"/>
      <c r="O55" s="152">
        <f>O53-O54</f>
        <v>-2.0533494907253449E-2</v>
      </c>
      <c r="P55" s="151">
        <f>P53-P54</f>
        <v>-6.971769977595213E-2</v>
      </c>
      <c r="Q55" s="151">
        <f>Q53-Q54</f>
        <v>-8.5637599331870873E-3</v>
      </c>
      <c r="R55" s="153">
        <f>R53-R54</f>
        <v>-5.9792608040783263E-2</v>
      </c>
      <c r="S55" s="154">
        <f>S53-S54</f>
        <v>-3.9882580247407241E-2</v>
      </c>
      <c r="T55" s="151"/>
      <c r="U55" s="152">
        <f>U53-U54</f>
        <v>8.3523793651322703E-2</v>
      </c>
      <c r="V55" s="151">
        <f>V53-V54</f>
        <v>0.10235944700460832</v>
      </c>
      <c r="W55" s="151">
        <f>W53-W54</f>
        <v>6.1806775320014329E-2</v>
      </c>
      <c r="X55" s="153">
        <f>X53-X54</f>
        <v>0.11690494111396453</v>
      </c>
      <c r="Y55" s="154">
        <f>Y53-Y54</f>
        <v>9.106187538202648E-2</v>
      </c>
      <c r="Z55" s="151"/>
      <c r="AA55" s="152">
        <f>AA53-AA54</f>
        <v>6.1338520551208253E-2</v>
      </c>
      <c r="AB55" s="151">
        <f>AB53-AB54</f>
        <v>8.1183364718649315E-2</v>
      </c>
      <c r="AC55" s="151">
        <f>AC53-AC54</f>
        <v>6.1823567602661882E-2</v>
      </c>
      <c r="AD55" s="153">
        <f>AD53-AD54</f>
        <v>7.0326829096790056E-2</v>
      </c>
      <c r="AE55" s="154">
        <f>AE53-AE54</f>
        <v>6.8485438301771645E-2</v>
      </c>
      <c r="AF55" s="188"/>
      <c r="AG55" s="152">
        <f>AG53-AG54</f>
        <v>5.5283371204683074E-2</v>
      </c>
      <c r="AH55" s="151">
        <f>AH53-AH54</f>
        <v>6.5285210267665969E-2</v>
      </c>
      <c r="AI55" s="151">
        <f>AI53-AI54</f>
        <v>9.0729825963739436E-2</v>
      </c>
      <c r="AJ55" s="153">
        <f>AJ53-AJ54</f>
        <v>8.9109552149779073E-2</v>
      </c>
      <c r="AK55" s="154">
        <f>AK53-AK54</f>
        <v>7.545911715962153E-2</v>
      </c>
      <c r="AL55" s="188"/>
      <c r="AM55" s="152">
        <f>AM53-AM54</f>
        <v>9.0725566572237945E-2</v>
      </c>
      <c r="AN55" s="151">
        <f>AN53-AN54</f>
        <v>6.55965472416703E-2</v>
      </c>
      <c r="AO55" s="151">
        <f>AO53-AO54</f>
        <v>9.3766734715805197E-2</v>
      </c>
      <c r="AP55" s="151">
        <f>AP53-AP54</f>
        <v>5.7249896117582008E-2</v>
      </c>
      <c r="AQ55" s="154">
        <f>AQ53-AQ54</f>
        <v>7.6880963746478764E-2</v>
      </c>
      <c r="AR55" s="188"/>
      <c r="AS55" s="152">
        <f>AS53-AS54</f>
        <v>0.10230570588380648</v>
      </c>
      <c r="AT55" s="151">
        <f>AT53-AT54</f>
        <v>0.10446769384554408</v>
      </c>
      <c r="AU55" s="151">
        <f>AU53-AU54</f>
        <v>3.5029630697980152E-2</v>
      </c>
      <c r="AV55" s="151">
        <f>AV53-AV54</f>
        <v>8.1020491803278569E-2</v>
      </c>
      <c r="AW55" s="154">
        <f>AW53-AW54</f>
        <v>8.0122614352090921E-2</v>
      </c>
      <c r="AX55" s="188"/>
      <c r="AY55" s="152">
        <f>AY53-AY54</f>
        <v>3.6318181818181652E-2</v>
      </c>
      <c r="AZ55" s="151">
        <f>AZ53-AZ54</f>
        <v>4.0095617529880404E-2</v>
      </c>
      <c r="BA55" s="151">
        <f>BA53-BA54</f>
        <v>3.3707865168539325E-2</v>
      </c>
      <c r="BB55" s="153">
        <f>BB53-BB54</f>
        <v>6.1007957559681775E-2</v>
      </c>
      <c r="BC55" s="154">
        <f>BC53-BC54</f>
        <v>4.2865959498553471E-2</v>
      </c>
      <c r="BD55" s="665"/>
      <c r="BE55" s="717">
        <f>BE53-BE54</f>
        <v>3.643049395352381E-2</v>
      </c>
      <c r="BF55" s="696">
        <f t="shared" ref="BF55" si="266">BF53-BF54</f>
        <v>3.4454803404945333E-2</v>
      </c>
      <c r="BG55" s="696">
        <f t="shared" ref="BG55" si="267">BG53-BG54</f>
        <v>6.9444444444444461E-2</v>
      </c>
      <c r="BH55" s="697">
        <f t="shared" ref="BH55" si="268">BH53-BH54</f>
        <v>3.5603112840467022E-2</v>
      </c>
      <c r="BI55" s="732">
        <f t="shared" ref="BI55" si="269">BI53-BI54</f>
        <v>4.3722648648114676E-2</v>
      </c>
      <c r="BJ55" s="665"/>
      <c r="BK55" s="717">
        <f>BK53-BK54</f>
        <v>4.680784313725498E-2</v>
      </c>
      <c r="BL55" s="696">
        <f t="shared" ref="BL55" si="270">BL53-BL54</f>
        <v>4.1399176954732631E-3</v>
      </c>
      <c r="BM55" s="696">
        <f t="shared" ref="BM55" si="271">BM53-BM54</f>
        <v>2.5420849420849385E-2</v>
      </c>
      <c r="BN55" s="697">
        <f t="shared" ref="BN55" si="272">BN53-BN54</f>
        <v>6.5304511278195421E-2</v>
      </c>
      <c r="BO55" s="732">
        <f t="shared" ref="BO55" si="273">BO53-BO54</f>
        <v>3.6067448680351895E-2</v>
      </c>
      <c r="BP55" s="665"/>
      <c r="BQ55" s="717">
        <f>BQ53-BQ54</f>
        <v>2.2268656716417933E-2</v>
      </c>
      <c r="BR55" s="696">
        <f t="shared" ref="BR55:BU55" si="274">BR53-BR54</f>
        <v>6.0411522633745107E-2</v>
      </c>
      <c r="BS55" s="696">
        <f t="shared" si="274"/>
        <v>4.4980988593155899E-2</v>
      </c>
      <c r="BT55" s="697">
        <f t="shared" si="274"/>
        <v>1.4805653710247075E-2</v>
      </c>
      <c r="BU55" s="732">
        <f t="shared" si="274"/>
        <v>3.469063386944183E-2</v>
      </c>
      <c r="BV55" s="665"/>
      <c r="BW55" s="717">
        <f>BW53-BW54</f>
        <v>5.9748201438849069E-2</v>
      </c>
      <c r="BX55" s="696">
        <f t="shared" ref="BX55:CA55" si="275">BX53-BX54</f>
        <v>5.9928906888466145E-2</v>
      </c>
      <c r="BY55" s="696">
        <f t="shared" si="275"/>
        <v>6.0101949394723242E-2</v>
      </c>
      <c r="BZ55" s="697">
        <f t="shared" si="275"/>
        <v>5.9872216544066603E-2</v>
      </c>
      <c r="CA55" s="732">
        <f t="shared" si="275"/>
        <v>5.9912582755088248E-2</v>
      </c>
      <c r="CB55" s="665"/>
      <c r="CC55" s="717">
        <f>CC53-CC54</f>
        <v>6.1134282100537174E-2</v>
      </c>
      <c r="CD55" s="696">
        <f t="shared" ref="CD55:CG55" si="276">CD53-CD54</f>
        <v>6.1219096605999557E-2</v>
      </c>
      <c r="CE55" s="696">
        <f t="shared" si="276"/>
        <v>6.1344141670866659E-2</v>
      </c>
      <c r="CF55" s="697">
        <f t="shared" si="276"/>
        <v>6.1171841665274451E-2</v>
      </c>
      <c r="CG55" s="732">
        <f t="shared" si="276"/>
        <v>6.1216819648544973E-2</v>
      </c>
      <c r="CH55" s="665"/>
      <c r="CI55" s="717">
        <f>CI53-CI54</f>
        <v>6.1147521809784999E-2</v>
      </c>
      <c r="CJ55" s="696">
        <f t="shared" ref="CJ55:CM55" si="277">CJ53-CJ54</f>
        <v>6.1232346975339302E-2</v>
      </c>
      <c r="CK55" s="696">
        <f t="shared" si="277"/>
        <v>6.1357383028494361E-2</v>
      </c>
      <c r="CL55" s="697">
        <f t="shared" si="277"/>
        <v>6.1185087768047541E-2</v>
      </c>
      <c r="CM55" s="732">
        <f t="shared" si="277"/>
        <v>6.1230069908816187E-2</v>
      </c>
    </row>
    <row r="56" spans="1:91" s="25" customFormat="1" ht="11.25" x14ac:dyDescent="0.2">
      <c r="A56" s="745" t="s">
        <v>6</v>
      </c>
      <c r="B56" s="702"/>
      <c r="C56" s="193">
        <v>0</v>
      </c>
      <c r="D56" s="191">
        <v>0</v>
      </c>
      <c r="E56" s="191">
        <v>0</v>
      </c>
      <c r="F56" s="192">
        <v>0</v>
      </c>
      <c r="G56" s="220">
        <v>0</v>
      </c>
      <c r="H56" s="151"/>
      <c r="I56" s="152">
        <f>(I44*C42+I50*C46)/C52</f>
        <v>0</v>
      </c>
      <c r="J56" s="151">
        <f>(J44*D42+J50*D46)/D52</f>
        <v>0</v>
      </c>
      <c r="K56" s="151">
        <f>(K44*E42+K50*E46)/E52</f>
        <v>0</v>
      </c>
      <c r="L56" s="153">
        <f>(L44*F42+L50*F46)/F52</f>
        <v>0</v>
      </c>
      <c r="M56" s="154">
        <f>SUMPRODUCT(I56:L56,C52:F52)/G52</f>
        <v>0</v>
      </c>
      <c r="N56" s="188"/>
      <c r="O56" s="152">
        <f>(O44*I42+O50*I46)/I52</f>
        <v>-8.2297095365574183E-2</v>
      </c>
      <c r="P56" s="151">
        <f>(P44*J42+P50*J46)/J52</f>
        <v>-8.4482022831537398E-2</v>
      </c>
      <c r="Q56" s="151">
        <f>(Q44*K42+Q50*K46)/K52</f>
        <v>-7.7515115447512273E-2</v>
      </c>
      <c r="R56" s="153">
        <f>(R44*L42+R50*L46)/L52</f>
        <v>-7.8080528731115859E-2</v>
      </c>
      <c r="S56" s="154">
        <f>SUMPRODUCT(O56:R56,I52:L52)/M52</f>
        <v>-8.0512458710650173E-2</v>
      </c>
      <c r="T56" s="151"/>
      <c r="U56" s="152">
        <f>(U44*O42+U50*O46)/O52</f>
        <v>0</v>
      </c>
      <c r="V56" s="151">
        <f>(V44*P42+V50*P46)/P52</f>
        <v>0</v>
      </c>
      <c r="W56" s="151">
        <f>(W44*Q42+W50*Q46)/Q52</f>
        <v>0</v>
      </c>
      <c r="X56" s="153">
        <f>(X44*R42+X50*R46)/R52</f>
        <v>0</v>
      </c>
      <c r="Y56" s="154">
        <f>SUMPRODUCT(U56:X56,O52:R52)/S52</f>
        <v>0</v>
      </c>
      <c r="Z56" s="151"/>
      <c r="AA56" s="152">
        <f>(AA44*U42+AA50*U46)/U52</f>
        <v>0</v>
      </c>
      <c r="AB56" s="151">
        <f>(AB44*V42+AB50*V46)/V52</f>
        <v>0</v>
      </c>
      <c r="AC56" s="151">
        <f>(AC44*W42+AC50*W46)/W52</f>
        <v>0</v>
      </c>
      <c r="AD56" s="153">
        <f>(AD44*X42+AD50*X46)/X52</f>
        <v>0</v>
      </c>
      <c r="AE56" s="154">
        <f>SUMPRODUCT(AA56:AD56,U52:X52)/Y52</f>
        <v>0</v>
      </c>
      <c r="AF56" s="188"/>
      <c r="AG56" s="152">
        <f>(AG44*AA42+AG50*AA46)/AA52</f>
        <v>0</v>
      </c>
      <c r="AH56" s="151">
        <f>(AH44*AB42+AH50*AB46)/AB52</f>
        <v>0</v>
      </c>
      <c r="AI56" s="151">
        <f>(AI44*AC42+AI50*AC46)/AC52</f>
        <v>0</v>
      </c>
      <c r="AJ56" s="153">
        <f>(AJ44*AD42+AJ50*AD46)/AD52</f>
        <v>0</v>
      </c>
      <c r="AK56" s="154">
        <f>SUMPRODUCT(AG56:AJ56,AA52:AD52)/AE52</f>
        <v>0</v>
      </c>
      <c r="AL56" s="188"/>
      <c r="AM56" s="152">
        <f>(AM44*AG42+AM50*AG46)/AG52</f>
        <v>0</v>
      </c>
      <c r="AN56" s="151">
        <f>(AN44*AH42+AN50*AH46)/AH52</f>
        <v>0</v>
      </c>
      <c r="AO56" s="151">
        <f>(AO44*AI42+AO50*AI46)/AI52</f>
        <v>0</v>
      </c>
      <c r="AP56" s="151">
        <f>(AP44*AJ42+AP50*AJ46)/AJ52</f>
        <v>0</v>
      </c>
      <c r="AQ56" s="154">
        <f>SUMPRODUCT(AM56:AP56,AG52:AJ52)/AK52</f>
        <v>0</v>
      </c>
      <c r="AR56" s="188"/>
      <c r="AS56" s="152">
        <f>(AS44*AM42+AS50*AM46)/AM52</f>
        <v>0</v>
      </c>
      <c r="AT56" s="151">
        <f>(AT44*AN42+AT50*AN46)/AN52</f>
        <v>0</v>
      </c>
      <c r="AU56" s="151">
        <f>(AU44*AO42+AU50*AO46)/AO52</f>
        <v>0</v>
      </c>
      <c r="AV56" s="151">
        <f>(AV44*AP42+AV50*AP46)/AP52</f>
        <v>0</v>
      </c>
      <c r="AW56" s="154">
        <f>SUMPRODUCT(AS56:AV56,AM52:AP52)/AQ52</f>
        <v>0</v>
      </c>
      <c r="AX56" s="188"/>
      <c r="AY56" s="152">
        <f>(AY44*AS42+AY50*AS46)/AS52</f>
        <v>0</v>
      </c>
      <c r="AZ56" s="151">
        <f>(AZ44*AT42+AZ50*AT46)/AT52</f>
        <v>0</v>
      </c>
      <c r="BA56" s="151">
        <f>(BA44*AU42+BA50*AU46)/AU52</f>
        <v>0</v>
      </c>
      <c r="BB56" s="153">
        <f>(BB44*AV42+BB50*AV46)/AV52</f>
        <v>0</v>
      </c>
      <c r="BC56" s="154">
        <f>SUMPRODUCT(AY56:BB56,AS52:AV52)/AW52</f>
        <v>0</v>
      </c>
      <c r="BD56" s="665"/>
      <c r="BE56" s="717">
        <f>(BE44*AY42+BE50*AY46)/AY52</f>
        <v>0</v>
      </c>
      <c r="BF56" s="696">
        <f t="shared" ref="BF56" si="278">(BF44*AZ42+BF50*AZ46)/AZ52</f>
        <v>0</v>
      </c>
      <c r="BG56" s="696">
        <f t="shared" ref="BG56" si="279">(BG44*BA42+BG50*BA46)/BA52</f>
        <v>0</v>
      </c>
      <c r="BH56" s="697">
        <f t="shared" ref="BH56" si="280">(BH44*BB42+BH50*BB46)/BB52</f>
        <v>0</v>
      </c>
      <c r="BI56" s="732">
        <f>SUMPRODUCT(BE56:BH56,AY52:BB52)/BC52</f>
        <v>0</v>
      </c>
      <c r="BJ56" s="665"/>
      <c r="BK56" s="717">
        <f>(BK44*BE42+BK50*BE46)/BE52</f>
        <v>0</v>
      </c>
      <c r="BL56" s="696">
        <f t="shared" ref="BL56" si="281">(BL44*BF42+BL50*BF46)/BF52</f>
        <v>0</v>
      </c>
      <c r="BM56" s="696">
        <f t="shared" ref="BM56" si="282">(BM44*BG42+BM50*BG46)/BG52</f>
        <v>0</v>
      </c>
      <c r="BN56" s="697">
        <f t="shared" ref="BN56" si="283">(BN44*BH42+BN50*BH46)/BH52</f>
        <v>0</v>
      </c>
      <c r="BO56" s="732">
        <f>SUMPRODUCT(BK56:BN56,BE52:BH52)/BI52</f>
        <v>0</v>
      </c>
      <c r="BP56" s="665"/>
      <c r="BQ56" s="717">
        <f>(BQ44*BK42+BQ50*BK46)/BK52</f>
        <v>0</v>
      </c>
      <c r="BR56" s="696">
        <f t="shared" ref="BR56" si="284">(BR44*BL42+BR50*BL46)/BL52</f>
        <v>0</v>
      </c>
      <c r="BS56" s="696">
        <f t="shared" ref="BS56" si="285">(BS44*BM42+BS50*BM46)/BM52</f>
        <v>0</v>
      </c>
      <c r="BT56" s="697">
        <f t="shared" ref="BT56" si="286">(BT44*BN42+BT50*BN46)/BN52</f>
        <v>0</v>
      </c>
      <c r="BU56" s="732">
        <f>SUMPRODUCT(BQ56:BT56,BK52:BN52)/BO52</f>
        <v>0</v>
      </c>
      <c r="BV56" s="665"/>
      <c r="BW56" s="717">
        <f>(BW44*BQ42+BW50*BQ46)/BQ52</f>
        <v>0</v>
      </c>
      <c r="BX56" s="696">
        <f t="shared" ref="BX56" si="287">(BX44*BR42+BX50*BR46)/BR52</f>
        <v>0</v>
      </c>
      <c r="BY56" s="696">
        <f t="shared" ref="BY56" si="288">(BY44*BS42+BY50*BS46)/BS52</f>
        <v>0</v>
      </c>
      <c r="BZ56" s="697">
        <f t="shared" ref="BZ56" si="289">(BZ44*BT42+BZ50*BT46)/BT52</f>
        <v>0</v>
      </c>
      <c r="CA56" s="732">
        <f>SUMPRODUCT(BW56:BZ56,BQ52:BT52)/BU52</f>
        <v>0</v>
      </c>
      <c r="CB56" s="665"/>
      <c r="CC56" s="717">
        <f>(CC44*BW42+CC50*BW46)/BW52</f>
        <v>0</v>
      </c>
      <c r="CD56" s="696">
        <f t="shared" ref="CD56" si="290">(CD44*BX42+CD50*BX46)/BX52</f>
        <v>0</v>
      </c>
      <c r="CE56" s="696">
        <f t="shared" ref="CE56" si="291">(CE44*BY42+CE50*BY46)/BY52</f>
        <v>0</v>
      </c>
      <c r="CF56" s="697">
        <f t="shared" ref="CF56" si="292">(CF44*BZ42+CF50*BZ46)/BZ52</f>
        <v>0</v>
      </c>
      <c r="CG56" s="732">
        <f>SUMPRODUCT(CC56:CF56,BW52:BZ52)/CA52</f>
        <v>0</v>
      </c>
      <c r="CH56" s="665"/>
      <c r="CI56" s="717">
        <f>(CI44*CC42+CI50*CC46)/CC52</f>
        <v>0</v>
      </c>
      <c r="CJ56" s="696">
        <f t="shared" ref="CJ56" si="293">(CJ44*CD42+CJ50*CD46)/CD52</f>
        <v>0</v>
      </c>
      <c r="CK56" s="696">
        <f t="shared" ref="CK56" si="294">(CK44*CE42+CK50*CE46)/CE52</f>
        <v>0</v>
      </c>
      <c r="CL56" s="697">
        <f t="shared" ref="CL56" si="295">(CL44*CF42+CL50*CF46)/CF52</f>
        <v>0</v>
      </c>
      <c r="CM56" s="732">
        <f>SUMPRODUCT(CI56:CL56,CC52:CF52)/CG52</f>
        <v>0</v>
      </c>
    </row>
    <row r="57" spans="1:91" s="25" customFormat="1" ht="11.25" x14ac:dyDescent="0.2">
      <c r="A57" s="745" t="s">
        <v>7</v>
      </c>
      <c r="B57" s="702"/>
      <c r="C57" s="193">
        <v>1.6177756979617843E-2</v>
      </c>
      <c r="D57" s="191">
        <v>2.7721688400823598E-2</v>
      </c>
      <c r="E57" s="191">
        <v>4.0452174762736617E-2</v>
      </c>
      <c r="F57" s="192">
        <v>6.5196480920763508E-2</v>
      </c>
      <c r="G57" s="220">
        <v>3.7504689082670156E-2</v>
      </c>
      <c r="H57" s="151"/>
      <c r="I57" s="152">
        <f>(I45*C42+I51*C46)/C52</f>
        <v>7.1728892735615238E-2</v>
      </c>
      <c r="J57" s="151">
        <f>(J45*D42+J51*D46)/D52</f>
        <v>4.5629968865185569E-2</v>
      </c>
      <c r="K57" s="151">
        <f>(K45*E42+K51*E46)/E52</f>
        <v>8.2910093212100425E-2</v>
      </c>
      <c r="L57" s="153">
        <f>(L45*F42+L51*F46)/F52</f>
        <v>5.3277280878417502E-2</v>
      </c>
      <c r="M57" s="154">
        <f>SUMPRODUCT(I57:L57,C52:F52)/G52:G52</f>
        <v>6.3313844323560048E-2</v>
      </c>
      <c r="N57" s="188"/>
      <c r="O57" s="152">
        <f>(O45*I42+O51*I46)/I52</f>
        <v>6.2029183629288172E-2</v>
      </c>
      <c r="P57" s="151">
        <f>(P45*J42+P51*J46)/J52</f>
        <v>1.4654230235783714E-2</v>
      </c>
      <c r="Q57" s="151">
        <f>(Q45*K42+Q51*K46)/K52</f>
        <v>6.5341541600612091E-2</v>
      </c>
      <c r="R57" s="153">
        <f>(R45*L42+R51*L46)/L52</f>
        <v>1.5346984832227599E-2</v>
      </c>
      <c r="S57" s="154">
        <f>SUMPRODUCT(O57:R57,I52:L52)/M52:M52</f>
        <v>3.947647361544445E-2</v>
      </c>
      <c r="T57" s="151"/>
      <c r="U57" s="152">
        <f>(U45*O42+U51*O46)/O52</f>
        <v>8.3925702476584027E-2</v>
      </c>
      <c r="V57" s="151">
        <f>(V45*P42+V51*P46)/P52</f>
        <v>0.10219932063280915</v>
      </c>
      <c r="W57" s="151">
        <f>(W45*Q42+W51*Q46)/Q52</f>
        <v>6.2332529822277022E-2</v>
      </c>
      <c r="X57" s="153">
        <f>(X45*R42+X51*R46)/R52</f>
        <v>0.1166864539980519</v>
      </c>
      <c r="Y57" s="154">
        <f>SUMPRODUCT(U57:X57,O52:R52)/S52:S52</f>
        <v>9.089623701109327E-2</v>
      </c>
      <c r="Z57" s="151"/>
      <c r="AA57" s="152">
        <f>(AA45*U42+AA51*U46)/U52</f>
        <v>6.0817696418735606E-2</v>
      </c>
      <c r="AB57" s="151">
        <f>(AB45*V42+AB51*V46)/V52</f>
        <v>8.1313837200642544E-2</v>
      </c>
      <c r="AC57" s="151">
        <f>(AC45*W42+AC51*W46)/W52</f>
        <v>6.247673875994162E-2</v>
      </c>
      <c r="AD57" s="153">
        <f>(AD45*X42+AD51*X46)/X52</f>
        <v>6.9287668067965477E-2</v>
      </c>
      <c r="AE57" s="154">
        <f>SUMPRODUCT(AA57:AD57,U52:X52)/Y52:Y52</f>
        <v>6.8283654041946668E-2</v>
      </c>
      <c r="AF57" s="188"/>
      <c r="AG57" s="152">
        <f>(AG45*AA42+AG51*AA46)/AA52</f>
        <v>5.4680192816599797E-2</v>
      </c>
      <c r="AH57" s="151">
        <f>(AH45*AB42+AH51*AB46)/AB52</f>
        <v>6.4973166024095294E-2</v>
      </c>
      <c r="AI57" s="151">
        <f>(AI45*AC42+AI51*AC46)/AC52</f>
        <v>9.0440622388547817E-2</v>
      </c>
      <c r="AJ57" s="153">
        <f>(AJ45*AD42+AJ51*AD46)/AD52</f>
        <v>8.8717058904701121E-2</v>
      </c>
      <c r="AK57" s="154">
        <f>SUMPRODUCT(AG57:AJ57,AA52:AD52)/AE52:AE52</f>
        <v>7.5060155157211553E-2</v>
      </c>
      <c r="AL57" s="188"/>
      <c r="AM57" s="152">
        <f>(AM45*AG42+AM51*AG46)/AG52</f>
        <v>9.1245635623229501E-2</v>
      </c>
      <c r="AN57" s="151">
        <f>(AN45*AH42+AN51*AH46)/AH52</f>
        <v>6.6363200985199253E-2</v>
      </c>
      <c r="AO57" s="151">
        <f>(AO45*AI42+AO51*AI46)/AI52</f>
        <v>9.385400236381207E-2</v>
      </c>
      <c r="AP57" s="151">
        <f>(AP45*AJ42+AP51*AJ46)/AJ52</f>
        <v>5.8143203519579169E-2</v>
      </c>
      <c r="AQ57" s="154">
        <f>SUMPRODUCT(AM57:AP57,AG52:AJ52)/AK52:AK52</f>
        <v>7.7445462795615386E-2</v>
      </c>
      <c r="AR57" s="188"/>
      <c r="AS57" s="152">
        <f>(AS45*AM42+AS51*AM46)/AM52</f>
        <v>0.10234324264215282</v>
      </c>
      <c r="AT57" s="151">
        <f>(AT45*AN42+AT51*AN46)/AN52</f>
        <v>0.10470980042396978</v>
      </c>
      <c r="AU57" s="151">
        <f>(AU45*AO42+AU51*AO46)/AO52</f>
        <v>3.5091712538961456E-2</v>
      </c>
      <c r="AV57" s="151">
        <f>(AV45*AP42+AV51*AP46)/AP52</f>
        <v>8.1020491803278707E-2</v>
      </c>
      <c r="AW57" s="154">
        <f>SUMPRODUCT(AS57:AV57,AM52:AP52)/AQ52:AQ52</f>
        <v>8.0206043366029947E-2</v>
      </c>
      <c r="AX57" s="188"/>
      <c r="AY57" s="152">
        <f>(AY45*AS42+AY51*AS46)/AS52</f>
        <v>3.6318181818181715E-2</v>
      </c>
      <c r="AZ57" s="151">
        <f>(AZ45*AT42+AZ51*AT46)/AT52</f>
        <v>4.0095617529880494E-2</v>
      </c>
      <c r="BA57" s="151">
        <f>(BA45*AU42+BA51*AU46)/AU52</f>
        <v>3.3707865168539436E-2</v>
      </c>
      <c r="BB57" s="153">
        <f>(BB45*AV42+BB51*AV46)/AV52</f>
        <v>6.1007957559681684E-2</v>
      </c>
      <c r="BC57" s="154">
        <f>SUMPRODUCT(AY57:BB57,AS52:AV52)/AW52:AW52</f>
        <v>4.286595949855352E-2</v>
      </c>
      <c r="BD57" s="665"/>
      <c r="BE57" s="717">
        <f>BE55-BE56</f>
        <v>3.643049395352381E-2</v>
      </c>
      <c r="BF57" s="696">
        <f t="shared" ref="BF57" si="296">BF55-BF56</f>
        <v>3.4454803404945333E-2</v>
      </c>
      <c r="BG57" s="696">
        <f t="shared" ref="BG57" si="297">BG55-BG56</f>
        <v>6.9444444444444461E-2</v>
      </c>
      <c r="BH57" s="697">
        <f t="shared" ref="BH57" si="298">BH55-BH56</f>
        <v>3.5603112840467022E-2</v>
      </c>
      <c r="BI57" s="732">
        <f t="shared" ref="BI57" si="299">BI55-BI56</f>
        <v>4.3722648648114676E-2</v>
      </c>
      <c r="BJ57" s="665"/>
      <c r="BK57" s="717">
        <f>BK55-BK56</f>
        <v>4.680784313725498E-2</v>
      </c>
      <c r="BL57" s="696">
        <f t="shared" ref="BL57" si="300">BL55-BL56</f>
        <v>4.1399176954732631E-3</v>
      </c>
      <c r="BM57" s="696">
        <f t="shared" ref="BM57" si="301">BM55-BM56</f>
        <v>2.5420849420849385E-2</v>
      </c>
      <c r="BN57" s="697">
        <f t="shared" ref="BN57" si="302">BN55-BN56</f>
        <v>6.5304511278195421E-2</v>
      </c>
      <c r="BO57" s="732">
        <f t="shared" ref="BO57" si="303">BO55-BO56</f>
        <v>3.6067448680351895E-2</v>
      </c>
      <c r="BP57" s="665"/>
      <c r="BQ57" s="717">
        <f>BQ55-BQ56</f>
        <v>2.2268656716417933E-2</v>
      </c>
      <c r="BR57" s="696">
        <f t="shared" ref="BR57:BU57" si="304">BR55-BR56</f>
        <v>6.0411522633745107E-2</v>
      </c>
      <c r="BS57" s="696">
        <f t="shared" si="304"/>
        <v>4.4980988593155899E-2</v>
      </c>
      <c r="BT57" s="697">
        <f t="shared" si="304"/>
        <v>1.4805653710247075E-2</v>
      </c>
      <c r="BU57" s="732">
        <f t="shared" si="304"/>
        <v>3.469063386944183E-2</v>
      </c>
      <c r="BV57" s="665"/>
      <c r="BW57" s="717">
        <f>BW55-BW56</f>
        <v>5.9748201438849069E-2</v>
      </c>
      <c r="BX57" s="696">
        <f t="shared" ref="BX57:CA57" si="305">BX55-BX56</f>
        <v>5.9928906888466145E-2</v>
      </c>
      <c r="BY57" s="696">
        <f t="shared" si="305"/>
        <v>6.0101949394723242E-2</v>
      </c>
      <c r="BZ57" s="697">
        <f t="shared" si="305"/>
        <v>5.9872216544066603E-2</v>
      </c>
      <c r="CA57" s="732">
        <f t="shared" si="305"/>
        <v>5.9912582755088248E-2</v>
      </c>
      <c r="CB57" s="665"/>
      <c r="CC57" s="717">
        <f>CC55-CC56</f>
        <v>6.1134282100537174E-2</v>
      </c>
      <c r="CD57" s="696">
        <f t="shared" ref="CD57:CG57" si="306">CD55-CD56</f>
        <v>6.1219096605999557E-2</v>
      </c>
      <c r="CE57" s="696">
        <f t="shared" si="306"/>
        <v>6.1344141670866659E-2</v>
      </c>
      <c r="CF57" s="697">
        <f t="shared" si="306"/>
        <v>6.1171841665274451E-2</v>
      </c>
      <c r="CG57" s="732">
        <f t="shared" si="306"/>
        <v>6.1216819648544973E-2</v>
      </c>
      <c r="CH57" s="665"/>
      <c r="CI57" s="717">
        <f>CI55-CI56</f>
        <v>6.1147521809784999E-2</v>
      </c>
      <c r="CJ57" s="696">
        <f t="shared" ref="CJ57:CM57" si="307">CJ55-CJ56</f>
        <v>6.1232346975339302E-2</v>
      </c>
      <c r="CK57" s="696">
        <f t="shared" si="307"/>
        <v>6.1357383028494361E-2</v>
      </c>
      <c r="CL57" s="697">
        <f t="shared" si="307"/>
        <v>6.1185087768047541E-2</v>
      </c>
      <c r="CM57" s="732">
        <f t="shared" si="307"/>
        <v>6.1230069908816187E-2</v>
      </c>
    </row>
    <row r="58" spans="1:91" s="25" customFormat="1" ht="11.25" x14ac:dyDescent="0.2">
      <c r="A58" s="699" t="s">
        <v>13</v>
      </c>
      <c r="B58" s="700"/>
      <c r="C58" s="719"/>
      <c r="D58" s="700"/>
      <c r="E58" s="700"/>
      <c r="F58" s="701"/>
      <c r="G58" s="734"/>
      <c r="H58" s="700"/>
      <c r="I58" s="719"/>
      <c r="J58" s="700"/>
      <c r="K58" s="700"/>
      <c r="L58" s="701"/>
      <c r="M58" s="734"/>
      <c r="N58" s="700"/>
      <c r="O58" s="719"/>
      <c r="P58" s="700"/>
      <c r="Q58" s="700"/>
      <c r="R58" s="701"/>
      <c r="S58" s="734"/>
      <c r="T58" s="700"/>
      <c r="U58" s="719"/>
      <c r="V58" s="700"/>
      <c r="W58" s="700"/>
      <c r="X58" s="701"/>
      <c r="Y58" s="734"/>
      <c r="Z58" s="700"/>
      <c r="AA58" s="719"/>
      <c r="AB58" s="700"/>
      <c r="AC58" s="700"/>
      <c r="AD58" s="701"/>
      <c r="AE58" s="734"/>
      <c r="AF58" s="700"/>
      <c r="AG58" s="719"/>
      <c r="AH58" s="700"/>
      <c r="AI58" s="700"/>
      <c r="AJ58" s="701"/>
      <c r="AK58" s="734"/>
      <c r="AL58" s="700"/>
      <c r="AM58" s="719"/>
      <c r="AN58" s="700"/>
      <c r="AO58" s="700"/>
      <c r="AP58" s="700"/>
      <c r="AQ58" s="734"/>
      <c r="AR58" s="700"/>
      <c r="AS58" s="719"/>
      <c r="AT58" s="700"/>
      <c r="AU58" s="700"/>
      <c r="AV58" s="700"/>
      <c r="AW58" s="734"/>
      <c r="AX58" s="700"/>
      <c r="AY58" s="719"/>
      <c r="AZ58" s="700"/>
      <c r="BA58" s="700"/>
      <c r="BB58" s="701"/>
      <c r="BC58" s="734"/>
      <c r="BD58" s="700"/>
      <c r="BE58" s="719"/>
      <c r="BF58" s="700"/>
      <c r="BG58" s="700"/>
      <c r="BH58" s="701"/>
      <c r="BI58" s="734"/>
      <c r="BJ58" s="700"/>
      <c r="BK58" s="719"/>
      <c r="BL58" s="700"/>
      <c r="BM58" s="700"/>
      <c r="BN58" s="701"/>
      <c r="BO58" s="734"/>
      <c r="BP58" s="700"/>
      <c r="BQ58" s="719"/>
      <c r="BR58" s="700"/>
      <c r="BS58" s="700"/>
      <c r="BT58" s="701"/>
      <c r="BU58" s="734"/>
      <c r="BV58" s="700"/>
      <c r="BW58" s="719"/>
      <c r="BX58" s="700"/>
      <c r="BY58" s="700"/>
      <c r="BZ58" s="701"/>
      <c r="CA58" s="734"/>
      <c r="CB58" s="700"/>
      <c r="CC58" s="719"/>
      <c r="CD58" s="700"/>
      <c r="CE58" s="700"/>
      <c r="CF58" s="701"/>
      <c r="CG58" s="734"/>
      <c r="CH58" s="700"/>
      <c r="CI58" s="719"/>
      <c r="CJ58" s="700"/>
      <c r="CK58" s="700"/>
      <c r="CL58" s="701"/>
      <c r="CM58" s="734"/>
    </row>
    <row r="59" spans="1:91" s="25" customFormat="1" ht="11.25" hidden="1" outlineLevel="1" x14ac:dyDescent="0.2">
      <c r="A59" s="694" t="s">
        <v>4</v>
      </c>
      <c r="B59" s="665"/>
      <c r="C59" s="308">
        <v>42.899000000000001</v>
      </c>
      <c r="D59" s="309">
        <v>44.37</v>
      </c>
      <c r="E59" s="309">
        <v>48.692</v>
      </c>
      <c r="F59" s="310">
        <v>44.375999999999998</v>
      </c>
      <c r="G59" s="311">
        <v>180.33700000000002</v>
      </c>
      <c r="H59" s="116"/>
      <c r="I59" s="308">
        <v>49.978000000000002</v>
      </c>
      <c r="J59" s="309">
        <v>52.779000000000003</v>
      </c>
      <c r="K59" s="309">
        <v>49.125</v>
      </c>
      <c r="L59" s="310">
        <v>37.512</v>
      </c>
      <c r="M59" s="115">
        <f>SUM(I59:L59)</f>
        <v>189.39400000000001</v>
      </c>
      <c r="N59" s="116"/>
      <c r="O59" s="308">
        <v>42.652000000000001</v>
      </c>
      <c r="P59" s="309">
        <v>43.064999999999998</v>
      </c>
      <c r="Q59" s="309">
        <v>43.46</v>
      </c>
      <c r="R59" s="310">
        <v>48.353000000000002</v>
      </c>
      <c r="S59" s="115">
        <f>SUM(O59:R59)</f>
        <v>177.53</v>
      </c>
      <c r="T59" s="116"/>
      <c r="U59" s="308">
        <v>62.021000000000001</v>
      </c>
      <c r="V59" s="309">
        <v>52.078000000000003</v>
      </c>
      <c r="W59" s="309">
        <v>45.823999999999998</v>
      </c>
      <c r="X59" s="310">
        <v>45.308</v>
      </c>
      <c r="Y59" s="115">
        <f>SUM(U59:X59)</f>
        <v>205.23099999999999</v>
      </c>
      <c r="Z59" s="116"/>
      <c r="AA59" s="308">
        <v>51.688000000000002</v>
      </c>
      <c r="AB59" s="309">
        <v>67.977000000000004</v>
      </c>
      <c r="AC59" s="309">
        <v>71.507999999999996</v>
      </c>
      <c r="AD59" s="310">
        <v>52.735999999999997</v>
      </c>
      <c r="AE59" s="115">
        <f>SUM(AA59:AD59)</f>
        <v>243.90899999999999</v>
      </c>
      <c r="AF59" s="116"/>
      <c r="AG59" s="308">
        <v>60.728000000000002</v>
      </c>
      <c r="AH59" s="309">
        <v>75.197000000000003</v>
      </c>
      <c r="AI59" s="309">
        <v>78.287999999999997</v>
      </c>
      <c r="AJ59" s="310">
        <v>58.58</v>
      </c>
      <c r="AK59" s="115">
        <f>SUM(AG59:AJ59)</f>
        <v>272.79300000000001</v>
      </c>
      <c r="AL59" s="116"/>
      <c r="AM59" s="308">
        <v>63.77</v>
      </c>
      <c r="AN59" s="309">
        <v>70.218000000000004</v>
      </c>
      <c r="AO59" s="309">
        <v>85.745999999999995</v>
      </c>
      <c r="AP59" s="309">
        <v>75</v>
      </c>
      <c r="AQ59" s="115">
        <f>SUM(AM59:AP59)</f>
        <v>294.73399999999998</v>
      </c>
      <c r="AR59" s="116"/>
      <c r="AS59" s="308">
        <v>57</v>
      </c>
      <c r="AT59" s="309">
        <v>76</v>
      </c>
      <c r="AU59" s="309">
        <v>93.6</v>
      </c>
      <c r="AV59" s="309">
        <v>75.8</v>
      </c>
      <c r="AW59" s="115">
        <f>SUM(AS59:AV59)</f>
        <v>302.39999999999998</v>
      </c>
      <c r="AX59" s="116"/>
      <c r="AY59" s="312">
        <v>66.25</v>
      </c>
      <c r="AZ59" s="309">
        <v>71.5</v>
      </c>
      <c r="BA59" s="309">
        <v>88</v>
      </c>
      <c r="BB59" s="313">
        <v>78</v>
      </c>
      <c r="BC59" s="115">
        <f>SUM(AY59:BB59)</f>
        <v>303.75</v>
      </c>
      <c r="BD59" s="665"/>
      <c r="BE59" s="669">
        <v>63</v>
      </c>
      <c r="BF59" s="657">
        <v>81</v>
      </c>
      <c r="BG59" s="657">
        <v>98</v>
      </c>
      <c r="BH59" s="676">
        <v>85</v>
      </c>
      <c r="BI59" s="733">
        <f>SUM(BE59:BH59)</f>
        <v>327</v>
      </c>
      <c r="BJ59" s="665"/>
      <c r="BK59" s="669">
        <v>62</v>
      </c>
      <c r="BL59" s="657">
        <v>76</v>
      </c>
      <c r="BM59" s="657">
        <v>93</v>
      </c>
      <c r="BN59" s="676">
        <v>96</v>
      </c>
      <c r="BO59" s="733">
        <f>SUM(BK59:BN59)</f>
        <v>327</v>
      </c>
      <c r="BP59" s="665"/>
      <c r="BQ59" s="718">
        <v>54</v>
      </c>
      <c r="BR59" s="666">
        <f>BL59*(1+BR60)</f>
        <v>79.8</v>
      </c>
      <c r="BS59" s="666">
        <f>BM59*(1+BS60)</f>
        <v>97.65</v>
      </c>
      <c r="BT59" s="667">
        <f>BN59*(1+BT60)</f>
        <v>94.08</v>
      </c>
      <c r="BU59" s="733">
        <f>SUM(BQ59:BT59)</f>
        <v>325.53000000000003</v>
      </c>
      <c r="BV59" s="665"/>
      <c r="BW59" s="718">
        <f>BQ59*(1+BW60)</f>
        <v>55.889999999999993</v>
      </c>
      <c r="BX59" s="666">
        <f>BR59*(1+BX60)</f>
        <v>82.592999999999989</v>
      </c>
      <c r="BY59" s="666">
        <f>BS59*(1+BY60)</f>
        <v>101.06775</v>
      </c>
      <c r="BZ59" s="667">
        <f>BT59*(1+BZ60)</f>
        <v>97.372799999999984</v>
      </c>
      <c r="CA59" s="733">
        <f>SUM(BW59:BZ59)</f>
        <v>336.92354999999998</v>
      </c>
      <c r="CB59" s="665"/>
      <c r="CC59" s="718">
        <f>BW59*(1+CC60)</f>
        <v>57.985875</v>
      </c>
      <c r="CD59" s="666">
        <f>BX59*(1+CD60)</f>
        <v>85.690237499999995</v>
      </c>
      <c r="CE59" s="666">
        <f>BY59*(1+CE60)</f>
        <v>104.85779062500001</v>
      </c>
      <c r="CF59" s="667">
        <f>BZ59*(1+CF60)</f>
        <v>101.02427999999999</v>
      </c>
      <c r="CG59" s="733">
        <f>SUM(CC59:CF59)</f>
        <v>349.55818312499997</v>
      </c>
      <c r="CH59" s="665"/>
      <c r="CI59" s="718">
        <f>CC59*(1+CI60)</f>
        <v>60.160345312500006</v>
      </c>
      <c r="CJ59" s="666">
        <f>CD59*(1+CJ60)</f>
        <v>88.903621406249997</v>
      </c>
      <c r="CK59" s="666">
        <f>CE59*(1+CK60)</f>
        <v>108.78995777343752</v>
      </c>
      <c r="CL59" s="667">
        <f>CF59*(1+CL60)</f>
        <v>104.8126905</v>
      </c>
      <c r="CM59" s="733">
        <f>SUM(CI59:CL59)</f>
        <v>362.66661499218753</v>
      </c>
    </row>
    <row r="60" spans="1:91" s="25" customFormat="1" ht="11.25" hidden="1" outlineLevel="1" x14ac:dyDescent="0.2">
      <c r="A60" s="695" t="s">
        <v>5</v>
      </c>
      <c r="B60" s="665"/>
      <c r="C60" s="193">
        <v>0.5105281690140846</v>
      </c>
      <c r="D60" s="191">
        <v>0.38535031847133761</v>
      </c>
      <c r="E60" s="191">
        <v>0.40679533109904065</v>
      </c>
      <c r="F60" s="192">
        <v>0.35062089116143147</v>
      </c>
      <c r="G60" s="220">
        <v>0.41002846062425746</v>
      </c>
      <c r="H60" s="188"/>
      <c r="I60" s="190">
        <f>I59/C59-1</f>
        <v>0.16501550152684219</v>
      </c>
      <c r="J60" s="188">
        <f>J59/D59-1</f>
        <v>0.18951994590939836</v>
      </c>
      <c r="K60" s="188">
        <f>K59/E59-1</f>
        <v>8.8926312330568358E-3</v>
      </c>
      <c r="L60" s="155">
        <f>L59/F59-1</f>
        <v>-0.1546782044348296</v>
      </c>
      <c r="M60" s="156">
        <f>M59/G59-1</f>
        <v>5.0222638726384439E-2</v>
      </c>
      <c r="N60" s="188"/>
      <c r="O60" s="152">
        <f>O59/I59-1</f>
        <v>-0.14658449717875865</v>
      </c>
      <c r="P60" s="188">
        <f>P59/J59-1</f>
        <v>-0.18405047462058788</v>
      </c>
      <c r="Q60" s="188">
        <f>Q59/K59-1</f>
        <v>-0.11531806615776075</v>
      </c>
      <c r="R60" s="155">
        <f>R59/L59-1</f>
        <v>0.28900085306035406</v>
      </c>
      <c r="S60" s="156">
        <f>S59/M59-1</f>
        <v>-6.2641899954592017E-2</v>
      </c>
      <c r="T60" s="188"/>
      <c r="U60" s="190">
        <f>U59/O59-1</f>
        <v>0.45411704023258004</v>
      </c>
      <c r="V60" s="151">
        <f>V59/P59-1</f>
        <v>0.20928828515035436</v>
      </c>
      <c r="W60" s="188">
        <f>W59/Q59-1</f>
        <v>5.4394845835250782E-2</v>
      </c>
      <c r="X60" s="155">
        <f>X59/R59-1</f>
        <v>-6.2974375943581573E-2</v>
      </c>
      <c r="Y60" s="156">
        <f>Y59/S59-1</f>
        <v>0.156035599616966</v>
      </c>
      <c r="Z60" s="188"/>
      <c r="AA60" s="190">
        <f>AA59/U59-1</f>
        <v>-0.16660485964431404</v>
      </c>
      <c r="AB60" s="188">
        <f>AB59/V59-1</f>
        <v>0.30529206190713931</v>
      </c>
      <c r="AC60" s="188">
        <f>AC59/W59-1</f>
        <v>0.5604923184357542</v>
      </c>
      <c r="AD60" s="155">
        <f>AD59/X59-1</f>
        <v>0.16394455725258217</v>
      </c>
      <c r="AE60" s="156">
        <f>AE59/Y59-1</f>
        <v>0.18846080757780248</v>
      </c>
      <c r="AF60" s="188"/>
      <c r="AG60" s="190">
        <f>AG59/AA59-1</f>
        <v>0.1748955270082031</v>
      </c>
      <c r="AH60" s="188">
        <f>AH59/AB59-1</f>
        <v>0.10621239536902194</v>
      </c>
      <c r="AI60" s="188">
        <f>AI59/AC59-1</f>
        <v>9.4814566202382933E-2</v>
      </c>
      <c r="AJ60" s="155">
        <f>AJ59/AD59-1</f>
        <v>0.11081614077669899</v>
      </c>
      <c r="AK60" s="156">
        <f>AK59/AE59-1</f>
        <v>0.11842121446933085</v>
      </c>
      <c r="AL60" s="188"/>
      <c r="AM60" s="190">
        <f>AM59/AG59-1</f>
        <v>5.009221446449752E-2</v>
      </c>
      <c r="AN60" s="188">
        <f>AN59/AH59-1</f>
        <v>-6.6212747848983344E-2</v>
      </c>
      <c r="AO60" s="188">
        <f>AO59/AI59-1</f>
        <v>9.5263641937461729E-2</v>
      </c>
      <c r="AP60" s="188">
        <f>AP59/AJ59-1</f>
        <v>0.2803004438374872</v>
      </c>
      <c r="AQ60" s="156">
        <f>AQ59/AK59-1</f>
        <v>8.0430949474509905E-2</v>
      </c>
      <c r="AR60" s="188"/>
      <c r="AS60" s="190">
        <f>AS59/AM59-1</f>
        <v>-0.10616277246354089</v>
      </c>
      <c r="AT60" s="188">
        <f>AT59/AN59-1</f>
        <v>8.234355863168985E-2</v>
      </c>
      <c r="AU60" s="188">
        <f>AU59/AO59-1</f>
        <v>9.1596109439507467E-2</v>
      </c>
      <c r="AV60" s="188">
        <f>AV59/AP59-1</f>
        <v>1.0666666666666602E-2</v>
      </c>
      <c r="AW60" s="156">
        <f>AW59/AQ59-1</f>
        <v>2.6009893666831818E-2</v>
      </c>
      <c r="AX60" s="188"/>
      <c r="AY60" s="190">
        <f>AY59/AS59-1</f>
        <v>0.16228070175438591</v>
      </c>
      <c r="AZ60" s="188">
        <f>AZ59/AT59-1</f>
        <v>-5.9210526315789491E-2</v>
      </c>
      <c r="BA60" s="188">
        <f>BA59/AU59-1</f>
        <v>-5.9829059829059728E-2</v>
      </c>
      <c r="BB60" s="155">
        <f>BB59/AV59-1</f>
        <v>2.9023746701847042E-2</v>
      </c>
      <c r="BC60" s="156">
        <f>BC59/AW59-1</f>
        <v>4.4642857142858094E-3</v>
      </c>
      <c r="BD60" s="665"/>
      <c r="BE60" s="717">
        <f>BE59/AY59-1</f>
        <v>-4.9056603773584895E-2</v>
      </c>
      <c r="BF60" s="696">
        <f t="shared" ref="BF60" si="308">BF59/AZ59-1</f>
        <v>0.13286713286713292</v>
      </c>
      <c r="BG60" s="696">
        <f t="shared" ref="BG60" si="309">BG59/BA59-1</f>
        <v>0.11363636363636354</v>
      </c>
      <c r="BH60" s="697">
        <f t="shared" ref="BH60" si="310">BH59/BB59-1</f>
        <v>8.9743589743589647E-2</v>
      </c>
      <c r="BI60" s="732">
        <f t="shared" ref="BI60" si="311">BI59/BC59-1</f>
        <v>7.6543209876543283E-2</v>
      </c>
      <c r="BJ60" s="665"/>
      <c r="BK60" s="717">
        <f>BK59/BE59-1</f>
        <v>-1.5873015873015928E-2</v>
      </c>
      <c r="BL60" s="696">
        <f t="shared" ref="BL60" si="312">BL59/BF59-1</f>
        <v>-6.1728395061728447E-2</v>
      </c>
      <c r="BM60" s="696">
        <f t="shared" ref="BM60" si="313">BM59/BG59-1</f>
        <v>-5.1020408163265252E-2</v>
      </c>
      <c r="BN60" s="697">
        <f t="shared" ref="BN60" si="314">BN59/BH59-1</f>
        <v>0.12941176470588234</v>
      </c>
      <c r="BO60" s="732">
        <f t="shared" ref="BO60" si="315">BO59/BI59-1</f>
        <v>0</v>
      </c>
      <c r="BP60" s="665"/>
      <c r="BQ60" s="717">
        <f>BQ59/BK59-1</f>
        <v>-0.12903225806451613</v>
      </c>
      <c r="BR60" s="696">
        <f>BR61+BR62</f>
        <v>0.05</v>
      </c>
      <c r="BS60" s="696">
        <f>BS61+BS62</f>
        <v>0.05</v>
      </c>
      <c r="BT60" s="697">
        <f>BT61+BT62</f>
        <v>-0.02</v>
      </c>
      <c r="BU60" s="732">
        <f>BU59/BO59-1</f>
        <v>-4.4954128440366503E-3</v>
      </c>
      <c r="BV60" s="665"/>
      <c r="BW60" s="717">
        <f>BW61+BW62</f>
        <v>3.5000000000000003E-2</v>
      </c>
      <c r="BX60" s="696">
        <f>BX61+BX62</f>
        <v>3.5000000000000003E-2</v>
      </c>
      <c r="BY60" s="696">
        <f>BY61+BY62</f>
        <v>3.5000000000000003E-2</v>
      </c>
      <c r="BZ60" s="697">
        <f>BZ61+BZ62</f>
        <v>3.5000000000000003E-2</v>
      </c>
      <c r="CA60" s="732">
        <f>CA59/BU59-1</f>
        <v>3.499999999999992E-2</v>
      </c>
      <c r="CB60" s="665"/>
      <c r="CC60" s="717">
        <f>CC61+CC62</f>
        <v>3.7499999999999999E-2</v>
      </c>
      <c r="CD60" s="696">
        <f>CD61+CD62</f>
        <v>3.7499999999999999E-2</v>
      </c>
      <c r="CE60" s="696">
        <f>CE61+CE62</f>
        <v>3.7499999999999999E-2</v>
      </c>
      <c r="CF60" s="697">
        <f>CF61+CF62</f>
        <v>3.7499999999999999E-2</v>
      </c>
      <c r="CG60" s="732">
        <f>CG59/CA59-1</f>
        <v>3.7500000000000089E-2</v>
      </c>
      <c r="CH60" s="665"/>
      <c r="CI60" s="717">
        <f>CI61+CI62</f>
        <v>3.7499999999999999E-2</v>
      </c>
      <c r="CJ60" s="696">
        <f>CJ61+CJ62</f>
        <v>3.7499999999999999E-2</v>
      </c>
      <c r="CK60" s="696">
        <f>CK61+CK62</f>
        <v>3.7499999999999999E-2</v>
      </c>
      <c r="CL60" s="697">
        <f>CL61+CL62</f>
        <v>3.7499999999999999E-2</v>
      </c>
      <c r="CM60" s="732">
        <f>CM59/CG59-1</f>
        <v>3.7500000000000089E-2</v>
      </c>
    </row>
    <row r="61" spans="1:91" s="25" customFormat="1" ht="11.25" hidden="1" outlineLevel="1" x14ac:dyDescent="0.2">
      <c r="A61" s="695" t="s">
        <v>6</v>
      </c>
      <c r="B61" s="665"/>
      <c r="C61" s="193">
        <v>0</v>
      </c>
      <c r="D61" s="191">
        <v>0</v>
      </c>
      <c r="E61" s="191">
        <v>0</v>
      </c>
      <c r="F61" s="192">
        <v>0</v>
      </c>
      <c r="G61" s="220">
        <v>0</v>
      </c>
      <c r="H61" s="188"/>
      <c r="I61" s="193">
        <v>0</v>
      </c>
      <c r="J61" s="191">
        <v>0</v>
      </c>
      <c r="K61" s="191">
        <v>0</v>
      </c>
      <c r="L61" s="192">
        <v>0</v>
      </c>
      <c r="M61" s="154">
        <f>SUMPRODUCT(I61:L61,C59:F59)/G59:G59</f>
        <v>0</v>
      </c>
      <c r="N61" s="188"/>
      <c r="O61" s="193">
        <v>0</v>
      </c>
      <c r="P61" s="191">
        <v>0</v>
      </c>
      <c r="Q61" s="191">
        <v>0</v>
      </c>
      <c r="R61" s="192">
        <v>0</v>
      </c>
      <c r="S61" s="154">
        <f>SUMPRODUCT(O61:R61,I59:L59)/M59:M59</f>
        <v>0</v>
      </c>
      <c r="T61" s="188"/>
      <c r="U61" s="193">
        <v>0</v>
      </c>
      <c r="V61" s="191">
        <v>0</v>
      </c>
      <c r="W61" s="191">
        <v>0</v>
      </c>
      <c r="X61" s="192">
        <v>0</v>
      </c>
      <c r="Y61" s="154">
        <f>SUMPRODUCT(U61:X61,O59:R59)/S59:S59</f>
        <v>0</v>
      </c>
      <c r="Z61" s="188"/>
      <c r="AA61" s="193">
        <v>0</v>
      </c>
      <c r="AB61" s="191">
        <v>0</v>
      </c>
      <c r="AC61" s="191">
        <v>0</v>
      </c>
      <c r="AD61" s="192">
        <v>0</v>
      </c>
      <c r="AE61" s="154">
        <f>SUMPRODUCT(AA61:AD61,U59:X59)/Y59:Y59</f>
        <v>0</v>
      </c>
      <c r="AF61" s="188"/>
      <c r="AG61" s="193">
        <v>0</v>
      </c>
      <c r="AH61" s="191">
        <v>0</v>
      </c>
      <c r="AI61" s="191">
        <v>0</v>
      </c>
      <c r="AJ61" s="192">
        <v>0</v>
      </c>
      <c r="AK61" s="154">
        <f>SUMPRODUCT(AG61:AJ61,AA59:AD59)/AE59:AE59</f>
        <v>0</v>
      </c>
      <c r="AL61" s="188"/>
      <c r="AM61" s="193">
        <v>1.4999999999999999E-2</v>
      </c>
      <c r="AN61" s="191">
        <v>0.04</v>
      </c>
      <c r="AO61" s="191">
        <v>0.04</v>
      </c>
      <c r="AP61" s="191">
        <v>0.04</v>
      </c>
      <c r="AQ61" s="154">
        <f>SUMPRODUCT(AM61:AP61,AG59:AJ59)/AK59:AK59</f>
        <v>3.4434607926156463E-2</v>
      </c>
      <c r="AR61" s="188"/>
      <c r="AS61" s="193">
        <v>2.5000000000000001E-2</v>
      </c>
      <c r="AT61" s="191">
        <v>0</v>
      </c>
      <c r="AU61" s="191">
        <v>0</v>
      </c>
      <c r="AV61" s="191">
        <v>0</v>
      </c>
      <c r="AW61" s="154">
        <f>SUMPRODUCT(AS61:AV61,AM59:AP59)/AQ59:AQ59</f>
        <v>5.4091146593199298E-3</v>
      </c>
      <c r="AX61" s="188"/>
      <c r="AY61" s="193">
        <v>0</v>
      </c>
      <c r="AZ61" s="191">
        <v>0</v>
      </c>
      <c r="BA61" s="191">
        <v>0</v>
      </c>
      <c r="BB61" s="192">
        <v>0</v>
      </c>
      <c r="BC61" s="154">
        <f>SUMPRODUCT(AY61:BB61,AS59:AV59)/AW59:AW59</f>
        <v>0</v>
      </c>
      <c r="BD61" s="665"/>
      <c r="BE61" s="672">
        <v>0</v>
      </c>
      <c r="BF61" s="673">
        <v>0</v>
      </c>
      <c r="BG61" s="673">
        <v>0</v>
      </c>
      <c r="BH61" s="674">
        <v>0</v>
      </c>
      <c r="BI61" s="732">
        <f>SUMPRODUCT(BE61:BH61,AY59:BB59)/BC59</f>
        <v>0</v>
      </c>
      <c r="BJ61" s="665"/>
      <c r="BK61" s="672">
        <v>0</v>
      </c>
      <c r="BL61" s="673">
        <v>0</v>
      </c>
      <c r="BM61" s="673">
        <v>0</v>
      </c>
      <c r="BN61" s="674">
        <v>0</v>
      </c>
      <c r="BO61" s="732">
        <f>SUMPRODUCT(BK61:BN61,BE59:BH59)/BI59</f>
        <v>0</v>
      </c>
      <c r="BP61" s="665"/>
      <c r="BQ61" s="672">
        <v>0</v>
      </c>
      <c r="BR61" s="673">
        <v>0</v>
      </c>
      <c r="BS61" s="673">
        <v>0</v>
      </c>
      <c r="BT61" s="674">
        <v>0</v>
      </c>
      <c r="BU61" s="732">
        <f>SUMPRODUCT(BQ61:BT61,BK59:BN59)/BO59</f>
        <v>0</v>
      </c>
      <c r="BV61" s="665"/>
      <c r="BW61" s="672">
        <v>0</v>
      </c>
      <c r="BX61" s="673">
        <v>0</v>
      </c>
      <c r="BY61" s="673">
        <v>0</v>
      </c>
      <c r="BZ61" s="674">
        <v>0</v>
      </c>
      <c r="CA61" s="732">
        <f>SUMPRODUCT(BW61:BZ61,BQ59:BT59)/BU59</f>
        <v>0</v>
      </c>
      <c r="CB61" s="665"/>
      <c r="CC61" s="672">
        <v>0</v>
      </c>
      <c r="CD61" s="673">
        <v>0</v>
      </c>
      <c r="CE61" s="673">
        <v>0</v>
      </c>
      <c r="CF61" s="674">
        <v>0</v>
      </c>
      <c r="CG61" s="732">
        <f>SUMPRODUCT(CC61:CF61,BW59:BZ59)/CA59</f>
        <v>0</v>
      </c>
      <c r="CH61" s="665"/>
      <c r="CI61" s="672">
        <v>0</v>
      </c>
      <c r="CJ61" s="673">
        <v>0</v>
      </c>
      <c r="CK61" s="673">
        <v>0</v>
      </c>
      <c r="CL61" s="674">
        <v>0</v>
      </c>
      <c r="CM61" s="732">
        <f>SUMPRODUCT(CI61:CL61,CC59:CF59)/CG59</f>
        <v>0</v>
      </c>
    </row>
    <row r="62" spans="1:91" s="25" customFormat="1" ht="11.25" hidden="1" outlineLevel="1" x14ac:dyDescent="0.2">
      <c r="A62" s="695" t="s">
        <v>7</v>
      </c>
      <c r="B62" s="665"/>
      <c r="C62" s="193">
        <v>0.5105281690140846</v>
      </c>
      <c r="D62" s="191">
        <v>0.38535031847133761</v>
      </c>
      <c r="E62" s="191">
        <v>0.40679533109904065</v>
      </c>
      <c r="F62" s="192">
        <v>0.35062089116143147</v>
      </c>
      <c r="G62" s="220">
        <v>0.41002846062425718</v>
      </c>
      <c r="H62" s="188"/>
      <c r="I62" s="152">
        <f>I60-I61</f>
        <v>0.16501550152684219</v>
      </c>
      <c r="J62" s="151">
        <f>J60-J61</f>
        <v>0.18951994590939836</v>
      </c>
      <c r="K62" s="151">
        <f>K60-K61</f>
        <v>8.8926312330568358E-3</v>
      </c>
      <c r="L62" s="153">
        <f>L60-L61</f>
        <v>-0.1546782044348296</v>
      </c>
      <c r="M62" s="154">
        <f>SUMPRODUCT(I62:L62,C59:F59)/G59</f>
        <v>5.0222638726384557E-2</v>
      </c>
      <c r="N62" s="188"/>
      <c r="O62" s="152">
        <f>O60-O61</f>
        <v>-0.14658449717875865</v>
      </c>
      <c r="P62" s="151">
        <f>P60-P61</f>
        <v>-0.18405047462058788</v>
      </c>
      <c r="Q62" s="151">
        <f>Q60-Q61</f>
        <v>-0.11531806615776075</v>
      </c>
      <c r="R62" s="153">
        <f>R60-R61</f>
        <v>0.28900085306035406</v>
      </c>
      <c r="S62" s="154">
        <f>SUMPRODUCT(O62:R62,I59:L59)/M59</f>
        <v>-6.2641899954592017E-2</v>
      </c>
      <c r="T62" s="188"/>
      <c r="U62" s="152">
        <f>U60-U61</f>
        <v>0.45411704023258004</v>
      </c>
      <c r="V62" s="151">
        <f>V60-V61</f>
        <v>0.20928828515035436</v>
      </c>
      <c r="W62" s="151">
        <f>W60-W61</f>
        <v>5.4394845835250782E-2</v>
      </c>
      <c r="X62" s="153">
        <f>X60-X61</f>
        <v>-6.2974375943581573E-2</v>
      </c>
      <c r="Y62" s="154">
        <f>SUMPRODUCT(U62:X62,O59:R59)/S59</f>
        <v>0.1560355996169662</v>
      </c>
      <c r="Z62" s="188"/>
      <c r="AA62" s="152">
        <f>AA60-AA61</f>
        <v>-0.16660485964431404</v>
      </c>
      <c r="AB62" s="151">
        <f>AB60-AB61</f>
        <v>0.30529206190713931</v>
      </c>
      <c r="AC62" s="151">
        <f>AC60-AC61</f>
        <v>0.5604923184357542</v>
      </c>
      <c r="AD62" s="153">
        <f>AD60-AD61</f>
        <v>0.16394455725258217</v>
      </c>
      <c r="AE62" s="154">
        <f>SUMPRODUCT(AA62:AD62,U59:X59)/Y59</f>
        <v>0.18846080757780254</v>
      </c>
      <c r="AF62" s="188"/>
      <c r="AG62" s="152">
        <f>AG60-AG61</f>
        <v>0.1748955270082031</v>
      </c>
      <c r="AH62" s="151">
        <f>AH60-AH61</f>
        <v>0.10621239536902194</v>
      </c>
      <c r="AI62" s="151">
        <f>AI60-AI61</f>
        <v>9.4814566202382933E-2</v>
      </c>
      <c r="AJ62" s="153">
        <f>AJ60-AJ61</f>
        <v>0.11081614077669899</v>
      </c>
      <c r="AK62" s="154">
        <f>SUMPRODUCT(AG62:AJ62,AA59:AD59)/AE59</f>
        <v>0.11842121446933079</v>
      </c>
      <c r="AL62" s="188"/>
      <c r="AM62" s="152">
        <f>AM60-AM61</f>
        <v>3.509221446449752E-2</v>
      </c>
      <c r="AN62" s="151">
        <f>AN60-AN61</f>
        <v>-0.10621274784898335</v>
      </c>
      <c r="AO62" s="151">
        <f>AO60-AO61</f>
        <v>5.5263641937461729E-2</v>
      </c>
      <c r="AP62" s="151">
        <f>AP60-AP61</f>
        <v>0.24030044383748719</v>
      </c>
      <c r="AQ62" s="154">
        <f>SUMPRODUCT(AM62:AP62,AG59:AJ59)/AK59</f>
        <v>4.5996341548353539E-2</v>
      </c>
      <c r="AR62" s="188"/>
      <c r="AS62" s="152">
        <f>AS60-AS61</f>
        <v>-0.13116277246354088</v>
      </c>
      <c r="AT62" s="151">
        <f>AT60-AT61</f>
        <v>8.234355863168985E-2</v>
      </c>
      <c r="AU62" s="151">
        <f>AU60-AU61</f>
        <v>9.1596109439507467E-2</v>
      </c>
      <c r="AV62" s="151">
        <f>AV60-AV61</f>
        <v>1.0666666666666602E-2</v>
      </c>
      <c r="AW62" s="154">
        <f>SUMPRODUCT(AS62:AV62,AM59:AP59)/AQ59</f>
        <v>2.0600779007511855E-2</v>
      </c>
      <c r="AX62" s="188"/>
      <c r="AY62" s="152">
        <f>AY60-AY61</f>
        <v>0.16228070175438591</v>
      </c>
      <c r="AZ62" s="151">
        <f>AZ60-AZ61</f>
        <v>-5.9210526315789491E-2</v>
      </c>
      <c r="BA62" s="151">
        <f>BA60-BA61</f>
        <v>-5.9829059829059728E-2</v>
      </c>
      <c r="BB62" s="155">
        <f>BB60-BB61</f>
        <v>2.9023746701847042E-2</v>
      </c>
      <c r="BC62" s="154">
        <f>SUMPRODUCT(AY62:BB62,AS59:AV59)/AW59</f>
        <v>4.4642857142857487E-3</v>
      </c>
      <c r="BD62" s="665"/>
      <c r="BE62" s="717">
        <f>BE60-BE61</f>
        <v>-4.9056603773584895E-2</v>
      </c>
      <c r="BF62" s="696">
        <f t="shared" ref="BF62" si="316">BF60-BF61</f>
        <v>0.13286713286713292</v>
      </c>
      <c r="BG62" s="696">
        <f t="shared" ref="BG62" si="317">BG60-BG61</f>
        <v>0.11363636363636354</v>
      </c>
      <c r="BH62" s="697">
        <f t="shared" ref="BH62" si="318">BH60-BH61</f>
        <v>8.9743589743589647E-2</v>
      </c>
      <c r="BI62" s="732">
        <f t="shared" ref="BI62" si="319">BI60-BI61</f>
        <v>7.6543209876543283E-2</v>
      </c>
      <c r="BJ62" s="665"/>
      <c r="BK62" s="717">
        <f>BK60-BK61</f>
        <v>-1.5873015873015928E-2</v>
      </c>
      <c r="BL62" s="696">
        <f t="shared" ref="BL62" si="320">BL60-BL61</f>
        <v>-6.1728395061728447E-2</v>
      </c>
      <c r="BM62" s="696">
        <f t="shared" ref="BM62" si="321">BM60-BM61</f>
        <v>-5.1020408163265252E-2</v>
      </c>
      <c r="BN62" s="697">
        <f t="shared" ref="BN62" si="322">BN60-BN61</f>
        <v>0.12941176470588234</v>
      </c>
      <c r="BO62" s="732">
        <f t="shared" ref="BO62" si="323">BO60-BO61</f>
        <v>0</v>
      </c>
      <c r="BP62" s="665"/>
      <c r="BQ62" s="717">
        <f>BQ60-BQ61</f>
        <v>-0.12903225806451613</v>
      </c>
      <c r="BR62" s="673">
        <v>0.05</v>
      </c>
      <c r="BS62" s="673">
        <v>0.05</v>
      </c>
      <c r="BT62" s="674">
        <v>-0.02</v>
      </c>
      <c r="BU62" s="732">
        <f>SUMPRODUCT(BQ62:BT62,BK59:BN59)/BO59</f>
        <v>-4.4954128440366937E-3</v>
      </c>
      <c r="BV62" s="665"/>
      <c r="BW62" s="672">
        <v>3.5000000000000003E-2</v>
      </c>
      <c r="BX62" s="673">
        <f>BW62</f>
        <v>3.5000000000000003E-2</v>
      </c>
      <c r="BY62" s="673">
        <f>BX62</f>
        <v>3.5000000000000003E-2</v>
      </c>
      <c r="BZ62" s="674">
        <f>BY62</f>
        <v>3.5000000000000003E-2</v>
      </c>
      <c r="CA62" s="732">
        <f>SUMPRODUCT(BW62:BZ62,BQ59:BT59)/BU59</f>
        <v>3.5000000000000003E-2</v>
      </c>
      <c r="CB62" s="665"/>
      <c r="CC62" s="672">
        <v>3.7499999999999999E-2</v>
      </c>
      <c r="CD62" s="673">
        <f>CC62</f>
        <v>3.7499999999999999E-2</v>
      </c>
      <c r="CE62" s="673">
        <f>CD62</f>
        <v>3.7499999999999999E-2</v>
      </c>
      <c r="CF62" s="674">
        <f>CE62</f>
        <v>3.7499999999999999E-2</v>
      </c>
      <c r="CG62" s="732">
        <f>SUMPRODUCT(CC62:CF62,BW59:BZ59)/CA59</f>
        <v>3.7499999999999999E-2</v>
      </c>
      <c r="CH62" s="665"/>
      <c r="CI62" s="672">
        <v>3.7499999999999999E-2</v>
      </c>
      <c r="CJ62" s="673">
        <f>CI62</f>
        <v>3.7499999999999999E-2</v>
      </c>
      <c r="CK62" s="673">
        <f>CJ62</f>
        <v>3.7499999999999999E-2</v>
      </c>
      <c r="CL62" s="674">
        <f>CK62</f>
        <v>3.7499999999999999E-2</v>
      </c>
      <c r="CM62" s="732">
        <f>SUMPRODUCT(CI62:CL62,CC59:CF59)/CG59</f>
        <v>3.7500000000000006E-2</v>
      </c>
    </row>
    <row r="63" spans="1:91" s="25" customFormat="1" ht="11.25" hidden="1" outlineLevel="1" x14ac:dyDescent="0.2">
      <c r="A63" s="694" t="s">
        <v>8</v>
      </c>
      <c r="B63" s="665"/>
      <c r="C63" s="308">
        <v>130.041</v>
      </c>
      <c r="D63" s="309">
        <v>164.44200000000001</v>
      </c>
      <c r="E63" s="309">
        <v>168.05699999999999</v>
      </c>
      <c r="F63" s="310">
        <v>149.023</v>
      </c>
      <c r="G63" s="311">
        <v>611.56299999999999</v>
      </c>
      <c r="H63" s="116"/>
      <c r="I63" s="308">
        <v>151.96299999999999</v>
      </c>
      <c r="J63" s="309">
        <v>181.66</v>
      </c>
      <c r="K63" s="309">
        <v>230.346</v>
      </c>
      <c r="L63" s="310">
        <v>188.773</v>
      </c>
      <c r="M63" s="115">
        <f>SUM(I63:L63)</f>
        <v>752.74200000000008</v>
      </c>
      <c r="N63" s="116"/>
      <c r="O63" s="308">
        <v>152.12899999999999</v>
      </c>
      <c r="P63" s="309">
        <v>178.08500000000001</v>
      </c>
      <c r="Q63" s="309">
        <v>220.50299999999999</v>
      </c>
      <c r="R63" s="310">
        <v>224.19499999999999</v>
      </c>
      <c r="S63" s="115">
        <f>SUM(O63:R63)</f>
        <v>774.91200000000003</v>
      </c>
      <c r="T63" s="116"/>
      <c r="U63" s="308">
        <v>173.953</v>
      </c>
      <c r="V63" s="309">
        <v>200.30500000000001</v>
      </c>
      <c r="W63" s="309">
        <v>208.99299999999999</v>
      </c>
      <c r="X63" s="310">
        <v>212.18199999999999</v>
      </c>
      <c r="Y63" s="115">
        <f>SUM(U63:X63)</f>
        <v>795.43299999999999</v>
      </c>
      <c r="Z63" s="116"/>
      <c r="AA63" s="308">
        <v>148.249</v>
      </c>
      <c r="AB63" s="309">
        <v>201.005</v>
      </c>
      <c r="AC63" s="309">
        <v>224.126</v>
      </c>
      <c r="AD63" s="310">
        <v>241.80500000000001</v>
      </c>
      <c r="AE63" s="115">
        <f>SUM(AA63:AD63)</f>
        <v>815.18499999999995</v>
      </c>
      <c r="AF63" s="116"/>
      <c r="AG63" s="308">
        <v>141.441</v>
      </c>
      <c r="AH63" s="309">
        <v>207.80600000000001</v>
      </c>
      <c r="AI63" s="309">
        <v>227.34200000000001</v>
      </c>
      <c r="AJ63" s="310">
        <v>224.74799999999999</v>
      </c>
      <c r="AK63" s="115">
        <f>SUM(AG63:AJ63)</f>
        <v>801.33699999999999</v>
      </c>
      <c r="AL63" s="116"/>
      <c r="AM63" s="308">
        <v>140.863</v>
      </c>
      <c r="AN63" s="309">
        <v>221.196</v>
      </c>
      <c r="AO63" s="309">
        <v>244.23</v>
      </c>
      <c r="AP63" s="309">
        <v>241</v>
      </c>
      <c r="AQ63" s="115">
        <f>SUM(AM63:AP63)</f>
        <v>847.28899999999999</v>
      </c>
      <c r="AR63" s="116"/>
      <c r="AS63" s="308">
        <v>163.5</v>
      </c>
      <c r="AT63" s="309">
        <v>238</v>
      </c>
      <c r="AU63" s="309">
        <v>259.3</v>
      </c>
      <c r="AV63" s="309">
        <v>264.89999999999998</v>
      </c>
      <c r="AW63" s="115">
        <f>SUM(AS63:AV63)</f>
        <v>925.69999999999993</v>
      </c>
      <c r="AX63" s="116"/>
      <c r="AY63" s="308">
        <v>141.1</v>
      </c>
      <c r="AZ63" s="309">
        <v>222.5</v>
      </c>
      <c r="BA63" s="309">
        <v>245</v>
      </c>
      <c r="BB63" s="313">
        <v>254</v>
      </c>
      <c r="BC63" s="115">
        <f>SUM(AY63:BB63)</f>
        <v>862.6</v>
      </c>
      <c r="BD63" s="665"/>
      <c r="BE63" s="669">
        <v>133</v>
      </c>
      <c r="BF63" s="657">
        <v>229</v>
      </c>
      <c r="BG63" s="657">
        <v>244</v>
      </c>
      <c r="BH63" s="676">
        <v>265</v>
      </c>
      <c r="BI63" s="733">
        <f>SUM(BE63:BH63)</f>
        <v>871</v>
      </c>
      <c r="BJ63" s="665"/>
      <c r="BK63" s="669">
        <v>165</v>
      </c>
      <c r="BL63" s="657">
        <v>235</v>
      </c>
      <c r="BM63" s="657">
        <v>258</v>
      </c>
      <c r="BN63" s="676">
        <v>271</v>
      </c>
      <c r="BO63" s="733">
        <f>SUM(BK63:BN63)</f>
        <v>929</v>
      </c>
      <c r="BP63" s="665"/>
      <c r="BQ63" s="669">
        <v>192</v>
      </c>
      <c r="BR63" s="666">
        <f>BL63*(1+BR64)</f>
        <v>265.27367569409341</v>
      </c>
      <c r="BS63" s="666">
        <f>BM63*(1+BS64)</f>
        <v>282.91328472968064</v>
      </c>
      <c r="BT63" s="667">
        <f>BN63*(1+BT64)</f>
        <v>297.3633338617837</v>
      </c>
      <c r="BU63" s="733">
        <f>SUM(BQ63:BT63)</f>
        <v>1037.5502942855578</v>
      </c>
      <c r="BV63" s="665"/>
      <c r="BW63" s="718">
        <f>BQ63*(1+BW64)</f>
        <v>207.75041808840081</v>
      </c>
      <c r="BX63" s="666">
        <f>BR63*(1+BX64)</f>
        <v>279.25103308969017</v>
      </c>
      <c r="BY63" s="666">
        <f>BS63*(1+BY64)</f>
        <v>297.05894896616468</v>
      </c>
      <c r="BZ63" s="667">
        <f>BT63*(1+BZ64)</f>
        <v>312.23150055487292</v>
      </c>
      <c r="CA63" s="733">
        <f>SUM(BW63:BZ63)</f>
        <v>1096.2919006991287</v>
      </c>
      <c r="CB63" s="665"/>
      <c r="CC63" s="718">
        <f>BW63*(1+CC64)</f>
        <v>218.13793899282086</v>
      </c>
      <c r="CD63" s="666">
        <f>BX63*(1+CD64)</f>
        <v>293.21358474417468</v>
      </c>
      <c r="CE63" s="666">
        <f>BY63*(1+CE64)</f>
        <v>311.91189641447295</v>
      </c>
      <c r="CF63" s="667">
        <f>BZ63*(1+CF64)</f>
        <v>327.84307558261656</v>
      </c>
      <c r="CG63" s="733">
        <f>SUM(CC63:CF63)</f>
        <v>1151.106495734085</v>
      </c>
      <c r="CH63" s="665"/>
      <c r="CI63" s="718">
        <f>CC63*(1+CI64)</f>
        <v>229.04483594246193</v>
      </c>
      <c r="CJ63" s="666">
        <f>CD63*(1+CJ64)</f>
        <v>307.87426398138342</v>
      </c>
      <c r="CK63" s="666">
        <f>CE63*(1+CK64)</f>
        <v>327.5074912351966</v>
      </c>
      <c r="CL63" s="667">
        <f>CF63*(1+CL64)</f>
        <v>344.23522936174743</v>
      </c>
      <c r="CM63" s="733">
        <f>SUM(CI63:CL63)</f>
        <v>1208.6618205207892</v>
      </c>
    </row>
    <row r="64" spans="1:91" s="25" customFormat="1" ht="11.25" hidden="1" outlineLevel="1" x14ac:dyDescent="0.2">
      <c r="A64" s="695" t="s">
        <v>5</v>
      </c>
      <c r="B64" s="665"/>
      <c r="C64" s="193">
        <v>0.12723316834687037</v>
      </c>
      <c r="D64" s="191">
        <v>0.21735847380460638</v>
      </c>
      <c r="E64" s="191">
        <v>0.20498608999913959</v>
      </c>
      <c r="F64" s="192">
        <v>0.22150000000000003</v>
      </c>
      <c r="G64" s="220">
        <v>0.19466431730453682</v>
      </c>
      <c r="H64" s="188"/>
      <c r="I64" s="190">
        <f>I63/C63-1</f>
        <v>0.16857760244845865</v>
      </c>
      <c r="J64" s="188">
        <f>J63/D63-1</f>
        <v>0.10470561048880445</v>
      </c>
      <c r="K64" s="188">
        <f>K63/E63-1</f>
        <v>0.37064210357200245</v>
      </c>
      <c r="L64" s="155">
        <f>L63/F63-1</f>
        <v>0.26673734926823367</v>
      </c>
      <c r="M64" s="156">
        <f>M63/G63-1</f>
        <v>0.23084947912152964</v>
      </c>
      <c r="N64" s="188"/>
      <c r="O64" s="152">
        <f>O63/I63-1</f>
        <v>1.0923711692978344E-3</v>
      </c>
      <c r="P64" s="188">
        <f>P63/J63-1</f>
        <v>-1.9679621270505265E-2</v>
      </c>
      <c r="Q64" s="188">
        <f>Q63/K63-1</f>
        <v>-4.2731369331353797E-2</v>
      </c>
      <c r="R64" s="155">
        <f>R63/L63-1</f>
        <v>0.18764336001440873</v>
      </c>
      <c r="S64" s="156">
        <f>S63/M63-1</f>
        <v>2.9452322309635903E-2</v>
      </c>
      <c r="T64" s="188"/>
      <c r="U64" s="190">
        <f>U63/O63-1</f>
        <v>0.14345719751000807</v>
      </c>
      <c r="V64" s="188">
        <f>V63/P63-1</f>
        <v>0.1247718785972991</v>
      </c>
      <c r="W64" s="188">
        <f>W63/Q63-1</f>
        <v>-5.219883629701183E-2</v>
      </c>
      <c r="X64" s="155">
        <f>X63/R63-1</f>
        <v>-5.3582818528513099E-2</v>
      </c>
      <c r="Y64" s="156">
        <f>Y63/S63-1</f>
        <v>2.6481716633630636E-2</v>
      </c>
      <c r="Z64" s="188"/>
      <c r="AA64" s="190">
        <f>AA63/U63-1</f>
        <v>-0.14776405120923475</v>
      </c>
      <c r="AB64" s="188">
        <f>AB63/V63-1</f>
        <v>3.4946706272933614E-3</v>
      </c>
      <c r="AC64" s="188">
        <f>AC63/W63-1</f>
        <v>7.2409123750556192E-2</v>
      </c>
      <c r="AD64" s="155">
        <f>AD63/X63-1</f>
        <v>0.13961127711115928</v>
      </c>
      <c r="AE64" s="156">
        <f>AE63/Y63-1</f>
        <v>2.4831758300196238E-2</v>
      </c>
      <c r="AF64" s="188"/>
      <c r="AG64" s="190">
        <f>AG63/AA63-1</f>
        <v>-4.5922738096041082E-2</v>
      </c>
      <c r="AH64" s="188">
        <f>AH63/AB63-1</f>
        <v>3.3834979229372397E-2</v>
      </c>
      <c r="AI64" s="188">
        <f>AI63/AC63-1</f>
        <v>1.4349071504421662E-2</v>
      </c>
      <c r="AJ64" s="155">
        <f>AJ63/AD63-1</f>
        <v>-7.0540311407952805E-2</v>
      </c>
      <c r="AK64" s="154">
        <f>AK63/AE63-1</f>
        <v>-1.6987554972184182E-2</v>
      </c>
      <c r="AL64" s="188"/>
      <c r="AM64" s="190">
        <f>AM63/AG63-1</f>
        <v>-4.0865095693610742E-3</v>
      </c>
      <c r="AN64" s="188">
        <f>AN63/AH63-1</f>
        <v>6.44350981203623E-2</v>
      </c>
      <c r="AO64" s="188">
        <f>AO63/AI63-1</f>
        <v>7.428455806670109E-2</v>
      </c>
      <c r="AP64" s="188">
        <f>AP63/AJ63-1</f>
        <v>7.2312100663854739E-2</v>
      </c>
      <c r="AQ64" s="154">
        <f>AQ63/AK63-1</f>
        <v>5.7344163566639184E-2</v>
      </c>
      <c r="AR64" s="188"/>
      <c r="AS64" s="190">
        <f>AS63/AM63-1</f>
        <v>0.16070224260451638</v>
      </c>
      <c r="AT64" s="188">
        <f>AT63/AN63-1</f>
        <v>7.5968824029367665E-2</v>
      </c>
      <c r="AU64" s="188">
        <f>AU63/AO63-1</f>
        <v>6.1704131351594915E-2</v>
      </c>
      <c r="AV64" s="188">
        <f>AV63/AP63-1</f>
        <v>9.9170124481327671E-2</v>
      </c>
      <c r="AW64" s="154">
        <f>AW63/AQ63-1</f>
        <v>9.2543394284594793E-2</v>
      </c>
      <c r="AX64" s="188"/>
      <c r="AY64" s="190">
        <f>AY63/AS63-1</f>
        <v>-0.13700305810397562</v>
      </c>
      <c r="AZ64" s="188">
        <f>AZ63/AT63-1</f>
        <v>-6.5126050420168058E-2</v>
      </c>
      <c r="BA64" s="188">
        <f>BA63/AU63-1</f>
        <v>-5.5148476667952195E-2</v>
      </c>
      <c r="BB64" s="153">
        <f>BB63/AV63-1</f>
        <v>-4.1147602869007094E-2</v>
      </c>
      <c r="BC64" s="154">
        <f>BC63/AW63-1</f>
        <v>-6.8164632170249484E-2</v>
      </c>
      <c r="BD64" s="665"/>
      <c r="BE64" s="717">
        <f>BE63/AY63-1</f>
        <v>-5.7406094968107668E-2</v>
      </c>
      <c r="BF64" s="696">
        <f t="shared" ref="BF64" si="324">BF63/AZ63-1</f>
        <v>2.9213483146067309E-2</v>
      </c>
      <c r="BG64" s="696">
        <f t="shared" ref="BG64" si="325">BG63/BA63-1</f>
        <v>-4.0816326530612734E-3</v>
      </c>
      <c r="BH64" s="697">
        <f t="shared" ref="BH64" si="326">BH63/BB63-1</f>
        <v>4.3307086614173151E-2</v>
      </c>
      <c r="BI64" s="732">
        <f t="shared" ref="BI64" si="327">BI63/BC63-1</f>
        <v>9.738001391143003E-3</v>
      </c>
      <c r="BJ64" s="665"/>
      <c r="BK64" s="717">
        <f>BK63/BE63-1</f>
        <v>0.24060150375939848</v>
      </c>
      <c r="BL64" s="696">
        <f t="shared" ref="BL64" si="328">BL63/BF63-1</f>
        <v>2.6200873362445476E-2</v>
      </c>
      <c r="BM64" s="696">
        <f t="shared" ref="BM64" si="329">BM63/BG63-1</f>
        <v>5.7377049180327822E-2</v>
      </c>
      <c r="BN64" s="697">
        <f t="shared" ref="BN64" si="330">BN63/BH63-1</f>
        <v>2.2641509433962259E-2</v>
      </c>
      <c r="BO64" s="732">
        <f t="shared" ref="BO64" si="331">BO63/BI63-1</f>
        <v>6.6590126291618867E-2</v>
      </c>
      <c r="BP64" s="665"/>
      <c r="BQ64" s="717">
        <f>BQ63/BK63-1</f>
        <v>0.16363636363636358</v>
      </c>
      <c r="BR64" s="696">
        <f>BR65+BR66</f>
        <v>0.12882415188975915</v>
      </c>
      <c r="BS64" s="696">
        <f>BS65+BS66</f>
        <v>9.6563119107289361E-2</v>
      </c>
      <c r="BT64" s="697">
        <f>BT65+BT66</f>
        <v>9.7281674766729553E-2</v>
      </c>
      <c r="BU64" s="732">
        <f>BU63/BO63-1</f>
        <v>0.11684638782083723</v>
      </c>
      <c r="BV64" s="665"/>
      <c r="BW64" s="717">
        <f>BW65+BW66</f>
        <v>8.2033427543754311E-2</v>
      </c>
      <c r="BX64" s="696">
        <f>BX65+BX66</f>
        <v>5.2690329558802922E-2</v>
      </c>
      <c r="BY64" s="696">
        <f>BY65+BY66</f>
        <v>0.05</v>
      </c>
      <c r="BZ64" s="697">
        <f>BZ65+BZ66</f>
        <v>0.05</v>
      </c>
      <c r="CA64" s="732">
        <f>CA63/BU63-1</f>
        <v>5.6615671295259462E-2</v>
      </c>
      <c r="CB64" s="665"/>
      <c r="CC64" s="717">
        <f>CC65+CC66</f>
        <v>0.05</v>
      </c>
      <c r="CD64" s="696">
        <f>CD65+CD66</f>
        <v>0.05</v>
      </c>
      <c r="CE64" s="696">
        <f>CE65+CE66</f>
        <v>0.05</v>
      </c>
      <c r="CF64" s="697">
        <f>CF65+CF66</f>
        <v>0.05</v>
      </c>
      <c r="CG64" s="732">
        <f>CG63/CA63-1</f>
        <v>4.9999999999999822E-2</v>
      </c>
      <c r="CH64" s="665"/>
      <c r="CI64" s="717">
        <f>CI65+CI66</f>
        <v>0.05</v>
      </c>
      <c r="CJ64" s="696">
        <f>CJ65+CJ66</f>
        <v>0.05</v>
      </c>
      <c r="CK64" s="696">
        <f>CK65+CK66</f>
        <v>0.05</v>
      </c>
      <c r="CL64" s="697">
        <f>CL65+CL66</f>
        <v>0.05</v>
      </c>
      <c r="CM64" s="732">
        <f>CM63/CG63-1</f>
        <v>5.0000000000000044E-2</v>
      </c>
    </row>
    <row r="65" spans="1:91" s="25" customFormat="1" ht="11.25" hidden="1" outlineLevel="1" x14ac:dyDescent="0.2">
      <c r="A65" s="695" t="s">
        <v>9</v>
      </c>
      <c r="B65" s="665"/>
      <c r="C65" s="193">
        <v>4.8000000000000001E-2</v>
      </c>
      <c r="D65" s="191">
        <v>8.4000000000000005E-2</v>
      </c>
      <c r="E65" s="191">
        <v>7.9000000000000001E-2</v>
      </c>
      <c r="F65" s="192">
        <v>6.4000000000000001E-2</v>
      </c>
      <c r="G65" s="220">
        <v>7.0000000000000007E-2</v>
      </c>
      <c r="H65" s="191"/>
      <c r="I65" s="193">
        <v>0.122</v>
      </c>
      <c r="J65" s="191">
        <v>0.11</v>
      </c>
      <c r="K65" s="191">
        <v>0.17499999999999999</v>
      </c>
      <c r="L65" s="192">
        <v>0.126</v>
      </c>
      <c r="M65" s="220">
        <v>0.13400000000000001</v>
      </c>
      <c r="N65" s="191"/>
      <c r="O65" s="193">
        <v>-4.1000000000000002E-2</v>
      </c>
      <c r="P65" s="191">
        <v>-5.1999999999999998E-2</v>
      </c>
      <c r="Q65" s="191">
        <v>-0.126</v>
      </c>
      <c r="R65" s="192">
        <v>-7.9000000000000001E-2</v>
      </c>
      <c r="S65" s="220">
        <v>-0.08</v>
      </c>
      <c r="T65" s="191"/>
      <c r="U65" s="193">
        <v>7.0000000000000007E-2</v>
      </c>
      <c r="V65" s="191">
        <v>1.4E-2</v>
      </c>
      <c r="W65" s="191">
        <v>-3.5999999999999997E-2</v>
      </c>
      <c r="X65" s="192">
        <v>-8.2000000000000003E-2</v>
      </c>
      <c r="Y65" s="220">
        <v>-1.7000000000000001E-2</v>
      </c>
      <c r="Z65" s="191"/>
      <c r="AA65" s="193">
        <v>-3.9E-2</v>
      </c>
      <c r="AB65" s="191">
        <v>-8.9999999999999993E-3</v>
      </c>
      <c r="AC65" s="191">
        <v>0.09</v>
      </c>
      <c r="AD65" s="192">
        <v>0.115</v>
      </c>
      <c r="AE65" s="156">
        <f>SUMPRODUCT(AA65:AD65,U63:X63)/Y63</f>
        <v>4.3527723893778604E-2</v>
      </c>
      <c r="AF65" s="191"/>
      <c r="AG65" s="193">
        <v>7.0000000000000001E-3</v>
      </c>
      <c r="AH65" s="191">
        <v>-2.5000000000000001E-2</v>
      </c>
      <c r="AI65" s="191">
        <v>-7.2999999999999995E-2</v>
      </c>
      <c r="AJ65" s="192">
        <v>-0.124</v>
      </c>
      <c r="AK65" s="156">
        <f>SUMPRODUCT(AG65:AJ65,AA63:AD63)/AE63</f>
        <v>-6.1743530609616223E-2</v>
      </c>
      <c r="AL65" s="191"/>
      <c r="AM65" s="193">
        <v>-3.9E-2</v>
      </c>
      <c r="AN65" s="191">
        <v>7.0000000000000001E-3</v>
      </c>
      <c r="AO65" s="191">
        <v>-1.7000000000000001E-2</v>
      </c>
      <c r="AP65" s="191">
        <v>0.04</v>
      </c>
      <c r="AQ65" s="156">
        <f>SUMPRODUCT(AM65:AP65,AG63:AJ63)/AK63</f>
        <v>1.3272181366890564E-3</v>
      </c>
      <c r="AR65" s="191"/>
      <c r="AS65" s="193">
        <v>3.7999999999999999E-2</v>
      </c>
      <c r="AT65" s="191">
        <v>1.7000000000000001E-2</v>
      </c>
      <c r="AU65" s="191">
        <v>4.9000000000000002E-2</v>
      </c>
      <c r="AV65" s="191">
        <v>1.0999999999999999E-2</v>
      </c>
      <c r="AW65" s="156">
        <f>SUMPRODUCT(AS65:AV65,AM63:AP63)/AQ63</f>
        <v>2.8008620435294215E-2</v>
      </c>
      <c r="AX65" s="191"/>
      <c r="AY65" s="193">
        <v>-5.3999999999999999E-2</v>
      </c>
      <c r="AZ65" s="191">
        <v>-0.11899999999999999</v>
      </c>
      <c r="BA65" s="191">
        <f>-48/AU63</f>
        <v>-0.18511376783648284</v>
      </c>
      <c r="BB65" s="194">
        <f>-39/AV63</f>
        <v>-0.14722536806342018</v>
      </c>
      <c r="BC65" s="156">
        <f>SUMPRODUCT(AY65:BB65,AS63:AV63)/AW63</f>
        <v>-0.13411580425623854</v>
      </c>
      <c r="BD65" s="665"/>
      <c r="BE65" s="672">
        <f>-16.5/AY63</f>
        <v>-0.11693834160170093</v>
      </c>
      <c r="BF65" s="673">
        <f>-16/AZ63</f>
        <v>-7.1910112359550568E-2</v>
      </c>
      <c r="BG65" s="673">
        <f>3.4/BA63</f>
        <v>1.3877551020408163E-2</v>
      </c>
      <c r="BH65" s="674">
        <f>1.4/BB63</f>
        <v>5.5118110236220472E-3</v>
      </c>
      <c r="BI65" s="732">
        <f>SUMPRODUCT(BE65:BH65,AY63:BB63)/BC63</f>
        <v>-3.2112218873174128E-2</v>
      </c>
      <c r="BJ65" s="665"/>
      <c r="BK65" s="660">
        <f>BK64-BK66</f>
        <v>7.6015037593984702E-3</v>
      </c>
      <c r="BL65" s="661">
        <f t="shared" ref="BL65" si="332">BL64-BL66</f>
        <v>-2.9799126637554525E-2</v>
      </c>
      <c r="BM65" s="661">
        <f t="shared" ref="BM65" si="333">BM64-BM66</f>
        <v>-1.7622950819672176E-2</v>
      </c>
      <c r="BN65" s="662">
        <f t="shared" ref="BN65" si="334">BN64-BN66</f>
        <v>1.8641509433962259E-2</v>
      </c>
      <c r="BO65" s="732">
        <f>SUMPRODUCT(BK65:BN65,BE63:BH63)/BI63</f>
        <v>-5.9391504018369698E-3</v>
      </c>
      <c r="BP65" s="665"/>
      <c r="BQ65" s="660">
        <f>BQ64-BQ66</f>
        <v>5.9636363636363585E-2</v>
      </c>
      <c r="BR65" s="698">
        <v>5.382415188975917E-2</v>
      </c>
      <c r="BS65" s="698">
        <v>4.156311910728936E-2</v>
      </c>
      <c r="BT65" s="742">
        <v>1.7281674766729559E-2</v>
      </c>
      <c r="BU65" s="732">
        <f>SUMPRODUCT(BQ65:BT65,BK63:BN63)/BO63</f>
        <v>4.0791490081332357E-2</v>
      </c>
      <c r="BV65" s="665"/>
      <c r="BW65" s="743">
        <v>3.2033427543754309E-2</v>
      </c>
      <c r="BX65" s="698">
        <v>2.6903295588029167E-3</v>
      </c>
      <c r="BY65" s="698">
        <v>0</v>
      </c>
      <c r="BZ65" s="742">
        <v>0</v>
      </c>
      <c r="CA65" s="732">
        <f>SUMPRODUCT(BW65:BZ65,BQ63:BT63)/BU63</f>
        <v>6.6156712952594359E-3</v>
      </c>
      <c r="CB65" s="665"/>
      <c r="CC65" s="743">
        <v>0</v>
      </c>
      <c r="CD65" s="698">
        <v>0</v>
      </c>
      <c r="CE65" s="698">
        <v>0</v>
      </c>
      <c r="CF65" s="742">
        <v>0</v>
      </c>
      <c r="CG65" s="732">
        <f>SUMPRODUCT(CC65:CF65,BW63:BZ63)/CA63</f>
        <v>0</v>
      </c>
      <c r="CH65" s="665"/>
      <c r="CI65" s="743">
        <v>0</v>
      </c>
      <c r="CJ65" s="698">
        <v>0</v>
      </c>
      <c r="CK65" s="698">
        <v>0</v>
      </c>
      <c r="CL65" s="742">
        <v>0</v>
      </c>
      <c r="CM65" s="732">
        <f>SUMPRODUCT(CI65:CL65,CC63:CF63)/CG63</f>
        <v>0</v>
      </c>
    </row>
    <row r="66" spans="1:91" s="25" customFormat="1" ht="11.25" hidden="1" outlineLevel="1" x14ac:dyDescent="0.2">
      <c r="A66" s="695" t="s">
        <v>10</v>
      </c>
      <c r="B66" s="665"/>
      <c r="C66" s="193">
        <v>7.9233168346870372E-2</v>
      </c>
      <c r="D66" s="191">
        <v>0.13335847380460636</v>
      </c>
      <c r="E66" s="191">
        <v>0.12598608999913957</v>
      </c>
      <c r="F66" s="192">
        <v>0.1575</v>
      </c>
      <c r="G66" s="220">
        <v>0.12466431730453681</v>
      </c>
      <c r="H66" s="188"/>
      <c r="I66" s="190">
        <f>I64-I65</f>
        <v>4.6577602448458655E-2</v>
      </c>
      <c r="J66" s="188">
        <f>J64-J65</f>
        <v>-5.2943895111955547E-3</v>
      </c>
      <c r="K66" s="188">
        <f>K64-K65</f>
        <v>0.19564210357200246</v>
      </c>
      <c r="L66" s="155">
        <f>L64-L65</f>
        <v>0.14073734926823367</v>
      </c>
      <c r="M66" s="156">
        <f>M64-M65</f>
        <v>9.6849479121529636E-2</v>
      </c>
      <c r="N66" s="188"/>
      <c r="O66" s="152">
        <f>O64-O65</f>
        <v>4.2092371169297836E-2</v>
      </c>
      <c r="P66" s="188">
        <f>P64-P65</f>
        <v>3.2320378729494732E-2</v>
      </c>
      <c r="Q66" s="188">
        <f>Q64-Q65</f>
        <v>8.3268630668646204E-2</v>
      </c>
      <c r="R66" s="155">
        <f>R64-R65</f>
        <v>0.26664336001440875</v>
      </c>
      <c r="S66" s="156">
        <f>S64-S65</f>
        <v>0.1094523223096359</v>
      </c>
      <c r="T66" s="188"/>
      <c r="U66" s="190">
        <f>U64-U65</f>
        <v>7.3457197510008065E-2</v>
      </c>
      <c r="V66" s="188">
        <f>V64-V65</f>
        <v>0.1107718785972991</v>
      </c>
      <c r="W66" s="188">
        <f>W64-W65</f>
        <v>-1.6198836297011833E-2</v>
      </c>
      <c r="X66" s="155">
        <f>X64-X65</f>
        <v>2.8417181471486905E-2</v>
      </c>
      <c r="Y66" s="156">
        <f>Y64-Y65</f>
        <v>4.3481716633630638E-2</v>
      </c>
      <c r="Z66" s="188"/>
      <c r="AA66" s="190">
        <f>AA64-AA65</f>
        <v>-0.10876405120923474</v>
      </c>
      <c r="AB66" s="188">
        <f>AB64-AB65</f>
        <v>1.2494670627293361E-2</v>
      </c>
      <c r="AC66" s="188">
        <f>AC64-AC65</f>
        <v>-1.7590876249443804E-2</v>
      </c>
      <c r="AD66" s="155">
        <f>AD64-AD65</f>
        <v>2.4611277111159277E-2</v>
      </c>
      <c r="AE66" s="156">
        <f>SUMPRODUCT(AA66:AD66,U63:X63)/Y63</f>
        <v>-1.8695965593582393E-2</v>
      </c>
      <c r="AF66" s="188"/>
      <c r="AG66" s="190">
        <f>AG64-AG65</f>
        <v>-5.2922738096041082E-2</v>
      </c>
      <c r="AH66" s="188">
        <f>AH64-AH65</f>
        <v>5.8834979229372399E-2</v>
      </c>
      <c r="AI66" s="188">
        <f>AI64-AI65</f>
        <v>8.7349071504421658E-2</v>
      </c>
      <c r="AJ66" s="155">
        <f>AJ64-AJ65</f>
        <v>5.3459688592047194E-2</v>
      </c>
      <c r="AK66" s="156">
        <f>SUMPRODUCT(AG66:AJ66,AA63:AD63)/AE63</f>
        <v>4.4755975637431979E-2</v>
      </c>
      <c r="AL66" s="188"/>
      <c r="AM66" s="190">
        <f>AM64-AM65</f>
        <v>3.4913490430638926E-2</v>
      </c>
      <c r="AN66" s="188">
        <f>AN64-AN65</f>
        <v>5.74350981203623E-2</v>
      </c>
      <c r="AO66" s="188">
        <f>AO64-AO65</f>
        <v>9.1284558066701091E-2</v>
      </c>
      <c r="AP66" s="188">
        <f>AP64-AP65</f>
        <v>3.2312100663854738E-2</v>
      </c>
      <c r="AQ66" s="156">
        <f>SUMPRODUCT(AM66:AP66,AG63:AJ63)/AK63</f>
        <v>5.6016945429950192E-2</v>
      </c>
      <c r="AR66" s="188"/>
      <c r="AS66" s="190">
        <f>AS64-AS65</f>
        <v>0.12270224260451637</v>
      </c>
      <c r="AT66" s="188">
        <f>AT64-AT65</f>
        <v>5.8968824029367664E-2</v>
      </c>
      <c r="AU66" s="188">
        <f>AU64-AU65</f>
        <v>1.2704131351594913E-2</v>
      </c>
      <c r="AV66" s="188">
        <f>AV64-AV65</f>
        <v>8.8170124481327675E-2</v>
      </c>
      <c r="AW66" s="156">
        <f>SUMPRODUCT(AS66:AV66,AM63:AP63)/AQ63</f>
        <v>6.4534773849300536E-2</v>
      </c>
      <c r="AX66" s="188"/>
      <c r="AY66" s="190">
        <f>AY64-AY65</f>
        <v>-8.3003058103975624E-2</v>
      </c>
      <c r="AZ66" s="188">
        <f>AZ64-AZ65</f>
        <v>5.3873949579831937E-2</v>
      </c>
      <c r="BA66" s="188">
        <f>BA64-BA65</f>
        <v>0.12996529116853064</v>
      </c>
      <c r="BB66" s="155">
        <f>BB64-BB65</f>
        <v>0.10607776519441309</v>
      </c>
      <c r="BC66" s="156">
        <f>SUMPRODUCT(AY66:BB66,AS63:AV63)/AW63</f>
        <v>6.5951172085988982E-2</v>
      </c>
      <c r="BD66" s="665"/>
      <c r="BE66" s="717">
        <f>BE64-BE65</f>
        <v>5.9532246633593258E-2</v>
      </c>
      <c r="BF66" s="696">
        <f t="shared" ref="BF66" si="335">BF64-BF65</f>
        <v>0.10112359550561788</v>
      </c>
      <c r="BG66" s="696">
        <f t="shared" ref="BG66" si="336">BG64-BG65</f>
        <v>-1.7959183673469437E-2</v>
      </c>
      <c r="BH66" s="697">
        <f t="shared" ref="BH66" si="337">BH64-BH65</f>
        <v>3.7795275590551104E-2</v>
      </c>
      <c r="BI66" s="732">
        <f t="shared" ref="BI66" si="338">BI64-BI65</f>
        <v>4.1850220264317131E-2</v>
      </c>
      <c r="BJ66" s="665"/>
      <c r="BK66" s="672">
        <v>0.23300000000000001</v>
      </c>
      <c r="BL66" s="673">
        <v>5.6000000000000001E-2</v>
      </c>
      <c r="BM66" s="673">
        <v>7.4999999999999997E-2</v>
      </c>
      <c r="BN66" s="674">
        <v>4.0000000000000001E-3</v>
      </c>
      <c r="BO66" s="732">
        <f t="shared" ref="BO66" si="339">BO64-BO65</f>
        <v>7.2529276693455838E-2</v>
      </c>
      <c r="BP66" s="665"/>
      <c r="BQ66" s="672">
        <v>0.104</v>
      </c>
      <c r="BR66" s="696">
        <f>BR67+BR68</f>
        <v>7.4999999999999997E-2</v>
      </c>
      <c r="BS66" s="696">
        <f>BS67+BS68</f>
        <v>5.5E-2</v>
      </c>
      <c r="BT66" s="697">
        <f>BT67+BT68</f>
        <v>0.08</v>
      </c>
      <c r="BU66" s="732">
        <f>BU64-BU65</f>
        <v>7.605489773950487E-2</v>
      </c>
      <c r="BV66" s="665"/>
      <c r="BW66" s="717">
        <f>BW67+BW68</f>
        <v>0.05</v>
      </c>
      <c r="BX66" s="696">
        <f>BX67+BX68</f>
        <v>0.05</v>
      </c>
      <c r="BY66" s="696">
        <f>BY67+BY68</f>
        <v>0.05</v>
      </c>
      <c r="BZ66" s="697">
        <f>BZ67+BZ68</f>
        <v>0.05</v>
      </c>
      <c r="CA66" s="732">
        <f>CA64-CA65</f>
        <v>5.0000000000000024E-2</v>
      </c>
      <c r="CB66" s="665"/>
      <c r="CC66" s="717">
        <f>CC67+CC68</f>
        <v>0.05</v>
      </c>
      <c r="CD66" s="696">
        <f>CD67+CD68</f>
        <v>0.05</v>
      </c>
      <c r="CE66" s="696">
        <f>CE67+CE68</f>
        <v>0.05</v>
      </c>
      <c r="CF66" s="697">
        <f>CF67+CF68</f>
        <v>0.05</v>
      </c>
      <c r="CG66" s="732">
        <f>CG64-CG65</f>
        <v>4.9999999999999822E-2</v>
      </c>
      <c r="CH66" s="665"/>
      <c r="CI66" s="717">
        <f>CI67+CI68</f>
        <v>0.05</v>
      </c>
      <c r="CJ66" s="696">
        <f>CJ67+CJ68</f>
        <v>0.05</v>
      </c>
      <c r="CK66" s="696">
        <f>CK67+CK68</f>
        <v>0.05</v>
      </c>
      <c r="CL66" s="697">
        <f>CL67+CL68</f>
        <v>0.05</v>
      </c>
      <c r="CM66" s="732">
        <f>CM64-CM65</f>
        <v>5.0000000000000044E-2</v>
      </c>
    </row>
    <row r="67" spans="1:91" s="25" customFormat="1" ht="11.25" hidden="1" outlineLevel="1" x14ac:dyDescent="0.2">
      <c r="A67" s="695" t="s">
        <v>6</v>
      </c>
      <c r="B67" s="665"/>
      <c r="C67" s="193">
        <v>0</v>
      </c>
      <c r="D67" s="191">
        <v>0</v>
      </c>
      <c r="E67" s="191">
        <v>0</v>
      </c>
      <c r="F67" s="192">
        <v>0</v>
      </c>
      <c r="G67" s="220">
        <v>0</v>
      </c>
      <c r="H67" s="188"/>
      <c r="I67" s="193">
        <v>0</v>
      </c>
      <c r="J67" s="191">
        <v>0</v>
      </c>
      <c r="K67" s="191">
        <v>0</v>
      </c>
      <c r="L67" s="192">
        <v>0</v>
      </c>
      <c r="M67" s="154">
        <f>SUMPRODUCT(I67:L67,C63:F63)/G63</f>
        <v>0</v>
      </c>
      <c r="N67" s="188"/>
      <c r="O67" s="193">
        <v>0</v>
      </c>
      <c r="P67" s="191">
        <v>0</v>
      </c>
      <c r="Q67" s="191">
        <v>0</v>
      </c>
      <c r="R67" s="192">
        <v>0</v>
      </c>
      <c r="S67" s="154">
        <f>SUMPRODUCT(O67:R67,I63:L63)/M63</f>
        <v>0</v>
      </c>
      <c r="T67" s="188"/>
      <c r="U67" s="193">
        <v>0</v>
      </c>
      <c r="V67" s="191">
        <v>0</v>
      </c>
      <c r="W67" s="191">
        <v>0</v>
      </c>
      <c r="X67" s="192">
        <v>0</v>
      </c>
      <c r="Y67" s="154">
        <f>SUMPRODUCT(U67:X67,O63:R63)/S63</f>
        <v>0</v>
      </c>
      <c r="Z67" s="188"/>
      <c r="AA67" s="193">
        <v>0</v>
      </c>
      <c r="AB67" s="191">
        <v>0</v>
      </c>
      <c r="AC67" s="191">
        <v>0</v>
      </c>
      <c r="AD67" s="192">
        <v>0</v>
      </c>
      <c r="AE67" s="154">
        <f>SUMPRODUCT(AA67:AD67,U63:X63)/Y63</f>
        <v>0</v>
      </c>
      <c r="AF67" s="188"/>
      <c r="AG67" s="193">
        <v>0</v>
      </c>
      <c r="AH67" s="191">
        <v>0</v>
      </c>
      <c r="AI67" s="191">
        <v>0</v>
      </c>
      <c r="AJ67" s="192">
        <v>0</v>
      </c>
      <c r="AK67" s="154">
        <f>SUMPRODUCT(AG67:AJ67,AA63:AD63)/AE63</f>
        <v>0</v>
      </c>
      <c r="AL67" s="188"/>
      <c r="AM67" s="193">
        <v>1.4999999999999999E-2</v>
      </c>
      <c r="AN67" s="191">
        <v>0.04</v>
      </c>
      <c r="AO67" s="191">
        <v>0.04</v>
      </c>
      <c r="AP67" s="191">
        <v>0.04</v>
      </c>
      <c r="AQ67" s="154">
        <f>SUMPRODUCT(AM67:AP67,AG63:AJ63)/AK63</f>
        <v>3.5587343402338836E-2</v>
      </c>
      <c r="AR67" s="188"/>
      <c r="AS67" s="193">
        <v>2.5000000000000001E-2</v>
      </c>
      <c r="AT67" s="191">
        <v>0</v>
      </c>
      <c r="AU67" s="191">
        <v>0</v>
      </c>
      <c r="AV67" s="191">
        <v>0</v>
      </c>
      <c r="AW67" s="154">
        <f>SUMPRODUCT(AS67:AV67,AM63:AP63)/AQ63</f>
        <v>4.1562855176923109E-3</v>
      </c>
      <c r="AX67" s="188"/>
      <c r="AY67" s="193">
        <v>0</v>
      </c>
      <c r="AZ67" s="191">
        <v>0</v>
      </c>
      <c r="BA67" s="191">
        <v>0</v>
      </c>
      <c r="BB67" s="192">
        <v>0</v>
      </c>
      <c r="BC67" s="154">
        <f>SUMPRODUCT(AY67:BB67,AS63:AV63)/AW63</f>
        <v>0</v>
      </c>
      <c r="BD67" s="665"/>
      <c r="BE67" s="672">
        <v>0</v>
      </c>
      <c r="BF67" s="673">
        <v>0</v>
      </c>
      <c r="BG67" s="673">
        <v>0</v>
      </c>
      <c r="BH67" s="674">
        <v>0</v>
      </c>
      <c r="BI67" s="732">
        <f>SUMPRODUCT(BE67:BH67,AY63:BB63)/BC63</f>
        <v>0</v>
      </c>
      <c r="BJ67" s="665"/>
      <c r="BK67" s="672">
        <v>0</v>
      </c>
      <c r="BL67" s="673">
        <v>0</v>
      </c>
      <c r="BM67" s="673">
        <v>0</v>
      </c>
      <c r="BN67" s="674">
        <v>0</v>
      </c>
      <c r="BO67" s="732">
        <f>SUMPRODUCT(BK67:BN67,BE63:BH63)/BI63</f>
        <v>0</v>
      </c>
      <c r="BP67" s="665"/>
      <c r="BQ67" s="672">
        <v>0</v>
      </c>
      <c r="BR67" s="673">
        <v>0</v>
      </c>
      <c r="BS67" s="673">
        <v>0</v>
      </c>
      <c r="BT67" s="674">
        <v>0</v>
      </c>
      <c r="BU67" s="732">
        <f>SUMPRODUCT(BQ67:BT67,BK63:BN63)/BO63</f>
        <v>0</v>
      </c>
      <c r="BV67" s="665"/>
      <c r="BW67" s="672">
        <v>0</v>
      </c>
      <c r="BX67" s="673">
        <v>0</v>
      </c>
      <c r="BY67" s="673">
        <v>0</v>
      </c>
      <c r="BZ67" s="674">
        <v>0</v>
      </c>
      <c r="CA67" s="732">
        <f>SUMPRODUCT(BW67:BZ67,BQ63:BT63)/BU63</f>
        <v>0</v>
      </c>
      <c r="CB67" s="665"/>
      <c r="CC67" s="672">
        <v>0</v>
      </c>
      <c r="CD67" s="673">
        <v>0</v>
      </c>
      <c r="CE67" s="673">
        <v>0</v>
      </c>
      <c r="CF67" s="674">
        <v>0</v>
      </c>
      <c r="CG67" s="732">
        <f>SUMPRODUCT(CC67:CF67,BW63:BZ63)/CA63</f>
        <v>0</v>
      </c>
      <c r="CH67" s="665"/>
      <c r="CI67" s="672">
        <v>0</v>
      </c>
      <c r="CJ67" s="673">
        <v>0</v>
      </c>
      <c r="CK67" s="673">
        <v>0</v>
      </c>
      <c r="CL67" s="674">
        <v>0</v>
      </c>
      <c r="CM67" s="732">
        <f>SUMPRODUCT(CI67:CL67,CC63:CF63)/CG63</f>
        <v>0</v>
      </c>
    </row>
    <row r="68" spans="1:91" s="25" customFormat="1" ht="11.25" hidden="1" outlineLevel="1" x14ac:dyDescent="0.2">
      <c r="A68" s="695" t="s">
        <v>7</v>
      </c>
      <c r="B68" s="665"/>
      <c r="C68" s="193">
        <v>7.9233168346870372E-2</v>
      </c>
      <c r="D68" s="191">
        <v>0.13335847380460636</v>
      </c>
      <c r="E68" s="191">
        <v>0.12598608999913957</v>
      </c>
      <c r="F68" s="192">
        <v>0.1575</v>
      </c>
      <c r="G68" s="220">
        <v>0.12490584319179868</v>
      </c>
      <c r="H68" s="188"/>
      <c r="I68" s="152">
        <f>I66-I67</f>
        <v>4.6577602448458655E-2</v>
      </c>
      <c r="J68" s="151">
        <f>J66-J67</f>
        <v>-5.2943895111955547E-3</v>
      </c>
      <c r="K68" s="151">
        <f>K66-K67</f>
        <v>0.19564210357200246</v>
      </c>
      <c r="L68" s="153">
        <f>L66-L67</f>
        <v>0.14073734926823367</v>
      </c>
      <c r="M68" s="154">
        <f>SUMPRODUCT(I68:L68,C63:F63)/G63</f>
        <v>9.6537077946180508E-2</v>
      </c>
      <c r="N68" s="188"/>
      <c r="O68" s="152">
        <f>O66-O67</f>
        <v>4.2092371169297836E-2</v>
      </c>
      <c r="P68" s="151">
        <f>P66-P67</f>
        <v>3.2320378729494732E-2</v>
      </c>
      <c r="Q68" s="151">
        <f>Q66-Q67</f>
        <v>8.3268630668646204E-2</v>
      </c>
      <c r="R68" s="153">
        <f>R66-R67</f>
        <v>0.26664336001440875</v>
      </c>
      <c r="S68" s="154">
        <f>SUMPRODUCT(O68:R68,I63:L63)/M63</f>
        <v>0.10864740641547831</v>
      </c>
      <c r="T68" s="188"/>
      <c r="U68" s="152">
        <f>U66-U67</f>
        <v>7.3457197510008065E-2</v>
      </c>
      <c r="V68" s="151">
        <f>V66-V67</f>
        <v>0.1107718785972991</v>
      </c>
      <c r="W68" s="151">
        <f>W66-W67</f>
        <v>-1.6198836297011833E-2</v>
      </c>
      <c r="X68" s="153">
        <f>X66-X67</f>
        <v>2.8417181471486905E-2</v>
      </c>
      <c r="Y68" s="154">
        <f>SUMPRODUCT(U68:X68,O63:R63)/S63</f>
        <v>4.3489942083746319E-2</v>
      </c>
      <c r="Z68" s="188"/>
      <c r="AA68" s="152">
        <f>AA66-AA67</f>
        <v>-0.10876405120923474</v>
      </c>
      <c r="AB68" s="151">
        <f>AB66-AB67</f>
        <v>1.2494670627293361E-2</v>
      </c>
      <c r="AC68" s="151">
        <f>AC66-AC67</f>
        <v>-1.7590876249443804E-2</v>
      </c>
      <c r="AD68" s="153">
        <f>AD66-AD67</f>
        <v>2.4611277111159277E-2</v>
      </c>
      <c r="AE68" s="154">
        <f>SUMPRODUCT(AA68:AD68,U63:X63)/Y63</f>
        <v>-1.8695965593582393E-2</v>
      </c>
      <c r="AF68" s="188"/>
      <c r="AG68" s="152">
        <f>AG66-AG67</f>
        <v>-5.2922738096041082E-2</v>
      </c>
      <c r="AH68" s="151">
        <f>AH66-AH67</f>
        <v>5.8834979229372399E-2</v>
      </c>
      <c r="AI68" s="151">
        <f>AI66-AI67</f>
        <v>8.7349071504421658E-2</v>
      </c>
      <c r="AJ68" s="153">
        <f>AJ66-AJ67</f>
        <v>5.3459688592047194E-2</v>
      </c>
      <c r="AK68" s="154">
        <f>SUMPRODUCT(AG68:AJ68,AA63:AD63)/AE63</f>
        <v>4.4755975637431979E-2</v>
      </c>
      <c r="AL68" s="188"/>
      <c r="AM68" s="152">
        <f>AM66-AM67</f>
        <v>1.9913490430638926E-2</v>
      </c>
      <c r="AN68" s="151">
        <f>AN66-AN67</f>
        <v>1.74350981203623E-2</v>
      </c>
      <c r="AO68" s="151">
        <f>AO66-AO67</f>
        <v>5.128455806670109E-2</v>
      </c>
      <c r="AP68" s="151">
        <f>AP66-AP67</f>
        <v>-7.6878993361452624E-3</v>
      </c>
      <c r="AQ68" s="154">
        <f>SUMPRODUCT(AM68:AP68,AG63:AJ63)/AK63</f>
        <v>2.0429602027611342E-2</v>
      </c>
      <c r="AR68" s="188"/>
      <c r="AS68" s="152">
        <f>AS66-AS67</f>
        <v>9.7702242604516376E-2</v>
      </c>
      <c r="AT68" s="151">
        <f>AT66-AT67</f>
        <v>5.8968824029367664E-2</v>
      </c>
      <c r="AU68" s="151">
        <f>AU66-AU67</f>
        <v>1.2704131351594913E-2</v>
      </c>
      <c r="AV68" s="151">
        <f>AV66-AV67</f>
        <v>8.8170124481327675E-2</v>
      </c>
      <c r="AW68" s="154">
        <f>SUMPRODUCT(AS68:AV68,AM63:AP63)/AQ63</f>
        <v>6.0378488331608221E-2</v>
      </c>
      <c r="AX68" s="188"/>
      <c r="AY68" s="152">
        <f>AY66-AY67</f>
        <v>-8.3003058103975624E-2</v>
      </c>
      <c r="AZ68" s="151">
        <f>AZ66-AZ67</f>
        <v>5.3873949579831937E-2</v>
      </c>
      <c r="BA68" s="151">
        <f>BA66-BA67</f>
        <v>0.12996529116853064</v>
      </c>
      <c r="BB68" s="155">
        <f>BB66-BB67</f>
        <v>0.10607776519441309</v>
      </c>
      <c r="BC68" s="154">
        <f>SUMPRODUCT(AY68:BB68,AS63:AV63)/AW63</f>
        <v>6.5951172085988982E-2</v>
      </c>
      <c r="BD68" s="665"/>
      <c r="BE68" s="717">
        <f>BE66-BE67</f>
        <v>5.9532246633593258E-2</v>
      </c>
      <c r="BF68" s="696">
        <f t="shared" ref="BF68" si="340">BF66-BF67</f>
        <v>0.10112359550561788</v>
      </c>
      <c r="BG68" s="696">
        <f t="shared" ref="BG68" si="341">BG66-BG67</f>
        <v>-1.7959183673469437E-2</v>
      </c>
      <c r="BH68" s="697">
        <f t="shared" ref="BH68" si="342">BH66-BH67</f>
        <v>3.7795275590551104E-2</v>
      </c>
      <c r="BI68" s="732">
        <f t="shared" ref="BI68" si="343">BI66-BI67</f>
        <v>4.1850220264317131E-2</v>
      </c>
      <c r="BJ68" s="665"/>
      <c r="BK68" s="717">
        <f>BK66-BK67</f>
        <v>0.23300000000000001</v>
      </c>
      <c r="BL68" s="696">
        <f t="shared" ref="BL68" si="344">BL66-BL67</f>
        <v>5.6000000000000001E-2</v>
      </c>
      <c r="BM68" s="696">
        <f t="shared" ref="BM68" si="345">BM66-BM67</f>
        <v>7.4999999999999997E-2</v>
      </c>
      <c r="BN68" s="697">
        <f t="shared" ref="BN68" si="346">BN66-BN67</f>
        <v>4.0000000000000001E-3</v>
      </c>
      <c r="BO68" s="732">
        <f t="shared" ref="BO68" si="347">BO66-BO67</f>
        <v>7.2529276693455838E-2</v>
      </c>
      <c r="BP68" s="665"/>
      <c r="BQ68" s="717">
        <f>BQ66-BQ67</f>
        <v>0.104</v>
      </c>
      <c r="BR68" s="673">
        <v>7.4999999999999997E-2</v>
      </c>
      <c r="BS68" s="673">
        <v>5.5E-2</v>
      </c>
      <c r="BT68" s="674">
        <v>0.08</v>
      </c>
      <c r="BU68" s="732">
        <f>SUMPRODUCT(BQ68:BT68,BK63:BN63)/BO63</f>
        <v>7.6054897739504843E-2</v>
      </c>
      <c r="BV68" s="665"/>
      <c r="BW68" s="672">
        <v>0.05</v>
      </c>
      <c r="BX68" s="673">
        <f>BW68</f>
        <v>0.05</v>
      </c>
      <c r="BY68" s="673">
        <f>BX68</f>
        <v>0.05</v>
      </c>
      <c r="BZ68" s="674">
        <f>BY68</f>
        <v>0.05</v>
      </c>
      <c r="CA68" s="732">
        <f>SUMPRODUCT(BW68:BZ68,BQ63:BT63)/BU63</f>
        <v>0.05</v>
      </c>
      <c r="CB68" s="665"/>
      <c r="CC68" s="672">
        <v>0.05</v>
      </c>
      <c r="CD68" s="673">
        <f>CC68</f>
        <v>0.05</v>
      </c>
      <c r="CE68" s="673">
        <f>CD68</f>
        <v>0.05</v>
      </c>
      <c r="CF68" s="674">
        <f>CE68</f>
        <v>0.05</v>
      </c>
      <c r="CG68" s="732">
        <f>SUMPRODUCT(CC68:CF68,BW63:BZ63)/CA63</f>
        <v>4.9999999999999996E-2</v>
      </c>
      <c r="CH68" s="665"/>
      <c r="CI68" s="672">
        <v>0.05</v>
      </c>
      <c r="CJ68" s="673">
        <f>CI68</f>
        <v>0.05</v>
      </c>
      <c r="CK68" s="673">
        <f>CJ68</f>
        <v>0.05</v>
      </c>
      <c r="CL68" s="674">
        <f>CK68</f>
        <v>0.05</v>
      </c>
      <c r="CM68" s="732">
        <f>SUMPRODUCT(CI68:CL68,CC63:CF63)/CG63</f>
        <v>0.05</v>
      </c>
    </row>
    <row r="69" spans="1:91" s="25" customFormat="1" ht="11.25" collapsed="1" x14ac:dyDescent="0.2">
      <c r="A69" s="694" t="s">
        <v>11</v>
      </c>
      <c r="B69" s="665"/>
      <c r="C69" s="308">
        <v>172.94</v>
      </c>
      <c r="D69" s="309">
        <v>208.81200000000001</v>
      </c>
      <c r="E69" s="309">
        <v>216.749</v>
      </c>
      <c r="F69" s="310">
        <v>193.399</v>
      </c>
      <c r="G69" s="311">
        <v>791.9</v>
      </c>
      <c r="H69" s="116"/>
      <c r="I69" s="112">
        <f>I63+I59</f>
        <v>201.941</v>
      </c>
      <c r="J69" s="113">
        <f>J63+J59</f>
        <v>234.43899999999999</v>
      </c>
      <c r="K69" s="113">
        <f>K63+K59</f>
        <v>279.471</v>
      </c>
      <c r="L69" s="114">
        <f>L63+L59</f>
        <v>226.285</v>
      </c>
      <c r="M69" s="115">
        <f>SUM(I69:L69)</f>
        <v>942.13599999999997</v>
      </c>
      <c r="N69" s="116"/>
      <c r="O69" s="112">
        <f>O63+O59</f>
        <v>194.78100000000001</v>
      </c>
      <c r="P69" s="113">
        <f>P63+P59</f>
        <v>221.15</v>
      </c>
      <c r="Q69" s="113">
        <f>Q63+Q59</f>
        <v>263.96299999999997</v>
      </c>
      <c r="R69" s="114">
        <f>R63+R59</f>
        <v>272.548</v>
      </c>
      <c r="S69" s="115">
        <f>SUM(O69:R69)</f>
        <v>952.44200000000001</v>
      </c>
      <c r="T69" s="116"/>
      <c r="U69" s="112">
        <f>U63+U59</f>
        <v>235.97399999999999</v>
      </c>
      <c r="V69" s="113">
        <f>V63+V59</f>
        <v>252.38300000000001</v>
      </c>
      <c r="W69" s="113">
        <f>W63+W59</f>
        <v>254.81700000000001</v>
      </c>
      <c r="X69" s="114">
        <f>X63+X59</f>
        <v>257.49</v>
      </c>
      <c r="Y69" s="115">
        <f>SUM(U69:X69)</f>
        <v>1000.664</v>
      </c>
      <c r="Z69" s="92"/>
      <c r="AA69" s="112">
        <f>AA63+AA59</f>
        <v>199.93700000000001</v>
      </c>
      <c r="AB69" s="113">
        <f>AB63+AB59</f>
        <v>268.98199999999997</v>
      </c>
      <c r="AC69" s="113">
        <f>AC63+AC59</f>
        <v>295.63400000000001</v>
      </c>
      <c r="AD69" s="114">
        <f>AD63+AD59</f>
        <v>294.541</v>
      </c>
      <c r="AE69" s="115">
        <f>SUM(AA69:AD69)</f>
        <v>1059.0940000000001</v>
      </c>
      <c r="AF69" s="92"/>
      <c r="AG69" s="112">
        <f>AG63+AG59</f>
        <v>202.16900000000001</v>
      </c>
      <c r="AH69" s="113">
        <f>AH63+AH59</f>
        <v>283.00300000000004</v>
      </c>
      <c r="AI69" s="113">
        <f>AI63+AI59</f>
        <v>305.63</v>
      </c>
      <c r="AJ69" s="114">
        <f>AJ63+AJ59</f>
        <v>283.32799999999997</v>
      </c>
      <c r="AK69" s="115">
        <f>SUM(AG69:AJ69)</f>
        <v>1074.1300000000001</v>
      </c>
      <c r="AL69" s="92"/>
      <c r="AM69" s="112">
        <f>AM63+AM59</f>
        <v>204.63300000000001</v>
      </c>
      <c r="AN69" s="113">
        <f>AN63+AN59</f>
        <v>291.41399999999999</v>
      </c>
      <c r="AO69" s="113">
        <f>AO63+AO59</f>
        <v>329.976</v>
      </c>
      <c r="AP69" s="113">
        <f>AP63+AP59</f>
        <v>316</v>
      </c>
      <c r="AQ69" s="115">
        <f>SUM(AM69:AP69)</f>
        <v>1142.0230000000001</v>
      </c>
      <c r="AR69" s="92"/>
      <c r="AS69" s="112">
        <f>AS63+AS59</f>
        <v>220.5</v>
      </c>
      <c r="AT69" s="113">
        <f>AT63+AT59</f>
        <v>314</v>
      </c>
      <c r="AU69" s="113">
        <f>AU63+AU59</f>
        <v>352.9</v>
      </c>
      <c r="AV69" s="113">
        <f>AV63+AV59</f>
        <v>340.7</v>
      </c>
      <c r="AW69" s="115">
        <f>SUM(AS69:AV69)</f>
        <v>1228.0999999999999</v>
      </c>
      <c r="AX69" s="92"/>
      <c r="AY69" s="112">
        <f>AY63+AY59</f>
        <v>207.35</v>
      </c>
      <c r="AZ69" s="113">
        <f>AZ63+AZ59</f>
        <v>294</v>
      </c>
      <c r="BA69" s="113">
        <f>BA63+BA59</f>
        <v>333</v>
      </c>
      <c r="BB69" s="114">
        <f>BB63+BB59</f>
        <v>332</v>
      </c>
      <c r="BC69" s="115">
        <f>SUM(AY69:BB69)</f>
        <v>1166.3499999999999</v>
      </c>
      <c r="BD69" s="665"/>
      <c r="BE69" s="718">
        <f>BE59+BE63</f>
        <v>196</v>
      </c>
      <c r="BF69" s="666">
        <f t="shared" ref="BF69:BH69" si="348">BF59+BF63</f>
        <v>310</v>
      </c>
      <c r="BG69" s="666">
        <f t="shared" si="348"/>
        <v>342</v>
      </c>
      <c r="BH69" s="667">
        <f t="shared" si="348"/>
        <v>350</v>
      </c>
      <c r="BI69" s="733">
        <f>SUM(BE69:BH69)</f>
        <v>1198</v>
      </c>
      <c r="BJ69" s="665"/>
      <c r="BK69" s="718">
        <f>BK59+BK63</f>
        <v>227</v>
      </c>
      <c r="BL69" s="666">
        <f t="shared" ref="BL69:BN69" si="349">BL59+BL63</f>
        <v>311</v>
      </c>
      <c r="BM69" s="666">
        <f t="shared" si="349"/>
        <v>351</v>
      </c>
      <c r="BN69" s="667">
        <f t="shared" si="349"/>
        <v>367</v>
      </c>
      <c r="BO69" s="733">
        <f>SUM(BK69:BN69)</f>
        <v>1256</v>
      </c>
      <c r="BP69" s="665"/>
      <c r="BQ69" s="718">
        <f>BQ59+BQ63</f>
        <v>246</v>
      </c>
      <c r="BR69" s="666">
        <f t="shared" ref="BR69:BT69" si="350">BR59+BR63</f>
        <v>345.07367569409342</v>
      </c>
      <c r="BS69" s="666">
        <f t="shared" si="350"/>
        <v>380.56328472968062</v>
      </c>
      <c r="BT69" s="667">
        <f t="shared" si="350"/>
        <v>391.44333386178369</v>
      </c>
      <c r="BU69" s="733">
        <f>SUM(BQ69:BT69)</f>
        <v>1363.0802942855578</v>
      </c>
      <c r="BV69" s="665"/>
      <c r="BW69" s="718">
        <f>BW59+BW63</f>
        <v>263.64041808840079</v>
      </c>
      <c r="BX69" s="666">
        <f t="shared" ref="BX69:BZ69" si="351">BX59+BX63</f>
        <v>361.84403308969013</v>
      </c>
      <c r="BY69" s="666">
        <f t="shared" si="351"/>
        <v>398.12669896616467</v>
      </c>
      <c r="BZ69" s="667">
        <f t="shared" si="351"/>
        <v>409.60430055487291</v>
      </c>
      <c r="CA69" s="733">
        <f>SUM(BW69:BZ69)</f>
        <v>1433.2154506991285</v>
      </c>
      <c r="CB69" s="665"/>
      <c r="CC69" s="718">
        <f>CC59+CC63</f>
        <v>276.12381399282089</v>
      </c>
      <c r="CD69" s="666">
        <f t="shared" ref="CD69:CF69" si="352">CD59+CD63</f>
        <v>378.90382224417465</v>
      </c>
      <c r="CE69" s="666">
        <f t="shared" si="352"/>
        <v>416.76968703947296</v>
      </c>
      <c r="CF69" s="667">
        <f t="shared" si="352"/>
        <v>428.86735558261654</v>
      </c>
      <c r="CG69" s="733">
        <f>SUM(CC69:CF69)</f>
        <v>1500.6646788590849</v>
      </c>
      <c r="CH69" s="665"/>
      <c r="CI69" s="718">
        <f>CI59+CI63</f>
        <v>289.20518125496193</v>
      </c>
      <c r="CJ69" s="666">
        <f t="shared" ref="CJ69:CL69" si="353">CJ59+CJ63</f>
        <v>396.77788538763343</v>
      </c>
      <c r="CK69" s="666">
        <f t="shared" si="353"/>
        <v>436.29744900863409</v>
      </c>
      <c r="CL69" s="667">
        <f t="shared" si="353"/>
        <v>449.04791986174746</v>
      </c>
      <c r="CM69" s="733">
        <f>SUM(CI69:CL69)</f>
        <v>1571.328435512977</v>
      </c>
    </row>
    <row r="70" spans="1:91" s="25" customFormat="1" ht="11.25" x14ac:dyDescent="0.2">
      <c r="A70" s="695" t="s">
        <v>5</v>
      </c>
      <c r="B70" s="665"/>
      <c r="C70" s="193">
        <v>0.20295208085529648</v>
      </c>
      <c r="D70" s="191">
        <v>0.2495556792273308</v>
      </c>
      <c r="E70" s="191">
        <v>0.24511144301470589</v>
      </c>
      <c r="F70" s="192">
        <v>0.24889574830810557</v>
      </c>
      <c r="G70" s="220">
        <v>0.23771506451935576</v>
      </c>
      <c r="H70" s="188"/>
      <c r="I70" s="152">
        <f>I69/C69-1</f>
        <v>0.16769399791835315</v>
      </c>
      <c r="J70" s="151">
        <f>J69/D69-1</f>
        <v>0.1227276210179491</v>
      </c>
      <c r="K70" s="151">
        <f>K69/E69-1</f>
        <v>0.28937619089361433</v>
      </c>
      <c r="L70" s="153">
        <f>L69/F69-1</f>
        <v>0.17004224427220405</v>
      </c>
      <c r="M70" s="154">
        <f>M69/G69-1</f>
        <v>0.18971587321631511</v>
      </c>
      <c r="N70" s="188"/>
      <c r="O70" s="152">
        <f>O69/I69-1</f>
        <v>-3.5455900485785397E-2</v>
      </c>
      <c r="P70" s="151">
        <f>P69/J69-1</f>
        <v>-5.668425475283545E-2</v>
      </c>
      <c r="Q70" s="151">
        <f>Q69/K69-1</f>
        <v>-5.5490551792493847E-2</v>
      </c>
      <c r="R70" s="153">
        <f>R69/L69-1</f>
        <v>0.20444572110391768</v>
      </c>
      <c r="S70" s="154">
        <f>S69/M69-1</f>
        <v>1.093897271731481E-2</v>
      </c>
      <c r="T70" s="188"/>
      <c r="U70" s="152">
        <f>U69/O69-1</f>
        <v>0.21148366627135085</v>
      </c>
      <c r="V70" s="151">
        <f>V69/P69-1</f>
        <v>0.14122993443364229</v>
      </c>
      <c r="W70" s="151">
        <f>W69/Q69-1</f>
        <v>-3.4648795475123229E-2</v>
      </c>
      <c r="X70" s="153">
        <f>X69/R69-1</f>
        <v>-5.5248983665262652E-2</v>
      </c>
      <c r="Y70" s="154">
        <f>Y69/S69-1</f>
        <v>5.0629854626318416E-2</v>
      </c>
      <c r="Z70" s="188"/>
      <c r="AA70" s="152">
        <f>AA69/U69-1</f>
        <v>-0.15271597718392693</v>
      </c>
      <c r="AB70" s="151">
        <f>AB69/V69-1</f>
        <v>6.5769089043239637E-2</v>
      </c>
      <c r="AC70" s="151">
        <f>AC69/W69-1</f>
        <v>0.16018162053552154</v>
      </c>
      <c r="AD70" s="153">
        <f>AD69/X69-1</f>
        <v>0.14389296671715401</v>
      </c>
      <c r="AE70" s="154">
        <f>AE69/Y69-1</f>
        <v>5.8391228224458969E-2</v>
      </c>
      <c r="AF70" s="188"/>
      <c r="AG70" s="152">
        <f>AG69/AA69-1</f>
        <v>1.1163516507699978E-2</v>
      </c>
      <c r="AH70" s="151">
        <f>AH69/AB69-1</f>
        <v>5.2126164576068668E-2</v>
      </c>
      <c r="AI70" s="151">
        <f>AI69/AC69-1</f>
        <v>3.3812078448351546E-2</v>
      </c>
      <c r="AJ70" s="153">
        <f>AJ69/AD69-1</f>
        <v>-3.8069402901463656E-2</v>
      </c>
      <c r="AK70" s="154">
        <f>AK69/AE69-1</f>
        <v>1.4197040111642689E-2</v>
      </c>
      <c r="AL70" s="188"/>
      <c r="AM70" s="152">
        <f>AM69/AG69-1</f>
        <v>1.2187823058925851E-2</v>
      </c>
      <c r="AN70" s="151">
        <f>AN69/AH69-1</f>
        <v>2.9720532997883131E-2</v>
      </c>
      <c r="AO70" s="151">
        <f>AO69/AI69-1</f>
        <v>7.9658410496351806E-2</v>
      </c>
      <c r="AP70" s="151">
        <f>AP69/AJ69-1</f>
        <v>0.11531511181386955</v>
      </c>
      <c r="AQ70" s="154">
        <f>AQ69/AK69-1</f>
        <v>6.3207432992282042E-2</v>
      </c>
      <c r="AR70" s="188"/>
      <c r="AS70" s="152">
        <f>AS69/AM69-1</f>
        <v>7.7538813387869832E-2</v>
      </c>
      <c r="AT70" s="151">
        <f>AT69/AN69-1</f>
        <v>7.7504855634938696E-2</v>
      </c>
      <c r="AU70" s="151">
        <f>AU69/AO69-1</f>
        <v>6.9471719155332456E-2</v>
      </c>
      <c r="AV70" s="151">
        <f>AV69/AP69-1</f>
        <v>7.8164556962025289E-2</v>
      </c>
      <c r="AW70" s="154">
        <f>AW69/AQ69-1</f>
        <v>7.5372387421268838E-2</v>
      </c>
      <c r="AX70" s="188"/>
      <c r="AY70" s="152">
        <f>AY69/AS69-1</f>
        <v>-5.9637188208616854E-2</v>
      </c>
      <c r="AZ70" s="151">
        <f>AZ69/AT69-1</f>
        <v>-6.3694267515923553E-2</v>
      </c>
      <c r="BA70" s="151">
        <f>BA69/AU69-1</f>
        <v>-5.6389912156418198E-2</v>
      </c>
      <c r="BB70" s="153">
        <f>BB69/AV69-1</f>
        <v>-2.5535661872615134E-2</v>
      </c>
      <c r="BC70" s="154">
        <f>BC69/AW69-1</f>
        <v>-5.0280921749043195E-2</v>
      </c>
      <c r="BD70" s="665"/>
      <c r="BE70" s="717">
        <f>BE69/AY69-1</f>
        <v>-5.4738365083192631E-2</v>
      </c>
      <c r="BF70" s="696">
        <f t="shared" ref="BF70" si="354">BF69/AZ69-1</f>
        <v>5.4421768707483054E-2</v>
      </c>
      <c r="BG70" s="696">
        <f t="shared" ref="BG70" si="355">BG69/BA69-1</f>
        <v>2.7027027027026973E-2</v>
      </c>
      <c r="BH70" s="697">
        <f t="shared" ref="BH70" si="356">BH69/BB69-1</f>
        <v>5.4216867469879526E-2</v>
      </c>
      <c r="BI70" s="732">
        <f t="shared" ref="BI70" si="357">BI69/BC69-1</f>
        <v>2.7135936897157986E-2</v>
      </c>
      <c r="BJ70" s="665"/>
      <c r="BK70" s="717">
        <f>BK69/BE69-1</f>
        <v>0.15816326530612246</v>
      </c>
      <c r="BL70" s="696">
        <f t="shared" ref="BL70" si="358">BL69/BF69-1</f>
        <v>3.225806451612856E-3</v>
      </c>
      <c r="BM70" s="696">
        <f t="shared" ref="BM70" si="359">BM69/BG69-1</f>
        <v>2.6315789473684292E-2</v>
      </c>
      <c r="BN70" s="697">
        <f t="shared" ref="BN70" si="360">BN69/BH69-1</f>
        <v>4.8571428571428488E-2</v>
      </c>
      <c r="BO70" s="732">
        <f t="shared" ref="BO70" si="361">BO69/BI69-1</f>
        <v>4.8414023372287174E-2</v>
      </c>
      <c r="BP70" s="665"/>
      <c r="BQ70" s="717">
        <f>BQ69/BK69-1</f>
        <v>8.3700440528634346E-2</v>
      </c>
      <c r="BR70" s="696">
        <f t="shared" ref="BR70" si="362">BR69/BL69-1</f>
        <v>0.10956165818036467</v>
      </c>
      <c r="BS70" s="696">
        <f t="shared" ref="BS70" si="363">BS69/BM69-1</f>
        <v>8.4225882420742471E-2</v>
      </c>
      <c r="BT70" s="697">
        <f t="shared" ref="BT70" si="364">BT69/BN69-1</f>
        <v>6.6603089541644955E-2</v>
      </c>
      <c r="BU70" s="732">
        <f t="shared" ref="BU70" si="365">BU69/BO69-1</f>
        <v>8.5255011373851719E-2</v>
      </c>
      <c r="BV70" s="665"/>
      <c r="BW70" s="717">
        <f>BW69/BQ69-1</f>
        <v>7.1709016619515342E-2</v>
      </c>
      <c r="BX70" s="696">
        <f t="shared" ref="BX70" si="366">BX69/BR69-1</f>
        <v>4.8599353056602235E-2</v>
      </c>
      <c r="BY70" s="696">
        <f t="shared" ref="BY70" si="367">BY69/BS69-1</f>
        <v>4.6151100069886208E-2</v>
      </c>
      <c r="BZ70" s="697">
        <f t="shared" ref="BZ70" si="368">BZ69/BT69-1</f>
        <v>4.6394880489909474E-2</v>
      </c>
      <c r="CA70" s="732">
        <f t="shared" ref="CA70" si="369">CA69/BU69-1</f>
        <v>5.1453429931896499E-2</v>
      </c>
      <c r="CB70" s="665"/>
      <c r="CC70" s="717">
        <f>CC69/BW69-1</f>
        <v>4.7350083856392278E-2</v>
      </c>
      <c r="CD70" s="696">
        <f t="shared" ref="CD70" si="370">CD69/BX69-1</f>
        <v>4.7146802474026028E-2</v>
      </c>
      <c r="CE70" s="696">
        <f t="shared" ref="CE70" si="371">CE69/BY69-1</f>
        <v>4.6826771783252674E-2</v>
      </c>
      <c r="CF70" s="697">
        <f t="shared" ref="CF70" si="372">CF69/BZ69-1</f>
        <v>4.7028449168255326E-2</v>
      </c>
      <c r="CG70" s="732">
        <f t="shared" ref="CG70" si="373">CG69/CA69-1</f>
        <v>4.706147155129714E-2</v>
      </c>
      <c r="CH70" s="665"/>
      <c r="CI70" s="717">
        <f>CI69/CC69-1</f>
        <v>4.7375005701178585E-2</v>
      </c>
      <c r="CJ70" s="696">
        <f t="shared" ref="CJ70" si="374">CJ69/CD69-1</f>
        <v>4.7173087454209783E-2</v>
      </c>
      <c r="CK70" s="696">
        <f t="shared" ref="CK70" si="375">CK69/CE69-1</f>
        <v>4.6855043868177626E-2</v>
      </c>
      <c r="CL70" s="697">
        <f t="shared" ref="CL70" si="376">CL69/CF69-1</f>
        <v>4.7055491672280736E-2</v>
      </c>
      <c r="CM70" s="732">
        <f t="shared" ref="CM70" si="377">CM69/CG69-1</f>
        <v>4.7088305368535588E-2</v>
      </c>
    </row>
    <row r="71" spans="1:91" s="25" customFormat="1" ht="11.25" x14ac:dyDescent="0.2">
      <c r="A71" s="695" t="s">
        <v>9</v>
      </c>
      <c r="B71" s="665"/>
      <c r="C71" s="193">
        <v>3.7999999999999999E-2</v>
      </c>
      <c r="D71" s="191">
        <v>6.8000000000000005E-2</v>
      </c>
      <c r="E71" s="191">
        <v>6.3E-2</v>
      </c>
      <c r="F71" s="192">
        <v>0.05</v>
      </c>
      <c r="G71" s="220">
        <v>5.6000000000000001E-2</v>
      </c>
      <c r="H71" s="191"/>
      <c r="I71" s="193">
        <v>9.1999999999999998E-2</v>
      </c>
      <c r="J71" s="191">
        <v>8.6999999999999994E-2</v>
      </c>
      <c r="K71" s="191">
        <v>0.13500000000000001</v>
      </c>
      <c r="L71" s="192">
        <v>9.7000000000000003E-2</v>
      </c>
      <c r="M71" s="220">
        <v>0.104</v>
      </c>
      <c r="N71" s="191"/>
      <c r="O71" s="193">
        <v>-3.1E-2</v>
      </c>
      <c r="P71" s="191">
        <v>-4.1000000000000002E-2</v>
      </c>
      <c r="Q71" s="191">
        <v>-0.10299999999999999</v>
      </c>
      <c r="R71" s="192">
        <v>-6.7000000000000004E-2</v>
      </c>
      <c r="S71" s="220">
        <v>-6.3E-2</v>
      </c>
      <c r="T71" s="191"/>
      <c r="U71" s="193">
        <v>5.5E-2</v>
      </c>
      <c r="V71" s="191">
        <v>1.0999999999999999E-2</v>
      </c>
      <c r="W71" s="191">
        <v>-3.1E-2</v>
      </c>
      <c r="X71" s="192">
        <v>-6.7000000000000004E-2</v>
      </c>
      <c r="Y71" s="220">
        <v>-1.2999999999999999E-2</v>
      </c>
      <c r="Z71" s="191"/>
      <c r="AA71" s="193">
        <v>-2.9000000000000001E-2</v>
      </c>
      <c r="AB71" s="191">
        <v>-7.0000000000000001E-3</v>
      </c>
      <c r="AC71" s="191">
        <v>7.3999999999999996E-2</v>
      </c>
      <c r="AD71" s="192">
        <v>9.5000000000000001E-2</v>
      </c>
      <c r="AE71" s="156">
        <f>SUMPRODUCT(AA71:AD71,U69:X69)/Y69</f>
        <v>3.4685050126715869E-2</v>
      </c>
      <c r="AF71" s="191"/>
      <c r="AG71" s="193">
        <v>5.0000000000000001E-3</v>
      </c>
      <c r="AH71" s="191">
        <v>-1.9E-2</v>
      </c>
      <c r="AI71" s="191">
        <v>-5.5E-2</v>
      </c>
      <c r="AJ71" s="192">
        <v>-0.10199999999999999</v>
      </c>
      <c r="AK71" s="156">
        <f>SUMPRODUCT(AG71:AJ71,AA69:AD69)/AE69</f>
        <v>-4.7601086400262858E-2</v>
      </c>
      <c r="AL71" s="191"/>
      <c r="AM71" s="193">
        <v>-2.8000000000000001E-2</v>
      </c>
      <c r="AN71" s="191">
        <v>6.0000000000000001E-3</v>
      </c>
      <c r="AO71" s="191">
        <v>-1.2E-2</v>
      </c>
      <c r="AP71" s="191">
        <v>3.2000000000000001E-2</v>
      </c>
      <c r="AQ71" s="156">
        <f>SUMPRODUCT(AM71:AP71,AG69:AJ69)/AK69</f>
        <v>1.3371025853481412E-3</v>
      </c>
      <c r="AR71" s="191"/>
      <c r="AS71" s="193">
        <v>2.5000000000000001E-2</v>
      </c>
      <c r="AT71" s="191">
        <v>1.2999999999999999E-2</v>
      </c>
      <c r="AU71" s="191">
        <v>3.5000000000000003E-2</v>
      </c>
      <c r="AV71" s="188">
        <f>AV65*AP63/AP69</f>
        <v>8.3892405063291133E-3</v>
      </c>
      <c r="AW71" s="156">
        <f>SUMPRODUCT(AS71:AV71,AM69:AP69)/AQ69</f>
        <v>2.0231087289835668E-2</v>
      </c>
      <c r="AX71" s="191"/>
      <c r="AY71" s="190">
        <f>AY65*AS63/AS69</f>
        <v>-4.0040816326530615E-2</v>
      </c>
      <c r="AZ71" s="188">
        <f>AZ65*AT63/AT69</f>
        <v>-9.0197452229299355E-2</v>
      </c>
      <c r="BA71" s="188">
        <f>BA65*AU63/AU69</f>
        <v>-0.13601586851799377</v>
      </c>
      <c r="BB71" s="155">
        <f>BB65*AV63/AV69</f>
        <v>-0.11447020839448195</v>
      </c>
      <c r="BC71" s="156">
        <f>SUMPRODUCT(AY71:BB71,AS69:AV69)/AW69</f>
        <v>-0.10109193062454198</v>
      </c>
      <c r="BD71" s="665"/>
      <c r="BE71" s="717">
        <f>BE65*AY63/AY69</f>
        <v>-7.9575596816976124E-2</v>
      </c>
      <c r="BF71" s="696">
        <f t="shared" ref="BF71" si="378">BF65*AZ63/AZ69</f>
        <v>-5.4421768707482991E-2</v>
      </c>
      <c r="BG71" s="696">
        <f t="shared" ref="BG71" si="379">BG65*BA63/BA69</f>
        <v>1.0210210210210209E-2</v>
      </c>
      <c r="BH71" s="697">
        <f t="shared" ref="BH71" si="380">BH65*BB63/BB69</f>
        <v>4.2168674698795181E-3</v>
      </c>
      <c r="BI71" s="732">
        <f>SUMPRODUCT(BE71:BH71,AY69:BB69)/BC69</f>
        <v>-2.374930338234664E-2</v>
      </c>
      <c r="BJ71" s="665"/>
      <c r="BK71" s="717">
        <f>BK65*BE63/BE69</f>
        <v>5.1581632653061047E-3</v>
      </c>
      <c r="BL71" s="696">
        <f t="shared" ref="BL71" si="381">BL65*BF63/BF69</f>
        <v>-2.2012903225806409E-2</v>
      </c>
      <c r="BM71" s="696">
        <f t="shared" ref="BM71" si="382">BM65*BG63/BG69</f>
        <v>-1.2573099415204708E-2</v>
      </c>
      <c r="BN71" s="697">
        <f t="shared" ref="BN71" si="383">BN65*BH63/BH69</f>
        <v>1.4114285714285711E-2</v>
      </c>
      <c r="BO71" s="732">
        <f>SUMPRODUCT(BK71:BN71,BE69:BH69)/BI69</f>
        <v>-4.3180300500834734E-3</v>
      </c>
      <c r="BP71" s="665"/>
      <c r="BQ71" s="717">
        <f>BQ65*BK63/BK69</f>
        <v>4.3348017621145332E-2</v>
      </c>
      <c r="BR71" s="696">
        <f t="shared" ref="BR71" si="384">BR65*BL63/BL69</f>
        <v>4.0670982939207095E-2</v>
      </c>
      <c r="BS71" s="696">
        <f t="shared" ref="BS71" si="385">BS65*BM63/BM69</f>
        <v>3.0550668745528933E-2</v>
      </c>
      <c r="BT71" s="697">
        <f t="shared" ref="BT71" si="386">BT65*BN63/BN69</f>
        <v>1.2761127688783952E-2</v>
      </c>
      <c r="BU71" s="732">
        <f>SUMPRODUCT(BQ71:BT71,BK69:BN69)/BO69</f>
        <v>3.017141264773707E-2</v>
      </c>
      <c r="BV71" s="665"/>
      <c r="BW71" s="717">
        <f>BW65*BQ63/BQ69</f>
        <v>2.5001699546344826E-2</v>
      </c>
      <c r="BX71" s="696">
        <f t="shared" ref="BX71" si="387">BX65*BR63/BR69</f>
        <v>2.0681774970420733E-3</v>
      </c>
      <c r="BY71" s="696">
        <f t="shared" ref="BY71" si="388">BY65*BS63/BS69</f>
        <v>0</v>
      </c>
      <c r="BZ71" s="697">
        <f t="shared" ref="BZ71" si="389">BZ65*BT63/BT69</f>
        <v>0</v>
      </c>
      <c r="CA71" s="732">
        <f>SUMPRODUCT(BW71:BZ71,BQ69:BT69)/BU69</f>
        <v>5.0357207334514927E-3</v>
      </c>
      <c r="CB71" s="665"/>
      <c r="CC71" s="717">
        <f>CC65*BW63/BW69</f>
        <v>0</v>
      </c>
      <c r="CD71" s="696">
        <f t="shared" ref="CD71" si="390">CD65*BX63/BX69</f>
        <v>0</v>
      </c>
      <c r="CE71" s="696">
        <f t="shared" ref="CE71" si="391">CE65*BY63/BY69</f>
        <v>0</v>
      </c>
      <c r="CF71" s="697">
        <f t="shared" ref="CF71" si="392">CF65*BZ63/BZ69</f>
        <v>0</v>
      </c>
      <c r="CG71" s="732">
        <f>SUMPRODUCT(CC71:CF71,BW69:BZ69)/CA69</f>
        <v>0</v>
      </c>
      <c r="CH71" s="665"/>
      <c r="CI71" s="717">
        <f>CI65*CC63/CC69</f>
        <v>0</v>
      </c>
      <c r="CJ71" s="696">
        <f t="shared" ref="CJ71" si="393">CJ65*CD63/CD69</f>
        <v>0</v>
      </c>
      <c r="CK71" s="696">
        <f t="shared" ref="CK71" si="394">CK65*CE63/CE69</f>
        <v>0</v>
      </c>
      <c r="CL71" s="697">
        <f t="shared" ref="CL71" si="395">CL65*CF63/CF69</f>
        <v>0</v>
      </c>
      <c r="CM71" s="732">
        <f>SUMPRODUCT(CI71:CL71,CC69:CF69)/CG69</f>
        <v>0</v>
      </c>
    </row>
    <row r="72" spans="1:91" s="25" customFormat="1" ht="11.25" x14ac:dyDescent="0.2">
      <c r="A72" s="695" t="s">
        <v>10</v>
      </c>
      <c r="B72" s="665"/>
      <c r="C72" s="193">
        <v>0.16495208085529647</v>
      </c>
      <c r="D72" s="191">
        <v>0.18155567922733079</v>
      </c>
      <c r="E72" s="191">
        <v>0.18211144301470589</v>
      </c>
      <c r="F72" s="192">
        <v>0.19889574830810558</v>
      </c>
      <c r="G72" s="220">
        <v>0.18171506451935576</v>
      </c>
      <c r="H72" s="151"/>
      <c r="I72" s="152">
        <f>I70-I71</f>
        <v>7.5693997918353156E-2</v>
      </c>
      <c r="J72" s="151">
        <f>J70-J71</f>
        <v>3.5727621017949102E-2</v>
      </c>
      <c r="K72" s="151">
        <f>K70-K71</f>
        <v>0.15437619089361432</v>
      </c>
      <c r="L72" s="153">
        <f>L70-L71</f>
        <v>7.3042244272204043E-2</v>
      </c>
      <c r="M72" s="154">
        <f>M70-M71</f>
        <v>8.5715873216315117E-2</v>
      </c>
      <c r="N72" s="188"/>
      <c r="O72" s="152">
        <f>O70-O71</f>
        <v>-4.4559004857853968E-3</v>
      </c>
      <c r="P72" s="151">
        <f>P70-P71</f>
        <v>-1.5684254752835448E-2</v>
      </c>
      <c r="Q72" s="151">
        <f>Q70-Q71</f>
        <v>4.7509448207506147E-2</v>
      </c>
      <c r="R72" s="153">
        <f>R70-R71</f>
        <v>0.27144572110391768</v>
      </c>
      <c r="S72" s="154">
        <f>S70-S71</f>
        <v>7.393897271731481E-2</v>
      </c>
      <c r="T72" s="151"/>
      <c r="U72" s="152">
        <f>U70-U71</f>
        <v>0.15648366627135085</v>
      </c>
      <c r="V72" s="151">
        <f>V70-V71</f>
        <v>0.13022993443364228</v>
      </c>
      <c r="W72" s="151">
        <f>W70-W71</f>
        <v>-3.6487954751232288E-3</v>
      </c>
      <c r="X72" s="153">
        <f>X70-X71</f>
        <v>1.1751016334737352E-2</v>
      </c>
      <c r="Y72" s="154">
        <f>Y70-Y71</f>
        <v>6.3629854626318413E-2</v>
      </c>
      <c r="Z72" s="151"/>
      <c r="AA72" s="152">
        <f>AA70-AA71</f>
        <v>-0.12371597718392693</v>
      </c>
      <c r="AB72" s="151">
        <f>AB70-AB71</f>
        <v>7.2769089043239643E-2</v>
      </c>
      <c r="AC72" s="151">
        <f>AC70-AC71</f>
        <v>8.6181620535521544E-2</v>
      </c>
      <c r="AD72" s="153">
        <f>AD70-AD71</f>
        <v>4.8892966717154013E-2</v>
      </c>
      <c r="AE72" s="154">
        <f>AE70-AE71</f>
        <v>2.37061780977431E-2</v>
      </c>
      <c r="AF72" s="188"/>
      <c r="AG72" s="152">
        <f>AG70-AG71</f>
        <v>6.1635165076999775E-3</v>
      </c>
      <c r="AH72" s="151">
        <f>AH70-AH71</f>
        <v>7.1126164576068671E-2</v>
      </c>
      <c r="AI72" s="151">
        <f>AI70-AI71</f>
        <v>8.8812078448351539E-2</v>
      </c>
      <c r="AJ72" s="153">
        <f>AJ70-AJ71</f>
        <v>6.3930597098536338E-2</v>
      </c>
      <c r="AK72" s="154">
        <f>AK70-AK71</f>
        <v>6.1798126511905548E-2</v>
      </c>
      <c r="AL72" s="188"/>
      <c r="AM72" s="152">
        <f>AM70-AM71</f>
        <v>4.0187823058925848E-2</v>
      </c>
      <c r="AN72" s="151">
        <f>AN70-AN71</f>
        <v>2.3720532997883133E-2</v>
      </c>
      <c r="AO72" s="151">
        <f>AO70-AO71</f>
        <v>9.1658410496351803E-2</v>
      </c>
      <c r="AP72" s="151">
        <f>AP70-AP71</f>
        <v>8.3315111813869552E-2</v>
      </c>
      <c r="AQ72" s="154">
        <f>AQ70-AQ71</f>
        <v>6.1870330406933904E-2</v>
      </c>
      <c r="AR72" s="188"/>
      <c r="AS72" s="152">
        <f>AS70-AS71</f>
        <v>5.253881338786983E-2</v>
      </c>
      <c r="AT72" s="151">
        <f>AT70-AT71</f>
        <v>6.4504855634938699E-2</v>
      </c>
      <c r="AU72" s="151">
        <f>AU70-AU71</f>
        <v>3.4471719155332453E-2</v>
      </c>
      <c r="AV72" s="151">
        <f>AV70-AV71</f>
        <v>6.9775316455696179E-2</v>
      </c>
      <c r="AW72" s="154">
        <f>AW70-AW71</f>
        <v>5.5141300131433174E-2</v>
      </c>
      <c r="AX72" s="188"/>
      <c r="AY72" s="152">
        <f>AY70-AY71</f>
        <v>-1.9596371882086239E-2</v>
      </c>
      <c r="AZ72" s="151">
        <f>AZ70-AZ71</f>
        <v>2.6503184713375802E-2</v>
      </c>
      <c r="BA72" s="151">
        <f>BA70-BA71</f>
        <v>7.9625956361575573E-2</v>
      </c>
      <c r="BB72" s="153">
        <f>BB70-BB71</f>
        <v>8.8934546521866817E-2</v>
      </c>
      <c r="BC72" s="154">
        <f>BC70-BC71</f>
        <v>5.0811008875498789E-2</v>
      </c>
      <c r="BD72" s="665"/>
      <c r="BE72" s="717">
        <f>BE70-BE71</f>
        <v>2.4837231733783494E-2</v>
      </c>
      <c r="BF72" s="696">
        <f t="shared" ref="BF72" si="396">BF70-BF71</f>
        <v>0.10884353741496605</v>
      </c>
      <c r="BG72" s="696">
        <f t="shared" ref="BG72" si="397">BG70-BG71</f>
        <v>1.6816816816816765E-2</v>
      </c>
      <c r="BH72" s="697">
        <f t="shared" ref="BH72" si="398">BH70-BH71</f>
        <v>5.000000000000001E-2</v>
      </c>
      <c r="BI72" s="732">
        <f t="shared" ref="BI72" si="399">BI70-BI71</f>
        <v>5.0885240279504626E-2</v>
      </c>
      <c r="BJ72" s="665"/>
      <c r="BK72" s="717">
        <f>BK70-BK71</f>
        <v>0.15300510204081635</v>
      </c>
      <c r="BL72" s="696">
        <f t="shared" ref="BL72" si="400">BL70-BL71</f>
        <v>2.5238709677419265E-2</v>
      </c>
      <c r="BM72" s="696">
        <f t="shared" ref="BM72" si="401">BM70-BM71</f>
        <v>3.8888888888889001E-2</v>
      </c>
      <c r="BN72" s="697">
        <f t="shared" ref="BN72" si="402">BN70-BN71</f>
        <v>3.4457142857142777E-2</v>
      </c>
      <c r="BO72" s="732">
        <f t="shared" ref="BO72" si="403">BO70-BO71</f>
        <v>5.2732053422370646E-2</v>
      </c>
      <c r="BP72" s="665"/>
      <c r="BQ72" s="717">
        <f>BQ70-BQ71</f>
        <v>4.0352422907489013E-2</v>
      </c>
      <c r="BR72" s="696">
        <f t="shared" ref="BR72:BU72" si="404">BR70-BR71</f>
        <v>6.8890675241157578E-2</v>
      </c>
      <c r="BS72" s="696">
        <f t="shared" si="404"/>
        <v>5.3675213675213537E-2</v>
      </c>
      <c r="BT72" s="697">
        <f t="shared" si="404"/>
        <v>5.3841961852861005E-2</v>
      </c>
      <c r="BU72" s="732">
        <f t="shared" si="404"/>
        <v>5.5083598726114652E-2</v>
      </c>
      <c r="BV72" s="665"/>
      <c r="BW72" s="717">
        <f>BW70-BW71</f>
        <v>4.6707317073170516E-2</v>
      </c>
      <c r="BX72" s="696">
        <f t="shared" ref="BX72:CA72" si="405">BX70-BX71</f>
        <v>4.6531175559560163E-2</v>
      </c>
      <c r="BY72" s="696">
        <f t="shared" si="405"/>
        <v>4.6151100069886208E-2</v>
      </c>
      <c r="BZ72" s="697">
        <f t="shared" si="405"/>
        <v>4.6394880489909474E-2</v>
      </c>
      <c r="CA72" s="732">
        <f t="shared" si="405"/>
        <v>4.6417709198445005E-2</v>
      </c>
      <c r="CB72" s="665"/>
      <c r="CC72" s="717">
        <f>CC70-CC71</f>
        <v>4.7350083856392278E-2</v>
      </c>
      <c r="CD72" s="696">
        <f t="shared" ref="CD72:CG72" si="406">CD70-CD71</f>
        <v>4.7146802474026028E-2</v>
      </c>
      <c r="CE72" s="696">
        <f t="shared" si="406"/>
        <v>4.6826771783252674E-2</v>
      </c>
      <c r="CF72" s="697">
        <f t="shared" si="406"/>
        <v>4.7028449168255326E-2</v>
      </c>
      <c r="CG72" s="732">
        <f t="shared" si="406"/>
        <v>4.706147155129714E-2</v>
      </c>
      <c r="CH72" s="665"/>
      <c r="CI72" s="717">
        <f>CI70-CI71</f>
        <v>4.7375005701178585E-2</v>
      </c>
      <c r="CJ72" s="696">
        <f t="shared" ref="CJ72:CM72" si="407">CJ70-CJ71</f>
        <v>4.7173087454209783E-2</v>
      </c>
      <c r="CK72" s="696">
        <f t="shared" si="407"/>
        <v>4.6855043868177626E-2</v>
      </c>
      <c r="CL72" s="697">
        <f t="shared" si="407"/>
        <v>4.7055491672280736E-2</v>
      </c>
      <c r="CM72" s="732">
        <f t="shared" si="407"/>
        <v>4.7088305368535588E-2</v>
      </c>
    </row>
    <row r="73" spans="1:91" s="25" customFormat="1" ht="11.25" x14ac:dyDescent="0.2">
      <c r="A73" s="695" t="s">
        <v>6</v>
      </c>
      <c r="B73" s="665"/>
      <c r="C73" s="193">
        <v>0</v>
      </c>
      <c r="D73" s="191">
        <v>0</v>
      </c>
      <c r="E73" s="191">
        <v>0</v>
      </c>
      <c r="F73" s="192">
        <v>0</v>
      </c>
      <c r="G73" s="220">
        <v>0</v>
      </c>
      <c r="H73" s="151"/>
      <c r="I73" s="152">
        <f>(I61*C59+I67*C63)/C69</f>
        <v>0</v>
      </c>
      <c r="J73" s="151">
        <f>(J61*D59+J67*D63)/D69</f>
        <v>0</v>
      </c>
      <c r="K73" s="151">
        <f>(K61*E59+K67*E63)/E69</f>
        <v>0</v>
      </c>
      <c r="L73" s="153">
        <f>(L61*F59+L67*F63)/F69</f>
        <v>0</v>
      </c>
      <c r="M73" s="154">
        <f>SUMPRODUCT(I73:L73,C69:F69)/G69</f>
        <v>0</v>
      </c>
      <c r="N73" s="188"/>
      <c r="O73" s="152">
        <f>(O61*I59+O67*I63)/I69</f>
        <v>0</v>
      </c>
      <c r="P73" s="151">
        <f>(P61*J59+P67*J63)/J69</f>
        <v>0</v>
      </c>
      <c r="Q73" s="151">
        <f>(Q61*K59+Q67*K63)/K69</f>
        <v>0</v>
      </c>
      <c r="R73" s="153">
        <f>(R61*L59+R67*L63)/L69</f>
        <v>0</v>
      </c>
      <c r="S73" s="154">
        <f>SUMPRODUCT(O73:R73,I69:L69)/M69</f>
        <v>0</v>
      </c>
      <c r="T73" s="151"/>
      <c r="U73" s="152">
        <f>(U61*O59+U67*O63)/O69</f>
        <v>0</v>
      </c>
      <c r="V73" s="151">
        <f>(V61*P59+V67*P63)/P69</f>
        <v>0</v>
      </c>
      <c r="W73" s="151">
        <f>(W61*Q59+W67*Q63)/Q69</f>
        <v>0</v>
      </c>
      <c r="X73" s="153">
        <f>(X61*R59+X67*R63)/R69</f>
        <v>0</v>
      </c>
      <c r="Y73" s="154">
        <f>SUMPRODUCT(U73:X73,O69:R69)/S69</f>
        <v>0</v>
      </c>
      <c r="Z73" s="151"/>
      <c r="AA73" s="152">
        <f>(AA61*U59+AA67*U63)/U69</f>
        <v>0</v>
      </c>
      <c r="AB73" s="151">
        <f>(AB61*V59+AB67*V63)/V69</f>
        <v>0</v>
      </c>
      <c r="AC73" s="151">
        <f>(AC61*W59+AC67*W63)/W69</f>
        <v>0</v>
      </c>
      <c r="AD73" s="153">
        <f>(AD61*X59+AD67*X63)/X69</f>
        <v>0</v>
      </c>
      <c r="AE73" s="154">
        <f>SUMPRODUCT(AA73:AD73,U69:X69)/Y69</f>
        <v>0</v>
      </c>
      <c r="AF73" s="188"/>
      <c r="AG73" s="152">
        <f>(AG61*AA59+AG67*AA63)/AA69</f>
        <v>0</v>
      </c>
      <c r="AH73" s="151">
        <f>(AH61*AB59+AH67*AB63)/AB69</f>
        <v>0</v>
      </c>
      <c r="AI73" s="151">
        <f>(AI61*AC59+AI67*AC63)/AC69</f>
        <v>0</v>
      </c>
      <c r="AJ73" s="153">
        <f>(AJ61*AD59+AJ67*AD63)/AD69</f>
        <v>0</v>
      </c>
      <c r="AK73" s="154">
        <f>SUMPRODUCT(AG73:AJ73,AA69:AD69)/AE69</f>
        <v>0</v>
      </c>
      <c r="AL73" s="188"/>
      <c r="AM73" s="152">
        <f>(AM61*AG59+AM67*AG63)/AG69</f>
        <v>1.4999999999999998E-2</v>
      </c>
      <c r="AN73" s="151">
        <f>(AN61*AH59+AN67*AH63)/AH69</f>
        <v>0.04</v>
      </c>
      <c r="AO73" s="151">
        <f>(AO61*AI59+AO67*AI63)/AI69</f>
        <v>0.04</v>
      </c>
      <c r="AP73" s="151">
        <f>(AP61*AJ59+AP67*AJ63)/AJ69</f>
        <v>0.04</v>
      </c>
      <c r="AQ73" s="154">
        <f>SUMPRODUCT(AM73:AP73,AG69:AJ69)/AK69</f>
        <v>3.5294587247353668E-2</v>
      </c>
      <c r="AR73" s="188"/>
      <c r="AS73" s="152">
        <f>(AS61*AM59+AS67*AM63)/AM69</f>
        <v>2.5000000000000005E-2</v>
      </c>
      <c r="AT73" s="151">
        <f>(AT61*AN59+AT67*AN63)/AN69</f>
        <v>0</v>
      </c>
      <c r="AU73" s="151">
        <f>(AU61*AO59+AU67*AO63)/AO69</f>
        <v>0</v>
      </c>
      <c r="AV73" s="151">
        <f>(AV61*AP59+AV67*AP63)/AP69</f>
        <v>0</v>
      </c>
      <c r="AW73" s="154">
        <f>SUMPRODUCT(AS73:AV73,AM69:AP69)/AQ69</f>
        <v>4.4796164350455287E-3</v>
      </c>
      <c r="AX73" s="188"/>
      <c r="AY73" s="152">
        <f>(AY61*AS59+AY67*AS63)/AS69</f>
        <v>0</v>
      </c>
      <c r="AZ73" s="151">
        <f>(AZ61*AT59+AZ67*AT63)/AT69</f>
        <v>0</v>
      </c>
      <c r="BA73" s="151">
        <f>(BA61*AU59+BA67*AU63)/AU69</f>
        <v>0</v>
      </c>
      <c r="BB73" s="153">
        <f>(BB61*AV59+BB67*AV63)/AV69</f>
        <v>0</v>
      </c>
      <c r="BC73" s="154">
        <f>SUMPRODUCT(AY73:BB73,AS69:AV69)/AW69</f>
        <v>0</v>
      </c>
      <c r="BD73" s="665"/>
      <c r="BE73" s="717">
        <f>(BE61*AY59+BE67*AY63)/AY69</f>
        <v>0</v>
      </c>
      <c r="BF73" s="696">
        <f t="shared" ref="BF73" si="408">(BF61*AZ59+BF67*AZ63)/AZ69</f>
        <v>0</v>
      </c>
      <c r="BG73" s="696">
        <f t="shared" ref="BG73" si="409">(BG61*BA59+BG67*BA63)/BA69</f>
        <v>0</v>
      </c>
      <c r="BH73" s="697">
        <f t="shared" ref="BH73" si="410">(BH61*BB59+BH67*BB63)/BB69</f>
        <v>0</v>
      </c>
      <c r="BI73" s="732">
        <f>SUMPRODUCT(BE73:BH73,AY69:BB69)/BC69</f>
        <v>0</v>
      </c>
      <c r="BJ73" s="665"/>
      <c r="BK73" s="717">
        <f>(BK61*BE59+BK67*BE63)/BE69</f>
        <v>0</v>
      </c>
      <c r="BL73" s="696">
        <f t="shared" ref="BL73" si="411">(BL61*BF59+BL67*BF63)/BF69</f>
        <v>0</v>
      </c>
      <c r="BM73" s="696">
        <f t="shared" ref="BM73" si="412">(BM61*BG59+BM67*BG63)/BG69</f>
        <v>0</v>
      </c>
      <c r="BN73" s="697">
        <f t="shared" ref="BN73" si="413">(BN61*BH59+BN67*BH63)/BH69</f>
        <v>0</v>
      </c>
      <c r="BO73" s="732">
        <f>SUMPRODUCT(BK73:BN73,BE69:BH69)/BI69</f>
        <v>0</v>
      </c>
      <c r="BP73" s="665"/>
      <c r="BQ73" s="717">
        <f>(BQ61*BK59+BQ67*BK63)/BK69</f>
        <v>0</v>
      </c>
      <c r="BR73" s="696">
        <f t="shared" ref="BR73" si="414">(BR61*BL59+BR67*BL63)/BL69</f>
        <v>0</v>
      </c>
      <c r="BS73" s="696">
        <f t="shared" ref="BS73" si="415">(BS61*BM59+BS67*BM63)/BM69</f>
        <v>0</v>
      </c>
      <c r="BT73" s="697">
        <f t="shared" ref="BT73" si="416">(BT61*BN59+BT67*BN63)/BN69</f>
        <v>0</v>
      </c>
      <c r="BU73" s="732">
        <f>SUMPRODUCT(BQ73:BT73,BK69:BN69)/BO69</f>
        <v>0</v>
      </c>
      <c r="BV73" s="665"/>
      <c r="BW73" s="717">
        <f>(BW61*BQ59+BW67*BQ63)/BQ69</f>
        <v>0</v>
      </c>
      <c r="BX73" s="696">
        <f t="shared" ref="BX73" si="417">(BX61*BR59+BX67*BR63)/BR69</f>
        <v>0</v>
      </c>
      <c r="BY73" s="696">
        <f t="shared" ref="BY73" si="418">(BY61*BS59+BY67*BS63)/BS69</f>
        <v>0</v>
      </c>
      <c r="BZ73" s="697">
        <f t="shared" ref="BZ73" si="419">(BZ61*BT59+BZ67*BT63)/BT69</f>
        <v>0</v>
      </c>
      <c r="CA73" s="732">
        <f>SUMPRODUCT(BW73:BZ73,BQ69:BT69)/BU69</f>
        <v>0</v>
      </c>
      <c r="CB73" s="665"/>
      <c r="CC73" s="717">
        <f>(CC61*BW59+CC67*BW63)/BW69</f>
        <v>0</v>
      </c>
      <c r="CD73" s="696">
        <f t="shared" ref="CD73" si="420">(CD61*BX59+CD67*BX63)/BX69</f>
        <v>0</v>
      </c>
      <c r="CE73" s="696">
        <f t="shared" ref="CE73" si="421">(CE61*BY59+CE67*BY63)/BY69</f>
        <v>0</v>
      </c>
      <c r="CF73" s="697">
        <f t="shared" ref="CF73" si="422">(CF61*BZ59+CF67*BZ63)/BZ69</f>
        <v>0</v>
      </c>
      <c r="CG73" s="732">
        <f>SUMPRODUCT(CC73:CF73,BW69:BZ69)/CA69</f>
        <v>0</v>
      </c>
      <c r="CH73" s="665"/>
      <c r="CI73" s="717">
        <f>(CI61*CC59+CI67*CC63)/CC69</f>
        <v>0</v>
      </c>
      <c r="CJ73" s="696">
        <f t="shared" ref="CJ73" si="423">(CJ61*CD59+CJ67*CD63)/CD69</f>
        <v>0</v>
      </c>
      <c r="CK73" s="696">
        <f t="shared" ref="CK73" si="424">(CK61*CE59+CK67*CE63)/CE69</f>
        <v>0</v>
      </c>
      <c r="CL73" s="697">
        <f t="shared" ref="CL73" si="425">(CL61*CF59+CL67*CF63)/CF69</f>
        <v>0</v>
      </c>
      <c r="CM73" s="732">
        <f>SUMPRODUCT(CI73:CL73,CC69:CF69)/CG69</f>
        <v>0</v>
      </c>
    </row>
    <row r="74" spans="1:91" s="25" customFormat="1" ht="11.25" x14ac:dyDescent="0.2">
      <c r="A74" s="695" t="s">
        <v>7</v>
      </c>
      <c r="B74" s="665"/>
      <c r="C74" s="221">
        <v>0.1644343537627902</v>
      </c>
      <c r="D74" s="222">
        <v>0.1816550634615732</v>
      </c>
      <c r="E74" s="222">
        <v>0.18181886488970583</v>
      </c>
      <c r="F74" s="223">
        <v>0.19847471199049438</v>
      </c>
      <c r="G74" s="224">
        <v>0.18190113283985199</v>
      </c>
      <c r="H74" s="199"/>
      <c r="I74" s="198">
        <f>(I62*C59+I68*C63)/C69</f>
        <v>7.5956967734474468E-2</v>
      </c>
      <c r="J74" s="199">
        <f>(J62*D59+J68*D63)/D69</f>
        <v>3.6101277704346423E-2</v>
      </c>
      <c r="K74" s="199">
        <f>(K62*E59+K68*E63)/E69</f>
        <v>0.15368940571813489</v>
      </c>
      <c r="L74" s="200">
        <f>(L62*F59+L68*F63)/F69</f>
        <v>7.2953334815588439E-2</v>
      </c>
      <c r="M74" s="201">
        <f>SUMPRODUCT(I74:L74,C69:F69)/G69:G69</f>
        <v>8.5990030306856952E-2</v>
      </c>
      <c r="N74" s="197"/>
      <c r="O74" s="198">
        <f>(O62*I59+O68*I63)/I69</f>
        <v>-4.6029137223248051E-3</v>
      </c>
      <c r="P74" s="199">
        <f>(P62*J59+P68*J63)/J69</f>
        <v>-1.6390958842172142E-2</v>
      </c>
      <c r="Q74" s="199">
        <f>(Q62*K59+Q68*K63)/K69</f>
        <v>4.836135412976654E-2</v>
      </c>
      <c r="R74" s="200">
        <f>(R62*L59+R68*L63)/L69</f>
        <v>0.27034963431071429</v>
      </c>
      <c r="S74" s="201">
        <f>SUMPRODUCT(O74:R74,I69:L69)/M69:M69</f>
        <v>7.4213771684767352E-2</v>
      </c>
      <c r="T74" s="199"/>
      <c r="U74" s="152">
        <f>(U62*O59+U68*O63)/O69</f>
        <v>0.15681185536576986</v>
      </c>
      <c r="V74" s="151">
        <f>(V62*P59+V68*P63)/P69</f>
        <v>0.12995618358580158</v>
      </c>
      <c r="W74" s="151">
        <f>(W62*Q59+W68*Q63)/Q69</f>
        <v>-4.5759898167546257E-3</v>
      </c>
      <c r="X74" s="153">
        <f>(X62*R59+X68*R63)/R69</f>
        <v>1.2203318314572135E-2</v>
      </c>
      <c r="Y74" s="154">
        <f>SUMPRODUCT(U74:X74,O69:R69)/S69:S69</f>
        <v>6.4467839511487351E-2</v>
      </c>
      <c r="Z74" s="199"/>
      <c r="AA74" s="152">
        <f>(AA62*U59+AA68*U63)/U69</f>
        <v>-0.12396633951198019</v>
      </c>
      <c r="AB74" s="151">
        <f>(AB62*V59+AB68*V63)/V69</f>
        <v>7.29119829782513E-2</v>
      </c>
      <c r="AC74" s="151">
        <f>(AC62*W59+AC68*W63)/W69</f>
        <v>8.6366411974083332E-2</v>
      </c>
      <c r="AD74" s="153">
        <f>(AD62*X59+AD68*X63)/X69</f>
        <v>4.9128393335663482E-2</v>
      </c>
      <c r="AE74" s="154">
        <f>SUMPRODUCT(AA74:AD74,U69:X69)/Y69:Y69</f>
        <v>2.3790814898907092E-2</v>
      </c>
      <c r="AF74" s="197"/>
      <c r="AG74" s="152">
        <f>(AG62*AA59+AG68*AA63)/AA69</f>
        <v>5.9731665474624922E-3</v>
      </c>
      <c r="AH74" s="151">
        <f>(AH62*AB59+AH68*AB63)/AB69</f>
        <v>7.0808176755321944E-2</v>
      </c>
      <c r="AI74" s="151">
        <f>(AI62*AC59+AI68*AC63)/AC69</f>
        <v>8.9154826576104254E-2</v>
      </c>
      <c r="AJ74" s="153">
        <f>(AJ62*AD59+AJ68*AD63)/AD69</f>
        <v>6.3729056396223185E-2</v>
      </c>
      <c r="AK74" s="154">
        <f>SUMPRODUCT(AG74:AJ74,AA69:AD69)/AE69:AE69</f>
        <v>6.172105592138185E-2</v>
      </c>
      <c r="AL74" s="197"/>
      <c r="AM74" s="152">
        <f>(AM62*AG59+AM68*AG63)/AG69</f>
        <v>2.4472911277198806E-2</v>
      </c>
      <c r="AN74" s="151">
        <f>(AN62*AH59+AN68*AH63)/AH69</f>
        <v>-1.5419490252753475E-2</v>
      </c>
      <c r="AO74" s="151">
        <f>(AO62*AI59+AO68*AI63)/AI69</f>
        <v>5.2303811798579861E-2</v>
      </c>
      <c r="AP74" s="151">
        <f>(AP62*AJ59+AP68*AJ63)/AJ69</f>
        <v>4.3585385136661478E-2</v>
      </c>
      <c r="AQ74" s="154">
        <f>SUMPRODUCT(AM74:AP74,AG69:AJ69)/AK69:AK69</f>
        <v>2.6922696507871484E-2</v>
      </c>
      <c r="AR74" s="197"/>
      <c r="AS74" s="152">
        <f>(AS62*AM59+AS68*AM63)/AM69</f>
        <v>2.6380793909095736E-2</v>
      </c>
      <c r="AT74" s="151">
        <f>(AT62*AN59+AT68*AN63)/AN69</f>
        <v>6.4601110447679272E-2</v>
      </c>
      <c r="AU74" s="151">
        <f>(AU62*AO59+AU68*AO63)/AO69</f>
        <v>3.3204627003176085E-2</v>
      </c>
      <c r="AV74" s="151">
        <f>(AV62*AP59+AV68*AP63)/AP69</f>
        <v>6.9775316455696082E-2</v>
      </c>
      <c r="AW74" s="154">
        <f>SUMPRODUCT(AS74:AV74,AM69:AP69)/AQ69:AQ69</f>
        <v>5.011263258270629E-2</v>
      </c>
      <c r="AX74" s="197"/>
      <c r="AY74" s="152">
        <f>(AY62*AS59+AY68*AS63)/AS69</f>
        <v>-1.9596371882086246E-2</v>
      </c>
      <c r="AZ74" s="151">
        <f>(AZ62*AT59+AZ68*AT63)/AT69</f>
        <v>2.6503184713375795E-2</v>
      </c>
      <c r="BA74" s="151">
        <f>(BA62*AU59+BA68*AU63)/AU69</f>
        <v>7.9625956361575531E-2</v>
      </c>
      <c r="BB74" s="153">
        <f>(BB62*AV59+BB68*AV63)/AV69</f>
        <v>8.8934546521866831E-2</v>
      </c>
      <c r="BC74" s="154">
        <f>SUMPRODUCT(AY74:BB74,AS69:AV69)/AW69:AW69</f>
        <v>5.0811008875498748E-2</v>
      </c>
      <c r="BD74" s="665"/>
      <c r="BE74" s="717">
        <f>BE72-BE73</f>
        <v>2.4837231733783494E-2</v>
      </c>
      <c r="BF74" s="696">
        <f t="shared" ref="BF74" si="426">BF72-BF73</f>
        <v>0.10884353741496605</v>
      </c>
      <c r="BG74" s="696">
        <f t="shared" ref="BG74" si="427">BG72-BG73</f>
        <v>1.6816816816816765E-2</v>
      </c>
      <c r="BH74" s="697">
        <f t="shared" ref="BH74" si="428">BH72-BH73</f>
        <v>5.000000000000001E-2</v>
      </c>
      <c r="BI74" s="732">
        <f t="shared" ref="BI74" si="429">BI72-BI73</f>
        <v>5.0885240279504626E-2</v>
      </c>
      <c r="BJ74" s="665"/>
      <c r="BK74" s="717">
        <f>BK72-BK73</f>
        <v>0.15300510204081635</v>
      </c>
      <c r="BL74" s="696">
        <f t="shared" ref="BL74" si="430">BL72-BL73</f>
        <v>2.5238709677419265E-2</v>
      </c>
      <c r="BM74" s="696">
        <f t="shared" ref="BM74" si="431">BM72-BM73</f>
        <v>3.8888888888889001E-2</v>
      </c>
      <c r="BN74" s="697">
        <f t="shared" ref="BN74" si="432">BN72-BN73</f>
        <v>3.4457142857142777E-2</v>
      </c>
      <c r="BO74" s="732">
        <f t="shared" ref="BO74" si="433">BO72-BO73</f>
        <v>5.2732053422370646E-2</v>
      </c>
      <c r="BP74" s="665"/>
      <c r="BQ74" s="717">
        <f>BQ72-BQ73</f>
        <v>4.0352422907489013E-2</v>
      </c>
      <c r="BR74" s="696">
        <f t="shared" ref="BR74:BU74" si="434">BR72-BR73</f>
        <v>6.8890675241157578E-2</v>
      </c>
      <c r="BS74" s="696">
        <f t="shared" si="434"/>
        <v>5.3675213675213537E-2</v>
      </c>
      <c r="BT74" s="697">
        <f t="shared" si="434"/>
        <v>5.3841961852861005E-2</v>
      </c>
      <c r="BU74" s="732">
        <f t="shared" si="434"/>
        <v>5.5083598726114652E-2</v>
      </c>
      <c r="BV74" s="665"/>
      <c r="BW74" s="717">
        <f>BW72-BW73</f>
        <v>4.6707317073170516E-2</v>
      </c>
      <c r="BX74" s="696">
        <f t="shared" ref="BX74:CA74" si="435">BX72-BX73</f>
        <v>4.6531175559560163E-2</v>
      </c>
      <c r="BY74" s="696">
        <f t="shared" si="435"/>
        <v>4.6151100069886208E-2</v>
      </c>
      <c r="BZ74" s="697">
        <f t="shared" si="435"/>
        <v>4.6394880489909474E-2</v>
      </c>
      <c r="CA74" s="732">
        <f t="shared" si="435"/>
        <v>4.6417709198445005E-2</v>
      </c>
      <c r="CB74" s="665"/>
      <c r="CC74" s="717">
        <f>CC72-CC73</f>
        <v>4.7350083856392278E-2</v>
      </c>
      <c r="CD74" s="696">
        <f t="shared" ref="CD74:CG74" si="436">CD72-CD73</f>
        <v>4.7146802474026028E-2</v>
      </c>
      <c r="CE74" s="696">
        <f t="shared" si="436"/>
        <v>4.6826771783252674E-2</v>
      </c>
      <c r="CF74" s="697">
        <f t="shared" si="436"/>
        <v>4.7028449168255326E-2</v>
      </c>
      <c r="CG74" s="732">
        <f t="shared" si="436"/>
        <v>4.706147155129714E-2</v>
      </c>
      <c r="CH74" s="665"/>
      <c r="CI74" s="717">
        <f>CI72-CI73</f>
        <v>4.7375005701178585E-2</v>
      </c>
      <c r="CJ74" s="696">
        <f t="shared" ref="CJ74:CM74" si="437">CJ72-CJ73</f>
        <v>4.7173087454209783E-2</v>
      </c>
      <c r="CK74" s="696">
        <f t="shared" si="437"/>
        <v>4.6855043868177626E-2</v>
      </c>
      <c r="CL74" s="697">
        <f t="shared" si="437"/>
        <v>4.7055491672280736E-2</v>
      </c>
      <c r="CM74" s="732">
        <f t="shared" si="437"/>
        <v>4.7088305368535588E-2</v>
      </c>
    </row>
    <row r="75" spans="1:91" s="25" customFormat="1" ht="11.25" x14ac:dyDescent="0.2">
      <c r="A75" s="706" t="s">
        <v>14</v>
      </c>
      <c r="B75" s="707"/>
      <c r="C75" s="728"/>
      <c r="D75" s="707"/>
      <c r="E75" s="707"/>
      <c r="F75" s="708"/>
      <c r="G75" s="739"/>
      <c r="H75" s="707"/>
      <c r="I75" s="728"/>
      <c r="J75" s="707"/>
      <c r="K75" s="707"/>
      <c r="L75" s="708"/>
      <c r="M75" s="739"/>
      <c r="N75" s="707"/>
      <c r="O75" s="728"/>
      <c r="P75" s="707"/>
      <c r="Q75" s="707"/>
      <c r="R75" s="708"/>
      <c r="S75" s="739"/>
      <c r="T75" s="707"/>
      <c r="U75" s="728"/>
      <c r="V75" s="707"/>
      <c r="W75" s="707"/>
      <c r="X75" s="708"/>
      <c r="Y75" s="739"/>
      <c r="Z75" s="707"/>
      <c r="AA75" s="728"/>
      <c r="AB75" s="707"/>
      <c r="AC75" s="707"/>
      <c r="AD75" s="708"/>
      <c r="AE75" s="739"/>
      <c r="AF75" s="707"/>
      <c r="AG75" s="728"/>
      <c r="AH75" s="707"/>
      <c r="AI75" s="707"/>
      <c r="AJ75" s="708"/>
      <c r="AK75" s="739"/>
      <c r="AL75" s="707"/>
      <c r="AM75" s="728"/>
      <c r="AN75" s="707"/>
      <c r="AO75" s="707"/>
      <c r="AP75" s="707"/>
      <c r="AQ75" s="739"/>
      <c r="AR75" s="707"/>
      <c r="AS75" s="728"/>
      <c r="AT75" s="707"/>
      <c r="AU75" s="707"/>
      <c r="AV75" s="707"/>
      <c r="AW75" s="739"/>
      <c r="AX75" s="707"/>
      <c r="AY75" s="728"/>
      <c r="AZ75" s="707"/>
      <c r="BA75" s="707"/>
      <c r="BB75" s="708"/>
      <c r="BC75" s="739"/>
      <c r="BD75" s="707"/>
      <c r="BE75" s="728"/>
      <c r="BF75" s="707"/>
      <c r="BG75" s="707"/>
      <c r="BH75" s="708"/>
      <c r="BI75" s="739"/>
      <c r="BJ75" s="707"/>
      <c r="BK75" s="728"/>
      <c r="BL75" s="707"/>
      <c r="BM75" s="707"/>
      <c r="BN75" s="708"/>
      <c r="BO75" s="739"/>
      <c r="BP75" s="707"/>
      <c r="BQ75" s="728"/>
      <c r="BR75" s="707"/>
      <c r="BS75" s="707"/>
      <c r="BT75" s="708"/>
      <c r="BU75" s="739"/>
      <c r="BV75" s="707"/>
      <c r="BW75" s="728"/>
      <c r="BX75" s="707"/>
      <c r="BY75" s="707"/>
      <c r="BZ75" s="708"/>
      <c r="CA75" s="739"/>
      <c r="CB75" s="707"/>
      <c r="CC75" s="728"/>
      <c r="CD75" s="707"/>
      <c r="CE75" s="707"/>
      <c r="CF75" s="708"/>
      <c r="CG75" s="739"/>
      <c r="CH75" s="707"/>
      <c r="CI75" s="728"/>
      <c r="CJ75" s="707"/>
      <c r="CK75" s="707"/>
      <c r="CL75" s="708"/>
      <c r="CM75" s="739"/>
    </row>
    <row r="76" spans="1:91" s="25" customFormat="1" ht="11.25" hidden="1" outlineLevel="1" x14ac:dyDescent="0.2">
      <c r="A76" s="694" t="s">
        <v>4</v>
      </c>
      <c r="B76" s="665"/>
      <c r="C76" s="664"/>
      <c r="D76" s="665"/>
      <c r="E76" s="665"/>
      <c r="F76" s="668"/>
      <c r="G76" s="746"/>
      <c r="H76" s="665"/>
      <c r="I76" s="664"/>
      <c r="J76" s="665"/>
      <c r="K76" s="665"/>
      <c r="L76" s="668"/>
      <c r="M76" s="746"/>
      <c r="N76" s="665"/>
      <c r="O76" s="664"/>
      <c r="P76" s="665"/>
      <c r="Q76" s="665"/>
      <c r="R76" s="668"/>
      <c r="S76" s="746"/>
      <c r="T76" s="665"/>
      <c r="U76" s="664"/>
      <c r="V76" s="665"/>
      <c r="W76" s="665"/>
      <c r="X76" s="668"/>
      <c r="Y76" s="746"/>
      <c r="Z76" s="665"/>
      <c r="AA76" s="664"/>
      <c r="AB76" s="665"/>
      <c r="AC76" s="665"/>
      <c r="AD76" s="668"/>
      <c r="AE76" s="746"/>
      <c r="AF76" s="665"/>
      <c r="AG76" s="664"/>
      <c r="AH76" s="665"/>
      <c r="AI76" s="665"/>
      <c r="AJ76" s="668"/>
      <c r="AK76" s="746"/>
      <c r="AL76" s="665"/>
      <c r="AM76" s="664"/>
      <c r="AN76" s="665"/>
      <c r="AO76" s="665"/>
      <c r="AP76" s="665"/>
      <c r="AQ76" s="746"/>
      <c r="AR76" s="665"/>
      <c r="AS76" s="664"/>
      <c r="AT76" s="665"/>
      <c r="AU76" s="665"/>
      <c r="AV76" s="665"/>
      <c r="AW76" s="746"/>
      <c r="AX76" s="665"/>
      <c r="AY76" s="664"/>
      <c r="AZ76" s="665"/>
      <c r="BA76" s="665"/>
      <c r="BB76" s="668"/>
      <c r="BC76" s="746"/>
      <c r="BD76" s="665"/>
      <c r="BE76" s="718">
        <f>BE8+BE25+BE42+BE59</f>
        <v>1104</v>
      </c>
      <c r="BF76" s="666">
        <f t="shared" ref="BF76:BH76" si="438">BF8+BF25+BF42+BF59</f>
        <v>1103</v>
      </c>
      <c r="BG76" s="666">
        <f t="shared" si="438"/>
        <v>1163</v>
      </c>
      <c r="BH76" s="667">
        <f t="shared" si="438"/>
        <v>1140</v>
      </c>
      <c r="BI76" s="733">
        <f>SUM(BE76:BH76)</f>
        <v>4510</v>
      </c>
      <c r="BJ76" s="665"/>
      <c r="BK76" s="718">
        <f>BK8+BK25+BK42+BK59</f>
        <v>1179</v>
      </c>
      <c r="BL76" s="666">
        <f t="shared" ref="BL76:BN76" si="439">BL8+BL25+BL42+BL59</f>
        <v>1152</v>
      </c>
      <c r="BM76" s="666">
        <f t="shared" si="439"/>
        <v>1148</v>
      </c>
      <c r="BN76" s="667">
        <f t="shared" si="439"/>
        <v>1174</v>
      </c>
      <c r="BO76" s="733">
        <f>SUM(BK76:BN76)</f>
        <v>4653</v>
      </c>
      <c r="BP76" s="665"/>
      <c r="BQ76" s="718">
        <f>BQ8+BQ25+BQ42+BQ59</f>
        <v>1183</v>
      </c>
      <c r="BR76" s="666">
        <f t="shared" ref="BR76:BT76" si="440">BR8+BR25+BR42+BR59</f>
        <v>1200.76</v>
      </c>
      <c r="BS76" s="666">
        <f t="shared" si="440"/>
        <v>1225.8500000000001</v>
      </c>
      <c r="BT76" s="667">
        <f t="shared" si="440"/>
        <v>1237.7</v>
      </c>
      <c r="BU76" s="733">
        <f>SUM(BQ76:BT76)</f>
        <v>4847.3100000000004</v>
      </c>
      <c r="BV76" s="665"/>
      <c r="BW76" s="718">
        <f>BW8+BW25+BW42+BW59</f>
        <v>1244.4250000000002</v>
      </c>
      <c r="BX76" s="666">
        <f t="shared" ref="BX76:BZ76" si="441">BX8+BX25+BX42+BX59</f>
        <v>1262.7413999999999</v>
      </c>
      <c r="BY76" s="666">
        <f t="shared" si="441"/>
        <v>1288.86735</v>
      </c>
      <c r="BZ76" s="667">
        <f t="shared" si="441"/>
        <v>1301.3141500000002</v>
      </c>
      <c r="CA76" s="733">
        <f>SUM(BW76:BZ76)</f>
        <v>5097.3479000000007</v>
      </c>
      <c r="CB76" s="665"/>
      <c r="CC76" s="718">
        <f>CC8+CC25+CC42+CC59</f>
        <v>1309.5873750000001</v>
      </c>
      <c r="CD76" s="666">
        <f t="shared" ref="CD76:CF76" si="442">CD8+CD25+CD42+CD59</f>
        <v>1328.5123935000001</v>
      </c>
      <c r="CE76" s="666">
        <f t="shared" si="442"/>
        <v>1355.7744746250003</v>
      </c>
      <c r="CF76" s="667">
        <f t="shared" si="442"/>
        <v>1368.8673563750001</v>
      </c>
      <c r="CG76" s="733">
        <f>SUM(CC76:CF76)</f>
        <v>5362.7415995000001</v>
      </c>
      <c r="CH76" s="665"/>
      <c r="CI76" s="718">
        <f>CI8+CI25+CI42+CI59</f>
        <v>1378.1847446250001</v>
      </c>
      <c r="CJ76" s="666">
        <f t="shared" ref="CJ76:CL76" si="443">CJ8+CJ25+CJ42+CJ59</f>
        <v>1397.7375187912503</v>
      </c>
      <c r="CK76" s="666">
        <f t="shared" si="443"/>
        <v>1426.1872862634377</v>
      </c>
      <c r="CL76" s="667">
        <f t="shared" si="443"/>
        <v>1439.9592727290626</v>
      </c>
      <c r="CM76" s="733">
        <f>SUM(CI76:CL76)</f>
        <v>5642.0688224087507</v>
      </c>
    </row>
    <row r="77" spans="1:91" s="25" customFormat="1" ht="11.25" hidden="1" outlineLevel="1" x14ac:dyDescent="0.2">
      <c r="A77" s="695" t="s">
        <v>5</v>
      </c>
      <c r="B77" s="665"/>
      <c r="C77" s="664"/>
      <c r="D77" s="665"/>
      <c r="E77" s="665"/>
      <c r="F77" s="668"/>
      <c r="G77" s="746"/>
      <c r="H77" s="665"/>
      <c r="I77" s="664"/>
      <c r="J77" s="665"/>
      <c r="K77" s="665"/>
      <c r="L77" s="668"/>
      <c r="M77" s="746"/>
      <c r="N77" s="665"/>
      <c r="O77" s="664"/>
      <c r="P77" s="665"/>
      <c r="Q77" s="665"/>
      <c r="R77" s="668"/>
      <c r="S77" s="746"/>
      <c r="T77" s="665"/>
      <c r="U77" s="664"/>
      <c r="V77" s="665"/>
      <c r="W77" s="665"/>
      <c r="X77" s="668"/>
      <c r="Y77" s="746"/>
      <c r="Z77" s="665"/>
      <c r="AA77" s="664"/>
      <c r="AB77" s="665"/>
      <c r="AC77" s="665"/>
      <c r="AD77" s="668"/>
      <c r="AE77" s="746"/>
      <c r="AF77" s="665"/>
      <c r="AG77" s="664"/>
      <c r="AH77" s="665"/>
      <c r="AI77" s="665"/>
      <c r="AJ77" s="668"/>
      <c r="AK77" s="746"/>
      <c r="AL77" s="665"/>
      <c r="AM77" s="664"/>
      <c r="AN77" s="665"/>
      <c r="AO77" s="665"/>
      <c r="AP77" s="665"/>
      <c r="AQ77" s="746"/>
      <c r="AR77" s="665"/>
      <c r="AS77" s="664"/>
      <c r="AT77" s="665"/>
      <c r="AU77" s="665"/>
      <c r="AV77" s="665"/>
      <c r="AW77" s="746"/>
      <c r="AX77" s="665"/>
      <c r="AY77" s="664"/>
      <c r="AZ77" s="665"/>
      <c r="BA77" s="665"/>
      <c r="BB77" s="668"/>
      <c r="BC77" s="746"/>
      <c r="BD77" s="665"/>
      <c r="BE77" s="664"/>
      <c r="BF77" s="665"/>
      <c r="BG77" s="665"/>
      <c r="BH77" s="668"/>
      <c r="BI77" s="746"/>
      <c r="BJ77" s="665"/>
      <c r="BK77" s="717">
        <f>BK76/BE76-1</f>
        <v>6.7934782608695565E-2</v>
      </c>
      <c r="BL77" s="696">
        <f t="shared" ref="BL77" si="444">BL76/BF76-1</f>
        <v>4.4424297370806887E-2</v>
      </c>
      <c r="BM77" s="696">
        <f t="shared" ref="BM77" si="445">BM76/BG76-1</f>
        <v>-1.2897678417884806E-2</v>
      </c>
      <c r="BN77" s="697">
        <f t="shared" ref="BN77" si="446">BN76/BH76-1</f>
        <v>2.9824561403508865E-2</v>
      </c>
      <c r="BO77" s="732">
        <f t="shared" ref="BO77" si="447">BO76/BI76-1</f>
        <v>3.170731707317076E-2</v>
      </c>
      <c r="BP77" s="665"/>
      <c r="BQ77" s="717">
        <f>BQ76/BK76-1</f>
        <v>3.392705682782049E-3</v>
      </c>
      <c r="BR77" s="696">
        <f t="shared" ref="BR77" si="448">BR76/BL76-1</f>
        <v>4.2326388888888955E-2</v>
      </c>
      <c r="BS77" s="696">
        <f t="shared" ref="BS77" si="449">BS76/BM76-1</f>
        <v>6.78135888501743E-2</v>
      </c>
      <c r="BT77" s="697">
        <f t="shared" ref="BT77" si="450">BT76/BN76-1</f>
        <v>5.4258943781942071E-2</v>
      </c>
      <c r="BU77" s="732">
        <f t="shared" ref="BU77" si="451">BU76/BO76-1</f>
        <v>4.1760154738878175E-2</v>
      </c>
      <c r="BV77" s="665"/>
      <c r="BW77" s="717">
        <f>BW76/BQ76-1</f>
        <v>5.1923076923077183E-2</v>
      </c>
      <c r="BX77" s="696">
        <f t="shared" ref="BX77" si="452">BX76/BR76-1</f>
        <v>5.161847496585481E-2</v>
      </c>
      <c r="BY77" s="696">
        <f t="shared" ref="BY77" si="453">BY76/BS76-1</f>
        <v>5.1407064485866849E-2</v>
      </c>
      <c r="BZ77" s="697">
        <f t="shared" ref="BZ77" si="454">BZ76/BT76-1</f>
        <v>5.1397067140664277E-2</v>
      </c>
      <c r="CA77" s="732">
        <f t="shared" ref="CA77" si="455">CA76/BU76-1</f>
        <v>5.1582816036110701E-2</v>
      </c>
      <c r="CB77" s="665"/>
      <c r="CC77" s="717">
        <f>CC76/BW76-1</f>
        <v>5.236344094662182E-2</v>
      </c>
      <c r="CD77" s="696">
        <f t="shared" ref="CD77" si="456">CD76/BX76-1</f>
        <v>5.2085877203360997E-2</v>
      </c>
      <c r="CE77" s="696">
        <f t="shared" ref="CE77" si="457">CE76/BY76-1</f>
        <v>5.1911567645033685E-2</v>
      </c>
      <c r="CF77" s="697">
        <f t="shared" ref="CF77" si="458">CF76/BZ76-1</f>
        <v>5.1911528338487667E-2</v>
      </c>
      <c r="CG77" s="732">
        <f t="shared" ref="CG77" si="459">CG76/CA76-1</f>
        <v>5.2065055143675654E-2</v>
      </c>
      <c r="CH77" s="665"/>
      <c r="CI77" s="717">
        <f>CI76/CC76-1</f>
        <v>5.2380903278790525E-2</v>
      </c>
      <c r="CJ77" s="696">
        <f t="shared" ref="CJ77" si="460">CJ76/CD76-1</f>
        <v>5.2107248400502071E-2</v>
      </c>
      <c r="CK77" s="696">
        <f t="shared" ref="CK77" si="461">CK76/CE76-1</f>
        <v>5.1935489977352756E-2</v>
      </c>
      <c r="CL77" s="697">
        <f t="shared" ref="CL77" si="462">CL76/CF76-1</f>
        <v>5.1934846735133045E-2</v>
      </c>
      <c r="CM77" s="732">
        <f t="shared" ref="CM77" si="463">CM76/CG76-1</f>
        <v>5.2086645930282005E-2</v>
      </c>
    </row>
    <row r="78" spans="1:91" s="25" customFormat="1" ht="11.25" hidden="1" outlineLevel="1" x14ac:dyDescent="0.2">
      <c r="A78" s="695" t="s">
        <v>6</v>
      </c>
      <c r="B78" s="665"/>
      <c r="C78" s="664"/>
      <c r="D78" s="665"/>
      <c r="E78" s="665"/>
      <c r="F78" s="668"/>
      <c r="G78" s="746"/>
      <c r="H78" s="665"/>
      <c r="I78" s="664"/>
      <c r="J78" s="665"/>
      <c r="K78" s="665"/>
      <c r="L78" s="668"/>
      <c r="M78" s="746"/>
      <c r="N78" s="665"/>
      <c r="O78" s="664"/>
      <c r="P78" s="665"/>
      <c r="Q78" s="665"/>
      <c r="R78" s="668"/>
      <c r="S78" s="746"/>
      <c r="T78" s="665"/>
      <c r="U78" s="664"/>
      <c r="V78" s="665"/>
      <c r="W78" s="665"/>
      <c r="X78" s="668"/>
      <c r="Y78" s="746"/>
      <c r="Z78" s="665"/>
      <c r="AA78" s="664"/>
      <c r="AB78" s="665"/>
      <c r="AC78" s="665"/>
      <c r="AD78" s="668"/>
      <c r="AE78" s="746"/>
      <c r="AF78" s="665"/>
      <c r="AG78" s="664"/>
      <c r="AH78" s="665"/>
      <c r="AI78" s="665"/>
      <c r="AJ78" s="668"/>
      <c r="AK78" s="746"/>
      <c r="AL78" s="665"/>
      <c r="AM78" s="664"/>
      <c r="AN78" s="665"/>
      <c r="AO78" s="665"/>
      <c r="AP78" s="665"/>
      <c r="AQ78" s="746"/>
      <c r="AR78" s="665"/>
      <c r="AS78" s="664"/>
      <c r="AT78" s="665"/>
      <c r="AU78" s="665"/>
      <c r="AV78" s="665"/>
      <c r="AW78" s="746"/>
      <c r="AX78" s="665"/>
      <c r="AY78" s="664"/>
      <c r="AZ78" s="665"/>
      <c r="BA78" s="665"/>
      <c r="BB78" s="668"/>
      <c r="BC78" s="746"/>
      <c r="BD78" s="665"/>
      <c r="BE78" s="664"/>
      <c r="BF78" s="665"/>
      <c r="BG78" s="665"/>
      <c r="BH78" s="668"/>
      <c r="BI78" s="746"/>
      <c r="BJ78" s="665"/>
      <c r="BK78" s="717">
        <f>(BK10*BE8+BK27*BE25+BK44*BE42+BK61*BE59)/BE76</f>
        <v>0</v>
      </c>
      <c r="BL78" s="696">
        <f t="shared" ref="BL78:BN78" si="464">(BL10*BF8+BL27*BF25+BL44*BF42+BL61*BF59)/BF76</f>
        <v>0</v>
      </c>
      <c r="BM78" s="696">
        <f t="shared" si="464"/>
        <v>0</v>
      </c>
      <c r="BN78" s="697">
        <f t="shared" si="464"/>
        <v>0</v>
      </c>
      <c r="BO78" s="732">
        <f>SUMPRODUCT(BK78:BN78,BE76:BH76)/BI76</f>
        <v>0</v>
      </c>
      <c r="BP78" s="665"/>
      <c r="BQ78" s="717">
        <f>(BQ10*BK8+BQ27*BK25+BQ44*BK42+BQ61*BK59)/BK76</f>
        <v>0</v>
      </c>
      <c r="BR78" s="696">
        <f t="shared" ref="BR78" si="465">(BR10*BL8+BR27*BL25+BR44*BL42+BR61*BL59)/BL76</f>
        <v>0</v>
      </c>
      <c r="BS78" s="696">
        <f t="shared" ref="BS78" si="466">(BS10*BM8+BS27*BM25+BS44*BM42+BS61*BM59)/BM76</f>
        <v>0</v>
      </c>
      <c r="BT78" s="697">
        <f t="shared" ref="BT78" si="467">(BT10*BN8+BT27*BN25+BT44*BN42+BT61*BN59)/BN76</f>
        <v>0</v>
      </c>
      <c r="BU78" s="732">
        <f>SUMPRODUCT(BQ78:BT78,BK76:BN76)/BO76</f>
        <v>0</v>
      </c>
      <c r="BV78" s="665"/>
      <c r="BW78" s="717">
        <f>(BW10*BQ8+BW27*BQ25+BW44*BQ42+BW61*BQ59)/BQ76</f>
        <v>0</v>
      </c>
      <c r="BX78" s="696">
        <f t="shared" ref="BX78" si="468">(BX10*BR8+BX27*BR25+BX44*BR42+BX61*BR59)/BR76</f>
        <v>0</v>
      </c>
      <c r="BY78" s="696">
        <f t="shared" ref="BY78" si="469">(BY10*BS8+BY27*BS25+BY44*BS42+BY61*BS59)/BS76</f>
        <v>0</v>
      </c>
      <c r="BZ78" s="697">
        <f t="shared" ref="BZ78" si="470">(BZ10*BT8+BZ27*BT25+BZ44*BT42+BZ61*BT59)/BT76</f>
        <v>0</v>
      </c>
      <c r="CA78" s="732">
        <f>SUMPRODUCT(BW78:BZ78,BQ76:BT76)/BU76</f>
        <v>0</v>
      </c>
      <c r="CB78" s="665"/>
      <c r="CC78" s="717">
        <f>(CC10*BW8+CC27*BW25+CC44*BW42+CC61*BW59)/BW76</f>
        <v>0</v>
      </c>
      <c r="CD78" s="696">
        <f t="shared" ref="CD78" si="471">(CD10*BX8+CD27*BX25+CD44*BX42+CD61*BX59)/BX76</f>
        <v>0</v>
      </c>
      <c r="CE78" s="696">
        <f t="shared" ref="CE78" si="472">(CE10*BY8+CE27*BY25+CE44*BY42+CE61*BY59)/BY76</f>
        <v>0</v>
      </c>
      <c r="CF78" s="697">
        <f t="shared" ref="CF78" si="473">(CF10*BZ8+CF27*BZ25+CF44*BZ42+CF61*BZ59)/BZ76</f>
        <v>0</v>
      </c>
      <c r="CG78" s="732">
        <f>SUMPRODUCT(CC78:CF78,BW76:BZ76)/CA76</f>
        <v>0</v>
      </c>
      <c r="CH78" s="665"/>
      <c r="CI78" s="717">
        <f>(CI10*CC8+CI27*CC25+CI44*CC42+CI61*CC59)/CC76</f>
        <v>0</v>
      </c>
      <c r="CJ78" s="696">
        <f t="shared" ref="CJ78" si="474">(CJ10*CD8+CJ27*CD25+CJ44*CD42+CJ61*CD59)/CD76</f>
        <v>0</v>
      </c>
      <c r="CK78" s="696">
        <f t="shared" ref="CK78" si="475">(CK10*CE8+CK27*CE25+CK44*CE42+CK61*CE59)/CE76</f>
        <v>0</v>
      </c>
      <c r="CL78" s="697">
        <f t="shared" ref="CL78" si="476">(CL10*CF8+CL27*CF25+CL44*CF42+CL61*CF59)/CF76</f>
        <v>0</v>
      </c>
      <c r="CM78" s="732">
        <f>SUMPRODUCT(CI78:CL78,CC76:CF76)/CG76</f>
        <v>0</v>
      </c>
    </row>
    <row r="79" spans="1:91" s="25" customFormat="1" ht="11.25" hidden="1" outlineLevel="1" x14ac:dyDescent="0.2">
      <c r="A79" s="695" t="s">
        <v>7</v>
      </c>
      <c r="B79" s="665"/>
      <c r="C79" s="664"/>
      <c r="D79" s="665"/>
      <c r="E79" s="665"/>
      <c r="F79" s="668"/>
      <c r="G79" s="746"/>
      <c r="H79" s="665"/>
      <c r="I79" s="664"/>
      <c r="J79" s="665"/>
      <c r="K79" s="665"/>
      <c r="L79" s="668"/>
      <c r="M79" s="746"/>
      <c r="N79" s="665"/>
      <c r="O79" s="664"/>
      <c r="P79" s="665"/>
      <c r="Q79" s="665"/>
      <c r="R79" s="668"/>
      <c r="S79" s="746"/>
      <c r="T79" s="665"/>
      <c r="U79" s="664"/>
      <c r="V79" s="665"/>
      <c r="W79" s="665"/>
      <c r="X79" s="668"/>
      <c r="Y79" s="746"/>
      <c r="Z79" s="665"/>
      <c r="AA79" s="664"/>
      <c r="AB79" s="665"/>
      <c r="AC79" s="665"/>
      <c r="AD79" s="668"/>
      <c r="AE79" s="746"/>
      <c r="AF79" s="665"/>
      <c r="AG79" s="664"/>
      <c r="AH79" s="665"/>
      <c r="AI79" s="665"/>
      <c r="AJ79" s="668"/>
      <c r="AK79" s="746"/>
      <c r="AL79" s="665"/>
      <c r="AM79" s="664"/>
      <c r="AN79" s="665"/>
      <c r="AO79" s="665"/>
      <c r="AP79" s="665"/>
      <c r="AQ79" s="746"/>
      <c r="AR79" s="665"/>
      <c r="AS79" s="664"/>
      <c r="AT79" s="665"/>
      <c r="AU79" s="665"/>
      <c r="AV79" s="665"/>
      <c r="AW79" s="746"/>
      <c r="AX79" s="665"/>
      <c r="AY79" s="664"/>
      <c r="AZ79" s="665"/>
      <c r="BA79" s="665"/>
      <c r="BB79" s="668"/>
      <c r="BC79" s="746"/>
      <c r="BD79" s="665"/>
      <c r="BE79" s="664"/>
      <c r="BF79" s="665"/>
      <c r="BG79" s="665"/>
      <c r="BH79" s="668"/>
      <c r="BI79" s="746"/>
      <c r="BJ79" s="665"/>
      <c r="BK79" s="717">
        <f>BK77-BK78</f>
        <v>6.7934782608695565E-2</v>
      </c>
      <c r="BL79" s="696">
        <f t="shared" ref="BL79:BO79" si="477">BL77-BL78</f>
        <v>4.4424297370806887E-2</v>
      </c>
      <c r="BM79" s="696">
        <f t="shared" si="477"/>
        <v>-1.2897678417884806E-2</v>
      </c>
      <c r="BN79" s="697">
        <f t="shared" si="477"/>
        <v>2.9824561403508865E-2</v>
      </c>
      <c r="BO79" s="732">
        <f t="shared" si="477"/>
        <v>3.170731707317076E-2</v>
      </c>
      <c r="BP79" s="665"/>
      <c r="BQ79" s="717">
        <f>BQ77-BQ78</f>
        <v>3.392705682782049E-3</v>
      </c>
      <c r="BR79" s="696">
        <f t="shared" ref="BR79:BU79" si="478">BR77-BR78</f>
        <v>4.2326388888888955E-2</v>
      </c>
      <c r="BS79" s="696">
        <f t="shared" si="478"/>
        <v>6.78135888501743E-2</v>
      </c>
      <c r="BT79" s="697">
        <f t="shared" si="478"/>
        <v>5.4258943781942071E-2</v>
      </c>
      <c r="BU79" s="732">
        <f t="shared" si="478"/>
        <v>4.1760154738878175E-2</v>
      </c>
      <c r="BV79" s="665"/>
      <c r="BW79" s="717">
        <f>BW77-BW78</f>
        <v>5.1923076923077183E-2</v>
      </c>
      <c r="BX79" s="696">
        <f t="shared" ref="BX79:CA79" si="479">BX77-BX78</f>
        <v>5.161847496585481E-2</v>
      </c>
      <c r="BY79" s="696">
        <f t="shared" si="479"/>
        <v>5.1407064485866849E-2</v>
      </c>
      <c r="BZ79" s="697">
        <f t="shared" si="479"/>
        <v>5.1397067140664277E-2</v>
      </c>
      <c r="CA79" s="732">
        <f t="shared" si="479"/>
        <v>5.1582816036110701E-2</v>
      </c>
      <c r="CB79" s="665"/>
      <c r="CC79" s="717">
        <f>CC77-CC78</f>
        <v>5.236344094662182E-2</v>
      </c>
      <c r="CD79" s="696">
        <f t="shared" ref="CD79:CG79" si="480">CD77-CD78</f>
        <v>5.2085877203360997E-2</v>
      </c>
      <c r="CE79" s="696">
        <f t="shared" si="480"/>
        <v>5.1911567645033685E-2</v>
      </c>
      <c r="CF79" s="697">
        <f t="shared" si="480"/>
        <v>5.1911528338487667E-2</v>
      </c>
      <c r="CG79" s="732">
        <f t="shared" si="480"/>
        <v>5.2065055143675654E-2</v>
      </c>
      <c r="CH79" s="665"/>
      <c r="CI79" s="717">
        <f>CI77-CI78</f>
        <v>5.2380903278790525E-2</v>
      </c>
      <c r="CJ79" s="696">
        <f t="shared" ref="CJ79:CM79" si="481">CJ77-CJ78</f>
        <v>5.2107248400502071E-2</v>
      </c>
      <c r="CK79" s="696">
        <f t="shared" si="481"/>
        <v>5.1935489977352756E-2</v>
      </c>
      <c r="CL79" s="697">
        <f t="shared" si="481"/>
        <v>5.1934846735133045E-2</v>
      </c>
      <c r="CM79" s="732">
        <f t="shared" si="481"/>
        <v>5.2086645930282005E-2</v>
      </c>
    </row>
    <row r="80" spans="1:91" s="25" customFormat="1" ht="11.25" hidden="1" outlineLevel="1" x14ac:dyDescent="0.2">
      <c r="A80" s="694" t="s">
        <v>8</v>
      </c>
      <c r="B80" s="665"/>
      <c r="C80" s="664"/>
      <c r="D80" s="665"/>
      <c r="E80" s="665"/>
      <c r="F80" s="668"/>
      <c r="G80" s="746"/>
      <c r="H80" s="665"/>
      <c r="I80" s="664"/>
      <c r="J80" s="665"/>
      <c r="K80" s="665"/>
      <c r="L80" s="668"/>
      <c r="M80" s="746"/>
      <c r="N80" s="665"/>
      <c r="O80" s="664"/>
      <c r="P80" s="665"/>
      <c r="Q80" s="665"/>
      <c r="R80" s="668"/>
      <c r="S80" s="746"/>
      <c r="T80" s="665"/>
      <c r="U80" s="664"/>
      <c r="V80" s="665"/>
      <c r="W80" s="665"/>
      <c r="X80" s="668"/>
      <c r="Y80" s="746"/>
      <c r="Z80" s="665"/>
      <c r="AA80" s="664"/>
      <c r="AB80" s="665"/>
      <c r="AC80" s="665"/>
      <c r="AD80" s="668"/>
      <c r="AE80" s="746"/>
      <c r="AF80" s="665"/>
      <c r="AG80" s="664"/>
      <c r="AH80" s="665"/>
      <c r="AI80" s="665"/>
      <c r="AJ80" s="668"/>
      <c r="AK80" s="746"/>
      <c r="AL80" s="665"/>
      <c r="AM80" s="664"/>
      <c r="AN80" s="665"/>
      <c r="AO80" s="665"/>
      <c r="AP80" s="665"/>
      <c r="AQ80" s="746"/>
      <c r="AR80" s="665"/>
      <c r="AS80" s="664"/>
      <c r="AT80" s="665"/>
      <c r="AU80" s="665"/>
      <c r="AV80" s="665"/>
      <c r="AW80" s="746"/>
      <c r="AX80" s="665"/>
      <c r="AY80" s="664"/>
      <c r="AZ80" s="665"/>
      <c r="BA80" s="665"/>
      <c r="BB80" s="668"/>
      <c r="BC80" s="746"/>
      <c r="BD80" s="665"/>
      <c r="BE80" s="718">
        <f>BE12+BE29+BE46+BE63</f>
        <v>742</v>
      </c>
      <c r="BF80" s="666">
        <f t="shared" ref="BF80:BH80" si="482">BF12+BF29+BF46+BF63</f>
        <v>811</v>
      </c>
      <c r="BG80" s="666">
        <f t="shared" si="482"/>
        <v>893</v>
      </c>
      <c r="BH80" s="667">
        <f t="shared" si="482"/>
        <v>904</v>
      </c>
      <c r="BI80" s="733">
        <f>SUM(BE80:BH80)</f>
        <v>3350</v>
      </c>
      <c r="BJ80" s="665"/>
      <c r="BK80" s="718">
        <f>BK12+BK29+BK46+BK63</f>
        <v>804</v>
      </c>
      <c r="BL80" s="666">
        <f t="shared" ref="BL80:BN80" si="483">BL12+BL29+BL46+BL63</f>
        <v>854</v>
      </c>
      <c r="BM80" s="666">
        <f t="shared" si="483"/>
        <v>924</v>
      </c>
      <c r="BN80" s="667">
        <f t="shared" si="483"/>
        <v>972</v>
      </c>
      <c r="BO80" s="733">
        <f>SUM(BK80:BN80)</f>
        <v>3554</v>
      </c>
      <c r="BP80" s="665"/>
      <c r="BQ80" s="718">
        <f>BQ12+BQ29+BQ46+BQ63</f>
        <v>880</v>
      </c>
      <c r="BR80" s="666">
        <f t="shared" ref="BR80:BT80" si="484">BR12+BR29+BR46+BR63</f>
        <v>946.39582571385438</v>
      </c>
      <c r="BS80" s="666">
        <f t="shared" si="484"/>
        <v>1019.7043220551354</v>
      </c>
      <c r="BT80" s="667">
        <f t="shared" si="484"/>
        <v>1041.8977878732612</v>
      </c>
      <c r="BU80" s="733">
        <f>SUM(BQ80:BT80)</f>
        <v>3887.9979356422509</v>
      </c>
      <c r="BV80" s="665"/>
      <c r="BW80" s="718">
        <f>BW12+BW29+BW46+BW63</f>
        <v>961.46941623850375</v>
      </c>
      <c r="BX80" s="666">
        <f t="shared" ref="BX80:BZ80" si="485">BX12+BX29+BX46+BX63</f>
        <v>1005.4446388490344</v>
      </c>
      <c r="BY80" s="666">
        <f t="shared" si="485"/>
        <v>1080.7042780739025</v>
      </c>
      <c r="BZ80" s="667">
        <f t="shared" si="485"/>
        <v>1104.2798818367969</v>
      </c>
      <c r="CA80" s="733">
        <f>SUM(BW80:BZ80)</f>
        <v>4151.8982149982376</v>
      </c>
      <c r="CB80" s="665"/>
      <c r="CC80" s="718">
        <f>CC12+CC29+CC46+CC63</f>
        <v>1019.730357258035</v>
      </c>
      <c r="CD80" s="666">
        <f t="shared" ref="CD80:CF80" si="486">CD12+CD29+CD46+CD63</f>
        <v>1065.52823916752</v>
      </c>
      <c r="CE80" s="666">
        <f t="shared" si="486"/>
        <v>1145.4141372887075</v>
      </c>
      <c r="CF80" s="667">
        <f t="shared" si="486"/>
        <v>1170.4623057580575</v>
      </c>
      <c r="CG80" s="733">
        <f>SUM(CC80:CF80)</f>
        <v>4401.1350394723195</v>
      </c>
      <c r="CH80" s="665"/>
      <c r="CI80" s="718">
        <f>CI12+CI29+CI46+CI63</f>
        <v>1081.5746101260299</v>
      </c>
      <c r="CJ80" s="666">
        <f t="shared" ref="CJ80:CL80" si="487">CJ12+CJ29+CJ46+CJ63</f>
        <v>1129.2614886129115</v>
      </c>
      <c r="CK80" s="666">
        <f t="shared" si="487"/>
        <v>1214.0633085119916</v>
      </c>
      <c r="CL80" s="667">
        <f t="shared" si="487"/>
        <v>1240.6806433216727</v>
      </c>
      <c r="CM80" s="733">
        <f>SUM(CI80:CL80)</f>
        <v>4665.5800505726056</v>
      </c>
    </row>
    <row r="81" spans="1:91" s="25" customFormat="1" ht="11.25" hidden="1" outlineLevel="1" x14ac:dyDescent="0.2">
      <c r="A81" s="695" t="s">
        <v>5</v>
      </c>
      <c r="B81" s="665"/>
      <c r="C81" s="664"/>
      <c r="D81" s="665"/>
      <c r="E81" s="665"/>
      <c r="F81" s="668"/>
      <c r="G81" s="746"/>
      <c r="H81" s="665"/>
      <c r="I81" s="664"/>
      <c r="J81" s="665"/>
      <c r="K81" s="665"/>
      <c r="L81" s="668"/>
      <c r="M81" s="746"/>
      <c r="N81" s="665"/>
      <c r="O81" s="664"/>
      <c r="P81" s="665"/>
      <c r="Q81" s="665"/>
      <c r="R81" s="668"/>
      <c r="S81" s="746"/>
      <c r="T81" s="665"/>
      <c r="U81" s="664"/>
      <c r="V81" s="665"/>
      <c r="W81" s="665"/>
      <c r="X81" s="668"/>
      <c r="Y81" s="746"/>
      <c r="Z81" s="665"/>
      <c r="AA81" s="664"/>
      <c r="AB81" s="665"/>
      <c r="AC81" s="665"/>
      <c r="AD81" s="668"/>
      <c r="AE81" s="746"/>
      <c r="AF81" s="665"/>
      <c r="AG81" s="664"/>
      <c r="AH81" s="665"/>
      <c r="AI81" s="665"/>
      <c r="AJ81" s="668"/>
      <c r="AK81" s="746"/>
      <c r="AL81" s="665"/>
      <c r="AM81" s="664"/>
      <c r="AN81" s="665"/>
      <c r="AO81" s="665"/>
      <c r="AP81" s="665"/>
      <c r="AQ81" s="746"/>
      <c r="AR81" s="665"/>
      <c r="AS81" s="664"/>
      <c r="AT81" s="665"/>
      <c r="AU81" s="665"/>
      <c r="AV81" s="665"/>
      <c r="AW81" s="746"/>
      <c r="AX81" s="665"/>
      <c r="AY81" s="664"/>
      <c r="AZ81" s="665"/>
      <c r="BA81" s="665"/>
      <c r="BB81" s="668"/>
      <c r="BC81" s="746"/>
      <c r="BD81" s="665"/>
      <c r="BE81" s="664"/>
      <c r="BF81" s="665"/>
      <c r="BG81" s="665"/>
      <c r="BH81" s="668"/>
      <c r="BI81" s="746"/>
      <c r="BJ81" s="665"/>
      <c r="BK81" s="717">
        <f>BK80/BE80-1</f>
        <v>8.3557951482479798E-2</v>
      </c>
      <c r="BL81" s="696">
        <f t="shared" ref="BL81" si="488">BL80/BF80-1</f>
        <v>5.3020961775585684E-2</v>
      </c>
      <c r="BM81" s="696">
        <f t="shared" ref="BM81" si="489">BM80/BG80-1</f>
        <v>3.4714445688689866E-2</v>
      </c>
      <c r="BN81" s="697">
        <f t="shared" ref="BN81" si="490">BN80/BH80-1</f>
        <v>7.5221238938053103E-2</v>
      </c>
      <c r="BO81" s="732">
        <f t="shared" ref="BO81" si="491">BO80/BI80-1</f>
        <v>6.089552238805962E-2</v>
      </c>
      <c r="BP81" s="665"/>
      <c r="BQ81" s="717">
        <f>BQ80/BK80-1</f>
        <v>9.4527363184079505E-2</v>
      </c>
      <c r="BR81" s="696">
        <f t="shared" ref="BR81" si="492">BR80/BL80-1</f>
        <v>0.10819183338858829</v>
      </c>
      <c r="BS81" s="696">
        <f t="shared" ref="BS81" si="493">BS80/BM80-1</f>
        <v>0.10357610612027646</v>
      </c>
      <c r="BT81" s="697">
        <f t="shared" ref="BT81" si="494">BT80/BN80-1</f>
        <v>7.1911304396359288E-2</v>
      </c>
      <c r="BU81" s="732">
        <f t="shared" ref="BU81" si="495">BU80/BO80-1</f>
        <v>9.3978034789603537E-2</v>
      </c>
      <c r="BV81" s="665"/>
      <c r="BW81" s="717">
        <f>BW80/BQ80-1</f>
        <v>9.2578882089208836E-2</v>
      </c>
      <c r="BX81" s="696">
        <f t="shared" ref="BX81" si="496">BX80/BR80-1</f>
        <v>6.2393357547451345E-2</v>
      </c>
      <c r="BY81" s="696">
        <f t="shared" ref="BY81" si="497">BY80/BS80-1</f>
        <v>5.9821219445090001E-2</v>
      </c>
      <c r="BZ81" s="697">
        <f t="shared" ref="BZ81" si="498">BZ80/BT80-1</f>
        <v>5.9873525685154805E-2</v>
      </c>
      <c r="CA81" s="732">
        <f t="shared" ref="CA81" si="499">CA80/BU80-1</f>
        <v>6.7875622293094962E-2</v>
      </c>
      <c r="CB81" s="665"/>
      <c r="CC81" s="717">
        <f>CC80/BW80-1</f>
        <v>6.05957298646711E-2</v>
      </c>
      <c r="CD81" s="696">
        <f t="shared" ref="CD81" si="500">CD80/BX80-1</f>
        <v>5.9758238292727306E-2</v>
      </c>
      <c r="CE81" s="696">
        <f t="shared" ref="CE81" si="501">CE80/BY80-1</f>
        <v>5.9877489640491444E-2</v>
      </c>
      <c r="CF81" s="697">
        <f t="shared" ref="CF81" si="502">CF80/BZ80-1</f>
        <v>5.9932653858708829E-2</v>
      </c>
      <c r="CG81" s="732">
        <f t="shared" ref="CG81" si="503">CG80/CA80-1</f>
        <v>6.0029608523095135E-2</v>
      </c>
      <c r="CH81" s="665"/>
      <c r="CI81" s="717">
        <f>CI80/CC80-1</f>
        <v>6.0647653007299462E-2</v>
      </c>
      <c r="CJ81" s="696">
        <f t="shared" ref="CJ81" si="504">CJ80/CD80-1</f>
        <v>5.9813759131513322E-2</v>
      </c>
      <c r="CK81" s="696">
        <f t="shared" ref="CK81" si="505">CK80/CE80-1</f>
        <v>5.9933930434788119E-2</v>
      </c>
      <c r="CL81" s="697">
        <f t="shared" ref="CL81" si="506">CL80/CF80-1</f>
        <v>5.9991968317286259E-2</v>
      </c>
      <c r="CM81" s="732">
        <f t="shared" ref="CM81" si="507">CM80/CG80-1</f>
        <v>6.0085638983709222E-2</v>
      </c>
    </row>
    <row r="82" spans="1:91" s="25" customFormat="1" ht="11.25" hidden="1" outlineLevel="1" x14ac:dyDescent="0.2">
      <c r="A82" s="695" t="s">
        <v>9</v>
      </c>
      <c r="B82" s="665"/>
      <c r="C82" s="664"/>
      <c r="D82" s="665"/>
      <c r="E82" s="665"/>
      <c r="F82" s="668"/>
      <c r="G82" s="746"/>
      <c r="H82" s="665"/>
      <c r="I82" s="664"/>
      <c r="J82" s="665"/>
      <c r="K82" s="665"/>
      <c r="L82" s="668"/>
      <c r="M82" s="746"/>
      <c r="N82" s="665"/>
      <c r="O82" s="664"/>
      <c r="P82" s="665"/>
      <c r="Q82" s="665"/>
      <c r="R82" s="668"/>
      <c r="S82" s="746"/>
      <c r="T82" s="665"/>
      <c r="U82" s="664"/>
      <c r="V82" s="665"/>
      <c r="W82" s="665"/>
      <c r="X82" s="668"/>
      <c r="Y82" s="746"/>
      <c r="Z82" s="665"/>
      <c r="AA82" s="664"/>
      <c r="AB82" s="665"/>
      <c r="AC82" s="665"/>
      <c r="AD82" s="668"/>
      <c r="AE82" s="746"/>
      <c r="AF82" s="665"/>
      <c r="AG82" s="664"/>
      <c r="AH82" s="665"/>
      <c r="AI82" s="665"/>
      <c r="AJ82" s="668"/>
      <c r="AK82" s="746"/>
      <c r="AL82" s="665"/>
      <c r="AM82" s="664"/>
      <c r="AN82" s="665"/>
      <c r="AO82" s="665"/>
      <c r="AP82" s="665"/>
      <c r="AQ82" s="746"/>
      <c r="AR82" s="665"/>
      <c r="AS82" s="664"/>
      <c r="AT82" s="665"/>
      <c r="AU82" s="665"/>
      <c r="AV82" s="665"/>
      <c r="AW82" s="746"/>
      <c r="AX82" s="665"/>
      <c r="AY82" s="664"/>
      <c r="AZ82" s="665"/>
      <c r="BA82" s="665"/>
      <c r="BB82" s="668"/>
      <c r="BC82" s="746"/>
      <c r="BD82" s="665"/>
      <c r="BE82" s="664"/>
      <c r="BF82" s="665"/>
      <c r="BG82" s="665"/>
      <c r="BH82" s="668"/>
      <c r="BI82" s="746"/>
      <c r="BJ82" s="665"/>
      <c r="BK82" s="717">
        <f>(BK14*BE12+BK31*BE29+BK48*BE46+BK65*BE63)/BE80</f>
        <v>-1.3402964959568706E-2</v>
      </c>
      <c r="BL82" s="696">
        <f t="shared" ref="BL82" si="508">(BL14*BF12+BL31*BF29+BL48*BF46+BL65*BF63)/BF80</f>
        <v>-2.0720098643649841E-2</v>
      </c>
      <c r="BM82" s="696">
        <f t="shared" ref="BM82" si="509">(BM14*BG12+BM31*BG29+BM48*BG46+BM65*BG63)/BG80</f>
        <v>-2.4181410974244151E-2</v>
      </c>
      <c r="BN82" s="697">
        <f t="shared" ref="BN82" si="510">(BN14*BH12+BN31*BH29+BN48*BH46+BN65*BH63)/BH80</f>
        <v>7.6161504424779114E-3</v>
      </c>
      <c r="BO82" s="732">
        <f>SUMPRODUCT(BK82:BN82,BE80:BH80)/BI80</f>
        <v>-1.2375522388059699E-2</v>
      </c>
      <c r="BP82" s="665"/>
      <c r="BQ82" s="717">
        <f>(BQ14*BK12+BQ31*BK29+BQ48*BK46+BQ65*BK63)/BK80</f>
        <v>4.2186567164179095E-2</v>
      </c>
      <c r="BR82" s="696">
        <f t="shared" ref="BR82" si="511">(BR14*BL12+BR31*BL29+BR48*BL46+BR65*BL63)/BL80</f>
        <v>5.3824151889759177E-2</v>
      </c>
      <c r="BS82" s="696">
        <f t="shared" ref="BS82" si="512">(BS14*BM12+BS31*BM29+BS48*BM46+BS65*BM63)/BM80</f>
        <v>4.1563119107289367E-2</v>
      </c>
      <c r="BT82" s="697">
        <f t="shared" ref="BT82" si="513">(BT14*BN12+BT31*BN29+BT48*BN46+BT65*BN63)/BN80</f>
        <v>1.7281674766729559E-2</v>
      </c>
      <c r="BU82" s="732">
        <f>SUMPRODUCT(BQ82:BT82,BK80:BN80)/BO80</f>
        <v>3.8009548576885432E-2</v>
      </c>
      <c r="BV82" s="665"/>
      <c r="BW82" s="717">
        <f>(BW14*BQ12+BW31*BQ29+BW48*BQ46+BW65*BQ63)/BQ80</f>
        <v>3.2033427543754309E-2</v>
      </c>
      <c r="BX82" s="696">
        <f t="shared" ref="BX82" si="514">(BX14*BR12+BX31*BR29+BX48*BR46+BX65*BR63)/BR80</f>
        <v>2.6903295588029167E-3</v>
      </c>
      <c r="BY82" s="696">
        <f t="shared" ref="BY82" si="515">(BY14*BS12+BY31*BS29+BY48*BS46+BY65*BS63)/BS80</f>
        <v>0</v>
      </c>
      <c r="BZ82" s="697">
        <f t="shared" ref="BZ82" si="516">(BZ14*BT12+BZ31*BT29+BZ48*BT46+BZ65*BT63)/BT80</f>
        <v>0</v>
      </c>
      <c r="CA82" s="732">
        <f>SUMPRODUCT(BW82:BZ82,BQ80:BT80)/BU80</f>
        <v>7.9052338533899778E-3</v>
      </c>
      <c r="CB82" s="665"/>
      <c r="CC82" s="717">
        <f>(CC14*BW12+CC31*BW29+CC48*BW46+CC65*BW63)/BW80</f>
        <v>0</v>
      </c>
      <c r="CD82" s="696">
        <f t="shared" ref="CD82" si="517">(CD14*BX12+CD31*BX29+CD48*BX46+CD65*BX63)/BX80</f>
        <v>0</v>
      </c>
      <c r="CE82" s="696">
        <f t="shared" ref="CE82" si="518">(CE14*BY12+CE31*BY29+CE48*BY46+CE65*BY63)/BY80</f>
        <v>0</v>
      </c>
      <c r="CF82" s="697">
        <f t="shared" ref="CF82" si="519">(CF14*BZ12+CF31*BZ29+CF48*BZ46+CF65*BZ63)/BZ80</f>
        <v>0</v>
      </c>
      <c r="CG82" s="732">
        <f>SUMPRODUCT(CC82:CF82,BW80:BZ80)/CA80</f>
        <v>0</v>
      </c>
      <c r="CH82" s="665"/>
      <c r="CI82" s="717">
        <f>(CI14*CC12+CI31*CC29+CI48*CC46+CI65*CC63)/CC80</f>
        <v>0</v>
      </c>
      <c r="CJ82" s="696">
        <f t="shared" ref="CJ82" si="520">(CJ14*CD12+CJ31*CD29+CJ48*CD46+CJ65*CD63)/CD80</f>
        <v>0</v>
      </c>
      <c r="CK82" s="696">
        <f t="shared" ref="CK82" si="521">(CK14*CE12+CK31*CE29+CK48*CE46+CK65*CE63)/CE80</f>
        <v>0</v>
      </c>
      <c r="CL82" s="697">
        <f t="shared" ref="CL82" si="522">(CL14*CF12+CL31*CF29+CL48*CF46+CL65*CF63)/CF80</f>
        <v>0</v>
      </c>
      <c r="CM82" s="732">
        <f>SUMPRODUCT(CI82:CL82,CC80:CF80)/CG80</f>
        <v>0</v>
      </c>
    </row>
    <row r="83" spans="1:91" s="25" customFormat="1" ht="11.25" hidden="1" outlineLevel="1" x14ac:dyDescent="0.2">
      <c r="A83" s="695" t="s">
        <v>10</v>
      </c>
      <c r="B83" s="665"/>
      <c r="C83" s="664"/>
      <c r="D83" s="665"/>
      <c r="E83" s="665"/>
      <c r="F83" s="668"/>
      <c r="G83" s="746"/>
      <c r="H83" s="665"/>
      <c r="I83" s="664"/>
      <c r="J83" s="665"/>
      <c r="K83" s="665"/>
      <c r="L83" s="668"/>
      <c r="M83" s="746"/>
      <c r="N83" s="665"/>
      <c r="O83" s="664"/>
      <c r="P83" s="665"/>
      <c r="Q83" s="665"/>
      <c r="R83" s="668"/>
      <c r="S83" s="746"/>
      <c r="T83" s="665"/>
      <c r="U83" s="664"/>
      <c r="V83" s="665"/>
      <c r="W83" s="665"/>
      <c r="X83" s="668"/>
      <c r="Y83" s="746"/>
      <c r="Z83" s="665"/>
      <c r="AA83" s="664"/>
      <c r="AB83" s="665"/>
      <c r="AC83" s="665"/>
      <c r="AD83" s="668"/>
      <c r="AE83" s="746"/>
      <c r="AF83" s="665"/>
      <c r="AG83" s="664"/>
      <c r="AH83" s="665"/>
      <c r="AI83" s="665"/>
      <c r="AJ83" s="668"/>
      <c r="AK83" s="746"/>
      <c r="AL83" s="665"/>
      <c r="AM83" s="664"/>
      <c r="AN83" s="665"/>
      <c r="AO83" s="665"/>
      <c r="AP83" s="665"/>
      <c r="AQ83" s="746"/>
      <c r="AR83" s="665"/>
      <c r="AS83" s="664"/>
      <c r="AT83" s="665"/>
      <c r="AU83" s="665"/>
      <c r="AV83" s="665"/>
      <c r="AW83" s="746"/>
      <c r="AX83" s="665"/>
      <c r="AY83" s="664"/>
      <c r="AZ83" s="665"/>
      <c r="BA83" s="665"/>
      <c r="BB83" s="668"/>
      <c r="BC83" s="746"/>
      <c r="BD83" s="665"/>
      <c r="BE83" s="664"/>
      <c r="BF83" s="665"/>
      <c r="BG83" s="665"/>
      <c r="BH83" s="668"/>
      <c r="BI83" s="746"/>
      <c r="BJ83" s="665"/>
      <c r="BK83" s="717">
        <f>BK81-BK82</f>
        <v>9.6960916442048503E-2</v>
      </c>
      <c r="BL83" s="696">
        <f t="shared" ref="BL83" si="523">BL81-BL82</f>
        <v>7.3741060419235532E-2</v>
      </c>
      <c r="BM83" s="696">
        <f t="shared" ref="BM83" si="524">BM81-BM82</f>
        <v>5.8895856662934017E-2</v>
      </c>
      <c r="BN83" s="697">
        <f t="shared" ref="BN83" si="525">BN81-BN82</f>
        <v>6.7605088495575186E-2</v>
      </c>
      <c r="BO83" s="732">
        <f t="shared" ref="BO83" si="526">BO81-BO82</f>
        <v>7.3271044776119315E-2</v>
      </c>
      <c r="BP83" s="665"/>
      <c r="BQ83" s="717">
        <f>BQ81-BQ82</f>
        <v>5.234079601990041E-2</v>
      </c>
      <c r="BR83" s="696">
        <f t="shared" ref="BR83:BU83" si="527">BR81-BR82</f>
        <v>5.4367681498829111E-2</v>
      </c>
      <c r="BS83" s="696">
        <f t="shared" si="527"/>
        <v>6.2012987012987089E-2</v>
      </c>
      <c r="BT83" s="697">
        <f t="shared" si="527"/>
        <v>5.4629629629629729E-2</v>
      </c>
      <c r="BU83" s="732">
        <f t="shared" si="527"/>
        <v>5.5968486212718105E-2</v>
      </c>
      <c r="BV83" s="665"/>
      <c r="BW83" s="717">
        <f>BW81-BW82</f>
        <v>6.0545454545454527E-2</v>
      </c>
      <c r="BX83" s="696">
        <f t="shared" ref="BX83:CA83" si="528">BX81-BX82</f>
        <v>5.9703027988648426E-2</v>
      </c>
      <c r="BY83" s="696">
        <f t="shared" si="528"/>
        <v>5.9821219445090001E-2</v>
      </c>
      <c r="BZ83" s="697">
        <f t="shared" si="528"/>
        <v>5.9873525685154805E-2</v>
      </c>
      <c r="CA83" s="732">
        <f t="shared" si="528"/>
        <v>5.997038843970498E-2</v>
      </c>
      <c r="CB83" s="665"/>
      <c r="CC83" s="717">
        <f>CC81-CC82</f>
        <v>6.05957298646711E-2</v>
      </c>
      <c r="CD83" s="696">
        <f t="shared" ref="CD83:CG83" si="529">CD81-CD82</f>
        <v>5.9758238292727306E-2</v>
      </c>
      <c r="CE83" s="696">
        <f t="shared" si="529"/>
        <v>5.9877489640491444E-2</v>
      </c>
      <c r="CF83" s="697">
        <f t="shared" si="529"/>
        <v>5.9932653858708829E-2</v>
      </c>
      <c r="CG83" s="732">
        <f t="shared" si="529"/>
        <v>6.0029608523095135E-2</v>
      </c>
      <c r="CH83" s="665"/>
      <c r="CI83" s="717">
        <f>CI81-CI82</f>
        <v>6.0647653007299462E-2</v>
      </c>
      <c r="CJ83" s="696">
        <f t="shared" ref="CJ83:CM83" si="530">CJ81-CJ82</f>
        <v>5.9813759131513322E-2</v>
      </c>
      <c r="CK83" s="696">
        <f t="shared" si="530"/>
        <v>5.9933930434788119E-2</v>
      </c>
      <c r="CL83" s="697">
        <f t="shared" si="530"/>
        <v>5.9991968317286259E-2</v>
      </c>
      <c r="CM83" s="732">
        <f t="shared" si="530"/>
        <v>6.0085638983709222E-2</v>
      </c>
    </row>
    <row r="84" spans="1:91" s="25" customFormat="1" ht="11.25" hidden="1" outlineLevel="1" x14ac:dyDescent="0.2">
      <c r="A84" s="695" t="s">
        <v>6</v>
      </c>
      <c r="B84" s="665"/>
      <c r="C84" s="664"/>
      <c r="D84" s="665"/>
      <c r="E84" s="665"/>
      <c r="F84" s="668"/>
      <c r="G84" s="746"/>
      <c r="H84" s="665"/>
      <c r="I84" s="664"/>
      <c r="J84" s="665"/>
      <c r="K84" s="665"/>
      <c r="L84" s="668"/>
      <c r="M84" s="746"/>
      <c r="N84" s="665"/>
      <c r="O84" s="664"/>
      <c r="P84" s="665"/>
      <c r="Q84" s="665"/>
      <c r="R84" s="668"/>
      <c r="S84" s="746"/>
      <c r="T84" s="665"/>
      <c r="U84" s="664"/>
      <c r="V84" s="665"/>
      <c r="W84" s="665"/>
      <c r="X84" s="668"/>
      <c r="Y84" s="746"/>
      <c r="Z84" s="665"/>
      <c r="AA84" s="664"/>
      <c r="AB84" s="665"/>
      <c r="AC84" s="665"/>
      <c r="AD84" s="668"/>
      <c r="AE84" s="746"/>
      <c r="AF84" s="665"/>
      <c r="AG84" s="664"/>
      <c r="AH84" s="665"/>
      <c r="AI84" s="665"/>
      <c r="AJ84" s="668"/>
      <c r="AK84" s="746"/>
      <c r="AL84" s="665"/>
      <c r="AM84" s="664"/>
      <c r="AN84" s="665"/>
      <c r="AO84" s="665"/>
      <c r="AP84" s="665"/>
      <c r="AQ84" s="746"/>
      <c r="AR84" s="665"/>
      <c r="AS84" s="664"/>
      <c r="AT84" s="665"/>
      <c r="AU84" s="665"/>
      <c r="AV84" s="665"/>
      <c r="AW84" s="746"/>
      <c r="AX84" s="665"/>
      <c r="AY84" s="664"/>
      <c r="AZ84" s="665"/>
      <c r="BA84" s="665"/>
      <c r="BB84" s="668"/>
      <c r="BC84" s="746"/>
      <c r="BD84" s="665"/>
      <c r="BE84" s="664"/>
      <c r="BF84" s="665"/>
      <c r="BG84" s="665"/>
      <c r="BH84" s="668"/>
      <c r="BI84" s="746"/>
      <c r="BJ84" s="665"/>
      <c r="BK84" s="717">
        <f>(BK16*BE12+BK33*BE29+BK50*BE46+BK67*BE63)/BE80</f>
        <v>0</v>
      </c>
      <c r="BL84" s="696">
        <f t="shared" ref="BL84:BN84" si="531">(BL16*BF12+BL33*BF29+BL50*BF46+BL67*BF63)/BF80</f>
        <v>0</v>
      </c>
      <c r="BM84" s="696">
        <f t="shared" si="531"/>
        <v>0</v>
      </c>
      <c r="BN84" s="697">
        <f t="shared" si="531"/>
        <v>0</v>
      </c>
      <c r="BO84" s="732">
        <f>SUMPRODUCT(BK84:BN84,BE80:BH80)/BI80</f>
        <v>0</v>
      </c>
      <c r="BP84" s="665"/>
      <c r="BQ84" s="717">
        <f>(BQ16*BK12+BQ33*BK29+BQ50*BK46+BQ67*BK63)/BK80</f>
        <v>0</v>
      </c>
      <c r="BR84" s="696">
        <f t="shared" ref="BR84" si="532">(BR16*BL12+BR33*BL29+BR50*BL46+BR67*BL63)/BL80</f>
        <v>0</v>
      </c>
      <c r="BS84" s="696">
        <f t="shared" ref="BS84" si="533">(BS16*BM12+BS33*BM29+BS50*BM46+BS67*BM63)/BM80</f>
        <v>0</v>
      </c>
      <c r="BT84" s="697">
        <f t="shared" ref="BT84" si="534">(BT16*BN12+BT33*BN29+BT50*BN46+BT67*BN63)/BN80</f>
        <v>0</v>
      </c>
      <c r="BU84" s="732">
        <f>SUMPRODUCT(BQ84:BT84,BK80:BN80)/BO80</f>
        <v>0</v>
      </c>
      <c r="BV84" s="665"/>
      <c r="BW84" s="717">
        <f>(BW16*BQ12+BW33*BQ29+BW50*BQ46+BW67*BQ63)/BQ80</f>
        <v>0</v>
      </c>
      <c r="BX84" s="696">
        <f t="shared" ref="BX84" si="535">(BX16*BR12+BX33*BR29+BX50*BR46+BX67*BR63)/BR80</f>
        <v>0</v>
      </c>
      <c r="BY84" s="696">
        <f t="shared" ref="BY84" si="536">(BY16*BS12+BY33*BS29+BY50*BS46+BY67*BS63)/BS80</f>
        <v>0</v>
      </c>
      <c r="BZ84" s="697">
        <f t="shared" ref="BZ84" si="537">(BZ16*BT12+BZ33*BT29+BZ50*BT46+BZ67*BT63)/BT80</f>
        <v>0</v>
      </c>
      <c r="CA84" s="732">
        <f>SUMPRODUCT(BW84:BZ84,BQ80:BT80)/BU80</f>
        <v>0</v>
      </c>
      <c r="CB84" s="665"/>
      <c r="CC84" s="717">
        <f>(CC16*BW12+CC33*BW29+CC50*BW46+CC67*BW63)/BW80</f>
        <v>0</v>
      </c>
      <c r="CD84" s="696">
        <f t="shared" ref="CD84" si="538">(CD16*BX12+CD33*BX29+CD50*BX46+CD67*BX63)/BX80</f>
        <v>0</v>
      </c>
      <c r="CE84" s="696">
        <f t="shared" ref="CE84" si="539">(CE16*BY12+CE33*BY29+CE50*BY46+CE67*BY63)/BY80</f>
        <v>0</v>
      </c>
      <c r="CF84" s="697">
        <f t="shared" ref="CF84" si="540">(CF16*BZ12+CF33*BZ29+CF50*BZ46+CF67*BZ63)/BZ80</f>
        <v>0</v>
      </c>
      <c r="CG84" s="732">
        <f>SUMPRODUCT(CC84:CF84,BW80:BZ80)/CA80</f>
        <v>0</v>
      </c>
      <c r="CH84" s="665"/>
      <c r="CI84" s="717">
        <f>(CI16*CC12+CI33*CC29+CI50*CC46+CI67*CC63)/CC80</f>
        <v>0</v>
      </c>
      <c r="CJ84" s="696">
        <f t="shared" ref="CJ84" si="541">(CJ16*CD12+CJ33*CD29+CJ50*CD46+CJ67*CD63)/CD80</f>
        <v>0</v>
      </c>
      <c r="CK84" s="696">
        <f t="shared" ref="CK84" si="542">(CK16*CE12+CK33*CE29+CK50*CE46+CK67*CE63)/CE80</f>
        <v>0</v>
      </c>
      <c r="CL84" s="697">
        <f t="shared" ref="CL84" si="543">(CL16*CF12+CL33*CF29+CL50*CF46+CL67*CF63)/CF80</f>
        <v>0</v>
      </c>
      <c r="CM84" s="732">
        <f>SUMPRODUCT(CI84:CL84,CC80:CF80)/CG80</f>
        <v>0</v>
      </c>
    </row>
    <row r="85" spans="1:91" s="25" customFormat="1" ht="11.25" hidden="1" outlineLevel="1" x14ac:dyDescent="0.2">
      <c r="A85" s="695" t="s">
        <v>7</v>
      </c>
      <c r="B85" s="665"/>
      <c r="C85" s="664"/>
      <c r="D85" s="665"/>
      <c r="E85" s="665"/>
      <c r="F85" s="668"/>
      <c r="G85" s="746"/>
      <c r="H85" s="665"/>
      <c r="I85" s="664"/>
      <c r="J85" s="665"/>
      <c r="K85" s="665"/>
      <c r="L85" s="668"/>
      <c r="M85" s="746"/>
      <c r="N85" s="665"/>
      <c r="O85" s="664"/>
      <c r="P85" s="665"/>
      <c r="Q85" s="665"/>
      <c r="R85" s="668"/>
      <c r="S85" s="746"/>
      <c r="T85" s="665"/>
      <c r="U85" s="664"/>
      <c r="V85" s="665"/>
      <c r="W85" s="665"/>
      <c r="X85" s="668"/>
      <c r="Y85" s="746"/>
      <c r="Z85" s="665"/>
      <c r="AA85" s="664"/>
      <c r="AB85" s="665"/>
      <c r="AC85" s="665"/>
      <c r="AD85" s="668"/>
      <c r="AE85" s="746"/>
      <c r="AF85" s="665"/>
      <c r="AG85" s="664"/>
      <c r="AH85" s="665"/>
      <c r="AI85" s="665"/>
      <c r="AJ85" s="668"/>
      <c r="AK85" s="746"/>
      <c r="AL85" s="665"/>
      <c r="AM85" s="664"/>
      <c r="AN85" s="665"/>
      <c r="AO85" s="665"/>
      <c r="AP85" s="665"/>
      <c r="AQ85" s="746"/>
      <c r="AR85" s="665"/>
      <c r="AS85" s="664"/>
      <c r="AT85" s="665"/>
      <c r="AU85" s="665"/>
      <c r="AV85" s="665"/>
      <c r="AW85" s="746"/>
      <c r="AX85" s="665"/>
      <c r="AY85" s="664"/>
      <c r="AZ85" s="665"/>
      <c r="BA85" s="665"/>
      <c r="BB85" s="668"/>
      <c r="BC85" s="746"/>
      <c r="BD85" s="665"/>
      <c r="BE85" s="664"/>
      <c r="BF85" s="665"/>
      <c r="BG85" s="665"/>
      <c r="BH85" s="668"/>
      <c r="BI85" s="746"/>
      <c r="BJ85" s="665"/>
      <c r="BK85" s="717">
        <f>BK83-BK84</f>
        <v>9.6960916442048503E-2</v>
      </c>
      <c r="BL85" s="696">
        <f t="shared" ref="BL85" si="544">BL83-BL84</f>
        <v>7.3741060419235532E-2</v>
      </c>
      <c r="BM85" s="696">
        <f t="shared" ref="BM85" si="545">BM83-BM84</f>
        <v>5.8895856662934017E-2</v>
      </c>
      <c r="BN85" s="697">
        <f t="shared" ref="BN85" si="546">BN83-BN84</f>
        <v>6.7605088495575186E-2</v>
      </c>
      <c r="BO85" s="732">
        <f t="shared" ref="BO85" si="547">BO83-BO84</f>
        <v>7.3271044776119315E-2</v>
      </c>
      <c r="BP85" s="665"/>
      <c r="BQ85" s="717">
        <f>BQ83-BQ84</f>
        <v>5.234079601990041E-2</v>
      </c>
      <c r="BR85" s="696">
        <f t="shared" ref="BR85:BU85" si="548">BR83-BR84</f>
        <v>5.4367681498829111E-2</v>
      </c>
      <c r="BS85" s="696">
        <f t="shared" si="548"/>
        <v>6.2012987012987089E-2</v>
      </c>
      <c r="BT85" s="697">
        <f t="shared" si="548"/>
        <v>5.4629629629629729E-2</v>
      </c>
      <c r="BU85" s="732">
        <f t="shared" si="548"/>
        <v>5.5968486212718105E-2</v>
      </c>
      <c r="BV85" s="665"/>
      <c r="BW85" s="717">
        <f>BW83-BW84</f>
        <v>6.0545454545454527E-2</v>
      </c>
      <c r="BX85" s="696">
        <f t="shared" ref="BX85:CA85" si="549">BX83-BX84</f>
        <v>5.9703027988648426E-2</v>
      </c>
      <c r="BY85" s="696">
        <f t="shared" si="549"/>
        <v>5.9821219445090001E-2</v>
      </c>
      <c r="BZ85" s="697">
        <f t="shared" si="549"/>
        <v>5.9873525685154805E-2</v>
      </c>
      <c r="CA85" s="732">
        <f t="shared" si="549"/>
        <v>5.997038843970498E-2</v>
      </c>
      <c r="CB85" s="665"/>
      <c r="CC85" s="717">
        <f>CC83-CC84</f>
        <v>6.05957298646711E-2</v>
      </c>
      <c r="CD85" s="696">
        <f t="shared" ref="CD85:CG85" si="550">CD83-CD84</f>
        <v>5.9758238292727306E-2</v>
      </c>
      <c r="CE85" s="696">
        <f t="shared" si="550"/>
        <v>5.9877489640491444E-2</v>
      </c>
      <c r="CF85" s="697">
        <f t="shared" si="550"/>
        <v>5.9932653858708829E-2</v>
      </c>
      <c r="CG85" s="732">
        <f t="shared" si="550"/>
        <v>6.0029608523095135E-2</v>
      </c>
      <c r="CH85" s="665"/>
      <c r="CI85" s="717">
        <f>CI83-CI84</f>
        <v>6.0647653007299462E-2</v>
      </c>
      <c r="CJ85" s="696">
        <f t="shared" ref="CJ85:CM85" si="551">CJ83-CJ84</f>
        <v>5.9813759131513322E-2</v>
      </c>
      <c r="CK85" s="696">
        <f t="shared" si="551"/>
        <v>5.9933930434788119E-2</v>
      </c>
      <c r="CL85" s="697">
        <f t="shared" si="551"/>
        <v>5.9991968317286259E-2</v>
      </c>
      <c r="CM85" s="732">
        <f t="shared" si="551"/>
        <v>6.0085638983709222E-2</v>
      </c>
    </row>
    <row r="86" spans="1:91" s="31" customFormat="1" ht="11.25" collapsed="1" x14ac:dyDescent="0.2">
      <c r="A86" s="709" t="s">
        <v>11</v>
      </c>
      <c r="B86" s="710"/>
      <c r="C86" s="754"/>
      <c r="D86" s="710"/>
      <c r="E86" s="710"/>
      <c r="F86" s="755"/>
      <c r="G86" s="753"/>
      <c r="H86" s="710"/>
      <c r="I86" s="754"/>
      <c r="J86" s="710"/>
      <c r="K86" s="710"/>
      <c r="L86" s="755"/>
      <c r="M86" s="753"/>
      <c r="N86" s="710"/>
      <c r="O86" s="754"/>
      <c r="P86" s="710"/>
      <c r="Q86" s="710"/>
      <c r="R86" s="755"/>
      <c r="S86" s="753"/>
      <c r="T86" s="710"/>
      <c r="U86" s="754"/>
      <c r="V86" s="710"/>
      <c r="W86" s="710"/>
      <c r="X86" s="755"/>
      <c r="Y86" s="753"/>
      <c r="Z86" s="710"/>
      <c r="AA86" s="754"/>
      <c r="AB86" s="710"/>
      <c r="AC86" s="710"/>
      <c r="AD86" s="755"/>
      <c r="AE86" s="753"/>
      <c r="AF86" s="710"/>
      <c r="AG86" s="754"/>
      <c r="AH86" s="710"/>
      <c r="AI86" s="710"/>
      <c r="AJ86" s="755"/>
      <c r="AK86" s="753"/>
      <c r="AL86" s="710"/>
      <c r="AM86" s="754"/>
      <c r="AN86" s="710"/>
      <c r="AO86" s="710"/>
      <c r="AP86" s="710"/>
      <c r="AQ86" s="753"/>
      <c r="AR86" s="710"/>
      <c r="AS86" s="754"/>
      <c r="AT86" s="710"/>
      <c r="AU86" s="710"/>
      <c r="AV86" s="710"/>
      <c r="AW86" s="753"/>
      <c r="AX86" s="710"/>
      <c r="AY86" s="754"/>
      <c r="AZ86" s="710"/>
      <c r="BA86" s="710"/>
      <c r="BB86" s="755"/>
      <c r="BC86" s="753"/>
      <c r="BD86" s="710"/>
      <c r="BE86" s="729">
        <f>BE76+BE80</f>
        <v>1846</v>
      </c>
      <c r="BF86" s="711">
        <f t="shared" ref="BF86:BH86" si="552">BF76+BF80</f>
        <v>1914</v>
      </c>
      <c r="BG86" s="711">
        <f t="shared" si="552"/>
        <v>2056</v>
      </c>
      <c r="BH86" s="712">
        <f t="shared" si="552"/>
        <v>2044</v>
      </c>
      <c r="BI86" s="740">
        <f>SUM(BE86:BH86)</f>
        <v>7860</v>
      </c>
      <c r="BJ86" s="710"/>
      <c r="BK86" s="729">
        <f>BK76+BK80</f>
        <v>1983</v>
      </c>
      <c r="BL86" s="711">
        <f t="shared" ref="BL86:BN86" si="553">BL76+BL80</f>
        <v>2006</v>
      </c>
      <c r="BM86" s="711">
        <f t="shared" si="553"/>
        <v>2072</v>
      </c>
      <c r="BN86" s="712">
        <f t="shared" si="553"/>
        <v>2146</v>
      </c>
      <c r="BO86" s="740">
        <f>SUM(BK86:BN86)</f>
        <v>8207</v>
      </c>
      <c r="BP86" s="710"/>
      <c r="BQ86" s="729">
        <f>BQ76+BQ80</f>
        <v>2063</v>
      </c>
      <c r="BR86" s="711">
        <f t="shared" ref="BR86:BT86" si="554">BR76+BR80</f>
        <v>2147.1558257138545</v>
      </c>
      <c r="BS86" s="711">
        <f t="shared" si="554"/>
        <v>2245.5543220551353</v>
      </c>
      <c r="BT86" s="712">
        <f t="shared" si="554"/>
        <v>2279.597787873261</v>
      </c>
      <c r="BU86" s="740">
        <f>SUM(BQ86:BT86)</f>
        <v>8735.3079356422513</v>
      </c>
      <c r="BV86" s="710"/>
      <c r="BW86" s="729">
        <f>BW76+BW80</f>
        <v>2205.8944162385042</v>
      </c>
      <c r="BX86" s="711">
        <f t="shared" ref="BX86:BZ86" si="555">BX76+BX80</f>
        <v>2268.186038849034</v>
      </c>
      <c r="BY86" s="711">
        <f t="shared" si="555"/>
        <v>2369.5716280739025</v>
      </c>
      <c r="BZ86" s="712">
        <f t="shared" si="555"/>
        <v>2405.5940318367971</v>
      </c>
      <c r="CA86" s="740">
        <f>SUM(BW86:BZ86)</f>
        <v>9249.2461149982373</v>
      </c>
      <c r="CB86" s="710"/>
      <c r="CC86" s="729">
        <f>CC76+CC80</f>
        <v>2329.317732258035</v>
      </c>
      <c r="CD86" s="711">
        <f t="shared" ref="CD86:CF86" si="556">CD76+CD80</f>
        <v>2394.0406326675202</v>
      </c>
      <c r="CE86" s="711">
        <f t="shared" si="556"/>
        <v>2501.188611913708</v>
      </c>
      <c r="CF86" s="712">
        <f t="shared" si="556"/>
        <v>2539.3296621330574</v>
      </c>
      <c r="CG86" s="740">
        <f>SUM(CC86:CF86)</f>
        <v>9763.8766389723205</v>
      </c>
      <c r="CH86" s="710"/>
      <c r="CI86" s="729">
        <f>CI76+CI80</f>
        <v>2459.7593547510301</v>
      </c>
      <c r="CJ86" s="711">
        <f t="shared" ref="CJ86:CL86" si="557">CJ76+CJ80</f>
        <v>2526.9990074041616</v>
      </c>
      <c r="CK86" s="711">
        <f t="shared" si="557"/>
        <v>2640.2505947754294</v>
      </c>
      <c r="CL86" s="712">
        <f t="shared" si="557"/>
        <v>2680.6399160507353</v>
      </c>
      <c r="CM86" s="740">
        <f>SUM(CI86:CL86)</f>
        <v>10307.648872981355</v>
      </c>
    </row>
    <row r="87" spans="1:91" s="25" customFormat="1" ht="11.25" x14ac:dyDescent="0.2">
      <c r="A87" s="695" t="s">
        <v>5</v>
      </c>
      <c r="B87" s="665"/>
      <c r="C87" s="664"/>
      <c r="D87" s="665"/>
      <c r="E87" s="665"/>
      <c r="F87" s="668"/>
      <c r="G87" s="746"/>
      <c r="H87" s="665"/>
      <c r="I87" s="664"/>
      <c r="J87" s="665"/>
      <c r="K87" s="665"/>
      <c r="L87" s="668"/>
      <c r="M87" s="746"/>
      <c r="N87" s="665"/>
      <c r="O87" s="664"/>
      <c r="P87" s="665"/>
      <c r="Q87" s="665"/>
      <c r="R87" s="668"/>
      <c r="S87" s="746"/>
      <c r="T87" s="665"/>
      <c r="U87" s="664"/>
      <c r="V87" s="665"/>
      <c r="W87" s="665"/>
      <c r="X87" s="668"/>
      <c r="Y87" s="746"/>
      <c r="Z87" s="665"/>
      <c r="AA87" s="664"/>
      <c r="AB87" s="665"/>
      <c r="AC87" s="665"/>
      <c r="AD87" s="668"/>
      <c r="AE87" s="746"/>
      <c r="AF87" s="665"/>
      <c r="AG87" s="664"/>
      <c r="AH87" s="665"/>
      <c r="AI87" s="665"/>
      <c r="AJ87" s="668"/>
      <c r="AK87" s="746"/>
      <c r="AL87" s="665"/>
      <c r="AM87" s="664"/>
      <c r="AN87" s="665"/>
      <c r="AO87" s="665"/>
      <c r="AP87" s="665"/>
      <c r="AQ87" s="746"/>
      <c r="AR87" s="665"/>
      <c r="AS87" s="664"/>
      <c r="AT87" s="665"/>
      <c r="AU87" s="665"/>
      <c r="AV87" s="665"/>
      <c r="AW87" s="746"/>
      <c r="AX87" s="665"/>
      <c r="AY87" s="664"/>
      <c r="AZ87" s="665"/>
      <c r="BA87" s="665"/>
      <c r="BB87" s="668"/>
      <c r="BC87" s="746"/>
      <c r="BD87" s="665"/>
      <c r="BE87" s="664"/>
      <c r="BF87" s="665"/>
      <c r="BG87" s="665"/>
      <c r="BH87" s="668"/>
      <c r="BI87" s="746"/>
      <c r="BJ87" s="665"/>
      <c r="BK87" s="717">
        <f>BK86/BE86-1</f>
        <v>7.4214517876489694E-2</v>
      </c>
      <c r="BL87" s="696">
        <f t="shared" ref="BL87" si="558">BL86/BF86-1</f>
        <v>4.8066875653082652E-2</v>
      </c>
      <c r="BM87" s="696">
        <f t="shared" ref="BM87" si="559">BM86/BG86-1</f>
        <v>7.7821011673151474E-3</v>
      </c>
      <c r="BN87" s="697">
        <f t="shared" ref="BN87" si="560">BN86/BH86-1</f>
        <v>4.9902152641878583E-2</v>
      </c>
      <c r="BO87" s="732">
        <f t="shared" ref="BO87" si="561">BO86/BI86-1</f>
        <v>4.4147582697201093E-2</v>
      </c>
      <c r="BP87" s="665"/>
      <c r="BQ87" s="717">
        <f>BQ86/BK86-1</f>
        <v>4.0342914775592487E-2</v>
      </c>
      <c r="BR87" s="696">
        <f t="shared" ref="BR87" si="562">BR86/BL86-1</f>
        <v>7.0366812419668134E-2</v>
      </c>
      <c r="BS87" s="696">
        <f t="shared" ref="BS87" si="563">BS86/BM86-1</f>
        <v>8.3761738443598244E-2</v>
      </c>
      <c r="BT87" s="697">
        <f t="shared" ref="BT87" si="564">BT86/BN86-1</f>
        <v>6.2254327993131797E-2</v>
      </c>
      <c r="BU87" s="732">
        <f t="shared" ref="BU87" si="565">BU86/BO86-1</f>
        <v>6.4372844601224832E-2</v>
      </c>
      <c r="BV87" s="665"/>
      <c r="BW87" s="717">
        <f>BW86/BQ86-1</f>
        <v>6.9265349606642879E-2</v>
      </c>
      <c r="BX87" s="696">
        <f t="shared" ref="BX87" si="566">BX86/BR86-1</f>
        <v>5.6367689613277649E-2</v>
      </c>
      <c r="BY87" s="696">
        <f t="shared" ref="BY87" si="567">BY86/BS86-1</f>
        <v>5.5227925150020951E-2</v>
      </c>
      <c r="BZ87" s="697">
        <f t="shared" ref="BZ87" si="568">BZ86/BT86-1</f>
        <v>5.5271260848644532E-2</v>
      </c>
      <c r="CA87" s="732">
        <f t="shared" ref="CA87" si="569">CA86/BU86-1</f>
        <v>5.8834580663034153E-2</v>
      </c>
      <c r="CB87" s="665"/>
      <c r="CC87" s="717">
        <f>CC86/BW86-1</f>
        <v>5.5951597279978893E-2</v>
      </c>
      <c r="CD87" s="696">
        <f t="shared" ref="CD87" si="570">CD86/BX86-1</f>
        <v>5.548689201982282E-2</v>
      </c>
      <c r="CE87" s="696">
        <f t="shared" ref="CE87" si="571">CE86/BY86-1</f>
        <v>5.5544631899053343E-2</v>
      </c>
      <c r="CF87" s="697">
        <f t="shared" ref="CF87" si="572">CF86/BZ86-1</f>
        <v>5.5593599138648475E-2</v>
      </c>
      <c r="CG87" s="732">
        <f t="shared" ref="CG87" si="573">CG86/CA86-1</f>
        <v>5.5640267063450377E-2</v>
      </c>
      <c r="CH87" s="665"/>
      <c r="CI87" s="717">
        <f>CI86/CC86-1</f>
        <v>5.5999926796824528E-2</v>
      </c>
      <c r="CJ87" s="696">
        <f t="shared" ref="CJ87" si="574">CJ86/CD86-1</f>
        <v>5.5537225610283292E-2</v>
      </c>
      <c r="CK87" s="696">
        <f t="shared" ref="CK87" si="575">CK86/CE86-1</f>
        <v>5.5598359195839331E-2</v>
      </c>
      <c r="CL87" s="697">
        <f t="shared" ref="CL87" si="576">CL86/CF86-1</f>
        <v>5.5648644610789333E-2</v>
      </c>
      <c r="CM87" s="732">
        <f t="shared" ref="CM87" si="577">CM86/CG86-1</f>
        <v>5.5692247466398559E-2</v>
      </c>
    </row>
    <row r="88" spans="1:91" s="25" customFormat="1" ht="11.25" x14ac:dyDescent="0.2">
      <c r="A88" s="695" t="s">
        <v>9</v>
      </c>
      <c r="B88" s="665"/>
      <c r="C88" s="664"/>
      <c r="D88" s="665"/>
      <c r="E88" s="665"/>
      <c r="F88" s="668"/>
      <c r="G88" s="746"/>
      <c r="H88" s="665"/>
      <c r="I88" s="664"/>
      <c r="J88" s="665"/>
      <c r="K88" s="665"/>
      <c r="L88" s="668"/>
      <c r="M88" s="746"/>
      <c r="N88" s="665"/>
      <c r="O88" s="664"/>
      <c r="P88" s="665"/>
      <c r="Q88" s="665"/>
      <c r="R88" s="668"/>
      <c r="S88" s="746"/>
      <c r="T88" s="665"/>
      <c r="U88" s="664"/>
      <c r="V88" s="665"/>
      <c r="W88" s="665"/>
      <c r="X88" s="668"/>
      <c r="Y88" s="746"/>
      <c r="Z88" s="665"/>
      <c r="AA88" s="664"/>
      <c r="AB88" s="665"/>
      <c r="AC88" s="665"/>
      <c r="AD88" s="668"/>
      <c r="AE88" s="746"/>
      <c r="AF88" s="665"/>
      <c r="AG88" s="664"/>
      <c r="AH88" s="665"/>
      <c r="AI88" s="665"/>
      <c r="AJ88" s="668"/>
      <c r="AK88" s="746"/>
      <c r="AL88" s="665"/>
      <c r="AM88" s="664"/>
      <c r="AN88" s="665"/>
      <c r="AO88" s="665"/>
      <c r="AP88" s="665"/>
      <c r="AQ88" s="746"/>
      <c r="AR88" s="665"/>
      <c r="AS88" s="664"/>
      <c r="AT88" s="665"/>
      <c r="AU88" s="665"/>
      <c r="AV88" s="665"/>
      <c r="AW88" s="746"/>
      <c r="AX88" s="665"/>
      <c r="AY88" s="664"/>
      <c r="AZ88" s="665"/>
      <c r="BA88" s="665"/>
      <c r="BB88" s="668"/>
      <c r="BC88" s="746"/>
      <c r="BD88" s="665"/>
      <c r="BE88" s="664"/>
      <c r="BF88" s="665"/>
      <c r="BG88" s="665"/>
      <c r="BH88" s="668"/>
      <c r="BI88" s="746"/>
      <c r="BJ88" s="665"/>
      <c r="BK88" s="717">
        <f>BK82*BE80/BE86</f>
        <v>-5.3873239436619605E-3</v>
      </c>
      <c r="BL88" s="696">
        <f t="shared" ref="BL88" si="578">BL82*BF80/BF86</f>
        <v>-8.7795193312434801E-3</v>
      </c>
      <c r="BM88" s="696">
        <f t="shared" ref="BM88" si="579">BM82*BG80/BG86</f>
        <v>-1.0502918287937755E-2</v>
      </c>
      <c r="BN88" s="697">
        <f t="shared" ref="BN88" si="580">BN82*BH80/BH86</f>
        <v>3.3683953033268256E-3</v>
      </c>
      <c r="BO88" s="732">
        <f>SUMPRODUCT(BK88:BN88,BE86:BH86)/BI86</f>
        <v>-5.2745547073791334E-3</v>
      </c>
      <c r="BP88" s="665"/>
      <c r="BQ88" s="717">
        <f>BQ82*BK80/BK86</f>
        <v>1.710438729198184E-2</v>
      </c>
      <c r="BR88" s="696">
        <f t="shared" ref="BR88" si="581">BR82*BL80/BL86</f>
        <v>2.2914170345889499E-2</v>
      </c>
      <c r="BS88" s="696">
        <f t="shared" ref="BS88" si="582">BS82*BM80/BM86</f>
        <v>1.8534904466764177E-2</v>
      </c>
      <c r="BT88" s="697">
        <f t="shared" ref="BT88" si="583">BT82*BN80/BN86</f>
        <v>7.8274873593947494E-3</v>
      </c>
      <c r="BU88" s="732">
        <f>SUMPRODUCT(BQ88:BT88,BK86:BN86)/BO86</f>
        <v>1.6459843504599832E-2</v>
      </c>
      <c r="BV88" s="665"/>
      <c r="BW88" s="717">
        <f>BW82*BQ80/BQ86</f>
        <v>1.3664283198499173E-2</v>
      </c>
      <c r="BX88" s="696">
        <f t="shared" ref="BX88" si="584">BX82*BR80/BR86</f>
        <v>1.1858089821679247E-3</v>
      </c>
      <c r="BY88" s="696">
        <f t="shared" ref="BY88" si="585">BY82*BS80/BS86</f>
        <v>0</v>
      </c>
      <c r="BZ88" s="697">
        <f t="shared" ref="BZ88" si="586">BZ82*BT80/BT86</f>
        <v>0</v>
      </c>
      <c r="CA88" s="732">
        <f>SUMPRODUCT(BW88:BZ88,BQ86:BT86)/BU86</f>
        <v>3.5185402883555796E-3</v>
      </c>
      <c r="CB88" s="665"/>
      <c r="CC88" s="717">
        <f>CC82*BW80/BW86</f>
        <v>0</v>
      </c>
      <c r="CD88" s="696">
        <f t="shared" ref="CD88" si="587">CD82*BX80/BX86</f>
        <v>0</v>
      </c>
      <c r="CE88" s="696">
        <f t="shared" ref="CE88" si="588">CE82*BY80/BY86</f>
        <v>0</v>
      </c>
      <c r="CF88" s="697">
        <f t="shared" ref="CF88" si="589">CF82*BZ80/BZ86</f>
        <v>0</v>
      </c>
      <c r="CG88" s="732">
        <f>SUMPRODUCT(CC88:CF88,BW86:BZ86)/CA86</f>
        <v>0</v>
      </c>
      <c r="CH88" s="665"/>
      <c r="CI88" s="717">
        <f>CI82*CC80/CC86</f>
        <v>0</v>
      </c>
      <c r="CJ88" s="696">
        <f t="shared" ref="CJ88" si="590">CJ82*CD80/CD86</f>
        <v>0</v>
      </c>
      <c r="CK88" s="696">
        <f t="shared" ref="CK88" si="591">CK82*CE80/CE86</f>
        <v>0</v>
      </c>
      <c r="CL88" s="697">
        <f t="shared" ref="CL88" si="592">CL82*CF80/CF86</f>
        <v>0</v>
      </c>
      <c r="CM88" s="732">
        <f>SUMPRODUCT(CI88:CL88,CC86:CF86)/CG86</f>
        <v>0</v>
      </c>
    </row>
    <row r="89" spans="1:91" s="25" customFormat="1" ht="11.25" x14ac:dyDescent="0.2">
      <c r="A89" s="695" t="s">
        <v>10</v>
      </c>
      <c r="B89" s="665"/>
      <c r="C89" s="664"/>
      <c r="D89" s="665"/>
      <c r="E89" s="665"/>
      <c r="F89" s="668"/>
      <c r="G89" s="746"/>
      <c r="H89" s="665"/>
      <c r="I89" s="664"/>
      <c r="J89" s="665"/>
      <c r="K89" s="665"/>
      <c r="L89" s="668"/>
      <c r="M89" s="746"/>
      <c r="N89" s="665"/>
      <c r="O89" s="664"/>
      <c r="P89" s="665"/>
      <c r="Q89" s="665"/>
      <c r="R89" s="668"/>
      <c r="S89" s="746"/>
      <c r="T89" s="665"/>
      <c r="U89" s="664"/>
      <c r="V89" s="665"/>
      <c r="W89" s="665"/>
      <c r="X89" s="668"/>
      <c r="Y89" s="746"/>
      <c r="Z89" s="665"/>
      <c r="AA89" s="664"/>
      <c r="AB89" s="665"/>
      <c r="AC89" s="665"/>
      <c r="AD89" s="668"/>
      <c r="AE89" s="746"/>
      <c r="AF89" s="665"/>
      <c r="AG89" s="664"/>
      <c r="AH89" s="665"/>
      <c r="AI89" s="665"/>
      <c r="AJ89" s="668"/>
      <c r="AK89" s="746"/>
      <c r="AL89" s="665"/>
      <c r="AM89" s="664"/>
      <c r="AN89" s="665"/>
      <c r="AO89" s="665"/>
      <c r="AP89" s="665"/>
      <c r="AQ89" s="746"/>
      <c r="AR89" s="665"/>
      <c r="AS89" s="664"/>
      <c r="AT89" s="665"/>
      <c r="AU89" s="665"/>
      <c r="AV89" s="665"/>
      <c r="AW89" s="746"/>
      <c r="AX89" s="665"/>
      <c r="AY89" s="664"/>
      <c r="AZ89" s="665"/>
      <c r="BA89" s="665"/>
      <c r="BB89" s="668"/>
      <c r="BC89" s="746"/>
      <c r="BD89" s="665"/>
      <c r="BE89" s="664"/>
      <c r="BF89" s="665"/>
      <c r="BG89" s="665"/>
      <c r="BH89" s="668"/>
      <c r="BI89" s="746"/>
      <c r="BJ89" s="665"/>
      <c r="BK89" s="717">
        <f>BK87-BK88</f>
        <v>7.9601841820151648E-2</v>
      </c>
      <c r="BL89" s="696">
        <f t="shared" ref="BL89" si="593">BL87-BL88</f>
        <v>5.6846394984326129E-2</v>
      </c>
      <c r="BM89" s="696">
        <f t="shared" ref="BM89" si="594">BM87-BM88</f>
        <v>1.8285019455252904E-2</v>
      </c>
      <c r="BN89" s="697">
        <f t="shared" ref="BN89" si="595">BN87-BN88</f>
        <v>4.6533757338551758E-2</v>
      </c>
      <c r="BO89" s="732">
        <f t="shared" ref="BO89" si="596">BO87-BO88</f>
        <v>4.9422137404580228E-2</v>
      </c>
      <c r="BP89" s="665"/>
      <c r="BQ89" s="717">
        <f>BQ87-BQ88</f>
        <v>2.3238527483610646E-2</v>
      </c>
      <c r="BR89" s="696">
        <f t="shared" ref="BR89:BU89" si="597">BR87-BR88</f>
        <v>4.7452642073778639E-2</v>
      </c>
      <c r="BS89" s="696">
        <f t="shared" si="597"/>
        <v>6.522683397683407E-2</v>
      </c>
      <c r="BT89" s="697">
        <f t="shared" si="597"/>
        <v>5.4426840633737046E-2</v>
      </c>
      <c r="BU89" s="732">
        <f t="shared" si="597"/>
        <v>4.7913001096624996E-2</v>
      </c>
      <c r="BV89" s="665"/>
      <c r="BW89" s="717">
        <f>BW87-BW88</f>
        <v>5.5601066408143704E-2</v>
      </c>
      <c r="BX89" s="696">
        <f t="shared" ref="BX89:CA89" si="598">BX87-BX88</f>
        <v>5.5181880631109723E-2</v>
      </c>
      <c r="BY89" s="696">
        <f t="shared" si="598"/>
        <v>5.5227925150020951E-2</v>
      </c>
      <c r="BZ89" s="697">
        <f t="shared" si="598"/>
        <v>5.5271260848644532E-2</v>
      </c>
      <c r="CA89" s="732">
        <f t="shared" si="598"/>
        <v>5.5316040374678577E-2</v>
      </c>
      <c r="CB89" s="665"/>
      <c r="CC89" s="717">
        <f>CC87-CC88</f>
        <v>5.5951597279978893E-2</v>
      </c>
      <c r="CD89" s="696">
        <f t="shared" ref="CD89:CG89" si="599">CD87-CD88</f>
        <v>5.548689201982282E-2</v>
      </c>
      <c r="CE89" s="696">
        <f t="shared" si="599"/>
        <v>5.5544631899053343E-2</v>
      </c>
      <c r="CF89" s="697">
        <f t="shared" si="599"/>
        <v>5.5593599138648475E-2</v>
      </c>
      <c r="CG89" s="732">
        <f t="shared" si="599"/>
        <v>5.5640267063450377E-2</v>
      </c>
      <c r="CH89" s="665"/>
      <c r="CI89" s="717">
        <f>CI87-CI88</f>
        <v>5.5999926796824528E-2</v>
      </c>
      <c r="CJ89" s="696">
        <f t="shared" ref="CJ89:CM89" si="600">CJ87-CJ88</f>
        <v>5.5537225610283292E-2</v>
      </c>
      <c r="CK89" s="696">
        <f t="shared" si="600"/>
        <v>5.5598359195839331E-2</v>
      </c>
      <c r="CL89" s="697">
        <f t="shared" si="600"/>
        <v>5.5648644610789333E-2</v>
      </c>
      <c r="CM89" s="732">
        <f t="shared" si="600"/>
        <v>5.5692247466398559E-2</v>
      </c>
    </row>
    <row r="90" spans="1:91" s="25" customFormat="1" ht="11.25" x14ac:dyDescent="0.2">
      <c r="A90" s="695" t="s">
        <v>6</v>
      </c>
      <c r="B90" s="665"/>
      <c r="C90" s="664"/>
      <c r="D90" s="665"/>
      <c r="E90" s="665"/>
      <c r="F90" s="668"/>
      <c r="G90" s="746"/>
      <c r="H90" s="665"/>
      <c r="I90" s="664"/>
      <c r="J90" s="665"/>
      <c r="K90" s="665"/>
      <c r="L90" s="668"/>
      <c r="M90" s="746"/>
      <c r="N90" s="665"/>
      <c r="O90" s="664"/>
      <c r="P90" s="665"/>
      <c r="Q90" s="665"/>
      <c r="R90" s="668"/>
      <c r="S90" s="746"/>
      <c r="T90" s="665"/>
      <c r="U90" s="664"/>
      <c r="V90" s="665"/>
      <c r="W90" s="665"/>
      <c r="X90" s="668"/>
      <c r="Y90" s="746"/>
      <c r="Z90" s="665"/>
      <c r="AA90" s="664"/>
      <c r="AB90" s="665"/>
      <c r="AC90" s="665"/>
      <c r="AD90" s="668"/>
      <c r="AE90" s="746"/>
      <c r="AF90" s="665"/>
      <c r="AG90" s="664"/>
      <c r="AH90" s="665"/>
      <c r="AI90" s="665"/>
      <c r="AJ90" s="668"/>
      <c r="AK90" s="746"/>
      <c r="AL90" s="665"/>
      <c r="AM90" s="664"/>
      <c r="AN90" s="665"/>
      <c r="AO90" s="665"/>
      <c r="AP90" s="665"/>
      <c r="AQ90" s="746"/>
      <c r="AR90" s="665"/>
      <c r="AS90" s="664"/>
      <c r="AT90" s="665"/>
      <c r="AU90" s="665"/>
      <c r="AV90" s="665"/>
      <c r="AW90" s="746"/>
      <c r="AX90" s="665"/>
      <c r="AY90" s="664"/>
      <c r="AZ90" s="665"/>
      <c r="BA90" s="665"/>
      <c r="BB90" s="668"/>
      <c r="BC90" s="746"/>
      <c r="BD90" s="665"/>
      <c r="BE90" s="664"/>
      <c r="BF90" s="665"/>
      <c r="BG90" s="665"/>
      <c r="BH90" s="668"/>
      <c r="BI90" s="746"/>
      <c r="BJ90" s="665"/>
      <c r="BK90" s="717">
        <f>(BK78*BE76+BK84*BE80)/BE86</f>
        <v>0</v>
      </c>
      <c r="BL90" s="696">
        <f t="shared" ref="BL90" si="601">(BL78*BF76+BL84*BF80)/BF86</f>
        <v>0</v>
      </c>
      <c r="BM90" s="696">
        <f t="shared" ref="BM90" si="602">(BM78*BG76+BM84*BG80)/BG86</f>
        <v>0</v>
      </c>
      <c r="BN90" s="697">
        <f t="shared" ref="BN90" si="603">(BN78*BH76+BN84*BH80)/BH86</f>
        <v>0</v>
      </c>
      <c r="BO90" s="732">
        <f>SUMPRODUCT(BK90:BN90,BE86:BH86)/BI86</f>
        <v>0</v>
      </c>
      <c r="BP90" s="665"/>
      <c r="BQ90" s="717">
        <f>(BQ78*BK76+BQ84*BK80)/BK86</f>
        <v>0</v>
      </c>
      <c r="BR90" s="696">
        <f t="shared" ref="BR90" si="604">(BR78*BL76+BR84*BL80)/BL86</f>
        <v>0</v>
      </c>
      <c r="BS90" s="696">
        <f t="shared" ref="BS90" si="605">(BS78*BM76+BS84*BM80)/BM86</f>
        <v>0</v>
      </c>
      <c r="BT90" s="697">
        <f t="shared" ref="BT90" si="606">(BT78*BN76+BT84*BN80)/BN86</f>
        <v>0</v>
      </c>
      <c r="BU90" s="732">
        <f>SUMPRODUCT(BQ90:BT90,BK86:BN86)/BO86</f>
        <v>0</v>
      </c>
      <c r="BV90" s="665"/>
      <c r="BW90" s="717">
        <f>(BW78*BQ76+BW84*BQ80)/BQ86</f>
        <v>0</v>
      </c>
      <c r="BX90" s="696">
        <f t="shared" ref="BX90" si="607">(BX78*BR76+BX84*BR80)/BR86</f>
        <v>0</v>
      </c>
      <c r="BY90" s="696">
        <f t="shared" ref="BY90" si="608">(BY78*BS76+BY84*BS80)/BS86</f>
        <v>0</v>
      </c>
      <c r="BZ90" s="697">
        <f t="shared" ref="BZ90" si="609">(BZ78*BT76+BZ84*BT80)/BT86</f>
        <v>0</v>
      </c>
      <c r="CA90" s="732">
        <f>SUMPRODUCT(BW90:BZ90,BQ86:BT86)/BU86</f>
        <v>0</v>
      </c>
      <c r="CB90" s="665"/>
      <c r="CC90" s="717">
        <f>(CC78*BW76+CC84*BW80)/BW86</f>
        <v>0</v>
      </c>
      <c r="CD90" s="696">
        <f t="shared" ref="CD90" si="610">(CD78*BX76+CD84*BX80)/BX86</f>
        <v>0</v>
      </c>
      <c r="CE90" s="696">
        <f t="shared" ref="CE90" si="611">(CE78*BY76+CE84*BY80)/BY86</f>
        <v>0</v>
      </c>
      <c r="CF90" s="697">
        <f t="shared" ref="CF90" si="612">(CF78*BZ76+CF84*BZ80)/BZ86</f>
        <v>0</v>
      </c>
      <c r="CG90" s="732">
        <f>SUMPRODUCT(CC90:CF90,BW86:BZ86)/CA86</f>
        <v>0</v>
      </c>
      <c r="CH90" s="665"/>
      <c r="CI90" s="717">
        <f>(CI78*CC76+CI84*CC80)/CC86</f>
        <v>0</v>
      </c>
      <c r="CJ90" s="696">
        <f t="shared" ref="CJ90" si="613">(CJ78*CD76+CJ84*CD80)/CD86</f>
        <v>0</v>
      </c>
      <c r="CK90" s="696">
        <f t="shared" ref="CK90" si="614">(CK78*CE76+CK84*CE80)/CE86</f>
        <v>0</v>
      </c>
      <c r="CL90" s="697">
        <f t="shared" ref="CL90" si="615">(CL78*CF76+CL84*CF80)/CF86</f>
        <v>0</v>
      </c>
      <c r="CM90" s="732">
        <f>SUMPRODUCT(CI90:CL90,CC86:CF86)/CG86</f>
        <v>0</v>
      </c>
    </row>
    <row r="91" spans="1:91" s="25" customFormat="1" ht="11.25" x14ac:dyDescent="0.2">
      <c r="A91" s="713" t="s">
        <v>7</v>
      </c>
      <c r="B91" s="656"/>
      <c r="C91" s="751"/>
      <c r="D91" s="656"/>
      <c r="E91" s="656"/>
      <c r="F91" s="752"/>
      <c r="G91" s="747"/>
      <c r="H91" s="656"/>
      <c r="I91" s="751"/>
      <c r="J91" s="656"/>
      <c r="K91" s="656"/>
      <c r="L91" s="752"/>
      <c r="M91" s="747"/>
      <c r="N91" s="656"/>
      <c r="O91" s="751"/>
      <c r="P91" s="656"/>
      <c r="Q91" s="656"/>
      <c r="R91" s="752"/>
      <c r="S91" s="747"/>
      <c r="T91" s="656"/>
      <c r="U91" s="751"/>
      <c r="V91" s="656"/>
      <c r="W91" s="656"/>
      <c r="X91" s="752"/>
      <c r="Y91" s="747"/>
      <c r="Z91" s="656"/>
      <c r="AA91" s="751"/>
      <c r="AB91" s="656"/>
      <c r="AC91" s="656"/>
      <c r="AD91" s="752"/>
      <c r="AE91" s="747"/>
      <c r="AF91" s="656"/>
      <c r="AG91" s="751"/>
      <c r="AH91" s="656"/>
      <c r="AI91" s="656"/>
      <c r="AJ91" s="752"/>
      <c r="AK91" s="747"/>
      <c r="AL91" s="656"/>
      <c r="AM91" s="751"/>
      <c r="AN91" s="656"/>
      <c r="AO91" s="656"/>
      <c r="AP91" s="656"/>
      <c r="AQ91" s="747"/>
      <c r="AR91" s="656"/>
      <c r="AS91" s="751"/>
      <c r="AT91" s="656"/>
      <c r="AU91" s="656"/>
      <c r="AV91" s="656"/>
      <c r="AW91" s="747"/>
      <c r="AX91" s="656"/>
      <c r="AY91" s="751"/>
      <c r="AZ91" s="656"/>
      <c r="BA91" s="656"/>
      <c r="BB91" s="752"/>
      <c r="BC91" s="747"/>
      <c r="BD91" s="656"/>
      <c r="BE91" s="751"/>
      <c r="BF91" s="656"/>
      <c r="BG91" s="656"/>
      <c r="BH91" s="752"/>
      <c r="BI91" s="747"/>
      <c r="BJ91" s="656"/>
      <c r="BK91" s="730">
        <f>BK89-BK90</f>
        <v>7.9601841820151648E-2</v>
      </c>
      <c r="BL91" s="714">
        <f t="shared" ref="BL91" si="616">BL89-BL90</f>
        <v>5.6846394984326129E-2</v>
      </c>
      <c r="BM91" s="714">
        <f t="shared" ref="BM91" si="617">BM89-BM90</f>
        <v>1.8285019455252904E-2</v>
      </c>
      <c r="BN91" s="715">
        <f t="shared" ref="BN91" si="618">BN89-BN90</f>
        <v>4.6533757338551758E-2</v>
      </c>
      <c r="BO91" s="741">
        <f t="shared" ref="BO91" si="619">BO89-BO90</f>
        <v>4.9422137404580228E-2</v>
      </c>
      <c r="BP91" s="656"/>
      <c r="BQ91" s="730">
        <f>BQ89-BQ90</f>
        <v>2.3238527483610646E-2</v>
      </c>
      <c r="BR91" s="714">
        <f t="shared" ref="BR91:BU91" si="620">BR89-BR90</f>
        <v>4.7452642073778639E-2</v>
      </c>
      <c r="BS91" s="714">
        <f t="shared" si="620"/>
        <v>6.522683397683407E-2</v>
      </c>
      <c r="BT91" s="715">
        <f t="shared" si="620"/>
        <v>5.4426840633737046E-2</v>
      </c>
      <c r="BU91" s="741">
        <f t="shared" si="620"/>
        <v>4.7913001096624996E-2</v>
      </c>
      <c r="BV91" s="656"/>
      <c r="BW91" s="730">
        <f>BW89-BW90</f>
        <v>5.5601066408143704E-2</v>
      </c>
      <c r="BX91" s="714">
        <f t="shared" ref="BX91:CA91" si="621">BX89-BX90</f>
        <v>5.5181880631109723E-2</v>
      </c>
      <c r="BY91" s="714">
        <f t="shared" si="621"/>
        <v>5.5227925150020951E-2</v>
      </c>
      <c r="BZ91" s="715">
        <f t="shared" si="621"/>
        <v>5.5271260848644532E-2</v>
      </c>
      <c r="CA91" s="741">
        <f t="shared" si="621"/>
        <v>5.5316040374678577E-2</v>
      </c>
      <c r="CB91" s="656"/>
      <c r="CC91" s="730">
        <f>CC89-CC90</f>
        <v>5.5951597279978893E-2</v>
      </c>
      <c r="CD91" s="714">
        <f t="shared" ref="CD91:CG91" si="622">CD89-CD90</f>
        <v>5.548689201982282E-2</v>
      </c>
      <c r="CE91" s="714">
        <f t="shared" si="622"/>
        <v>5.5544631899053343E-2</v>
      </c>
      <c r="CF91" s="715">
        <f t="shared" si="622"/>
        <v>5.5593599138648475E-2</v>
      </c>
      <c r="CG91" s="741">
        <f t="shared" si="622"/>
        <v>5.5640267063450377E-2</v>
      </c>
      <c r="CH91" s="656"/>
      <c r="CI91" s="730">
        <f>CI89-CI90</f>
        <v>5.5999926796824528E-2</v>
      </c>
      <c r="CJ91" s="714">
        <f t="shared" ref="CJ91:CM91" si="623">CJ89-CJ90</f>
        <v>5.5537225610283292E-2</v>
      </c>
      <c r="CK91" s="714">
        <f t="shared" si="623"/>
        <v>5.5598359195839331E-2</v>
      </c>
      <c r="CL91" s="715">
        <f t="shared" si="623"/>
        <v>5.5648644610789333E-2</v>
      </c>
      <c r="CM91" s="741">
        <f t="shared" si="623"/>
        <v>5.5692247466398559E-2</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CM74"/>
  <sheetViews>
    <sheetView showGridLines="0" workbookViewId="0">
      <pane xSplit="2" ySplit="6" topLeftCell="C7" activePane="bottomRight" state="frozen"/>
      <selection pane="topRight" activeCell="C1" sqref="C1"/>
      <selection pane="bottomLeft" activeCell="A7" sqref="A7"/>
      <selection pane="bottomRight"/>
    </sheetView>
  </sheetViews>
  <sheetFormatPr defaultRowHeight="12.75" outlineLevelRow="1" outlineLevelCol="1" x14ac:dyDescent="0.2"/>
  <cols>
    <col min="1" max="1" width="25.7109375" customWidth="1"/>
    <col min="2" max="2" width="0.85546875" customWidth="1"/>
    <col min="3" max="7" width="8.28515625" hidden="1" customWidth="1" outlineLevel="1"/>
    <col min="8" max="8" width="0.85546875" hidden="1" customWidth="1" outlineLevel="1"/>
    <col min="9" max="13" width="8.28515625" hidden="1" customWidth="1" outlineLevel="1"/>
    <col min="14" max="14" width="0.85546875" hidden="1" customWidth="1" outlineLevel="1"/>
    <col min="15" max="19" width="8.28515625" hidden="1" customWidth="1" outlineLevel="1"/>
    <col min="20" max="20" width="0.85546875" hidden="1" customWidth="1" outlineLevel="1"/>
    <col min="21" max="25" width="8.28515625" hidden="1" customWidth="1" outlineLevel="1"/>
    <col min="26" max="26" width="0.85546875" hidden="1" customWidth="1" outlineLevel="1"/>
    <col min="27" max="31" width="8.28515625" hidden="1" customWidth="1" outlineLevel="1"/>
    <col min="32" max="32" width="0.85546875" hidden="1" customWidth="1" outlineLevel="1"/>
    <col min="33" max="37" width="8.28515625" hidden="1" customWidth="1" outlineLevel="1"/>
    <col min="38" max="38" width="0.85546875" hidden="1" customWidth="1" outlineLevel="1"/>
    <col min="39" max="43" width="8.28515625" hidden="1" customWidth="1" outlineLevel="1"/>
    <col min="44" max="44" width="0.85546875" hidden="1" customWidth="1" outlineLevel="1"/>
    <col min="45" max="49" width="8.28515625" hidden="1" customWidth="1" outlineLevel="1"/>
    <col min="50" max="50" width="0.85546875" hidden="1" customWidth="1" outlineLevel="1"/>
    <col min="51" max="54" width="8.28515625" hidden="1" customWidth="1" outlineLevel="1"/>
    <col min="55" max="55" width="8.28515625" customWidth="1" collapsed="1"/>
    <col min="56" max="56" width="0.85546875" customWidth="1"/>
    <col min="57" max="60" width="8.28515625" hidden="1" customWidth="1" outlineLevel="1"/>
    <col min="61" max="61" width="8.28515625" customWidth="1" collapsed="1"/>
    <col min="62" max="62" width="0.85546875" customWidth="1"/>
    <col min="63" max="66" width="8.28515625" hidden="1" customWidth="1" outlineLevel="1"/>
    <col min="67" max="67" width="8.28515625" customWidth="1" collapsed="1"/>
    <col min="68" max="68" width="0.85546875" customWidth="1"/>
    <col min="69" max="72" width="8.28515625" hidden="1" customWidth="1" outlineLevel="1"/>
    <col min="73" max="73" width="8.28515625" customWidth="1" collapsed="1"/>
    <col min="74" max="74" width="0.85546875" customWidth="1"/>
    <col min="75" max="78" width="8.28515625" hidden="1" customWidth="1" outlineLevel="1"/>
    <col min="79" max="79" width="8.28515625" customWidth="1" collapsed="1"/>
    <col min="80" max="80" width="0.85546875" customWidth="1"/>
    <col min="81" max="84" width="8.28515625" hidden="1" customWidth="1" outlineLevel="1"/>
    <col min="85" max="85" width="8.28515625" customWidth="1" collapsed="1"/>
    <col min="86" max="86" width="0.85546875" customWidth="1"/>
    <col min="87" max="90" width="8.28515625" hidden="1" customWidth="1" outlineLevel="1"/>
    <col min="91" max="91" width="8.28515625" customWidth="1" collapsed="1"/>
    <col min="257" max="257" width="25.7109375" customWidth="1"/>
    <col min="258" max="258" width="0.85546875" customWidth="1"/>
    <col min="259" max="263" width="8.28515625" customWidth="1"/>
    <col min="264" max="264" width="0.85546875" customWidth="1"/>
    <col min="265" max="269" width="8.28515625" customWidth="1"/>
    <col min="270" max="270" width="0.85546875" customWidth="1"/>
    <col min="271" max="275" width="8.28515625" customWidth="1"/>
    <col min="276" max="276" width="0.85546875" customWidth="1"/>
    <col min="277" max="281" width="8.28515625" customWidth="1"/>
    <col min="282" max="282" width="0.85546875" customWidth="1"/>
    <col min="283" max="287" width="8.28515625" customWidth="1"/>
    <col min="288" max="288" width="0.85546875" customWidth="1"/>
    <col min="289" max="293" width="8.28515625" customWidth="1"/>
    <col min="294" max="294" width="0.85546875" customWidth="1"/>
    <col min="295" max="299" width="8.28515625" customWidth="1"/>
    <col min="300" max="300" width="0.85546875" customWidth="1"/>
    <col min="301" max="305" width="8.28515625" customWidth="1"/>
    <col min="306" max="306" width="0.85546875" customWidth="1"/>
    <col min="307" max="311" width="8.28515625" customWidth="1"/>
    <col min="312" max="312" width="0.85546875" customWidth="1"/>
    <col min="313" max="317" width="8.28515625" customWidth="1"/>
    <col min="318" max="318" width="0.85546875" customWidth="1"/>
    <col min="319" max="323" width="8.28515625" customWidth="1"/>
    <col min="324" max="324" width="0.85546875" customWidth="1"/>
    <col min="325" max="329" width="8.28515625" customWidth="1"/>
    <col min="330" max="330" width="0.85546875" customWidth="1"/>
    <col min="331" max="335" width="8.28515625" customWidth="1"/>
    <col min="336" max="336" width="0.85546875" customWidth="1"/>
    <col min="337" max="341" width="8.28515625" customWidth="1"/>
    <col min="342" max="342" width="0.85546875" customWidth="1"/>
    <col min="343" max="347" width="8.28515625" customWidth="1"/>
    <col min="513" max="513" width="25.7109375" customWidth="1"/>
    <col min="514" max="514" width="0.85546875" customWidth="1"/>
    <col min="515" max="519" width="8.28515625" customWidth="1"/>
    <col min="520" max="520" width="0.85546875" customWidth="1"/>
    <col min="521" max="525" width="8.28515625" customWidth="1"/>
    <col min="526" max="526" width="0.85546875" customWidth="1"/>
    <col min="527" max="531" width="8.28515625" customWidth="1"/>
    <col min="532" max="532" width="0.85546875" customWidth="1"/>
    <col min="533" max="537" width="8.28515625" customWidth="1"/>
    <col min="538" max="538" width="0.85546875" customWidth="1"/>
    <col min="539" max="543" width="8.28515625" customWidth="1"/>
    <col min="544" max="544" width="0.85546875" customWidth="1"/>
    <col min="545" max="549" width="8.28515625" customWidth="1"/>
    <col min="550" max="550" width="0.85546875" customWidth="1"/>
    <col min="551" max="555" width="8.28515625" customWidth="1"/>
    <col min="556" max="556" width="0.85546875" customWidth="1"/>
    <col min="557" max="561" width="8.28515625" customWidth="1"/>
    <col min="562" max="562" width="0.85546875" customWidth="1"/>
    <col min="563" max="567" width="8.28515625" customWidth="1"/>
    <col min="568" max="568" width="0.85546875" customWidth="1"/>
    <col min="569" max="573" width="8.28515625" customWidth="1"/>
    <col min="574" max="574" width="0.85546875" customWidth="1"/>
    <col min="575" max="579" width="8.28515625" customWidth="1"/>
    <col min="580" max="580" width="0.85546875" customWidth="1"/>
    <col min="581" max="585" width="8.28515625" customWidth="1"/>
    <col min="586" max="586" width="0.85546875" customWidth="1"/>
    <col min="587" max="591" width="8.28515625" customWidth="1"/>
    <col min="592" max="592" width="0.85546875" customWidth="1"/>
    <col min="593" max="597" width="8.28515625" customWidth="1"/>
    <col min="598" max="598" width="0.85546875" customWidth="1"/>
    <col min="599" max="603" width="8.28515625" customWidth="1"/>
    <col min="769" max="769" width="25.7109375" customWidth="1"/>
    <col min="770" max="770" width="0.85546875" customWidth="1"/>
    <col min="771" max="775" width="8.28515625" customWidth="1"/>
    <col min="776" max="776" width="0.85546875" customWidth="1"/>
    <col min="777" max="781" width="8.28515625" customWidth="1"/>
    <col min="782" max="782" width="0.85546875" customWidth="1"/>
    <col min="783" max="787" width="8.28515625" customWidth="1"/>
    <col min="788" max="788" width="0.85546875" customWidth="1"/>
    <col min="789" max="793" width="8.28515625" customWidth="1"/>
    <col min="794" max="794" width="0.85546875" customWidth="1"/>
    <col min="795" max="799" width="8.28515625" customWidth="1"/>
    <col min="800" max="800" width="0.85546875" customWidth="1"/>
    <col min="801" max="805" width="8.28515625" customWidth="1"/>
    <col min="806" max="806" width="0.85546875" customWidth="1"/>
    <col min="807" max="811" width="8.28515625" customWidth="1"/>
    <col min="812" max="812" width="0.85546875" customWidth="1"/>
    <col min="813" max="817" width="8.28515625" customWidth="1"/>
    <col min="818" max="818" width="0.85546875" customWidth="1"/>
    <col min="819" max="823" width="8.28515625" customWidth="1"/>
    <col min="824" max="824" width="0.85546875" customWidth="1"/>
    <col min="825" max="829" width="8.28515625" customWidth="1"/>
    <col min="830" max="830" width="0.85546875" customWidth="1"/>
    <col min="831" max="835" width="8.28515625" customWidth="1"/>
    <col min="836" max="836" width="0.85546875" customWidth="1"/>
    <col min="837" max="841" width="8.28515625" customWidth="1"/>
    <col min="842" max="842" width="0.85546875" customWidth="1"/>
    <col min="843" max="847" width="8.28515625" customWidth="1"/>
    <col min="848" max="848" width="0.85546875" customWidth="1"/>
    <col min="849" max="853" width="8.28515625" customWidth="1"/>
    <col min="854" max="854" width="0.85546875" customWidth="1"/>
    <col min="855" max="859" width="8.28515625" customWidth="1"/>
    <col min="1025" max="1025" width="25.7109375" customWidth="1"/>
    <col min="1026" max="1026" width="0.85546875" customWidth="1"/>
    <col min="1027" max="1031" width="8.28515625" customWidth="1"/>
    <col min="1032" max="1032" width="0.85546875" customWidth="1"/>
    <col min="1033" max="1037" width="8.28515625" customWidth="1"/>
    <col min="1038" max="1038" width="0.85546875" customWidth="1"/>
    <col min="1039" max="1043" width="8.28515625" customWidth="1"/>
    <col min="1044" max="1044" width="0.85546875" customWidth="1"/>
    <col min="1045" max="1049" width="8.28515625" customWidth="1"/>
    <col min="1050" max="1050" width="0.85546875" customWidth="1"/>
    <col min="1051" max="1055" width="8.28515625" customWidth="1"/>
    <col min="1056" max="1056" width="0.85546875" customWidth="1"/>
    <col min="1057" max="1061" width="8.28515625" customWidth="1"/>
    <col min="1062" max="1062" width="0.85546875" customWidth="1"/>
    <col min="1063" max="1067" width="8.28515625" customWidth="1"/>
    <col min="1068" max="1068" width="0.85546875" customWidth="1"/>
    <col min="1069" max="1073" width="8.28515625" customWidth="1"/>
    <col min="1074" max="1074" width="0.85546875" customWidth="1"/>
    <col min="1075" max="1079" width="8.28515625" customWidth="1"/>
    <col min="1080" max="1080" width="0.85546875" customWidth="1"/>
    <col min="1081" max="1085" width="8.28515625" customWidth="1"/>
    <col min="1086" max="1086" width="0.85546875" customWidth="1"/>
    <col min="1087" max="1091" width="8.28515625" customWidth="1"/>
    <col min="1092" max="1092" width="0.85546875" customWidth="1"/>
    <col min="1093" max="1097" width="8.28515625" customWidth="1"/>
    <col min="1098" max="1098" width="0.85546875" customWidth="1"/>
    <col min="1099" max="1103" width="8.28515625" customWidth="1"/>
    <col min="1104" max="1104" width="0.85546875" customWidth="1"/>
    <col min="1105" max="1109" width="8.28515625" customWidth="1"/>
    <col min="1110" max="1110" width="0.85546875" customWidth="1"/>
    <col min="1111" max="1115" width="8.28515625" customWidth="1"/>
    <col min="1281" max="1281" width="25.7109375" customWidth="1"/>
    <col min="1282" max="1282" width="0.85546875" customWidth="1"/>
    <col min="1283" max="1287" width="8.28515625" customWidth="1"/>
    <col min="1288" max="1288" width="0.85546875" customWidth="1"/>
    <col min="1289" max="1293" width="8.28515625" customWidth="1"/>
    <col min="1294" max="1294" width="0.85546875" customWidth="1"/>
    <col min="1295" max="1299" width="8.28515625" customWidth="1"/>
    <col min="1300" max="1300" width="0.85546875" customWidth="1"/>
    <col min="1301" max="1305" width="8.28515625" customWidth="1"/>
    <col min="1306" max="1306" width="0.85546875" customWidth="1"/>
    <col min="1307" max="1311" width="8.28515625" customWidth="1"/>
    <col min="1312" max="1312" width="0.85546875" customWidth="1"/>
    <col min="1313" max="1317" width="8.28515625" customWidth="1"/>
    <col min="1318" max="1318" width="0.85546875" customWidth="1"/>
    <col min="1319" max="1323" width="8.28515625" customWidth="1"/>
    <col min="1324" max="1324" width="0.85546875" customWidth="1"/>
    <col min="1325" max="1329" width="8.28515625" customWidth="1"/>
    <col min="1330" max="1330" width="0.85546875" customWidth="1"/>
    <col min="1331" max="1335" width="8.28515625" customWidth="1"/>
    <col min="1336" max="1336" width="0.85546875" customWidth="1"/>
    <col min="1337" max="1341" width="8.28515625" customWidth="1"/>
    <col min="1342" max="1342" width="0.85546875" customWidth="1"/>
    <col min="1343" max="1347" width="8.28515625" customWidth="1"/>
    <col min="1348" max="1348" width="0.85546875" customWidth="1"/>
    <col min="1349" max="1353" width="8.28515625" customWidth="1"/>
    <col min="1354" max="1354" width="0.85546875" customWidth="1"/>
    <col min="1355" max="1359" width="8.28515625" customWidth="1"/>
    <col min="1360" max="1360" width="0.85546875" customWidth="1"/>
    <col min="1361" max="1365" width="8.28515625" customWidth="1"/>
    <col min="1366" max="1366" width="0.85546875" customWidth="1"/>
    <col min="1367" max="1371" width="8.28515625" customWidth="1"/>
    <col min="1537" max="1537" width="25.7109375" customWidth="1"/>
    <col min="1538" max="1538" width="0.85546875" customWidth="1"/>
    <col min="1539" max="1543" width="8.28515625" customWidth="1"/>
    <col min="1544" max="1544" width="0.85546875" customWidth="1"/>
    <col min="1545" max="1549" width="8.28515625" customWidth="1"/>
    <col min="1550" max="1550" width="0.85546875" customWidth="1"/>
    <col min="1551" max="1555" width="8.28515625" customWidth="1"/>
    <col min="1556" max="1556" width="0.85546875" customWidth="1"/>
    <col min="1557" max="1561" width="8.28515625" customWidth="1"/>
    <col min="1562" max="1562" width="0.85546875" customWidth="1"/>
    <col min="1563" max="1567" width="8.28515625" customWidth="1"/>
    <col min="1568" max="1568" width="0.85546875" customWidth="1"/>
    <col min="1569" max="1573" width="8.28515625" customWidth="1"/>
    <col min="1574" max="1574" width="0.85546875" customWidth="1"/>
    <col min="1575" max="1579" width="8.28515625" customWidth="1"/>
    <col min="1580" max="1580" width="0.85546875" customWidth="1"/>
    <col min="1581" max="1585" width="8.28515625" customWidth="1"/>
    <col min="1586" max="1586" width="0.85546875" customWidth="1"/>
    <col min="1587" max="1591" width="8.28515625" customWidth="1"/>
    <col min="1592" max="1592" width="0.85546875" customWidth="1"/>
    <col min="1593" max="1597" width="8.28515625" customWidth="1"/>
    <col min="1598" max="1598" width="0.85546875" customWidth="1"/>
    <col min="1599" max="1603" width="8.28515625" customWidth="1"/>
    <col min="1604" max="1604" width="0.85546875" customWidth="1"/>
    <col min="1605" max="1609" width="8.28515625" customWidth="1"/>
    <col min="1610" max="1610" width="0.85546875" customWidth="1"/>
    <col min="1611" max="1615" width="8.28515625" customWidth="1"/>
    <col min="1616" max="1616" width="0.85546875" customWidth="1"/>
    <col min="1617" max="1621" width="8.28515625" customWidth="1"/>
    <col min="1622" max="1622" width="0.85546875" customWidth="1"/>
    <col min="1623" max="1627" width="8.28515625" customWidth="1"/>
    <col min="1793" max="1793" width="25.7109375" customWidth="1"/>
    <col min="1794" max="1794" width="0.85546875" customWidth="1"/>
    <col min="1795" max="1799" width="8.28515625" customWidth="1"/>
    <col min="1800" max="1800" width="0.85546875" customWidth="1"/>
    <col min="1801" max="1805" width="8.28515625" customWidth="1"/>
    <col min="1806" max="1806" width="0.85546875" customWidth="1"/>
    <col min="1807" max="1811" width="8.28515625" customWidth="1"/>
    <col min="1812" max="1812" width="0.85546875" customWidth="1"/>
    <col min="1813" max="1817" width="8.28515625" customWidth="1"/>
    <col min="1818" max="1818" width="0.85546875" customWidth="1"/>
    <col min="1819" max="1823" width="8.28515625" customWidth="1"/>
    <col min="1824" max="1824" width="0.85546875" customWidth="1"/>
    <col min="1825" max="1829" width="8.28515625" customWidth="1"/>
    <col min="1830" max="1830" width="0.85546875" customWidth="1"/>
    <col min="1831" max="1835" width="8.28515625" customWidth="1"/>
    <col min="1836" max="1836" width="0.85546875" customWidth="1"/>
    <col min="1837" max="1841" width="8.28515625" customWidth="1"/>
    <col min="1842" max="1842" width="0.85546875" customWidth="1"/>
    <col min="1843" max="1847" width="8.28515625" customWidth="1"/>
    <col min="1848" max="1848" width="0.85546875" customWidth="1"/>
    <col min="1849" max="1853" width="8.28515625" customWidth="1"/>
    <col min="1854" max="1854" width="0.85546875" customWidth="1"/>
    <col min="1855" max="1859" width="8.28515625" customWidth="1"/>
    <col min="1860" max="1860" width="0.85546875" customWidth="1"/>
    <col min="1861" max="1865" width="8.28515625" customWidth="1"/>
    <col min="1866" max="1866" width="0.85546875" customWidth="1"/>
    <col min="1867" max="1871" width="8.28515625" customWidth="1"/>
    <col min="1872" max="1872" width="0.85546875" customWidth="1"/>
    <col min="1873" max="1877" width="8.28515625" customWidth="1"/>
    <col min="1878" max="1878" width="0.85546875" customWidth="1"/>
    <col min="1879" max="1883" width="8.28515625" customWidth="1"/>
    <col min="2049" max="2049" width="25.7109375" customWidth="1"/>
    <col min="2050" max="2050" width="0.85546875" customWidth="1"/>
    <col min="2051" max="2055" width="8.28515625" customWidth="1"/>
    <col min="2056" max="2056" width="0.85546875" customWidth="1"/>
    <col min="2057" max="2061" width="8.28515625" customWidth="1"/>
    <col min="2062" max="2062" width="0.85546875" customWidth="1"/>
    <col min="2063" max="2067" width="8.28515625" customWidth="1"/>
    <col min="2068" max="2068" width="0.85546875" customWidth="1"/>
    <col min="2069" max="2073" width="8.28515625" customWidth="1"/>
    <col min="2074" max="2074" width="0.85546875" customWidth="1"/>
    <col min="2075" max="2079" width="8.28515625" customWidth="1"/>
    <col min="2080" max="2080" width="0.85546875" customWidth="1"/>
    <col min="2081" max="2085" width="8.28515625" customWidth="1"/>
    <col min="2086" max="2086" width="0.85546875" customWidth="1"/>
    <col min="2087" max="2091" width="8.28515625" customWidth="1"/>
    <col min="2092" max="2092" width="0.85546875" customWidth="1"/>
    <col min="2093" max="2097" width="8.28515625" customWidth="1"/>
    <col min="2098" max="2098" width="0.85546875" customWidth="1"/>
    <col min="2099" max="2103" width="8.28515625" customWidth="1"/>
    <col min="2104" max="2104" width="0.85546875" customWidth="1"/>
    <col min="2105" max="2109" width="8.28515625" customWidth="1"/>
    <col min="2110" max="2110" width="0.85546875" customWidth="1"/>
    <col min="2111" max="2115" width="8.28515625" customWidth="1"/>
    <col min="2116" max="2116" width="0.85546875" customWidth="1"/>
    <col min="2117" max="2121" width="8.28515625" customWidth="1"/>
    <col min="2122" max="2122" width="0.85546875" customWidth="1"/>
    <col min="2123" max="2127" width="8.28515625" customWidth="1"/>
    <col min="2128" max="2128" width="0.85546875" customWidth="1"/>
    <col min="2129" max="2133" width="8.28515625" customWidth="1"/>
    <col min="2134" max="2134" width="0.85546875" customWidth="1"/>
    <col min="2135" max="2139" width="8.28515625" customWidth="1"/>
    <col min="2305" max="2305" width="25.7109375" customWidth="1"/>
    <col min="2306" max="2306" width="0.85546875" customWidth="1"/>
    <col min="2307" max="2311" width="8.28515625" customWidth="1"/>
    <col min="2312" max="2312" width="0.85546875" customWidth="1"/>
    <col min="2313" max="2317" width="8.28515625" customWidth="1"/>
    <col min="2318" max="2318" width="0.85546875" customWidth="1"/>
    <col min="2319" max="2323" width="8.28515625" customWidth="1"/>
    <col min="2324" max="2324" width="0.85546875" customWidth="1"/>
    <col min="2325" max="2329" width="8.28515625" customWidth="1"/>
    <col min="2330" max="2330" width="0.85546875" customWidth="1"/>
    <col min="2331" max="2335" width="8.28515625" customWidth="1"/>
    <col min="2336" max="2336" width="0.85546875" customWidth="1"/>
    <col min="2337" max="2341" width="8.28515625" customWidth="1"/>
    <col min="2342" max="2342" width="0.85546875" customWidth="1"/>
    <col min="2343" max="2347" width="8.28515625" customWidth="1"/>
    <col min="2348" max="2348" width="0.85546875" customWidth="1"/>
    <col min="2349" max="2353" width="8.28515625" customWidth="1"/>
    <col min="2354" max="2354" width="0.85546875" customWidth="1"/>
    <col min="2355" max="2359" width="8.28515625" customWidth="1"/>
    <col min="2360" max="2360" width="0.85546875" customWidth="1"/>
    <col min="2361" max="2365" width="8.28515625" customWidth="1"/>
    <col min="2366" max="2366" width="0.85546875" customWidth="1"/>
    <col min="2367" max="2371" width="8.28515625" customWidth="1"/>
    <col min="2372" max="2372" width="0.85546875" customWidth="1"/>
    <col min="2373" max="2377" width="8.28515625" customWidth="1"/>
    <col min="2378" max="2378" width="0.85546875" customWidth="1"/>
    <col min="2379" max="2383" width="8.28515625" customWidth="1"/>
    <col min="2384" max="2384" width="0.85546875" customWidth="1"/>
    <col min="2385" max="2389" width="8.28515625" customWidth="1"/>
    <col min="2390" max="2390" width="0.85546875" customWidth="1"/>
    <col min="2391" max="2395" width="8.28515625" customWidth="1"/>
    <col min="2561" max="2561" width="25.7109375" customWidth="1"/>
    <col min="2562" max="2562" width="0.85546875" customWidth="1"/>
    <col min="2563" max="2567" width="8.28515625" customWidth="1"/>
    <col min="2568" max="2568" width="0.85546875" customWidth="1"/>
    <col min="2569" max="2573" width="8.28515625" customWidth="1"/>
    <col min="2574" max="2574" width="0.85546875" customWidth="1"/>
    <col min="2575" max="2579" width="8.28515625" customWidth="1"/>
    <col min="2580" max="2580" width="0.85546875" customWidth="1"/>
    <col min="2581" max="2585" width="8.28515625" customWidth="1"/>
    <col min="2586" max="2586" width="0.85546875" customWidth="1"/>
    <col min="2587" max="2591" width="8.28515625" customWidth="1"/>
    <col min="2592" max="2592" width="0.85546875" customWidth="1"/>
    <col min="2593" max="2597" width="8.28515625" customWidth="1"/>
    <col min="2598" max="2598" width="0.85546875" customWidth="1"/>
    <col min="2599" max="2603" width="8.28515625" customWidth="1"/>
    <col min="2604" max="2604" width="0.85546875" customWidth="1"/>
    <col min="2605" max="2609" width="8.28515625" customWidth="1"/>
    <col min="2610" max="2610" width="0.85546875" customWidth="1"/>
    <col min="2611" max="2615" width="8.28515625" customWidth="1"/>
    <col min="2616" max="2616" width="0.85546875" customWidth="1"/>
    <col min="2617" max="2621" width="8.28515625" customWidth="1"/>
    <col min="2622" max="2622" width="0.85546875" customWidth="1"/>
    <col min="2623" max="2627" width="8.28515625" customWidth="1"/>
    <col min="2628" max="2628" width="0.85546875" customWidth="1"/>
    <col min="2629" max="2633" width="8.28515625" customWidth="1"/>
    <col min="2634" max="2634" width="0.85546875" customWidth="1"/>
    <col min="2635" max="2639" width="8.28515625" customWidth="1"/>
    <col min="2640" max="2640" width="0.85546875" customWidth="1"/>
    <col min="2641" max="2645" width="8.28515625" customWidth="1"/>
    <col min="2646" max="2646" width="0.85546875" customWidth="1"/>
    <col min="2647" max="2651" width="8.28515625" customWidth="1"/>
    <col min="2817" max="2817" width="25.7109375" customWidth="1"/>
    <col min="2818" max="2818" width="0.85546875" customWidth="1"/>
    <col min="2819" max="2823" width="8.28515625" customWidth="1"/>
    <col min="2824" max="2824" width="0.85546875" customWidth="1"/>
    <col min="2825" max="2829" width="8.28515625" customWidth="1"/>
    <col min="2830" max="2830" width="0.85546875" customWidth="1"/>
    <col min="2831" max="2835" width="8.28515625" customWidth="1"/>
    <col min="2836" max="2836" width="0.85546875" customWidth="1"/>
    <col min="2837" max="2841" width="8.28515625" customWidth="1"/>
    <col min="2842" max="2842" width="0.85546875" customWidth="1"/>
    <col min="2843" max="2847" width="8.28515625" customWidth="1"/>
    <col min="2848" max="2848" width="0.85546875" customWidth="1"/>
    <col min="2849" max="2853" width="8.28515625" customWidth="1"/>
    <col min="2854" max="2854" width="0.85546875" customWidth="1"/>
    <col min="2855" max="2859" width="8.28515625" customWidth="1"/>
    <col min="2860" max="2860" width="0.85546875" customWidth="1"/>
    <col min="2861" max="2865" width="8.28515625" customWidth="1"/>
    <col min="2866" max="2866" width="0.85546875" customWidth="1"/>
    <col min="2867" max="2871" width="8.28515625" customWidth="1"/>
    <col min="2872" max="2872" width="0.85546875" customWidth="1"/>
    <col min="2873" max="2877" width="8.28515625" customWidth="1"/>
    <col min="2878" max="2878" width="0.85546875" customWidth="1"/>
    <col min="2879" max="2883" width="8.28515625" customWidth="1"/>
    <col min="2884" max="2884" width="0.85546875" customWidth="1"/>
    <col min="2885" max="2889" width="8.28515625" customWidth="1"/>
    <col min="2890" max="2890" width="0.85546875" customWidth="1"/>
    <col min="2891" max="2895" width="8.28515625" customWidth="1"/>
    <col min="2896" max="2896" width="0.85546875" customWidth="1"/>
    <col min="2897" max="2901" width="8.28515625" customWidth="1"/>
    <col min="2902" max="2902" width="0.85546875" customWidth="1"/>
    <col min="2903" max="2907" width="8.28515625" customWidth="1"/>
    <col min="3073" max="3073" width="25.7109375" customWidth="1"/>
    <col min="3074" max="3074" width="0.85546875" customWidth="1"/>
    <col min="3075" max="3079" width="8.28515625" customWidth="1"/>
    <col min="3080" max="3080" width="0.85546875" customWidth="1"/>
    <col min="3081" max="3085" width="8.28515625" customWidth="1"/>
    <col min="3086" max="3086" width="0.85546875" customWidth="1"/>
    <col min="3087" max="3091" width="8.28515625" customWidth="1"/>
    <col min="3092" max="3092" width="0.85546875" customWidth="1"/>
    <col min="3093" max="3097" width="8.28515625" customWidth="1"/>
    <col min="3098" max="3098" width="0.85546875" customWidth="1"/>
    <col min="3099" max="3103" width="8.28515625" customWidth="1"/>
    <col min="3104" max="3104" width="0.85546875" customWidth="1"/>
    <col min="3105" max="3109" width="8.28515625" customWidth="1"/>
    <col min="3110" max="3110" width="0.85546875" customWidth="1"/>
    <col min="3111" max="3115" width="8.28515625" customWidth="1"/>
    <col min="3116" max="3116" width="0.85546875" customWidth="1"/>
    <col min="3117" max="3121" width="8.28515625" customWidth="1"/>
    <col min="3122" max="3122" width="0.85546875" customWidth="1"/>
    <col min="3123" max="3127" width="8.28515625" customWidth="1"/>
    <col min="3128" max="3128" width="0.85546875" customWidth="1"/>
    <col min="3129" max="3133" width="8.28515625" customWidth="1"/>
    <col min="3134" max="3134" width="0.85546875" customWidth="1"/>
    <col min="3135" max="3139" width="8.28515625" customWidth="1"/>
    <col min="3140" max="3140" width="0.85546875" customWidth="1"/>
    <col min="3141" max="3145" width="8.28515625" customWidth="1"/>
    <col min="3146" max="3146" width="0.85546875" customWidth="1"/>
    <col min="3147" max="3151" width="8.28515625" customWidth="1"/>
    <col min="3152" max="3152" width="0.85546875" customWidth="1"/>
    <col min="3153" max="3157" width="8.28515625" customWidth="1"/>
    <col min="3158" max="3158" width="0.85546875" customWidth="1"/>
    <col min="3159" max="3163" width="8.28515625" customWidth="1"/>
    <col min="3329" max="3329" width="25.7109375" customWidth="1"/>
    <col min="3330" max="3330" width="0.85546875" customWidth="1"/>
    <col min="3331" max="3335" width="8.28515625" customWidth="1"/>
    <col min="3336" max="3336" width="0.85546875" customWidth="1"/>
    <col min="3337" max="3341" width="8.28515625" customWidth="1"/>
    <col min="3342" max="3342" width="0.85546875" customWidth="1"/>
    <col min="3343" max="3347" width="8.28515625" customWidth="1"/>
    <col min="3348" max="3348" width="0.85546875" customWidth="1"/>
    <col min="3349" max="3353" width="8.28515625" customWidth="1"/>
    <col min="3354" max="3354" width="0.85546875" customWidth="1"/>
    <col min="3355" max="3359" width="8.28515625" customWidth="1"/>
    <col min="3360" max="3360" width="0.85546875" customWidth="1"/>
    <col min="3361" max="3365" width="8.28515625" customWidth="1"/>
    <col min="3366" max="3366" width="0.85546875" customWidth="1"/>
    <col min="3367" max="3371" width="8.28515625" customWidth="1"/>
    <col min="3372" max="3372" width="0.85546875" customWidth="1"/>
    <col min="3373" max="3377" width="8.28515625" customWidth="1"/>
    <col min="3378" max="3378" width="0.85546875" customWidth="1"/>
    <col min="3379" max="3383" width="8.28515625" customWidth="1"/>
    <col min="3384" max="3384" width="0.85546875" customWidth="1"/>
    <col min="3385" max="3389" width="8.28515625" customWidth="1"/>
    <col min="3390" max="3390" width="0.85546875" customWidth="1"/>
    <col min="3391" max="3395" width="8.28515625" customWidth="1"/>
    <col min="3396" max="3396" width="0.85546875" customWidth="1"/>
    <col min="3397" max="3401" width="8.28515625" customWidth="1"/>
    <col min="3402" max="3402" width="0.85546875" customWidth="1"/>
    <col min="3403" max="3407" width="8.28515625" customWidth="1"/>
    <col min="3408" max="3408" width="0.85546875" customWidth="1"/>
    <col min="3409" max="3413" width="8.28515625" customWidth="1"/>
    <col min="3414" max="3414" width="0.85546875" customWidth="1"/>
    <col min="3415" max="3419" width="8.28515625" customWidth="1"/>
    <col min="3585" max="3585" width="25.7109375" customWidth="1"/>
    <col min="3586" max="3586" width="0.85546875" customWidth="1"/>
    <col min="3587" max="3591" width="8.28515625" customWidth="1"/>
    <col min="3592" max="3592" width="0.85546875" customWidth="1"/>
    <col min="3593" max="3597" width="8.28515625" customWidth="1"/>
    <col min="3598" max="3598" width="0.85546875" customWidth="1"/>
    <col min="3599" max="3603" width="8.28515625" customWidth="1"/>
    <col min="3604" max="3604" width="0.85546875" customWidth="1"/>
    <col min="3605" max="3609" width="8.28515625" customWidth="1"/>
    <col min="3610" max="3610" width="0.85546875" customWidth="1"/>
    <col min="3611" max="3615" width="8.28515625" customWidth="1"/>
    <col min="3616" max="3616" width="0.85546875" customWidth="1"/>
    <col min="3617" max="3621" width="8.28515625" customWidth="1"/>
    <col min="3622" max="3622" width="0.85546875" customWidth="1"/>
    <col min="3623" max="3627" width="8.28515625" customWidth="1"/>
    <col min="3628" max="3628" width="0.85546875" customWidth="1"/>
    <col min="3629" max="3633" width="8.28515625" customWidth="1"/>
    <col min="3634" max="3634" width="0.85546875" customWidth="1"/>
    <col min="3635" max="3639" width="8.28515625" customWidth="1"/>
    <col min="3640" max="3640" width="0.85546875" customWidth="1"/>
    <col min="3641" max="3645" width="8.28515625" customWidth="1"/>
    <col min="3646" max="3646" width="0.85546875" customWidth="1"/>
    <col min="3647" max="3651" width="8.28515625" customWidth="1"/>
    <col min="3652" max="3652" width="0.85546875" customWidth="1"/>
    <col min="3653" max="3657" width="8.28515625" customWidth="1"/>
    <col min="3658" max="3658" width="0.85546875" customWidth="1"/>
    <col min="3659" max="3663" width="8.28515625" customWidth="1"/>
    <col min="3664" max="3664" width="0.85546875" customWidth="1"/>
    <col min="3665" max="3669" width="8.28515625" customWidth="1"/>
    <col min="3670" max="3670" width="0.85546875" customWidth="1"/>
    <col min="3671" max="3675" width="8.28515625" customWidth="1"/>
    <col min="3841" max="3841" width="25.7109375" customWidth="1"/>
    <col min="3842" max="3842" width="0.85546875" customWidth="1"/>
    <col min="3843" max="3847" width="8.28515625" customWidth="1"/>
    <col min="3848" max="3848" width="0.85546875" customWidth="1"/>
    <col min="3849" max="3853" width="8.28515625" customWidth="1"/>
    <col min="3854" max="3854" width="0.85546875" customWidth="1"/>
    <col min="3855" max="3859" width="8.28515625" customWidth="1"/>
    <col min="3860" max="3860" width="0.85546875" customWidth="1"/>
    <col min="3861" max="3865" width="8.28515625" customWidth="1"/>
    <col min="3866" max="3866" width="0.85546875" customWidth="1"/>
    <col min="3867" max="3871" width="8.28515625" customWidth="1"/>
    <col min="3872" max="3872" width="0.85546875" customWidth="1"/>
    <col min="3873" max="3877" width="8.28515625" customWidth="1"/>
    <col min="3878" max="3878" width="0.85546875" customWidth="1"/>
    <col min="3879" max="3883" width="8.28515625" customWidth="1"/>
    <col min="3884" max="3884" width="0.85546875" customWidth="1"/>
    <col min="3885" max="3889" width="8.28515625" customWidth="1"/>
    <col min="3890" max="3890" width="0.85546875" customWidth="1"/>
    <col min="3891" max="3895" width="8.28515625" customWidth="1"/>
    <col min="3896" max="3896" width="0.85546875" customWidth="1"/>
    <col min="3897" max="3901" width="8.28515625" customWidth="1"/>
    <col min="3902" max="3902" width="0.85546875" customWidth="1"/>
    <col min="3903" max="3907" width="8.28515625" customWidth="1"/>
    <col min="3908" max="3908" width="0.85546875" customWidth="1"/>
    <col min="3909" max="3913" width="8.28515625" customWidth="1"/>
    <col min="3914" max="3914" width="0.85546875" customWidth="1"/>
    <col min="3915" max="3919" width="8.28515625" customWidth="1"/>
    <col min="3920" max="3920" width="0.85546875" customWidth="1"/>
    <col min="3921" max="3925" width="8.28515625" customWidth="1"/>
    <col min="3926" max="3926" width="0.85546875" customWidth="1"/>
    <col min="3927" max="3931" width="8.28515625" customWidth="1"/>
    <col min="4097" max="4097" width="25.7109375" customWidth="1"/>
    <col min="4098" max="4098" width="0.85546875" customWidth="1"/>
    <col min="4099" max="4103" width="8.28515625" customWidth="1"/>
    <col min="4104" max="4104" width="0.85546875" customWidth="1"/>
    <col min="4105" max="4109" width="8.28515625" customWidth="1"/>
    <col min="4110" max="4110" width="0.85546875" customWidth="1"/>
    <col min="4111" max="4115" width="8.28515625" customWidth="1"/>
    <col min="4116" max="4116" width="0.85546875" customWidth="1"/>
    <col min="4117" max="4121" width="8.28515625" customWidth="1"/>
    <col min="4122" max="4122" width="0.85546875" customWidth="1"/>
    <col min="4123" max="4127" width="8.28515625" customWidth="1"/>
    <col min="4128" max="4128" width="0.85546875" customWidth="1"/>
    <col min="4129" max="4133" width="8.28515625" customWidth="1"/>
    <col min="4134" max="4134" width="0.85546875" customWidth="1"/>
    <col min="4135" max="4139" width="8.28515625" customWidth="1"/>
    <col min="4140" max="4140" width="0.85546875" customWidth="1"/>
    <col min="4141" max="4145" width="8.28515625" customWidth="1"/>
    <col min="4146" max="4146" width="0.85546875" customWidth="1"/>
    <col min="4147" max="4151" width="8.28515625" customWidth="1"/>
    <col min="4152" max="4152" width="0.85546875" customWidth="1"/>
    <col min="4153" max="4157" width="8.28515625" customWidth="1"/>
    <col min="4158" max="4158" width="0.85546875" customWidth="1"/>
    <col min="4159" max="4163" width="8.28515625" customWidth="1"/>
    <col min="4164" max="4164" width="0.85546875" customWidth="1"/>
    <col min="4165" max="4169" width="8.28515625" customWidth="1"/>
    <col min="4170" max="4170" width="0.85546875" customWidth="1"/>
    <col min="4171" max="4175" width="8.28515625" customWidth="1"/>
    <col min="4176" max="4176" width="0.85546875" customWidth="1"/>
    <col min="4177" max="4181" width="8.28515625" customWidth="1"/>
    <col min="4182" max="4182" width="0.85546875" customWidth="1"/>
    <col min="4183" max="4187" width="8.28515625" customWidth="1"/>
    <col min="4353" max="4353" width="25.7109375" customWidth="1"/>
    <col min="4354" max="4354" width="0.85546875" customWidth="1"/>
    <col min="4355" max="4359" width="8.28515625" customWidth="1"/>
    <col min="4360" max="4360" width="0.85546875" customWidth="1"/>
    <col min="4361" max="4365" width="8.28515625" customWidth="1"/>
    <col min="4366" max="4366" width="0.85546875" customWidth="1"/>
    <col min="4367" max="4371" width="8.28515625" customWidth="1"/>
    <col min="4372" max="4372" width="0.85546875" customWidth="1"/>
    <col min="4373" max="4377" width="8.28515625" customWidth="1"/>
    <col min="4378" max="4378" width="0.85546875" customWidth="1"/>
    <col min="4379" max="4383" width="8.28515625" customWidth="1"/>
    <col min="4384" max="4384" width="0.85546875" customWidth="1"/>
    <col min="4385" max="4389" width="8.28515625" customWidth="1"/>
    <col min="4390" max="4390" width="0.85546875" customWidth="1"/>
    <col min="4391" max="4395" width="8.28515625" customWidth="1"/>
    <col min="4396" max="4396" width="0.85546875" customWidth="1"/>
    <col min="4397" max="4401" width="8.28515625" customWidth="1"/>
    <col min="4402" max="4402" width="0.85546875" customWidth="1"/>
    <col min="4403" max="4407" width="8.28515625" customWidth="1"/>
    <col min="4408" max="4408" width="0.85546875" customWidth="1"/>
    <col min="4409" max="4413" width="8.28515625" customWidth="1"/>
    <col min="4414" max="4414" width="0.85546875" customWidth="1"/>
    <col min="4415" max="4419" width="8.28515625" customWidth="1"/>
    <col min="4420" max="4420" width="0.85546875" customWidth="1"/>
    <col min="4421" max="4425" width="8.28515625" customWidth="1"/>
    <col min="4426" max="4426" width="0.85546875" customWidth="1"/>
    <col min="4427" max="4431" width="8.28515625" customWidth="1"/>
    <col min="4432" max="4432" width="0.85546875" customWidth="1"/>
    <col min="4433" max="4437" width="8.28515625" customWidth="1"/>
    <col min="4438" max="4438" width="0.85546875" customWidth="1"/>
    <col min="4439" max="4443" width="8.28515625" customWidth="1"/>
    <col min="4609" max="4609" width="25.7109375" customWidth="1"/>
    <col min="4610" max="4610" width="0.85546875" customWidth="1"/>
    <col min="4611" max="4615" width="8.28515625" customWidth="1"/>
    <col min="4616" max="4616" width="0.85546875" customWidth="1"/>
    <col min="4617" max="4621" width="8.28515625" customWidth="1"/>
    <col min="4622" max="4622" width="0.85546875" customWidth="1"/>
    <col min="4623" max="4627" width="8.28515625" customWidth="1"/>
    <col min="4628" max="4628" width="0.85546875" customWidth="1"/>
    <col min="4629" max="4633" width="8.28515625" customWidth="1"/>
    <col min="4634" max="4634" width="0.85546875" customWidth="1"/>
    <col min="4635" max="4639" width="8.28515625" customWidth="1"/>
    <col min="4640" max="4640" width="0.85546875" customWidth="1"/>
    <col min="4641" max="4645" width="8.28515625" customWidth="1"/>
    <col min="4646" max="4646" width="0.85546875" customWidth="1"/>
    <col min="4647" max="4651" width="8.28515625" customWidth="1"/>
    <col min="4652" max="4652" width="0.85546875" customWidth="1"/>
    <col min="4653" max="4657" width="8.28515625" customWidth="1"/>
    <col min="4658" max="4658" width="0.85546875" customWidth="1"/>
    <col min="4659" max="4663" width="8.28515625" customWidth="1"/>
    <col min="4664" max="4664" width="0.85546875" customWidth="1"/>
    <col min="4665" max="4669" width="8.28515625" customWidth="1"/>
    <col min="4670" max="4670" width="0.85546875" customWidth="1"/>
    <col min="4671" max="4675" width="8.28515625" customWidth="1"/>
    <col min="4676" max="4676" width="0.85546875" customWidth="1"/>
    <col min="4677" max="4681" width="8.28515625" customWidth="1"/>
    <col min="4682" max="4682" width="0.85546875" customWidth="1"/>
    <col min="4683" max="4687" width="8.28515625" customWidth="1"/>
    <col min="4688" max="4688" width="0.85546875" customWidth="1"/>
    <col min="4689" max="4693" width="8.28515625" customWidth="1"/>
    <col min="4694" max="4694" width="0.85546875" customWidth="1"/>
    <col min="4695" max="4699" width="8.28515625" customWidth="1"/>
    <col min="4865" max="4865" width="25.7109375" customWidth="1"/>
    <col min="4866" max="4866" width="0.85546875" customWidth="1"/>
    <col min="4867" max="4871" width="8.28515625" customWidth="1"/>
    <col min="4872" max="4872" width="0.85546875" customWidth="1"/>
    <col min="4873" max="4877" width="8.28515625" customWidth="1"/>
    <col min="4878" max="4878" width="0.85546875" customWidth="1"/>
    <col min="4879" max="4883" width="8.28515625" customWidth="1"/>
    <col min="4884" max="4884" width="0.85546875" customWidth="1"/>
    <col min="4885" max="4889" width="8.28515625" customWidth="1"/>
    <col min="4890" max="4890" width="0.85546875" customWidth="1"/>
    <col min="4891" max="4895" width="8.28515625" customWidth="1"/>
    <col min="4896" max="4896" width="0.85546875" customWidth="1"/>
    <col min="4897" max="4901" width="8.28515625" customWidth="1"/>
    <col min="4902" max="4902" width="0.85546875" customWidth="1"/>
    <col min="4903" max="4907" width="8.28515625" customWidth="1"/>
    <col min="4908" max="4908" width="0.85546875" customWidth="1"/>
    <col min="4909" max="4913" width="8.28515625" customWidth="1"/>
    <col min="4914" max="4914" width="0.85546875" customWidth="1"/>
    <col min="4915" max="4919" width="8.28515625" customWidth="1"/>
    <col min="4920" max="4920" width="0.85546875" customWidth="1"/>
    <col min="4921" max="4925" width="8.28515625" customWidth="1"/>
    <col min="4926" max="4926" width="0.85546875" customWidth="1"/>
    <col min="4927" max="4931" width="8.28515625" customWidth="1"/>
    <col min="4932" max="4932" width="0.85546875" customWidth="1"/>
    <col min="4933" max="4937" width="8.28515625" customWidth="1"/>
    <col min="4938" max="4938" width="0.85546875" customWidth="1"/>
    <col min="4939" max="4943" width="8.28515625" customWidth="1"/>
    <col min="4944" max="4944" width="0.85546875" customWidth="1"/>
    <col min="4945" max="4949" width="8.28515625" customWidth="1"/>
    <col min="4950" max="4950" width="0.85546875" customWidth="1"/>
    <col min="4951" max="4955" width="8.28515625" customWidth="1"/>
    <col min="5121" max="5121" width="25.7109375" customWidth="1"/>
    <col min="5122" max="5122" width="0.85546875" customWidth="1"/>
    <col min="5123" max="5127" width="8.28515625" customWidth="1"/>
    <col min="5128" max="5128" width="0.85546875" customWidth="1"/>
    <col min="5129" max="5133" width="8.28515625" customWidth="1"/>
    <col min="5134" max="5134" width="0.85546875" customWidth="1"/>
    <col min="5135" max="5139" width="8.28515625" customWidth="1"/>
    <col min="5140" max="5140" width="0.85546875" customWidth="1"/>
    <col min="5141" max="5145" width="8.28515625" customWidth="1"/>
    <col min="5146" max="5146" width="0.85546875" customWidth="1"/>
    <col min="5147" max="5151" width="8.28515625" customWidth="1"/>
    <col min="5152" max="5152" width="0.85546875" customWidth="1"/>
    <col min="5153" max="5157" width="8.28515625" customWidth="1"/>
    <col min="5158" max="5158" width="0.85546875" customWidth="1"/>
    <col min="5159" max="5163" width="8.28515625" customWidth="1"/>
    <col min="5164" max="5164" width="0.85546875" customWidth="1"/>
    <col min="5165" max="5169" width="8.28515625" customWidth="1"/>
    <col min="5170" max="5170" width="0.85546875" customWidth="1"/>
    <col min="5171" max="5175" width="8.28515625" customWidth="1"/>
    <col min="5176" max="5176" width="0.85546875" customWidth="1"/>
    <col min="5177" max="5181" width="8.28515625" customWidth="1"/>
    <col min="5182" max="5182" width="0.85546875" customWidth="1"/>
    <col min="5183" max="5187" width="8.28515625" customWidth="1"/>
    <col min="5188" max="5188" width="0.85546875" customWidth="1"/>
    <col min="5189" max="5193" width="8.28515625" customWidth="1"/>
    <col min="5194" max="5194" width="0.85546875" customWidth="1"/>
    <col min="5195" max="5199" width="8.28515625" customWidth="1"/>
    <col min="5200" max="5200" width="0.85546875" customWidth="1"/>
    <col min="5201" max="5205" width="8.28515625" customWidth="1"/>
    <col min="5206" max="5206" width="0.85546875" customWidth="1"/>
    <col min="5207" max="5211" width="8.28515625" customWidth="1"/>
    <col min="5377" max="5377" width="25.7109375" customWidth="1"/>
    <col min="5378" max="5378" width="0.85546875" customWidth="1"/>
    <col min="5379" max="5383" width="8.28515625" customWidth="1"/>
    <col min="5384" max="5384" width="0.85546875" customWidth="1"/>
    <col min="5385" max="5389" width="8.28515625" customWidth="1"/>
    <col min="5390" max="5390" width="0.85546875" customWidth="1"/>
    <col min="5391" max="5395" width="8.28515625" customWidth="1"/>
    <col min="5396" max="5396" width="0.85546875" customWidth="1"/>
    <col min="5397" max="5401" width="8.28515625" customWidth="1"/>
    <col min="5402" max="5402" width="0.85546875" customWidth="1"/>
    <col min="5403" max="5407" width="8.28515625" customWidth="1"/>
    <col min="5408" max="5408" width="0.85546875" customWidth="1"/>
    <col min="5409" max="5413" width="8.28515625" customWidth="1"/>
    <col min="5414" max="5414" width="0.85546875" customWidth="1"/>
    <col min="5415" max="5419" width="8.28515625" customWidth="1"/>
    <col min="5420" max="5420" width="0.85546875" customWidth="1"/>
    <col min="5421" max="5425" width="8.28515625" customWidth="1"/>
    <col min="5426" max="5426" width="0.85546875" customWidth="1"/>
    <col min="5427" max="5431" width="8.28515625" customWidth="1"/>
    <col min="5432" max="5432" width="0.85546875" customWidth="1"/>
    <col min="5433" max="5437" width="8.28515625" customWidth="1"/>
    <col min="5438" max="5438" width="0.85546875" customWidth="1"/>
    <col min="5439" max="5443" width="8.28515625" customWidth="1"/>
    <col min="5444" max="5444" width="0.85546875" customWidth="1"/>
    <col min="5445" max="5449" width="8.28515625" customWidth="1"/>
    <col min="5450" max="5450" width="0.85546875" customWidth="1"/>
    <col min="5451" max="5455" width="8.28515625" customWidth="1"/>
    <col min="5456" max="5456" width="0.85546875" customWidth="1"/>
    <col min="5457" max="5461" width="8.28515625" customWidth="1"/>
    <col min="5462" max="5462" width="0.85546875" customWidth="1"/>
    <col min="5463" max="5467" width="8.28515625" customWidth="1"/>
    <col min="5633" max="5633" width="25.7109375" customWidth="1"/>
    <col min="5634" max="5634" width="0.85546875" customWidth="1"/>
    <col min="5635" max="5639" width="8.28515625" customWidth="1"/>
    <col min="5640" max="5640" width="0.85546875" customWidth="1"/>
    <col min="5641" max="5645" width="8.28515625" customWidth="1"/>
    <col min="5646" max="5646" width="0.85546875" customWidth="1"/>
    <col min="5647" max="5651" width="8.28515625" customWidth="1"/>
    <col min="5652" max="5652" width="0.85546875" customWidth="1"/>
    <col min="5653" max="5657" width="8.28515625" customWidth="1"/>
    <col min="5658" max="5658" width="0.85546875" customWidth="1"/>
    <col min="5659" max="5663" width="8.28515625" customWidth="1"/>
    <col min="5664" max="5664" width="0.85546875" customWidth="1"/>
    <col min="5665" max="5669" width="8.28515625" customWidth="1"/>
    <col min="5670" max="5670" width="0.85546875" customWidth="1"/>
    <col min="5671" max="5675" width="8.28515625" customWidth="1"/>
    <col min="5676" max="5676" width="0.85546875" customWidth="1"/>
    <col min="5677" max="5681" width="8.28515625" customWidth="1"/>
    <col min="5682" max="5682" width="0.85546875" customWidth="1"/>
    <col min="5683" max="5687" width="8.28515625" customWidth="1"/>
    <col min="5688" max="5688" width="0.85546875" customWidth="1"/>
    <col min="5689" max="5693" width="8.28515625" customWidth="1"/>
    <col min="5694" max="5694" width="0.85546875" customWidth="1"/>
    <col min="5695" max="5699" width="8.28515625" customWidth="1"/>
    <col min="5700" max="5700" width="0.85546875" customWidth="1"/>
    <col min="5701" max="5705" width="8.28515625" customWidth="1"/>
    <col min="5706" max="5706" width="0.85546875" customWidth="1"/>
    <col min="5707" max="5711" width="8.28515625" customWidth="1"/>
    <col min="5712" max="5712" width="0.85546875" customWidth="1"/>
    <col min="5713" max="5717" width="8.28515625" customWidth="1"/>
    <col min="5718" max="5718" width="0.85546875" customWidth="1"/>
    <col min="5719" max="5723" width="8.28515625" customWidth="1"/>
    <col min="5889" max="5889" width="25.7109375" customWidth="1"/>
    <col min="5890" max="5890" width="0.85546875" customWidth="1"/>
    <col min="5891" max="5895" width="8.28515625" customWidth="1"/>
    <col min="5896" max="5896" width="0.85546875" customWidth="1"/>
    <col min="5897" max="5901" width="8.28515625" customWidth="1"/>
    <col min="5902" max="5902" width="0.85546875" customWidth="1"/>
    <col min="5903" max="5907" width="8.28515625" customWidth="1"/>
    <col min="5908" max="5908" width="0.85546875" customWidth="1"/>
    <col min="5909" max="5913" width="8.28515625" customWidth="1"/>
    <col min="5914" max="5914" width="0.85546875" customWidth="1"/>
    <col min="5915" max="5919" width="8.28515625" customWidth="1"/>
    <col min="5920" max="5920" width="0.85546875" customWidth="1"/>
    <col min="5921" max="5925" width="8.28515625" customWidth="1"/>
    <col min="5926" max="5926" width="0.85546875" customWidth="1"/>
    <col min="5927" max="5931" width="8.28515625" customWidth="1"/>
    <col min="5932" max="5932" width="0.85546875" customWidth="1"/>
    <col min="5933" max="5937" width="8.28515625" customWidth="1"/>
    <col min="5938" max="5938" width="0.85546875" customWidth="1"/>
    <col min="5939" max="5943" width="8.28515625" customWidth="1"/>
    <col min="5944" max="5944" width="0.85546875" customWidth="1"/>
    <col min="5945" max="5949" width="8.28515625" customWidth="1"/>
    <col min="5950" max="5950" width="0.85546875" customWidth="1"/>
    <col min="5951" max="5955" width="8.28515625" customWidth="1"/>
    <col min="5956" max="5956" width="0.85546875" customWidth="1"/>
    <col min="5957" max="5961" width="8.28515625" customWidth="1"/>
    <col min="5962" max="5962" width="0.85546875" customWidth="1"/>
    <col min="5963" max="5967" width="8.28515625" customWidth="1"/>
    <col min="5968" max="5968" width="0.85546875" customWidth="1"/>
    <col min="5969" max="5973" width="8.28515625" customWidth="1"/>
    <col min="5974" max="5974" width="0.85546875" customWidth="1"/>
    <col min="5975" max="5979" width="8.28515625" customWidth="1"/>
    <col min="6145" max="6145" width="25.7109375" customWidth="1"/>
    <col min="6146" max="6146" width="0.85546875" customWidth="1"/>
    <col min="6147" max="6151" width="8.28515625" customWidth="1"/>
    <col min="6152" max="6152" width="0.85546875" customWidth="1"/>
    <col min="6153" max="6157" width="8.28515625" customWidth="1"/>
    <col min="6158" max="6158" width="0.85546875" customWidth="1"/>
    <col min="6159" max="6163" width="8.28515625" customWidth="1"/>
    <col min="6164" max="6164" width="0.85546875" customWidth="1"/>
    <col min="6165" max="6169" width="8.28515625" customWidth="1"/>
    <col min="6170" max="6170" width="0.85546875" customWidth="1"/>
    <col min="6171" max="6175" width="8.28515625" customWidth="1"/>
    <col min="6176" max="6176" width="0.85546875" customWidth="1"/>
    <col min="6177" max="6181" width="8.28515625" customWidth="1"/>
    <col min="6182" max="6182" width="0.85546875" customWidth="1"/>
    <col min="6183" max="6187" width="8.28515625" customWidth="1"/>
    <col min="6188" max="6188" width="0.85546875" customWidth="1"/>
    <col min="6189" max="6193" width="8.28515625" customWidth="1"/>
    <col min="6194" max="6194" width="0.85546875" customWidth="1"/>
    <col min="6195" max="6199" width="8.28515625" customWidth="1"/>
    <col min="6200" max="6200" width="0.85546875" customWidth="1"/>
    <col min="6201" max="6205" width="8.28515625" customWidth="1"/>
    <col min="6206" max="6206" width="0.85546875" customWidth="1"/>
    <col min="6207" max="6211" width="8.28515625" customWidth="1"/>
    <col min="6212" max="6212" width="0.85546875" customWidth="1"/>
    <col min="6213" max="6217" width="8.28515625" customWidth="1"/>
    <col min="6218" max="6218" width="0.85546875" customWidth="1"/>
    <col min="6219" max="6223" width="8.28515625" customWidth="1"/>
    <col min="6224" max="6224" width="0.85546875" customWidth="1"/>
    <col min="6225" max="6229" width="8.28515625" customWidth="1"/>
    <col min="6230" max="6230" width="0.85546875" customWidth="1"/>
    <col min="6231" max="6235" width="8.28515625" customWidth="1"/>
    <col min="6401" max="6401" width="25.7109375" customWidth="1"/>
    <col min="6402" max="6402" width="0.85546875" customWidth="1"/>
    <col min="6403" max="6407" width="8.28515625" customWidth="1"/>
    <col min="6408" max="6408" width="0.85546875" customWidth="1"/>
    <col min="6409" max="6413" width="8.28515625" customWidth="1"/>
    <col min="6414" max="6414" width="0.85546875" customWidth="1"/>
    <col min="6415" max="6419" width="8.28515625" customWidth="1"/>
    <col min="6420" max="6420" width="0.85546875" customWidth="1"/>
    <col min="6421" max="6425" width="8.28515625" customWidth="1"/>
    <col min="6426" max="6426" width="0.85546875" customWidth="1"/>
    <col min="6427" max="6431" width="8.28515625" customWidth="1"/>
    <col min="6432" max="6432" width="0.85546875" customWidth="1"/>
    <col min="6433" max="6437" width="8.28515625" customWidth="1"/>
    <col min="6438" max="6438" width="0.85546875" customWidth="1"/>
    <col min="6439" max="6443" width="8.28515625" customWidth="1"/>
    <col min="6444" max="6444" width="0.85546875" customWidth="1"/>
    <col min="6445" max="6449" width="8.28515625" customWidth="1"/>
    <col min="6450" max="6450" width="0.85546875" customWidth="1"/>
    <col min="6451" max="6455" width="8.28515625" customWidth="1"/>
    <col min="6456" max="6456" width="0.85546875" customWidth="1"/>
    <col min="6457" max="6461" width="8.28515625" customWidth="1"/>
    <col min="6462" max="6462" width="0.85546875" customWidth="1"/>
    <col min="6463" max="6467" width="8.28515625" customWidth="1"/>
    <col min="6468" max="6468" width="0.85546875" customWidth="1"/>
    <col min="6469" max="6473" width="8.28515625" customWidth="1"/>
    <col min="6474" max="6474" width="0.85546875" customWidth="1"/>
    <col min="6475" max="6479" width="8.28515625" customWidth="1"/>
    <col min="6480" max="6480" width="0.85546875" customWidth="1"/>
    <col min="6481" max="6485" width="8.28515625" customWidth="1"/>
    <col min="6486" max="6486" width="0.85546875" customWidth="1"/>
    <col min="6487" max="6491" width="8.28515625" customWidth="1"/>
    <col min="6657" max="6657" width="25.7109375" customWidth="1"/>
    <col min="6658" max="6658" width="0.85546875" customWidth="1"/>
    <col min="6659" max="6663" width="8.28515625" customWidth="1"/>
    <col min="6664" max="6664" width="0.85546875" customWidth="1"/>
    <col min="6665" max="6669" width="8.28515625" customWidth="1"/>
    <col min="6670" max="6670" width="0.85546875" customWidth="1"/>
    <col min="6671" max="6675" width="8.28515625" customWidth="1"/>
    <col min="6676" max="6676" width="0.85546875" customWidth="1"/>
    <col min="6677" max="6681" width="8.28515625" customWidth="1"/>
    <col min="6682" max="6682" width="0.85546875" customWidth="1"/>
    <col min="6683" max="6687" width="8.28515625" customWidth="1"/>
    <col min="6688" max="6688" width="0.85546875" customWidth="1"/>
    <col min="6689" max="6693" width="8.28515625" customWidth="1"/>
    <col min="6694" max="6694" width="0.85546875" customWidth="1"/>
    <col min="6695" max="6699" width="8.28515625" customWidth="1"/>
    <col min="6700" max="6700" width="0.85546875" customWidth="1"/>
    <col min="6701" max="6705" width="8.28515625" customWidth="1"/>
    <col min="6706" max="6706" width="0.85546875" customWidth="1"/>
    <col min="6707" max="6711" width="8.28515625" customWidth="1"/>
    <col min="6712" max="6712" width="0.85546875" customWidth="1"/>
    <col min="6713" max="6717" width="8.28515625" customWidth="1"/>
    <col min="6718" max="6718" width="0.85546875" customWidth="1"/>
    <col min="6719" max="6723" width="8.28515625" customWidth="1"/>
    <col min="6724" max="6724" width="0.85546875" customWidth="1"/>
    <col min="6725" max="6729" width="8.28515625" customWidth="1"/>
    <col min="6730" max="6730" width="0.85546875" customWidth="1"/>
    <col min="6731" max="6735" width="8.28515625" customWidth="1"/>
    <col min="6736" max="6736" width="0.85546875" customWidth="1"/>
    <col min="6737" max="6741" width="8.28515625" customWidth="1"/>
    <col min="6742" max="6742" width="0.85546875" customWidth="1"/>
    <col min="6743" max="6747" width="8.28515625" customWidth="1"/>
    <col min="6913" max="6913" width="25.7109375" customWidth="1"/>
    <col min="6914" max="6914" width="0.85546875" customWidth="1"/>
    <col min="6915" max="6919" width="8.28515625" customWidth="1"/>
    <col min="6920" max="6920" width="0.85546875" customWidth="1"/>
    <col min="6921" max="6925" width="8.28515625" customWidth="1"/>
    <col min="6926" max="6926" width="0.85546875" customWidth="1"/>
    <col min="6927" max="6931" width="8.28515625" customWidth="1"/>
    <col min="6932" max="6932" width="0.85546875" customWidth="1"/>
    <col min="6933" max="6937" width="8.28515625" customWidth="1"/>
    <col min="6938" max="6938" width="0.85546875" customWidth="1"/>
    <col min="6939" max="6943" width="8.28515625" customWidth="1"/>
    <col min="6944" max="6944" width="0.85546875" customWidth="1"/>
    <col min="6945" max="6949" width="8.28515625" customWidth="1"/>
    <col min="6950" max="6950" width="0.85546875" customWidth="1"/>
    <col min="6951" max="6955" width="8.28515625" customWidth="1"/>
    <col min="6956" max="6956" width="0.85546875" customWidth="1"/>
    <col min="6957" max="6961" width="8.28515625" customWidth="1"/>
    <col min="6962" max="6962" width="0.85546875" customWidth="1"/>
    <col min="6963" max="6967" width="8.28515625" customWidth="1"/>
    <col min="6968" max="6968" width="0.85546875" customWidth="1"/>
    <col min="6969" max="6973" width="8.28515625" customWidth="1"/>
    <col min="6974" max="6974" width="0.85546875" customWidth="1"/>
    <col min="6975" max="6979" width="8.28515625" customWidth="1"/>
    <col min="6980" max="6980" width="0.85546875" customWidth="1"/>
    <col min="6981" max="6985" width="8.28515625" customWidth="1"/>
    <col min="6986" max="6986" width="0.85546875" customWidth="1"/>
    <col min="6987" max="6991" width="8.28515625" customWidth="1"/>
    <col min="6992" max="6992" width="0.85546875" customWidth="1"/>
    <col min="6993" max="6997" width="8.28515625" customWidth="1"/>
    <col min="6998" max="6998" width="0.85546875" customWidth="1"/>
    <col min="6999" max="7003" width="8.28515625" customWidth="1"/>
    <col min="7169" max="7169" width="25.7109375" customWidth="1"/>
    <col min="7170" max="7170" width="0.85546875" customWidth="1"/>
    <col min="7171" max="7175" width="8.28515625" customWidth="1"/>
    <col min="7176" max="7176" width="0.85546875" customWidth="1"/>
    <col min="7177" max="7181" width="8.28515625" customWidth="1"/>
    <col min="7182" max="7182" width="0.85546875" customWidth="1"/>
    <col min="7183" max="7187" width="8.28515625" customWidth="1"/>
    <col min="7188" max="7188" width="0.85546875" customWidth="1"/>
    <col min="7189" max="7193" width="8.28515625" customWidth="1"/>
    <col min="7194" max="7194" width="0.85546875" customWidth="1"/>
    <col min="7195" max="7199" width="8.28515625" customWidth="1"/>
    <col min="7200" max="7200" width="0.85546875" customWidth="1"/>
    <col min="7201" max="7205" width="8.28515625" customWidth="1"/>
    <col min="7206" max="7206" width="0.85546875" customWidth="1"/>
    <col min="7207" max="7211" width="8.28515625" customWidth="1"/>
    <col min="7212" max="7212" width="0.85546875" customWidth="1"/>
    <col min="7213" max="7217" width="8.28515625" customWidth="1"/>
    <col min="7218" max="7218" width="0.85546875" customWidth="1"/>
    <col min="7219" max="7223" width="8.28515625" customWidth="1"/>
    <col min="7224" max="7224" width="0.85546875" customWidth="1"/>
    <col min="7225" max="7229" width="8.28515625" customWidth="1"/>
    <col min="7230" max="7230" width="0.85546875" customWidth="1"/>
    <col min="7231" max="7235" width="8.28515625" customWidth="1"/>
    <col min="7236" max="7236" width="0.85546875" customWidth="1"/>
    <col min="7237" max="7241" width="8.28515625" customWidth="1"/>
    <col min="7242" max="7242" width="0.85546875" customWidth="1"/>
    <col min="7243" max="7247" width="8.28515625" customWidth="1"/>
    <col min="7248" max="7248" width="0.85546875" customWidth="1"/>
    <col min="7249" max="7253" width="8.28515625" customWidth="1"/>
    <col min="7254" max="7254" width="0.85546875" customWidth="1"/>
    <col min="7255" max="7259" width="8.28515625" customWidth="1"/>
    <col min="7425" max="7425" width="25.7109375" customWidth="1"/>
    <col min="7426" max="7426" width="0.85546875" customWidth="1"/>
    <col min="7427" max="7431" width="8.28515625" customWidth="1"/>
    <col min="7432" max="7432" width="0.85546875" customWidth="1"/>
    <col min="7433" max="7437" width="8.28515625" customWidth="1"/>
    <col min="7438" max="7438" width="0.85546875" customWidth="1"/>
    <col min="7439" max="7443" width="8.28515625" customWidth="1"/>
    <col min="7444" max="7444" width="0.85546875" customWidth="1"/>
    <col min="7445" max="7449" width="8.28515625" customWidth="1"/>
    <col min="7450" max="7450" width="0.85546875" customWidth="1"/>
    <col min="7451" max="7455" width="8.28515625" customWidth="1"/>
    <col min="7456" max="7456" width="0.85546875" customWidth="1"/>
    <col min="7457" max="7461" width="8.28515625" customWidth="1"/>
    <col min="7462" max="7462" width="0.85546875" customWidth="1"/>
    <col min="7463" max="7467" width="8.28515625" customWidth="1"/>
    <col min="7468" max="7468" width="0.85546875" customWidth="1"/>
    <col min="7469" max="7473" width="8.28515625" customWidth="1"/>
    <col min="7474" max="7474" width="0.85546875" customWidth="1"/>
    <col min="7475" max="7479" width="8.28515625" customWidth="1"/>
    <col min="7480" max="7480" width="0.85546875" customWidth="1"/>
    <col min="7481" max="7485" width="8.28515625" customWidth="1"/>
    <col min="7486" max="7486" width="0.85546875" customWidth="1"/>
    <col min="7487" max="7491" width="8.28515625" customWidth="1"/>
    <col min="7492" max="7492" width="0.85546875" customWidth="1"/>
    <col min="7493" max="7497" width="8.28515625" customWidth="1"/>
    <col min="7498" max="7498" width="0.85546875" customWidth="1"/>
    <col min="7499" max="7503" width="8.28515625" customWidth="1"/>
    <col min="7504" max="7504" width="0.85546875" customWidth="1"/>
    <col min="7505" max="7509" width="8.28515625" customWidth="1"/>
    <col min="7510" max="7510" width="0.85546875" customWidth="1"/>
    <col min="7511" max="7515" width="8.28515625" customWidth="1"/>
    <col min="7681" max="7681" width="25.7109375" customWidth="1"/>
    <col min="7682" max="7682" width="0.85546875" customWidth="1"/>
    <col min="7683" max="7687" width="8.28515625" customWidth="1"/>
    <col min="7688" max="7688" width="0.85546875" customWidth="1"/>
    <col min="7689" max="7693" width="8.28515625" customWidth="1"/>
    <col min="7694" max="7694" width="0.85546875" customWidth="1"/>
    <col min="7695" max="7699" width="8.28515625" customWidth="1"/>
    <col min="7700" max="7700" width="0.85546875" customWidth="1"/>
    <col min="7701" max="7705" width="8.28515625" customWidth="1"/>
    <col min="7706" max="7706" width="0.85546875" customWidth="1"/>
    <col min="7707" max="7711" width="8.28515625" customWidth="1"/>
    <col min="7712" max="7712" width="0.85546875" customWidth="1"/>
    <col min="7713" max="7717" width="8.28515625" customWidth="1"/>
    <col min="7718" max="7718" width="0.85546875" customWidth="1"/>
    <col min="7719" max="7723" width="8.28515625" customWidth="1"/>
    <col min="7724" max="7724" width="0.85546875" customWidth="1"/>
    <col min="7725" max="7729" width="8.28515625" customWidth="1"/>
    <col min="7730" max="7730" width="0.85546875" customWidth="1"/>
    <col min="7731" max="7735" width="8.28515625" customWidth="1"/>
    <col min="7736" max="7736" width="0.85546875" customWidth="1"/>
    <col min="7737" max="7741" width="8.28515625" customWidth="1"/>
    <col min="7742" max="7742" width="0.85546875" customWidth="1"/>
    <col min="7743" max="7747" width="8.28515625" customWidth="1"/>
    <col min="7748" max="7748" width="0.85546875" customWidth="1"/>
    <col min="7749" max="7753" width="8.28515625" customWidth="1"/>
    <col min="7754" max="7754" width="0.85546875" customWidth="1"/>
    <col min="7755" max="7759" width="8.28515625" customWidth="1"/>
    <col min="7760" max="7760" width="0.85546875" customWidth="1"/>
    <col min="7761" max="7765" width="8.28515625" customWidth="1"/>
    <col min="7766" max="7766" width="0.85546875" customWidth="1"/>
    <col min="7767" max="7771" width="8.28515625" customWidth="1"/>
    <col min="7937" max="7937" width="25.7109375" customWidth="1"/>
    <col min="7938" max="7938" width="0.85546875" customWidth="1"/>
    <col min="7939" max="7943" width="8.28515625" customWidth="1"/>
    <col min="7944" max="7944" width="0.85546875" customWidth="1"/>
    <col min="7945" max="7949" width="8.28515625" customWidth="1"/>
    <col min="7950" max="7950" width="0.85546875" customWidth="1"/>
    <col min="7951" max="7955" width="8.28515625" customWidth="1"/>
    <col min="7956" max="7956" width="0.85546875" customWidth="1"/>
    <col min="7957" max="7961" width="8.28515625" customWidth="1"/>
    <col min="7962" max="7962" width="0.85546875" customWidth="1"/>
    <col min="7963" max="7967" width="8.28515625" customWidth="1"/>
    <col min="7968" max="7968" width="0.85546875" customWidth="1"/>
    <col min="7969" max="7973" width="8.28515625" customWidth="1"/>
    <col min="7974" max="7974" width="0.85546875" customWidth="1"/>
    <col min="7975" max="7979" width="8.28515625" customWidth="1"/>
    <col min="7980" max="7980" width="0.85546875" customWidth="1"/>
    <col min="7981" max="7985" width="8.28515625" customWidth="1"/>
    <col min="7986" max="7986" width="0.85546875" customWidth="1"/>
    <col min="7987" max="7991" width="8.28515625" customWidth="1"/>
    <col min="7992" max="7992" width="0.85546875" customWidth="1"/>
    <col min="7993" max="7997" width="8.28515625" customWidth="1"/>
    <col min="7998" max="7998" width="0.85546875" customWidth="1"/>
    <col min="7999" max="8003" width="8.28515625" customWidth="1"/>
    <col min="8004" max="8004" width="0.85546875" customWidth="1"/>
    <col min="8005" max="8009" width="8.28515625" customWidth="1"/>
    <col min="8010" max="8010" width="0.85546875" customWidth="1"/>
    <col min="8011" max="8015" width="8.28515625" customWidth="1"/>
    <col min="8016" max="8016" width="0.85546875" customWidth="1"/>
    <col min="8017" max="8021" width="8.28515625" customWidth="1"/>
    <col min="8022" max="8022" width="0.85546875" customWidth="1"/>
    <col min="8023" max="8027" width="8.28515625" customWidth="1"/>
    <col min="8193" max="8193" width="25.7109375" customWidth="1"/>
    <col min="8194" max="8194" width="0.85546875" customWidth="1"/>
    <col min="8195" max="8199" width="8.28515625" customWidth="1"/>
    <col min="8200" max="8200" width="0.85546875" customWidth="1"/>
    <col min="8201" max="8205" width="8.28515625" customWidth="1"/>
    <col min="8206" max="8206" width="0.85546875" customWidth="1"/>
    <col min="8207" max="8211" width="8.28515625" customWidth="1"/>
    <col min="8212" max="8212" width="0.85546875" customWidth="1"/>
    <col min="8213" max="8217" width="8.28515625" customWidth="1"/>
    <col min="8218" max="8218" width="0.85546875" customWidth="1"/>
    <col min="8219" max="8223" width="8.28515625" customWidth="1"/>
    <col min="8224" max="8224" width="0.85546875" customWidth="1"/>
    <col min="8225" max="8229" width="8.28515625" customWidth="1"/>
    <col min="8230" max="8230" width="0.85546875" customWidth="1"/>
    <col min="8231" max="8235" width="8.28515625" customWidth="1"/>
    <col min="8236" max="8236" width="0.85546875" customWidth="1"/>
    <col min="8237" max="8241" width="8.28515625" customWidth="1"/>
    <col min="8242" max="8242" width="0.85546875" customWidth="1"/>
    <col min="8243" max="8247" width="8.28515625" customWidth="1"/>
    <col min="8248" max="8248" width="0.85546875" customWidth="1"/>
    <col min="8249" max="8253" width="8.28515625" customWidth="1"/>
    <col min="8254" max="8254" width="0.85546875" customWidth="1"/>
    <col min="8255" max="8259" width="8.28515625" customWidth="1"/>
    <col min="8260" max="8260" width="0.85546875" customWidth="1"/>
    <col min="8261" max="8265" width="8.28515625" customWidth="1"/>
    <col min="8266" max="8266" width="0.85546875" customWidth="1"/>
    <col min="8267" max="8271" width="8.28515625" customWidth="1"/>
    <col min="8272" max="8272" width="0.85546875" customWidth="1"/>
    <col min="8273" max="8277" width="8.28515625" customWidth="1"/>
    <col min="8278" max="8278" width="0.85546875" customWidth="1"/>
    <col min="8279" max="8283" width="8.28515625" customWidth="1"/>
    <col min="8449" max="8449" width="25.7109375" customWidth="1"/>
    <col min="8450" max="8450" width="0.85546875" customWidth="1"/>
    <col min="8451" max="8455" width="8.28515625" customWidth="1"/>
    <col min="8456" max="8456" width="0.85546875" customWidth="1"/>
    <col min="8457" max="8461" width="8.28515625" customWidth="1"/>
    <col min="8462" max="8462" width="0.85546875" customWidth="1"/>
    <col min="8463" max="8467" width="8.28515625" customWidth="1"/>
    <col min="8468" max="8468" width="0.85546875" customWidth="1"/>
    <col min="8469" max="8473" width="8.28515625" customWidth="1"/>
    <col min="8474" max="8474" width="0.85546875" customWidth="1"/>
    <col min="8475" max="8479" width="8.28515625" customWidth="1"/>
    <col min="8480" max="8480" width="0.85546875" customWidth="1"/>
    <col min="8481" max="8485" width="8.28515625" customWidth="1"/>
    <col min="8486" max="8486" width="0.85546875" customWidth="1"/>
    <col min="8487" max="8491" width="8.28515625" customWidth="1"/>
    <col min="8492" max="8492" width="0.85546875" customWidth="1"/>
    <col min="8493" max="8497" width="8.28515625" customWidth="1"/>
    <col min="8498" max="8498" width="0.85546875" customWidth="1"/>
    <col min="8499" max="8503" width="8.28515625" customWidth="1"/>
    <col min="8504" max="8504" width="0.85546875" customWidth="1"/>
    <col min="8505" max="8509" width="8.28515625" customWidth="1"/>
    <col min="8510" max="8510" width="0.85546875" customWidth="1"/>
    <col min="8511" max="8515" width="8.28515625" customWidth="1"/>
    <col min="8516" max="8516" width="0.85546875" customWidth="1"/>
    <col min="8517" max="8521" width="8.28515625" customWidth="1"/>
    <col min="8522" max="8522" width="0.85546875" customWidth="1"/>
    <col min="8523" max="8527" width="8.28515625" customWidth="1"/>
    <col min="8528" max="8528" width="0.85546875" customWidth="1"/>
    <col min="8529" max="8533" width="8.28515625" customWidth="1"/>
    <col min="8534" max="8534" width="0.85546875" customWidth="1"/>
    <col min="8535" max="8539" width="8.28515625" customWidth="1"/>
    <col min="8705" max="8705" width="25.7109375" customWidth="1"/>
    <col min="8706" max="8706" width="0.85546875" customWidth="1"/>
    <col min="8707" max="8711" width="8.28515625" customWidth="1"/>
    <col min="8712" max="8712" width="0.85546875" customWidth="1"/>
    <col min="8713" max="8717" width="8.28515625" customWidth="1"/>
    <col min="8718" max="8718" width="0.85546875" customWidth="1"/>
    <col min="8719" max="8723" width="8.28515625" customWidth="1"/>
    <col min="8724" max="8724" width="0.85546875" customWidth="1"/>
    <col min="8725" max="8729" width="8.28515625" customWidth="1"/>
    <col min="8730" max="8730" width="0.85546875" customWidth="1"/>
    <col min="8731" max="8735" width="8.28515625" customWidth="1"/>
    <col min="8736" max="8736" width="0.85546875" customWidth="1"/>
    <col min="8737" max="8741" width="8.28515625" customWidth="1"/>
    <col min="8742" max="8742" width="0.85546875" customWidth="1"/>
    <col min="8743" max="8747" width="8.28515625" customWidth="1"/>
    <col min="8748" max="8748" width="0.85546875" customWidth="1"/>
    <col min="8749" max="8753" width="8.28515625" customWidth="1"/>
    <col min="8754" max="8754" width="0.85546875" customWidth="1"/>
    <col min="8755" max="8759" width="8.28515625" customWidth="1"/>
    <col min="8760" max="8760" width="0.85546875" customWidth="1"/>
    <col min="8761" max="8765" width="8.28515625" customWidth="1"/>
    <col min="8766" max="8766" width="0.85546875" customWidth="1"/>
    <col min="8767" max="8771" width="8.28515625" customWidth="1"/>
    <col min="8772" max="8772" width="0.85546875" customWidth="1"/>
    <col min="8773" max="8777" width="8.28515625" customWidth="1"/>
    <col min="8778" max="8778" width="0.85546875" customWidth="1"/>
    <col min="8779" max="8783" width="8.28515625" customWidth="1"/>
    <col min="8784" max="8784" width="0.85546875" customWidth="1"/>
    <col min="8785" max="8789" width="8.28515625" customWidth="1"/>
    <col min="8790" max="8790" width="0.85546875" customWidth="1"/>
    <col min="8791" max="8795" width="8.28515625" customWidth="1"/>
    <col min="8961" max="8961" width="25.7109375" customWidth="1"/>
    <col min="8962" max="8962" width="0.85546875" customWidth="1"/>
    <col min="8963" max="8967" width="8.28515625" customWidth="1"/>
    <col min="8968" max="8968" width="0.85546875" customWidth="1"/>
    <col min="8969" max="8973" width="8.28515625" customWidth="1"/>
    <col min="8974" max="8974" width="0.85546875" customWidth="1"/>
    <col min="8975" max="8979" width="8.28515625" customWidth="1"/>
    <col min="8980" max="8980" width="0.85546875" customWidth="1"/>
    <col min="8981" max="8985" width="8.28515625" customWidth="1"/>
    <col min="8986" max="8986" width="0.85546875" customWidth="1"/>
    <col min="8987" max="8991" width="8.28515625" customWidth="1"/>
    <col min="8992" max="8992" width="0.85546875" customWidth="1"/>
    <col min="8993" max="8997" width="8.28515625" customWidth="1"/>
    <col min="8998" max="8998" width="0.85546875" customWidth="1"/>
    <col min="8999" max="9003" width="8.28515625" customWidth="1"/>
    <col min="9004" max="9004" width="0.85546875" customWidth="1"/>
    <col min="9005" max="9009" width="8.28515625" customWidth="1"/>
    <col min="9010" max="9010" width="0.85546875" customWidth="1"/>
    <col min="9011" max="9015" width="8.28515625" customWidth="1"/>
    <col min="9016" max="9016" width="0.85546875" customWidth="1"/>
    <col min="9017" max="9021" width="8.28515625" customWidth="1"/>
    <col min="9022" max="9022" width="0.85546875" customWidth="1"/>
    <col min="9023" max="9027" width="8.28515625" customWidth="1"/>
    <col min="9028" max="9028" width="0.85546875" customWidth="1"/>
    <col min="9029" max="9033" width="8.28515625" customWidth="1"/>
    <col min="9034" max="9034" width="0.85546875" customWidth="1"/>
    <col min="9035" max="9039" width="8.28515625" customWidth="1"/>
    <col min="9040" max="9040" width="0.85546875" customWidth="1"/>
    <col min="9041" max="9045" width="8.28515625" customWidth="1"/>
    <col min="9046" max="9046" width="0.85546875" customWidth="1"/>
    <col min="9047" max="9051" width="8.28515625" customWidth="1"/>
    <col min="9217" max="9217" width="25.7109375" customWidth="1"/>
    <col min="9218" max="9218" width="0.85546875" customWidth="1"/>
    <col min="9219" max="9223" width="8.28515625" customWidth="1"/>
    <col min="9224" max="9224" width="0.85546875" customWidth="1"/>
    <col min="9225" max="9229" width="8.28515625" customWidth="1"/>
    <col min="9230" max="9230" width="0.85546875" customWidth="1"/>
    <col min="9231" max="9235" width="8.28515625" customWidth="1"/>
    <col min="9236" max="9236" width="0.85546875" customWidth="1"/>
    <col min="9237" max="9241" width="8.28515625" customWidth="1"/>
    <col min="9242" max="9242" width="0.85546875" customWidth="1"/>
    <col min="9243" max="9247" width="8.28515625" customWidth="1"/>
    <col min="9248" max="9248" width="0.85546875" customWidth="1"/>
    <col min="9249" max="9253" width="8.28515625" customWidth="1"/>
    <col min="9254" max="9254" width="0.85546875" customWidth="1"/>
    <col min="9255" max="9259" width="8.28515625" customWidth="1"/>
    <col min="9260" max="9260" width="0.85546875" customWidth="1"/>
    <col min="9261" max="9265" width="8.28515625" customWidth="1"/>
    <col min="9266" max="9266" width="0.85546875" customWidth="1"/>
    <col min="9267" max="9271" width="8.28515625" customWidth="1"/>
    <col min="9272" max="9272" width="0.85546875" customWidth="1"/>
    <col min="9273" max="9277" width="8.28515625" customWidth="1"/>
    <col min="9278" max="9278" width="0.85546875" customWidth="1"/>
    <col min="9279" max="9283" width="8.28515625" customWidth="1"/>
    <col min="9284" max="9284" width="0.85546875" customWidth="1"/>
    <col min="9285" max="9289" width="8.28515625" customWidth="1"/>
    <col min="9290" max="9290" width="0.85546875" customWidth="1"/>
    <col min="9291" max="9295" width="8.28515625" customWidth="1"/>
    <col min="9296" max="9296" width="0.85546875" customWidth="1"/>
    <col min="9297" max="9301" width="8.28515625" customWidth="1"/>
    <col min="9302" max="9302" width="0.85546875" customWidth="1"/>
    <col min="9303" max="9307" width="8.28515625" customWidth="1"/>
    <col min="9473" max="9473" width="25.7109375" customWidth="1"/>
    <col min="9474" max="9474" width="0.85546875" customWidth="1"/>
    <col min="9475" max="9479" width="8.28515625" customWidth="1"/>
    <col min="9480" max="9480" width="0.85546875" customWidth="1"/>
    <col min="9481" max="9485" width="8.28515625" customWidth="1"/>
    <col min="9486" max="9486" width="0.85546875" customWidth="1"/>
    <col min="9487" max="9491" width="8.28515625" customWidth="1"/>
    <col min="9492" max="9492" width="0.85546875" customWidth="1"/>
    <col min="9493" max="9497" width="8.28515625" customWidth="1"/>
    <col min="9498" max="9498" width="0.85546875" customWidth="1"/>
    <col min="9499" max="9503" width="8.28515625" customWidth="1"/>
    <col min="9504" max="9504" width="0.85546875" customWidth="1"/>
    <col min="9505" max="9509" width="8.28515625" customWidth="1"/>
    <col min="9510" max="9510" width="0.85546875" customWidth="1"/>
    <col min="9511" max="9515" width="8.28515625" customWidth="1"/>
    <col min="9516" max="9516" width="0.85546875" customWidth="1"/>
    <col min="9517" max="9521" width="8.28515625" customWidth="1"/>
    <col min="9522" max="9522" width="0.85546875" customWidth="1"/>
    <col min="9523" max="9527" width="8.28515625" customWidth="1"/>
    <col min="9528" max="9528" width="0.85546875" customWidth="1"/>
    <col min="9529" max="9533" width="8.28515625" customWidth="1"/>
    <col min="9534" max="9534" width="0.85546875" customWidth="1"/>
    <col min="9535" max="9539" width="8.28515625" customWidth="1"/>
    <col min="9540" max="9540" width="0.85546875" customWidth="1"/>
    <col min="9541" max="9545" width="8.28515625" customWidth="1"/>
    <col min="9546" max="9546" width="0.85546875" customWidth="1"/>
    <col min="9547" max="9551" width="8.28515625" customWidth="1"/>
    <col min="9552" max="9552" width="0.85546875" customWidth="1"/>
    <col min="9553" max="9557" width="8.28515625" customWidth="1"/>
    <col min="9558" max="9558" width="0.85546875" customWidth="1"/>
    <col min="9559" max="9563" width="8.28515625" customWidth="1"/>
    <col min="9729" max="9729" width="25.7109375" customWidth="1"/>
    <col min="9730" max="9730" width="0.85546875" customWidth="1"/>
    <col min="9731" max="9735" width="8.28515625" customWidth="1"/>
    <col min="9736" max="9736" width="0.85546875" customWidth="1"/>
    <col min="9737" max="9741" width="8.28515625" customWidth="1"/>
    <col min="9742" max="9742" width="0.85546875" customWidth="1"/>
    <col min="9743" max="9747" width="8.28515625" customWidth="1"/>
    <col min="9748" max="9748" width="0.85546875" customWidth="1"/>
    <col min="9749" max="9753" width="8.28515625" customWidth="1"/>
    <col min="9754" max="9754" width="0.85546875" customWidth="1"/>
    <col min="9755" max="9759" width="8.28515625" customWidth="1"/>
    <col min="9760" max="9760" width="0.85546875" customWidth="1"/>
    <col min="9761" max="9765" width="8.28515625" customWidth="1"/>
    <col min="9766" max="9766" width="0.85546875" customWidth="1"/>
    <col min="9767" max="9771" width="8.28515625" customWidth="1"/>
    <col min="9772" max="9772" width="0.85546875" customWidth="1"/>
    <col min="9773" max="9777" width="8.28515625" customWidth="1"/>
    <col min="9778" max="9778" width="0.85546875" customWidth="1"/>
    <col min="9779" max="9783" width="8.28515625" customWidth="1"/>
    <col min="9784" max="9784" width="0.85546875" customWidth="1"/>
    <col min="9785" max="9789" width="8.28515625" customWidth="1"/>
    <col min="9790" max="9790" width="0.85546875" customWidth="1"/>
    <col min="9791" max="9795" width="8.28515625" customWidth="1"/>
    <col min="9796" max="9796" width="0.85546875" customWidth="1"/>
    <col min="9797" max="9801" width="8.28515625" customWidth="1"/>
    <col min="9802" max="9802" width="0.85546875" customWidth="1"/>
    <col min="9803" max="9807" width="8.28515625" customWidth="1"/>
    <col min="9808" max="9808" width="0.85546875" customWidth="1"/>
    <col min="9809" max="9813" width="8.28515625" customWidth="1"/>
    <col min="9814" max="9814" width="0.85546875" customWidth="1"/>
    <col min="9815" max="9819" width="8.28515625" customWidth="1"/>
    <col min="9985" max="9985" width="25.7109375" customWidth="1"/>
    <col min="9986" max="9986" width="0.85546875" customWidth="1"/>
    <col min="9987" max="9991" width="8.28515625" customWidth="1"/>
    <col min="9992" max="9992" width="0.85546875" customWidth="1"/>
    <col min="9993" max="9997" width="8.28515625" customWidth="1"/>
    <col min="9998" max="9998" width="0.85546875" customWidth="1"/>
    <col min="9999" max="10003" width="8.28515625" customWidth="1"/>
    <col min="10004" max="10004" width="0.85546875" customWidth="1"/>
    <col min="10005" max="10009" width="8.28515625" customWidth="1"/>
    <col min="10010" max="10010" width="0.85546875" customWidth="1"/>
    <col min="10011" max="10015" width="8.28515625" customWidth="1"/>
    <col min="10016" max="10016" width="0.85546875" customWidth="1"/>
    <col min="10017" max="10021" width="8.28515625" customWidth="1"/>
    <col min="10022" max="10022" width="0.85546875" customWidth="1"/>
    <col min="10023" max="10027" width="8.28515625" customWidth="1"/>
    <col min="10028" max="10028" width="0.85546875" customWidth="1"/>
    <col min="10029" max="10033" width="8.28515625" customWidth="1"/>
    <col min="10034" max="10034" width="0.85546875" customWidth="1"/>
    <col min="10035" max="10039" width="8.28515625" customWidth="1"/>
    <col min="10040" max="10040" width="0.85546875" customWidth="1"/>
    <col min="10041" max="10045" width="8.28515625" customWidth="1"/>
    <col min="10046" max="10046" width="0.85546875" customWidth="1"/>
    <col min="10047" max="10051" width="8.28515625" customWidth="1"/>
    <col min="10052" max="10052" width="0.85546875" customWidth="1"/>
    <col min="10053" max="10057" width="8.28515625" customWidth="1"/>
    <col min="10058" max="10058" width="0.85546875" customWidth="1"/>
    <col min="10059" max="10063" width="8.28515625" customWidth="1"/>
    <col min="10064" max="10064" width="0.85546875" customWidth="1"/>
    <col min="10065" max="10069" width="8.28515625" customWidth="1"/>
    <col min="10070" max="10070" width="0.85546875" customWidth="1"/>
    <col min="10071" max="10075" width="8.28515625" customWidth="1"/>
    <col min="10241" max="10241" width="25.7109375" customWidth="1"/>
    <col min="10242" max="10242" width="0.85546875" customWidth="1"/>
    <col min="10243" max="10247" width="8.28515625" customWidth="1"/>
    <col min="10248" max="10248" width="0.85546875" customWidth="1"/>
    <col min="10249" max="10253" width="8.28515625" customWidth="1"/>
    <col min="10254" max="10254" width="0.85546875" customWidth="1"/>
    <col min="10255" max="10259" width="8.28515625" customWidth="1"/>
    <col min="10260" max="10260" width="0.85546875" customWidth="1"/>
    <col min="10261" max="10265" width="8.28515625" customWidth="1"/>
    <col min="10266" max="10266" width="0.85546875" customWidth="1"/>
    <col min="10267" max="10271" width="8.28515625" customWidth="1"/>
    <col min="10272" max="10272" width="0.85546875" customWidth="1"/>
    <col min="10273" max="10277" width="8.28515625" customWidth="1"/>
    <col min="10278" max="10278" width="0.85546875" customWidth="1"/>
    <col min="10279" max="10283" width="8.28515625" customWidth="1"/>
    <col min="10284" max="10284" width="0.85546875" customWidth="1"/>
    <col min="10285" max="10289" width="8.28515625" customWidth="1"/>
    <col min="10290" max="10290" width="0.85546875" customWidth="1"/>
    <col min="10291" max="10295" width="8.28515625" customWidth="1"/>
    <col min="10296" max="10296" width="0.85546875" customWidth="1"/>
    <col min="10297" max="10301" width="8.28515625" customWidth="1"/>
    <col min="10302" max="10302" width="0.85546875" customWidth="1"/>
    <col min="10303" max="10307" width="8.28515625" customWidth="1"/>
    <col min="10308" max="10308" width="0.85546875" customWidth="1"/>
    <col min="10309" max="10313" width="8.28515625" customWidth="1"/>
    <col min="10314" max="10314" width="0.85546875" customWidth="1"/>
    <col min="10315" max="10319" width="8.28515625" customWidth="1"/>
    <col min="10320" max="10320" width="0.85546875" customWidth="1"/>
    <col min="10321" max="10325" width="8.28515625" customWidth="1"/>
    <col min="10326" max="10326" width="0.85546875" customWidth="1"/>
    <col min="10327" max="10331" width="8.28515625" customWidth="1"/>
    <col min="10497" max="10497" width="25.7109375" customWidth="1"/>
    <col min="10498" max="10498" width="0.85546875" customWidth="1"/>
    <col min="10499" max="10503" width="8.28515625" customWidth="1"/>
    <col min="10504" max="10504" width="0.85546875" customWidth="1"/>
    <col min="10505" max="10509" width="8.28515625" customWidth="1"/>
    <col min="10510" max="10510" width="0.85546875" customWidth="1"/>
    <col min="10511" max="10515" width="8.28515625" customWidth="1"/>
    <col min="10516" max="10516" width="0.85546875" customWidth="1"/>
    <col min="10517" max="10521" width="8.28515625" customWidth="1"/>
    <col min="10522" max="10522" width="0.85546875" customWidth="1"/>
    <col min="10523" max="10527" width="8.28515625" customWidth="1"/>
    <col min="10528" max="10528" width="0.85546875" customWidth="1"/>
    <col min="10529" max="10533" width="8.28515625" customWidth="1"/>
    <col min="10534" max="10534" width="0.85546875" customWidth="1"/>
    <col min="10535" max="10539" width="8.28515625" customWidth="1"/>
    <col min="10540" max="10540" width="0.85546875" customWidth="1"/>
    <col min="10541" max="10545" width="8.28515625" customWidth="1"/>
    <col min="10546" max="10546" width="0.85546875" customWidth="1"/>
    <col min="10547" max="10551" width="8.28515625" customWidth="1"/>
    <col min="10552" max="10552" width="0.85546875" customWidth="1"/>
    <col min="10553" max="10557" width="8.28515625" customWidth="1"/>
    <col min="10558" max="10558" width="0.85546875" customWidth="1"/>
    <col min="10559" max="10563" width="8.28515625" customWidth="1"/>
    <col min="10564" max="10564" width="0.85546875" customWidth="1"/>
    <col min="10565" max="10569" width="8.28515625" customWidth="1"/>
    <col min="10570" max="10570" width="0.85546875" customWidth="1"/>
    <col min="10571" max="10575" width="8.28515625" customWidth="1"/>
    <col min="10576" max="10576" width="0.85546875" customWidth="1"/>
    <col min="10577" max="10581" width="8.28515625" customWidth="1"/>
    <col min="10582" max="10582" width="0.85546875" customWidth="1"/>
    <col min="10583" max="10587" width="8.28515625" customWidth="1"/>
    <col min="10753" max="10753" width="25.7109375" customWidth="1"/>
    <col min="10754" max="10754" width="0.85546875" customWidth="1"/>
    <col min="10755" max="10759" width="8.28515625" customWidth="1"/>
    <col min="10760" max="10760" width="0.85546875" customWidth="1"/>
    <col min="10761" max="10765" width="8.28515625" customWidth="1"/>
    <col min="10766" max="10766" width="0.85546875" customWidth="1"/>
    <col min="10767" max="10771" width="8.28515625" customWidth="1"/>
    <col min="10772" max="10772" width="0.85546875" customWidth="1"/>
    <col min="10773" max="10777" width="8.28515625" customWidth="1"/>
    <col min="10778" max="10778" width="0.85546875" customWidth="1"/>
    <col min="10779" max="10783" width="8.28515625" customWidth="1"/>
    <col min="10784" max="10784" width="0.85546875" customWidth="1"/>
    <col min="10785" max="10789" width="8.28515625" customWidth="1"/>
    <col min="10790" max="10790" width="0.85546875" customWidth="1"/>
    <col min="10791" max="10795" width="8.28515625" customWidth="1"/>
    <col min="10796" max="10796" width="0.85546875" customWidth="1"/>
    <col min="10797" max="10801" width="8.28515625" customWidth="1"/>
    <col min="10802" max="10802" width="0.85546875" customWidth="1"/>
    <col min="10803" max="10807" width="8.28515625" customWidth="1"/>
    <col min="10808" max="10808" width="0.85546875" customWidth="1"/>
    <col min="10809" max="10813" width="8.28515625" customWidth="1"/>
    <col min="10814" max="10814" width="0.85546875" customWidth="1"/>
    <col min="10815" max="10819" width="8.28515625" customWidth="1"/>
    <col min="10820" max="10820" width="0.85546875" customWidth="1"/>
    <col min="10821" max="10825" width="8.28515625" customWidth="1"/>
    <col min="10826" max="10826" width="0.85546875" customWidth="1"/>
    <col min="10827" max="10831" width="8.28515625" customWidth="1"/>
    <col min="10832" max="10832" width="0.85546875" customWidth="1"/>
    <col min="10833" max="10837" width="8.28515625" customWidth="1"/>
    <col min="10838" max="10838" width="0.85546875" customWidth="1"/>
    <col min="10839" max="10843" width="8.28515625" customWidth="1"/>
    <col min="11009" max="11009" width="25.7109375" customWidth="1"/>
    <col min="11010" max="11010" width="0.85546875" customWidth="1"/>
    <col min="11011" max="11015" width="8.28515625" customWidth="1"/>
    <col min="11016" max="11016" width="0.85546875" customWidth="1"/>
    <col min="11017" max="11021" width="8.28515625" customWidth="1"/>
    <col min="11022" max="11022" width="0.85546875" customWidth="1"/>
    <col min="11023" max="11027" width="8.28515625" customWidth="1"/>
    <col min="11028" max="11028" width="0.85546875" customWidth="1"/>
    <col min="11029" max="11033" width="8.28515625" customWidth="1"/>
    <col min="11034" max="11034" width="0.85546875" customWidth="1"/>
    <col min="11035" max="11039" width="8.28515625" customWidth="1"/>
    <col min="11040" max="11040" width="0.85546875" customWidth="1"/>
    <col min="11041" max="11045" width="8.28515625" customWidth="1"/>
    <col min="11046" max="11046" width="0.85546875" customWidth="1"/>
    <col min="11047" max="11051" width="8.28515625" customWidth="1"/>
    <col min="11052" max="11052" width="0.85546875" customWidth="1"/>
    <col min="11053" max="11057" width="8.28515625" customWidth="1"/>
    <col min="11058" max="11058" width="0.85546875" customWidth="1"/>
    <col min="11059" max="11063" width="8.28515625" customWidth="1"/>
    <col min="11064" max="11064" width="0.85546875" customWidth="1"/>
    <col min="11065" max="11069" width="8.28515625" customWidth="1"/>
    <col min="11070" max="11070" width="0.85546875" customWidth="1"/>
    <col min="11071" max="11075" width="8.28515625" customWidth="1"/>
    <col min="11076" max="11076" width="0.85546875" customWidth="1"/>
    <col min="11077" max="11081" width="8.28515625" customWidth="1"/>
    <col min="11082" max="11082" width="0.85546875" customWidth="1"/>
    <col min="11083" max="11087" width="8.28515625" customWidth="1"/>
    <col min="11088" max="11088" width="0.85546875" customWidth="1"/>
    <col min="11089" max="11093" width="8.28515625" customWidth="1"/>
    <col min="11094" max="11094" width="0.85546875" customWidth="1"/>
    <col min="11095" max="11099" width="8.28515625" customWidth="1"/>
    <col min="11265" max="11265" width="25.7109375" customWidth="1"/>
    <col min="11266" max="11266" width="0.85546875" customWidth="1"/>
    <col min="11267" max="11271" width="8.28515625" customWidth="1"/>
    <col min="11272" max="11272" width="0.85546875" customWidth="1"/>
    <col min="11273" max="11277" width="8.28515625" customWidth="1"/>
    <col min="11278" max="11278" width="0.85546875" customWidth="1"/>
    <col min="11279" max="11283" width="8.28515625" customWidth="1"/>
    <col min="11284" max="11284" width="0.85546875" customWidth="1"/>
    <col min="11285" max="11289" width="8.28515625" customWidth="1"/>
    <col min="11290" max="11290" width="0.85546875" customWidth="1"/>
    <col min="11291" max="11295" width="8.28515625" customWidth="1"/>
    <col min="11296" max="11296" width="0.85546875" customWidth="1"/>
    <col min="11297" max="11301" width="8.28515625" customWidth="1"/>
    <col min="11302" max="11302" width="0.85546875" customWidth="1"/>
    <col min="11303" max="11307" width="8.28515625" customWidth="1"/>
    <col min="11308" max="11308" width="0.85546875" customWidth="1"/>
    <col min="11309" max="11313" width="8.28515625" customWidth="1"/>
    <col min="11314" max="11314" width="0.85546875" customWidth="1"/>
    <col min="11315" max="11319" width="8.28515625" customWidth="1"/>
    <col min="11320" max="11320" width="0.85546875" customWidth="1"/>
    <col min="11321" max="11325" width="8.28515625" customWidth="1"/>
    <col min="11326" max="11326" width="0.85546875" customWidth="1"/>
    <col min="11327" max="11331" width="8.28515625" customWidth="1"/>
    <col min="11332" max="11332" width="0.85546875" customWidth="1"/>
    <col min="11333" max="11337" width="8.28515625" customWidth="1"/>
    <col min="11338" max="11338" width="0.85546875" customWidth="1"/>
    <col min="11339" max="11343" width="8.28515625" customWidth="1"/>
    <col min="11344" max="11344" width="0.85546875" customWidth="1"/>
    <col min="11345" max="11349" width="8.28515625" customWidth="1"/>
    <col min="11350" max="11350" width="0.85546875" customWidth="1"/>
    <col min="11351" max="11355" width="8.28515625" customWidth="1"/>
    <col min="11521" max="11521" width="25.7109375" customWidth="1"/>
    <col min="11522" max="11522" width="0.85546875" customWidth="1"/>
    <col min="11523" max="11527" width="8.28515625" customWidth="1"/>
    <col min="11528" max="11528" width="0.85546875" customWidth="1"/>
    <col min="11529" max="11533" width="8.28515625" customWidth="1"/>
    <col min="11534" max="11534" width="0.85546875" customWidth="1"/>
    <col min="11535" max="11539" width="8.28515625" customWidth="1"/>
    <col min="11540" max="11540" width="0.85546875" customWidth="1"/>
    <col min="11541" max="11545" width="8.28515625" customWidth="1"/>
    <col min="11546" max="11546" width="0.85546875" customWidth="1"/>
    <col min="11547" max="11551" width="8.28515625" customWidth="1"/>
    <col min="11552" max="11552" width="0.85546875" customWidth="1"/>
    <col min="11553" max="11557" width="8.28515625" customWidth="1"/>
    <col min="11558" max="11558" width="0.85546875" customWidth="1"/>
    <col min="11559" max="11563" width="8.28515625" customWidth="1"/>
    <col min="11564" max="11564" width="0.85546875" customWidth="1"/>
    <col min="11565" max="11569" width="8.28515625" customWidth="1"/>
    <col min="11570" max="11570" width="0.85546875" customWidth="1"/>
    <col min="11571" max="11575" width="8.28515625" customWidth="1"/>
    <col min="11576" max="11576" width="0.85546875" customWidth="1"/>
    <col min="11577" max="11581" width="8.28515625" customWidth="1"/>
    <col min="11582" max="11582" width="0.85546875" customWidth="1"/>
    <col min="11583" max="11587" width="8.28515625" customWidth="1"/>
    <col min="11588" max="11588" width="0.85546875" customWidth="1"/>
    <col min="11589" max="11593" width="8.28515625" customWidth="1"/>
    <col min="11594" max="11594" width="0.85546875" customWidth="1"/>
    <col min="11595" max="11599" width="8.28515625" customWidth="1"/>
    <col min="11600" max="11600" width="0.85546875" customWidth="1"/>
    <col min="11601" max="11605" width="8.28515625" customWidth="1"/>
    <col min="11606" max="11606" width="0.85546875" customWidth="1"/>
    <col min="11607" max="11611" width="8.28515625" customWidth="1"/>
    <col min="11777" max="11777" width="25.7109375" customWidth="1"/>
    <col min="11778" max="11778" width="0.85546875" customWidth="1"/>
    <col min="11779" max="11783" width="8.28515625" customWidth="1"/>
    <col min="11784" max="11784" width="0.85546875" customWidth="1"/>
    <col min="11785" max="11789" width="8.28515625" customWidth="1"/>
    <col min="11790" max="11790" width="0.85546875" customWidth="1"/>
    <col min="11791" max="11795" width="8.28515625" customWidth="1"/>
    <col min="11796" max="11796" width="0.85546875" customWidth="1"/>
    <col min="11797" max="11801" width="8.28515625" customWidth="1"/>
    <col min="11802" max="11802" width="0.85546875" customWidth="1"/>
    <col min="11803" max="11807" width="8.28515625" customWidth="1"/>
    <col min="11808" max="11808" width="0.85546875" customWidth="1"/>
    <col min="11809" max="11813" width="8.28515625" customWidth="1"/>
    <col min="11814" max="11814" width="0.85546875" customWidth="1"/>
    <col min="11815" max="11819" width="8.28515625" customWidth="1"/>
    <col min="11820" max="11820" width="0.85546875" customWidth="1"/>
    <col min="11821" max="11825" width="8.28515625" customWidth="1"/>
    <col min="11826" max="11826" width="0.85546875" customWidth="1"/>
    <col min="11827" max="11831" width="8.28515625" customWidth="1"/>
    <col min="11832" max="11832" width="0.85546875" customWidth="1"/>
    <col min="11833" max="11837" width="8.28515625" customWidth="1"/>
    <col min="11838" max="11838" width="0.85546875" customWidth="1"/>
    <col min="11839" max="11843" width="8.28515625" customWidth="1"/>
    <col min="11844" max="11844" width="0.85546875" customWidth="1"/>
    <col min="11845" max="11849" width="8.28515625" customWidth="1"/>
    <col min="11850" max="11850" width="0.85546875" customWidth="1"/>
    <col min="11851" max="11855" width="8.28515625" customWidth="1"/>
    <col min="11856" max="11856" width="0.85546875" customWidth="1"/>
    <col min="11857" max="11861" width="8.28515625" customWidth="1"/>
    <col min="11862" max="11862" width="0.85546875" customWidth="1"/>
    <col min="11863" max="11867" width="8.28515625" customWidth="1"/>
    <col min="12033" max="12033" width="25.7109375" customWidth="1"/>
    <col min="12034" max="12034" width="0.85546875" customWidth="1"/>
    <col min="12035" max="12039" width="8.28515625" customWidth="1"/>
    <col min="12040" max="12040" width="0.85546875" customWidth="1"/>
    <col min="12041" max="12045" width="8.28515625" customWidth="1"/>
    <col min="12046" max="12046" width="0.85546875" customWidth="1"/>
    <col min="12047" max="12051" width="8.28515625" customWidth="1"/>
    <col min="12052" max="12052" width="0.85546875" customWidth="1"/>
    <col min="12053" max="12057" width="8.28515625" customWidth="1"/>
    <col min="12058" max="12058" width="0.85546875" customWidth="1"/>
    <col min="12059" max="12063" width="8.28515625" customWidth="1"/>
    <col min="12064" max="12064" width="0.85546875" customWidth="1"/>
    <col min="12065" max="12069" width="8.28515625" customWidth="1"/>
    <col min="12070" max="12070" width="0.85546875" customWidth="1"/>
    <col min="12071" max="12075" width="8.28515625" customWidth="1"/>
    <col min="12076" max="12076" width="0.85546875" customWidth="1"/>
    <col min="12077" max="12081" width="8.28515625" customWidth="1"/>
    <col min="12082" max="12082" width="0.85546875" customWidth="1"/>
    <col min="12083" max="12087" width="8.28515625" customWidth="1"/>
    <col min="12088" max="12088" width="0.85546875" customWidth="1"/>
    <col min="12089" max="12093" width="8.28515625" customWidth="1"/>
    <col min="12094" max="12094" width="0.85546875" customWidth="1"/>
    <col min="12095" max="12099" width="8.28515625" customWidth="1"/>
    <col min="12100" max="12100" width="0.85546875" customWidth="1"/>
    <col min="12101" max="12105" width="8.28515625" customWidth="1"/>
    <col min="12106" max="12106" width="0.85546875" customWidth="1"/>
    <col min="12107" max="12111" width="8.28515625" customWidth="1"/>
    <col min="12112" max="12112" width="0.85546875" customWidth="1"/>
    <col min="12113" max="12117" width="8.28515625" customWidth="1"/>
    <col min="12118" max="12118" width="0.85546875" customWidth="1"/>
    <col min="12119" max="12123" width="8.28515625" customWidth="1"/>
    <col min="12289" max="12289" width="25.7109375" customWidth="1"/>
    <col min="12290" max="12290" width="0.85546875" customWidth="1"/>
    <col min="12291" max="12295" width="8.28515625" customWidth="1"/>
    <col min="12296" max="12296" width="0.85546875" customWidth="1"/>
    <col min="12297" max="12301" width="8.28515625" customWidth="1"/>
    <col min="12302" max="12302" width="0.85546875" customWidth="1"/>
    <col min="12303" max="12307" width="8.28515625" customWidth="1"/>
    <col min="12308" max="12308" width="0.85546875" customWidth="1"/>
    <col min="12309" max="12313" width="8.28515625" customWidth="1"/>
    <col min="12314" max="12314" width="0.85546875" customWidth="1"/>
    <col min="12315" max="12319" width="8.28515625" customWidth="1"/>
    <col min="12320" max="12320" width="0.85546875" customWidth="1"/>
    <col min="12321" max="12325" width="8.28515625" customWidth="1"/>
    <col min="12326" max="12326" width="0.85546875" customWidth="1"/>
    <col min="12327" max="12331" width="8.28515625" customWidth="1"/>
    <col min="12332" max="12332" width="0.85546875" customWidth="1"/>
    <col min="12333" max="12337" width="8.28515625" customWidth="1"/>
    <col min="12338" max="12338" width="0.85546875" customWidth="1"/>
    <col min="12339" max="12343" width="8.28515625" customWidth="1"/>
    <col min="12344" max="12344" width="0.85546875" customWidth="1"/>
    <col min="12345" max="12349" width="8.28515625" customWidth="1"/>
    <col min="12350" max="12350" width="0.85546875" customWidth="1"/>
    <col min="12351" max="12355" width="8.28515625" customWidth="1"/>
    <col min="12356" max="12356" width="0.85546875" customWidth="1"/>
    <col min="12357" max="12361" width="8.28515625" customWidth="1"/>
    <col min="12362" max="12362" width="0.85546875" customWidth="1"/>
    <col min="12363" max="12367" width="8.28515625" customWidth="1"/>
    <col min="12368" max="12368" width="0.85546875" customWidth="1"/>
    <col min="12369" max="12373" width="8.28515625" customWidth="1"/>
    <col min="12374" max="12374" width="0.85546875" customWidth="1"/>
    <col min="12375" max="12379" width="8.28515625" customWidth="1"/>
    <col min="12545" max="12545" width="25.7109375" customWidth="1"/>
    <col min="12546" max="12546" width="0.85546875" customWidth="1"/>
    <col min="12547" max="12551" width="8.28515625" customWidth="1"/>
    <col min="12552" max="12552" width="0.85546875" customWidth="1"/>
    <col min="12553" max="12557" width="8.28515625" customWidth="1"/>
    <col min="12558" max="12558" width="0.85546875" customWidth="1"/>
    <col min="12559" max="12563" width="8.28515625" customWidth="1"/>
    <col min="12564" max="12564" width="0.85546875" customWidth="1"/>
    <col min="12565" max="12569" width="8.28515625" customWidth="1"/>
    <col min="12570" max="12570" width="0.85546875" customWidth="1"/>
    <col min="12571" max="12575" width="8.28515625" customWidth="1"/>
    <col min="12576" max="12576" width="0.85546875" customWidth="1"/>
    <col min="12577" max="12581" width="8.28515625" customWidth="1"/>
    <col min="12582" max="12582" width="0.85546875" customWidth="1"/>
    <col min="12583" max="12587" width="8.28515625" customWidth="1"/>
    <col min="12588" max="12588" width="0.85546875" customWidth="1"/>
    <col min="12589" max="12593" width="8.28515625" customWidth="1"/>
    <col min="12594" max="12594" width="0.85546875" customWidth="1"/>
    <col min="12595" max="12599" width="8.28515625" customWidth="1"/>
    <col min="12600" max="12600" width="0.85546875" customWidth="1"/>
    <col min="12601" max="12605" width="8.28515625" customWidth="1"/>
    <col min="12606" max="12606" width="0.85546875" customWidth="1"/>
    <col min="12607" max="12611" width="8.28515625" customWidth="1"/>
    <col min="12612" max="12612" width="0.85546875" customWidth="1"/>
    <col min="12613" max="12617" width="8.28515625" customWidth="1"/>
    <col min="12618" max="12618" width="0.85546875" customWidth="1"/>
    <col min="12619" max="12623" width="8.28515625" customWidth="1"/>
    <col min="12624" max="12624" width="0.85546875" customWidth="1"/>
    <col min="12625" max="12629" width="8.28515625" customWidth="1"/>
    <col min="12630" max="12630" width="0.85546875" customWidth="1"/>
    <col min="12631" max="12635" width="8.28515625" customWidth="1"/>
    <col min="12801" max="12801" width="25.7109375" customWidth="1"/>
    <col min="12802" max="12802" width="0.85546875" customWidth="1"/>
    <col min="12803" max="12807" width="8.28515625" customWidth="1"/>
    <col min="12808" max="12808" width="0.85546875" customWidth="1"/>
    <col min="12809" max="12813" width="8.28515625" customWidth="1"/>
    <col min="12814" max="12814" width="0.85546875" customWidth="1"/>
    <col min="12815" max="12819" width="8.28515625" customWidth="1"/>
    <col min="12820" max="12820" width="0.85546875" customWidth="1"/>
    <col min="12821" max="12825" width="8.28515625" customWidth="1"/>
    <col min="12826" max="12826" width="0.85546875" customWidth="1"/>
    <col min="12827" max="12831" width="8.28515625" customWidth="1"/>
    <col min="12832" max="12832" width="0.85546875" customWidth="1"/>
    <col min="12833" max="12837" width="8.28515625" customWidth="1"/>
    <col min="12838" max="12838" width="0.85546875" customWidth="1"/>
    <col min="12839" max="12843" width="8.28515625" customWidth="1"/>
    <col min="12844" max="12844" width="0.85546875" customWidth="1"/>
    <col min="12845" max="12849" width="8.28515625" customWidth="1"/>
    <col min="12850" max="12850" width="0.85546875" customWidth="1"/>
    <col min="12851" max="12855" width="8.28515625" customWidth="1"/>
    <col min="12856" max="12856" width="0.85546875" customWidth="1"/>
    <col min="12857" max="12861" width="8.28515625" customWidth="1"/>
    <col min="12862" max="12862" width="0.85546875" customWidth="1"/>
    <col min="12863" max="12867" width="8.28515625" customWidth="1"/>
    <col min="12868" max="12868" width="0.85546875" customWidth="1"/>
    <col min="12869" max="12873" width="8.28515625" customWidth="1"/>
    <col min="12874" max="12874" width="0.85546875" customWidth="1"/>
    <col min="12875" max="12879" width="8.28515625" customWidth="1"/>
    <col min="12880" max="12880" width="0.85546875" customWidth="1"/>
    <col min="12881" max="12885" width="8.28515625" customWidth="1"/>
    <col min="12886" max="12886" width="0.85546875" customWidth="1"/>
    <col min="12887" max="12891" width="8.28515625" customWidth="1"/>
    <col min="13057" max="13057" width="25.7109375" customWidth="1"/>
    <col min="13058" max="13058" width="0.85546875" customWidth="1"/>
    <col min="13059" max="13063" width="8.28515625" customWidth="1"/>
    <col min="13064" max="13064" width="0.85546875" customWidth="1"/>
    <col min="13065" max="13069" width="8.28515625" customWidth="1"/>
    <col min="13070" max="13070" width="0.85546875" customWidth="1"/>
    <col min="13071" max="13075" width="8.28515625" customWidth="1"/>
    <col min="13076" max="13076" width="0.85546875" customWidth="1"/>
    <col min="13077" max="13081" width="8.28515625" customWidth="1"/>
    <col min="13082" max="13082" width="0.85546875" customWidth="1"/>
    <col min="13083" max="13087" width="8.28515625" customWidth="1"/>
    <col min="13088" max="13088" width="0.85546875" customWidth="1"/>
    <col min="13089" max="13093" width="8.28515625" customWidth="1"/>
    <col min="13094" max="13094" width="0.85546875" customWidth="1"/>
    <col min="13095" max="13099" width="8.28515625" customWidth="1"/>
    <col min="13100" max="13100" width="0.85546875" customWidth="1"/>
    <col min="13101" max="13105" width="8.28515625" customWidth="1"/>
    <col min="13106" max="13106" width="0.85546875" customWidth="1"/>
    <col min="13107" max="13111" width="8.28515625" customWidth="1"/>
    <col min="13112" max="13112" width="0.85546875" customWidth="1"/>
    <col min="13113" max="13117" width="8.28515625" customWidth="1"/>
    <col min="13118" max="13118" width="0.85546875" customWidth="1"/>
    <col min="13119" max="13123" width="8.28515625" customWidth="1"/>
    <col min="13124" max="13124" width="0.85546875" customWidth="1"/>
    <col min="13125" max="13129" width="8.28515625" customWidth="1"/>
    <col min="13130" max="13130" width="0.85546875" customWidth="1"/>
    <col min="13131" max="13135" width="8.28515625" customWidth="1"/>
    <col min="13136" max="13136" width="0.85546875" customWidth="1"/>
    <col min="13137" max="13141" width="8.28515625" customWidth="1"/>
    <col min="13142" max="13142" width="0.85546875" customWidth="1"/>
    <col min="13143" max="13147" width="8.28515625" customWidth="1"/>
    <col min="13313" max="13313" width="25.7109375" customWidth="1"/>
    <col min="13314" max="13314" width="0.85546875" customWidth="1"/>
    <col min="13315" max="13319" width="8.28515625" customWidth="1"/>
    <col min="13320" max="13320" width="0.85546875" customWidth="1"/>
    <col min="13321" max="13325" width="8.28515625" customWidth="1"/>
    <col min="13326" max="13326" width="0.85546875" customWidth="1"/>
    <col min="13327" max="13331" width="8.28515625" customWidth="1"/>
    <col min="13332" max="13332" width="0.85546875" customWidth="1"/>
    <col min="13333" max="13337" width="8.28515625" customWidth="1"/>
    <col min="13338" max="13338" width="0.85546875" customWidth="1"/>
    <col min="13339" max="13343" width="8.28515625" customWidth="1"/>
    <col min="13344" max="13344" width="0.85546875" customWidth="1"/>
    <col min="13345" max="13349" width="8.28515625" customWidth="1"/>
    <col min="13350" max="13350" width="0.85546875" customWidth="1"/>
    <col min="13351" max="13355" width="8.28515625" customWidth="1"/>
    <col min="13356" max="13356" width="0.85546875" customWidth="1"/>
    <col min="13357" max="13361" width="8.28515625" customWidth="1"/>
    <col min="13362" max="13362" width="0.85546875" customWidth="1"/>
    <col min="13363" max="13367" width="8.28515625" customWidth="1"/>
    <col min="13368" max="13368" width="0.85546875" customWidth="1"/>
    <col min="13369" max="13373" width="8.28515625" customWidth="1"/>
    <col min="13374" max="13374" width="0.85546875" customWidth="1"/>
    <col min="13375" max="13379" width="8.28515625" customWidth="1"/>
    <col min="13380" max="13380" width="0.85546875" customWidth="1"/>
    <col min="13381" max="13385" width="8.28515625" customWidth="1"/>
    <col min="13386" max="13386" width="0.85546875" customWidth="1"/>
    <col min="13387" max="13391" width="8.28515625" customWidth="1"/>
    <col min="13392" max="13392" width="0.85546875" customWidth="1"/>
    <col min="13393" max="13397" width="8.28515625" customWidth="1"/>
    <col min="13398" max="13398" width="0.85546875" customWidth="1"/>
    <col min="13399" max="13403" width="8.28515625" customWidth="1"/>
    <col min="13569" max="13569" width="25.7109375" customWidth="1"/>
    <col min="13570" max="13570" width="0.85546875" customWidth="1"/>
    <col min="13571" max="13575" width="8.28515625" customWidth="1"/>
    <col min="13576" max="13576" width="0.85546875" customWidth="1"/>
    <col min="13577" max="13581" width="8.28515625" customWidth="1"/>
    <col min="13582" max="13582" width="0.85546875" customWidth="1"/>
    <col min="13583" max="13587" width="8.28515625" customWidth="1"/>
    <col min="13588" max="13588" width="0.85546875" customWidth="1"/>
    <col min="13589" max="13593" width="8.28515625" customWidth="1"/>
    <col min="13594" max="13594" width="0.85546875" customWidth="1"/>
    <col min="13595" max="13599" width="8.28515625" customWidth="1"/>
    <col min="13600" max="13600" width="0.85546875" customWidth="1"/>
    <col min="13601" max="13605" width="8.28515625" customWidth="1"/>
    <col min="13606" max="13606" width="0.85546875" customWidth="1"/>
    <col min="13607" max="13611" width="8.28515625" customWidth="1"/>
    <col min="13612" max="13612" width="0.85546875" customWidth="1"/>
    <col min="13613" max="13617" width="8.28515625" customWidth="1"/>
    <col min="13618" max="13618" width="0.85546875" customWidth="1"/>
    <col min="13619" max="13623" width="8.28515625" customWidth="1"/>
    <col min="13624" max="13624" width="0.85546875" customWidth="1"/>
    <col min="13625" max="13629" width="8.28515625" customWidth="1"/>
    <col min="13630" max="13630" width="0.85546875" customWidth="1"/>
    <col min="13631" max="13635" width="8.28515625" customWidth="1"/>
    <col min="13636" max="13636" width="0.85546875" customWidth="1"/>
    <col min="13637" max="13641" width="8.28515625" customWidth="1"/>
    <col min="13642" max="13642" width="0.85546875" customWidth="1"/>
    <col min="13643" max="13647" width="8.28515625" customWidth="1"/>
    <col min="13648" max="13648" width="0.85546875" customWidth="1"/>
    <col min="13649" max="13653" width="8.28515625" customWidth="1"/>
    <col min="13654" max="13654" width="0.85546875" customWidth="1"/>
    <col min="13655" max="13659" width="8.28515625" customWidth="1"/>
    <col min="13825" max="13825" width="25.7109375" customWidth="1"/>
    <col min="13826" max="13826" width="0.85546875" customWidth="1"/>
    <col min="13827" max="13831" width="8.28515625" customWidth="1"/>
    <col min="13832" max="13832" width="0.85546875" customWidth="1"/>
    <col min="13833" max="13837" width="8.28515625" customWidth="1"/>
    <col min="13838" max="13838" width="0.85546875" customWidth="1"/>
    <col min="13839" max="13843" width="8.28515625" customWidth="1"/>
    <col min="13844" max="13844" width="0.85546875" customWidth="1"/>
    <col min="13845" max="13849" width="8.28515625" customWidth="1"/>
    <col min="13850" max="13850" width="0.85546875" customWidth="1"/>
    <col min="13851" max="13855" width="8.28515625" customWidth="1"/>
    <col min="13856" max="13856" width="0.85546875" customWidth="1"/>
    <col min="13857" max="13861" width="8.28515625" customWidth="1"/>
    <col min="13862" max="13862" width="0.85546875" customWidth="1"/>
    <col min="13863" max="13867" width="8.28515625" customWidth="1"/>
    <col min="13868" max="13868" width="0.85546875" customWidth="1"/>
    <col min="13869" max="13873" width="8.28515625" customWidth="1"/>
    <col min="13874" max="13874" width="0.85546875" customWidth="1"/>
    <col min="13875" max="13879" width="8.28515625" customWidth="1"/>
    <col min="13880" max="13880" width="0.85546875" customWidth="1"/>
    <col min="13881" max="13885" width="8.28515625" customWidth="1"/>
    <col min="13886" max="13886" width="0.85546875" customWidth="1"/>
    <col min="13887" max="13891" width="8.28515625" customWidth="1"/>
    <col min="13892" max="13892" width="0.85546875" customWidth="1"/>
    <col min="13893" max="13897" width="8.28515625" customWidth="1"/>
    <col min="13898" max="13898" width="0.85546875" customWidth="1"/>
    <col min="13899" max="13903" width="8.28515625" customWidth="1"/>
    <col min="13904" max="13904" width="0.85546875" customWidth="1"/>
    <col min="13905" max="13909" width="8.28515625" customWidth="1"/>
    <col min="13910" max="13910" width="0.85546875" customWidth="1"/>
    <col min="13911" max="13915" width="8.28515625" customWidth="1"/>
    <col min="14081" max="14081" width="25.7109375" customWidth="1"/>
    <col min="14082" max="14082" width="0.85546875" customWidth="1"/>
    <col min="14083" max="14087" width="8.28515625" customWidth="1"/>
    <col min="14088" max="14088" width="0.85546875" customWidth="1"/>
    <col min="14089" max="14093" width="8.28515625" customWidth="1"/>
    <col min="14094" max="14094" width="0.85546875" customWidth="1"/>
    <col min="14095" max="14099" width="8.28515625" customWidth="1"/>
    <col min="14100" max="14100" width="0.85546875" customWidth="1"/>
    <col min="14101" max="14105" width="8.28515625" customWidth="1"/>
    <col min="14106" max="14106" width="0.85546875" customWidth="1"/>
    <col min="14107" max="14111" width="8.28515625" customWidth="1"/>
    <col min="14112" max="14112" width="0.85546875" customWidth="1"/>
    <col min="14113" max="14117" width="8.28515625" customWidth="1"/>
    <col min="14118" max="14118" width="0.85546875" customWidth="1"/>
    <col min="14119" max="14123" width="8.28515625" customWidth="1"/>
    <col min="14124" max="14124" width="0.85546875" customWidth="1"/>
    <col min="14125" max="14129" width="8.28515625" customWidth="1"/>
    <col min="14130" max="14130" width="0.85546875" customWidth="1"/>
    <col min="14131" max="14135" width="8.28515625" customWidth="1"/>
    <col min="14136" max="14136" width="0.85546875" customWidth="1"/>
    <col min="14137" max="14141" width="8.28515625" customWidth="1"/>
    <col min="14142" max="14142" width="0.85546875" customWidth="1"/>
    <col min="14143" max="14147" width="8.28515625" customWidth="1"/>
    <col min="14148" max="14148" width="0.85546875" customWidth="1"/>
    <col min="14149" max="14153" width="8.28515625" customWidth="1"/>
    <col min="14154" max="14154" width="0.85546875" customWidth="1"/>
    <col min="14155" max="14159" width="8.28515625" customWidth="1"/>
    <col min="14160" max="14160" width="0.85546875" customWidth="1"/>
    <col min="14161" max="14165" width="8.28515625" customWidth="1"/>
    <col min="14166" max="14166" width="0.85546875" customWidth="1"/>
    <col min="14167" max="14171" width="8.28515625" customWidth="1"/>
    <col min="14337" max="14337" width="25.7109375" customWidth="1"/>
    <col min="14338" max="14338" width="0.85546875" customWidth="1"/>
    <col min="14339" max="14343" width="8.28515625" customWidth="1"/>
    <col min="14344" max="14344" width="0.85546875" customWidth="1"/>
    <col min="14345" max="14349" width="8.28515625" customWidth="1"/>
    <col min="14350" max="14350" width="0.85546875" customWidth="1"/>
    <col min="14351" max="14355" width="8.28515625" customWidth="1"/>
    <col min="14356" max="14356" width="0.85546875" customWidth="1"/>
    <col min="14357" max="14361" width="8.28515625" customWidth="1"/>
    <col min="14362" max="14362" width="0.85546875" customWidth="1"/>
    <col min="14363" max="14367" width="8.28515625" customWidth="1"/>
    <col min="14368" max="14368" width="0.85546875" customWidth="1"/>
    <col min="14369" max="14373" width="8.28515625" customWidth="1"/>
    <col min="14374" max="14374" width="0.85546875" customWidth="1"/>
    <col min="14375" max="14379" width="8.28515625" customWidth="1"/>
    <col min="14380" max="14380" width="0.85546875" customWidth="1"/>
    <col min="14381" max="14385" width="8.28515625" customWidth="1"/>
    <col min="14386" max="14386" width="0.85546875" customWidth="1"/>
    <col min="14387" max="14391" width="8.28515625" customWidth="1"/>
    <col min="14392" max="14392" width="0.85546875" customWidth="1"/>
    <col min="14393" max="14397" width="8.28515625" customWidth="1"/>
    <col min="14398" max="14398" width="0.85546875" customWidth="1"/>
    <col min="14399" max="14403" width="8.28515625" customWidth="1"/>
    <col min="14404" max="14404" width="0.85546875" customWidth="1"/>
    <col min="14405" max="14409" width="8.28515625" customWidth="1"/>
    <col min="14410" max="14410" width="0.85546875" customWidth="1"/>
    <col min="14411" max="14415" width="8.28515625" customWidth="1"/>
    <col min="14416" max="14416" width="0.85546875" customWidth="1"/>
    <col min="14417" max="14421" width="8.28515625" customWidth="1"/>
    <col min="14422" max="14422" width="0.85546875" customWidth="1"/>
    <col min="14423" max="14427" width="8.28515625" customWidth="1"/>
    <col min="14593" max="14593" width="25.7109375" customWidth="1"/>
    <col min="14594" max="14594" width="0.85546875" customWidth="1"/>
    <col min="14595" max="14599" width="8.28515625" customWidth="1"/>
    <col min="14600" max="14600" width="0.85546875" customWidth="1"/>
    <col min="14601" max="14605" width="8.28515625" customWidth="1"/>
    <col min="14606" max="14606" width="0.85546875" customWidth="1"/>
    <col min="14607" max="14611" width="8.28515625" customWidth="1"/>
    <col min="14612" max="14612" width="0.85546875" customWidth="1"/>
    <col min="14613" max="14617" width="8.28515625" customWidth="1"/>
    <col min="14618" max="14618" width="0.85546875" customWidth="1"/>
    <col min="14619" max="14623" width="8.28515625" customWidth="1"/>
    <col min="14624" max="14624" width="0.85546875" customWidth="1"/>
    <col min="14625" max="14629" width="8.28515625" customWidth="1"/>
    <col min="14630" max="14630" width="0.85546875" customWidth="1"/>
    <col min="14631" max="14635" width="8.28515625" customWidth="1"/>
    <col min="14636" max="14636" width="0.85546875" customWidth="1"/>
    <col min="14637" max="14641" width="8.28515625" customWidth="1"/>
    <col min="14642" max="14642" width="0.85546875" customWidth="1"/>
    <col min="14643" max="14647" width="8.28515625" customWidth="1"/>
    <col min="14648" max="14648" width="0.85546875" customWidth="1"/>
    <col min="14649" max="14653" width="8.28515625" customWidth="1"/>
    <col min="14654" max="14654" width="0.85546875" customWidth="1"/>
    <col min="14655" max="14659" width="8.28515625" customWidth="1"/>
    <col min="14660" max="14660" width="0.85546875" customWidth="1"/>
    <col min="14661" max="14665" width="8.28515625" customWidth="1"/>
    <col min="14666" max="14666" width="0.85546875" customWidth="1"/>
    <col min="14667" max="14671" width="8.28515625" customWidth="1"/>
    <col min="14672" max="14672" width="0.85546875" customWidth="1"/>
    <col min="14673" max="14677" width="8.28515625" customWidth="1"/>
    <col min="14678" max="14678" width="0.85546875" customWidth="1"/>
    <col min="14679" max="14683" width="8.28515625" customWidth="1"/>
    <col min="14849" max="14849" width="25.7109375" customWidth="1"/>
    <col min="14850" max="14850" width="0.85546875" customWidth="1"/>
    <col min="14851" max="14855" width="8.28515625" customWidth="1"/>
    <col min="14856" max="14856" width="0.85546875" customWidth="1"/>
    <col min="14857" max="14861" width="8.28515625" customWidth="1"/>
    <col min="14862" max="14862" width="0.85546875" customWidth="1"/>
    <col min="14863" max="14867" width="8.28515625" customWidth="1"/>
    <col min="14868" max="14868" width="0.85546875" customWidth="1"/>
    <col min="14869" max="14873" width="8.28515625" customWidth="1"/>
    <col min="14874" max="14874" width="0.85546875" customWidth="1"/>
    <col min="14875" max="14879" width="8.28515625" customWidth="1"/>
    <col min="14880" max="14880" width="0.85546875" customWidth="1"/>
    <col min="14881" max="14885" width="8.28515625" customWidth="1"/>
    <col min="14886" max="14886" width="0.85546875" customWidth="1"/>
    <col min="14887" max="14891" width="8.28515625" customWidth="1"/>
    <col min="14892" max="14892" width="0.85546875" customWidth="1"/>
    <col min="14893" max="14897" width="8.28515625" customWidth="1"/>
    <col min="14898" max="14898" width="0.85546875" customWidth="1"/>
    <col min="14899" max="14903" width="8.28515625" customWidth="1"/>
    <col min="14904" max="14904" width="0.85546875" customWidth="1"/>
    <col min="14905" max="14909" width="8.28515625" customWidth="1"/>
    <col min="14910" max="14910" width="0.85546875" customWidth="1"/>
    <col min="14911" max="14915" width="8.28515625" customWidth="1"/>
    <col min="14916" max="14916" width="0.85546875" customWidth="1"/>
    <col min="14917" max="14921" width="8.28515625" customWidth="1"/>
    <col min="14922" max="14922" width="0.85546875" customWidth="1"/>
    <col min="14923" max="14927" width="8.28515625" customWidth="1"/>
    <col min="14928" max="14928" width="0.85546875" customWidth="1"/>
    <col min="14929" max="14933" width="8.28515625" customWidth="1"/>
    <col min="14934" max="14934" width="0.85546875" customWidth="1"/>
    <col min="14935" max="14939" width="8.28515625" customWidth="1"/>
    <col min="15105" max="15105" width="25.7109375" customWidth="1"/>
    <col min="15106" max="15106" width="0.85546875" customWidth="1"/>
    <col min="15107" max="15111" width="8.28515625" customWidth="1"/>
    <col min="15112" max="15112" width="0.85546875" customWidth="1"/>
    <col min="15113" max="15117" width="8.28515625" customWidth="1"/>
    <col min="15118" max="15118" width="0.85546875" customWidth="1"/>
    <col min="15119" max="15123" width="8.28515625" customWidth="1"/>
    <col min="15124" max="15124" width="0.85546875" customWidth="1"/>
    <col min="15125" max="15129" width="8.28515625" customWidth="1"/>
    <col min="15130" max="15130" width="0.85546875" customWidth="1"/>
    <col min="15131" max="15135" width="8.28515625" customWidth="1"/>
    <col min="15136" max="15136" width="0.85546875" customWidth="1"/>
    <col min="15137" max="15141" width="8.28515625" customWidth="1"/>
    <col min="15142" max="15142" width="0.85546875" customWidth="1"/>
    <col min="15143" max="15147" width="8.28515625" customWidth="1"/>
    <col min="15148" max="15148" width="0.85546875" customWidth="1"/>
    <col min="15149" max="15153" width="8.28515625" customWidth="1"/>
    <col min="15154" max="15154" width="0.85546875" customWidth="1"/>
    <col min="15155" max="15159" width="8.28515625" customWidth="1"/>
    <col min="15160" max="15160" width="0.85546875" customWidth="1"/>
    <col min="15161" max="15165" width="8.28515625" customWidth="1"/>
    <col min="15166" max="15166" width="0.85546875" customWidth="1"/>
    <col min="15167" max="15171" width="8.28515625" customWidth="1"/>
    <col min="15172" max="15172" width="0.85546875" customWidth="1"/>
    <col min="15173" max="15177" width="8.28515625" customWidth="1"/>
    <col min="15178" max="15178" width="0.85546875" customWidth="1"/>
    <col min="15179" max="15183" width="8.28515625" customWidth="1"/>
    <col min="15184" max="15184" width="0.85546875" customWidth="1"/>
    <col min="15185" max="15189" width="8.28515625" customWidth="1"/>
    <col min="15190" max="15190" width="0.85546875" customWidth="1"/>
    <col min="15191" max="15195" width="8.28515625" customWidth="1"/>
    <col min="15361" max="15361" width="25.7109375" customWidth="1"/>
    <col min="15362" max="15362" width="0.85546875" customWidth="1"/>
    <col min="15363" max="15367" width="8.28515625" customWidth="1"/>
    <col min="15368" max="15368" width="0.85546875" customWidth="1"/>
    <col min="15369" max="15373" width="8.28515625" customWidth="1"/>
    <col min="15374" max="15374" width="0.85546875" customWidth="1"/>
    <col min="15375" max="15379" width="8.28515625" customWidth="1"/>
    <col min="15380" max="15380" width="0.85546875" customWidth="1"/>
    <col min="15381" max="15385" width="8.28515625" customWidth="1"/>
    <col min="15386" max="15386" width="0.85546875" customWidth="1"/>
    <col min="15387" max="15391" width="8.28515625" customWidth="1"/>
    <col min="15392" max="15392" width="0.85546875" customWidth="1"/>
    <col min="15393" max="15397" width="8.28515625" customWidth="1"/>
    <col min="15398" max="15398" width="0.85546875" customWidth="1"/>
    <col min="15399" max="15403" width="8.28515625" customWidth="1"/>
    <col min="15404" max="15404" width="0.85546875" customWidth="1"/>
    <col min="15405" max="15409" width="8.28515625" customWidth="1"/>
    <col min="15410" max="15410" width="0.85546875" customWidth="1"/>
    <col min="15411" max="15415" width="8.28515625" customWidth="1"/>
    <col min="15416" max="15416" width="0.85546875" customWidth="1"/>
    <col min="15417" max="15421" width="8.28515625" customWidth="1"/>
    <col min="15422" max="15422" width="0.85546875" customWidth="1"/>
    <col min="15423" max="15427" width="8.28515625" customWidth="1"/>
    <col min="15428" max="15428" width="0.85546875" customWidth="1"/>
    <col min="15429" max="15433" width="8.28515625" customWidth="1"/>
    <col min="15434" max="15434" width="0.85546875" customWidth="1"/>
    <col min="15435" max="15439" width="8.28515625" customWidth="1"/>
    <col min="15440" max="15440" width="0.85546875" customWidth="1"/>
    <col min="15441" max="15445" width="8.28515625" customWidth="1"/>
    <col min="15446" max="15446" width="0.85546875" customWidth="1"/>
    <col min="15447" max="15451" width="8.28515625" customWidth="1"/>
    <col min="15617" max="15617" width="25.7109375" customWidth="1"/>
    <col min="15618" max="15618" width="0.85546875" customWidth="1"/>
    <col min="15619" max="15623" width="8.28515625" customWidth="1"/>
    <col min="15624" max="15624" width="0.85546875" customWidth="1"/>
    <col min="15625" max="15629" width="8.28515625" customWidth="1"/>
    <col min="15630" max="15630" width="0.85546875" customWidth="1"/>
    <col min="15631" max="15635" width="8.28515625" customWidth="1"/>
    <col min="15636" max="15636" width="0.85546875" customWidth="1"/>
    <col min="15637" max="15641" width="8.28515625" customWidth="1"/>
    <col min="15642" max="15642" width="0.85546875" customWidth="1"/>
    <col min="15643" max="15647" width="8.28515625" customWidth="1"/>
    <col min="15648" max="15648" width="0.85546875" customWidth="1"/>
    <col min="15649" max="15653" width="8.28515625" customWidth="1"/>
    <col min="15654" max="15654" width="0.85546875" customWidth="1"/>
    <col min="15655" max="15659" width="8.28515625" customWidth="1"/>
    <col min="15660" max="15660" width="0.85546875" customWidth="1"/>
    <col min="15661" max="15665" width="8.28515625" customWidth="1"/>
    <col min="15666" max="15666" width="0.85546875" customWidth="1"/>
    <col min="15667" max="15671" width="8.28515625" customWidth="1"/>
    <col min="15672" max="15672" width="0.85546875" customWidth="1"/>
    <col min="15673" max="15677" width="8.28515625" customWidth="1"/>
    <col min="15678" max="15678" width="0.85546875" customWidth="1"/>
    <col min="15679" max="15683" width="8.28515625" customWidth="1"/>
    <col min="15684" max="15684" width="0.85546875" customWidth="1"/>
    <col min="15685" max="15689" width="8.28515625" customWidth="1"/>
    <col min="15690" max="15690" width="0.85546875" customWidth="1"/>
    <col min="15691" max="15695" width="8.28515625" customWidth="1"/>
    <col min="15696" max="15696" width="0.85546875" customWidth="1"/>
    <col min="15697" max="15701" width="8.28515625" customWidth="1"/>
    <col min="15702" max="15702" width="0.85546875" customWidth="1"/>
    <col min="15703" max="15707" width="8.28515625" customWidth="1"/>
    <col min="15873" max="15873" width="25.7109375" customWidth="1"/>
    <col min="15874" max="15874" width="0.85546875" customWidth="1"/>
    <col min="15875" max="15879" width="8.28515625" customWidth="1"/>
    <col min="15880" max="15880" width="0.85546875" customWidth="1"/>
    <col min="15881" max="15885" width="8.28515625" customWidth="1"/>
    <col min="15886" max="15886" width="0.85546875" customWidth="1"/>
    <col min="15887" max="15891" width="8.28515625" customWidth="1"/>
    <col min="15892" max="15892" width="0.85546875" customWidth="1"/>
    <col min="15893" max="15897" width="8.28515625" customWidth="1"/>
    <col min="15898" max="15898" width="0.85546875" customWidth="1"/>
    <col min="15899" max="15903" width="8.28515625" customWidth="1"/>
    <col min="15904" max="15904" width="0.85546875" customWidth="1"/>
    <col min="15905" max="15909" width="8.28515625" customWidth="1"/>
    <col min="15910" max="15910" width="0.85546875" customWidth="1"/>
    <col min="15911" max="15915" width="8.28515625" customWidth="1"/>
    <col min="15916" max="15916" width="0.85546875" customWidth="1"/>
    <col min="15917" max="15921" width="8.28515625" customWidth="1"/>
    <col min="15922" max="15922" width="0.85546875" customWidth="1"/>
    <col min="15923" max="15927" width="8.28515625" customWidth="1"/>
    <col min="15928" max="15928" width="0.85546875" customWidth="1"/>
    <col min="15929" max="15933" width="8.28515625" customWidth="1"/>
    <col min="15934" max="15934" width="0.85546875" customWidth="1"/>
    <col min="15935" max="15939" width="8.28515625" customWidth="1"/>
    <col min="15940" max="15940" width="0.85546875" customWidth="1"/>
    <col min="15941" max="15945" width="8.28515625" customWidth="1"/>
    <col min="15946" max="15946" width="0.85546875" customWidth="1"/>
    <col min="15947" max="15951" width="8.28515625" customWidth="1"/>
    <col min="15952" max="15952" width="0.85546875" customWidth="1"/>
    <col min="15953" max="15957" width="8.28515625" customWidth="1"/>
    <col min="15958" max="15958" width="0.85546875" customWidth="1"/>
    <col min="15959" max="15963" width="8.28515625" customWidth="1"/>
    <col min="16129" max="16129" width="25.7109375" customWidth="1"/>
    <col min="16130" max="16130" width="0.85546875" customWidth="1"/>
    <col min="16131" max="16135" width="8.28515625" customWidth="1"/>
    <col min="16136" max="16136" width="0.85546875" customWidth="1"/>
    <col min="16137" max="16141" width="8.28515625" customWidth="1"/>
    <col min="16142" max="16142" width="0.85546875" customWidth="1"/>
    <col min="16143" max="16147" width="8.28515625" customWidth="1"/>
    <col min="16148" max="16148" width="0.85546875" customWidth="1"/>
    <col min="16149" max="16153" width="8.28515625" customWidth="1"/>
    <col min="16154" max="16154" width="0.85546875" customWidth="1"/>
    <col min="16155" max="16159" width="8.28515625" customWidth="1"/>
    <col min="16160" max="16160" width="0.85546875" customWidth="1"/>
    <col min="16161" max="16165" width="8.28515625" customWidth="1"/>
    <col min="16166" max="16166" width="0.85546875" customWidth="1"/>
    <col min="16167" max="16171" width="8.28515625" customWidth="1"/>
    <col min="16172" max="16172" width="0.85546875" customWidth="1"/>
    <col min="16173" max="16177" width="8.28515625" customWidth="1"/>
    <col min="16178" max="16178" width="0.85546875" customWidth="1"/>
    <col min="16179" max="16183" width="8.28515625" customWidth="1"/>
    <col min="16184" max="16184" width="0.85546875" customWidth="1"/>
    <col min="16185" max="16189" width="8.28515625" customWidth="1"/>
    <col min="16190" max="16190" width="0.85546875" customWidth="1"/>
    <col min="16191" max="16195" width="8.28515625" customWidth="1"/>
    <col min="16196" max="16196" width="0.85546875" customWidth="1"/>
    <col min="16197" max="16201" width="8.28515625" customWidth="1"/>
    <col min="16202" max="16202" width="0.85546875" customWidth="1"/>
    <col min="16203" max="16207" width="8.28515625" customWidth="1"/>
    <col min="16208" max="16208" width="0.85546875" customWidth="1"/>
    <col min="16209" max="16213" width="8.28515625" customWidth="1"/>
    <col min="16214" max="16214" width="0.85546875" customWidth="1"/>
    <col min="16215" max="16219" width="8.28515625" customWidth="1"/>
  </cols>
  <sheetData>
    <row r="1" spans="1:91" s="3" customFormat="1" x14ac:dyDescent="0.2">
      <c r="A1" s="2" t="str">
        <f>TOC!$A$4</f>
        <v>Becton Dickinson</v>
      </c>
    </row>
    <row r="2" spans="1:91" s="3" customFormat="1" x14ac:dyDescent="0.2">
      <c r="A2" s="4" t="s">
        <v>15</v>
      </c>
      <c r="B2" s="5"/>
      <c r="C2" s="5"/>
      <c r="D2" s="5"/>
      <c r="E2" s="5"/>
      <c r="F2" s="5"/>
      <c r="G2" s="5"/>
      <c r="H2" s="5"/>
      <c r="I2" s="5"/>
      <c r="J2" s="5"/>
      <c r="K2" s="5"/>
      <c r="L2" s="5"/>
      <c r="M2" s="5"/>
      <c r="N2" s="5"/>
      <c r="O2" s="5"/>
      <c r="P2" s="5"/>
      <c r="Q2" s="5"/>
      <c r="R2" s="5"/>
      <c r="S2" s="5"/>
      <c r="T2" s="5"/>
      <c r="U2" s="5"/>
      <c r="V2" s="5"/>
      <c r="W2" s="5"/>
      <c r="X2" s="5"/>
      <c r="Y2" s="5"/>
      <c r="Z2" s="5"/>
      <c r="AA2" s="5"/>
      <c r="AB2" s="5"/>
      <c r="AC2" s="6"/>
      <c r="AD2" s="5"/>
      <c r="AE2" s="5"/>
      <c r="AF2" s="5"/>
      <c r="AG2" s="5"/>
      <c r="AH2" s="5"/>
      <c r="AI2" s="5"/>
      <c r="AJ2" s="5"/>
      <c r="AK2" s="7"/>
      <c r="AL2" s="5"/>
      <c r="AM2" s="5"/>
      <c r="AN2" s="5"/>
      <c r="AO2" s="6"/>
      <c r="AP2" s="6"/>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row>
    <row r="3" spans="1:91" s="3" customFormat="1" ht="11.25" x14ac:dyDescent="0.2">
      <c r="A3" s="8" t="s">
        <v>0</v>
      </c>
      <c r="AO3" s="9"/>
      <c r="AP3" s="9"/>
    </row>
    <row r="4" spans="1:91" s="3" customFormat="1" ht="11.25" x14ac:dyDescent="0.2">
      <c r="A4" s="8" t="s">
        <v>1</v>
      </c>
      <c r="AO4" s="9"/>
      <c r="AP4" s="9"/>
    </row>
    <row r="5" spans="1:91" s="3" customFormat="1" ht="11.25" x14ac:dyDescent="0.2">
      <c r="A5" s="10"/>
      <c r="B5" s="11"/>
      <c r="C5" s="12">
        <v>2007</v>
      </c>
      <c r="D5" s="13"/>
      <c r="E5" s="13"/>
      <c r="F5" s="13"/>
      <c r="G5" s="14">
        <f>C5</f>
        <v>2007</v>
      </c>
      <c r="H5" s="15"/>
      <c r="I5" s="12">
        <f>C5+1</f>
        <v>2008</v>
      </c>
      <c r="J5" s="13"/>
      <c r="K5" s="13"/>
      <c r="L5" s="13"/>
      <c r="M5" s="14">
        <f>I5</f>
        <v>2008</v>
      </c>
      <c r="N5" s="16"/>
      <c r="O5" s="12">
        <f>I5+1</f>
        <v>2009</v>
      </c>
      <c r="P5" s="13"/>
      <c r="Q5" s="13"/>
      <c r="R5" s="13"/>
      <c r="S5" s="14">
        <f>O5</f>
        <v>2009</v>
      </c>
      <c r="T5" s="16"/>
      <c r="U5" s="12">
        <f>O5+1</f>
        <v>2010</v>
      </c>
      <c r="V5" s="13"/>
      <c r="W5" s="13"/>
      <c r="X5" s="13"/>
      <c r="Y5" s="14">
        <f>U5</f>
        <v>2010</v>
      </c>
      <c r="Z5" s="16"/>
      <c r="AA5" s="12">
        <f>U5+1</f>
        <v>2011</v>
      </c>
      <c r="AB5" s="13"/>
      <c r="AC5" s="13"/>
      <c r="AD5" s="13"/>
      <c r="AE5" s="14">
        <f>AA5</f>
        <v>2011</v>
      </c>
      <c r="AF5" s="16"/>
      <c r="AG5" s="12">
        <f>AA5+1</f>
        <v>2012</v>
      </c>
      <c r="AH5" s="13"/>
      <c r="AI5" s="13"/>
      <c r="AJ5" s="13"/>
      <c r="AK5" s="14">
        <f>AG5</f>
        <v>2012</v>
      </c>
      <c r="AL5" s="16"/>
      <c r="AM5" s="12">
        <f>AG5+1</f>
        <v>2013</v>
      </c>
      <c r="AN5" s="13"/>
      <c r="AO5" s="13"/>
      <c r="AP5" s="13"/>
      <c r="AQ5" s="14">
        <f>AM5</f>
        <v>2013</v>
      </c>
      <c r="AR5" s="16"/>
      <c r="AS5" s="12">
        <f>AM5+1</f>
        <v>2014</v>
      </c>
      <c r="AT5" s="13"/>
      <c r="AU5" s="13"/>
      <c r="AV5" s="13"/>
      <c r="AW5" s="14">
        <f>AS5</f>
        <v>2014</v>
      </c>
      <c r="AX5" s="16"/>
      <c r="AY5" s="12">
        <f>AS5+1</f>
        <v>2015</v>
      </c>
      <c r="AZ5" s="13"/>
      <c r="BA5" s="13"/>
      <c r="BB5" s="13"/>
      <c r="BC5" s="14">
        <f>AY5</f>
        <v>2015</v>
      </c>
      <c r="BD5" s="16"/>
      <c r="BE5" s="12">
        <f>AY5+1</f>
        <v>2016</v>
      </c>
      <c r="BF5" s="13"/>
      <c r="BG5" s="13"/>
      <c r="BH5" s="13"/>
      <c r="BI5" s="14">
        <f>BE5</f>
        <v>2016</v>
      </c>
      <c r="BJ5" s="16"/>
      <c r="BK5" s="17">
        <f>BE5+1</f>
        <v>2017</v>
      </c>
      <c r="BL5" s="13"/>
      <c r="BM5" s="13"/>
      <c r="BN5" s="13"/>
      <c r="BO5" s="18">
        <f>BK5</f>
        <v>2017</v>
      </c>
      <c r="BP5" s="16"/>
      <c r="BQ5" s="17">
        <f>BK5+1</f>
        <v>2018</v>
      </c>
      <c r="BR5" s="13"/>
      <c r="BS5" s="13"/>
      <c r="BT5" s="13"/>
      <c r="BU5" s="18">
        <f>BQ5</f>
        <v>2018</v>
      </c>
      <c r="BV5" s="16"/>
      <c r="BW5" s="17">
        <f>BQ5+1</f>
        <v>2019</v>
      </c>
      <c r="BX5" s="13"/>
      <c r="BY5" s="13"/>
      <c r="BZ5" s="13"/>
      <c r="CA5" s="18">
        <f>BW5</f>
        <v>2019</v>
      </c>
      <c r="CB5" s="16"/>
      <c r="CC5" s="17">
        <f>BW5+1</f>
        <v>2020</v>
      </c>
      <c r="CD5" s="13"/>
      <c r="CE5" s="13"/>
      <c r="CF5" s="13"/>
      <c r="CG5" s="18">
        <f>CC5</f>
        <v>2020</v>
      </c>
      <c r="CH5" s="16"/>
      <c r="CI5" s="17">
        <f>CC5+1</f>
        <v>2021</v>
      </c>
      <c r="CJ5" s="13"/>
      <c r="CK5" s="13"/>
      <c r="CL5" s="13"/>
      <c r="CM5" s="18">
        <f>CI5</f>
        <v>2021</v>
      </c>
    </row>
    <row r="6" spans="1:91" s="3" customFormat="1" ht="11.25" x14ac:dyDescent="0.2">
      <c r="A6" s="10"/>
      <c r="B6" s="11"/>
      <c r="C6" s="19">
        <v>39082</v>
      </c>
      <c r="D6" s="19">
        <v>39172</v>
      </c>
      <c r="E6" s="19">
        <v>39263</v>
      </c>
      <c r="F6" s="19">
        <v>39355</v>
      </c>
      <c r="G6" s="15"/>
      <c r="H6" s="15"/>
      <c r="I6" s="19">
        <f>F6+FLOOR(365/4,1)+1</f>
        <v>39447</v>
      </c>
      <c r="J6" s="19">
        <f>D6+365+1</f>
        <v>39538</v>
      </c>
      <c r="K6" s="19">
        <f>J6+FLOOR(365/4,1)</f>
        <v>39629</v>
      </c>
      <c r="L6" s="19">
        <f>K6+FLOOR(365/4,1)+1</f>
        <v>39721</v>
      </c>
      <c r="M6" s="15"/>
      <c r="N6" s="16"/>
      <c r="O6" s="19">
        <f>L6+FLOOR(365/4,1)+1</f>
        <v>39813</v>
      </c>
      <c r="P6" s="19">
        <f>J6+365</f>
        <v>39903</v>
      </c>
      <c r="Q6" s="19">
        <f>P6+FLOOR(365/4,1)</f>
        <v>39994</v>
      </c>
      <c r="R6" s="19">
        <f>Q6+FLOOR(365/4,1)+1</f>
        <v>40086</v>
      </c>
      <c r="S6" s="15"/>
      <c r="T6" s="16"/>
      <c r="U6" s="19">
        <f>R6+FLOOR(365/4,1)+1</f>
        <v>40178</v>
      </c>
      <c r="V6" s="19">
        <f>P6+365</f>
        <v>40268</v>
      </c>
      <c r="W6" s="19">
        <f>V6+FLOOR(365/4,1)</f>
        <v>40359</v>
      </c>
      <c r="X6" s="19">
        <f>W6+FLOOR(365/4,1)+1</f>
        <v>40451</v>
      </c>
      <c r="Y6" s="15"/>
      <c r="Z6" s="16"/>
      <c r="AA6" s="19">
        <f>X6+FLOOR(365/4,1)+1</f>
        <v>40543</v>
      </c>
      <c r="AB6" s="19">
        <f>V6+365</f>
        <v>40633</v>
      </c>
      <c r="AC6" s="19">
        <f>AB6+FLOOR(365/4,1)</f>
        <v>40724</v>
      </c>
      <c r="AD6" s="19">
        <f>AC6+FLOOR(365/4,1)+1</f>
        <v>40816</v>
      </c>
      <c r="AE6" s="15"/>
      <c r="AF6" s="16"/>
      <c r="AG6" s="19">
        <f>AD6+FLOOR(365/4,1)+1</f>
        <v>40908</v>
      </c>
      <c r="AH6" s="19">
        <f>AB6+365+1</f>
        <v>40999</v>
      </c>
      <c r="AI6" s="19">
        <f>AH6+FLOOR(365/4,1)</f>
        <v>41090</v>
      </c>
      <c r="AJ6" s="19">
        <f>AI6+FLOOR(365/4,1)+1</f>
        <v>41182</v>
      </c>
      <c r="AK6" s="15"/>
      <c r="AL6" s="16"/>
      <c r="AM6" s="19">
        <f>AJ6+FLOOR(365/4,1)+1</f>
        <v>41274</v>
      </c>
      <c r="AN6" s="19">
        <f>AH6+365</f>
        <v>41364</v>
      </c>
      <c r="AO6" s="19">
        <f>AN6+FLOOR(365/4,1)</f>
        <v>41455</v>
      </c>
      <c r="AP6" s="19">
        <f>AO6+FLOOR(365/4,1)+1</f>
        <v>41547</v>
      </c>
      <c r="AQ6" s="15"/>
      <c r="AR6" s="16"/>
      <c r="AS6" s="19">
        <f>AP6+FLOOR(365/4,1)+1</f>
        <v>41639</v>
      </c>
      <c r="AT6" s="19">
        <f>AN6+365</f>
        <v>41729</v>
      </c>
      <c r="AU6" s="19">
        <f>AT6+FLOOR(365/4,1)</f>
        <v>41820</v>
      </c>
      <c r="AV6" s="19">
        <f>AU6+FLOOR(365/4,1)+1</f>
        <v>41912</v>
      </c>
      <c r="AW6" s="15"/>
      <c r="AX6" s="16"/>
      <c r="AY6" s="20">
        <f>AV6+FLOOR(365/4,1)+1</f>
        <v>42004</v>
      </c>
      <c r="AZ6" s="20">
        <f>AT6+365</f>
        <v>42094</v>
      </c>
      <c r="BA6" s="20">
        <f>AZ6+FLOOR(365/4,1)</f>
        <v>42185</v>
      </c>
      <c r="BB6" s="20">
        <f>BA6+FLOOR(365/4,1)+1</f>
        <v>42277</v>
      </c>
      <c r="BC6" s="15"/>
      <c r="BD6" s="16"/>
      <c r="BE6" s="20">
        <f>BB6+FLOOR(365/4,1)+1</f>
        <v>42369</v>
      </c>
      <c r="BF6" s="20">
        <f>AZ6+365+1</f>
        <v>42460</v>
      </c>
      <c r="BG6" s="20">
        <f>BF6+FLOOR(365/4,1)</f>
        <v>42551</v>
      </c>
      <c r="BH6" s="20">
        <f>BG6+FLOOR(365/4,1)+1</f>
        <v>42643</v>
      </c>
      <c r="BI6" s="15"/>
      <c r="BJ6" s="16"/>
      <c r="BK6" s="20">
        <f>BH6+FLOOR(365/4,1)+1</f>
        <v>42735</v>
      </c>
      <c r="BL6" s="20">
        <f>BF6+365</f>
        <v>42825</v>
      </c>
      <c r="BM6" s="20">
        <f>BL6+FLOOR(365/4,1)</f>
        <v>42916</v>
      </c>
      <c r="BN6" s="20">
        <f>BM6+FLOOR(365/4,1)+1</f>
        <v>43008</v>
      </c>
      <c r="BO6" s="15"/>
      <c r="BP6" s="16"/>
      <c r="BQ6" s="20">
        <f>BN6+FLOOR(365/4,1)+1</f>
        <v>43100</v>
      </c>
      <c r="BR6" s="21">
        <f>BL6+365</f>
        <v>43190</v>
      </c>
      <c r="BS6" s="21">
        <f>BR6+FLOOR(365/4,1)</f>
        <v>43281</v>
      </c>
      <c r="BT6" s="21">
        <f>BS6+FLOOR(365/4,1)+1</f>
        <v>43373</v>
      </c>
      <c r="BU6" s="15"/>
      <c r="BV6" s="16"/>
      <c r="BW6" s="21">
        <f>BT6+FLOOR(365/4,1)+1</f>
        <v>43465</v>
      </c>
      <c r="BX6" s="21">
        <f>BR6+365</f>
        <v>43555</v>
      </c>
      <c r="BY6" s="21">
        <f>BX6+FLOOR(365/4,1)</f>
        <v>43646</v>
      </c>
      <c r="BZ6" s="21">
        <f>BY6+FLOOR(365/4,1)+1</f>
        <v>43738</v>
      </c>
      <c r="CA6" s="15"/>
      <c r="CB6" s="16"/>
      <c r="CC6" s="21">
        <f>BZ6+FLOOR(365/4,1)+1</f>
        <v>43830</v>
      </c>
      <c r="CD6" s="21">
        <f>BX6+365+1</f>
        <v>43921</v>
      </c>
      <c r="CE6" s="21">
        <f>CD6+FLOOR(365/4,1)</f>
        <v>44012</v>
      </c>
      <c r="CF6" s="21">
        <f>CE6+FLOOR(365/4,1)+1</f>
        <v>44104</v>
      </c>
      <c r="CG6" s="15"/>
      <c r="CH6" s="16"/>
      <c r="CI6" s="21">
        <f>CF6+FLOOR(365/4,1)+1</f>
        <v>44196</v>
      </c>
      <c r="CJ6" s="21">
        <f>CD6+365</f>
        <v>44286</v>
      </c>
      <c r="CK6" s="21">
        <f>CJ6+FLOOR(365/4,1)</f>
        <v>44377</v>
      </c>
      <c r="CL6" s="21">
        <f>CK6+FLOOR(365/4,1)+1</f>
        <v>44469</v>
      </c>
      <c r="CM6" s="15"/>
    </row>
    <row r="7" spans="1:91" s="25" customFormat="1" ht="11.25" x14ac:dyDescent="0.2">
      <c r="A7" s="663" t="s">
        <v>16</v>
      </c>
      <c r="B7" s="692"/>
      <c r="C7" s="716"/>
      <c r="D7" s="692"/>
      <c r="E7" s="692"/>
      <c r="F7" s="693"/>
      <c r="G7" s="731"/>
      <c r="H7" s="692"/>
      <c r="I7" s="716"/>
      <c r="J7" s="692"/>
      <c r="K7" s="692"/>
      <c r="L7" s="693"/>
      <c r="M7" s="731"/>
      <c r="N7" s="692"/>
      <c r="O7" s="716"/>
      <c r="P7" s="692"/>
      <c r="Q7" s="692"/>
      <c r="R7" s="693"/>
      <c r="S7" s="731"/>
      <c r="T7" s="692"/>
      <c r="U7" s="716"/>
      <c r="V7" s="692"/>
      <c r="W7" s="692"/>
      <c r="X7" s="693"/>
      <c r="Y7" s="731"/>
      <c r="Z7" s="692"/>
      <c r="AA7" s="716"/>
      <c r="AB7" s="692"/>
      <c r="AC7" s="692"/>
      <c r="AD7" s="693"/>
      <c r="AE7" s="731"/>
      <c r="AF7" s="692"/>
      <c r="AG7" s="716"/>
      <c r="AH7" s="692"/>
      <c r="AI7" s="692"/>
      <c r="AJ7" s="693"/>
      <c r="AK7" s="731"/>
      <c r="AL7" s="692"/>
      <c r="AM7" s="716"/>
      <c r="AN7" s="692"/>
      <c r="AO7" s="692"/>
      <c r="AP7" s="693"/>
      <c r="AQ7" s="731"/>
      <c r="AR7" s="692"/>
      <c r="AS7" s="716"/>
      <c r="AT7" s="692"/>
      <c r="AU7" s="692"/>
      <c r="AV7" s="693"/>
      <c r="AW7" s="731"/>
      <c r="AX7" s="692"/>
      <c r="AY7" s="716"/>
      <c r="AZ7" s="692"/>
      <c r="BA7" s="692"/>
      <c r="BB7" s="693"/>
      <c r="BC7" s="731"/>
      <c r="BD7" s="692"/>
      <c r="BE7" s="716"/>
      <c r="BF7" s="692"/>
      <c r="BG7" s="692"/>
      <c r="BH7" s="693"/>
      <c r="BI7" s="731"/>
      <c r="BJ7" s="692"/>
      <c r="BK7" s="716"/>
      <c r="BL7" s="692"/>
      <c r="BM7" s="692"/>
      <c r="BN7" s="693"/>
      <c r="BO7" s="731"/>
      <c r="BP7" s="692"/>
      <c r="BQ7" s="716"/>
      <c r="BR7" s="692"/>
      <c r="BS7" s="692"/>
      <c r="BT7" s="693"/>
      <c r="BU7" s="731"/>
      <c r="BV7" s="692"/>
      <c r="BW7" s="716"/>
      <c r="BX7" s="692"/>
      <c r="BY7" s="692"/>
      <c r="BZ7" s="693"/>
      <c r="CA7" s="731"/>
      <c r="CB7" s="692"/>
      <c r="CC7" s="716"/>
      <c r="CD7" s="692"/>
      <c r="CE7" s="692"/>
      <c r="CF7" s="693"/>
      <c r="CG7" s="731"/>
      <c r="CH7" s="692"/>
      <c r="CI7" s="716"/>
      <c r="CJ7" s="692"/>
      <c r="CK7" s="692"/>
      <c r="CL7" s="693"/>
      <c r="CM7" s="731"/>
    </row>
    <row r="8" spans="1:91" s="25" customFormat="1" ht="11.25" hidden="1" outlineLevel="1" x14ac:dyDescent="0.2">
      <c r="A8" s="694" t="s">
        <v>4</v>
      </c>
      <c r="B8" s="665"/>
      <c r="C8" s="669">
        <v>131.703</v>
      </c>
      <c r="D8" s="657">
        <v>131.93700000000001</v>
      </c>
      <c r="E8" s="657">
        <v>139.572</v>
      </c>
      <c r="F8" s="676">
        <v>138.203</v>
      </c>
      <c r="G8" s="677">
        <v>541.41499999999996</v>
      </c>
      <c r="H8" s="665"/>
      <c r="I8" s="669">
        <v>143.30000000000001</v>
      </c>
      <c r="J8" s="657">
        <v>140.67400000000001</v>
      </c>
      <c r="K8" s="657">
        <v>144.416</v>
      </c>
      <c r="L8" s="676">
        <v>145.98699999999999</v>
      </c>
      <c r="M8" s="733">
        <f>SUM(I8:L8)</f>
        <v>574.37700000000007</v>
      </c>
      <c r="N8" s="665"/>
      <c r="O8" s="669">
        <v>149.22999999999999</v>
      </c>
      <c r="P8" s="657">
        <v>147.43600000000001</v>
      </c>
      <c r="Q8" s="657">
        <v>155.76</v>
      </c>
      <c r="R8" s="676">
        <v>156.328</v>
      </c>
      <c r="S8" s="733">
        <f>SUM(O8:R8)</f>
        <v>608.75400000000002</v>
      </c>
      <c r="T8" s="665"/>
      <c r="U8" s="669">
        <v>156.23599999999999</v>
      </c>
      <c r="V8" s="657">
        <v>149.93199999999999</v>
      </c>
      <c r="W8" s="657">
        <v>159.22800000000001</v>
      </c>
      <c r="X8" s="676">
        <v>162.024</v>
      </c>
      <c r="Y8" s="733">
        <f>SUM(U8:X8)</f>
        <v>627.42000000000007</v>
      </c>
      <c r="Z8" s="665"/>
      <c r="AA8" s="669">
        <v>162.059</v>
      </c>
      <c r="AB8" s="657">
        <v>156.97800000000001</v>
      </c>
      <c r="AC8" s="657">
        <v>162.589</v>
      </c>
      <c r="AD8" s="676">
        <v>161.55600000000001</v>
      </c>
      <c r="AE8" s="733">
        <f>SUM(AA8:AD8)</f>
        <v>643.18200000000002</v>
      </c>
      <c r="AF8" s="665"/>
      <c r="AG8" s="669">
        <v>162.11500000000001</v>
      </c>
      <c r="AH8" s="657">
        <v>163.45500000000001</v>
      </c>
      <c r="AI8" s="657">
        <v>165.96199999999999</v>
      </c>
      <c r="AJ8" s="676">
        <v>164.85599999999999</v>
      </c>
      <c r="AK8" s="733">
        <f>SUM(AG8:AJ8)</f>
        <v>656.38800000000003</v>
      </c>
      <c r="AL8" s="665"/>
      <c r="AM8" s="669">
        <v>166.94900000000001</v>
      </c>
      <c r="AN8" s="657">
        <v>161.96700000000001</v>
      </c>
      <c r="AO8" s="657">
        <v>167.298</v>
      </c>
      <c r="AP8" s="676">
        <v>170</v>
      </c>
      <c r="AQ8" s="733">
        <f>SUM(AM8:AP8)</f>
        <v>666.21400000000006</v>
      </c>
      <c r="AR8" s="665"/>
      <c r="AS8" s="669">
        <v>171.5</v>
      </c>
      <c r="AT8" s="657">
        <v>163</v>
      </c>
      <c r="AU8" s="657">
        <v>172.3</v>
      </c>
      <c r="AV8" s="676">
        <v>170.7</v>
      </c>
      <c r="AW8" s="733">
        <f>SUM(AS8:AV8)</f>
        <v>677.5</v>
      </c>
      <c r="AX8" s="665"/>
      <c r="AY8" s="669">
        <v>172</v>
      </c>
      <c r="AZ8" s="657">
        <v>170</v>
      </c>
      <c r="BA8" s="657">
        <v>174.7</v>
      </c>
      <c r="BB8" s="676">
        <v>173</v>
      </c>
      <c r="BC8" s="733">
        <f>SUM(AY8:BB8)</f>
        <v>689.7</v>
      </c>
      <c r="BD8" s="665"/>
      <c r="BE8" s="669">
        <v>178</v>
      </c>
      <c r="BF8" s="657">
        <v>175</v>
      </c>
      <c r="BG8" s="657">
        <v>180</v>
      </c>
      <c r="BH8" s="676">
        <v>182</v>
      </c>
      <c r="BI8" s="733">
        <f>SUM(BE8:BH8)</f>
        <v>715</v>
      </c>
      <c r="BJ8" s="665"/>
      <c r="BK8" s="669">
        <v>176</v>
      </c>
      <c r="BL8" s="657">
        <v>185</v>
      </c>
      <c r="BM8" s="657">
        <v>191</v>
      </c>
      <c r="BN8" s="676">
        <v>189</v>
      </c>
      <c r="BO8" s="733">
        <f>SUM(BK8:BN8)</f>
        <v>741</v>
      </c>
      <c r="BP8" s="665"/>
      <c r="BQ8" s="669">
        <v>184</v>
      </c>
      <c r="BR8" s="666">
        <f t="shared" ref="BR8:BT8" si="0">BL8*(1+BR9)</f>
        <v>188.70000000000002</v>
      </c>
      <c r="BS8" s="666">
        <f t="shared" si="0"/>
        <v>196.73000000000002</v>
      </c>
      <c r="BT8" s="667">
        <f t="shared" si="0"/>
        <v>198.45000000000002</v>
      </c>
      <c r="BU8" s="733">
        <f>SUM(BQ8:BT8)</f>
        <v>767.88000000000011</v>
      </c>
      <c r="BV8" s="665"/>
      <c r="BW8" s="718">
        <f>BQ8*(1+BW9)</f>
        <v>190.44</v>
      </c>
      <c r="BX8" s="666">
        <f t="shared" ref="BX8" si="1">BR8*(1+BX9)</f>
        <v>195.30449999999999</v>
      </c>
      <c r="BY8" s="666">
        <f t="shared" ref="BY8" si="2">BS8*(1+BY9)</f>
        <v>203.61555000000001</v>
      </c>
      <c r="BZ8" s="667">
        <f t="shared" ref="BZ8" si="3">BT8*(1+BZ9)</f>
        <v>205.39574999999999</v>
      </c>
      <c r="CA8" s="733">
        <f>SUM(BW8:BZ8)</f>
        <v>794.75580000000002</v>
      </c>
      <c r="CB8" s="665"/>
      <c r="CC8" s="718">
        <f>BW8*(1+CC9)</f>
        <v>197.10539999999997</v>
      </c>
      <c r="CD8" s="666">
        <f t="shared" ref="CD8" si="4">BX8*(1+CD9)</f>
        <v>202.14015749999999</v>
      </c>
      <c r="CE8" s="666">
        <f t="shared" ref="CE8" si="5">BY8*(1+CE9)</f>
        <v>210.74209425000001</v>
      </c>
      <c r="CF8" s="667">
        <f t="shared" ref="CF8" si="6">BZ8*(1+CF9)</f>
        <v>212.58460124999996</v>
      </c>
      <c r="CG8" s="733">
        <f>SUM(CC8:CF8)</f>
        <v>822.57225299999993</v>
      </c>
      <c r="CH8" s="665"/>
      <c r="CI8" s="718">
        <f>CC8*(1+CI9)</f>
        <v>204.00408899999996</v>
      </c>
      <c r="CJ8" s="666">
        <f t="shared" ref="CJ8" si="7">CD8*(1+CJ9)</f>
        <v>209.21506301249997</v>
      </c>
      <c r="CK8" s="666">
        <f t="shared" ref="CK8" si="8">CE8*(1+CK9)</f>
        <v>218.11806754874999</v>
      </c>
      <c r="CL8" s="667">
        <f t="shared" ref="CL8" si="9">CF8*(1+CL9)</f>
        <v>220.02506229374995</v>
      </c>
      <c r="CM8" s="733">
        <f>SUM(CI8:CL8)</f>
        <v>851.36228185499976</v>
      </c>
    </row>
    <row r="9" spans="1:91" s="25" customFormat="1" ht="11.25" hidden="1" outlineLevel="1" x14ac:dyDescent="0.2">
      <c r="A9" s="695" t="s">
        <v>5</v>
      </c>
      <c r="B9" s="665"/>
      <c r="C9" s="672">
        <v>7.2596079453371321E-2</v>
      </c>
      <c r="D9" s="673">
        <v>5.20285140177974E-2</v>
      </c>
      <c r="E9" s="673">
        <v>5.8093079319834207E-2</v>
      </c>
      <c r="F9" s="674">
        <v>4.8278948406377697E-2</v>
      </c>
      <c r="G9" s="671">
        <v>5.755858016829829E-2</v>
      </c>
      <c r="H9" s="665"/>
      <c r="I9" s="717">
        <f>I8/C8-1</f>
        <v>8.8054182516723367E-2</v>
      </c>
      <c r="J9" s="696">
        <f t="shared" ref="J9" si="10">J8/D8-1</f>
        <v>6.6220999416388038E-2</v>
      </c>
      <c r="K9" s="696">
        <f t="shared" ref="K9" si="11">K8/E8-1</f>
        <v>3.47061015103316E-2</v>
      </c>
      <c r="L9" s="697">
        <f t="shared" ref="L9" si="12">L8/F8-1</f>
        <v>5.6322945232737398E-2</v>
      </c>
      <c r="M9" s="732">
        <f t="shared" ref="M9" si="13">M8/G8-1</f>
        <v>6.0881209423455429E-2</v>
      </c>
      <c r="N9" s="665"/>
      <c r="O9" s="717">
        <f>O8/I8-1</f>
        <v>4.1381716678297042E-2</v>
      </c>
      <c r="P9" s="696">
        <f t="shared" ref="P9" si="14">P8/J8-1</f>
        <v>4.8068584102250567E-2</v>
      </c>
      <c r="Q9" s="696">
        <f t="shared" ref="Q9" si="15">Q8/K8-1</f>
        <v>7.8550853091070127E-2</v>
      </c>
      <c r="R9" s="697">
        <f t="shared" ref="R9" si="16">R8/L8-1</f>
        <v>7.0835074355935834E-2</v>
      </c>
      <c r="S9" s="732">
        <f t="shared" ref="S9" si="17">S8/M8-1</f>
        <v>5.9850934142557932E-2</v>
      </c>
      <c r="T9" s="665"/>
      <c r="U9" s="717">
        <f>U8/O8-1</f>
        <v>4.6947664678683942E-2</v>
      </c>
      <c r="V9" s="696">
        <f t="shared" ref="V9" si="18">V8/P8-1</f>
        <v>1.6929379527387933E-2</v>
      </c>
      <c r="W9" s="696">
        <f t="shared" ref="W9" si="19">W8/Q8-1</f>
        <v>2.2265023112480797E-2</v>
      </c>
      <c r="X9" s="697">
        <f t="shared" ref="X9" si="20">X8/R8-1</f>
        <v>3.6436211043447075E-2</v>
      </c>
      <c r="Y9" s="732">
        <f t="shared" ref="Y9" si="21">Y8/S8-1</f>
        <v>3.0662632196256645E-2</v>
      </c>
      <c r="Z9" s="665"/>
      <c r="AA9" s="717">
        <f>AA8/U8-1</f>
        <v>3.7270539440333872E-2</v>
      </c>
      <c r="AB9" s="696">
        <f t="shared" ref="AB9" si="22">AB8/V8-1</f>
        <v>4.6994637569031328E-2</v>
      </c>
      <c r="AC9" s="696">
        <f t="shared" ref="AC9" si="23">AC8/W8-1</f>
        <v>2.110809656593049E-2</v>
      </c>
      <c r="AD9" s="697">
        <f t="shared" ref="AD9" si="24">AD8/X8-1</f>
        <v>-2.8884609687452878E-3</v>
      </c>
      <c r="AE9" s="732">
        <f t="shared" ref="AE9" si="25">AE8/Y8-1</f>
        <v>2.5121927895189744E-2</v>
      </c>
      <c r="AF9" s="665"/>
      <c r="AG9" s="717">
        <f>AG8/AA8-1</f>
        <v>3.4555316273698899E-4</v>
      </c>
      <c r="AH9" s="696">
        <f t="shared" ref="AH9" si="26">AH8/AB8-1</f>
        <v>4.1260558804418368E-2</v>
      </c>
      <c r="AI9" s="696">
        <f t="shared" ref="AI9" si="27">AI8/AC8-1</f>
        <v>2.0745560892803327E-2</v>
      </c>
      <c r="AJ9" s="697">
        <f t="shared" ref="AJ9" si="28">AJ8/AD8-1</f>
        <v>2.0426353710168543E-2</v>
      </c>
      <c r="AK9" s="732">
        <f t="shared" ref="AK9" si="29">AK8/AE8-1</f>
        <v>2.0532291015606718E-2</v>
      </c>
      <c r="AL9" s="665"/>
      <c r="AM9" s="717">
        <f>AM8/AG8-1</f>
        <v>2.9818338833544011E-2</v>
      </c>
      <c r="AN9" s="696">
        <f t="shared" ref="AN9" si="30">AN8/AH8-1</f>
        <v>-9.10342296044786E-3</v>
      </c>
      <c r="AO9" s="696">
        <f t="shared" ref="AO9" si="31">AO8/AI8-1</f>
        <v>8.0500355503068111E-3</v>
      </c>
      <c r="AP9" s="697">
        <f t="shared" ref="AP9" si="32">AP8/AJ8-1</f>
        <v>3.1202989275489035E-2</v>
      </c>
      <c r="AQ9" s="732">
        <f t="shared" ref="AQ9" si="33">AQ8/AK8-1</f>
        <v>1.4969804444932011E-2</v>
      </c>
      <c r="AR9" s="665"/>
      <c r="AS9" s="717">
        <f>AS8/AM8-1</f>
        <v>2.725982186176612E-2</v>
      </c>
      <c r="AT9" s="696">
        <f t="shared" ref="AT9" si="34">AT8/AN8-1</f>
        <v>6.3778423999949485E-3</v>
      </c>
      <c r="AU9" s="696">
        <f t="shared" ref="AU9" si="35">AU8/AO8-1</f>
        <v>2.9898743559397145E-2</v>
      </c>
      <c r="AV9" s="697">
        <f t="shared" ref="AV9" si="36">AV8/AP8-1</f>
        <v>4.1176470588235592E-3</v>
      </c>
      <c r="AW9" s="732">
        <f t="shared" ref="AW9" si="37">AW8/AQ8-1</f>
        <v>1.6940502601266116E-2</v>
      </c>
      <c r="AX9" s="665"/>
      <c r="AY9" s="717">
        <f>AY8/AS8-1</f>
        <v>2.9154518950438302E-3</v>
      </c>
      <c r="AZ9" s="696">
        <f t="shared" ref="AZ9" si="38">AZ8/AT8-1</f>
        <v>4.2944785276073594E-2</v>
      </c>
      <c r="BA9" s="696">
        <f t="shared" ref="BA9" si="39">BA8/AU8-1</f>
        <v>1.3929193267556483E-2</v>
      </c>
      <c r="BB9" s="697">
        <f t="shared" ref="BB9" si="40">BB8/AV8-1</f>
        <v>1.3473930872876405E-2</v>
      </c>
      <c r="BC9" s="732">
        <f t="shared" ref="BC9" si="41">BC8/AW8-1</f>
        <v>1.8007380073800761E-2</v>
      </c>
      <c r="BD9" s="665"/>
      <c r="BE9" s="717">
        <f>BE8/AY8-1</f>
        <v>3.488372093023262E-2</v>
      </c>
      <c r="BF9" s="696">
        <f t="shared" ref="BF9" si="42">BF8/AZ8-1</f>
        <v>2.9411764705882248E-2</v>
      </c>
      <c r="BG9" s="696">
        <f t="shared" ref="BG9" si="43">BG8/BA8-1</f>
        <v>3.0337721808815221E-2</v>
      </c>
      <c r="BH9" s="697">
        <f t="shared" ref="BH9" si="44">BH8/BB8-1</f>
        <v>5.2023121387283267E-2</v>
      </c>
      <c r="BI9" s="732">
        <f t="shared" ref="BI9" si="45">BI8/BC8-1</f>
        <v>3.6682615629983983E-2</v>
      </c>
      <c r="BJ9" s="665"/>
      <c r="BK9" s="717">
        <f>BK8/BE8-1</f>
        <v>-1.1235955056179803E-2</v>
      </c>
      <c r="BL9" s="696">
        <f t="shared" ref="BL9:BO9" si="46">BL8/BF8-1</f>
        <v>5.7142857142857162E-2</v>
      </c>
      <c r="BM9" s="696">
        <f t="shared" si="46"/>
        <v>6.1111111111111116E-2</v>
      </c>
      <c r="BN9" s="697">
        <f t="shared" si="46"/>
        <v>3.8461538461538547E-2</v>
      </c>
      <c r="BO9" s="732">
        <f t="shared" si="46"/>
        <v>3.6363636363636376E-2</v>
      </c>
      <c r="BP9" s="665"/>
      <c r="BQ9" s="717">
        <f>BQ8/BK8-1</f>
        <v>4.5454545454545414E-2</v>
      </c>
      <c r="BR9" s="696">
        <f t="shared" ref="BR9:BT9" si="47">BR11+BR10</f>
        <v>0.02</v>
      </c>
      <c r="BS9" s="696">
        <f t="shared" si="47"/>
        <v>0.03</v>
      </c>
      <c r="BT9" s="697">
        <f t="shared" si="47"/>
        <v>0.05</v>
      </c>
      <c r="BU9" s="732">
        <f t="shared" ref="BU9" si="48">BU8/BO8-1</f>
        <v>3.6275303643724888E-2</v>
      </c>
      <c r="BV9" s="665"/>
      <c r="BW9" s="717">
        <f>BW11+BW10</f>
        <v>3.5000000000000003E-2</v>
      </c>
      <c r="BX9" s="696">
        <f t="shared" ref="BX9" si="49">BX11+BX10</f>
        <v>3.5000000000000003E-2</v>
      </c>
      <c r="BY9" s="696">
        <f t="shared" ref="BY9" si="50">BY11+BY10</f>
        <v>3.5000000000000003E-2</v>
      </c>
      <c r="BZ9" s="697">
        <f t="shared" ref="BZ9" si="51">BZ11+BZ10</f>
        <v>3.5000000000000003E-2</v>
      </c>
      <c r="CA9" s="732">
        <f t="shared" ref="CA9" si="52">CA8/BU8-1</f>
        <v>3.499999999999992E-2</v>
      </c>
      <c r="CB9" s="665"/>
      <c r="CC9" s="717">
        <f>CC11+CC10</f>
        <v>3.5000000000000003E-2</v>
      </c>
      <c r="CD9" s="696">
        <f t="shared" ref="CD9" si="53">CD11+CD10</f>
        <v>3.5000000000000003E-2</v>
      </c>
      <c r="CE9" s="696">
        <f t="shared" ref="CE9" si="54">CE11+CE10</f>
        <v>3.5000000000000003E-2</v>
      </c>
      <c r="CF9" s="697">
        <f t="shared" ref="CF9" si="55">CF11+CF10</f>
        <v>3.5000000000000003E-2</v>
      </c>
      <c r="CG9" s="732">
        <f t="shared" ref="CG9" si="56">CG8/CA8-1</f>
        <v>3.499999999999992E-2</v>
      </c>
      <c r="CH9" s="665"/>
      <c r="CI9" s="717">
        <f>CI11+CI10</f>
        <v>3.5000000000000003E-2</v>
      </c>
      <c r="CJ9" s="696">
        <f t="shared" ref="CJ9" si="57">CJ11+CJ10</f>
        <v>3.5000000000000003E-2</v>
      </c>
      <c r="CK9" s="696">
        <f t="shared" ref="CK9" si="58">CK11+CK10</f>
        <v>3.5000000000000003E-2</v>
      </c>
      <c r="CL9" s="697">
        <f t="shared" ref="CL9" si="59">CL11+CL10</f>
        <v>3.5000000000000003E-2</v>
      </c>
      <c r="CM9" s="732">
        <f t="shared" ref="CM9" si="60">CM8/CG8-1</f>
        <v>3.4999999999999698E-2</v>
      </c>
    </row>
    <row r="10" spans="1:91" s="25" customFormat="1" ht="11.25" hidden="1" outlineLevel="1" x14ac:dyDescent="0.2">
      <c r="A10" s="695" t="s">
        <v>6</v>
      </c>
      <c r="B10" s="665"/>
      <c r="C10" s="672">
        <v>0</v>
      </c>
      <c r="D10" s="673">
        <v>0</v>
      </c>
      <c r="E10" s="673">
        <v>0</v>
      </c>
      <c r="F10" s="674">
        <v>0</v>
      </c>
      <c r="G10" s="671">
        <v>0</v>
      </c>
      <c r="H10" s="665"/>
      <c r="I10" s="672">
        <v>0</v>
      </c>
      <c r="J10" s="673">
        <v>0</v>
      </c>
      <c r="K10" s="673">
        <v>0</v>
      </c>
      <c r="L10" s="674">
        <v>0</v>
      </c>
      <c r="M10" s="732">
        <f>SUMPRODUCT(I10:L10,C8:F8)/G8</f>
        <v>0</v>
      </c>
      <c r="N10" s="665"/>
      <c r="O10" s="672">
        <v>0</v>
      </c>
      <c r="P10" s="673">
        <v>0</v>
      </c>
      <c r="Q10" s="673">
        <v>0</v>
      </c>
      <c r="R10" s="674">
        <v>0</v>
      </c>
      <c r="S10" s="732">
        <f>SUMPRODUCT(O10:R10,I8:L8)/M8</f>
        <v>0</v>
      </c>
      <c r="T10" s="665"/>
      <c r="U10" s="672">
        <v>0</v>
      </c>
      <c r="V10" s="673">
        <v>0</v>
      </c>
      <c r="W10" s="673">
        <v>0</v>
      </c>
      <c r="X10" s="674">
        <v>0</v>
      </c>
      <c r="Y10" s="732">
        <f>SUMPRODUCT(U10:X10,O8:R8)/S8</f>
        <v>0</v>
      </c>
      <c r="Z10" s="665"/>
      <c r="AA10" s="672">
        <v>0</v>
      </c>
      <c r="AB10" s="673">
        <v>0</v>
      </c>
      <c r="AC10" s="673">
        <v>0</v>
      </c>
      <c r="AD10" s="674">
        <v>0</v>
      </c>
      <c r="AE10" s="732">
        <f>SUMPRODUCT(AA10:AD10,U8:X8)/Y8</f>
        <v>0</v>
      </c>
      <c r="AF10" s="665"/>
      <c r="AG10" s="672">
        <v>0</v>
      </c>
      <c r="AH10" s="673">
        <v>0</v>
      </c>
      <c r="AI10" s="673">
        <v>0</v>
      </c>
      <c r="AJ10" s="674">
        <v>0</v>
      </c>
      <c r="AK10" s="732">
        <f>SUMPRODUCT(AG10:AJ10,AA8:AD8)/AE8</f>
        <v>0</v>
      </c>
      <c r="AL10" s="665"/>
      <c r="AM10" s="672">
        <v>0</v>
      </c>
      <c r="AN10" s="673">
        <v>0</v>
      </c>
      <c r="AO10" s="673">
        <v>0</v>
      </c>
      <c r="AP10" s="674">
        <v>0</v>
      </c>
      <c r="AQ10" s="732">
        <f>SUMPRODUCT(AM10:AP10,AG8:AJ8)/AK8</f>
        <v>0</v>
      </c>
      <c r="AR10" s="665"/>
      <c r="AS10" s="672">
        <v>0</v>
      </c>
      <c r="AT10" s="673">
        <v>0</v>
      </c>
      <c r="AU10" s="673">
        <v>0</v>
      </c>
      <c r="AV10" s="674">
        <v>0</v>
      </c>
      <c r="AW10" s="732">
        <f>SUMPRODUCT(AS10:AV10,AM8:AP8)/AQ8</f>
        <v>0</v>
      </c>
      <c r="AX10" s="665"/>
      <c r="AY10" s="672">
        <v>0</v>
      </c>
      <c r="AZ10" s="673">
        <v>0</v>
      </c>
      <c r="BA10" s="673">
        <v>0</v>
      </c>
      <c r="BB10" s="674">
        <v>0</v>
      </c>
      <c r="BC10" s="732">
        <f>SUMPRODUCT(AY10:BB10,AS8:AV8)/AW8</f>
        <v>0</v>
      </c>
      <c r="BD10" s="665"/>
      <c r="BE10" s="672">
        <v>0</v>
      </c>
      <c r="BF10" s="673">
        <v>0</v>
      </c>
      <c r="BG10" s="673">
        <v>0</v>
      </c>
      <c r="BH10" s="674">
        <v>0</v>
      </c>
      <c r="BI10" s="732">
        <f>SUMPRODUCT(BE10:BH10,AY8:BB8)/BC8</f>
        <v>0</v>
      </c>
      <c r="BJ10" s="665"/>
      <c r="BK10" s="672">
        <v>0</v>
      </c>
      <c r="BL10" s="673">
        <v>0</v>
      </c>
      <c r="BM10" s="673">
        <v>0</v>
      </c>
      <c r="BN10" s="674">
        <v>0</v>
      </c>
      <c r="BO10" s="732">
        <f>SUMPRODUCT(BK10:BN10,BE8:BH8)/BI8</f>
        <v>0</v>
      </c>
      <c r="BP10" s="665"/>
      <c r="BQ10" s="672">
        <v>0</v>
      </c>
      <c r="BR10" s="673">
        <v>0</v>
      </c>
      <c r="BS10" s="673">
        <v>0</v>
      </c>
      <c r="BT10" s="674">
        <v>0</v>
      </c>
      <c r="BU10" s="732">
        <f>SUMPRODUCT(BQ10:BT10,BK8:BN8)/BO8</f>
        <v>0</v>
      </c>
      <c r="BV10" s="665"/>
      <c r="BW10" s="672">
        <v>0</v>
      </c>
      <c r="BX10" s="673">
        <v>0</v>
      </c>
      <c r="BY10" s="673">
        <v>0</v>
      </c>
      <c r="BZ10" s="674">
        <v>0</v>
      </c>
      <c r="CA10" s="732">
        <f>SUMPRODUCT(BW10:BZ10,BQ8:BT8)/BU8</f>
        <v>0</v>
      </c>
      <c r="CB10" s="665"/>
      <c r="CC10" s="672">
        <v>0</v>
      </c>
      <c r="CD10" s="673">
        <v>0</v>
      </c>
      <c r="CE10" s="673">
        <v>0</v>
      </c>
      <c r="CF10" s="674">
        <v>0</v>
      </c>
      <c r="CG10" s="732">
        <f>SUMPRODUCT(CC10:CF10,BW8:BZ8)/CA8</f>
        <v>0</v>
      </c>
      <c r="CH10" s="665"/>
      <c r="CI10" s="672">
        <v>0</v>
      </c>
      <c r="CJ10" s="673">
        <v>0</v>
      </c>
      <c r="CK10" s="673">
        <v>0</v>
      </c>
      <c r="CL10" s="674">
        <v>0</v>
      </c>
      <c r="CM10" s="732">
        <f>SUMPRODUCT(CI10:CL10,CC8:CF8)/CG8</f>
        <v>0</v>
      </c>
    </row>
    <row r="11" spans="1:91" s="25" customFormat="1" ht="11.25" hidden="1" outlineLevel="1" x14ac:dyDescent="0.2">
      <c r="A11" s="695" t="s">
        <v>7</v>
      </c>
      <c r="B11" s="665"/>
      <c r="C11" s="717">
        <f>C9-C10</f>
        <v>7.2596079453371321E-2</v>
      </c>
      <c r="D11" s="696">
        <f t="shared" ref="D11:G11" si="61">D9-D10</f>
        <v>5.20285140177974E-2</v>
      </c>
      <c r="E11" s="696">
        <f t="shared" si="61"/>
        <v>5.8093079319834207E-2</v>
      </c>
      <c r="F11" s="697">
        <f t="shared" si="61"/>
        <v>4.8278948406377697E-2</v>
      </c>
      <c r="G11" s="732">
        <f t="shared" si="61"/>
        <v>5.755858016829829E-2</v>
      </c>
      <c r="H11" s="665"/>
      <c r="I11" s="717">
        <f>I9-I10</f>
        <v>8.8054182516723367E-2</v>
      </c>
      <c r="J11" s="696">
        <f t="shared" ref="J11:M11" si="62">J9-J10</f>
        <v>6.6220999416388038E-2</v>
      </c>
      <c r="K11" s="696">
        <f t="shared" si="62"/>
        <v>3.47061015103316E-2</v>
      </c>
      <c r="L11" s="697">
        <f t="shared" si="62"/>
        <v>5.6322945232737398E-2</v>
      </c>
      <c r="M11" s="732">
        <f t="shared" si="62"/>
        <v>6.0881209423455429E-2</v>
      </c>
      <c r="N11" s="665"/>
      <c r="O11" s="717">
        <f>O9-O10</f>
        <v>4.1381716678297042E-2</v>
      </c>
      <c r="P11" s="696">
        <f t="shared" ref="P11:S11" si="63">P9-P10</f>
        <v>4.8068584102250567E-2</v>
      </c>
      <c r="Q11" s="696">
        <f t="shared" si="63"/>
        <v>7.8550853091070127E-2</v>
      </c>
      <c r="R11" s="697">
        <f t="shared" si="63"/>
        <v>7.0835074355935834E-2</v>
      </c>
      <c r="S11" s="732">
        <f t="shared" si="63"/>
        <v>5.9850934142557932E-2</v>
      </c>
      <c r="T11" s="665"/>
      <c r="U11" s="717">
        <f>U9-U10</f>
        <v>4.6947664678683942E-2</v>
      </c>
      <c r="V11" s="696">
        <f t="shared" ref="V11:Y11" si="64">V9-V10</f>
        <v>1.6929379527387933E-2</v>
      </c>
      <c r="W11" s="696">
        <f t="shared" si="64"/>
        <v>2.2265023112480797E-2</v>
      </c>
      <c r="X11" s="697">
        <f t="shared" si="64"/>
        <v>3.6436211043447075E-2</v>
      </c>
      <c r="Y11" s="732">
        <f t="shared" si="64"/>
        <v>3.0662632196256645E-2</v>
      </c>
      <c r="Z11" s="665"/>
      <c r="AA11" s="717">
        <f>AA9-AA10</f>
        <v>3.7270539440333872E-2</v>
      </c>
      <c r="AB11" s="696">
        <f t="shared" ref="AB11:AE11" si="65">AB9-AB10</f>
        <v>4.6994637569031328E-2</v>
      </c>
      <c r="AC11" s="696">
        <f t="shared" si="65"/>
        <v>2.110809656593049E-2</v>
      </c>
      <c r="AD11" s="697">
        <f t="shared" si="65"/>
        <v>-2.8884609687452878E-3</v>
      </c>
      <c r="AE11" s="732">
        <f t="shared" si="65"/>
        <v>2.5121927895189744E-2</v>
      </c>
      <c r="AF11" s="665"/>
      <c r="AG11" s="717">
        <f>AG9-AG10</f>
        <v>3.4555316273698899E-4</v>
      </c>
      <c r="AH11" s="696">
        <f t="shared" ref="AH11:AK11" si="66">AH9-AH10</f>
        <v>4.1260558804418368E-2</v>
      </c>
      <c r="AI11" s="696">
        <f t="shared" si="66"/>
        <v>2.0745560892803327E-2</v>
      </c>
      <c r="AJ11" s="697">
        <f t="shared" si="66"/>
        <v>2.0426353710168543E-2</v>
      </c>
      <c r="AK11" s="732">
        <f t="shared" si="66"/>
        <v>2.0532291015606718E-2</v>
      </c>
      <c r="AL11" s="665"/>
      <c r="AM11" s="717">
        <f>AM9-AM10</f>
        <v>2.9818338833544011E-2</v>
      </c>
      <c r="AN11" s="696">
        <f t="shared" ref="AN11:AQ11" si="67">AN9-AN10</f>
        <v>-9.10342296044786E-3</v>
      </c>
      <c r="AO11" s="696">
        <f t="shared" si="67"/>
        <v>8.0500355503068111E-3</v>
      </c>
      <c r="AP11" s="697">
        <f t="shared" si="67"/>
        <v>3.1202989275489035E-2</v>
      </c>
      <c r="AQ11" s="732">
        <f t="shared" si="67"/>
        <v>1.4969804444932011E-2</v>
      </c>
      <c r="AR11" s="665"/>
      <c r="AS11" s="717">
        <f>AS9-AS10</f>
        <v>2.725982186176612E-2</v>
      </c>
      <c r="AT11" s="696">
        <f t="shared" ref="AT11:AW11" si="68">AT9-AT10</f>
        <v>6.3778423999949485E-3</v>
      </c>
      <c r="AU11" s="696">
        <f t="shared" si="68"/>
        <v>2.9898743559397145E-2</v>
      </c>
      <c r="AV11" s="697">
        <f t="shared" si="68"/>
        <v>4.1176470588235592E-3</v>
      </c>
      <c r="AW11" s="732">
        <f t="shared" si="68"/>
        <v>1.6940502601266116E-2</v>
      </c>
      <c r="AX11" s="665"/>
      <c r="AY11" s="717">
        <f>AY9-AY10</f>
        <v>2.9154518950438302E-3</v>
      </c>
      <c r="AZ11" s="696">
        <f t="shared" ref="AZ11:BC11" si="69">AZ9-AZ10</f>
        <v>4.2944785276073594E-2</v>
      </c>
      <c r="BA11" s="696">
        <f t="shared" si="69"/>
        <v>1.3929193267556483E-2</v>
      </c>
      <c r="BB11" s="697">
        <f t="shared" si="69"/>
        <v>1.3473930872876405E-2</v>
      </c>
      <c r="BC11" s="732">
        <f t="shared" si="69"/>
        <v>1.8007380073800761E-2</v>
      </c>
      <c r="BD11" s="665"/>
      <c r="BE11" s="717">
        <f>BE9-BE10</f>
        <v>3.488372093023262E-2</v>
      </c>
      <c r="BF11" s="696">
        <f t="shared" ref="BF11:BI11" si="70">BF9-BF10</f>
        <v>2.9411764705882248E-2</v>
      </c>
      <c r="BG11" s="696">
        <f t="shared" si="70"/>
        <v>3.0337721808815221E-2</v>
      </c>
      <c r="BH11" s="697">
        <f t="shared" si="70"/>
        <v>5.2023121387283267E-2</v>
      </c>
      <c r="BI11" s="732">
        <f t="shared" si="70"/>
        <v>3.6682615629983983E-2</v>
      </c>
      <c r="BJ11" s="665"/>
      <c r="BK11" s="717">
        <f>BK9-BK10</f>
        <v>-1.1235955056179803E-2</v>
      </c>
      <c r="BL11" s="696">
        <f t="shared" ref="BL11:BO11" si="71">BL9-BL10</f>
        <v>5.7142857142857162E-2</v>
      </c>
      <c r="BM11" s="696">
        <f t="shared" si="71"/>
        <v>6.1111111111111116E-2</v>
      </c>
      <c r="BN11" s="697">
        <f t="shared" si="71"/>
        <v>3.8461538461538547E-2</v>
      </c>
      <c r="BO11" s="732">
        <f t="shared" si="71"/>
        <v>3.6363636363636376E-2</v>
      </c>
      <c r="BP11" s="665"/>
      <c r="BQ11" s="717">
        <f>BQ9-BQ10</f>
        <v>4.5454545454545414E-2</v>
      </c>
      <c r="BR11" s="673">
        <v>0.02</v>
      </c>
      <c r="BS11" s="673">
        <v>0.03</v>
      </c>
      <c r="BT11" s="674">
        <v>0.05</v>
      </c>
      <c r="BU11" s="732">
        <f t="shared" ref="BU11" si="72">BU9-BU10</f>
        <v>3.6275303643724888E-2</v>
      </c>
      <c r="BV11" s="665"/>
      <c r="BW11" s="672">
        <v>3.5000000000000003E-2</v>
      </c>
      <c r="BX11" s="673">
        <f>BW11</f>
        <v>3.5000000000000003E-2</v>
      </c>
      <c r="BY11" s="673">
        <f>BX11</f>
        <v>3.5000000000000003E-2</v>
      </c>
      <c r="BZ11" s="674">
        <f>BY11</f>
        <v>3.5000000000000003E-2</v>
      </c>
      <c r="CA11" s="732">
        <f t="shared" ref="CA11" si="73">CA9-CA10</f>
        <v>3.499999999999992E-2</v>
      </c>
      <c r="CB11" s="665"/>
      <c r="CC11" s="672">
        <v>3.5000000000000003E-2</v>
      </c>
      <c r="CD11" s="673">
        <f>CC11</f>
        <v>3.5000000000000003E-2</v>
      </c>
      <c r="CE11" s="673">
        <f>CD11</f>
        <v>3.5000000000000003E-2</v>
      </c>
      <c r="CF11" s="674">
        <f>CE11</f>
        <v>3.5000000000000003E-2</v>
      </c>
      <c r="CG11" s="732">
        <f t="shared" ref="CG11" si="74">CG9-CG10</f>
        <v>3.499999999999992E-2</v>
      </c>
      <c r="CH11" s="665"/>
      <c r="CI11" s="672">
        <v>3.5000000000000003E-2</v>
      </c>
      <c r="CJ11" s="673">
        <f>CI11</f>
        <v>3.5000000000000003E-2</v>
      </c>
      <c r="CK11" s="673">
        <f>CJ11</f>
        <v>3.5000000000000003E-2</v>
      </c>
      <c r="CL11" s="674">
        <f>CK11</f>
        <v>3.5000000000000003E-2</v>
      </c>
      <c r="CM11" s="732">
        <f t="shared" ref="CM11" si="75">CM9-CM10</f>
        <v>3.4999999999999698E-2</v>
      </c>
    </row>
    <row r="12" spans="1:91" s="25" customFormat="1" ht="11.25" hidden="1" outlineLevel="1" x14ac:dyDescent="0.2">
      <c r="A12" s="694" t="s">
        <v>8</v>
      </c>
      <c r="B12" s="665"/>
      <c r="C12" s="669">
        <v>108.369</v>
      </c>
      <c r="D12" s="657">
        <v>112.809</v>
      </c>
      <c r="E12" s="657">
        <v>121.761</v>
      </c>
      <c r="F12" s="676">
        <v>122.337</v>
      </c>
      <c r="G12" s="677">
        <v>465.27599999999995</v>
      </c>
      <c r="H12" s="665"/>
      <c r="I12" s="669">
        <v>128.16900000000001</v>
      </c>
      <c r="J12" s="657">
        <v>133.518</v>
      </c>
      <c r="K12" s="657">
        <v>146.345</v>
      </c>
      <c r="L12" s="676">
        <v>141.119</v>
      </c>
      <c r="M12" s="733">
        <f>SUM(I12:L12)</f>
        <v>549.15100000000007</v>
      </c>
      <c r="N12" s="665"/>
      <c r="O12" s="669">
        <v>128.92400000000001</v>
      </c>
      <c r="P12" s="657">
        <v>131.029</v>
      </c>
      <c r="Q12" s="657">
        <v>136.42699999999999</v>
      </c>
      <c r="R12" s="676">
        <v>138.297</v>
      </c>
      <c r="S12" s="733">
        <f>SUM(O12:R12)</f>
        <v>534.67700000000002</v>
      </c>
      <c r="T12" s="665"/>
      <c r="U12" s="669">
        <v>143.93</v>
      </c>
      <c r="V12" s="657">
        <v>137.738</v>
      </c>
      <c r="W12" s="657">
        <v>144.298</v>
      </c>
      <c r="X12" s="676">
        <v>144.42099999999999</v>
      </c>
      <c r="Y12" s="733">
        <f>SUM(U12:X12)</f>
        <v>570.38699999999994</v>
      </c>
      <c r="Z12" s="665"/>
      <c r="AA12" s="669">
        <v>150.56899999999999</v>
      </c>
      <c r="AB12" s="657">
        <v>149.261</v>
      </c>
      <c r="AC12" s="657">
        <v>167.73699999999999</v>
      </c>
      <c r="AD12" s="676">
        <v>167.04400000000001</v>
      </c>
      <c r="AE12" s="733">
        <f>SUM(AA12:AD12)</f>
        <v>634.61099999999999</v>
      </c>
      <c r="AF12" s="665"/>
      <c r="AG12" s="669">
        <v>154.50700000000001</v>
      </c>
      <c r="AH12" s="657">
        <v>159.858</v>
      </c>
      <c r="AI12" s="657">
        <v>167.49199999999999</v>
      </c>
      <c r="AJ12" s="676">
        <v>162.648</v>
      </c>
      <c r="AK12" s="733">
        <f>SUM(AG12:AJ12)</f>
        <v>644.505</v>
      </c>
      <c r="AL12" s="665"/>
      <c r="AM12" s="669">
        <v>167.81800000000001</v>
      </c>
      <c r="AN12" s="657">
        <v>168.06399999999999</v>
      </c>
      <c r="AO12" s="657">
        <v>177.571</v>
      </c>
      <c r="AP12" s="676">
        <v>172</v>
      </c>
      <c r="AQ12" s="733">
        <f>SUM(AM12:AP12)</f>
        <v>685.45299999999997</v>
      </c>
      <c r="AR12" s="665"/>
      <c r="AS12" s="669">
        <v>176</v>
      </c>
      <c r="AT12" s="657">
        <v>179</v>
      </c>
      <c r="AU12" s="657">
        <v>191.8</v>
      </c>
      <c r="AV12" s="676">
        <v>187</v>
      </c>
      <c r="AW12" s="733">
        <f>SUM(AS12:AV12)</f>
        <v>733.8</v>
      </c>
      <c r="AX12" s="665"/>
      <c r="AY12" s="669">
        <v>181.55</v>
      </c>
      <c r="AZ12" s="657">
        <v>168.25</v>
      </c>
      <c r="BA12" s="657">
        <v>175</v>
      </c>
      <c r="BB12" s="676">
        <v>175</v>
      </c>
      <c r="BC12" s="733">
        <f>SUM(AY12:BB12)</f>
        <v>699.8</v>
      </c>
      <c r="BD12" s="665"/>
      <c r="BE12" s="669">
        <v>166</v>
      </c>
      <c r="BF12" s="657">
        <v>165</v>
      </c>
      <c r="BG12" s="657">
        <v>186</v>
      </c>
      <c r="BH12" s="676">
        <v>177</v>
      </c>
      <c r="BI12" s="733">
        <f>SUM(BE12:BH12)</f>
        <v>694</v>
      </c>
      <c r="BJ12" s="665"/>
      <c r="BK12" s="669">
        <v>179</v>
      </c>
      <c r="BL12" s="657">
        <v>177</v>
      </c>
      <c r="BM12" s="657">
        <v>185</v>
      </c>
      <c r="BN12" s="676">
        <v>189</v>
      </c>
      <c r="BO12" s="733">
        <f>SUM(BK12:BN12)</f>
        <v>730</v>
      </c>
      <c r="BP12" s="665"/>
      <c r="BQ12" s="669">
        <v>191</v>
      </c>
      <c r="BR12" s="666">
        <f t="shared" ref="BR12" si="76">BL12*(1+BR13)</f>
        <v>208.20501897904623</v>
      </c>
      <c r="BS12" s="666">
        <f t="shared" ref="BS12" si="77">BM12*(1+BS13)</f>
        <v>219.49945425894109</v>
      </c>
      <c r="BT12" s="667">
        <f t="shared" ref="BT12" si="78">BN12*(1+BT13)</f>
        <v>206.4303667039741</v>
      </c>
      <c r="BU12" s="733">
        <f>SUM(BQ12:BT12)</f>
        <v>825.13483994196145</v>
      </c>
      <c r="BV12" s="665"/>
      <c r="BW12" s="718">
        <f>BQ12*(1+BW13)</f>
        <v>215.61452011462893</v>
      </c>
      <c r="BX12" s="666">
        <f t="shared" ref="BX12" si="79">BR12*(1+BX13)</f>
        <v>222.9527269824365</v>
      </c>
      <c r="BY12" s="666">
        <f t="shared" ref="BY12" si="80">BS12*(1+BY13)</f>
        <v>233.76691878577225</v>
      </c>
      <c r="BZ12" s="667">
        <f t="shared" ref="BZ12" si="81">BT12*(1+BZ13)</f>
        <v>219.84834053973242</v>
      </c>
      <c r="CA12" s="733">
        <f>SUM(BW12:BZ12)</f>
        <v>892.18250642256999</v>
      </c>
      <c r="CB12" s="665"/>
      <c r="CC12" s="718">
        <f>BW12*(1+CC13)</f>
        <v>229.62946392207979</v>
      </c>
      <c r="CD12" s="666">
        <f t="shared" ref="CD12" si="82">BX12*(1+CD13)</f>
        <v>237.44465423629487</v>
      </c>
      <c r="CE12" s="666">
        <f t="shared" ref="CE12" si="83">BY12*(1+CE13)</f>
        <v>248.96176850684742</v>
      </c>
      <c r="CF12" s="667">
        <f t="shared" ref="CF12" si="84">BZ12*(1+CF13)</f>
        <v>234.13848267481501</v>
      </c>
      <c r="CG12" s="733">
        <f>SUM(CC12:CF12)</f>
        <v>950.17436934003706</v>
      </c>
      <c r="CH12" s="665"/>
      <c r="CI12" s="718">
        <f>CC12*(1+CI13)</f>
        <v>244.55537907701498</v>
      </c>
      <c r="CJ12" s="666">
        <f t="shared" ref="CJ12" si="85">CD12*(1+CJ13)</f>
        <v>252.87855676165401</v>
      </c>
      <c r="CK12" s="666">
        <f t="shared" ref="CK12" si="86">CE12*(1+CK13)</f>
        <v>265.14428345979246</v>
      </c>
      <c r="CL12" s="667">
        <f t="shared" ref="CL12" si="87">CF12*(1+CL13)</f>
        <v>249.35748404867797</v>
      </c>
      <c r="CM12" s="733">
        <f>SUM(CI12:CL12)</f>
        <v>1011.9357033471393</v>
      </c>
    </row>
    <row r="13" spans="1:91" s="25" customFormat="1" ht="11.25" hidden="1" outlineLevel="1" x14ac:dyDescent="0.2">
      <c r="A13" s="695" t="s">
        <v>5</v>
      </c>
      <c r="B13" s="665"/>
      <c r="C13" s="672">
        <v>9.0516634129651719E-2</v>
      </c>
      <c r="D13" s="673">
        <v>0.11197744679592692</v>
      </c>
      <c r="E13" s="673">
        <v>0.1317235033321249</v>
      </c>
      <c r="F13" s="674">
        <v>0.13908881833164188</v>
      </c>
      <c r="G13" s="671">
        <v>0.11896029686564313</v>
      </c>
      <c r="H13" s="665"/>
      <c r="I13" s="717">
        <f>I12/C12-1</f>
        <v>0.18270907731915975</v>
      </c>
      <c r="J13" s="696">
        <f t="shared" ref="J13" si="88">J12/D12-1</f>
        <v>0.18357577852830897</v>
      </c>
      <c r="K13" s="696">
        <f t="shared" ref="K13" si="89">K12/E12-1</f>
        <v>0.20190372943717616</v>
      </c>
      <c r="L13" s="697">
        <f t="shared" ref="L13" si="90">L12/F12-1</f>
        <v>0.15352673353114743</v>
      </c>
      <c r="M13" s="732">
        <f t="shared" ref="M13" si="91">M12/G12-1</f>
        <v>0.18026934550675322</v>
      </c>
      <c r="N13" s="665"/>
      <c r="O13" s="717">
        <f>O12/I12-1</f>
        <v>5.8906599879846588E-3</v>
      </c>
      <c r="P13" s="696">
        <f t="shared" ref="P13" si="92">P12/J12-1</f>
        <v>-1.8641681271439059E-2</v>
      </c>
      <c r="Q13" s="696">
        <f t="shared" ref="Q13" si="93">Q12/K12-1</f>
        <v>-6.7771362192080353E-2</v>
      </c>
      <c r="R13" s="697">
        <f t="shared" ref="R13" si="94">R12/L12-1</f>
        <v>-1.9997307237154427E-2</v>
      </c>
      <c r="S13" s="732">
        <f t="shared" ref="S13" si="95">S12/M12-1</f>
        <v>-2.6357049336157123E-2</v>
      </c>
      <c r="T13" s="665"/>
      <c r="U13" s="717">
        <f>U12/O12-1</f>
        <v>0.11639415469578984</v>
      </c>
      <c r="V13" s="696">
        <f t="shared" ref="V13" si="96">V12/P12-1</f>
        <v>5.1202405574338528E-2</v>
      </c>
      <c r="W13" s="696">
        <f t="shared" ref="W13" si="97">W12/Q12-1</f>
        <v>5.769385825386486E-2</v>
      </c>
      <c r="X13" s="697">
        <f t="shared" ref="X13" si="98">X12/R12-1</f>
        <v>4.4281510083371334E-2</v>
      </c>
      <c r="Y13" s="732">
        <f t="shared" ref="Y13" si="99">Y12/S12-1</f>
        <v>6.6787986017726508E-2</v>
      </c>
      <c r="Z13" s="665"/>
      <c r="AA13" s="717">
        <f>AA12/U12-1</f>
        <v>4.6126589314249955E-2</v>
      </c>
      <c r="AB13" s="696">
        <f t="shared" ref="AB13" si="100">AB12/V12-1</f>
        <v>8.3658830533331452E-2</v>
      </c>
      <c r="AC13" s="696">
        <f t="shared" ref="AC13" si="101">AC12/W12-1</f>
        <v>0.16243468377940085</v>
      </c>
      <c r="AD13" s="697">
        <f t="shared" ref="AD13" si="102">AD12/X12-1</f>
        <v>0.15664619411304459</v>
      </c>
      <c r="AE13" s="732">
        <f t="shared" ref="AE13" si="103">AE12/Y12-1</f>
        <v>0.11259723661303656</v>
      </c>
      <c r="AF13" s="665"/>
      <c r="AG13" s="717">
        <f>AG12/AA12-1</f>
        <v>2.6154122030431326E-2</v>
      </c>
      <c r="AH13" s="696">
        <f t="shared" ref="AH13" si="104">AH12/AB12-1</f>
        <v>7.0996442473251653E-2</v>
      </c>
      <c r="AI13" s="696">
        <f t="shared" ref="AI13" si="105">AI12/AC12-1</f>
        <v>-1.4606198990085861E-3</v>
      </c>
      <c r="AJ13" s="697">
        <f t="shared" ref="AJ13" si="106">AJ12/AD12-1</f>
        <v>-2.6316419625966869E-2</v>
      </c>
      <c r="AK13" s="732">
        <f t="shared" ref="AK13" si="107">AK12/AE12-1</f>
        <v>1.559065317178554E-2</v>
      </c>
      <c r="AL13" s="665"/>
      <c r="AM13" s="717">
        <f>AM12/AG12-1</f>
        <v>8.6151436504495083E-2</v>
      </c>
      <c r="AN13" s="696">
        <f t="shared" ref="AN13" si="108">AN12/AH12-1</f>
        <v>5.1333058089053862E-2</v>
      </c>
      <c r="AO13" s="696">
        <f t="shared" ref="AO13" si="109">AO12/AI12-1</f>
        <v>6.0176008406371606E-2</v>
      </c>
      <c r="AP13" s="697">
        <f t="shared" ref="AP13" si="110">AP12/AJ12-1</f>
        <v>5.7498401455904791E-2</v>
      </c>
      <c r="AQ13" s="732">
        <f t="shared" ref="AQ13" si="111">AQ12/AK12-1</f>
        <v>6.35340299920093E-2</v>
      </c>
      <c r="AR13" s="665"/>
      <c r="AS13" s="717">
        <f>AS12/AM12-1</f>
        <v>4.8755199084722589E-2</v>
      </c>
      <c r="AT13" s="696">
        <f t="shared" ref="AT13" si="112">AT12/AN12-1</f>
        <v>6.5070449352627513E-2</v>
      </c>
      <c r="AU13" s="696">
        <f t="shared" ref="AU13" si="113">AU12/AO12-1</f>
        <v>8.0131327750589953E-2</v>
      </c>
      <c r="AV13" s="697">
        <f t="shared" ref="AV13" si="114">AV12/AP12-1</f>
        <v>8.7209302325581328E-2</v>
      </c>
      <c r="AW13" s="732">
        <f t="shared" ref="AW13" si="115">AW12/AQ12-1</f>
        <v>7.0532917647161852E-2</v>
      </c>
      <c r="AX13" s="665"/>
      <c r="AY13" s="717">
        <f>AY12/AS12-1</f>
        <v>3.1534090909090873E-2</v>
      </c>
      <c r="AZ13" s="696">
        <f t="shared" ref="AZ13" si="116">AZ12/AT12-1</f>
        <v>-6.0055865921787688E-2</v>
      </c>
      <c r="BA13" s="696">
        <f t="shared" ref="BA13" si="117">BA12/AU12-1</f>
        <v>-8.7591240875912413E-2</v>
      </c>
      <c r="BB13" s="697">
        <f t="shared" ref="BB13" si="118">BB12/AV12-1</f>
        <v>-6.4171122994652441E-2</v>
      </c>
      <c r="BC13" s="732">
        <f t="shared" ref="BC13" si="119">BC12/AW12-1</f>
        <v>-4.6334150994821521E-2</v>
      </c>
      <c r="BD13" s="665"/>
      <c r="BE13" s="717">
        <f>BE12/AY12-1</f>
        <v>-8.5651335720187349E-2</v>
      </c>
      <c r="BF13" s="696">
        <f t="shared" ref="BF13" si="120">BF12/AZ12-1</f>
        <v>-1.9316493313521588E-2</v>
      </c>
      <c r="BG13" s="696">
        <f t="shared" ref="BG13" si="121">BG12/BA12-1</f>
        <v>6.2857142857142945E-2</v>
      </c>
      <c r="BH13" s="697">
        <f t="shared" ref="BH13" si="122">BH12/BB12-1</f>
        <v>1.1428571428571344E-2</v>
      </c>
      <c r="BI13" s="732">
        <f t="shared" ref="BI13" si="123">BI12/BC12-1</f>
        <v>-8.2880823092311706E-3</v>
      </c>
      <c r="BJ13" s="665"/>
      <c r="BK13" s="717">
        <f>BK12/BE12-1</f>
        <v>7.8313253012048278E-2</v>
      </c>
      <c r="BL13" s="696">
        <f t="shared" ref="BL13:BQ13" si="124">BL12/BF12-1</f>
        <v>7.2727272727272751E-2</v>
      </c>
      <c r="BM13" s="696">
        <f t="shared" si="124"/>
        <v>-5.3763440860215006E-3</v>
      </c>
      <c r="BN13" s="697">
        <f t="shared" si="124"/>
        <v>6.7796610169491567E-2</v>
      </c>
      <c r="BO13" s="732">
        <f t="shared" si="124"/>
        <v>5.187319884726227E-2</v>
      </c>
      <c r="BP13" s="665"/>
      <c r="BQ13" s="717">
        <f t="shared" si="124"/>
        <v>6.7039106145251326E-2</v>
      </c>
      <c r="BR13" s="696">
        <f t="shared" ref="BR13:BT13" si="125">BR15+BR14</f>
        <v>0.17629954225449829</v>
      </c>
      <c r="BS13" s="696">
        <f t="shared" si="125"/>
        <v>0.18648353653481675</v>
      </c>
      <c r="BT13" s="697">
        <f t="shared" si="125"/>
        <v>9.2224162454889499E-2</v>
      </c>
      <c r="BU13" s="732">
        <f t="shared" ref="BU13" si="126">BU12/BO12-1</f>
        <v>0.13032169855063214</v>
      </c>
      <c r="BV13" s="665"/>
      <c r="BW13" s="717">
        <f>BW15+BW14</f>
        <v>0.12887183306088457</v>
      </c>
      <c r="BX13" s="696">
        <f t="shared" ref="BX13" si="127">BX15+BX14</f>
        <v>7.0832624860376212E-2</v>
      </c>
      <c r="BY13" s="696">
        <f t="shared" ref="BY13" si="128">BY15+BY14</f>
        <v>6.5000000000000002E-2</v>
      </c>
      <c r="BZ13" s="697">
        <f t="shared" ref="BZ13" si="129">BZ15+BZ14</f>
        <v>6.5000000000000002E-2</v>
      </c>
      <c r="CA13" s="732">
        <f t="shared" ref="CA13" si="130">CA12/BU12-1</f>
        <v>8.1256617991460001E-2</v>
      </c>
      <c r="CB13" s="665"/>
      <c r="CC13" s="717">
        <f>CC15+CC14</f>
        <v>6.5000000000000002E-2</v>
      </c>
      <c r="CD13" s="696">
        <f t="shared" ref="CD13" si="131">CD15+CD14</f>
        <v>6.5000000000000002E-2</v>
      </c>
      <c r="CE13" s="696">
        <f t="shared" ref="CE13" si="132">CE15+CE14</f>
        <v>6.5000000000000002E-2</v>
      </c>
      <c r="CF13" s="697">
        <f t="shared" ref="CF13" si="133">CF15+CF14</f>
        <v>6.5000000000000002E-2</v>
      </c>
      <c r="CG13" s="732">
        <f t="shared" ref="CG13" si="134">CG12/CA12-1</f>
        <v>6.4999999999999947E-2</v>
      </c>
      <c r="CH13" s="665"/>
      <c r="CI13" s="717">
        <f>CI15+CI14</f>
        <v>6.5000000000000002E-2</v>
      </c>
      <c r="CJ13" s="696">
        <f t="shared" ref="CJ13" si="135">CJ15+CJ14</f>
        <v>6.5000000000000002E-2</v>
      </c>
      <c r="CK13" s="696">
        <f t="shared" ref="CK13" si="136">CK15+CK14</f>
        <v>6.5000000000000002E-2</v>
      </c>
      <c r="CL13" s="697">
        <f t="shared" ref="CL13" si="137">CL15+CL14</f>
        <v>6.5000000000000002E-2</v>
      </c>
      <c r="CM13" s="732">
        <f t="shared" ref="CM13" si="138">CM12/CG12-1</f>
        <v>6.4999999999999947E-2</v>
      </c>
    </row>
    <row r="14" spans="1:91" s="25" customFormat="1" ht="11.25" hidden="1" outlineLevel="1" x14ac:dyDescent="0.2">
      <c r="A14" s="695" t="s">
        <v>9</v>
      </c>
      <c r="B14" s="665"/>
      <c r="C14" s="672">
        <v>4.2999999999999997E-2</v>
      </c>
      <c r="D14" s="673">
        <v>5.8000000000000003E-2</v>
      </c>
      <c r="E14" s="673">
        <v>6.4000000000000001E-2</v>
      </c>
      <c r="F14" s="674">
        <v>6.4000000000000001E-2</v>
      </c>
      <c r="G14" s="671">
        <v>5.7000000000000002E-2</v>
      </c>
      <c r="H14" s="665"/>
      <c r="I14" s="672">
        <v>0.114</v>
      </c>
      <c r="J14" s="673">
        <v>0.10299999999999999</v>
      </c>
      <c r="K14" s="673">
        <v>0.127</v>
      </c>
      <c r="L14" s="674">
        <v>8.5999999999999993E-2</v>
      </c>
      <c r="M14" s="671">
        <v>0.107</v>
      </c>
      <c r="N14" s="665"/>
      <c r="O14" s="672">
        <v>-7.6999999999999999E-2</v>
      </c>
      <c r="P14" s="673">
        <v>-8.8999999999999996E-2</v>
      </c>
      <c r="Q14" s="673">
        <v>-0.13300000000000001</v>
      </c>
      <c r="R14" s="674">
        <v>-7.4999999999999997E-2</v>
      </c>
      <c r="S14" s="671">
        <v>-9.4E-2</v>
      </c>
      <c r="T14" s="665"/>
      <c r="U14" s="672">
        <v>4.8000000000000001E-2</v>
      </c>
      <c r="V14" s="673">
        <v>0.02</v>
      </c>
      <c r="W14" s="673">
        <v>-1E-3</v>
      </c>
      <c r="X14" s="674">
        <v>-0.03</v>
      </c>
      <c r="Y14" s="671">
        <v>8.9999999999999993E-3</v>
      </c>
      <c r="Z14" s="665"/>
      <c r="AA14" s="672">
        <v>6.0000000000000001E-3</v>
      </c>
      <c r="AB14" s="673">
        <v>4.4999999999999998E-2</v>
      </c>
      <c r="AC14" s="673">
        <v>0.10199999999999999</v>
      </c>
      <c r="AD14" s="674">
        <v>0.1</v>
      </c>
      <c r="AE14" s="732">
        <f>SUMPRODUCT(AA14:AD14,U12:X12)/Y12</f>
        <v>6.3504753789970669E-2</v>
      </c>
      <c r="AF14" s="665"/>
      <c r="AG14" s="672">
        <v>-8.9999999999999993E-3</v>
      </c>
      <c r="AH14" s="673">
        <v>-2.5000000000000001E-2</v>
      </c>
      <c r="AI14" s="673">
        <v>-6.4000000000000001E-2</v>
      </c>
      <c r="AJ14" s="674">
        <v>-9.9000000000000005E-2</v>
      </c>
      <c r="AK14" s="732">
        <f>SUMPRODUCT(AG14:AJ14,AA12:AD12)/AE12</f>
        <v>-5.0990559571138863E-2</v>
      </c>
      <c r="AL14" s="665"/>
      <c r="AM14" s="672">
        <v>-2.4E-2</v>
      </c>
      <c r="AN14" s="673">
        <v>-2E-3</v>
      </c>
      <c r="AO14" s="673">
        <v>-2.4E-2</v>
      </c>
      <c r="AP14" s="674">
        <v>-8.0000000000000002E-3</v>
      </c>
      <c r="AQ14" s="732">
        <f>SUMPRODUCT(AM14:AP14,AG12:AJ12)/AK12</f>
        <v>-1.4505513533642099E-2</v>
      </c>
      <c r="AR14" s="665"/>
      <c r="AS14" s="672">
        <v>-1.2999999999999999E-2</v>
      </c>
      <c r="AT14" s="673">
        <v>-3.5000000000000003E-2</v>
      </c>
      <c r="AU14" s="673">
        <v>-6.0000000000000001E-3</v>
      </c>
      <c r="AV14" s="674">
        <v>3.0000000000000001E-3</v>
      </c>
      <c r="AW14" s="732">
        <f>SUMPRODUCT(AS14:AV14,AM12:AP12)/AQ12</f>
        <v>-1.2565850612660533E-2</v>
      </c>
      <c r="AX14" s="665"/>
      <c r="AY14" s="672">
        <v>-6.9000000000000006E-2</v>
      </c>
      <c r="AZ14" s="673">
        <v>-0.104</v>
      </c>
      <c r="BA14" s="673">
        <f>-29/AU12</f>
        <v>-0.15119916579770593</v>
      </c>
      <c r="BB14" s="674">
        <f>-30/AV12</f>
        <v>-0.16042780748663102</v>
      </c>
      <c r="BC14" s="732">
        <f>SUMPRODUCT(AY14:BB14,AS12:AV12)/AW12</f>
        <v>-0.12232215862632871</v>
      </c>
      <c r="BD14" s="665"/>
      <c r="BE14" s="672">
        <f>-25.1/AY12</f>
        <v>-0.13825392453869456</v>
      </c>
      <c r="BF14" s="673">
        <f>-17.9/AZ12</f>
        <v>-0.10638930163447251</v>
      </c>
      <c r="BG14" s="673">
        <f>-6.3/BA12</f>
        <v>-3.5999999999999997E-2</v>
      </c>
      <c r="BH14" s="674">
        <f>-4/BB12</f>
        <v>-2.2857142857142857E-2</v>
      </c>
      <c r="BI14" s="732">
        <f>SUMPRODUCT(BE14:BH14,AY12:BB12)/BC12</f>
        <v>-7.616461846241783E-2</v>
      </c>
      <c r="BJ14" s="665"/>
      <c r="BK14" s="660">
        <f>BK13-BK15</f>
        <v>-1.8686746987951725E-2</v>
      </c>
      <c r="BL14" s="661">
        <f t="shared" ref="BL14:BN14" si="139">BL13-BL15</f>
        <v>-1.8272727272727246E-2</v>
      </c>
      <c r="BM14" s="661">
        <f t="shared" si="139"/>
        <v>-2.5376344086021501E-2</v>
      </c>
      <c r="BN14" s="662">
        <f t="shared" si="139"/>
        <v>-2.0338983050843806E-4</v>
      </c>
      <c r="BO14" s="732">
        <f>SUMPRODUCT(BK14:BN14,BE12:BH12)/BI12</f>
        <v>-1.5667146974063365E-2</v>
      </c>
      <c r="BP14" s="665"/>
      <c r="BQ14" s="660">
        <f>BQ13-BQ15</f>
        <v>3.3039106145251323E-2</v>
      </c>
      <c r="BR14" s="698">
        <v>0.1162995422544983</v>
      </c>
      <c r="BS14" s="698">
        <v>9.1483536534816737E-2</v>
      </c>
      <c r="BT14" s="742">
        <v>3.7224162454889499E-2</v>
      </c>
      <c r="BU14" s="732">
        <f>SUMPRODUCT(BQ14:BT14,BK12:BN12)/BO12</f>
        <v>6.9121698550632049E-2</v>
      </c>
      <c r="BV14" s="665"/>
      <c r="BW14" s="743">
        <v>6.3871833060884578E-2</v>
      </c>
      <c r="BX14" s="698">
        <v>5.8326248603762093E-3</v>
      </c>
      <c r="BY14" s="698">
        <v>0</v>
      </c>
      <c r="BZ14" s="742">
        <v>0</v>
      </c>
      <c r="CA14" s="732">
        <f>SUMPRODUCT(BW14:BZ14,BQ12:BT12)/BU12</f>
        <v>1.6256617991460342E-2</v>
      </c>
      <c r="CB14" s="665"/>
      <c r="CC14" s="743">
        <v>0</v>
      </c>
      <c r="CD14" s="698">
        <v>0</v>
      </c>
      <c r="CE14" s="698">
        <v>0</v>
      </c>
      <c r="CF14" s="742">
        <v>0</v>
      </c>
      <c r="CG14" s="732">
        <f>SUMPRODUCT(CC14:CF14,BW12:BZ12)/CA12</f>
        <v>0</v>
      </c>
      <c r="CH14" s="665"/>
      <c r="CI14" s="743">
        <v>0</v>
      </c>
      <c r="CJ14" s="698">
        <v>0</v>
      </c>
      <c r="CK14" s="698">
        <v>0</v>
      </c>
      <c r="CL14" s="742">
        <v>0</v>
      </c>
      <c r="CM14" s="732">
        <f>SUMPRODUCT(CI14:CL14,CC12:CF12)/CG12</f>
        <v>0</v>
      </c>
    </row>
    <row r="15" spans="1:91" s="25" customFormat="1" ht="11.25" hidden="1" outlineLevel="1" x14ac:dyDescent="0.2">
      <c r="A15" s="695" t="s">
        <v>10</v>
      </c>
      <c r="B15" s="665"/>
      <c r="C15" s="717">
        <f>C13-C14</f>
        <v>4.7516634129651722E-2</v>
      </c>
      <c r="D15" s="696">
        <f t="shared" ref="D15" si="140">D13-D14</f>
        <v>5.3977446795926913E-2</v>
      </c>
      <c r="E15" s="696">
        <f t="shared" ref="E15" si="141">E13-E14</f>
        <v>6.7723503332124901E-2</v>
      </c>
      <c r="F15" s="697">
        <f t="shared" ref="F15" si="142">F13-F14</f>
        <v>7.5088818331641882E-2</v>
      </c>
      <c r="G15" s="732">
        <f t="shared" ref="G15" si="143">G13-G14</f>
        <v>6.1960296865643132E-2</v>
      </c>
      <c r="H15" s="665"/>
      <c r="I15" s="717">
        <f>I13-I14</f>
        <v>6.8709077319159748E-2</v>
      </c>
      <c r="J15" s="696">
        <f t="shared" ref="J15" si="144">J13-J14</f>
        <v>8.0575778528308981E-2</v>
      </c>
      <c r="K15" s="696">
        <f t="shared" ref="K15" si="145">K13-K14</f>
        <v>7.4903729437176159E-2</v>
      </c>
      <c r="L15" s="697">
        <f t="shared" ref="L15" si="146">L13-L14</f>
        <v>6.7526733531147437E-2</v>
      </c>
      <c r="M15" s="732">
        <f t="shared" ref="M15" si="147">M13-M14</f>
        <v>7.3269345506753222E-2</v>
      </c>
      <c r="N15" s="665"/>
      <c r="O15" s="717">
        <f>O13-O14</f>
        <v>8.2890659987984658E-2</v>
      </c>
      <c r="P15" s="696">
        <f t="shared" ref="P15" si="148">P13-P14</f>
        <v>7.0358318728560937E-2</v>
      </c>
      <c r="Q15" s="696">
        <f t="shared" ref="Q15" si="149">Q13-Q14</f>
        <v>6.5228637807919654E-2</v>
      </c>
      <c r="R15" s="697">
        <f t="shared" ref="R15" si="150">R13-R14</f>
        <v>5.500269276284557E-2</v>
      </c>
      <c r="S15" s="732">
        <f t="shared" ref="S15" si="151">S13-S14</f>
        <v>6.7642950663842877E-2</v>
      </c>
      <c r="T15" s="665"/>
      <c r="U15" s="717">
        <f>U13-U14</f>
        <v>6.8394154695789841E-2</v>
      </c>
      <c r="V15" s="696">
        <f t="shared" ref="V15" si="152">V13-V14</f>
        <v>3.1202405574338527E-2</v>
      </c>
      <c r="W15" s="696">
        <f t="shared" ref="W15" si="153">W13-W14</f>
        <v>5.8693858253864861E-2</v>
      </c>
      <c r="X15" s="697">
        <f t="shared" ref="X15" si="154">X13-X14</f>
        <v>7.4281510083371333E-2</v>
      </c>
      <c r="Y15" s="732">
        <f t="shared" ref="Y15" si="155">Y13-Y14</f>
        <v>5.7787986017726507E-2</v>
      </c>
      <c r="Z15" s="665"/>
      <c r="AA15" s="717">
        <f>AA13-AA14</f>
        <v>4.0126589314249957E-2</v>
      </c>
      <c r="AB15" s="696">
        <f t="shared" ref="AB15" si="156">AB13-AB14</f>
        <v>3.8658830533331454E-2</v>
      </c>
      <c r="AC15" s="696">
        <f t="shared" ref="AC15" si="157">AC13-AC14</f>
        <v>6.0434683779400852E-2</v>
      </c>
      <c r="AD15" s="697">
        <f t="shared" ref="AD15" si="158">AD13-AD14</f>
        <v>5.6646194113044585E-2</v>
      </c>
      <c r="AE15" s="732">
        <f t="shared" ref="AE15" si="159">AE13-AE14</f>
        <v>4.9092482823065886E-2</v>
      </c>
      <c r="AF15" s="665"/>
      <c r="AG15" s="717">
        <f>AG13-AG14</f>
        <v>3.5154122030431327E-2</v>
      </c>
      <c r="AH15" s="696">
        <f t="shared" ref="AH15" si="160">AH13-AH14</f>
        <v>9.5996442473251647E-2</v>
      </c>
      <c r="AI15" s="696">
        <f t="shared" ref="AI15" si="161">AI13-AI14</f>
        <v>6.2539380100991415E-2</v>
      </c>
      <c r="AJ15" s="697">
        <f t="shared" ref="AJ15" si="162">AJ13-AJ14</f>
        <v>7.2683580374033135E-2</v>
      </c>
      <c r="AK15" s="732">
        <f t="shared" ref="AK15" si="163">AK13-AK14</f>
        <v>6.6581212742924403E-2</v>
      </c>
      <c r="AL15" s="665"/>
      <c r="AM15" s="717">
        <f>AM13-AM14</f>
        <v>0.11015143650449508</v>
      </c>
      <c r="AN15" s="696">
        <f t="shared" ref="AN15" si="164">AN13-AN14</f>
        <v>5.3333058089053864E-2</v>
      </c>
      <c r="AO15" s="696">
        <f t="shared" ref="AO15" si="165">AO13-AO14</f>
        <v>8.41760084063716E-2</v>
      </c>
      <c r="AP15" s="697">
        <f t="shared" ref="AP15" si="166">AP13-AP14</f>
        <v>6.5498401455904798E-2</v>
      </c>
      <c r="AQ15" s="732">
        <f t="shared" ref="AQ15" si="167">AQ13-AQ14</f>
        <v>7.80395435256514E-2</v>
      </c>
      <c r="AR15" s="665"/>
      <c r="AS15" s="717">
        <f>AS13-AS14</f>
        <v>6.1755199084722587E-2</v>
      </c>
      <c r="AT15" s="696">
        <f t="shared" ref="AT15" si="168">AT13-AT14</f>
        <v>0.10007044935262752</v>
      </c>
      <c r="AU15" s="696">
        <f t="shared" ref="AU15" si="169">AU13-AU14</f>
        <v>8.6131327750589959E-2</v>
      </c>
      <c r="AV15" s="697">
        <f t="shared" ref="AV15" si="170">AV13-AV14</f>
        <v>8.4209302325581326E-2</v>
      </c>
      <c r="AW15" s="732">
        <f t="shared" ref="AW15" si="171">AW13-AW14</f>
        <v>8.3098768259822389E-2</v>
      </c>
      <c r="AX15" s="665"/>
      <c r="AY15" s="717">
        <f>AY13-AY14</f>
        <v>0.10053409090909088</v>
      </c>
      <c r="AZ15" s="696">
        <f t="shared" ref="AZ15" si="172">AZ13-AZ14</f>
        <v>4.3944134078212307E-2</v>
      </c>
      <c r="BA15" s="696">
        <f t="shared" ref="BA15" si="173">BA13-BA14</f>
        <v>6.3607924921793513E-2</v>
      </c>
      <c r="BB15" s="697">
        <f t="shared" ref="BB15" si="174">BB13-BB14</f>
        <v>9.6256684491978578E-2</v>
      </c>
      <c r="BC15" s="732">
        <f t="shared" ref="BC15" si="175">BC13-BC14</f>
        <v>7.598800763150719E-2</v>
      </c>
      <c r="BD15" s="665"/>
      <c r="BE15" s="717">
        <f>BE13-BE14</f>
        <v>5.2602588818507212E-2</v>
      </c>
      <c r="BF15" s="696">
        <f t="shared" ref="BF15:BI15" si="176">BF13-BF14</f>
        <v>8.707280832095092E-2</v>
      </c>
      <c r="BG15" s="696">
        <f t="shared" si="176"/>
        <v>9.8857142857142949E-2</v>
      </c>
      <c r="BH15" s="697">
        <f t="shared" si="176"/>
        <v>3.4285714285714197E-2</v>
      </c>
      <c r="BI15" s="732">
        <f t="shared" si="176"/>
        <v>6.7876536153186659E-2</v>
      </c>
      <c r="BJ15" s="665"/>
      <c r="BK15" s="672">
        <v>9.7000000000000003E-2</v>
      </c>
      <c r="BL15" s="673">
        <v>9.0999999999999998E-2</v>
      </c>
      <c r="BM15" s="673">
        <v>0.02</v>
      </c>
      <c r="BN15" s="674">
        <v>6.8000000000000005E-2</v>
      </c>
      <c r="BO15" s="732">
        <f t="shared" ref="BO15" si="177">BO13-BO14</f>
        <v>6.7540345821325634E-2</v>
      </c>
      <c r="BP15" s="665"/>
      <c r="BQ15" s="672">
        <v>3.4000000000000002E-2</v>
      </c>
      <c r="BR15" s="696">
        <f t="shared" ref="BR15:BT15" si="178">BR17+BR16</f>
        <v>0.06</v>
      </c>
      <c r="BS15" s="696">
        <f t="shared" si="178"/>
        <v>9.5000000000000001E-2</v>
      </c>
      <c r="BT15" s="697">
        <f t="shared" si="178"/>
        <v>5.5E-2</v>
      </c>
      <c r="BU15" s="732">
        <f t="shared" ref="BU15" si="179">BU13-BU14</f>
        <v>6.1200000000000088E-2</v>
      </c>
      <c r="BV15" s="665"/>
      <c r="BW15" s="717">
        <f>BW17+BW16</f>
        <v>6.5000000000000002E-2</v>
      </c>
      <c r="BX15" s="696">
        <f t="shared" ref="BX15" si="180">BX17+BX16</f>
        <v>6.5000000000000002E-2</v>
      </c>
      <c r="BY15" s="696">
        <f t="shared" ref="BY15" si="181">BY17+BY16</f>
        <v>6.5000000000000002E-2</v>
      </c>
      <c r="BZ15" s="697">
        <f t="shared" ref="BZ15" si="182">BZ17+BZ16</f>
        <v>6.5000000000000002E-2</v>
      </c>
      <c r="CA15" s="732">
        <f t="shared" ref="CA15" si="183">CA13-CA14</f>
        <v>6.4999999999999655E-2</v>
      </c>
      <c r="CB15" s="665"/>
      <c r="CC15" s="717">
        <f>CC17+CC16</f>
        <v>6.5000000000000002E-2</v>
      </c>
      <c r="CD15" s="696">
        <f t="shared" ref="CD15" si="184">CD17+CD16</f>
        <v>6.5000000000000002E-2</v>
      </c>
      <c r="CE15" s="696">
        <f t="shared" ref="CE15" si="185">CE17+CE16</f>
        <v>6.5000000000000002E-2</v>
      </c>
      <c r="CF15" s="697">
        <f t="shared" ref="CF15" si="186">CF17+CF16</f>
        <v>6.5000000000000002E-2</v>
      </c>
      <c r="CG15" s="732">
        <f t="shared" ref="CG15" si="187">CG13-CG14</f>
        <v>6.4999999999999947E-2</v>
      </c>
      <c r="CH15" s="665"/>
      <c r="CI15" s="717">
        <f>CI17+CI16</f>
        <v>6.5000000000000002E-2</v>
      </c>
      <c r="CJ15" s="696">
        <f t="shared" ref="CJ15" si="188">CJ17+CJ16</f>
        <v>6.5000000000000002E-2</v>
      </c>
      <c r="CK15" s="696">
        <f t="shared" ref="CK15" si="189">CK17+CK16</f>
        <v>6.5000000000000002E-2</v>
      </c>
      <c r="CL15" s="697">
        <f t="shared" ref="CL15" si="190">CL17+CL16</f>
        <v>6.5000000000000002E-2</v>
      </c>
      <c r="CM15" s="732">
        <f t="shared" ref="CM15" si="191">CM13-CM14</f>
        <v>6.4999999999999947E-2</v>
      </c>
    </row>
    <row r="16" spans="1:91" s="25" customFormat="1" ht="11.25" hidden="1" outlineLevel="1" x14ac:dyDescent="0.2">
      <c r="A16" s="695" t="s">
        <v>6</v>
      </c>
      <c r="B16" s="665"/>
      <c r="C16" s="672">
        <v>0</v>
      </c>
      <c r="D16" s="673">
        <v>0</v>
      </c>
      <c r="E16" s="673">
        <v>0</v>
      </c>
      <c r="F16" s="674">
        <v>0</v>
      </c>
      <c r="G16" s="671">
        <v>0</v>
      </c>
      <c r="H16" s="665"/>
      <c r="I16" s="672">
        <v>0</v>
      </c>
      <c r="J16" s="673">
        <v>0</v>
      </c>
      <c r="K16" s="673">
        <v>0</v>
      </c>
      <c r="L16" s="674">
        <v>0</v>
      </c>
      <c r="M16" s="732">
        <f>SUMPRODUCT(I16:L16,C12:F12)/G12</f>
        <v>0</v>
      </c>
      <c r="N16" s="665"/>
      <c r="O16" s="672">
        <v>0</v>
      </c>
      <c r="P16" s="673">
        <v>0</v>
      </c>
      <c r="Q16" s="673">
        <v>0</v>
      </c>
      <c r="R16" s="674">
        <v>0</v>
      </c>
      <c r="S16" s="732">
        <f>SUMPRODUCT(O16:R16,I12:L12)/M12</f>
        <v>0</v>
      </c>
      <c r="T16" s="665"/>
      <c r="U16" s="672">
        <v>0</v>
      </c>
      <c r="V16" s="673">
        <v>0</v>
      </c>
      <c r="W16" s="673">
        <v>0</v>
      </c>
      <c r="X16" s="674">
        <v>0</v>
      </c>
      <c r="Y16" s="732">
        <f>SUMPRODUCT(U16:X16,O12:R12)/S12</f>
        <v>0</v>
      </c>
      <c r="Z16" s="665"/>
      <c r="AA16" s="672">
        <v>0</v>
      </c>
      <c r="AB16" s="673">
        <v>0</v>
      </c>
      <c r="AC16" s="673">
        <v>0</v>
      </c>
      <c r="AD16" s="674">
        <v>0</v>
      </c>
      <c r="AE16" s="732">
        <f>SUMPRODUCT(AA16:AD16,U12:X12)/Y12</f>
        <v>0</v>
      </c>
      <c r="AF16" s="665"/>
      <c r="AG16" s="672">
        <v>0</v>
      </c>
      <c r="AH16" s="673">
        <v>0</v>
      </c>
      <c r="AI16" s="673">
        <v>0</v>
      </c>
      <c r="AJ16" s="674">
        <v>0</v>
      </c>
      <c r="AK16" s="732">
        <f>SUMPRODUCT(AG16:AJ16,AA12:AD12)/AE12</f>
        <v>0</v>
      </c>
      <c r="AL16" s="665"/>
      <c r="AM16" s="672">
        <v>0</v>
      </c>
      <c r="AN16" s="673">
        <v>0</v>
      </c>
      <c r="AO16" s="673">
        <v>0</v>
      </c>
      <c r="AP16" s="674">
        <v>0</v>
      </c>
      <c r="AQ16" s="732">
        <f>SUMPRODUCT(AM16:AP16,AG12:AJ12)/AK12</f>
        <v>0</v>
      </c>
      <c r="AR16" s="665"/>
      <c r="AS16" s="672">
        <v>0</v>
      </c>
      <c r="AT16" s="673">
        <v>0</v>
      </c>
      <c r="AU16" s="673">
        <v>0</v>
      </c>
      <c r="AV16" s="674">
        <v>0</v>
      </c>
      <c r="AW16" s="732">
        <f>SUMPRODUCT(AS16:AV16,AM12:AP12)/AQ12</f>
        <v>0</v>
      </c>
      <c r="AX16" s="665"/>
      <c r="AY16" s="672">
        <v>0</v>
      </c>
      <c r="AZ16" s="673">
        <v>0</v>
      </c>
      <c r="BA16" s="673">
        <v>0</v>
      </c>
      <c r="BB16" s="674">
        <v>0</v>
      </c>
      <c r="BC16" s="732">
        <f>SUMPRODUCT(AY16:BB16,AS12:AV12)/AW12</f>
        <v>0</v>
      </c>
      <c r="BD16" s="665"/>
      <c r="BE16" s="672">
        <v>0</v>
      </c>
      <c r="BF16" s="673">
        <v>0</v>
      </c>
      <c r="BG16" s="673">
        <v>0</v>
      </c>
      <c r="BH16" s="674">
        <v>0</v>
      </c>
      <c r="BI16" s="732">
        <f>SUMPRODUCT(BE16:BH16,AY12:BB12)/BC12</f>
        <v>0</v>
      </c>
      <c r="BJ16" s="665"/>
      <c r="BK16" s="672">
        <v>0</v>
      </c>
      <c r="BL16" s="673">
        <v>0</v>
      </c>
      <c r="BM16" s="673">
        <v>0</v>
      </c>
      <c r="BN16" s="674">
        <v>0</v>
      </c>
      <c r="BO16" s="732">
        <f>SUMPRODUCT(BK16:BN16,BE12:BH12)/BI12</f>
        <v>0</v>
      </c>
      <c r="BP16" s="665"/>
      <c r="BQ16" s="672">
        <v>0</v>
      </c>
      <c r="BR16" s="673">
        <v>0</v>
      </c>
      <c r="BS16" s="673">
        <v>0</v>
      </c>
      <c r="BT16" s="674">
        <v>0</v>
      </c>
      <c r="BU16" s="732">
        <f>SUMPRODUCT(BQ16:BT16,BK12:BN12)/BO12</f>
        <v>0</v>
      </c>
      <c r="BV16" s="665"/>
      <c r="BW16" s="672">
        <v>0</v>
      </c>
      <c r="BX16" s="673">
        <v>0</v>
      </c>
      <c r="BY16" s="673">
        <v>0</v>
      </c>
      <c r="BZ16" s="674">
        <v>0</v>
      </c>
      <c r="CA16" s="732">
        <f>SUMPRODUCT(BW16:BZ16,BQ12:BT12)/BU12</f>
        <v>0</v>
      </c>
      <c r="CB16" s="665"/>
      <c r="CC16" s="672">
        <v>0</v>
      </c>
      <c r="CD16" s="673">
        <v>0</v>
      </c>
      <c r="CE16" s="673">
        <v>0</v>
      </c>
      <c r="CF16" s="674">
        <v>0</v>
      </c>
      <c r="CG16" s="732">
        <f>SUMPRODUCT(CC16:CF16,BW12:BZ12)/CA12</f>
        <v>0</v>
      </c>
      <c r="CH16" s="665"/>
      <c r="CI16" s="672">
        <v>0</v>
      </c>
      <c r="CJ16" s="673">
        <v>0</v>
      </c>
      <c r="CK16" s="673">
        <v>0</v>
      </c>
      <c r="CL16" s="674">
        <v>0</v>
      </c>
      <c r="CM16" s="732">
        <f>SUMPRODUCT(CI16:CL16,CC12:CF12)/CG12</f>
        <v>0</v>
      </c>
    </row>
    <row r="17" spans="1:91" s="25" customFormat="1" ht="11.25" hidden="1" outlineLevel="1" x14ac:dyDescent="0.2">
      <c r="A17" s="695" t="s">
        <v>7</v>
      </c>
      <c r="B17" s="665"/>
      <c r="C17" s="717">
        <f>C15-C16</f>
        <v>4.7516634129651722E-2</v>
      </c>
      <c r="D17" s="696">
        <f t="shared" ref="D17:G17" si="192">D15-D16</f>
        <v>5.3977446795926913E-2</v>
      </c>
      <c r="E17" s="696">
        <f t="shared" si="192"/>
        <v>6.7723503332124901E-2</v>
      </c>
      <c r="F17" s="697">
        <f t="shared" si="192"/>
        <v>7.5088818331641882E-2</v>
      </c>
      <c r="G17" s="732">
        <f t="shared" si="192"/>
        <v>6.1960296865643132E-2</v>
      </c>
      <c r="H17" s="665"/>
      <c r="I17" s="717">
        <f>I15-I16</f>
        <v>6.8709077319159748E-2</v>
      </c>
      <c r="J17" s="696">
        <f t="shared" ref="J17:M17" si="193">J15-J16</f>
        <v>8.0575778528308981E-2</v>
      </c>
      <c r="K17" s="696">
        <f t="shared" si="193"/>
        <v>7.4903729437176159E-2</v>
      </c>
      <c r="L17" s="697">
        <f t="shared" si="193"/>
        <v>6.7526733531147437E-2</v>
      </c>
      <c r="M17" s="732">
        <f t="shared" si="193"/>
        <v>7.3269345506753222E-2</v>
      </c>
      <c r="N17" s="665"/>
      <c r="O17" s="717">
        <f>O15-O16</f>
        <v>8.2890659987984658E-2</v>
      </c>
      <c r="P17" s="696">
        <f t="shared" ref="P17:S17" si="194">P15-P16</f>
        <v>7.0358318728560937E-2</v>
      </c>
      <c r="Q17" s="696">
        <f t="shared" si="194"/>
        <v>6.5228637807919654E-2</v>
      </c>
      <c r="R17" s="697">
        <f t="shared" si="194"/>
        <v>5.500269276284557E-2</v>
      </c>
      <c r="S17" s="732">
        <f t="shared" si="194"/>
        <v>6.7642950663842877E-2</v>
      </c>
      <c r="T17" s="665"/>
      <c r="U17" s="717">
        <f>U15-U16</f>
        <v>6.8394154695789841E-2</v>
      </c>
      <c r="V17" s="696">
        <f t="shared" ref="V17:Y17" si="195">V15-V16</f>
        <v>3.1202405574338527E-2</v>
      </c>
      <c r="W17" s="696">
        <f t="shared" si="195"/>
        <v>5.8693858253864861E-2</v>
      </c>
      <c r="X17" s="697">
        <f t="shared" si="195"/>
        <v>7.4281510083371333E-2</v>
      </c>
      <c r="Y17" s="732">
        <f t="shared" si="195"/>
        <v>5.7787986017726507E-2</v>
      </c>
      <c r="Z17" s="665"/>
      <c r="AA17" s="717">
        <f>AA15-AA16</f>
        <v>4.0126589314249957E-2</v>
      </c>
      <c r="AB17" s="696">
        <f t="shared" ref="AB17:AE17" si="196">AB15-AB16</f>
        <v>3.8658830533331454E-2</v>
      </c>
      <c r="AC17" s="696">
        <f t="shared" si="196"/>
        <v>6.0434683779400852E-2</v>
      </c>
      <c r="AD17" s="697">
        <f t="shared" si="196"/>
        <v>5.6646194113044585E-2</v>
      </c>
      <c r="AE17" s="732">
        <f t="shared" si="196"/>
        <v>4.9092482823065886E-2</v>
      </c>
      <c r="AF17" s="665"/>
      <c r="AG17" s="717">
        <f>AG15-AG16</f>
        <v>3.5154122030431327E-2</v>
      </c>
      <c r="AH17" s="696">
        <f t="shared" ref="AH17:AK17" si="197">AH15-AH16</f>
        <v>9.5996442473251647E-2</v>
      </c>
      <c r="AI17" s="696">
        <f t="shared" si="197"/>
        <v>6.2539380100991415E-2</v>
      </c>
      <c r="AJ17" s="697">
        <f t="shared" si="197"/>
        <v>7.2683580374033135E-2</v>
      </c>
      <c r="AK17" s="732">
        <f t="shared" si="197"/>
        <v>6.6581212742924403E-2</v>
      </c>
      <c r="AL17" s="665"/>
      <c r="AM17" s="717">
        <f>AM15-AM16</f>
        <v>0.11015143650449508</v>
      </c>
      <c r="AN17" s="696">
        <f t="shared" ref="AN17:AQ17" si="198">AN15-AN16</f>
        <v>5.3333058089053864E-2</v>
      </c>
      <c r="AO17" s="696">
        <f t="shared" si="198"/>
        <v>8.41760084063716E-2</v>
      </c>
      <c r="AP17" s="697">
        <f t="shared" si="198"/>
        <v>6.5498401455904798E-2</v>
      </c>
      <c r="AQ17" s="732">
        <f t="shared" si="198"/>
        <v>7.80395435256514E-2</v>
      </c>
      <c r="AR17" s="665"/>
      <c r="AS17" s="717">
        <f>AS15-AS16</f>
        <v>6.1755199084722587E-2</v>
      </c>
      <c r="AT17" s="696">
        <f t="shared" ref="AT17:AW17" si="199">AT15-AT16</f>
        <v>0.10007044935262752</v>
      </c>
      <c r="AU17" s="696">
        <f t="shared" si="199"/>
        <v>8.6131327750589959E-2</v>
      </c>
      <c r="AV17" s="697">
        <f t="shared" si="199"/>
        <v>8.4209302325581326E-2</v>
      </c>
      <c r="AW17" s="732">
        <f t="shared" si="199"/>
        <v>8.3098768259822389E-2</v>
      </c>
      <c r="AX17" s="665"/>
      <c r="AY17" s="717">
        <f>AY15-AY16</f>
        <v>0.10053409090909088</v>
      </c>
      <c r="AZ17" s="696">
        <f t="shared" ref="AZ17:BC17" si="200">AZ15-AZ16</f>
        <v>4.3944134078212307E-2</v>
      </c>
      <c r="BA17" s="696">
        <f t="shared" si="200"/>
        <v>6.3607924921793513E-2</v>
      </c>
      <c r="BB17" s="697">
        <f t="shared" si="200"/>
        <v>9.6256684491978578E-2</v>
      </c>
      <c r="BC17" s="732">
        <f t="shared" si="200"/>
        <v>7.598800763150719E-2</v>
      </c>
      <c r="BD17" s="665"/>
      <c r="BE17" s="717">
        <f>BE15-BE16</f>
        <v>5.2602588818507212E-2</v>
      </c>
      <c r="BF17" s="696">
        <f t="shared" ref="BF17:BI17" si="201">BF15-BF16</f>
        <v>8.707280832095092E-2</v>
      </c>
      <c r="BG17" s="696">
        <f t="shared" si="201"/>
        <v>9.8857142857142949E-2</v>
      </c>
      <c r="BH17" s="697">
        <f t="shared" si="201"/>
        <v>3.4285714285714197E-2</v>
      </c>
      <c r="BI17" s="732">
        <f t="shared" si="201"/>
        <v>6.7876536153186659E-2</v>
      </c>
      <c r="BJ17" s="665"/>
      <c r="BK17" s="717">
        <f>BK15-BK16</f>
        <v>9.7000000000000003E-2</v>
      </c>
      <c r="BL17" s="696">
        <f t="shared" ref="BL17:BO17" si="202">BL15-BL16</f>
        <v>9.0999999999999998E-2</v>
      </c>
      <c r="BM17" s="696">
        <f t="shared" si="202"/>
        <v>0.02</v>
      </c>
      <c r="BN17" s="697">
        <f t="shared" si="202"/>
        <v>6.8000000000000005E-2</v>
      </c>
      <c r="BO17" s="732">
        <f t="shared" si="202"/>
        <v>6.7540345821325634E-2</v>
      </c>
      <c r="BP17" s="665"/>
      <c r="BQ17" s="717">
        <f>BQ15-BQ16</f>
        <v>3.4000000000000002E-2</v>
      </c>
      <c r="BR17" s="673">
        <v>0.06</v>
      </c>
      <c r="BS17" s="673">
        <v>9.5000000000000001E-2</v>
      </c>
      <c r="BT17" s="674">
        <v>5.5E-2</v>
      </c>
      <c r="BU17" s="732">
        <f t="shared" ref="BU17" si="203">BU15-BU16</f>
        <v>6.1200000000000088E-2</v>
      </c>
      <c r="BV17" s="665"/>
      <c r="BW17" s="672">
        <v>6.5000000000000002E-2</v>
      </c>
      <c r="BX17" s="673">
        <f>BW17</f>
        <v>6.5000000000000002E-2</v>
      </c>
      <c r="BY17" s="673">
        <f>BX17</f>
        <v>6.5000000000000002E-2</v>
      </c>
      <c r="BZ17" s="674">
        <f>BY17</f>
        <v>6.5000000000000002E-2</v>
      </c>
      <c r="CA17" s="732">
        <f t="shared" ref="CA17" si="204">CA15-CA16</f>
        <v>6.4999999999999655E-2</v>
      </c>
      <c r="CB17" s="665"/>
      <c r="CC17" s="672">
        <v>6.5000000000000002E-2</v>
      </c>
      <c r="CD17" s="673">
        <f>CC17</f>
        <v>6.5000000000000002E-2</v>
      </c>
      <c r="CE17" s="673">
        <f>CD17</f>
        <v>6.5000000000000002E-2</v>
      </c>
      <c r="CF17" s="674">
        <f>CE17</f>
        <v>6.5000000000000002E-2</v>
      </c>
      <c r="CG17" s="732">
        <f t="shared" ref="CG17" si="205">CG15-CG16</f>
        <v>6.4999999999999947E-2</v>
      </c>
      <c r="CH17" s="665"/>
      <c r="CI17" s="672">
        <v>6.5000000000000002E-2</v>
      </c>
      <c r="CJ17" s="673">
        <f>CI17</f>
        <v>6.5000000000000002E-2</v>
      </c>
      <c r="CK17" s="673">
        <f>CJ17</f>
        <v>6.5000000000000002E-2</v>
      </c>
      <c r="CL17" s="674">
        <f>CK17</f>
        <v>6.5000000000000002E-2</v>
      </c>
      <c r="CM17" s="732">
        <f t="shared" ref="CM17" si="206">CM15-CM16</f>
        <v>6.4999999999999947E-2</v>
      </c>
    </row>
    <row r="18" spans="1:91" s="25" customFormat="1" ht="11.25" collapsed="1" x14ac:dyDescent="0.2">
      <c r="A18" s="694" t="s">
        <v>11</v>
      </c>
      <c r="B18" s="665"/>
      <c r="C18" s="718">
        <f>C8+C12</f>
        <v>240.072</v>
      </c>
      <c r="D18" s="666">
        <f t="shared" ref="D18:F18" si="207">D8+D12</f>
        <v>244.74600000000001</v>
      </c>
      <c r="E18" s="666">
        <f t="shared" si="207"/>
        <v>261.33299999999997</v>
      </c>
      <c r="F18" s="667">
        <f t="shared" si="207"/>
        <v>260.54000000000002</v>
      </c>
      <c r="G18" s="733">
        <f>SUM(C18:F18)</f>
        <v>1006.691</v>
      </c>
      <c r="H18" s="665"/>
      <c r="I18" s="718">
        <f>I8+I12</f>
        <v>271.46900000000005</v>
      </c>
      <c r="J18" s="666">
        <f t="shared" ref="J18:L18" si="208">J8+J12</f>
        <v>274.19200000000001</v>
      </c>
      <c r="K18" s="666">
        <f t="shared" si="208"/>
        <v>290.76099999999997</v>
      </c>
      <c r="L18" s="667">
        <f t="shared" si="208"/>
        <v>287.10599999999999</v>
      </c>
      <c r="M18" s="733">
        <f>SUM(I18:L18)</f>
        <v>1123.528</v>
      </c>
      <c r="N18" s="665"/>
      <c r="O18" s="718">
        <f>O8+O12</f>
        <v>278.154</v>
      </c>
      <c r="P18" s="666">
        <f t="shared" ref="P18:R18" si="209">P8+P12</f>
        <v>278.46500000000003</v>
      </c>
      <c r="Q18" s="666">
        <f t="shared" si="209"/>
        <v>292.18700000000001</v>
      </c>
      <c r="R18" s="667">
        <f t="shared" si="209"/>
        <v>294.625</v>
      </c>
      <c r="S18" s="733">
        <f>SUM(O18:R18)</f>
        <v>1143.431</v>
      </c>
      <c r="T18" s="665"/>
      <c r="U18" s="718">
        <f>U8+U12</f>
        <v>300.166</v>
      </c>
      <c r="V18" s="666">
        <f t="shared" ref="V18:X18" si="210">V8+V12</f>
        <v>287.66999999999996</v>
      </c>
      <c r="W18" s="666">
        <f t="shared" si="210"/>
        <v>303.52600000000001</v>
      </c>
      <c r="X18" s="667">
        <f t="shared" si="210"/>
        <v>306.44499999999999</v>
      </c>
      <c r="Y18" s="733">
        <f>SUM(U18:X18)</f>
        <v>1197.807</v>
      </c>
      <c r="Z18" s="665"/>
      <c r="AA18" s="718">
        <f>AA8+AA12</f>
        <v>312.62799999999999</v>
      </c>
      <c r="AB18" s="666">
        <f t="shared" ref="AB18:AD18" si="211">AB8+AB12</f>
        <v>306.23900000000003</v>
      </c>
      <c r="AC18" s="666">
        <f t="shared" si="211"/>
        <v>330.32600000000002</v>
      </c>
      <c r="AD18" s="667">
        <f t="shared" si="211"/>
        <v>328.6</v>
      </c>
      <c r="AE18" s="733">
        <f>SUM(AA18:AD18)</f>
        <v>1277.7930000000001</v>
      </c>
      <c r="AF18" s="665"/>
      <c r="AG18" s="718">
        <f>AG8+AG12</f>
        <v>316.62200000000001</v>
      </c>
      <c r="AH18" s="666">
        <f t="shared" ref="AH18:AJ18" si="212">AH8+AH12</f>
        <v>323.31299999999999</v>
      </c>
      <c r="AI18" s="666">
        <f t="shared" si="212"/>
        <v>333.45399999999995</v>
      </c>
      <c r="AJ18" s="667">
        <f t="shared" si="212"/>
        <v>327.50400000000002</v>
      </c>
      <c r="AK18" s="733">
        <f>SUM(AG18:AJ18)</f>
        <v>1300.893</v>
      </c>
      <c r="AL18" s="665"/>
      <c r="AM18" s="718">
        <f>AM8+AM12</f>
        <v>334.76700000000005</v>
      </c>
      <c r="AN18" s="666">
        <f t="shared" ref="AN18:AP18" si="213">AN8+AN12</f>
        <v>330.03100000000001</v>
      </c>
      <c r="AO18" s="666">
        <f t="shared" si="213"/>
        <v>344.86900000000003</v>
      </c>
      <c r="AP18" s="667">
        <f t="shared" si="213"/>
        <v>342</v>
      </c>
      <c r="AQ18" s="733">
        <f>SUM(AM18:AP18)</f>
        <v>1351.6669999999999</v>
      </c>
      <c r="AR18" s="665"/>
      <c r="AS18" s="718">
        <f>AS8+AS12</f>
        <v>347.5</v>
      </c>
      <c r="AT18" s="666">
        <f t="shared" ref="AT18:AV18" si="214">AT8+AT12</f>
        <v>342</v>
      </c>
      <c r="AU18" s="666">
        <f t="shared" si="214"/>
        <v>364.1</v>
      </c>
      <c r="AV18" s="667">
        <f t="shared" si="214"/>
        <v>357.7</v>
      </c>
      <c r="AW18" s="733">
        <f>SUM(AS18:AV18)</f>
        <v>1411.3</v>
      </c>
      <c r="AX18" s="665"/>
      <c r="AY18" s="718">
        <f>AY8+AY12</f>
        <v>353.55</v>
      </c>
      <c r="AZ18" s="666">
        <f t="shared" ref="AZ18:BB18" si="215">AZ8+AZ12</f>
        <v>338.25</v>
      </c>
      <c r="BA18" s="666">
        <f t="shared" si="215"/>
        <v>349.7</v>
      </c>
      <c r="BB18" s="667">
        <f t="shared" si="215"/>
        <v>348</v>
      </c>
      <c r="BC18" s="733">
        <f>SUM(AY18:BB18)</f>
        <v>1389.5</v>
      </c>
      <c r="BD18" s="665"/>
      <c r="BE18" s="718">
        <f>BE8+BE12</f>
        <v>344</v>
      </c>
      <c r="BF18" s="666">
        <f t="shared" ref="BF18:BH18" si="216">BF8+BF12</f>
        <v>340</v>
      </c>
      <c r="BG18" s="666">
        <f t="shared" si="216"/>
        <v>366</v>
      </c>
      <c r="BH18" s="667">
        <f t="shared" si="216"/>
        <v>359</v>
      </c>
      <c r="BI18" s="733">
        <f>SUM(BE18:BH18)</f>
        <v>1409</v>
      </c>
      <c r="BJ18" s="665"/>
      <c r="BK18" s="718">
        <f>BK8+BK12</f>
        <v>355</v>
      </c>
      <c r="BL18" s="666">
        <f t="shared" ref="BL18:BN18" si="217">BL8+BL12</f>
        <v>362</v>
      </c>
      <c r="BM18" s="666">
        <f t="shared" si="217"/>
        <v>376</v>
      </c>
      <c r="BN18" s="667">
        <f t="shared" si="217"/>
        <v>378</v>
      </c>
      <c r="BO18" s="733">
        <f>SUM(BK18:BN18)</f>
        <v>1471</v>
      </c>
      <c r="BP18" s="665"/>
      <c r="BQ18" s="718">
        <f>BQ8+BQ12</f>
        <v>375</v>
      </c>
      <c r="BR18" s="666">
        <f t="shared" ref="BR18:BT18" si="218">BR8+BR12</f>
        <v>396.90501897904625</v>
      </c>
      <c r="BS18" s="666">
        <f t="shared" si="218"/>
        <v>416.22945425894113</v>
      </c>
      <c r="BT18" s="667">
        <f t="shared" si="218"/>
        <v>404.88036670397412</v>
      </c>
      <c r="BU18" s="733">
        <f>SUM(BQ18:BT18)</f>
        <v>1593.0148399419613</v>
      </c>
      <c r="BV18" s="665"/>
      <c r="BW18" s="718">
        <f>BW8+BW12</f>
        <v>406.05452011462893</v>
      </c>
      <c r="BX18" s="666">
        <f t="shared" ref="BX18:BZ18" si="219">BX8+BX12</f>
        <v>418.25722698243646</v>
      </c>
      <c r="BY18" s="666">
        <f t="shared" si="219"/>
        <v>437.38246878577229</v>
      </c>
      <c r="BZ18" s="667">
        <f t="shared" si="219"/>
        <v>425.24409053973238</v>
      </c>
      <c r="CA18" s="733">
        <f>SUM(BW18:BZ18)</f>
        <v>1686.9383064225699</v>
      </c>
      <c r="CB18" s="665"/>
      <c r="CC18" s="718">
        <f>CC8+CC12</f>
        <v>426.73486392207974</v>
      </c>
      <c r="CD18" s="666">
        <f t="shared" ref="CD18:CF18" si="220">CD8+CD12</f>
        <v>439.58481173629485</v>
      </c>
      <c r="CE18" s="666">
        <f t="shared" si="220"/>
        <v>459.70386275684746</v>
      </c>
      <c r="CF18" s="667">
        <f t="shared" si="220"/>
        <v>446.723083924815</v>
      </c>
      <c r="CG18" s="733">
        <f>SUM(CC18:CF18)</f>
        <v>1772.746622340037</v>
      </c>
      <c r="CH18" s="665"/>
      <c r="CI18" s="718">
        <f>CI8+CI12</f>
        <v>448.55946807701491</v>
      </c>
      <c r="CJ18" s="666">
        <f t="shared" ref="CJ18:CL18" si="221">CJ8+CJ12</f>
        <v>462.09361977415398</v>
      </c>
      <c r="CK18" s="666">
        <f t="shared" si="221"/>
        <v>483.26235100854245</v>
      </c>
      <c r="CL18" s="667">
        <f t="shared" si="221"/>
        <v>469.38254634242793</v>
      </c>
      <c r="CM18" s="733">
        <f>SUM(CI18:CL18)</f>
        <v>1863.2979852021394</v>
      </c>
    </row>
    <row r="19" spans="1:91" s="25" customFormat="1" ht="11.25" x14ac:dyDescent="0.2">
      <c r="A19" s="695" t="s">
        <v>5</v>
      </c>
      <c r="B19" s="665"/>
      <c r="C19" s="672">
        <v>8.0611983093494377E-2</v>
      </c>
      <c r="D19" s="673">
        <v>7.8836820784533357E-2</v>
      </c>
      <c r="E19" s="673">
        <v>9.1169863631429093E-2</v>
      </c>
      <c r="F19" s="674">
        <v>8.9045590774002426E-2</v>
      </c>
      <c r="G19" s="671">
        <v>8.5078129126206381E-2</v>
      </c>
      <c r="H19" s="665"/>
      <c r="I19" s="717">
        <f>I18/C18-1</f>
        <v>0.13078159885367735</v>
      </c>
      <c r="J19" s="696">
        <f t="shared" ref="J19" si="222">J18/D18-1</f>
        <v>0.12031248723166055</v>
      </c>
      <c r="K19" s="696">
        <f t="shared" ref="K19" si="223">K18/E18-1</f>
        <v>0.11260728648888585</v>
      </c>
      <c r="L19" s="697">
        <f t="shared" ref="L19" si="224">L18/F18-1</f>
        <v>0.10196514930528888</v>
      </c>
      <c r="M19" s="732">
        <f t="shared" ref="M19" si="225">M18/G18-1</f>
        <v>0.11606043959864554</v>
      </c>
      <c r="N19" s="665"/>
      <c r="O19" s="717">
        <f>O18/I18-1</f>
        <v>2.4625279497842989E-2</v>
      </c>
      <c r="P19" s="696">
        <f t="shared" ref="P19" si="226">P18/J18-1</f>
        <v>1.5583970356538579E-2</v>
      </c>
      <c r="Q19" s="696">
        <f t="shared" ref="Q19" si="227">Q18/K18-1</f>
        <v>4.9043716316838903E-3</v>
      </c>
      <c r="R19" s="697">
        <f t="shared" ref="R19" si="228">R18/L18-1</f>
        <v>2.6188933703928274E-2</v>
      </c>
      <c r="S19" s="732">
        <f t="shared" ref="S19" si="229">S18/M18-1</f>
        <v>1.7714734301236934E-2</v>
      </c>
      <c r="T19" s="665"/>
      <c r="U19" s="717">
        <f>U18/O18-1</f>
        <v>7.9136018176981127E-2</v>
      </c>
      <c r="V19" s="696">
        <f t="shared" ref="V19" si="230">V18/P18-1</f>
        <v>3.3056218914405466E-2</v>
      </c>
      <c r="W19" s="696">
        <f t="shared" ref="W19" si="231">W18/Q18-1</f>
        <v>3.8807339135553676E-2</v>
      </c>
      <c r="X19" s="697">
        <f t="shared" ref="X19" si="232">X18/R18-1</f>
        <v>4.0118795078489589E-2</v>
      </c>
      <c r="Y19" s="732">
        <f t="shared" ref="Y19" si="233">Y18/S18-1</f>
        <v>4.755512138467477E-2</v>
      </c>
      <c r="Z19" s="665"/>
      <c r="AA19" s="717">
        <f>AA18/U18-1</f>
        <v>4.1517027244924343E-2</v>
      </c>
      <c r="AB19" s="696">
        <f t="shared" ref="AB19" si="234">AB18/V18-1</f>
        <v>6.4549657593770959E-2</v>
      </c>
      <c r="AC19" s="696">
        <f t="shared" ref="AC19" si="235">AC18/W18-1</f>
        <v>8.8295566112952528E-2</v>
      </c>
      <c r="AD19" s="697">
        <f t="shared" ref="AD19" si="236">AD18/X18-1</f>
        <v>7.2296823247238517E-2</v>
      </c>
      <c r="AE19" s="732">
        <f t="shared" ref="AE19" si="237">AE18/Y18-1</f>
        <v>6.6777035031520215E-2</v>
      </c>
      <c r="AF19" s="665"/>
      <c r="AG19" s="717">
        <f>AG18/AA18-1</f>
        <v>1.2775567127704557E-2</v>
      </c>
      <c r="AH19" s="696">
        <f t="shared" ref="AH19" si="238">AH18/AB18-1</f>
        <v>5.5753839321575516E-2</v>
      </c>
      <c r="AI19" s="696">
        <f t="shared" ref="AI19" si="239">AI18/AC18-1</f>
        <v>9.4694332265699011E-3</v>
      </c>
      <c r="AJ19" s="697">
        <f t="shared" ref="AJ19" si="240">AJ18/AD18-1</f>
        <v>-3.3353621424223601E-3</v>
      </c>
      <c r="AK19" s="732">
        <f t="shared" ref="AK19" si="241">AK18/AE18-1</f>
        <v>1.8078045505023121E-2</v>
      </c>
      <c r="AL19" s="665"/>
      <c r="AM19" s="717">
        <f>AM18/AG18-1</f>
        <v>5.7308083455982262E-2</v>
      </c>
      <c r="AN19" s="696">
        <f t="shared" ref="AN19" si="242">AN18/AH18-1</f>
        <v>2.0778626284745805E-2</v>
      </c>
      <c r="AO19" s="696">
        <f t="shared" ref="AO19" si="243">AO18/AI18-1</f>
        <v>3.4232607795978032E-2</v>
      </c>
      <c r="AP19" s="697">
        <f t="shared" ref="AP19" si="244">AP18/AJ18-1</f>
        <v>4.4262054814597551E-2</v>
      </c>
      <c r="AQ19" s="732">
        <f t="shared" ref="AQ19" si="245">AQ18/AK18-1</f>
        <v>3.9030112392026028E-2</v>
      </c>
      <c r="AR19" s="665"/>
      <c r="AS19" s="717">
        <f>AS18/AM18-1</f>
        <v>3.8035409702867895E-2</v>
      </c>
      <c r="AT19" s="696">
        <f t="shared" ref="AT19" si="246">AT18/AN18-1</f>
        <v>3.6266290136381052E-2</v>
      </c>
      <c r="AU19" s="696">
        <f t="shared" ref="AU19" si="247">AU18/AO18-1</f>
        <v>5.5763202839338888E-2</v>
      </c>
      <c r="AV19" s="697">
        <f t="shared" ref="AV19" si="248">AV18/AP18-1</f>
        <v>4.5906432748537895E-2</v>
      </c>
      <c r="AW19" s="732">
        <f t="shared" ref="AW19" si="249">AW18/AQ18-1</f>
        <v>4.4118114890723925E-2</v>
      </c>
      <c r="AX19" s="665"/>
      <c r="AY19" s="717">
        <f>AY18/AS18-1</f>
        <v>1.7410071942446148E-2</v>
      </c>
      <c r="AZ19" s="696">
        <f t="shared" ref="AZ19" si="250">AZ18/AT18-1</f>
        <v>-1.0964912280701733E-2</v>
      </c>
      <c r="BA19" s="696">
        <f t="shared" ref="BA19" si="251">BA18/AU18-1</f>
        <v>-3.9549574292776835E-2</v>
      </c>
      <c r="BB19" s="697">
        <f t="shared" ref="BB19" si="252">BB18/AV18-1</f>
        <v>-2.7117696393625934E-2</v>
      </c>
      <c r="BC19" s="732">
        <f t="shared" ref="BC19" si="253">BC18/AW18-1</f>
        <v>-1.5446751222277344E-2</v>
      </c>
      <c r="BD19" s="665"/>
      <c r="BE19" s="717">
        <f>BE18/AY18-1</f>
        <v>-2.7011738085136461E-2</v>
      </c>
      <c r="BF19" s="696">
        <f t="shared" ref="BF19" si="254">BF18/AZ18-1</f>
        <v>5.1736881005173263E-3</v>
      </c>
      <c r="BG19" s="696">
        <f t="shared" ref="BG19" si="255">BG18/BA18-1</f>
        <v>4.661138118387198E-2</v>
      </c>
      <c r="BH19" s="697">
        <f t="shared" ref="BH19" si="256">BH18/BB18-1</f>
        <v>3.1609195402298784E-2</v>
      </c>
      <c r="BI19" s="732">
        <f t="shared" ref="BI19" si="257">BI18/BC18-1</f>
        <v>1.4033825116948506E-2</v>
      </c>
      <c r="BJ19" s="665"/>
      <c r="BK19" s="717">
        <f>BK18/BE18-1</f>
        <v>3.1976744186046568E-2</v>
      </c>
      <c r="BL19" s="696">
        <f t="shared" ref="BL19:BO19" si="258">BL18/BF18-1</f>
        <v>6.4705882352941169E-2</v>
      </c>
      <c r="BM19" s="696">
        <f t="shared" si="258"/>
        <v>2.732240437158473E-2</v>
      </c>
      <c r="BN19" s="697">
        <f t="shared" si="258"/>
        <v>5.2924791086351064E-2</v>
      </c>
      <c r="BO19" s="732">
        <f t="shared" si="258"/>
        <v>4.4002838892831742E-2</v>
      </c>
      <c r="BP19" s="665"/>
      <c r="BQ19" s="717">
        <f>BQ18/BK18-1</f>
        <v>5.6338028169014009E-2</v>
      </c>
      <c r="BR19" s="696">
        <f t="shared" ref="BR19" si="259">BR18/BL18-1</f>
        <v>9.6422704362006284E-2</v>
      </c>
      <c r="BS19" s="696">
        <f t="shared" ref="BS19" si="260">BS18/BM18-1</f>
        <v>0.10699322941207745</v>
      </c>
      <c r="BT19" s="697">
        <f t="shared" ref="BT19" si="261">BT18/BN18-1</f>
        <v>7.1112081227444834E-2</v>
      </c>
      <c r="BU19" s="732">
        <f t="shared" ref="BU19" si="262">BU18/BO18-1</f>
        <v>8.2946866038043021E-2</v>
      </c>
      <c r="BV19" s="665"/>
      <c r="BW19" s="717">
        <f>BW18/BQ18-1</f>
        <v>8.2812053639010452E-2</v>
      </c>
      <c r="BX19" s="696">
        <f t="shared" ref="BX19" si="263">BX18/BR18-1</f>
        <v>5.3796769963539992E-2</v>
      </c>
      <c r="BY19" s="696">
        <f t="shared" ref="BY19" si="264">BY18/BS18-1</f>
        <v>5.0820561376397899E-2</v>
      </c>
      <c r="BZ19" s="697">
        <f t="shared" ref="BZ19" si="265">BZ18/BT18-1</f>
        <v>5.0295656471401884E-2</v>
      </c>
      <c r="CA19" s="732">
        <f t="shared" ref="CA19" si="266">CA18/BU18-1</f>
        <v>5.8959567811703861E-2</v>
      </c>
      <c r="CB19" s="665"/>
      <c r="CC19" s="717">
        <f>CC18/BW18-1</f>
        <v>5.0929968225973177E-2</v>
      </c>
      <c r="CD19" s="696">
        <f t="shared" ref="CD19" si="267">CD18/BX18-1</f>
        <v>5.0991551079053954E-2</v>
      </c>
      <c r="CE19" s="696">
        <f t="shared" ref="CE19" si="268">CE18/BY18-1</f>
        <v>5.1034039002619602E-2</v>
      </c>
      <c r="CF19" s="697">
        <f t="shared" ref="CF19" si="269">CF18/BZ18-1</f>
        <v>5.0509798637814907E-2</v>
      </c>
      <c r="CG19" s="732">
        <f t="shared" ref="CG19" si="270">CG18/CA18-1</f>
        <v>5.0866303522052236E-2</v>
      </c>
      <c r="CH19" s="665"/>
      <c r="CI19" s="717">
        <f>CI18/CC18-1</f>
        <v>5.1143241389623784E-2</v>
      </c>
      <c r="CJ19" s="696">
        <f t="shared" ref="CJ19" si="271">CJ18/CD18-1</f>
        <v>5.1204699154533184E-2</v>
      </c>
      <c r="CK19" s="696">
        <f t="shared" ref="CK19" si="272">CK18/CE18-1</f>
        <v>5.1247096577380358E-2</v>
      </c>
      <c r="CL19" s="697">
        <f t="shared" ref="CL19" si="273">CL18/CF18-1</f>
        <v>5.0723732963454005E-2</v>
      </c>
      <c r="CM19" s="732">
        <f t="shared" ref="CM19" si="274">CM18/CG18-1</f>
        <v>5.1079698430097187E-2</v>
      </c>
    </row>
    <row r="20" spans="1:91" s="25" customFormat="1" ht="11.25" x14ac:dyDescent="0.2">
      <c r="A20" s="695" t="s">
        <v>9</v>
      </c>
      <c r="B20" s="665"/>
      <c r="C20" s="672">
        <v>1.9E-2</v>
      </c>
      <c r="D20" s="673">
        <v>2.5999999999999999E-2</v>
      </c>
      <c r="E20" s="673">
        <v>2.9000000000000001E-2</v>
      </c>
      <c r="F20" s="674">
        <v>2.9000000000000001E-2</v>
      </c>
      <c r="G20" s="671">
        <v>2.5999999999999999E-2</v>
      </c>
      <c r="H20" s="665"/>
      <c r="I20" s="672">
        <v>5.0999999999999997E-2</v>
      </c>
      <c r="J20" s="673">
        <v>4.7E-2</v>
      </c>
      <c r="K20" s="673">
        <v>0.06</v>
      </c>
      <c r="L20" s="674">
        <v>0.04</v>
      </c>
      <c r="M20" s="671">
        <v>4.9000000000000002E-2</v>
      </c>
      <c r="N20" s="665"/>
      <c r="O20" s="672">
        <v>-3.5999999999999997E-2</v>
      </c>
      <c r="P20" s="673">
        <v>-4.2999999999999997E-2</v>
      </c>
      <c r="Q20" s="673">
        <v>-6.7000000000000004E-2</v>
      </c>
      <c r="R20" s="674">
        <v>-3.6999999999999998E-2</v>
      </c>
      <c r="S20" s="671">
        <v>-4.5999999999999999E-2</v>
      </c>
      <c r="T20" s="665"/>
      <c r="U20" s="672">
        <v>2.1999999999999999E-2</v>
      </c>
      <c r="V20" s="673">
        <v>8.9999999999999993E-3</v>
      </c>
      <c r="W20" s="673">
        <v>0</v>
      </c>
      <c r="X20" s="674">
        <v>-1.4E-2</v>
      </c>
      <c r="Y20" s="671">
        <v>4.0000000000000001E-3</v>
      </c>
      <c r="Z20" s="665"/>
      <c r="AA20" s="672">
        <v>3.0000000000000001E-3</v>
      </c>
      <c r="AB20" s="673">
        <v>2.1000000000000001E-2</v>
      </c>
      <c r="AC20" s="673">
        <v>4.8000000000000001E-2</v>
      </c>
      <c r="AD20" s="674">
        <v>4.7E-2</v>
      </c>
      <c r="AE20" s="732">
        <f>SUMPRODUCT(AA20:AD20,U18:X18)/Y18</f>
        <v>2.9982902921756174E-2</v>
      </c>
      <c r="AF20" s="665"/>
      <c r="AG20" s="672">
        <v>-4.0000000000000001E-3</v>
      </c>
      <c r="AH20" s="673">
        <v>-1.2E-2</v>
      </c>
      <c r="AI20" s="673">
        <v>-3.3000000000000002E-2</v>
      </c>
      <c r="AJ20" s="674">
        <v>-0.05</v>
      </c>
      <c r="AK20" s="732">
        <f>SUMPRODUCT(AG20:AJ20,AA18:AD18)/AE18</f>
        <v>-2.5243633358454778E-2</v>
      </c>
      <c r="AL20" s="665"/>
      <c r="AM20" s="672">
        <v>-1.2E-2</v>
      </c>
      <c r="AN20" s="673">
        <v>-1E-3</v>
      </c>
      <c r="AO20" s="673">
        <v>-1.2E-2</v>
      </c>
      <c r="AP20" s="674">
        <v>-4.0000000000000001E-3</v>
      </c>
      <c r="AQ20" s="732">
        <f>SUMPRODUCT(AM20:AP20,AG18:AJ18)/AK18</f>
        <v>-7.2521268082770835E-3</v>
      </c>
      <c r="AR20" s="665"/>
      <c r="AS20" s="672">
        <v>-7.0000000000000001E-3</v>
      </c>
      <c r="AT20" s="673">
        <v>-1.7999999999999999E-2</v>
      </c>
      <c r="AU20" s="673">
        <v>-3.0000000000000001E-3</v>
      </c>
      <c r="AV20" s="697">
        <f t="shared" ref="AV20" si="275">AV14*AP12/AP18</f>
        <v>1.5087719298245614E-3</v>
      </c>
      <c r="AW20" s="732">
        <f>SUMPRODUCT(AS20:AV20,AM18:AP18)/AQ18</f>
        <v>-6.5123540043516637E-3</v>
      </c>
      <c r="AX20" s="665"/>
      <c r="AY20" s="717">
        <f>AY14*AS12/AS18</f>
        <v>-3.4946762589928064E-2</v>
      </c>
      <c r="AZ20" s="696">
        <f t="shared" ref="AZ20" si="276">AZ14*AT12/AT18</f>
        <v>-5.4432748538011694E-2</v>
      </c>
      <c r="BA20" s="696">
        <f t="shared" ref="BA20" si="277">BA14*AU12/AU18</f>
        <v>-7.9648448228508653E-2</v>
      </c>
      <c r="BB20" s="697">
        <f t="shared" ref="BB20" si="278">BB14*AV12/AV18</f>
        <v>-8.3869164103997765E-2</v>
      </c>
      <c r="BC20" s="732">
        <f>SUMPRODUCT(AY20:BB20,AS18:AV18)/AW18</f>
        <v>-6.3600935307872183E-2</v>
      </c>
      <c r="BD20" s="665"/>
      <c r="BE20" s="717">
        <f>BE14*AY12/AY18</f>
        <v>-7.0994201668788004E-2</v>
      </c>
      <c r="BF20" s="696">
        <f t="shared" ref="BF20" si="279">BF14*AZ12/AZ18</f>
        <v>-5.2919438285291942E-2</v>
      </c>
      <c r="BG20" s="696">
        <f t="shared" ref="BG20" si="280">BG14*BA12/BA18</f>
        <v>-1.8015441807263367E-2</v>
      </c>
      <c r="BH20" s="697">
        <f t="shared" ref="BH20" si="281">BH14*BB12/BB18</f>
        <v>-1.1494252873563218E-2</v>
      </c>
      <c r="BI20" s="732">
        <f>SUMPRODUCT(BE20:BH20,AY18:BB18)/BC18</f>
        <v>-3.8359121986326017E-2</v>
      </c>
      <c r="BJ20" s="665"/>
      <c r="BK20" s="717">
        <f>BK14*BE12/BE18</f>
        <v>-9.0174418604650752E-3</v>
      </c>
      <c r="BL20" s="696">
        <f t="shared" ref="BL20:BN20" si="282">BL14*BF12/BF18</f>
        <v>-8.8676470588235166E-3</v>
      </c>
      <c r="BM20" s="696">
        <f t="shared" si="282"/>
        <v>-1.2896174863387976E-2</v>
      </c>
      <c r="BN20" s="697">
        <f t="shared" si="282"/>
        <v>-1.0027855153201543E-4</v>
      </c>
      <c r="BO20" s="732">
        <f>SUMPRODUCT(BK20:BN20,BE18:BH18)/BI18</f>
        <v>-7.7168204400283706E-3</v>
      </c>
      <c r="BP20" s="665"/>
      <c r="BQ20" s="717">
        <f>BQ14*BK12/BK18</f>
        <v>1.6659154929577428E-2</v>
      </c>
      <c r="BR20" s="696">
        <f t="shared" ref="BR20" si="283">BR14*BL12/BL18</f>
        <v>5.6864693312282319E-2</v>
      </c>
      <c r="BS20" s="696">
        <f t="shared" ref="BS20" si="284">BS14*BM12/BM18</f>
        <v>4.5011846433353979E-2</v>
      </c>
      <c r="BT20" s="697">
        <f t="shared" ref="BT20" si="285">BT14*BN12/BN18</f>
        <v>1.861208122744475E-2</v>
      </c>
      <c r="BU20" s="732">
        <f>SUMPRODUCT(BQ20:BT20,BK18:BN18)/BO18</f>
        <v>3.4302406486717466E-2</v>
      </c>
      <c r="BV20" s="665"/>
      <c r="BW20" s="717">
        <f>BW14*BQ12/BQ18</f>
        <v>3.2532053639010544E-2</v>
      </c>
      <c r="BX20" s="696">
        <f t="shared" ref="BX20" si="286">BX14*BR12/BR18</f>
        <v>3.0596281520350248E-3</v>
      </c>
      <c r="BY20" s="696">
        <f t="shared" ref="BY20" si="287">BY14*BS12/BS18</f>
        <v>0</v>
      </c>
      <c r="BZ20" s="697">
        <f t="shared" ref="BZ20" si="288">BZ14*BT12/BT18</f>
        <v>0</v>
      </c>
      <c r="CA20" s="732">
        <f>SUMPRODUCT(BW20:BZ20,BQ18:BT18)/BU18</f>
        <v>8.4204500473265848E-3</v>
      </c>
      <c r="CB20" s="665"/>
      <c r="CC20" s="717">
        <f>CC14*BW12/BW18</f>
        <v>0</v>
      </c>
      <c r="CD20" s="696">
        <f t="shared" ref="CD20" si="289">CD14*BX12/BX18</f>
        <v>0</v>
      </c>
      <c r="CE20" s="696">
        <f t="shared" ref="CE20" si="290">CE14*BY12/BY18</f>
        <v>0</v>
      </c>
      <c r="CF20" s="697">
        <f t="shared" ref="CF20" si="291">CF14*BZ12/BZ18</f>
        <v>0</v>
      </c>
      <c r="CG20" s="732">
        <f>SUMPRODUCT(CC20:CF20,BW18:BZ18)/CA18</f>
        <v>0</v>
      </c>
      <c r="CH20" s="665"/>
      <c r="CI20" s="717">
        <f>CI14*CC12/CC18</f>
        <v>0</v>
      </c>
      <c r="CJ20" s="696">
        <f t="shared" ref="CJ20" si="292">CJ14*CD12/CD18</f>
        <v>0</v>
      </c>
      <c r="CK20" s="696">
        <f t="shared" ref="CK20" si="293">CK14*CE12/CE18</f>
        <v>0</v>
      </c>
      <c r="CL20" s="697">
        <f t="shared" ref="CL20" si="294">CL14*CF12/CF18</f>
        <v>0</v>
      </c>
      <c r="CM20" s="732">
        <f>SUMPRODUCT(CI20:CL20,CC18:CF18)/CG18</f>
        <v>0</v>
      </c>
    </row>
    <row r="21" spans="1:91" s="25" customFormat="1" ht="11.25" x14ac:dyDescent="0.2">
      <c r="A21" s="695" t="s">
        <v>10</v>
      </c>
      <c r="B21" s="665"/>
      <c r="C21" s="717">
        <f>C19-C20</f>
        <v>6.1611983093494374E-2</v>
      </c>
      <c r="D21" s="696">
        <f t="shared" ref="D21:G21" si="295">D19-D20</f>
        <v>5.2836820784533362E-2</v>
      </c>
      <c r="E21" s="696">
        <f t="shared" si="295"/>
        <v>6.2169863631429095E-2</v>
      </c>
      <c r="F21" s="697">
        <f t="shared" si="295"/>
        <v>6.0045590774002428E-2</v>
      </c>
      <c r="G21" s="732">
        <f t="shared" si="295"/>
        <v>5.9078129126206386E-2</v>
      </c>
      <c r="H21" s="665"/>
      <c r="I21" s="717">
        <f>I19-I20</f>
        <v>7.978159885367736E-2</v>
      </c>
      <c r="J21" s="696">
        <f t="shared" ref="J21:M21" si="296">J19-J20</f>
        <v>7.3312487231660547E-2</v>
      </c>
      <c r="K21" s="696">
        <f t="shared" si="296"/>
        <v>5.2607286488885852E-2</v>
      </c>
      <c r="L21" s="697">
        <f t="shared" si="296"/>
        <v>6.1965149305288882E-2</v>
      </c>
      <c r="M21" s="732">
        <f t="shared" si="296"/>
        <v>6.7060439598645535E-2</v>
      </c>
      <c r="N21" s="665"/>
      <c r="O21" s="717">
        <f>O19-O20</f>
        <v>6.0625279497842986E-2</v>
      </c>
      <c r="P21" s="696">
        <f t="shared" ref="P21:S21" si="297">P19-P20</f>
        <v>5.8583970356538576E-2</v>
      </c>
      <c r="Q21" s="696">
        <f t="shared" si="297"/>
        <v>7.1904371631683894E-2</v>
      </c>
      <c r="R21" s="697">
        <f t="shared" si="297"/>
        <v>6.3188933703928279E-2</v>
      </c>
      <c r="S21" s="732">
        <f t="shared" si="297"/>
        <v>6.3714734301236933E-2</v>
      </c>
      <c r="T21" s="665"/>
      <c r="U21" s="717">
        <f>U19-U20</f>
        <v>5.7136018176981128E-2</v>
      </c>
      <c r="V21" s="696">
        <f t="shared" ref="V21:Y21" si="298">V19-V20</f>
        <v>2.4056218914405465E-2</v>
      </c>
      <c r="W21" s="696">
        <f t="shared" si="298"/>
        <v>3.8807339135553676E-2</v>
      </c>
      <c r="X21" s="697">
        <f t="shared" si="298"/>
        <v>5.4118795078489587E-2</v>
      </c>
      <c r="Y21" s="732">
        <f t="shared" si="298"/>
        <v>4.3555121384674766E-2</v>
      </c>
      <c r="Z21" s="665"/>
      <c r="AA21" s="717">
        <f>AA19-AA20</f>
        <v>3.851702724492434E-2</v>
      </c>
      <c r="AB21" s="696">
        <f t="shared" ref="AB21:AE21" si="299">AB19-AB20</f>
        <v>4.3549657593770955E-2</v>
      </c>
      <c r="AC21" s="696">
        <f t="shared" si="299"/>
        <v>4.0295566112952527E-2</v>
      </c>
      <c r="AD21" s="697">
        <f t="shared" si="299"/>
        <v>2.5296823247238517E-2</v>
      </c>
      <c r="AE21" s="732">
        <f t="shared" si="299"/>
        <v>3.6794132109764038E-2</v>
      </c>
      <c r="AF21" s="665"/>
      <c r="AG21" s="717">
        <f>AG19-AG20</f>
        <v>1.6775567127704557E-2</v>
      </c>
      <c r="AH21" s="696">
        <f t="shared" ref="AH21:AK21" si="300">AH19-AH20</f>
        <v>6.7753839321575512E-2</v>
      </c>
      <c r="AI21" s="696">
        <f t="shared" si="300"/>
        <v>4.2469433226569903E-2</v>
      </c>
      <c r="AJ21" s="697">
        <f t="shared" si="300"/>
        <v>4.6664637857577643E-2</v>
      </c>
      <c r="AK21" s="732">
        <f t="shared" si="300"/>
        <v>4.3321678863477903E-2</v>
      </c>
      <c r="AL21" s="665"/>
      <c r="AM21" s="717">
        <f>AM19-AM20</f>
        <v>6.9308083455982258E-2</v>
      </c>
      <c r="AN21" s="696">
        <f t="shared" ref="AN21:AQ21" si="301">AN19-AN20</f>
        <v>2.1778626284745806E-2</v>
      </c>
      <c r="AO21" s="696">
        <f t="shared" si="301"/>
        <v>4.6232607795978028E-2</v>
      </c>
      <c r="AP21" s="697">
        <f t="shared" si="301"/>
        <v>4.8262054814597555E-2</v>
      </c>
      <c r="AQ21" s="732">
        <f t="shared" si="301"/>
        <v>4.628223920030311E-2</v>
      </c>
      <c r="AR21" s="665"/>
      <c r="AS21" s="717">
        <f>AS19-AS20</f>
        <v>4.5035409702867894E-2</v>
      </c>
      <c r="AT21" s="696">
        <f t="shared" ref="AT21:AW21" si="302">AT19-AT20</f>
        <v>5.4266290136381054E-2</v>
      </c>
      <c r="AU21" s="696">
        <f t="shared" si="302"/>
        <v>5.8763202839338891E-2</v>
      </c>
      <c r="AV21" s="697">
        <f t="shared" si="302"/>
        <v>4.4397660818713332E-2</v>
      </c>
      <c r="AW21" s="732">
        <f t="shared" si="302"/>
        <v>5.0630468895075588E-2</v>
      </c>
      <c r="AX21" s="665"/>
      <c r="AY21" s="717">
        <f>AY19-AY20</f>
        <v>5.2356834532374212E-2</v>
      </c>
      <c r="AZ21" s="696">
        <f t="shared" ref="AZ21:BC21" si="303">AZ19-AZ20</f>
        <v>4.3467836257309961E-2</v>
      </c>
      <c r="BA21" s="696">
        <f t="shared" si="303"/>
        <v>4.0098873935731819E-2</v>
      </c>
      <c r="BB21" s="697">
        <f t="shared" si="303"/>
        <v>5.6751467710371831E-2</v>
      </c>
      <c r="BC21" s="732">
        <f t="shared" si="303"/>
        <v>4.8154184085594839E-2</v>
      </c>
      <c r="BD21" s="665"/>
      <c r="BE21" s="717">
        <f>BE19-BE20</f>
        <v>4.3982463583651543E-2</v>
      </c>
      <c r="BF21" s="696">
        <f t="shared" ref="BF21:BI21" si="304">BF19-BF20</f>
        <v>5.8093126385809268E-2</v>
      </c>
      <c r="BG21" s="696">
        <f t="shared" si="304"/>
        <v>6.4626822991135341E-2</v>
      </c>
      <c r="BH21" s="697">
        <f t="shared" si="304"/>
        <v>4.3103448275862002E-2</v>
      </c>
      <c r="BI21" s="732">
        <f t="shared" si="304"/>
        <v>5.2392947103274523E-2</v>
      </c>
      <c r="BJ21" s="665"/>
      <c r="BK21" s="717">
        <f>BK19-BK20</f>
        <v>4.0994186046511644E-2</v>
      </c>
      <c r="BL21" s="696">
        <f t="shared" ref="BL21:BO21" si="305">BL19-BL20</f>
        <v>7.357352941176469E-2</v>
      </c>
      <c r="BM21" s="696">
        <f t="shared" si="305"/>
        <v>4.0218579234972705E-2</v>
      </c>
      <c r="BN21" s="697">
        <f t="shared" si="305"/>
        <v>5.3025069637883081E-2</v>
      </c>
      <c r="BO21" s="732">
        <f t="shared" si="305"/>
        <v>5.1719659332860116E-2</v>
      </c>
      <c r="BP21" s="665"/>
      <c r="BQ21" s="717">
        <f>BQ19-BQ20</f>
        <v>3.9678873239436585E-2</v>
      </c>
      <c r="BR21" s="696">
        <f t="shared" ref="BR21:BU21" si="306">BR19-BR20</f>
        <v>3.9558011049723965E-2</v>
      </c>
      <c r="BS21" s="696">
        <f t="shared" si="306"/>
        <v>6.1981382978723472E-2</v>
      </c>
      <c r="BT21" s="697">
        <f t="shared" si="306"/>
        <v>5.2500000000000088E-2</v>
      </c>
      <c r="BU21" s="732">
        <f t="shared" si="306"/>
        <v>4.8644459551325556E-2</v>
      </c>
      <c r="BV21" s="665"/>
      <c r="BW21" s="717">
        <f>BW19-BW20</f>
        <v>5.0279999999999908E-2</v>
      </c>
      <c r="BX21" s="696">
        <f t="shared" ref="BX21:CA21" si="307">BX19-BX20</f>
        <v>5.0737141811504967E-2</v>
      </c>
      <c r="BY21" s="696">
        <f t="shared" si="307"/>
        <v>5.0820561376397899E-2</v>
      </c>
      <c r="BZ21" s="697">
        <f t="shared" si="307"/>
        <v>5.0295656471401884E-2</v>
      </c>
      <c r="CA21" s="732">
        <f t="shared" si="307"/>
        <v>5.0539117764377278E-2</v>
      </c>
      <c r="CB21" s="665"/>
      <c r="CC21" s="717">
        <f>CC19-CC20</f>
        <v>5.0929968225973177E-2</v>
      </c>
      <c r="CD21" s="696">
        <f t="shared" ref="CD21:CG21" si="308">CD19-CD20</f>
        <v>5.0991551079053954E-2</v>
      </c>
      <c r="CE21" s="696">
        <f t="shared" si="308"/>
        <v>5.1034039002619602E-2</v>
      </c>
      <c r="CF21" s="697">
        <f t="shared" si="308"/>
        <v>5.0509798637814907E-2</v>
      </c>
      <c r="CG21" s="732">
        <f t="shared" si="308"/>
        <v>5.0866303522052236E-2</v>
      </c>
      <c r="CH21" s="665"/>
      <c r="CI21" s="717">
        <f>CI19-CI20</f>
        <v>5.1143241389623784E-2</v>
      </c>
      <c r="CJ21" s="696">
        <f t="shared" ref="CJ21:CM21" si="309">CJ19-CJ20</f>
        <v>5.1204699154533184E-2</v>
      </c>
      <c r="CK21" s="696">
        <f t="shared" si="309"/>
        <v>5.1247096577380358E-2</v>
      </c>
      <c r="CL21" s="697">
        <f t="shared" si="309"/>
        <v>5.0723732963454005E-2</v>
      </c>
      <c r="CM21" s="732">
        <f t="shared" si="309"/>
        <v>5.1079698430097187E-2</v>
      </c>
    </row>
    <row r="22" spans="1:91" s="25" customFormat="1" ht="11.25" x14ac:dyDescent="0.2">
      <c r="A22" s="695" t="s">
        <v>6</v>
      </c>
      <c r="B22" s="665"/>
      <c r="C22" s="672">
        <v>0</v>
      </c>
      <c r="D22" s="673">
        <v>0</v>
      </c>
      <c r="E22" s="673">
        <v>0</v>
      </c>
      <c r="F22" s="674">
        <v>0</v>
      </c>
      <c r="G22" s="671">
        <v>0</v>
      </c>
      <c r="H22" s="665"/>
      <c r="I22" s="717">
        <f>(I10*C8+I16*C12)/C18</f>
        <v>0</v>
      </c>
      <c r="J22" s="696">
        <f t="shared" ref="J22" si="310">(J10*D8+J16*D12)/D18</f>
        <v>0</v>
      </c>
      <c r="K22" s="696">
        <f t="shared" ref="K22" si="311">(K10*E8+K16*E12)/E18</f>
        <v>0</v>
      </c>
      <c r="L22" s="697">
        <f t="shared" ref="L22" si="312">(L10*F8+L16*F12)/F18</f>
        <v>0</v>
      </c>
      <c r="M22" s="732">
        <f>SUMPRODUCT(I22:L22,C18:F18)/G18</f>
        <v>0</v>
      </c>
      <c r="N22" s="665"/>
      <c r="O22" s="717">
        <f>(O10*I8+O16*I12)/I18</f>
        <v>0</v>
      </c>
      <c r="P22" s="696">
        <f t="shared" ref="P22" si="313">(P10*J8+P16*J12)/J18</f>
        <v>0</v>
      </c>
      <c r="Q22" s="696">
        <f t="shared" ref="Q22" si="314">(Q10*K8+Q16*K12)/K18</f>
        <v>0</v>
      </c>
      <c r="R22" s="697">
        <f t="shared" ref="R22" si="315">(R10*L8+R16*L12)/L18</f>
        <v>0</v>
      </c>
      <c r="S22" s="732">
        <f>SUMPRODUCT(O22:R22,I18:L18)/M18</f>
        <v>0</v>
      </c>
      <c r="T22" s="665"/>
      <c r="U22" s="717">
        <f>(U10*O8+U16*O12)/O18</f>
        <v>0</v>
      </c>
      <c r="V22" s="696">
        <f t="shared" ref="V22" si="316">(V10*P8+V16*P12)/P18</f>
        <v>0</v>
      </c>
      <c r="W22" s="696">
        <f t="shared" ref="W22" si="317">(W10*Q8+W16*Q12)/Q18</f>
        <v>0</v>
      </c>
      <c r="X22" s="697">
        <f t="shared" ref="X22" si="318">(X10*R8+X16*R12)/R18</f>
        <v>0</v>
      </c>
      <c r="Y22" s="732">
        <f>SUMPRODUCT(U22:X22,O18:R18)/S18</f>
        <v>0</v>
      </c>
      <c r="Z22" s="665"/>
      <c r="AA22" s="717">
        <f>(AA10*U8+AA16*U12)/U18</f>
        <v>0</v>
      </c>
      <c r="AB22" s="696">
        <f t="shared" ref="AB22" si="319">(AB10*V8+AB16*V12)/V18</f>
        <v>0</v>
      </c>
      <c r="AC22" s="696">
        <f t="shared" ref="AC22" si="320">(AC10*W8+AC16*W12)/W18</f>
        <v>0</v>
      </c>
      <c r="AD22" s="697">
        <f t="shared" ref="AD22" si="321">(AD10*X8+AD16*X12)/X18</f>
        <v>0</v>
      </c>
      <c r="AE22" s="732">
        <f>SUMPRODUCT(AA22:AD22,U18:X18)/Y18</f>
        <v>0</v>
      </c>
      <c r="AF22" s="665"/>
      <c r="AG22" s="717">
        <f>(AG10*AA8+AG16*AA12)/AA18</f>
        <v>0</v>
      </c>
      <c r="AH22" s="696">
        <f t="shared" ref="AH22" si="322">(AH10*AB8+AH16*AB12)/AB18</f>
        <v>0</v>
      </c>
      <c r="AI22" s="696">
        <f t="shared" ref="AI22" si="323">(AI10*AC8+AI16*AC12)/AC18</f>
        <v>0</v>
      </c>
      <c r="AJ22" s="697">
        <f t="shared" ref="AJ22" si="324">(AJ10*AD8+AJ16*AD12)/AD18</f>
        <v>0</v>
      </c>
      <c r="AK22" s="732">
        <f>SUMPRODUCT(AG22:AJ22,AA18:AD18)/AE18</f>
        <v>0</v>
      </c>
      <c r="AL22" s="665"/>
      <c r="AM22" s="717">
        <f>(AM10*AG8+AM16*AG12)/AG18</f>
        <v>0</v>
      </c>
      <c r="AN22" s="696">
        <f t="shared" ref="AN22" si="325">(AN10*AH8+AN16*AH12)/AH18</f>
        <v>0</v>
      </c>
      <c r="AO22" s="696">
        <f t="shared" ref="AO22" si="326">(AO10*AI8+AO16*AI12)/AI18</f>
        <v>0</v>
      </c>
      <c r="AP22" s="697">
        <f t="shared" ref="AP22" si="327">(AP10*AJ8+AP16*AJ12)/AJ18</f>
        <v>0</v>
      </c>
      <c r="AQ22" s="732">
        <f>SUMPRODUCT(AM22:AP22,AG18:AJ18)/AK18</f>
        <v>0</v>
      </c>
      <c r="AR22" s="665"/>
      <c r="AS22" s="717">
        <f>(AS10*AM8+AS16*AM12)/AM18</f>
        <v>0</v>
      </c>
      <c r="AT22" s="696">
        <f t="shared" ref="AT22" si="328">(AT10*AN8+AT16*AN12)/AN18</f>
        <v>0</v>
      </c>
      <c r="AU22" s="696">
        <f t="shared" ref="AU22" si="329">(AU10*AO8+AU16*AO12)/AO18</f>
        <v>0</v>
      </c>
      <c r="AV22" s="697">
        <f t="shared" ref="AV22" si="330">(AV10*AP8+AV16*AP12)/AP18</f>
        <v>0</v>
      </c>
      <c r="AW22" s="732">
        <f>SUMPRODUCT(AS22:AV22,AM18:AP18)/AQ18</f>
        <v>0</v>
      </c>
      <c r="AX22" s="665"/>
      <c r="AY22" s="717">
        <f>(AY10*AS8+AY16*AS12)/AS18</f>
        <v>0</v>
      </c>
      <c r="AZ22" s="696">
        <f t="shared" ref="AZ22" si="331">(AZ10*AT8+AZ16*AT12)/AT18</f>
        <v>0</v>
      </c>
      <c r="BA22" s="696">
        <f t="shared" ref="BA22" si="332">(BA10*AU8+BA16*AU12)/AU18</f>
        <v>0</v>
      </c>
      <c r="BB22" s="697">
        <f t="shared" ref="BB22" si="333">(BB10*AV8+BB16*AV12)/AV18</f>
        <v>0</v>
      </c>
      <c r="BC22" s="732">
        <f>SUMPRODUCT(AY22:BB22,AS18:AV18)/AW18</f>
        <v>0</v>
      </c>
      <c r="BD22" s="665"/>
      <c r="BE22" s="717">
        <f>(BE10*AY8+BE16*AY12)/AY18</f>
        <v>0</v>
      </c>
      <c r="BF22" s="696">
        <f t="shared" ref="BF22" si="334">(BF10*AZ8+BF16*AZ12)/AZ18</f>
        <v>0</v>
      </c>
      <c r="BG22" s="696">
        <f t="shared" ref="BG22" si="335">(BG10*BA8+BG16*BA12)/BA18</f>
        <v>0</v>
      </c>
      <c r="BH22" s="697">
        <f t="shared" ref="BH22" si="336">(BH10*BB8+BH16*BB12)/BB18</f>
        <v>0</v>
      </c>
      <c r="BI22" s="732">
        <f>SUMPRODUCT(BE22:BH22,AY18:BB18)/BC18</f>
        <v>0</v>
      </c>
      <c r="BJ22" s="665"/>
      <c r="BK22" s="717">
        <f>(BK10*BE8+BK16*BE12)/BE18</f>
        <v>0</v>
      </c>
      <c r="BL22" s="696">
        <f t="shared" ref="BL22:BN22" si="337">(BL10*BF8+BL16*BF12)/BF18</f>
        <v>0</v>
      </c>
      <c r="BM22" s="696">
        <f t="shared" si="337"/>
        <v>0</v>
      </c>
      <c r="BN22" s="697">
        <f t="shared" si="337"/>
        <v>0</v>
      </c>
      <c r="BO22" s="732">
        <f>SUMPRODUCT(BK22:BN22,BE18:BH18)/BI18</f>
        <v>0</v>
      </c>
      <c r="BP22" s="665"/>
      <c r="BQ22" s="717">
        <f>(BQ10*BK8+BQ16*BK12)/BK18</f>
        <v>0</v>
      </c>
      <c r="BR22" s="696">
        <f t="shared" ref="BR22" si="338">(BR10*BL8+BR16*BL12)/BL18</f>
        <v>0</v>
      </c>
      <c r="BS22" s="696">
        <f t="shared" ref="BS22" si="339">(BS10*BM8+BS16*BM12)/BM18</f>
        <v>0</v>
      </c>
      <c r="BT22" s="697">
        <f t="shared" ref="BT22" si="340">(BT10*BN8+BT16*BN12)/BN18</f>
        <v>0</v>
      </c>
      <c r="BU22" s="732">
        <f>SUMPRODUCT(BQ22:BT22,BK18:BN18)/BO18</f>
        <v>0</v>
      </c>
      <c r="BV22" s="665"/>
      <c r="BW22" s="717">
        <f>(BW10*BQ8+BW16*BQ12)/BQ18</f>
        <v>0</v>
      </c>
      <c r="BX22" s="696">
        <f t="shared" ref="BX22" si="341">(BX10*BR8+BX16*BR12)/BR18</f>
        <v>0</v>
      </c>
      <c r="BY22" s="696">
        <f t="shared" ref="BY22" si="342">(BY10*BS8+BY16*BS12)/BS18</f>
        <v>0</v>
      </c>
      <c r="BZ22" s="697">
        <f t="shared" ref="BZ22" si="343">(BZ10*BT8+BZ16*BT12)/BT18</f>
        <v>0</v>
      </c>
      <c r="CA22" s="732">
        <f>SUMPRODUCT(BW22:BZ22,BQ18:BT18)/BU18</f>
        <v>0</v>
      </c>
      <c r="CB22" s="665"/>
      <c r="CC22" s="717">
        <f>(CC10*BW8+CC16*BW12)/BW18</f>
        <v>0</v>
      </c>
      <c r="CD22" s="696">
        <f t="shared" ref="CD22" si="344">(CD10*BX8+CD16*BX12)/BX18</f>
        <v>0</v>
      </c>
      <c r="CE22" s="696">
        <f t="shared" ref="CE22" si="345">(CE10*BY8+CE16*BY12)/BY18</f>
        <v>0</v>
      </c>
      <c r="CF22" s="697">
        <f t="shared" ref="CF22" si="346">(CF10*BZ8+CF16*BZ12)/BZ18</f>
        <v>0</v>
      </c>
      <c r="CG22" s="732">
        <f>SUMPRODUCT(CC22:CF22,BW18:BZ18)/CA18</f>
        <v>0</v>
      </c>
      <c r="CH22" s="665"/>
      <c r="CI22" s="717">
        <f>(CI10*CC8+CI16*CC12)/CC18</f>
        <v>0</v>
      </c>
      <c r="CJ22" s="696">
        <f t="shared" ref="CJ22" si="347">(CJ10*CD8+CJ16*CD12)/CD18</f>
        <v>0</v>
      </c>
      <c r="CK22" s="696">
        <f t="shared" ref="CK22" si="348">(CK10*CE8+CK16*CE12)/CE18</f>
        <v>0</v>
      </c>
      <c r="CL22" s="697">
        <f t="shared" ref="CL22" si="349">(CL10*CF8+CL16*CF12)/CF18</f>
        <v>0</v>
      </c>
      <c r="CM22" s="732">
        <f>SUMPRODUCT(CI22:CL22,CC18:CF18)/CG18</f>
        <v>0</v>
      </c>
    </row>
    <row r="23" spans="1:91" s="25" customFormat="1" ht="11.25" x14ac:dyDescent="0.2">
      <c r="A23" s="695" t="s">
        <v>7</v>
      </c>
      <c r="B23" s="665"/>
      <c r="C23" s="717">
        <f>C21-C22</f>
        <v>6.1611983093494374E-2</v>
      </c>
      <c r="D23" s="696">
        <f t="shared" ref="D23:G23" si="350">D21-D22</f>
        <v>5.2836820784533362E-2</v>
      </c>
      <c r="E23" s="696">
        <f t="shared" si="350"/>
        <v>6.2169863631429095E-2</v>
      </c>
      <c r="F23" s="697">
        <f t="shared" si="350"/>
        <v>6.0045590774002428E-2</v>
      </c>
      <c r="G23" s="732">
        <f t="shared" si="350"/>
        <v>5.9078129126206386E-2</v>
      </c>
      <c r="H23" s="665"/>
      <c r="I23" s="717">
        <f>I21-I22</f>
        <v>7.978159885367736E-2</v>
      </c>
      <c r="J23" s="696">
        <f t="shared" ref="J23:M23" si="351">J21-J22</f>
        <v>7.3312487231660547E-2</v>
      </c>
      <c r="K23" s="696">
        <f t="shared" si="351"/>
        <v>5.2607286488885852E-2</v>
      </c>
      <c r="L23" s="697">
        <f t="shared" si="351"/>
        <v>6.1965149305288882E-2</v>
      </c>
      <c r="M23" s="732">
        <f t="shared" si="351"/>
        <v>6.7060439598645535E-2</v>
      </c>
      <c r="N23" s="665"/>
      <c r="O23" s="717">
        <f>O21-O22</f>
        <v>6.0625279497842986E-2</v>
      </c>
      <c r="P23" s="696">
        <f t="shared" ref="P23:S23" si="352">P21-P22</f>
        <v>5.8583970356538576E-2</v>
      </c>
      <c r="Q23" s="696">
        <f t="shared" si="352"/>
        <v>7.1904371631683894E-2</v>
      </c>
      <c r="R23" s="697">
        <f t="shared" si="352"/>
        <v>6.3188933703928279E-2</v>
      </c>
      <c r="S23" s="732">
        <f t="shared" si="352"/>
        <v>6.3714734301236933E-2</v>
      </c>
      <c r="T23" s="665"/>
      <c r="U23" s="717">
        <f>U21-U22</f>
        <v>5.7136018176981128E-2</v>
      </c>
      <c r="V23" s="696">
        <f t="shared" ref="V23:Y23" si="353">V21-V22</f>
        <v>2.4056218914405465E-2</v>
      </c>
      <c r="W23" s="696">
        <f t="shared" si="353"/>
        <v>3.8807339135553676E-2</v>
      </c>
      <c r="X23" s="697">
        <f t="shared" si="353"/>
        <v>5.4118795078489587E-2</v>
      </c>
      <c r="Y23" s="732">
        <f t="shared" si="353"/>
        <v>4.3555121384674766E-2</v>
      </c>
      <c r="Z23" s="665"/>
      <c r="AA23" s="717">
        <f>AA21-AA22</f>
        <v>3.851702724492434E-2</v>
      </c>
      <c r="AB23" s="696">
        <f t="shared" ref="AB23:AE23" si="354">AB21-AB22</f>
        <v>4.3549657593770955E-2</v>
      </c>
      <c r="AC23" s="696">
        <f t="shared" si="354"/>
        <v>4.0295566112952527E-2</v>
      </c>
      <c r="AD23" s="697">
        <f t="shared" si="354"/>
        <v>2.5296823247238517E-2</v>
      </c>
      <c r="AE23" s="732">
        <f t="shared" si="354"/>
        <v>3.6794132109764038E-2</v>
      </c>
      <c r="AF23" s="665"/>
      <c r="AG23" s="717">
        <f>AG21-AG22</f>
        <v>1.6775567127704557E-2</v>
      </c>
      <c r="AH23" s="696">
        <f t="shared" ref="AH23:AK23" si="355">AH21-AH22</f>
        <v>6.7753839321575512E-2</v>
      </c>
      <c r="AI23" s="696">
        <f t="shared" si="355"/>
        <v>4.2469433226569903E-2</v>
      </c>
      <c r="AJ23" s="697">
        <f t="shared" si="355"/>
        <v>4.6664637857577643E-2</v>
      </c>
      <c r="AK23" s="732">
        <f t="shared" si="355"/>
        <v>4.3321678863477903E-2</v>
      </c>
      <c r="AL23" s="665"/>
      <c r="AM23" s="717">
        <f>AM21-AM22</f>
        <v>6.9308083455982258E-2</v>
      </c>
      <c r="AN23" s="696">
        <f t="shared" ref="AN23:AQ23" si="356">AN21-AN22</f>
        <v>2.1778626284745806E-2</v>
      </c>
      <c r="AO23" s="696">
        <f t="shared" si="356"/>
        <v>4.6232607795978028E-2</v>
      </c>
      <c r="AP23" s="697">
        <f t="shared" si="356"/>
        <v>4.8262054814597555E-2</v>
      </c>
      <c r="AQ23" s="732">
        <f t="shared" si="356"/>
        <v>4.628223920030311E-2</v>
      </c>
      <c r="AR23" s="665"/>
      <c r="AS23" s="717">
        <f>AS21-AS22</f>
        <v>4.5035409702867894E-2</v>
      </c>
      <c r="AT23" s="696">
        <f t="shared" ref="AT23:AW23" si="357">AT21-AT22</f>
        <v>5.4266290136381054E-2</v>
      </c>
      <c r="AU23" s="696">
        <f t="shared" si="357"/>
        <v>5.8763202839338891E-2</v>
      </c>
      <c r="AV23" s="697">
        <f t="shared" si="357"/>
        <v>4.4397660818713332E-2</v>
      </c>
      <c r="AW23" s="732">
        <f t="shared" si="357"/>
        <v>5.0630468895075588E-2</v>
      </c>
      <c r="AX23" s="665"/>
      <c r="AY23" s="717">
        <f>AY21-AY22</f>
        <v>5.2356834532374212E-2</v>
      </c>
      <c r="AZ23" s="696">
        <f t="shared" ref="AZ23:BC23" si="358">AZ21-AZ22</f>
        <v>4.3467836257309961E-2</v>
      </c>
      <c r="BA23" s="696">
        <f t="shared" si="358"/>
        <v>4.0098873935731819E-2</v>
      </c>
      <c r="BB23" s="697">
        <f t="shared" si="358"/>
        <v>5.6751467710371831E-2</v>
      </c>
      <c r="BC23" s="732">
        <f t="shared" si="358"/>
        <v>4.8154184085594839E-2</v>
      </c>
      <c r="BD23" s="665"/>
      <c r="BE23" s="717">
        <f>BE21-BE22</f>
        <v>4.3982463583651543E-2</v>
      </c>
      <c r="BF23" s="696">
        <f t="shared" ref="BF23:BI23" si="359">BF21-BF22</f>
        <v>5.8093126385809268E-2</v>
      </c>
      <c r="BG23" s="696">
        <f t="shared" si="359"/>
        <v>6.4626822991135341E-2</v>
      </c>
      <c r="BH23" s="697">
        <f t="shared" si="359"/>
        <v>4.3103448275862002E-2</v>
      </c>
      <c r="BI23" s="732">
        <f t="shared" si="359"/>
        <v>5.2392947103274523E-2</v>
      </c>
      <c r="BJ23" s="665"/>
      <c r="BK23" s="717">
        <f>BK21-BK22</f>
        <v>4.0994186046511644E-2</v>
      </c>
      <c r="BL23" s="696">
        <f t="shared" ref="BL23:BO23" si="360">BL21-BL22</f>
        <v>7.357352941176469E-2</v>
      </c>
      <c r="BM23" s="696">
        <f t="shared" si="360"/>
        <v>4.0218579234972705E-2</v>
      </c>
      <c r="BN23" s="697">
        <f t="shared" si="360"/>
        <v>5.3025069637883081E-2</v>
      </c>
      <c r="BO23" s="732">
        <f t="shared" si="360"/>
        <v>5.1719659332860116E-2</v>
      </c>
      <c r="BP23" s="665"/>
      <c r="BQ23" s="717">
        <f>BQ21-BQ22</f>
        <v>3.9678873239436585E-2</v>
      </c>
      <c r="BR23" s="696">
        <f t="shared" ref="BR23:BU23" si="361">BR21-BR22</f>
        <v>3.9558011049723965E-2</v>
      </c>
      <c r="BS23" s="696">
        <f t="shared" si="361"/>
        <v>6.1981382978723472E-2</v>
      </c>
      <c r="BT23" s="697">
        <f t="shared" si="361"/>
        <v>5.2500000000000088E-2</v>
      </c>
      <c r="BU23" s="732">
        <f t="shared" si="361"/>
        <v>4.8644459551325556E-2</v>
      </c>
      <c r="BV23" s="665"/>
      <c r="BW23" s="717">
        <f>BW21-BW22</f>
        <v>5.0279999999999908E-2</v>
      </c>
      <c r="BX23" s="696">
        <f t="shared" ref="BX23:CA23" si="362">BX21-BX22</f>
        <v>5.0737141811504967E-2</v>
      </c>
      <c r="BY23" s="696">
        <f t="shared" si="362"/>
        <v>5.0820561376397899E-2</v>
      </c>
      <c r="BZ23" s="697">
        <f t="shared" si="362"/>
        <v>5.0295656471401884E-2</v>
      </c>
      <c r="CA23" s="732">
        <f t="shared" si="362"/>
        <v>5.0539117764377278E-2</v>
      </c>
      <c r="CB23" s="665"/>
      <c r="CC23" s="717">
        <f>CC21-CC22</f>
        <v>5.0929968225973177E-2</v>
      </c>
      <c r="CD23" s="696">
        <f t="shared" ref="CD23:CG23" si="363">CD21-CD22</f>
        <v>5.0991551079053954E-2</v>
      </c>
      <c r="CE23" s="696">
        <f t="shared" si="363"/>
        <v>5.1034039002619602E-2</v>
      </c>
      <c r="CF23" s="697">
        <f t="shared" si="363"/>
        <v>5.0509798637814907E-2</v>
      </c>
      <c r="CG23" s="732">
        <f t="shared" si="363"/>
        <v>5.0866303522052236E-2</v>
      </c>
      <c r="CH23" s="665"/>
      <c r="CI23" s="717">
        <f>CI21-CI22</f>
        <v>5.1143241389623784E-2</v>
      </c>
      <c r="CJ23" s="696">
        <f t="shared" ref="CJ23:CM23" si="364">CJ21-CJ22</f>
        <v>5.1204699154533184E-2</v>
      </c>
      <c r="CK23" s="696">
        <f t="shared" si="364"/>
        <v>5.1247096577380358E-2</v>
      </c>
      <c r="CL23" s="697">
        <f t="shared" si="364"/>
        <v>5.0723732963454005E-2</v>
      </c>
      <c r="CM23" s="732">
        <f t="shared" si="364"/>
        <v>5.1079698430097187E-2</v>
      </c>
    </row>
    <row r="24" spans="1:91" s="25" customFormat="1" ht="11.25" x14ac:dyDescent="0.2">
      <c r="A24" s="699" t="s">
        <v>17</v>
      </c>
      <c r="B24" s="700"/>
      <c r="C24" s="719"/>
      <c r="D24" s="700"/>
      <c r="E24" s="700"/>
      <c r="F24" s="701"/>
      <c r="G24" s="734"/>
      <c r="H24" s="700"/>
      <c r="I24" s="719"/>
      <c r="J24" s="700"/>
      <c r="K24" s="700"/>
      <c r="L24" s="701"/>
      <c r="M24" s="734"/>
      <c r="N24" s="700"/>
      <c r="O24" s="719"/>
      <c r="P24" s="700"/>
      <c r="Q24" s="700"/>
      <c r="R24" s="701"/>
      <c r="S24" s="734"/>
      <c r="T24" s="700"/>
      <c r="U24" s="719"/>
      <c r="V24" s="700"/>
      <c r="W24" s="700"/>
      <c r="X24" s="701"/>
      <c r="Y24" s="734"/>
      <c r="Z24" s="700"/>
      <c r="AA24" s="719"/>
      <c r="AB24" s="700"/>
      <c r="AC24" s="700"/>
      <c r="AD24" s="701"/>
      <c r="AE24" s="734"/>
      <c r="AF24" s="700"/>
      <c r="AG24" s="719"/>
      <c r="AH24" s="700"/>
      <c r="AI24" s="700"/>
      <c r="AJ24" s="701"/>
      <c r="AK24" s="734"/>
      <c r="AL24" s="700"/>
      <c r="AM24" s="719"/>
      <c r="AN24" s="700"/>
      <c r="AO24" s="700"/>
      <c r="AP24" s="701"/>
      <c r="AQ24" s="734"/>
      <c r="AR24" s="700"/>
      <c r="AS24" s="719"/>
      <c r="AT24" s="700"/>
      <c r="AU24" s="700"/>
      <c r="AV24" s="701"/>
      <c r="AW24" s="734"/>
      <c r="AX24" s="700"/>
      <c r="AY24" s="719"/>
      <c r="AZ24" s="700"/>
      <c r="BA24" s="700"/>
      <c r="BB24" s="701"/>
      <c r="BC24" s="734"/>
      <c r="BD24" s="700"/>
      <c r="BE24" s="719"/>
      <c r="BF24" s="700"/>
      <c r="BG24" s="700"/>
      <c r="BH24" s="701"/>
      <c r="BI24" s="734"/>
      <c r="BJ24" s="700"/>
      <c r="BK24" s="719"/>
      <c r="BL24" s="700"/>
      <c r="BM24" s="700"/>
      <c r="BN24" s="701"/>
      <c r="BO24" s="734"/>
      <c r="BP24" s="700"/>
      <c r="BQ24" s="719"/>
      <c r="BR24" s="700"/>
      <c r="BS24" s="700"/>
      <c r="BT24" s="701"/>
      <c r="BU24" s="734"/>
      <c r="BV24" s="700"/>
      <c r="BW24" s="719"/>
      <c r="BX24" s="700"/>
      <c r="BY24" s="700"/>
      <c r="BZ24" s="701"/>
      <c r="CA24" s="734"/>
      <c r="CB24" s="700"/>
      <c r="CC24" s="719"/>
      <c r="CD24" s="700"/>
      <c r="CE24" s="700"/>
      <c r="CF24" s="701"/>
      <c r="CG24" s="734"/>
      <c r="CH24" s="700"/>
      <c r="CI24" s="719"/>
      <c r="CJ24" s="700"/>
      <c r="CK24" s="700"/>
      <c r="CL24" s="701"/>
      <c r="CM24" s="734"/>
    </row>
    <row r="25" spans="1:91" s="25" customFormat="1" ht="11.25" hidden="1" outlineLevel="1" x14ac:dyDescent="0.2">
      <c r="A25" s="694" t="s">
        <v>4</v>
      </c>
      <c r="B25" s="665"/>
      <c r="C25" s="720">
        <v>111.196</v>
      </c>
      <c r="D25" s="655">
        <v>133.863</v>
      </c>
      <c r="E25" s="655">
        <v>133.374</v>
      </c>
      <c r="F25" s="721">
        <v>134.54</v>
      </c>
      <c r="G25" s="735">
        <v>512.97299999999996</v>
      </c>
      <c r="H25" s="702"/>
      <c r="I25" s="720">
        <v>136.18799999999999</v>
      </c>
      <c r="J25" s="655">
        <v>140.41399999999999</v>
      </c>
      <c r="K25" s="655">
        <v>135.702</v>
      </c>
      <c r="L25" s="676">
        <v>135.161</v>
      </c>
      <c r="M25" s="733">
        <f>SUM(I25:L25)</f>
        <v>547.46499999999992</v>
      </c>
      <c r="N25" s="665"/>
      <c r="O25" s="669">
        <v>138.33799999999999</v>
      </c>
      <c r="P25" s="657">
        <v>137.67699999999999</v>
      </c>
      <c r="Q25" s="657">
        <v>143.614</v>
      </c>
      <c r="R25" s="676">
        <v>149.16</v>
      </c>
      <c r="S25" s="733">
        <f>SUM(O25:R25)</f>
        <v>568.78899999999999</v>
      </c>
      <c r="T25" s="665"/>
      <c r="U25" s="669">
        <v>153.96899999999999</v>
      </c>
      <c r="V25" s="657">
        <v>142.90899999999999</v>
      </c>
      <c r="W25" s="657">
        <v>144.29300000000001</v>
      </c>
      <c r="X25" s="676">
        <v>145.697</v>
      </c>
      <c r="Y25" s="733">
        <f>SUM(U25:X25)</f>
        <v>586.86799999999994</v>
      </c>
      <c r="Z25" s="665"/>
      <c r="AA25" s="669">
        <v>146.792</v>
      </c>
      <c r="AB25" s="657">
        <v>153.63900000000001</v>
      </c>
      <c r="AC25" s="657">
        <v>150.21299999999999</v>
      </c>
      <c r="AD25" s="676">
        <v>152.047</v>
      </c>
      <c r="AE25" s="733">
        <f>SUM(AA25:AD25)</f>
        <v>602.69100000000003</v>
      </c>
      <c r="AF25" s="665"/>
      <c r="AG25" s="669">
        <v>149.50800000000001</v>
      </c>
      <c r="AH25" s="657">
        <v>155.142</v>
      </c>
      <c r="AI25" s="657">
        <v>149.27799999999999</v>
      </c>
      <c r="AJ25" s="676">
        <v>149.06</v>
      </c>
      <c r="AK25" s="733">
        <f>SUM(AG25:AJ25)</f>
        <v>602.98800000000006</v>
      </c>
      <c r="AL25" s="665"/>
      <c r="AM25" s="669">
        <v>153.59100000000001</v>
      </c>
      <c r="AN25" s="657">
        <v>160.25</v>
      </c>
      <c r="AO25" s="657">
        <v>143.08799999999999</v>
      </c>
      <c r="AP25" s="676">
        <v>149</v>
      </c>
      <c r="AQ25" s="733">
        <f>SUM(AM25:AP25)</f>
        <v>605.92899999999997</v>
      </c>
      <c r="AR25" s="665"/>
      <c r="AS25" s="669">
        <v>149.5</v>
      </c>
      <c r="AT25" s="657">
        <v>138</v>
      </c>
      <c r="AU25" s="657">
        <v>137.30000000000001</v>
      </c>
      <c r="AV25" s="676">
        <v>148.4</v>
      </c>
      <c r="AW25" s="733">
        <f>SUM(AS25:AV25)</f>
        <v>573.20000000000005</v>
      </c>
      <c r="AX25" s="665"/>
      <c r="AY25" s="669">
        <v>159.19999999999999</v>
      </c>
      <c r="AZ25" s="657">
        <v>149</v>
      </c>
      <c r="BA25" s="657">
        <v>138</v>
      </c>
      <c r="BB25" s="676">
        <v>146</v>
      </c>
      <c r="BC25" s="733">
        <f>SUM(AY25:BB25)</f>
        <v>592.20000000000005</v>
      </c>
      <c r="BD25" s="665"/>
      <c r="BE25" s="669">
        <v>149</v>
      </c>
      <c r="BF25" s="657">
        <v>156</v>
      </c>
      <c r="BG25" s="657">
        <v>142</v>
      </c>
      <c r="BH25" s="676">
        <v>153</v>
      </c>
      <c r="BI25" s="733">
        <f>SUM(BE25:BH25)</f>
        <v>600</v>
      </c>
      <c r="BJ25" s="665"/>
      <c r="BK25" s="669">
        <v>154</v>
      </c>
      <c r="BL25" s="657">
        <v>173</v>
      </c>
      <c r="BM25" s="657">
        <v>145</v>
      </c>
      <c r="BN25" s="676">
        <v>151</v>
      </c>
      <c r="BO25" s="733">
        <f>SUM(BK25:BN25)</f>
        <v>623</v>
      </c>
      <c r="BP25" s="665"/>
      <c r="BQ25" s="669">
        <v>167</v>
      </c>
      <c r="BR25" s="666">
        <f t="shared" ref="BR25" si="365">BL25*(1+BR26)</f>
        <v>175.59499999999997</v>
      </c>
      <c r="BS25" s="666">
        <f t="shared" ref="BS25" si="366">BM25*(1+BS26)</f>
        <v>151.52499999999998</v>
      </c>
      <c r="BT25" s="667">
        <f t="shared" ref="BT25" si="367">BN25*(1+BT26)</f>
        <v>159.30499999999998</v>
      </c>
      <c r="BU25" s="733">
        <f>SUM(BQ25:BT25)</f>
        <v>653.42499999999995</v>
      </c>
      <c r="BV25" s="665"/>
      <c r="BW25" s="718">
        <f>BQ25*(1+BW26)</f>
        <v>172.01</v>
      </c>
      <c r="BX25" s="666">
        <f t="shared" ref="BX25" si="368">BR25*(1+BX26)</f>
        <v>180.86284999999998</v>
      </c>
      <c r="BY25" s="666">
        <f t="shared" ref="BY25" si="369">BS25*(1+BY26)</f>
        <v>156.07074999999998</v>
      </c>
      <c r="BZ25" s="667">
        <f t="shared" ref="BZ25" si="370">BT25*(1+BZ26)</f>
        <v>164.08414999999999</v>
      </c>
      <c r="CA25" s="733">
        <f>SUM(BW25:BZ25)</f>
        <v>673.02774999999997</v>
      </c>
      <c r="CB25" s="665"/>
      <c r="CC25" s="718">
        <f>BW25*(1+CC26)</f>
        <v>177.1703</v>
      </c>
      <c r="CD25" s="666">
        <f t="shared" ref="CD25" si="371">BX25*(1+CD26)</f>
        <v>186.28873549999997</v>
      </c>
      <c r="CE25" s="666">
        <f t="shared" ref="CE25" si="372">BY25*(1+CE26)</f>
        <v>160.75287249999997</v>
      </c>
      <c r="CF25" s="667">
        <f t="shared" ref="CF25" si="373">BZ25*(1+CF26)</f>
        <v>169.0066745</v>
      </c>
      <c r="CG25" s="733">
        <f>SUM(CC25:CF25)</f>
        <v>693.21858250000002</v>
      </c>
      <c r="CH25" s="665"/>
      <c r="CI25" s="718">
        <f>CC25*(1+CI26)</f>
        <v>182.485409</v>
      </c>
      <c r="CJ25" s="666">
        <f t="shared" ref="CJ25" si="374">CD25*(1+CJ26)</f>
        <v>191.87739756499997</v>
      </c>
      <c r="CK25" s="666">
        <f t="shared" ref="CK25" si="375">CE25*(1+CK26)</f>
        <v>165.57545867499996</v>
      </c>
      <c r="CL25" s="667">
        <f t="shared" ref="CL25" si="376">CF25*(1+CL26)</f>
        <v>174.07687473500002</v>
      </c>
      <c r="CM25" s="733">
        <f>SUM(CI25:CL25)</f>
        <v>714.01513997500001</v>
      </c>
    </row>
    <row r="26" spans="1:91" s="25" customFormat="1" ht="11.25" hidden="1" outlineLevel="1" x14ac:dyDescent="0.2">
      <c r="A26" s="695" t="s">
        <v>5</v>
      </c>
      <c r="B26" s="665"/>
      <c r="C26" s="722">
        <v>9.0777108551921559E-2</v>
      </c>
      <c r="D26" s="703">
        <v>0.2976627858506935</v>
      </c>
      <c r="E26" s="703">
        <v>0.31378362671027094</v>
      </c>
      <c r="F26" s="723">
        <v>0.33863986866325058</v>
      </c>
      <c r="G26" s="736">
        <v>0.25999513660490781</v>
      </c>
      <c r="H26" s="704"/>
      <c r="I26" s="724">
        <f t="shared" ref="I26:AD26" si="377">I25/C25-1</f>
        <v>0.22475628619734511</v>
      </c>
      <c r="J26" s="704">
        <f t="shared" si="377"/>
        <v>4.8938093423873674E-2</v>
      </c>
      <c r="K26" s="704">
        <f t="shared" si="377"/>
        <v>1.745467632372133E-2</v>
      </c>
      <c r="L26" s="697">
        <f t="shared" si="377"/>
        <v>4.6157276646350276E-3</v>
      </c>
      <c r="M26" s="732">
        <f t="shared" si="377"/>
        <v>6.7239406362518128E-2</v>
      </c>
      <c r="N26" s="696"/>
      <c r="O26" s="717">
        <f t="shared" si="377"/>
        <v>1.5787000323082889E-2</v>
      </c>
      <c r="P26" s="696">
        <f t="shared" si="377"/>
        <v>-1.9492358311849256E-2</v>
      </c>
      <c r="Q26" s="696">
        <f t="shared" si="377"/>
        <v>5.8304225435144685E-2</v>
      </c>
      <c r="R26" s="697">
        <f t="shared" si="377"/>
        <v>0.10357277617064087</v>
      </c>
      <c r="S26" s="732">
        <f t="shared" si="377"/>
        <v>3.8950435187637744E-2</v>
      </c>
      <c r="T26" s="696"/>
      <c r="U26" s="717">
        <f t="shared" si="377"/>
        <v>0.11299136896586615</v>
      </c>
      <c r="V26" s="696">
        <f t="shared" si="377"/>
        <v>3.8001990165387189E-2</v>
      </c>
      <c r="W26" s="696">
        <f t="shared" si="377"/>
        <v>4.7279513139386609E-3</v>
      </c>
      <c r="X26" s="697">
        <f t="shared" si="377"/>
        <v>-2.3216680075087148E-2</v>
      </c>
      <c r="Y26" s="732">
        <f t="shared" si="377"/>
        <v>3.1785073199376068E-2</v>
      </c>
      <c r="Z26" s="696"/>
      <c r="AA26" s="717">
        <f t="shared" si="377"/>
        <v>-4.6613279296481736E-2</v>
      </c>
      <c r="AB26" s="696">
        <f t="shared" si="377"/>
        <v>7.5082744963578252E-2</v>
      </c>
      <c r="AC26" s="696">
        <f t="shared" si="377"/>
        <v>4.1027631278024446E-2</v>
      </c>
      <c r="AD26" s="697">
        <f t="shared" si="377"/>
        <v>4.3583601584109344E-2</v>
      </c>
      <c r="AE26" s="732">
        <f>AE25/Y25-1</f>
        <v>2.6961769938044222E-2</v>
      </c>
      <c r="AF26" s="696"/>
      <c r="AG26" s="717">
        <f>AG25/AA25-1</f>
        <v>1.8502370701400705E-2</v>
      </c>
      <c r="AH26" s="696">
        <f>AH25/AB25-1</f>
        <v>9.7826723683438477E-3</v>
      </c>
      <c r="AI26" s="696">
        <f>AI25/AC25-1</f>
        <v>-6.2244945510708805E-3</v>
      </c>
      <c r="AJ26" s="697">
        <f>AJ25/AD25-1</f>
        <v>-1.9645241274079739E-2</v>
      </c>
      <c r="AK26" s="732">
        <f>AK25/AE25-1</f>
        <v>4.9278983757861106E-4</v>
      </c>
      <c r="AL26" s="696"/>
      <c r="AM26" s="717">
        <f>AM25/AG25-1</f>
        <v>2.7309575407336029E-2</v>
      </c>
      <c r="AN26" s="696">
        <f>AN25/AH25-1</f>
        <v>3.2924675458612107E-2</v>
      </c>
      <c r="AO26" s="696">
        <f>AO25/AI25-1</f>
        <v>-4.1466257586516453E-2</v>
      </c>
      <c r="AP26" s="697">
        <f>AP25/AJ25-1</f>
        <v>-4.0252247417149611E-4</v>
      </c>
      <c r="AQ26" s="732">
        <f>AQ25/AK25-1</f>
        <v>4.8773773275752053E-3</v>
      </c>
      <c r="AR26" s="696"/>
      <c r="AS26" s="717">
        <f>AS25/AM25-1</f>
        <v>-2.6635675267431047E-2</v>
      </c>
      <c r="AT26" s="696">
        <f>AT25/AN25-1</f>
        <v>-0.13884555382215291</v>
      </c>
      <c r="AU26" s="696">
        <f>AU25/AO25-1</f>
        <v>-4.0450631779044954E-2</v>
      </c>
      <c r="AV26" s="697">
        <f>AV25/AP25-1</f>
        <v>-4.0268456375838202E-3</v>
      </c>
      <c r="AW26" s="732">
        <f>AW25/AQ25-1</f>
        <v>-5.4014579265887486E-2</v>
      </c>
      <c r="AX26" s="696"/>
      <c r="AY26" s="717">
        <f>AY25/AS25-1</f>
        <v>6.488294314381271E-2</v>
      </c>
      <c r="AZ26" s="696">
        <f>AZ25/AT25-1</f>
        <v>7.9710144927536142E-2</v>
      </c>
      <c r="BA26" s="696">
        <f>BA25/AU25-1</f>
        <v>5.0983248361251565E-3</v>
      </c>
      <c r="BB26" s="697">
        <f>BB25/AV25-1</f>
        <v>-1.6172506738544534E-2</v>
      </c>
      <c r="BC26" s="732">
        <f>BC25/AW25-1</f>
        <v>3.3147243545010419E-2</v>
      </c>
      <c r="BD26" s="665"/>
      <c r="BE26" s="717">
        <f>BE25/AY25-1</f>
        <v>-6.4070351758793942E-2</v>
      </c>
      <c r="BF26" s="696">
        <f>BF25/AZ25-1</f>
        <v>4.6979865771812124E-2</v>
      </c>
      <c r="BG26" s="696">
        <f>BG25/BA25-1</f>
        <v>2.8985507246376718E-2</v>
      </c>
      <c r="BH26" s="697">
        <f>BH25/BB25-1</f>
        <v>4.7945205479452024E-2</v>
      </c>
      <c r="BI26" s="732">
        <f>BI25/BC25-1</f>
        <v>1.3171225937183229E-2</v>
      </c>
      <c r="BJ26" s="665"/>
      <c r="BK26" s="717">
        <f>BK25/BE25-1</f>
        <v>3.3557046979865834E-2</v>
      </c>
      <c r="BL26" s="696">
        <f t="shared" ref="BL26" si="378">BL25/BF25-1</f>
        <v>0.10897435897435903</v>
      </c>
      <c r="BM26" s="696">
        <f t="shared" ref="BM26" si="379">BM25/BG25-1</f>
        <v>2.1126760563380254E-2</v>
      </c>
      <c r="BN26" s="697">
        <f t="shared" ref="BN26" si="380">BN25/BH25-1</f>
        <v>-1.3071895424836555E-2</v>
      </c>
      <c r="BO26" s="732">
        <f t="shared" ref="BO26" si="381">BO25/BI25-1</f>
        <v>3.833333333333333E-2</v>
      </c>
      <c r="BP26" s="665"/>
      <c r="BQ26" s="717">
        <f>BQ25/BK25-1</f>
        <v>8.4415584415584499E-2</v>
      </c>
      <c r="BR26" s="696">
        <f t="shared" ref="BR26" si="382">BR28+BR27</f>
        <v>1.4999999999999999E-2</v>
      </c>
      <c r="BS26" s="696">
        <f t="shared" ref="BS26" si="383">BS28+BS27</f>
        <v>4.4999999999999998E-2</v>
      </c>
      <c r="BT26" s="697">
        <f t="shared" ref="BT26" si="384">BT28+BT27</f>
        <v>5.5E-2</v>
      </c>
      <c r="BU26" s="732">
        <f t="shared" ref="BU26" si="385">BU25/BO25-1</f>
        <v>4.8836276083467078E-2</v>
      </c>
      <c r="BV26" s="665"/>
      <c r="BW26" s="717">
        <f>BW28+BW27</f>
        <v>0.03</v>
      </c>
      <c r="BX26" s="696">
        <f t="shared" ref="BX26" si="386">BX28+BX27</f>
        <v>0.03</v>
      </c>
      <c r="BY26" s="696">
        <f t="shared" ref="BY26" si="387">BY28+BY27</f>
        <v>0.03</v>
      </c>
      <c r="BZ26" s="697">
        <f t="shared" ref="BZ26" si="388">BZ28+BZ27</f>
        <v>0.03</v>
      </c>
      <c r="CA26" s="732">
        <f t="shared" ref="CA26" si="389">CA25/BU25-1</f>
        <v>3.0000000000000027E-2</v>
      </c>
      <c r="CB26" s="665"/>
      <c r="CC26" s="717">
        <f>CC28+CC27</f>
        <v>0.03</v>
      </c>
      <c r="CD26" s="696">
        <f t="shared" ref="CD26" si="390">CD28+CD27</f>
        <v>0.03</v>
      </c>
      <c r="CE26" s="696">
        <f t="shared" ref="CE26" si="391">CE28+CE27</f>
        <v>0.03</v>
      </c>
      <c r="CF26" s="697">
        <f t="shared" ref="CF26" si="392">CF28+CF27</f>
        <v>0.03</v>
      </c>
      <c r="CG26" s="732">
        <f t="shared" ref="CG26" si="393">CG25/CA25-1</f>
        <v>3.0000000000000027E-2</v>
      </c>
      <c r="CH26" s="665"/>
      <c r="CI26" s="717">
        <f>CI28+CI27</f>
        <v>0.03</v>
      </c>
      <c r="CJ26" s="696">
        <f t="shared" ref="CJ26" si="394">CJ28+CJ27</f>
        <v>0.03</v>
      </c>
      <c r="CK26" s="696">
        <f t="shared" ref="CK26" si="395">CK28+CK27</f>
        <v>0.03</v>
      </c>
      <c r="CL26" s="697">
        <f t="shared" ref="CL26" si="396">CL28+CL27</f>
        <v>0.03</v>
      </c>
      <c r="CM26" s="732">
        <f t="shared" ref="CM26" si="397">CM25/CG25-1</f>
        <v>3.0000000000000027E-2</v>
      </c>
    </row>
    <row r="27" spans="1:91" s="25" customFormat="1" ht="11.25" hidden="1" outlineLevel="1" x14ac:dyDescent="0.2">
      <c r="A27" s="695" t="s">
        <v>6</v>
      </c>
      <c r="B27" s="665"/>
      <c r="C27" s="722"/>
      <c r="D27" s="703"/>
      <c r="E27" s="703"/>
      <c r="F27" s="723"/>
      <c r="G27" s="736"/>
      <c r="H27" s="702"/>
      <c r="I27" s="722">
        <v>0</v>
      </c>
      <c r="J27" s="703">
        <v>0</v>
      </c>
      <c r="K27" s="703">
        <v>0</v>
      </c>
      <c r="L27" s="674">
        <v>0</v>
      </c>
      <c r="M27" s="732">
        <f>SUMPRODUCT(I27:L27,C25:F25)/G25</f>
        <v>0</v>
      </c>
      <c r="N27" s="665"/>
      <c r="O27" s="672">
        <v>0</v>
      </c>
      <c r="P27" s="673">
        <v>0</v>
      </c>
      <c r="Q27" s="673">
        <v>0</v>
      </c>
      <c r="R27" s="674">
        <v>0</v>
      </c>
      <c r="S27" s="732">
        <f>SUMPRODUCT(O27:R27,I25:L25)/M25</f>
        <v>0</v>
      </c>
      <c r="T27" s="665"/>
      <c r="U27" s="672">
        <v>0</v>
      </c>
      <c r="V27" s="673">
        <v>0</v>
      </c>
      <c r="W27" s="673">
        <v>0</v>
      </c>
      <c r="X27" s="674">
        <v>0</v>
      </c>
      <c r="Y27" s="732">
        <f>SUMPRODUCT(U27:X27,O25:R25)/S25</f>
        <v>0</v>
      </c>
      <c r="Z27" s="665"/>
      <c r="AA27" s="672">
        <v>0</v>
      </c>
      <c r="AB27" s="673">
        <v>0</v>
      </c>
      <c r="AC27" s="673">
        <v>0</v>
      </c>
      <c r="AD27" s="674">
        <v>0</v>
      </c>
      <c r="AE27" s="732">
        <f>SUMPRODUCT(AA27:AD27,U25:X25)/Y25</f>
        <v>0</v>
      </c>
      <c r="AF27" s="665"/>
      <c r="AG27" s="672">
        <v>0</v>
      </c>
      <c r="AH27" s="673">
        <v>0</v>
      </c>
      <c r="AI27" s="673">
        <v>0</v>
      </c>
      <c r="AJ27" s="674">
        <v>0</v>
      </c>
      <c r="AK27" s="732">
        <f>SUMPRODUCT(AG27:AJ27,AA25:AD25)/AE25</f>
        <v>0</v>
      </c>
      <c r="AL27" s="665"/>
      <c r="AM27" s="672">
        <v>0</v>
      </c>
      <c r="AN27" s="673">
        <v>0</v>
      </c>
      <c r="AO27" s="673">
        <v>0</v>
      </c>
      <c r="AP27" s="674">
        <v>0</v>
      </c>
      <c r="AQ27" s="732">
        <f>SUMPRODUCT(AM27:AP27,AG25:AJ25)/AK25</f>
        <v>0</v>
      </c>
      <c r="AR27" s="665"/>
      <c r="AS27" s="672">
        <v>0</v>
      </c>
      <c r="AT27" s="673">
        <v>0</v>
      </c>
      <c r="AU27" s="673">
        <v>0</v>
      </c>
      <c r="AV27" s="674">
        <v>0</v>
      </c>
      <c r="AW27" s="732">
        <f>SUMPRODUCT(AS27:AV27,AM25:AP25)/AQ25</f>
        <v>0</v>
      </c>
      <c r="AX27" s="665"/>
      <c r="AY27" s="672">
        <v>0</v>
      </c>
      <c r="AZ27" s="673">
        <v>0</v>
      </c>
      <c r="BA27" s="673">
        <v>0</v>
      </c>
      <c r="BB27" s="674">
        <v>0</v>
      </c>
      <c r="BC27" s="732">
        <f>SUMPRODUCT(AY27:BB27,AS25:AV25)/AW25</f>
        <v>0</v>
      </c>
      <c r="BD27" s="665"/>
      <c r="BE27" s="672">
        <v>0</v>
      </c>
      <c r="BF27" s="673">
        <v>0</v>
      </c>
      <c r="BG27" s="673">
        <v>0</v>
      </c>
      <c r="BH27" s="674">
        <v>0</v>
      </c>
      <c r="BI27" s="732">
        <f>SUMPRODUCT(BE27:BH27,AY25:BB25)/BC25</f>
        <v>0</v>
      </c>
      <c r="BJ27" s="665"/>
      <c r="BK27" s="672">
        <v>0</v>
      </c>
      <c r="BL27" s="673">
        <v>0</v>
      </c>
      <c r="BM27" s="673">
        <v>0</v>
      </c>
      <c r="BN27" s="674">
        <v>0</v>
      </c>
      <c r="BO27" s="732">
        <f>SUMPRODUCT(BK27:BN27,BE25:BH25)/BI25</f>
        <v>0</v>
      </c>
      <c r="BP27" s="665"/>
      <c r="BQ27" s="672">
        <v>0</v>
      </c>
      <c r="BR27" s="673">
        <v>0</v>
      </c>
      <c r="BS27" s="673">
        <v>0</v>
      </c>
      <c r="BT27" s="674">
        <v>0</v>
      </c>
      <c r="BU27" s="732">
        <f>SUMPRODUCT(BQ27:BT27,BK25:BN25)/BO25</f>
        <v>0</v>
      </c>
      <c r="BV27" s="665"/>
      <c r="BW27" s="672">
        <v>0</v>
      </c>
      <c r="BX27" s="673">
        <v>0</v>
      </c>
      <c r="BY27" s="673">
        <v>0</v>
      </c>
      <c r="BZ27" s="674">
        <v>0</v>
      </c>
      <c r="CA27" s="732">
        <f>SUMPRODUCT(BW27:BZ27,BQ25:BT25)/BU25</f>
        <v>0</v>
      </c>
      <c r="CB27" s="665"/>
      <c r="CC27" s="672">
        <v>0</v>
      </c>
      <c r="CD27" s="673">
        <v>0</v>
      </c>
      <c r="CE27" s="673">
        <v>0</v>
      </c>
      <c r="CF27" s="674">
        <v>0</v>
      </c>
      <c r="CG27" s="732">
        <f>SUMPRODUCT(CC27:CF27,BW25:BZ25)/CA25</f>
        <v>0</v>
      </c>
      <c r="CH27" s="665"/>
      <c r="CI27" s="672">
        <v>0</v>
      </c>
      <c r="CJ27" s="673">
        <v>0</v>
      </c>
      <c r="CK27" s="673">
        <v>0</v>
      </c>
      <c r="CL27" s="674">
        <v>0</v>
      </c>
      <c r="CM27" s="732">
        <f>SUMPRODUCT(CI27:CL27,CC25:CF25)/CG25</f>
        <v>0</v>
      </c>
    </row>
    <row r="28" spans="1:91" s="25" customFormat="1" ht="11.25" hidden="1" outlineLevel="1" x14ac:dyDescent="0.2">
      <c r="A28" s="695" t="s">
        <v>7</v>
      </c>
      <c r="B28" s="665"/>
      <c r="C28" s="724"/>
      <c r="D28" s="704"/>
      <c r="E28" s="704"/>
      <c r="F28" s="725"/>
      <c r="G28" s="737"/>
      <c r="H28" s="702"/>
      <c r="I28" s="724">
        <f>I26-I27</f>
        <v>0.22475628619734511</v>
      </c>
      <c r="J28" s="704">
        <f t="shared" ref="J28:M28" si="398">J26-J27</f>
        <v>4.8938093423873674E-2</v>
      </c>
      <c r="K28" s="704">
        <f t="shared" si="398"/>
        <v>1.745467632372133E-2</v>
      </c>
      <c r="L28" s="697">
        <f t="shared" si="398"/>
        <v>4.6157276646350276E-3</v>
      </c>
      <c r="M28" s="732">
        <f t="shared" si="398"/>
        <v>6.7239406362518128E-2</v>
      </c>
      <c r="N28" s="665"/>
      <c r="O28" s="717">
        <f>O26-O27</f>
        <v>1.5787000323082889E-2</v>
      </c>
      <c r="P28" s="696">
        <f t="shared" ref="P28:S28" si="399">P26-P27</f>
        <v>-1.9492358311849256E-2</v>
      </c>
      <c r="Q28" s="696">
        <f t="shared" si="399"/>
        <v>5.8304225435144685E-2</v>
      </c>
      <c r="R28" s="697">
        <f t="shared" si="399"/>
        <v>0.10357277617064087</v>
      </c>
      <c r="S28" s="732">
        <f t="shared" si="399"/>
        <v>3.8950435187637744E-2</v>
      </c>
      <c r="T28" s="665"/>
      <c r="U28" s="717">
        <f>U26-U27</f>
        <v>0.11299136896586615</v>
      </c>
      <c r="V28" s="696">
        <f t="shared" ref="V28:Y28" si="400">V26-V27</f>
        <v>3.8001990165387189E-2</v>
      </c>
      <c r="W28" s="696">
        <f t="shared" si="400"/>
        <v>4.7279513139386609E-3</v>
      </c>
      <c r="X28" s="697">
        <f t="shared" si="400"/>
        <v>-2.3216680075087148E-2</v>
      </c>
      <c r="Y28" s="732">
        <f t="shared" si="400"/>
        <v>3.1785073199376068E-2</v>
      </c>
      <c r="Z28" s="665"/>
      <c r="AA28" s="717">
        <f>AA26-AA27</f>
        <v>-4.6613279296481736E-2</v>
      </c>
      <c r="AB28" s="696">
        <f t="shared" ref="AB28:AE28" si="401">AB26-AB27</f>
        <v>7.5082744963578252E-2</v>
      </c>
      <c r="AC28" s="696">
        <f t="shared" si="401"/>
        <v>4.1027631278024446E-2</v>
      </c>
      <c r="AD28" s="697">
        <f t="shared" si="401"/>
        <v>4.3583601584109344E-2</v>
      </c>
      <c r="AE28" s="732">
        <f t="shared" si="401"/>
        <v>2.6961769938044222E-2</v>
      </c>
      <c r="AF28" s="665"/>
      <c r="AG28" s="717">
        <f>AG26-AG27</f>
        <v>1.8502370701400705E-2</v>
      </c>
      <c r="AH28" s="696">
        <f t="shared" ref="AH28:AK28" si="402">AH26-AH27</f>
        <v>9.7826723683438477E-3</v>
      </c>
      <c r="AI28" s="696">
        <f t="shared" si="402"/>
        <v>-6.2244945510708805E-3</v>
      </c>
      <c r="AJ28" s="697">
        <f t="shared" si="402"/>
        <v>-1.9645241274079739E-2</v>
      </c>
      <c r="AK28" s="732">
        <f t="shared" si="402"/>
        <v>4.9278983757861106E-4</v>
      </c>
      <c r="AL28" s="665"/>
      <c r="AM28" s="717">
        <f>AM26-AM27</f>
        <v>2.7309575407336029E-2</v>
      </c>
      <c r="AN28" s="696">
        <f t="shared" ref="AN28:AQ28" si="403">AN26-AN27</f>
        <v>3.2924675458612107E-2</v>
      </c>
      <c r="AO28" s="696">
        <f t="shared" si="403"/>
        <v>-4.1466257586516453E-2</v>
      </c>
      <c r="AP28" s="697">
        <f t="shared" si="403"/>
        <v>-4.0252247417149611E-4</v>
      </c>
      <c r="AQ28" s="732">
        <f t="shared" si="403"/>
        <v>4.8773773275752053E-3</v>
      </c>
      <c r="AR28" s="665"/>
      <c r="AS28" s="717">
        <f>AS26-AS27</f>
        <v>-2.6635675267431047E-2</v>
      </c>
      <c r="AT28" s="696">
        <f t="shared" ref="AT28:AW28" si="404">AT26-AT27</f>
        <v>-0.13884555382215291</v>
      </c>
      <c r="AU28" s="696">
        <f t="shared" si="404"/>
        <v>-4.0450631779044954E-2</v>
      </c>
      <c r="AV28" s="697">
        <f t="shared" si="404"/>
        <v>-4.0268456375838202E-3</v>
      </c>
      <c r="AW28" s="732">
        <f t="shared" si="404"/>
        <v>-5.4014579265887486E-2</v>
      </c>
      <c r="AX28" s="665"/>
      <c r="AY28" s="717">
        <f>AY26-AY27</f>
        <v>6.488294314381271E-2</v>
      </c>
      <c r="AZ28" s="696">
        <f t="shared" ref="AZ28:BC28" si="405">AZ26-AZ27</f>
        <v>7.9710144927536142E-2</v>
      </c>
      <c r="BA28" s="696">
        <f t="shared" si="405"/>
        <v>5.0983248361251565E-3</v>
      </c>
      <c r="BB28" s="697">
        <f t="shared" si="405"/>
        <v>-1.6172506738544534E-2</v>
      </c>
      <c r="BC28" s="732">
        <f t="shared" si="405"/>
        <v>3.3147243545010419E-2</v>
      </c>
      <c r="BD28" s="665"/>
      <c r="BE28" s="717">
        <f>BE26-BE27</f>
        <v>-6.4070351758793942E-2</v>
      </c>
      <c r="BF28" s="696">
        <f t="shared" ref="BF28:BI28" si="406">BF26-BF27</f>
        <v>4.6979865771812124E-2</v>
      </c>
      <c r="BG28" s="696">
        <f t="shared" si="406"/>
        <v>2.8985507246376718E-2</v>
      </c>
      <c r="BH28" s="697">
        <f t="shared" si="406"/>
        <v>4.7945205479452024E-2</v>
      </c>
      <c r="BI28" s="732">
        <f t="shared" si="406"/>
        <v>1.3171225937183229E-2</v>
      </c>
      <c r="BJ28" s="665"/>
      <c r="BK28" s="717">
        <f>BK26-BK27</f>
        <v>3.3557046979865834E-2</v>
      </c>
      <c r="BL28" s="696">
        <f t="shared" ref="BL28" si="407">BL26-BL27</f>
        <v>0.10897435897435903</v>
      </c>
      <c r="BM28" s="696">
        <f t="shared" ref="BM28" si="408">BM26-BM27</f>
        <v>2.1126760563380254E-2</v>
      </c>
      <c r="BN28" s="697">
        <f t="shared" ref="BN28" si="409">BN26-BN27</f>
        <v>-1.3071895424836555E-2</v>
      </c>
      <c r="BO28" s="732">
        <f t="shared" ref="BO28" si="410">BO26-BO27</f>
        <v>3.833333333333333E-2</v>
      </c>
      <c r="BP28" s="665"/>
      <c r="BQ28" s="717">
        <f>BQ26-BQ27</f>
        <v>8.4415584415584499E-2</v>
      </c>
      <c r="BR28" s="673">
        <v>1.4999999999999999E-2</v>
      </c>
      <c r="BS28" s="673">
        <v>4.4999999999999998E-2</v>
      </c>
      <c r="BT28" s="674">
        <v>5.5E-2</v>
      </c>
      <c r="BU28" s="732">
        <f t="shared" ref="BU28" si="411">BU26-BU27</f>
        <v>4.8836276083467078E-2</v>
      </c>
      <c r="BV28" s="665"/>
      <c r="BW28" s="672">
        <v>0.03</v>
      </c>
      <c r="BX28" s="673">
        <f>BW28</f>
        <v>0.03</v>
      </c>
      <c r="BY28" s="673">
        <f>BX28</f>
        <v>0.03</v>
      </c>
      <c r="BZ28" s="674">
        <f>BY28</f>
        <v>0.03</v>
      </c>
      <c r="CA28" s="732">
        <f t="shared" ref="CA28" si="412">CA26-CA27</f>
        <v>3.0000000000000027E-2</v>
      </c>
      <c r="CB28" s="665"/>
      <c r="CC28" s="672">
        <v>0.03</v>
      </c>
      <c r="CD28" s="673">
        <f>CC28</f>
        <v>0.03</v>
      </c>
      <c r="CE28" s="673">
        <f>CD28</f>
        <v>0.03</v>
      </c>
      <c r="CF28" s="674">
        <f>CE28</f>
        <v>0.03</v>
      </c>
      <c r="CG28" s="732">
        <f t="shared" ref="CG28" si="413">CG26-CG27</f>
        <v>3.0000000000000027E-2</v>
      </c>
      <c r="CH28" s="665"/>
      <c r="CI28" s="672">
        <v>0.03</v>
      </c>
      <c r="CJ28" s="673">
        <f>CI28</f>
        <v>0.03</v>
      </c>
      <c r="CK28" s="673">
        <f>CJ28</f>
        <v>0.03</v>
      </c>
      <c r="CL28" s="674">
        <f>CK28</f>
        <v>0.03</v>
      </c>
      <c r="CM28" s="732">
        <f t="shared" ref="CM28" si="414">CM26-CM27</f>
        <v>3.0000000000000027E-2</v>
      </c>
    </row>
    <row r="29" spans="1:91" s="25" customFormat="1" ht="11.25" hidden="1" outlineLevel="1" x14ac:dyDescent="0.2">
      <c r="A29" s="694" t="s">
        <v>8</v>
      </c>
      <c r="B29" s="665"/>
      <c r="C29" s="720">
        <v>91.132000000000005</v>
      </c>
      <c r="D29" s="655">
        <v>94.620999999999995</v>
      </c>
      <c r="E29" s="655">
        <v>96.817999999999998</v>
      </c>
      <c r="F29" s="721">
        <v>102.869</v>
      </c>
      <c r="G29" s="735">
        <v>385.44</v>
      </c>
      <c r="H29" s="702"/>
      <c r="I29" s="720">
        <v>115.09399999999999</v>
      </c>
      <c r="J29" s="655">
        <v>115.96599999999999</v>
      </c>
      <c r="K29" s="655">
        <v>126.959</v>
      </c>
      <c r="L29" s="676">
        <v>130.79900000000001</v>
      </c>
      <c r="M29" s="733">
        <f>SUM(I29:L29)</f>
        <v>488.81799999999998</v>
      </c>
      <c r="N29" s="665"/>
      <c r="O29" s="669">
        <v>123.699</v>
      </c>
      <c r="P29" s="657">
        <v>123.498</v>
      </c>
      <c r="Q29" s="657">
        <v>130.578</v>
      </c>
      <c r="R29" s="676">
        <v>136.22399999999999</v>
      </c>
      <c r="S29" s="733">
        <f>SUM(O29:R29)</f>
        <v>513.99900000000002</v>
      </c>
      <c r="T29" s="665"/>
      <c r="U29" s="669">
        <v>141.339</v>
      </c>
      <c r="V29" s="657">
        <v>125.093</v>
      </c>
      <c r="W29" s="657">
        <v>128.44999999999999</v>
      </c>
      <c r="X29" s="676">
        <v>139.322</v>
      </c>
      <c r="Y29" s="733">
        <f>SUM(U29:X29)</f>
        <v>534.20399999999995</v>
      </c>
      <c r="Z29" s="665"/>
      <c r="AA29" s="669">
        <v>142.30199999999999</v>
      </c>
      <c r="AB29" s="657">
        <v>145.46899999999999</v>
      </c>
      <c r="AC29" s="657">
        <v>150.82</v>
      </c>
      <c r="AD29" s="676">
        <v>161.40100000000001</v>
      </c>
      <c r="AE29" s="733">
        <f>SUM(AA29:AD29)</f>
        <v>599.99199999999996</v>
      </c>
      <c r="AF29" s="665"/>
      <c r="AG29" s="669">
        <v>154.613</v>
      </c>
      <c r="AH29" s="657">
        <v>151.56399999999999</v>
      </c>
      <c r="AI29" s="657">
        <v>159.518</v>
      </c>
      <c r="AJ29" s="676">
        <v>168.48</v>
      </c>
      <c r="AK29" s="733">
        <f>SUM(AG29:AJ29)</f>
        <v>634.17500000000007</v>
      </c>
      <c r="AL29" s="665"/>
      <c r="AM29" s="669">
        <v>163.56700000000001</v>
      </c>
      <c r="AN29" s="657">
        <v>168.65899999999999</v>
      </c>
      <c r="AO29" s="657">
        <v>167.15299999999999</v>
      </c>
      <c r="AP29" s="676">
        <v>189</v>
      </c>
      <c r="AQ29" s="733">
        <f>SUM(AM29:AP29)</f>
        <v>688.37900000000002</v>
      </c>
      <c r="AR29" s="665"/>
      <c r="AS29" s="669">
        <v>175.4</v>
      </c>
      <c r="AT29" s="657">
        <v>173</v>
      </c>
      <c r="AU29" s="657">
        <v>177.9</v>
      </c>
      <c r="AV29" s="676">
        <v>202.4</v>
      </c>
      <c r="AW29" s="733">
        <f>SUM(AS29:AV29)</f>
        <v>728.69999999999993</v>
      </c>
      <c r="AX29" s="665"/>
      <c r="AY29" s="669">
        <v>178.6</v>
      </c>
      <c r="AZ29" s="657">
        <v>169</v>
      </c>
      <c r="BA29" s="657">
        <v>164</v>
      </c>
      <c r="BB29" s="676">
        <v>196</v>
      </c>
      <c r="BC29" s="733">
        <f>SUM(AY29:BB29)</f>
        <v>707.6</v>
      </c>
      <c r="BD29" s="665"/>
      <c r="BE29" s="669">
        <v>164</v>
      </c>
      <c r="BF29" s="657">
        <v>163</v>
      </c>
      <c r="BG29" s="657">
        <v>185</v>
      </c>
      <c r="BH29" s="676">
        <v>189</v>
      </c>
      <c r="BI29" s="733">
        <f>SUM(BE29:BH29)</f>
        <v>701</v>
      </c>
      <c r="BJ29" s="665"/>
      <c r="BK29" s="669">
        <v>179</v>
      </c>
      <c r="BL29" s="657">
        <v>178</v>
      </c>
      <c r="BM29" s="657">
        <v>191</v>
      </c>
      <c r="BN29" s="676">
        <v>208</v>
      </c>
      <c r="BO29" s="733">
        <f>SUM(BK29:BN29)</f>
        <v>756</v>
      </c>
      <c r="BP29" s="665"/>
      <c r="BQ29" s="669">
        <v>214</v>
      </c>
      <c r="BR29" s="666">
        <f t="shared" ref="BR29" si="415">BL29*(1+BR30)</f>
        <v>205.37631852130068</v>
      </c>
      <c r="BS29" s="666">
        <f t="shared" ref="BS29" si="416">BM29*(1+BS30)</f>
        <v>225.66335547814998</v>
      </c>
      <c r="BT29" s="667">
        <f t="shared" ref="BT29" si="417">BN29*(1+BT30)</f>
        <v>221.98262579061702</v>
      </c>
      <c r="BU29" s="733">
        <f>SUM(BQ29:BT29)</f>
        <v>867.02229979006768</v>
      </c>
      <c r="BV29" s="665"/>
      <c r="BW29" s="718">
        <f>BQ29*(1+BW30)</f>
        <v>238.36857227502929</v>
      </c>
      <c r="BX29" s="666">
        <f t="shared" ref="BX29" si="418">BR29*(1+BX30)</f>
        <v>216.84301746850559</v>
      </c>
      <c r="BY29" s="666">
        <f t="shared" ref="BY29" si="419">BS29*(1+BY30)</f>
        <v>236.94652325205749</v>
      </c>
      <c r="BZ29" s="667">
        <f t="shared" ref="BZ29" si="420">BT29*(1+BZ30)</f>
        <v>233.0817570801479</v>
      </c>
      <c r="CA29" s="733">
        <f>SUM(BW29:BZ29)</f>
        <v>925.23987007574021</v>
      </c>
      <c r="CB29" s="665"/>
      <c r="CC29" s="718">
        <f>BW29*(1+CC30)</f>
        <v>250.28700088878077</v>
      </c>
      <c r="CD29" s="666">
        <f t="shared" ref="CD29" si="421">BX29*(1+CD30)</f>
        <v>227.68516834193088</v>
      </c>
      <c r="CE29" s="666">
        <f t="shared" ref="CE29" si="422">BY29*(1+CE30)</f>
        <v>248.79384941466037</v>
      </c>
      <c r="CF29" s="667">
        <f t="shared" ref="CF29" si="423">BZ29*(1+CF30)</f>
        <v>244.7358449341553</v>
      </c>
      <c r="CG29" s="733">
        <f>SUM(CC29:CF29)</f>
        <v>971.50186357952725</v>
      </c>
      <c r="CH29" s="665"/>
      <c r="CI29" s="718">
        <f>CC29*(1+CI30)</f>
        <v>262.80135093321979</v>
      </c>
      <c r="CJ29" s="666">
        <f t="shared" ref="CJ29" si="424">CD29*(1+CJ30)</f>
        <v>239.06942675902744</v>
      </c>
      <c r="CK29" s="666">
        <f t="shared" ref="CK29" si="425">CE29*(1+CK30)</f>
        <v>261.23354188539338</v>
      </c>
      <c r="CL29" s="667">
        <f t="shared" ref="CL29" si="426">CF29*(1+CL30)</f>
        <v>256.97263718086305</v>
      </c>
      <c r="CM29" s="733">
        <f>SUM(CI29:CL29)</f>
        <v>1020.0769567585037</v>
      </c>
    </row>
    <row r="30" spans="1:91" s="25" customFormat="1" ht="11.25" hidden="1" outlineLevel="1" x14ac:dyDescent="0.2">
      <c r="A30" s="695" t="s">
        <v>5</v>
      </c>
      <c r="B30" s="665"/>
      <c r="C30" s="722">
        <v>-0.1716251715706324</v>
      </c>
      <c r="D30" s="703">
        <v>-5.5491912684316747E-3</v>
      </c>
      <c r="E30" s="703">
        <v>0.12681269057982814</v>
      </c>
      <c r="F30" s="723">
        <v>0.15422332929401739</v>
      </c>
      <c r="G30" s="736">
        <v>1.3760888776669589E-2</v>
      </c>
      <c r="H30" s="704"/>
      <c r="I30" s="724">
        <f t="shared" ref="I30:AJ30" si="427">I29/C29-1</f>
        <v>0.26293727779484688</v>
      </c>
      <c r="J30" s="704">
        <f t="shared" si="427"/>
        <v>0.22558417264666408</v>
      </c>
      <c r="K30" s="704">
        <f t="shared" si="427"/>
        <v>0.31131607758887814</v>
      </c>
      <c r="L30" s="697">
        <f t="shared" si="427"/>
        <v>0.27151036755485136</v>
      </c>
      <c r="M30" s="732">
        <f t="shared" si="427"/>
        <v>0.26820776255707757</v>
      </c>
      <c r="N30" s="696"/>
      <c r="O30" s="717">
        <f t="shared" si="427"/>
        <v>7.4764974716318822E-2</v>
      </c>
      <c r="P30" s="696">
        <f t="shared" si="427"/>
        <v>6.4950071572702495E-2</v>
      </c>
      <c r="Q30" s="696">
        <f t="shared" si="427"/>
        <v>2.8505265479406683E-2</v>
      </c>
      <c r="R30" s="697">
        <f t="shared" si="427"/>
        <v>4.147585226186723E-2</v>
      </c>
      <c r="S30" s="732">
        <f t="shared" si="427"/>
        <v>5.1514060447855892E-2</v>
      </c>
      <c r="T30" s="696"/>
      <c r="U30" s="717">
        <f t="shared" si="427"/>
        <v>0.14260422477142098</v>
      </c>
      <c r="V30" s="696">
        <f t="shared" si="427"/>
        <v>1.2915188909941921E-2</v>
      </c>
      <c r="W30" s="696">
        <f t="shared" si="427"/>
        <v>-1.6296772810121318E-2</v>
      </c>
      <c r="X30" s="697">
        <f t="shared" si="427"/>
        <v>2.2741954428000977E-2</v>
      </c>
      <c r="Y30" s="732">
        <f t="shared" si="427"/>
        <v>3.9309414998861758E-2</v>
      </c>
      <c r="Z30" s="696"/>
      <c r="AA30" s="717">
        <f t="shared" si="427"/>
        <v>6.8134060662661255E-3</v>
      </c>
      <c r="AB30" s="696">
        <f t="shared" si="427"/>
        <v>0.16288681221171442</v>
      </c>
      <c r="AC30" s="696">
        <f t="shared" si="427"/>
        <v>0.17415336706889839</v>
      </c>
      <c r="AD30" s="697">
        <f t="shared" si="427"/>
        <v>0.15847461276754582</v>
      </c>
      <c r="AE30" s="732">
        <f t="shared" si="427"/>
        <v>0.1231514552493056</v>
      </c>
      <c r="AF30" s="696"/>
      <c r="AG30" s="717">
        <f t="shared" si="427"/>
        <v>8.6513190257340167E-2</v>
      </c>
      <c r="AH30" s="696">
        <f t="shared" si="427"/>
        <v>4.1898961290721681E-2</v>
      </c>
      <c r="AI30" s="696">
        <f t="shared" si="427"/>
        <v>5.7671396366529626E-2</v>
      </c>
      <c r="AJ30" s="697">
        <f t="shared" si="427"/>
        <v>4.3859703471477829E-2</v>
      </c>
      <c r="AK30" s="732">
        <f>AK29/AE29-1</f>
        <v>5.6972426299017442E-2</v>
      </c>
      <c r="AL30" s="696"/>
      <c r="AM30" s="717">
        <f>AM29/AG29-1</f>
        <v>5.7912335961400441E-2</v>
      </c>
      <c r="AN30" s="696">
        <f>AN29/AH29-1</f>
        <v>0.11279063629885733</v>
      </c>
      <c r="AO30" s="696">
        <f>AO29/AI29-1</f>
        <v>4.7862937098007707E-2</v>
      </c>
      <c r="AP30" s="697">
        <f>AP29/AJ29-1</f>
        <v>0.12179487179487181</v>
      </c>
      <c r="AQ30" s="732">
        <f>AQ29/AK29-1</f>
        <v>8.5471675799266622E-2</v>
      </c>
      <c r="AR30" s="696"/>
      <c r="AS30" s="717">
        <f>AS29/AM29-1</f>
        <v>7.2343443359601967E-2</v>
      </c>
      <c r="AT30" s="696">
        <f>AT29/AN29-1</f>
        <v>2.5738324074019214E-2</v>
      </c>
      <c r="AU30" s="696">
        <f>AU29/AO29-1</f>
        <v>6.4294388972977012E-2</v>
      </c>
      <c r="AV30" s="697">
        <f>AV29/AP29-1</f>
        <v>7.0899470899471018E-2</v>
      </c>
      <c r="AW30" s="732">
        <f>AW29/AQ29-1</f>
        <v>5.857383795845017E-2</v>
      </c>
      <c r="AX30" s="696"/>
      <c r="AY30" s="717">
        <f>AY29/AS29-1</f>
        <v>1.8244013683010207E-2</v>
      </c>
      <c r="AZ30" s="696">
        <f>AZ29/AT29-1</f>
        <v>-2.3121387283236983E-2</v>
      </c>
      <c r="BA30" s="696">
        <f>BA29/AU29-1</f>
        <v>-7.8133783024170955E-2</v>
      </c>
      <c r="BB30" s="697">
        <f>BB29/AV29-1</f>
        <v>-3.1620553359683834E-2</v>
      </c>
      <c r="BC30" s="732">
        <f>BC29/AW29-1</f>
        <v>-2.895567448881553E-2</v>
      </c>
      <c r="BD30" s="665"/>
      <c r="BE30" s="717">
        <f>BE29/AY29-1</f>
        <v>-8.1746920492721142E-2</v>
      </c>
      <c r="BF30" s="696">
        <f>BF29/AZ29-1</f>
        <v>-3.5502958579881616E-2</v>
      </c>
      <c r="BG30" s="696">
        <f>BG29/BA29-1</f>
        <v>0.12804878048780477</v>
      </c>
      <c r="BH30" s="697">
        <f>BH29/BB29-1</f>
        <v>-3.5714285714285698E-2</v>
      </c>
      <c r="BI30" s="732">
        <f>BI29/BC29-1</f>
        <v>-9.3273035613341548E-3</v>
      </c>
      <c r="BJ30" s="665"/>
      <c r="BK30" s="717">
        <f>BK29/BE29-1</f>
        <v>9.1463414634146423E-2</v>
      </c>
      <c r="BL30" s="696">
        <f t="shared" ref="BL30" si="428">BL29/BF29-1</f>
        <v>9.2024539877300526E-2</v>
      </c>
      <c r="BM30" s="696">
        <f t="shared" ref="BM30" si="429">BM29/BG29-1</f>
        <v>3.2432432432432323E-2</v>
      </c>
      <c r="BN30" s="697">
        <f t="shared" ref="BN30" si="430">BN29/BH29-1</f>
        <v>0.10052910052910047</v>
      </c>
      <c r="BO30" s="732">
        <f t="shared" ref="BO30" si="431">BO29/BI29-1</f>
        <v>7.8459343794579084E-2</v>
      </c>
      <c r="BP30" s="665"/>
      <c r="BQ30" s="717">
        <f>BQ29/BK29-1</f>
        <v>0.1955307262569832</v>
      </c>
      <c r="BR30" s="696">
        <f t="shared" ref="BR30" si="432">BR32+BR31</f>
        <v>0.15379954225449829</v>
      </c>
      <c r="BS30" s="696">
        <f t="shared" ref="BS30" si="433">BS32+BS31</f>
        <v>0.18148353653481675</v>
      </c>
      <c r="BT30" s="697">
        <f t="shared" ref="BT30" si="434">BT32+BT31</f>
        <v>6.7224162454889491E-2</v>
      </c>
      <c r="BU30" s="732">
        <f t="shared" ref="BU30" si="435">BU29/BO29-1</f>
        <v>0.14685489390220585</v>
      </c>
      <c r="BV30" s="665"/>
      <c r="BW30" s="717">
        <f>BW32+BW31</f>
        <v>0.11387183306088458</v>
      </c>
      <c r="BX30" s="696">
        <f t="shared" ref="BX30" si="436">BX32+BX31</f>
        <v>5.5832624860376212E-2</v>
      </c>
      <c r="BY30" s="696">
        <f t="shared" ref="BY30" si="437">BY32+BY31</f>
        <v>0.05</v>
      </c>
      <c r="BZ30" s="697">
        <f t="shared" ref="BZ30" si="438">BZ32+BZ31</f>
        <v>0.05</v>
      </c>
      <c r="CA30" s="732">
        <f t="shared" ref="CA30" si="439">CA29/BU29-1</f>
        <v>6.7146566241455208E-2</v>
      </c>
      <c r="CB30" s="665"/>
      <c r="CC30" s="717">
        <f>CC32+CC31</f>
        <v>0.05</v>
      </c>
      <c r="CD30" s="696">
        <f t="shared" ref="CD30" si="440">CD32+CD31</f>
        <v>0.05</v>
      </c>
      <c r="CE30" s="696">
        <f t="shared" ref="CE30" si="441">CE32+CE31</f>
        <v>0.05</v>
      </c>
      <c r="CF30" s="697">
        <f t="shared" ref="CF30" si="442">CF32+CF31</f>
        <v>0.05</v>
      </c>
      <c r="CG30" s="732">
        <f t="shared" ref="CG30" si="443">CG29/CA29-1</f>
        <v>5.0000000000000044E-2</v>
      </c>
      <c r="CH30" s="665"/>
      <c r="CI30" s="717">
        <f>CI32+CI31</f>
        <v>0.05</v>
      </c>
      <c r="CJ30" s="696">
        <f t="shared" ref="CJ30" si="444">CJ32+CJ31</f>
        <v>0.05</v>
      </c>
      <c r="CK30" s="696">
        <f t="shared" ref="CK30" si="445">CK32+CK31</f>
        <v>0.05</v>
      </c>
      <c r="CL30" s="697">
        <f t="shared" ref="CL30" si="446">CL32+CL31</f>
        <v>0.05</v>
      </c>
      <c r="CM30" s="732">
        <f t="shared" ref="CM30" si="447">CM29/CG29-1</f>
        <v>5.0000000000000044E-2</v>
      </c>
    </row>
    <row r="31" spans="1:91" s="25" customFormat="1" ht="11.25" hidden="1" outlineLevel="1" x14ac:dyDescent="0.2">
      <c r="A31" s="695" t="s">
        <v>9</v>
      </c>
      <c r="B31" s="665"/>
      <c r="C31" s="722">
        <v>2.1000000000000001E-2</v>
      </c>
      <c r="D31" s="703">
        <v>3.6999999999999998E-2</v>
      </c>
      <c r="E31" s="703">
        <v>0.05</v>
      </c>
      <c r="F31" s="723">
        <v>5.0999999999999997E-2</v>
      </c>
      <c r="G31" s="736">
        <v>3.9E-2</v>
      </c>
      <c r="H31" s="702"/>
      <c r="I31" s="722">
        <v>0.104</v>
      </c>
      <c r="J31" s="703">
        <v>9.5000000000000001E-2</v>
      </c>
      <c r="K31" s="703">
        <v>0.127</v>
      </c>
      <c r="L31" s="674">
        <v>8.5000000000000006E-2</v>
      </c>
      <c r="M31" s="671">
        <v>0.10199999999999999</v>
      </c>
      <c r="N31" s="665"/>
      <c r="O31" s="672">
        <v>-4.4999999999999998E-2</v>
      </c>
      <c r="P31" s="673">
        <v>-0.05</v>
      </c>
      <c r="Q31" s="673">
        <v>-0.10100000000000001</v>
      </c>
      <c r="R31" s="674">
        <v>-4.5999999999999999E-2</v>
      </c>
      <c r="S31" s="671">
        <v>-0.06</v>
      </c>
      <c r="T31" s="665"/>
      <c r="U31" s="672">
        <v>4.2999999999999997E-2</v>
      </c>
      <c r="V31" s="673">
        <v>-1.1299999999999999E-2</v>
      </c>
      <c r="W31" s="673">
        <v>-1.0999999999999999E-2</v>
      </c>
      <c r="X31" s="674">
        <v>-1.7999999999999999E-2</v>
      </c>
      <c r="Y31" s="671">
        <v>0</v>
      </c>
      <c r="Z31" s="665"/>
      <c r="AA31" s="672">
        <v>0.01</v>
      </c>
      <c r="AB31" s="673">
        <v>5.6000000000000001E-2</v>
      </c>
      <c r="AC31" s="673">
        <v>9.9000000000000005E-2</v>
      </c>
      <c r="AD31" s="674">
        <v>9.6000000000000002E-2</v>
      </c>
      <c r="AE31" s="732">
        <f>SUMPRODUCT(AA31:AD31,U29:X29)/Y29</f>
        <v>6.4600901528255136E-2</v>
      </c>
      <c r="AF31" s="665"/>
      <c r="AG31" s="672">
        <v>5.0000000000000001E-3</v>
      </c>
      <c r="AH31" s="673">
        <v>-1.2999999999999999E-2</v>
      </c>
      <c r="AI31" s="673">
        <v>-5.0999999999999997E-2</v>
      </c>
      <c r="AJ31" s="674">
        <v>-8.3000000000000004E-2</v>
      </c>
      <c r="AK31" s="732">
        <f>SUMPRODUCT(AG31:AJ31,AA29:AD29)/AE29</f>
        <v>-3.7113311510820146E-2</v>
      </c>
      <c r="AL31" s="665"/>
      <c r="AM31" s="672">
        <v>-2.1000000000000001E-2</v>
      </c>
      <c r="AN31" s="673">
        <v>-1.0999999999999999E-2</v>
      </c>
      <c r="AO31" s="673">
        <v>-3.9E-2</v>
      </c>
      <c r="AP31" s="674">
        <v>-2.5999999999999999E-2</v>
      </c>
      <c r="AQ31" s="732">
        <f>SUMPRODUCT(AM31:AP31,AG29:AJ29)/AK29</f>
        <v>-2.4466052745693221E-2</v>
      </c>
      <c r="AR31" s="665"/>
      <c r="AS31" s="672">
        <v>-0.03</v>
      </c>
      <c r="AT31" s="673">
        <v>-3.6999999999999998E-2</v>
      </c>
      <c r="AU31" s="673">
        <v>4.0000000000000001E-3</v>
      </c>
      <c r="AV31" s="674">
        <v>-2E-3</v>
      </c>
      <c r="AW31" s="732">
        <f>SUMPRODUCT(AS31:AV31,AM29:AP29)/AQ29</f>
        <v>-1.5771516853361301E-2</v>
      </c>
      <c r="AX31" s="665"/>
      <c r="AY31" s="672">
        <v>-7.0999999999999994E-2</v>
      </c>
      <c r="AZ31" s="673">
        <v>-0.10299999999999999</v>
      </c>
      <c r="BA31" s="673">
        <f>-25/AU29</f>
        <v>-0.1405283867341203</v>
      </c>
      <c r="BB31" s="674">
        <f>-29/AV29</f>
        <v>-0.1432806324110672</v>
      </c>
      <c r="BC31" s="732">
        <f>SUMPRODUCT(AY31:BB31,AS29:AV29)/AW29</f>
        <v>-0.11564759160148211</v>
      </c>
      <c r="BD31" s="665"/>
      <c r="BE31" s="672">
        <f>-21.8/AY29</f>
        <v>-0.12206047032474805</v>
      </c>
      <c r="BF31" s="673">
        <f>-13.2/AZ29</f>
        <v>-7.8106508875739639E-2</v>
      </c>
      <c r="BG31" s="673">
        <f>-4/BA29</f>
        <v>-2.4390243902439025E-2</v>
      </c>
      <c r="BH31" s="674">
        <f>-1.4/BB29</f>
        <v>-7.1428571428571426E-3</v>
      </c>
      <c r="BI31" s="732">
        <f>SUMPRODUCT(BE31:BH31,AY29:BB29)/BC29</f>
        <v>-5.7094403617863193E-2</v>
      </c>
      <c r="BJ31" s="665"/>
      <c r="BK31" s="660">
        <f>BK30-BK32</f>
        <v>4.6341463414642514E-4</v>
      </c>
      <c r="BL31" s="661">
        <f t="shared" ref="BL31" si="448">BL30-BL32</f>
        <v>-1.3975460122699471E-2</v>
      </c>
      <c r="BM31" s="661">
        <f t="shared" ref="BM31" si="449">BM30-BM32</f>
        <v>-1.756756756756768E-2</v>
      </c>
      <c r="BN31" s="662">
        <f t="shared" ref="BN31" si="450">BN30-BN32</f>
        <v>-6.4708994708995299E-3</v>
      </c>
      <c r="BO31" s="732">
        <f>SUMPRODUCT(BK31:BN31,BE29:BH29)/BI29</f>
        <v>-9.5221112696148823E-3</v>
      </c>
      <c r="BP31" s="665"/>
      <c r="BQ31" s="660">
        <f>BQ30-BQ32</f>
        <v>3.3530726256983195E-2</v>
      </c>
      <c r="BR31" s="698">
        <v>0.1162995422544983</v>
      </c>
      <c r="BS31" s="698">
        <v>9.1483536534816737E-2</v>
      </c>
      <c r="BT31" s="742">
        <v>3.7224162454889499E-2</v>
      </c>
      <c r="BU31" s="732">
        <f>SUMPRODUCT(BQ31:BT31,BK29:BN29)/BO29</f>
        <v>6.8676322473634518E-2</v>
      </c>
      <c r="BV31" s="665"/>
      <c r="BW31" s="743">
        <v>6.3871833060884578E-2</v>
      </c>
      <c r="BX31" s="698">
        <v>5.8326248603762093E-3</v>
      </c>
      <c r="BY31" s="698">
        <v>0</v>
      </c>
      <c r="BZ31" s="742">
        <v>0</v>
      </c>
      <c r="CA31" s="732">
        <f>SUMPRODUCT(BW31:BZ31,BQ29:BT29)/BU29</f>
        <v>1.714656624145515E-2</v>
      </c>
      <c r="CB31" s="665"/>
      <c r="CC31" s="743">
        <v>0</v>
      </c>
      <c r="CD31" s="698">
        <v>0</v>
      </c>
      <c r="CE31" s="698">
        <v>0</v>
      </c>
      <c r="CF31" s="742">
        <v>0</v>
      </c>
      <c r="CG31" s="732">
        <f>SUMPRODUCT(CC31:CF31,BW29:BZ29)/CA29</f>
        <v>0</v>
      </c>
      <c r="CH31" s="665"/>
      <c r="CI31" s="743">
        <v>0</v>
      </c>
      <c r="CJ31" s="698">
        <v>0</v>
      </c>
      <c r="CK31" s="698">
        <v>0</v>
      </c>
      <c r="CL31" s="742">
        <v>0</v>
      </c>
      <c r="CM31" s="732">
        <f>SUMPRODUCT(CI31:CL31,CC29:CF29)/CG29</f>
        <v>0</v>
      </c>
    </row>
    <row r="32" spans="1:91" s="25" customFormat="1" ht="11.25" hidden="1" outlineLevel="1" x14ac:dyDescent="0.2">
      <c r="A32" s="695" t="s">
        <v>10</v>
      </c>
      <c r="B32" s="665"/>
      <c r="C32" s="724">
        <f>C30-C31</f>
        <v>-0.19262517157063239</v>
      </c>
      <c r="D32" s="704">
        <f t="shared" ref="D32" si="451">D30-D31</f>
        <v>-4.2549191268431673E-2</v>
      </c>
      <c r="E32" s="704">
        <f t="shared" ref="E32" si="452">E30-E31</f>
        <v>7.6812690579828133E-2</v>
      </c>
      <c r="F32" s="725">
        <f t="shared" ref="F32" si="453">F30-F31</f>
        <v>0.1032233292940174</v>
      </c>
      <c r="G32" s="737">
        <f t="shared" ref="G32" si="454">G30-G31</f>
        <v>-2.5239111223330411E-2</v>
      </c>
      <c r="H32" s="702"/>
      <c r="I32" s="724">
        <f>I30-I31</f>
        <v>0.1589372777948469</v>
      </c>
      <c r="J32" s="704">
        <f t="shared" ref="J32" si="455">J30-J31</f>
        <v>0.13058417264666408</v>
      </c>
      <c r="K32" s="704">
        <f t="shared" ref="K32" si="456">K30-K31</f>
        <v>0.18431607758887814</v>
      </c>
      <c r="L32" s="697">
        <f t="shared" ref="L32" si="457">L30-L31</f>
        <v>0.18651036755485134</v>
      </c>
      <c r="M32" s="732">
        <f t="shared" ref="M32" si="458">M30-M31</f>
        <v>0.16620776255707759</v>
      </c>
      <c r="N32" s="665"/>
      <c r="O32" s="717">
        <f>O30-O31</f>
        <v>0.11976497471631882</v>
      </c>
      <c r="P32" s="696">
        <f t="shared" ref="P32" si="459">P30-P31</f>
        <v>0.1149500715727025</v>
      </c>
      <c r="Q32" s="696">
        <f t="shared" ref="Q32" si="460">Q30-Q31</f>
        <v>0.12950526547940669</v>
      </c>
      <c r="R32" s="697">
        <f t="shared" ref="R32" si="461">R30-R31</f>
        <v>8.7475852261867229E-2</v>
      </c>
      <c r="S32" s="732">
        <f t="shared" ref="S32" si="462">S30-S31</f>
        <v>0.11151406044785589</v>
      </c>
      <c r="T32" s="665"/>
      <c r="U32" s="717">
        <f>U30-U31</f>
        <v>9.9604224771420988E-2</v>
      </c>
      <c r="V32" s="696">
        <f t="shared" ref="V32" si="463">V30-V31</f>
        <v>2.4215188909941919E-2</v>
      </c>
      <c r="W32" s="696">
        <f t="shared" ref="W32" si="464">W30-W31</f>
        <v>-5.2967728101213189E-3</v>
      </c>
      <c r="X32" s="697">
        <f t="shared" ref="X32" si="465">X30-X31</f>
        <v>4.0741954428000979E-2</v>
      </c>
      <c r="Y32" s="732">
        <f t="shared" ref="Y32" si="466">Y30-Y31</f>
        <v>3.9309414998861758E-2</v>
      </c>
      <c r="Z32" s="665"/>
      <c r="AA32" s="717">
        <f>AA30-AA31</f>
        <v>-3.1865939337338747E-3</v>
      </c>
      <c r="AB32" s="696">
        <f t="shared" ref="AB32" si="467">AB30-AB31</f>
        <v>0.10688681221171442</v>
      </c>
      <c r="AC32" s="696">
        <f t="shared" ref="AC32" si="468">AC30-AC31</f>
        <v>7.5153367068898386E-2</v>
      </c>
      <c r="AD32" s="697">
        <f t="shared" ref="AD32" si="469">AD30-AD31</f>
        <v>6.2474612767545817E-2</v>
      </c>
      <c r="AE32" s="732">
        <f t="shared" ref="AE32" si="470">AE30-AE31</f>
        <v>5.8550553721050461E-2</v>
      </c>
      <c r="AF32" s="665"/>
      <c r="AG32" s="717">
        <f>AG30-AG31</f>
        <v>8.1513190257340162E-2</v>
      </c>
      <c r="AH32" s="696">
        <f t="shared" ref="AH32" si="471">AH30-AH31</f>
        <v>5.4898961290721679E-2</v>
      </c>
      <c r="AI32" s="696">
        <f t="shared" ref="AI32" si="472">AI30-AI31</f>
        <v>0.10867139636652962</v>
      </c>
      <c r="AJ32" s="697">
        <f t="shared" ref="AJ32" si="473">AJ30-AJ31</f>
        <v>0.12685970347147785</v>
      </c>
      <c r="AK32" s="732">
        <f t="shared" ref="AK32" si="474">AK30-AK31</f>
        <v>9.4085737809837588E-2</v>
      </c>
      <c r="AL32" s="665"/>
      <c r="AM32" s="717">
        <f>AM30-AM31</f>
        <v>7.8912335961400445E-2</v>
      </c>
      <c r="AN32" s="696">
        <f t="shared" ref="AN32" si="475">AN30-AN31</f>
        <v>0.12379063629885732</v>
      </c>
      <c r="AO32" s="696">
        <f t="shared" ref="AO32" si="476">AO30-AO31</f>
        <v>8.6862937098007714E-2</v>
      </c>
      <c r="AP32" s="697">
        <f t="shared" ref="AP32" si="477">AP30-AP31</f>
        <v>0.1477948717948718</v>
      </c>
      <c r="AQ32" s="732">
        <f t="shared" ref="AQ32" si="478">AQ30-AQ31</f>
        <v>0.10993772854495984</v>
      </c>
      <c r="AR32" s="665"/>
      <c r="AS32" s="717">
        <f>AS30-AS31</f>
        <v>0.10234344335960197</v>
      </c>
      <c r="AT32" s="696">
        <f t="shared" ref="AT32" si="479">AT30-AT31</f>
        <v>6.2738324074019219E-2</v>
      </c>
      <c r="AU32" s="696">
        <f t="shared" ref="AU32" si="480">AU30-AU31</f>
        <v>6.0294388972977009E-2</v>
      </c>
      <c r="AV32" s="697">
        <f t="shared" ref="AV32" si="481">AV30-AV31</f>
        <v>7.2899470899471019E-2</v>
      </c>
      <c r="AW32" s="732">
        <f t="shared" ref="AW32" si="482">AW30-AW31</f>
        <v>7.4345354811811468E-2</v>
      </c>
      <c r="AX32" s="665"/>
      <c r="AY32" s="717">
        <f>AY30-AY31</f>
        <v>8.9244013683010201E-2</v>
      </c>
      <c r="AZ32" s="696">
        <f t="shared" ref="AZ32" si="483">AZ30-AZ31</f>
        <v>7.9878612716763012E-2</v>
      </c>
      <c r="BA32" s="696">
        <f t="shared" ref="BA32" si="484">BA30-BA31</f>
        <v>6.2394603709949342E-2</v>
      </c>
      <c r="BB32" s="697">
        <f t="shared" ref="BB32" si="485">BB30-BB31</f>
        <v>0.11166007905138337</v>
      </c>
      <c r="BC32" s="732">
        <f t="shared" ref="BC32" si="486">BC30-BC31</f>
        <v>8.6691917112666578E-2</v>
      </c>
      <c r="BD32" s="665"/>
      <c r="BE32" s="717">
        <f>BE30-BE31</f>
        <v>4.031354983202691E-2</v>
      </c>
      <c r="BF32" s="696">
        <f t="shared" ref="BF32" si="487">BF30-BF31</f>
        <v>4.2603550295858023E-2</v>
      </c>
      <c r="BG32" s="696">
        <f t="shared" ref="BG32" si="488">BG30-BG31</f>
        <v>0.15243902439024379</v>
      </c>
      <c r="BH32" s="697">
        <f t="shared" ref="BH32" si="489">BH30-BH31</f>
        <v>-2.8571428571428557E-2</v>
      </c>
      <c r="BI32" s="732">
        <f t="shared" ref="BI32" si="490">BI30-BI31</f>
        <v>4.7767100056529038E-2</v>
      </c>
      <c r="BJ32" s="665"/>
      <c r="BK32" s="672">
        <v>9.0999999999999998E-2</v>
      </c>
      <c r="BL32" s="673">
        <v>0.106</v>
      </c>
      <c r="BM32" s="673">
        <v>0.05</v>
      </c>
      <c r="BN32" s="674">
        <v>0.107</v>
      </c>
      <c r="BO32" s="732">
        <f t="shared" ref="BO32" si="491">BO30-BO31</f>
        <v>8.798145506419397E-2</v>
      </c>
      <c r="BP32" s="665"/>
      <c r="BQ32" s="672">
        <v>0.16200000000000001</v>
      </c>
      <c r="BR32" s="696">
        <f t="shared" ref="BR32" si="492">BR34+BR33</f>
        <v>3.7499999999999999E-2</v>
      </c>
      <c r="BS32" s="696">
        <f t="shared" ref="BS32" si="493">BS34+BS33</f>
        <v>0.09</v>
      </c>
      <c r="BT32" s="697">
        <f t="shared" ref="BT32" si="494">BT34+BT33</f>
        <v>0.03</v>
      </c>
      <c r="BU32" s="732">
        <f t="shared" ref="BU32" si="495">BU30-BU31</f>
        <v>7.8178571428571333E-2</v>
      </c>
      <c r="BV32" s="665"/>
      <c r="BW32" s="717">
        <f>BW34+BW33</f>
        <v>0.05</v>
      </c>
      <c r="BX32" s="696">
        <f t="shared" ref="BX32" si="496">BX34+BX33</f>
        <v>0.05</v>
      </c>
      <c r="BY32" s="696">
        <f t="shared" ref="BY32" si="497">BY34+BY33</f>
        <v>0.05</v>
      </c>
      <c r="BZ32" s="697">
        <f t="shared" ref="BZ32" si="498">BZ34+BZ33</f>
        <v>0.05</v>
      </c>
      <c r="CA32" s="732">
        <f t="shared" ref="CA32" si="499">CA30-CA31</f>
        <v>5.0000000000000058E-2</v>
      </c>
      <c r="CB32" s="665"/>
      <c r="CC32" s="717">
        <f>CC34+CC33</f>
        <v>0.05</v>
      </c>
      <c r="CD32" s="696">
        <f t="shared" ref="CD32" si="500">CD34+CD33</f>
        <v>0.05</v>
      </c>
      <c r="CE32" s="696">
        <f t="shared" ref="CE32" si="501">CE34+CE33</f>
        <v>0.05</v>
      </c>
      <c r="CF32" s="697">
        <f t="shared" ref="CF32" si="502">CF34+CF33</f>
        <v>0.05</v>
      </c>
      <c r="CG32" s="732">
        <f t="shared" ref="CG32" si="503">CG30-CG31</f>
        <v>5.0000000000000044E-2</v>
      </c>
      <c r="CH32" s="665"/>
      <c r="CI32" s="717">
        <f>CI34+CI33</f>
        <v>0.05</v>
      </c>
      <c r="CJ32" s="696">
        <f t="shared" ref="CJ32" si="504">CJ34+CJ33</f>
        <v>0.05</v>
      </c>
      <c r="CK32" s="696">
        <f t="shared" ref="CK32" si="505">CK34+CK33</f>
        <v>0.05</v>
      </c>
      <c r="CL32" s="697">
        <f t="shared" ref="CL32" si="506">CL34+CL33</f>
        <v>0.05</v>
      </c>
      <c r="CM32" s="732">
        <f t="shared" ref="CM32" si="507">CM30-CM31</f>
        <v>5.0000000000000044E-2</v>
      </c>
    </row>
    <row r="33" spans="1:91" s="25" customFormat="1" ht="11.25" hidden="1" outlineLevel="1" x14ac:dyDescent="0.2">
      <c r="A33" s="695" t="s">
        <v>6</v>
      </c>
      <c r="B33" s="665"/>
      <c r="C33" s="722"/>
      <c r="D33" s="703"/>
      <c r="E33" s="703"/>
      <c r="F33" s="723"/>
      <c r="G33" s="736"/>
      <c r="H33" s="702"/>
      <c r="I33" s="722">
        <v>0</v>
      </c>
      <c r="J33" s="703">
        <v>0</v>
      </c>
      <c r="K33" s="703">
        <v>0</v>
      </c>
      <c r="L33" s="674">
        <v>0</v>
      </c>
      <c r="M33" s="732">
        <f>SUMPRODUCT(I33:L33,C29:F29)/G29</f>
        <v>0</v>
      </c>
      <c r="N33" s="665"/>
      <c r="O33" s="672">
        <v>0</v>
      </c>
      <c r="P33" s="673">
        <v>0</v>
      </c>
      <c r="Q33" s="673">
        <v>0</v>
      </c>
      <c r="R33" s="674">
        <v>0</v>
      </c>
      <c r="S33" s="732">
        <f>SUMPRODUCT(O33:R33,I29:L29)/M29</f>
        <v>0</v>
      </c>
      <c r="T33" s="665"/>
      <c r="U33" s="672">
        <v>0</v>
      </c>
      <c r="V33" s="673">
        <v>0</v>
      </c>
      <c r="W33" s="673">
        <v>0</v>
      </c>
      <c r="X33" s="674">
        <v>0</v>
      </c>
      <c r="Y33" s="732">
        <f>SUMPRODUCT(U33:X33,O29:R29)/S29</f>
        <v>0</v>
      </c>
      <c r="Z33" s="665"/>
      <c r="AA33" s="672">
        <v>0</v>
      </c>
      <c r="AB33" s="673">
        <v>0</v>
      </c>
      <c r="AC33" s="673">
        <v>0</v>
      </c>
      <c r="AD33" s="674">
        <v>0</v>
      </c>
      <c r="AE33" s="732">
        <f>SUMPRODUCT(AA33:AD33,U29:X29)/Y29</f>
        <v>0</v>
      </c>
      <c r="AF33" s="665"/>
      <c r="AG33" s="672">
        <v>0</v>
      </c>
      <c r="AH33" s="673">
        <v>0</v>
      </c>
      <c r="AI33" s="673">
        <v>0</v>
      </c>
      <c r="AJ33" s="674">
        <v>0</v>
      </c>
      <c r="AK33" s="732">
        <f>SUMPRODUCT(AG33:AJ33,AA29:AD29)/AE29</f>
        <v>0</v>
      </c>
      <c r="AL33" s="665"/>
      <c r="AM33" s="672">
        <v>0</v>
      </c>
      <c r="AN33" s="673">
        <v>0</v>
      </c>
      <c r="AO33" s="673">
        <v>0</v>
      </c>
      <c r="AP33" s="674">
        <v>0</v>
      </c>
      <c r="AQ33" s="732">
        <f>SUMPRODUCT(AM33:AP33,AG29:AJ29)/AK29</f>
        <v>0</v>
      </c>
      <c r="AR33" s="665"/>
      <c r="AS33" s="672">
        <v>0</v>
      </c>
      <c r="AT33" s="673">
        <v>0</v>
      </c>
      <c r="AU33" s="673">
        <v>0</v>
      </c>
      <c r="AV33" s="674">
        <v>0</v>
      </c>
      <c r="AW33" s="732">
        <f>SUMPRODUCT(AS33:AV33,AM29:AP29)/AQ29</f>
        <v>0</v>
      </c>
      <c r="AX33" s="665"/>
      <c r="AY33" s="672">
        <v>0</v>
      </c>
      <c r="AZ33" s="673">
        <v>0</v>
      </c>
      <c r="BA33" s="673">
        <v>0</v>
      </c>
      <c r="BB33" s="674">
        <v>0</v>
      </c>
      <c r="BC33" s="732">
        <f>SUMPRODUCT(AY33:BB33,AS29:AV29)/AW29</f>
        <v>0</v>
      </c>
      <c r="BD33" s="665"/>
      <c r="BE33" s="672">
        <v>0</v>
      </c>
      <c r="BF33" s="673">
        <v>0</v>
      </c>
      <c r="BG33" s="673">
        <v>0</v>
      </c>
      <c r="BH33" s="674">
        <v>0</v>
      </c>
      <c r="BI33" s="732">
        <f>SUMPRODUCT(BE33:BH33,AY29:BB29)/BC29</f>
        <v>0</v>
      </c>
      <c r="BJ33" s="665"/>
      <c r="BK33" s="672">
        <v>0</v>
      </c>
      <c r="BL33" s="673">
        <v>0</v>
      </c>
      <c r="BM33" s="673">
        <v>0</v>
      </c>
      <c r="BN33" s="674">
        <v>0</v>
      </c>
      <c r="BO33" s="732">
        <f>SUMPRODUCT(BK33:BN33,BE29:BH29)/BI29</f>
        <v>0</v>
      </c>
      <c r="BP33" s="665"/>
      <c r="BQ33" s="672">
        <v>0</v>
      </c>
      <c r="BR33" s="673">
        <v>0</v>
      </c>
      <c r="BS33" s="673">
        <v>0</v>
      </c>
      <c r="BT33" s="674">
        <v>0</v>
      </c>
      <c r="BU33" s="732">
        <f>SUMPRODUCT(BQ33:BT33,BK29:BN29)/BO29</f>
        <v>0</v>
      </c>
      <c r="BV33" s="665"/>
      <c r="BW33" s="672">
        <v>0</v>
      </c>
      <c r="BX33" s="673">
        <v>0</v>
      </c>
      <c r="BY33" s="673">
        <v>0</v>
      </c>
      <c r="BZ33" s="674">
        <v>0</v>
      </c>
      <c r="CA33" s="732">
        <f>SUMPRODUCT(BW33:BZ33,BQ29:BT29)/BU29</f>
        <v>0</v>
      </c>
      <c r="CB33" s="665"/>
      <c r="CC33" s="672">
        <v>0</v>
      </c>
      <c r="CD33" s="673">
        <v>0</v>
      </c>
      <c r="CE33" s="673">
        <v>0</v>
      </c>
      <c r="CF33" s="674">
        <v>0</v>
      </c>
      <c r="CG33" s="732">
        <f>SUMPRODUCT(CC33:CF33,BW29:BZ29)/CA29</f>
        <v>0</v>
      </c>
      <c r="CH33" s="665"/>
      <c r="CI33" s="672">
        <v>0</v>
      </c>
      <c r="CJ33" s="673">
        <v>0</v>
      </c>
      <c r="CK33" s="673">
        <v>0</v>
      </c>
      <c r="CL33" s="674">
        <v>0</v>
      </c>
      <c r="CM33" s="732">
        <f>SUMPRODUCT(CI33:CL33,CC29:CF29)/CG29</f>
        <v>0</v>
      </c>
    </row>
    <row r="34" spans="1:91" s="25" customFormat="1" ht="11.25" hidden="1" outlineLevel="1" x14ac:dyDescent="0.2">
      <c r="A34" s="695" t="s">
        <v>7</v>
      </c>
      <c r="B34" s="665"/>
      <c r="C34" s="724"/>
      <c r="D34" s="704"/>
      <c r="E34" s="704"/>
      <c r="F34" s="725"/>
      <c r="G34" s="737"/>
      <c r="H34" s="702"/>
      <c r="I34" s="724">
        <f>I32-I33</f>
        <v>0.1589372777948469</v>
      </c>
      <c r="J34" s="704">
        <f t="shared" ref="J34:M34" si="508">J32-J33</f>
        <v>0.13058417264666408</v>
      </c>
      <c r="K34" s="704">
        <f t="shared" si="508"/>
        <v>0.18431607758887814</v>
      </c>
      <c r="L34" s="697">
        <f t="shared" si="508"/>
        <v>0.18651036755485134</v>
      </c>
      <c r="M34" s="732">
        <f t="shared" si="508"/>
        <v>0.16620776255707759</v>
      </c>
      <c r="N34" s="665"/>
      <c r="O34" s="717">
        <f>O32-O33</f>
        <v>0.11976497471631882</v>
      </c>
      <c r="P34" s="696">
        <f t="shared" ref="P34:S34" si="509">P32-P33</f>
        <v>0.1149500715727025</v>
      </c>
      <c r="Q34" s="696">
        <f t="shared" si="509"/>
        <v>0.12950526547940669</v>
      </c>
      <c r="R34" s="697">
        <f t="shared" si="509"/>
        <v>8.7475852261867229E-2</v>
      </c>
      <c r="S34" s="732">
        <f t="shared" si="509"/>
        <v>0.11151406044785589</v>
      </c>
      <c r="T34" s="665"/>
      <c r="U34" s="717">
        <f>U32-U33</f>
        <v>9.9604224771420988E-2</v>
      </c>
      <c r="V34" s="696">
        <f t="shared" ref="V34:Y34" si="510">V32-V33</f>
        <v>2.4215188909941919E-2</v>
      </c>
      <c r="W34" s="696">
        <f t="shared" si="510"/>
        <v>-5.2967728101213189E-3</v>
      </c>
      <c r="X34" s="697">
        <f t="shared" si="510"/>
        <v>4.0741954428000979E-2</v>
      </c>
      <c r="Y34" s="732">
        <f t="shared" si="510"/>
        <v>3.9309414998861758E-2</v>
      </c>
      <c r="Z34" s="665"/>
      <c r="AA34" s="717">
        <f>AA32-AA33</f>
        <v>-3.1865939337338747E-3</v>
      </c>
      <c r="AB34" s="696">
        <f t="shared" ref="AB34:AE34" si="511">AB32-AB33</f>
        <v>0.10688681221171442</v>
      </c>
      <c r="AC34" s="696">
        <f t="shared" si="511"/>
        <v>7.5153367068898386E-2</v>
      </c>
      <c r="AD34" s="697">
        <f t="shared" si="511"/>
        <v>6.2474612767545817E-2</v>
      </c>
      <c r="AE34" s="732">
        <f t="shared" si="511"/>
        <v>5.8550553721050461E-2</v>
      </c>
      <c r="AF34" s="665"/>
      <c r="AG34" s="717">
        <f>AG32-AG33</f>
        <v>8.1513190257340162E-2</v>
      </c>
      <c r="AH34" s="696">
        <f t="shared" ref="AH34:AK34" si="512">AH32-AH33</f>
        <v>5.4898961290721679E-2</v>
      </c>
      <c r="AI34" s="696">
        <f t="shared" si="512"/>
        <v>0.10867139636652962</v>
      </c>
      <c r="AJ34" s="697">
        <f t="shared" si="512"/>
        <v>0.12685970347147785</v>
      </c>
      <c r="AK34" s="732">
        <f t="shared" si="512"/>
        <v>9.4085737809837588E-2</v>
      </c>
      <c r="AL34" s="665"/>
      <c r="AM34" s="717">
        <f>AM32-AM33</f>
        <v>7.8912335961400445E-2</v>
      </c>
      <c r="AN34" s="696">
        <f t="shared" ref="AN34:AQ34" si="513">AN32-AN33</f>
        <v>0.12379063629885732</v>
      </c>
      <c r="AO34" s="696">
        <f t="shared" si="513"/>
        <v>8.6862937098007714E-2</v>
      </c>
      <c r="AP34" s="697">
        <f t="shared" si="513"/>
        <v>0.1477948717948718</v>
      </c>
      <c r="AQ34" s="732">
        <f t="shared" si="513"/>
        <v>0.10993772854495984</v>
      </c>
      <c r="AR34" s="665"/>
      <c r="AS34" s="717">
        <f>AS32-AS33</f>
        <v>0.10234344335960197</v>
      </c>
      <c r="AT34" s="696">
        <f t="shared" ref="AT34:AW34" si="514">AT32-AT33</f>
        <v>6.2738324074019219E-2</v>
      </c>
      <c r="AU34" s="696">
        <f t="shared" si="514"/>
        <v>6.0294388972977009E-2</v>
      </c>
      <c r="AV34" s="697">
        <f t="shared" si="514"/>
        <v>7.2899470899471019E-2</v>
      </c>
      <c r="AW34" s="732">
        <f t="shared" si="514"/>
        <v>7.4345354811811468E-2</v>
      </c>
      <c r="AX34" s="665"/>
      <c r="AY34" s="717">
        <f>AY32-AY33</f>
        <v>8.9244013683010201E-2</v>
      </c>
      <c r="AZ34" s="696">
        <f t="shared" ref="AZ34:BC34" si="515">AZ32-AZ33</f>
        <v>7.9878612716763012E-2</v>
      </c>
      <c r="BA34" s="696">
        <f t="shared" si="515"/>
        <v>6.2394603709949342E-2</v>
      </c>
      <c r="BB34" s="697">
        <f t="shared" si="515"/>
        <v>0.11166007905138337</v>
      </c>
      <c r="BC34" s="732">
        <f t="shared" si="515"/>
        <v>8.6691917112666578E-2</v>
      </c>
      <c r="BD34" s="665"/>
      <c r="BE34" s="717">
        <f>BE32-BE33</f>
        <v>4.031354983202691E-2</v>
      </c>
      <c r="BF34" s="696">
        <f t="shared" ref="BF34:BI34" si="516">BF32-BF33</f>
        <v>4.2603550295858023E-2</v>
      </c>
      <c r="BG34" s="696">
        <f t="shared" si="516"/>
        <v>0.15243902439024379</v>
      </c>
      <c r="BH34" s="697">
        <f t="shared" si="516"/>
        <v>-2.8571428571428557E-2</v>
      </c>
      <c r="BI34" s="732">
        <f t="shared" si="516"/>
        <v>4.7767100056529038E-2</v>
      </c>
      <c r="BJ34" s="665"/>
      <c r="BK34" s="717">
        <f>BK32-BK33</f>
        <v>9.0999999999999998E-2</v>
      </c>
      <c r="BL34" s="696">
        <f t="shared" ref="BL34" si="517">BL32-BL33</f>
        <v>0.106</v>
      </c>
      <c r="BM34" s="696">
        <f t="shared" ref="BM34" si="518">BM32-BM33</f>
        <v>0.05</v>
      </c>
      <c r="BN34" s="697">
        <f t="shared" ref="BN34" si="519">BN32-BN33</f>
        <v>0.107</v>
      </c>
      <c r="BO34" s="732">
        <f t="shared" ref="BO34" si="520">BO32-BO33</f>
        <v>8.798145506419397E-2</v>
      </c>
      <c r="BP34" s="665"/>
      <c r="BQ34" s="717">
        <f>BQ32-BQ33</f>
        <v>0.16200000000000001</v>
      </c>
      <c r="BR34" s="673">
        <v>3.7499999999999999E-2</v>
      </c>
      <c r="BS34" s="673">
        <v>0.09</v>
      </c>
      <c r="BT34" s="674">
        <v>0.03</v>
      </c>
      <c r="BU34" s="732">
        <f t="shared" ref="BU34" si="521">BU32-BU33</f>
        <v>7.8178571428571333E-2</v>
      </c>
      <c r="BV34" s="665"/>
      <c r="BW34" s="672">
        <v>0.05</v>
      </c>
      <c r="BX34" s="673">
        <f>BW34</f>
        <v>0.05</v>
      </c>
      <c r="BY34" s="673">
        <f>BX34</f>
        <v>0.05</v>
      </c>
      <c r="BZ34" s="674">
        <f>BY34</f>
        <v>0.05</v>
      </c>
      <c r="CA34" s="732">
        <f t="shared" ref="CA34" si="522">CA32-CA33</f>
        <v>5.0000000000000058E-2</v>
      </c>
      <c r="CB34" s="665"/>
      <c r="CC34" s="672">
        <v>0.05</v>
      </c>
      <c r="CD34" s="673">
        <f>CC34</f>
        <v>0.05</v>
      </c>
      <c r="CE34" s="673">
        <f>CD34</f>
        <v>0.05</v>
      </c>
      <c r="CF34" s="674">
        <f>CE34</f>
        <v>0.05</v>
      </c>
      <c r="CG34" s="732">
        <f t="shared" ref="CG34" si="523">CG32-CG33</f>
        <v>5.0000000000000044E-2</v>
      </c>
      <c r="CH34" s="665"/>
      <c r="CI34" s="672">
        <v>0.05</v>
      </c>
      <c r="CJ34" s="673">
        <f>CI34</f>
        <v>0.05</v>
      </c>
      <c r="CK34" s="673">
        <f>CJ34</f>
        <v>0.05</v>
      </c>
      <c r="CL34" s="674">
        <f>CK34</f>
        <v>0.05</v>
      </c>
      <c r="CM34" s="732">
        <f t="shared" ref="CM34" si="524">CM32-CM33</f>
        <v>5.0000000000000044E-2</v>
      </c>
    </row>
    <row r="35" spans="1:91" s="25" customFormat="1" ht="11.25" collapsed="1" x14ac:dyDescent="0.2">
      <c r="A35" s="694" t="s">
        <v>11</v>
      </c>
      <c r="B35" s="665"/>
      <c r="C35" s="726">
        <f>C25+C29</f>
        <v>202.328</v>
      </c>
      <c r="D35" s="705">
        <f t="shared" ref="D35:F35" si="525">D25+D29</f>
        <v>228.48399999999998</v>
      </c>
      <c r="E35" s="705">
        <f t="shared" si="525"/>
        <v>230.19200000000001</v>
      </c>
      <c r="F35" s="727">
        <f t="shared" si="525"/>
        <v>237.40899999999999</v>
      </c>
      <c r="G35" s="738">
        <f>SUM(C35:F35)</f>
        <v>898.41300000000001</v>
      </c>
      <c r="H35" s="702"/>
      <c r="I35" s="726">
        <f>I25+I29</f>
        <v>251.28199999999998</v>
      </c>
      <c r="J35" s="705">
        <f t="shared" ref="J35:L35" si="526">J25+J29</f>
        <v>256.38</v>
      </c>
      <c r="K35" s="705">
        <f t="shared" si="526"/>
        <v>262.661</v>
      </c>
      <c r="L35" s="667">
        <f t="shared" si="526"/>
        <v>265.96000000000004</v>
      </c>
      <c r="M35" s="733">
        <f>SUM(I35:L35)</f>
        <v>1036.2829999999999</v>
      </c>
      <c r="N35" s="665"/>
      <c r="O35" s="718">
        <f>O25+O29</f>
        <v>262.03699999999998</v>
      </c>
      <c r="P35" s="666">
        <f t="shared" ref="P35:R35" si="527">P25+P29</f>
        <v>261.17500000000001</v>
      </c>
      <c r="Q35" s="666">
        <f t="shared" si="527"/>
        <v>274.19200000000001</v>
      </c>
      <c r="R35" s="667">
        <f t="shared" si="527"/>
        <v>285.38400000000001</v>
      </c>
      <c r="S35" s="733">
        <f>SUM(O35:R35)</f>
        <v>1082.788</v>
      </c>
      <c r="T35" s="665"/>
      <c r="U35" s="718">
        <f>U25+U29</f>
        <v>295.30799999999999</v>
      </c>
      <c r="V35" s="666">
        <f t="shared" ref="V35:X35" si="528">V25+V29</f>
        <v>268.00200000000001</v>
      </c>
      <c r="W35" s="666">
        <f t="shared" si="528"/>
        <v>272.74299999999999</v>
      </c>
      <c r="X35" s="667">
        <f t="shared" si="528"/>
        <v>285.01900000000001</v>
      </c>
      <c r="Y35" s="733">
        <f>SUM(U35:X35)</f>
        <v>1121.0719999999999</v>
      </c>
      <c r="Z35" s="665"/>
      <c r="AA35" s="718">
        <f>AA25+AA29</f>
        <v>289.09399999999999</v>
      </c>
      <c r="AB35" s="666">
        <f t="shared" ref="AB35:AD35" si="529">AB25+AB29</f>
        <v>299.108</v>
      </c>
      <c r="AC35" s="666">
        <f t="shared" si="529"/>
        <v>301.03300000000002</v>
      </c>
      <c r="AD35" s="667">
        <f t="shared" si="529"/>
        <v>313.44799999999998</v>
      </c>
      <c r="AE35" s="733">
        <f>SUM(AA35:AD35)</f>
        <v>1202.683</v>
      </c>
      <c r="AF35" s="665"/>
      <c r="AG35" s="718">
        <f>AG25+AG29</f>
        <v>304.12099999999998</v>
      </c>
      <c r="AH35" s="666">
        <f t="shared" ref="AH35:AJ35" si="530">AH25+AH29</f>
        <v>306.70600000000002</v>
      </c>
      <c r="AI35" s="666">
        <f t="shared" si="530"/>
        <v>308.79599999999999</v>
      </c>
      <c r="AJ35" s="667">
        <f t="shared" si="530"/>
        <v>317.53999999999996</v>
      </c>
      <c r="AK35" s="733">
        <f>SUM(AG35:AJ35)</f>
        <v>1237.163</v>
      </c>
      <c r="AL35" s="665"/>
      <c r="AM35" s="718">
        <f>AM25+AM29</f>
        <v>317.15800000000002</v>
      </c>
      <c r="AN35" s="666">
        <f t="shared" ref="AN35:AP35" si="531">AN25+AN29</f>
        <v>328.90899999999999</v>
      </c>
      <c r="AO35" s="666">
        <f t="shared" si="531"/>
        <v>310.24099999999999</v>
      </c>
      <c r="AP35" s="667">
        <f t="shared" si="531"/>
        <v>338</v>
      </c>
      <c r="AQ35" s="733">
        <f>SUM(AM35:AP35)</f>
        <v>1294.308</v>
      </c>
      <c r="AR35" s="665"/>
      <c r="AS35" s="718">
        <f>AS25+AS29</f>
        <v>324.89999999999998</v>
      </c>
      <c r="AT35" s="666">
        <f t="shared" ref="AT35:AV35" si="532">AT25+AT29</f>
        <v>311</v>
      </c>
      <c r="AU35" s="666">
        <f t="shared" si="532"/>
        <v>315.20000000000005</v>
      </c>
      <c r="AV35" s="667">
        <f t="shared" si="532"/>
        <v>350.8</v>
      </c>
      <c r="AW35" s="733">
        <f>SUM(AS35:AV35)</f>
        <v>1301.9000000000001</v>
      </c>
      <c r="AX35" s="665"/>
      <c r="AY35" s="718">
        <f>AY25+AY29</f>
        <v>337.79999999999995</v>
      </c>
      <c r="AZ35" s="666">
        <f t="shared" ref="AZ35:BB35" si="533">AZ25+AZ29</f>
        <v>318</v>
      </c>
      <c r="BA35" s="666">
        <f t="shared" si="533"/>
        <v>302</v>
      </c>
      <c r="BB35" s="667">
        <f t="shared" si="533"/>
        <v>342</v>
      </c>
      <c r="BC35" s="733">
        <f>SUM(AY35:BB35)</f>
        <v>1299.8</v>
      </c>
      <c r="BD35" s="665"/>
      <c r="BE35" s="718">
        <f>BE25+BE29</f>
        <v>313</v>
      </c>
      <c r="BF35" s="666">
        <f t="shared" ref="BF35:BH35" si="534">BF25+BF29</f>
        <v>319</v>
      </c>
      <c r="BG35" s="666">
        <f t="shared" si="534"/>
        <v>327</v>
      </c>
      <c r="BH35" s="667">
        <f t="shared" si="534"/>
        <v>342</v>
      </c>
      <c r="BI35" s="733">
        <f>SUM(BE35:BH35)</f>
        <v>1301</v>
      </c>
      <c r="BJ35" s="665"/>
      <c r="BK35" s="718">
        <f>BK25+BK29</f>
        <v>333</v>
      </c>
      <c r="BL35" s="666">
        <f t="shared" ref="BL35:BN35" si="535">BL25+BL29</f>
        <v>351</v>
      </c>
      <c r="BM35" s="666">
        <f t="shared" si="535"/>
        <v>336</v>
      </c>
      <c r="BN35" s="667">
        <f t="shared" si="535"/>
        <v>359</v>
      </c>
      <c r="BO35" s="733">
        <f>SUM(BK35:BN35)</f>
        <v>1379</v>
      </c>
      <c r="BP35" s="665"/>
      <c r="BQ35" s="718">
        <f>BQ25+BQ29</f>
        <v>381</v>
      </c>
      <c r="BR35" s="666">
        <f t="shared" ref="BR35:BT35" si="536">BR25+BR29</f>
        <v>380.97131852130065</v>
      </c>
      <c r="BS35" s="666">
        <f t="shared" si="536"/>
        <v>377.18835547814996</v>
      </c>
      <c r="BT35" s="667">
        <f t="shared" si="536"/>
        <v>381.28762579061697</v>
      </c>
      <c r="BU35" s="733">
        <f>SUM(BQ35:BT35)</f>
        <v>1520.4472997900675</v>
      </c>
      <c r="BV35" s="665"/>
      <c r="BW35" s="718">
        <f>BW25+BW29</f>
        <v>410.37857227502928</v>
      </c>
      <c r="BX35" s="666">
        <f t="shared" ref="BX35:BZ35" si="537">BX25+BX29</f>
        <v>397.70586746850557</v>
      </c>
      <c r="BY35" s="666">
        <f t="shared" si="537"/>
        <v>393.01727325205746</v>
      </c>
      <c r="BZ35" s="667">
        <f t="shared" si="537"/>
        <v>397.16590708014792</v>
      </c>
      <c r="CA35" s="733">
        <f>SUM(BW35:BZ35)</f>
        <v>1598.2676200757403</v>
      </c>
      <c r="CB35" s="665"/>
      <c r="CC35" s="718">
        <f>CC25+CC29</f>
        <v>427.45730088878076</v>
      </c>
      <c r="CD35" s="666">
        <f t="shared" ref="CD35:CF35" si="538">CD25+CD29</f>
        <v>413.97390384193085</v>
      </c>
      <c r="CE35" s="666">
        <f t="shared" si="538"/>
        <v>409.54672191466034</v>
      </c>
      <c r="CF35" s="667">
        <f t="shared" si="538"/>
        <v>413.74251943415527</v>
      </c>
      <c r="CG35" s="733">
        <f>SUM(CC35:CF35)</f>
        <v>1664.7204460795274</v>
      </c>
      <c r="CH35" s="665"/>
      <c r="CI35" s="718">
        <f>CI25+CI29</f>
        <v>445.2867599332198</v>
      </c>
      <c r="CJ35" s="666">
        <f t="shared" ref="CJ35:CL35" si="539">CJ25+CJ29</f>
        <v>430.94682432402738</v>
      </c>
      <c r="CK35" s="666">
        <f t="shared" si="539"/>
        <v>426.80900056039332</v>
      </c>
      <c r="CL35" s="667">
        <f t="shared" si="539"/>
        <v>431.04951191586304</v>
      </c>
      <c r="CM35" s="733">
        <f>SUM(CI35:CL35)</f>
        <v>1734.0920967335037</v>
      </c>
    </row>
    <row r="36" spans="1:91" s="25" customFormat="1" ht="11.25" x14ac:dyDescent="0.2">
      <c r="A36" s="695" t="s">
        <v>5</v>
      </c>
      <c r="B36" s="665"/>
      <c r="C36" s="672">
        <v>-4.542001840013199E-2</v>
      </c>
      <c r="D36" s="673">
        <v>0.15217895575524687</v>
      </c>
      <c r="E36" s="673">
        <v>0.22807710159463501</v>
      </c>
      <c r="F36" s="674">
        <v>0.25196568035479805</v>
      </c>
      <c r="G36" s="671">
        <v>0.141086785608594</v>
      </c>
      <c r="H36" s="665"/>
      <c r="I36" s="717">
        <f t="shared" ref="I36:AD36" si="540">I35/C35-1</f>
        <v>0.24195365940453106</v>
      </c>
      <c r="J36" s="696">
        <f t="shared" si="540"/>
        <v>0.12209170007527881</v>
      </c>
      <c r="K36" s="696">
        <f t="shared" si="540"/>
        <v>0.14105181761312302</v>
      </c>
      <c r="L36" s="697">
        <f t="shared" si="540"/>
        <v>0.12026081572307734</v>
      </c>
      <c r="M36" s="732">
        <f t="shared" si="540"/>
        <v>0.15345948912137275</v>
      </c>
      <c r="N36" s="665"/>
      <c r="O36" s="717">
        <f t="shared" si="540"/>
        <v>4.2800518938881371E-2</v>
      </c>
      <c r="P36" s="696">
        <f t="shared" si="540"/>
        <v>1.8702706919416556E-2</v>
      </c>
      <c r="Q36" s="696">
        <f t="shared" si="540"/>
        <v>4.3900693289068426E-2</v>
      </c>
      <c r="R36" s="697">
        <f t="shared" si="540"/>
        <v>7.3033538878026771E-2</v>
      </c>
      <c r="S36" s="732">
        <f t="shared" si="540"/>
        <v>4.4876737339124562E-2</v>
      </c>
      <c r="T36" s="665"/>
      <c r="U36" s="717">
        <f t="shared" si="540"/>
        <v>0.12697061865309101</v>
      </c>
      <c r="V36" s="696">
        <f t="shared" si="540"/>
        <v>2.6139561596630667E-2</v>
      </c>
      <c r="W36" s="696">
        <f t="shared" si="540"/>
        <v>-5.2846180778433061E-3</v>
      </c>
      <c r="X36" s="697">
        <f t="shared" si="540"/>
        <v>-1.2789784991450448E-3</v>
      </c>
      <c r="Y36" s="732">
        <f t="shared" si="540"/>
        <v>3.5356875030015056E-2</v>
      </c>
      <c r="Z36" s="665"/>
      <c r="AA36" s="717">
        <f t="shared" si="540"/>
        <v>-2.1042437048776175E-2</v>
      </c>
      <c r="AB36" s="696">
        <f t="shared" si="540"/>
        <v>0.11606629801270141</v>
      </c>
      <c r="AC36" s="696">
        <f t="shared" si="540"/>
        <v>0.1037240185815953</v>
      </c>
      <c r="AD36" s="697">
        <f t="shared" si="540"/>
        <v>9.9744227577810429E-2</v>
      </c>
      <c r="AE36" s="732">
        <f>AE35/Y35-1</f>
        <v>7.2797286882555268E-2</v>
      </c>
      <c r="AF36" s="665"/>
      <c r="AG36" s="717">
        <f>AG35/AA35-1</f>
        <v>5.1979632922163788E-2</v>
      </c>
      <c r="AH36" s="696">
        <f>AH35/AB35-1</f>
        <v>2.540219586236403E-2</v>
      </c>
      <c r="AI36" s="696">
        <f>AI35/AC35-1</f>
        <v>2.5787870432809612E-2</v>
      </c>
      <c r="AJ36" s="697">
        <f>AJ35/AD35-1</f>
        <v>1.3054796967918003E-2</v>
      </c>
      <c r="AK36" s="732">
        <f>AK35/AE35-1</f>
        <v>2.8669233704974539E-2</v>
      </c>
      <c r="AL36" s="665"/>
      <c r="AM36" s="717">
        <f>AM35/AG35-1</f>
        <v>4.2867805906201983E-2</v>
      </c>
      <c r="AN36" s="696">
        <f>AN35/AH35-1</f>
        <v>7.2391801921057874E-2</v>
      </c>
      <c r="AO36" s="696">
        <f>AO35/AI35-1</f>
        <v>4.6794647599062156E-3</v>
      </c>
      <c r="AP36" s="697">
        <f>AP35/AJ35-1</f>
        <v>6.4432827360332734E-2</v>
      </c>
      <c r="AQ36" s="732">
        <f>AQ35/AK35-1</f>
        <v>4.6190356484957951E-2</v>
      </c>
      <c r="AR36" s="665"/>
      <c r="AS36" s="717">
        <f>AS35/AM35-1</f>
        <v>2.4410546163111002E-2</v>
      </c>
      <c r="AT36" s="696">
        <f>AT35/AN35-1</f>
        <v>-5.4449711014292634E-2</v>
      </c>
      <c r="AU36" s="696">
        <f>AU35/AO35-1</f>
        <v>1.5984347652309161E-2</v>
      </c>
      <c r="AV36" s="697">
        <f>AV35/AP35-1</f>
        <v>3.7869822485207205E-2</v>
      </c>
      <c r="AW36" s="732">
        <f>AW35/AQ35-1</f>
        <v>5.8656826659497785E-3</v>
      </c>
      <c r="AX36" s="665"/>
      <c r="AY36" s="717">
        <f>AY35/AS35-1</f>
        <v>3.9704524469067248E-2</v>
      </c>
      <c r="AZ36" s="696">
        <f>AZ35/AT35-1</f>
        <v>2.2508038585209E-2</v>
      </c>
      <c r="BA36" s="696">
        <f>BA35/AU35-1</f>
        <v>-4.1878172588832641E-2</v>
      </c>
      <c r="BB36" s="697">
        <f>BB35/AV35-1</f>
        <v>-2.5085518814139118E-2</v>
      </c>
      <c r="BC36" s="732">
        <f>BC35/AW35-1</f>
        <v>-1.6130271142177355E-3</v>
      </c>
      <c r="BD36" s="665"/>
      <c r="BE36" s="717">
        <f>BE35/AY35-1</f>
        <v>-7.3416222616932925E-2</v>
      </c>
      <c r="BF36" s="696">
        <f>BF35/AZ35-1</f>
        <v>3.1446540880504248E-3</v>
      </c>
      <c r="BG36" s="696">
        <f>BG35/BA35-1</f>
        <v>8.2781456953642474E-2</v>
      </c>
      <c r="BH36" s="697">
        <f>BH35/BB35-1</f>
        <v>0</v>
      </c>
      <c r="BI36" s="732">
        <f>BI35/BC35-1</f>
        <v>9.2321895676250598E-4</v>
      </c>
      <c r="BJ36" s="665"/>
      <c r="BK36" s="717">
        <f>BK35/BE35-1</f>
        <v>6.3897763578274702E-2</v>
      </c>
      <c r="BL36" s="696">
        <f t="shared" ref="BL36" si="541">BL35/BF35-1</f>
        <v>0.10031347962382453</v>
      </c>
      <c r="BM36" s="696">
        <f t="shared" ref="BM36" si="542">BM35/BG35-1</f>
        <v>2.7522935779816571E-2</v>
      </c>
      <c r="BN36" s="697">
        <f t="shared" ref="BN36" si="543">BN35/BH35-1</f>
        <v>4.9707602339181367E-2</v>
      </c>
      <c r="BO36" s="732">
        <f t="shared" ref="BO36" si="544">BO35/BI35-1</f>
        <v>5.9953881629515759E-2</v>
      </c>
      <c r="BP36" s="665"/>
      <c r="BQ36" s="717">
        <f>BQ35/BK35-1</f>
        <v>0.14414414414414423</v>
      </c>
      <c r="BR36" s="696">
        <f t="shared" ref="BR36" si="545">BR35/BL35-1</f>
        <v>8.5388371855557477E-2</v>
      </c>
      <c r="BS36" s="696">
        <f t="shared" ref="BS36" si="546">BS35/BM35-1</f>
        <v>0.12258439130401766</v>
      </c>
      <c r="BT36" s="697">
        <f t="shared" ref="BT36" si="547">BT35/BN35-1</f>
        <v>6.2082523093640596E-2</v>
      </c>
      <c r="BU36" s="732">
        <f t="shared" ref="BU36" si="548">BU35/BO35-1</f>
        <v>0.10257237113130357</v>
      </c>
      <c r="BV36" s="665"/>
      <c r="BW36" s="717">
        <f>BW35/BQ35-1</f>
        <v>7.7109113582753963E-2</v>
      </c>
      <c r="BX36" s="696">
        <f t="shared" ref="BX36" si="549">BX35/BR35-1</f>
        <v>4.392600737545882E-2</v>
      </c>
      <c r="BY36" s="696">
        <f t="shared" ref="BY36" si="550">BY35/BS35-1</f>
        <v>4.1965552605253809E-2</v>
      </c>
      <c r="BZ36" s="697">
        <f t="shared" ref="BZ36" si="551">BZ35/BT35-1</f>
        <v>4.1643841067767751E-2</v>
      </c>
      <c r="CA36" s="732">
        <f t="shared" ref="CA36" si="552">CA35/BU35-1</f>
        <v>5.1182517339744438E-2</v>
      </c>
      <c r="CB36" s="665"/>
      <c r="CC36" s="717">
        <f>CC35/BW35-1</f>
        <v>4.1617008702651281E-2</v>
      </c>
      <c r="CD36" s="696">
        <f t="shared" ref="CD36" si="553">CD35/BX35-1</f>
        <v>4.0904692900246342E-2</v>
      </c>
      <c r="CE36" s="696">
        <f t="shared" ref="CE36" si="554">CE35/BY35-1</f>
        <v>4.2057817270545028E-2</v>
      </c>
      <c r="CF36" s="697">
        <f t="shared" ref="CF36" si="555">CF35/BZ35-1</f>
        <v>4.1737248989657694E-2</v>
      </c>
      <c r="CG36" s="732">
        <f t="shared" ref="CG36" si="556">CG35/CA35-1</f>
        <v>4.1578034347362847E-2</v>
      </c>
      <c r="CH36" s="665"/>
      <c r="CI36" s="717">
        <f>CI35/CC35-1</f>
        <v>4.1710503031221036E-2</v>
      </c>
      <c r="CJ36" s="696">
        <f t="shared" ref="CJ36" si="557">CJ35/CD35-1</f>
        <v>4.0999976869501742E-2</v>
      </c>
      <c r="CK36" s="696">
        <f t="shared" ref="CK36" si="558">CK35/CE35-1</f>
        <v>4.2149717534132769E-2</v>
      </c>
      <c r="CL36" s="697">
        <f t="shared" ref="CL36" si="559">CL35/CF35-1</f>
        <v>4.1830345368847333E-2</v>
      </c>
      <c r="CM36" s="732">
        <f t="shared" ref="CM36" si="560">CM35/CG35-1</f>
        <v>4.1671651728282022E-2</v>
      </c>
    </row>
    <row r="37" spans="1:91" s="25" customFormat="1" ht="11.25" x14ac:dyDescent="0.2">
      <c r="A37" s="695" t="s">
        <v>9</v>
      </c>
      <c r="B37" s="665"/>
      <c r="C37" s="672">
        <v>1.0999999999999999E-2</v>
      </c>
      <c r="D37" s="673">
        <v>1.7999999999999999E-2</v>
      </c>
      <c r="E37" s="673">
        <v>2.3E-2</v>
      </c>
      <c r="F37" s="674">
        <v>2.4E-2</v>
      </c>
      <c r="G37" s="671">
        <v>1.9E-2</v>
      </c>
      <c r="H37" s="665"/>
      <c r="I37" s="672">
        <v>4.7E-2</v>
      </c>
      <c r="J37" s="673">
        <v>3.9E-2</v>
      </c>
      <c r="K37" s="673">
        <v>5.3999999999999999E-2</v>
      </c>
      <c r="L37" s="674">
        <v>3.5999999999999997E-2</v>
      </c>
      <c r="M37" s="671">
        <v>4.2999999999999997E-2</v>
      </c>
      <c r="N37" s="665"/>
      <c r="O37" s="672">
        <v>-2.1000000000000001E-2</v>
      </c>
      <c r="P37" s="673">
        <v>-2.1999999999999999E-2</v>
      </c>
      <c r="Q37" s="673">
        <v>-4.9000000000000002E-2</v>
      </c>
      <c r="R37" s="674">
        <v>-2.1999999999999999E-2</v>
      </c>
      <c r="S37" s="671">
        <v>-2.9000000000000001E-2</v>
      </c>
      <c r="T37" s="665"/>
      <c r="U37" s="672">
        <v>0.02</v>
      </c>
      <c r="V37" s="673">
        <v>-5.0000000000000001E-3</v>
      </c>
      <c r="W37" s="673">
        <v>-5.0000000000000001E-3</v>
      </c>
      <c r="X37" s="674">
        <v>-8.0000000000000002E-3</v>
      </c>
      <c r="Y37" s="671">
        <v>0</v>
      </c>
      <c r="Z37" s="665"/>
      <c r="AA37" s="672">
        <v>5.0000000000000001E-3</v>
      </c>
      <c r="AB37" s="673">
        <v>2.5999999999999999E-2</v>
      </c>
      <c r="AC37" s="673">
        <v>4.7E-2</v>
      </c>
      <c r="AD37" s="674">
        <v>4.8000000000000001E-2</v>
      </c>
      <c r="AE37" s="732">
        <f>SUMPRODUCT(AA37:AD37,U35:X35)/Y35</f>
        <v>3.1170544799977169E-2</v>
      </c>
      <c r="AF37" s="665"/>
      <c r="AG37" s="672">
        <v>2E-3</v>
      </c>
      <c r="AH37" s="673">
        <v>-7.0000000000000001E-3</v>
      </c>
      <c r="AI37" s="673">
        <v>-2.5000000000000001E-2</v>
      </c>
      <c r="AJ37" s="674">
        <v>-4.2999999999999997E-2</v>
      </c>
      <c r="AK37" s="732">
        <f>SUMPRODUCT(AG37:AJ37,AA35:AD35)/AE35</f>
        <v>-1.8724515936452083E-2</v>
      </c>
      <c r="AL37" s="665"/>
      <c r="AM37" s="672">
        <v>-0.01</v>
      </c>
      <c r="AN37" s="673">
        <v>-6.0000000000000001E-3</v>
      </c>
      <c r="AO37" s="673">
        <v>-0.02</v>
      </c>
      <c r="AP37" s="674">
        <v>-1.4E-2</v>
      </c>
      <c r="AQ37" s="732">
        <f>SUMPRODUCT(AM37:AP37,AG35:AJ35)/AK35</f>
        <v>-1.2531029460143893E-2</v>
      </c>
      <c r="AR37" s="665"/>
      <c r="AS37" s="672">
        <v>-1.4999999999999999E-2</v>
      </c>
      <c r="AT37" s="673">
        <v>-1.9E-2</v>
      </c>
      <c r="AU37" s="673">
        <v>2E-3</v>
      </c>
      <c r="AV37" s="697">
        <f t="shared" ref="AV37" si="561">AV31*AP29/AP35</f>
        <v>-1.1183431952662723E-3</v>
      </c>
      <c r="AW37" s="732">
        <f>SUMPRODUCT(AS37:AV37,AM35:AP35)/AQ35</f>
        <v>-8.3165359404407599E-3</v>
      </c>
      <c r="AX37" s="665"/>
      <c r="AY37" s="717">
        <f>AY31*AS29/AS35</f>
        <v>-3.8329947676208065E-2</v>
      </c>
      <c r="AZ37" s="696">
        <f t="shared" ref="AZ37" si="562">AZ31*AT29/AT35</f>
        <v>-5.7295819935691314E-2</v>
      </c>
      <c r="BA37" s="696">
        <f t="shared" ref="BA37" si="563">BA31*AU29/AU35</f>
        <v>-7.9314720812182729E-2</v>
      </c>
      <c r="BB37" s="697">
        <f t="shared" ref="BB37" si="564">BB31*AV29/AV35</f>
        <v>-8.2668187001140259E-2</v>
      </c>
      <c r="BC37" s="732">
        <f>SUMPRODUCT(AY37:BB37,AS35:AV35)/AW35</f>
        <v>-6.473031722866579E-2</v>
      </c>
      <c r="BD37" s="665"/>
      <c r="BE37" s="717">
        <f>BE31*AY29/AY35</f>
        <v>-6.4535227945529905E-2</v>
      </c>
      <c r="BF37" s="696">
        <f t="shared" ref="BF37" si="565">BF31*AZ29/AZ35</f>
        <v>-4.1509433962264149E-2</v>
      </c>
      <c r="BG37" s="696">
        <f t="shared" ref="BG37" si="566">BG31*BA29/BA35</f>
        <v>-1.3245033112582781E-2</v>
      </c>
      <c r="BH37" s="697">
        <f t="shared" ref="BH37" si="567">BH31*BB29/BB35</f>
        <v>-4.0935672514619877E-3</v>
      </c>
      <c r="BI37" s="732">
        <f>SUMPRODUCT(BE37:BH37,AY35:BB35)/BC35</f>
        <v>-3.1081704877673488E-2</v>
      </c>
      <c r="BJ37" s="665"/>
      <c r="BK37" s="717">
        <f>BK31*BE29/BE35</f>
        <v>2.4281150159748794E-4</v>
      </c>
      <c r="BL37" s="696">
        <f t="shared" ref="BL37" si="568">BL31*BF29/BF35</f>
        <v>-7.141065830721046E-3</v>
      </c>
      <c r="BM37" s="696">
        <f t="shared" ref="BM37" si="569">BM31*BG29/BG35</f>
        <v>-9.9388379204893608E-3</v>
      </c>
      <c r="BN37" s="697">
        <f t="shared" ref="BN37" si="570">BN31*BH29/BH35</f>
        <v>-3.5760233918128983E-3</v>
      </c>
      <c r="BO37" s="732">
        <f>SUMPRODUCT(BK37:BN37,BE35:BH35)/BI35</f>
        <v>-5.1306687163720464E-3</v>
      </c>
      <c r="BP37" s="665"/>
      <c r="BQ37" s="717">
        <f>BQ31*BK29/BK35</f>
        <v>1.8024024024023998E-2</v>
      </c>
      <c r="BR37" s="696">
        <f t="shared" ref="BR37" si="571">BR31*BL29/BL35</f>
        <v>5.8978115445301134E-2</v>
      </c>
      <c r="BS37" s="696">
        <f t="shared" ref="BS37" si="572">BS31*BM29/BM35</f>
        <v>5.2004034161160707E-2</v>
      </c>
      <c r="BT37" s="697">
        <f t="shared" ref="BT37" si="573">BT31*BN29/BN35</f>
        <v>2.1567202759378873E-2</v>
      </c>
      <c r="BU37" s="732">
        <f>SUMPRODUCT(BQ37:BT37,BK35:BN35)/BO35</f>
        <v>3.764996358960674E-2</v>
      </c>
      <c r="BV37" s="665"/>
      <c r="BW37" s="717">
        <f>BW31*BQ29/BQ35</f>
        <v>3.5875517782229131E-2</v>
      </c>
      <c r="BX37" s="696">
        <f t="shared" ref="BX37" si="574">BX31*BR29/BR35</f>
        <v>3.14428662448747E-3</v>
      </c>
      <c r="BY37" s="696">
        <f t="shared" ref="BY37" si="575">BY31*BS29/BS35</f>
        <v>0</v>
      </c>
      <c r="BZ37" s="697">
        <f t="shared" ref="BZ37" si="576">BZ31*BT29/BT35</f>
        <v>0</v>
      </c>
      <c r="CA37" s="732">
        <f>SUMPRODUCT(BW37:BZ37,BQ35:BT35)/BU35</f>
        <v>9.7776853549753646E-3</v>
      </c>
      <c r="CB37" s="665"/>
      <c r="CC37" s="717">
        <f>CC31*BW29/BW35</f>
        <v>0</v>
      </c>
      <c r="CD37" s="696">
        <f t="shared" ref="CD37" si="577">CD31*BX29/BX35</f>
        <v>0</v>
      </c>
      <c r="CE37" s="696">
        <f t="shared" ref="CE37" si="578">CE31*BY29/BY35</f>
        <v>0</v>
      </c>
      <c r="CF37" s="697">
        <f t="shared" ref="CF37" si="579">CF31*BZ29/BZ35</f>
        <v>0</v>
      </c>
      <c r="CG37" s="732">
        <f>SUMPRODUCT(CC37:CF37,BW35:BZ35)/CA35</f>
        <v>0</v>
      </c>
      <c r="CH37" s="665"/>
      <c r="CI37" s="717">
        <f>CI31*CC29/CC35</f>
        <v>0</v>
      </c>
      <c r="CJ37" s="696">
        <f t="shared" ref="CJ37" si="580">CJ31*CD29/CD35</f>
        <v>0</v>
      </c>
      <c r="CK37" s="696">
        <f t="shared" ref="CK37" si="581">CK31*CE29/CE35</f>
        <v>0</v>
      </c>
      <c r="CL37" s="697">
        <f t="shared" ref="CL37" si="582">CL31*CF29/CF35</f>
        <v>0</v>
      </c>
      <c r="CM37" s="732">
        <f>SUMPRODUCT(CI37:CL37,CC35:CF35)/CG35</f>
        <v>0</v>
      </c>
    </row>
    <row r="38" spans="1:91" s="25" customFormat="1" ht="11.25" x14ac:dyDescent="0.2">
      <c r="A38" s="695" t="s">
        <v>10</v>
      </c>
      <c r="B38" s="665"/>
      <c r="C38" s="717">
        <f>C36-C37</f>
        <v>-5.6420018400131985E-2</v>
      </c>
      <c r="D38" s="696">
        <f t="shared" ref="D38:G38" si="583">D36-D37</f>
        <v>0.13417895575524688</v>
      </c>
      <c r="E38" s="696">
        <f t="shared" si="583"/>
        <v>0.20507710159463502</v>
      </c>
      <c r="F38" s="697">
        <f t="shared" si="583"/>
        <v>0.22796568035479806</v>
      </c>
      <c r="G38" s="732">
        <f t="shared" si="583"/>
        <v>0.122086785608594</v>
      </c>
      <c r="H38" s="665"/>
      <c r="I38" s="717">
        <f>I36-I37</f>
        <v>0.19495365940453108</v>
      </c>
      <c r="J38" s="696">
        <f t="shared" ref="J38:M38" si="584">J36-J37</f>
        <v>8.3091700075278802E-2</v>
      </c>
      <c r="K38" s="696">
        <f t="shared" si="584"/>
        <v>8.7051817613123028E-2</v>
      </c>
      <c r="L38" s="697">
        <f t="shared" si="584"/>
        <v>8.4260815723077337E-2</v>
      </c>
      <c r="M38" s="732">
        <f t="shared" si="584"/>
        <v>0.11045948912137275</v>
      </c>
      <c r="N38" s="665"/>
      <c r="O38" s="717">
        <f>O36-O37</f>
        <v>6.3800518938881376E-2</v>
      </c>
      <c r="P38" s="696">
        <f t="shared" ref="P38:S38" si="585">P36-P37</f>
        <v>4.0702706919416555E-2</v>
      </c>
      <c r="Q38" s="696">
        <f t="shared" si="585"/>
        <v>9.2900693289068428E-2</v>
      </c>
      <c r="R38" s="697">
        <f t="shared" si="585"/>
        <v>9.5033538878026763E-2</v>
      </c>
      <c r="S38" s="732">
        <f t="shared" si="585"/>
        <v>7.387673733912456E-2</v>
      </c>
      <c r="T38" s="665"/>
      <c r="U38" s="717">
        <f>U36-U37</f>
        <v>0.106970618653091</v>
      </c>
      <c r="V38" s="696">
        <f t="shared" ref="V38:Y38" si="586">V36-V37</f>
        <v>3.1139561596630668E-2</v>
      </c>
      <c r="W38" s="696">
        <f t="shared" si="586"/>
        <v>-2.8461807784330596E-4</v>
      </c>
      <c r="X38" s="697">
        <f t="shared" si="586"/>
        <v>6.7210215008549554E-3</v>
      </c>
      <c r="Y38" s="732">
        <f t="shared" si="586"/>
        <v>3.5356875030015056E-2</v>
      </c>
      <c r="Z38" s="665"/>
      <c r="AA38" s="717">
        <f>AA36-AA37</f>
        <v>-2.6042437048776176E-2</v>
      </c>
      <c r="AB38" s="696">
        <f t="shared" ref="AB38:AE38" si="587">AB36-AB37</f>
        <v>9.0066298012701412E-2</v>
      </c>
      <c r="AC38" s="696">
        <f t="shared" si="587"/>
        <v>5.6724018581595301E-2</v>
      </c>
      <c r="AD38" s="697">
        <f t="shared" si="587"/>
        <v>5.1744227577810428E-2</v>
      </c>
      <c r="AE38" s="732">
        <f t="shared" si="587"/>
        <v>4.1626742082578098E-2</v>
      </c>
      <c r="AF38" s="665"/>
      <c r="AG38" s="717">
        <f>AG36-AG37</f>
        <v>4.9979632922163786E-2</v>
      </c>
      <c r="AH38" s="696">
        <f t="shared" ref="AH38:AK38" si="588">AH36-AH37</f>
        <v>3.2402195862364029E-2</v>
      </c>
      <c r="AI38" s="696">
        <f t="shared" si="588"/>
        <v>5.0787870432809613E-2</v>
      </c>
      <c r="AJ38" s="697">
        <f t="shared" si="588"/>
        <v>5.6054796967918E-2</v>
      </c>
      <c r="AK38" s="732">
        <f t="shared" si="588"/>
        <v>4.7393749641426619E-2</v>
      </c>
      <c r="AL38" s="665"/>
      <c r="AM38" s="717">
        <f>AM36-AM37</f>
        <v>5.2867805906201985E-2</v>
      </c>
      <c r="AN38" s="696">
        <f t="shared" ref="AN38:AQ38" si="589">AN36-AN37</f>
        <v>7.839180192105788E-2</v>
      </c>
      <c r="AO38" s="696">
        <f t="shared" si="589"/>
        <v>2.4679464759906216E-2</v>
      </c>
      <c r="AP38" s="697">
        <f t="shared" si="589"/>
        <v>7.8432827360332733E-2</v>
      </c>
      <c r="AQ38" s="732">
        <f t="shared" si="589"/>
        <v>5.8721385945101845E-2</v>
      </c>
      <c r="AR38" s="665"/>
      <c r="AS38" s="717">
        <f>AS36-AS37</f>
        <v>3.9410546163111002E-2</v>
      </c>
      <c r="AT38" s="696">
        <f t="shared" ref="AT38:AW38" si="590">AT36-AT37</f>
        <v>-3.5449711014292631E-2</v>
      </c>
      <c r="AU38" s="696">
        <f t="shared" si="590"/>
        <v>1.3984347652309161E-2</v>
      </c>
      <c r="AV38" s="697">
        <f t="shared" si="590"/>
        <v>3.8988165680473474E-2</v>
      </c>
      <c r="AW38" s="732">
        <f t="shared" si="590"/>
        <v>1.4182218606390538E-2</v>
      </c>
      <c r="AX38" s="665"/>
      <c r="AY38" s="717">
        <f>AY36-AY37</f>
        <v>7.8034472145275313E-2</v>
      </c>
      <c r="AZ38" s="696">
        <f t="shared" ref="AZ38:BC38" si="591">AZ36-AZ37</f>
        <v>7.9803858520900314E-2</v>
      </c>
      <c r="BA38" s="696">
        <f t="shared" si="591"/>
        <v>3.7436548223350088E-2</v>
      </c>
      <c r="BB38" s="697">
        <f t="shared" si="591"/>
        <v>5.758266818700114E-2</v>
      </c>
      <c r="BC38" s="732">
        <f t="shared" si="591"/>
        <v>6.3117290114448055E-2</v>
      </c>
      <c r="BD38" s="665"/>
      <c r="BE38" s="717">
        <f>BE36-BE37</f>
        <v>-8.8809946714030197E-3</v>
      </c>
      <c r="BF38" s="696">
        <f t="shared" ref="BF38:BI38" si="592">BF36-BF37</f>
        <v>4.4654088050314573E-2</v>
      </c>
      <c r="BG38" s="696">
        <f t="shared" si="592"/>
        <v>9.6026490066225254E-2</v>
      </c>
      <c r="BH38" s="697">
        <f t="shared" si="592"/>
        <v>4.0935672514619877E-3</v>
      </c>
      <c r="BI38" s="732">
        <f t="shared" si="592"/>
        <v>3.2004923834435997E-2</v>
      </c>
      <c r="BJ38" s="665"/>
      <c r="BK38" s="717">
        <f>BK36-BK37</f>
        <v>6.3654952076677221E-2</v>
      </c>
      <c r="BL38" s="696">
        <f t="shared" ref="BL38" si="593">BL36-BL37</f>
        <v>0.10745454545454558</v>
      </c>
      <c r="BM38" s="696">
        <f t="shared" ref="BM38" si="594">BM36-BM37</f>
        <v>3.7461773700305928E-2</v>
      </c>
      <c r="BN38" s="697">
        <f t="shared" ref="BN38" si="595">BN36-BN37</f>
        <v>5.3283625730994266E-2</v>
      </c>
      <c r="BO38" s="732">
        <f t="shared" ref="BO38" si="596">BO36-BO37</f>
        <v>6.5084550345887809E-2</v>
      </c>
      <c r="BP38" s="665"/>
      <c r="BQ38" s="717">
        <f>BQ36-BQ37</f>
        <v>0.12612012012012022</v>
      </c>
      <c r="BR38" s="696">
        <f t="shared" ref="BR38:BU38" si="597">BR36-BR37</f>
        <v>2.6410256410256343E-2</v>
      </c>
      <c r="BS38" s="696">
        <f t="shared" si="597"/>
        <v>7.0580357142856959E-2</v>
      </c>
      <c r="BT38" s="697">
        <f t="shared" si="597"/>
        <v>4.0515320334261723E-2</v>
      </c>
      <c r="BU38" s="732">
        <f t="shared" si="597"/>
        <v>6.4922407541696842E-2</v>
      </c>
      <c r="BV38" s="665"/>
      <c r="BW38" s="717">
        <f>BW36-BW37</f>
        <v>4.1233595800524832E-2</v>
      </c>
      <c r="BX38" s="696">
        <f t="shared" ref="BX38:CA38" si="598">BX36-BX37</f>
        <v>4.0781720750971348E-2</v>
      </c>
      <c r="BY38" s="696">
        <f t="shared" si="598"/>
        <v>4.1965552605253809E-2</v>
      </c>
      <c r="BZ38" s="697">
        <f t="shared" si="598"/>
        <v>4.1643841067767751E-2</v>
      </c>
      <c r="CA38" s="732">
        <f t="shared" si="598"/>
        <v>4.1404831984769075E-2</v>
      </c>
      <c r="CB38" s="665"/>
      <c r="CC38" s="717">
        <f>CC36-CC37</f>
        <v>4.1617008702651281E-2</v>
      </c>
      <c r="CD38" s="696">
        <f t="shared" ref="CD38:CG38" si="599">CD36-CD37</f>
        <v>4.0904692900246342E-2</v>
      </c>
      <c r="CE38" s="696">
        <f t="shared" si="599"/>
        <v>4.2057817270545028E-2</v>
      </c>
      <c r="CF38" s="697">
        <f t="shared" si="599"/>
        <v>4.1737248989657694E-2</v>
      </c>
      <c r="CG38" s="732">
        <f t="shared" si="599"/>
        <v>4.1578034347362847E-2</v>
      </c>
      <c r="CH38" s="665"/>
      <c r="CI38" s="717">
        <f>CI36-CI37</f>
        <v>4.1710503031221036E-2</v>
      </c>
      <c r="CJ38" s="696">
        <f t="shared" ref="CJ38:CM38" si="600">CJ36-CJ37</f>
        <v>4.0999976869501742E-2</v>
      </c>
      <c r="CK38" s="696">
        <f t="shared" si="600"/>
        <v>4.2149717534132769E-2</v>
      </c>
      <c r="CL38" s="697">
        <f t="shared" si="600"/>
        <v>4.1830345368847333E-2</v>
      </c>
      <c r="CM38" s="732">
        <f t="shared" si="600"/>
        <v>4.1671651728282022E-2</v>
      </c>
    </row>
    <row r="39" spans="1:91" s="25" customFormat="1" ht="11.25" x14ac:dyDescent="0.2">
      <c r="A39" s="695" t="s">
        <v>6</v>
      </c>
      <c r="B39" s="665"/>
      <c r="C39" s="672"/>
      <c r="D39" s="673"/>
      <c r="E39" s="673"/>
      <c r="F39" s="674"/>
      <c r="G39" s="671"/>
      <c r="H39" s="665"/>
      <c r="I39" s="717">
        <f>(I27*C25+I33*C29)/C35</f>
        <v>0</v>
      </c>
      <c r="J39" s="696">
        <f t="shared" ref="J39" si="601">(J27*D25+J33*D29)/D35</f>
        <v>0</v>
      </c>
      <c r="K39" s="696">
        <f t="shared" ref="K39" si="602">(K27*E25+K33*E29)/E35</f>
        <v>0</v>
      </c>
      <c r="L39" s="697">
        <f t="shared" ref="L39" si="603">(L27*F25+L33*F29)/F35</f>
        <v>0</v>
      </c>
      <c r="M39" s="732">
        <f>SUMPRODUCT(I39:L39,C35:F35)/G35</f>
        <v>0</v>
      </c>
      <c r="N39" s="665"/>
      <c r="O39" s="717">
        <f>(O27*I25+O33*I29)/I35</f>
        <v>0</v>
      </c>
      <c r="P39" s="696">
        <f t="shared" ref="P39" si="604">(P27*J25+P33*J29)/J35</f>
        <v>0</v>
      </c>
      <c r="Q39" s="696">
        <f t="shared" ref="Q39" si="605">(Q27*K25+Q33*K29)/K35</f>
        <v>0</v>
      </c>
      <c r="R39" s="697">
        <f t="shared" ref="R39" si="606">(R27*L25+R33*L29)/L35</f>
        <v>0</v>
      </c>
      <c r="S39" s="732">
        <f>SUMPRODUCT(O39:R39,I35:L35)/M35</f>
        <v>0</v>
      </c>
      <c r="T39" s="665"/>
      <c r="U39" s="717">
        <f>(U27*O25+U33*O29)/O35</f>
        <v>0</v>
      </c>
      <c r="V39" s="696">
        <f t="shared" ref="V39" si="607">(V27*P25+V33*P29)/P35</f>
        <v>0</v>
      </c>
      <c r="W39" s="696">
        <f t="shared" ref="W39" si="608">(W27*Q25+W33*Q29)/Q35</f>
        <v>0</v>
      </c>
      <c r="X39" s="697">
        <f t="shared" ref="X39" si="609">(X27*R25+X33*R29)/R35</f>
        <v>0</v>
      </c>
      <c r="Y39" s="732">
        <f>SUMPRODUCT(U39:X39,O35:R35)/S35</f>
        <v>0</v>
      </c>
      <c r="Z39" s="665"/>
      <c r="AA39" s="717">
        <f>(AA27*U25+AA33*U29)/U35</f>
        <v>0</v>
      </c>
      <c r="AB39" s="696">
        <f t="shared" ref="AB39" si="610">(AB27*V25+AB33*V29)/V35</f>
        <v>0</v>
      </c>
      <c r="AC39" s="696">
        <f t="shared" ref="AC39" si="611">(AC27*W25+AC33*W29)/W35</f>
        <v>0</v>
      </c>
      <c r="AD39" s="697">
        <f t="shared" ref="AD39" si="612">(AD27*X25+AD33*X29)/X35</f>
        <v>0</v>
      </c>
      <c r="AE39" s="732">
        <f>SUMPRODUCT(AA39:AD39,U35:X35)/Y35</f>
        <v>0</v>
      </c>
      <c r="AF39" s="665"/>
      <c r="AG39" s="717">
        <f>(AG27*AA25+AG33*AA29)/AA35</f>
        <v>0</v>
      </c>
      <c r="AH39" s="696">
        <f t="shared" ref="AH39" si="613">(AH27*AB25+AH33*AB29)/AB35</f>
        <v>0</v>
      </c>
      <c r="AI39" s="696">
        <f t="shared" ref="AI39" si="614">(AI27*AC25+AI33*AC29)/AC35</f>
        <v>0</v>
      </c>
      <c r="AJ39" s="697">
        <f t="shared" ref="AJ39" si="615">(AJ27*AD25+AJ33*AD29)/AD35</f>
        <v>0</v>
      </c>
      <c r="AK39" s="732">
        <f>SUMPRODUCT(AG39:AJ39,AA35:AD35)/AE35</f>
        <v>0</v>
      </c>
      <c r="AL39" s="665"/>
      <c r="AM39" s="717">
        <f>(AM27*AG25+AM33*AG29)/AG35</f>
        <v>0</v>
      </c>
      <c r="AN39" s="696">
        <f t="shared" ref="AN39" si="616">(AN27*AH25+AN33*AH29)/AH35</f>
        <v>0</v>
      </c>
      <c r="AO39" s="696">
        <f t="shared" ref="AO39" si="617">(AO27*AI25+AO33*AI29)/AI35</f>
        <v>0</v>
      </c>
      <c r="AP39" s="697">
        <f t="shared" ref="AP39" si="618">(AP27*AJ25+AP33*AJ29)/AJ35</f>
        <v>0</v>
      </c>
      <c r="AQ39" s="732">
        <f>SUMPRODUCT(AM39:AP39,AG35:AJ35)/AK35</f>
        <v>0</v>
      </c>
      <c r="AR39" s="665"/>
      <c r="AS39" s="717">
        <f>(AS27*AM25+AS33*AM29)/AM35</f>
        <v>0</v>
      </c>
      <c r="AT39" s="696">
        <f t="shared" ref="AT39" si="619">(AT27*AN25+AT33*AN29)/AN35</f>
        <v>0</v>
      </c>
      <c r="AU39" s="696">
        <f t="shared" ref="AU39" si="620">(AU27*AO25+AU33*AO29)/AO35</f>
        <v>0</v>
      </c>
      <c r="AV39" s="697">
        <f t="shared" ref="AV39" si="621">(AV27*AP25+AV33*AP29)/AP35</f>
        <v>0</v>
      </c>
      <c r="AW39" s="732">
        <f>SUMPRODUCT(AS39:AV39,AM35:AP35)/AQ35</f>
        <v>0</v>
      </c>
      <c r="AX39" s="665"/>
      <c r="AY39" s="717">
        <f>(AY27*AS25+AY33*AS29)/AS35</f>
        <v>0</v>
      </c>
      <c r="AZ39" s="696">
        <f t="shared" ref="AZ39" si="622">(AZ27*AT25+AZ33*AT29)/AT35</f>
        <v>0</v>
      </c>
      <c r="BA39" s="696">
        <f t="shared" ref="BA39" si="623">(BA27*AU25+BA33*AU29)/AU35</f>
        <v>0</v>
      </c>
      <c r="BB39" s="697">
        <f t="shared" ref="BB39" si="624">(BB27*AV25+BB33*AV29)/AV35</f>
        <v>0</v>
      </c>
      <c r="BC39" s="732">
        <f>SUMPRODUCT(AY39:BB39,AS35:AV35)/AW35</f>
        <v>0</v>
      </c>
      <c r="BD39" s="665"/>
      <c r="BE39" s="717">
        <f>(BE27*AY25+BE33*AY29)/AY35</f>
        <v>0</v>
      </c>
      <c r="BF39" s="696">
        <f t="shared" ref="BF39" si="625">(BF27*AZ25+BF33*AZ29)/AZ35</f>
        <v>0</v>
      </c>
      <c r="BG39" s="696">
        <f t="shared" ref="BG39" si="626">(BG27*BA25+BG33*BA29)/BA35</f>
        <v>0</v>
      </c>
      <c r="BH39" s="697">
        <f t="shared" ref="BH39" si="627">(BH27*BB25+BH33*BB29)/BB35</f>
        <v>0</v>
      </c>
      <c r="BI39" s="732">
        <f>SUMPRODUCT(BE39:BH39,AY35:BB35)/BC35</f>
        <v>0</v>
      </c>
      <c r="BJ39" s="665"/>
      <c r="BK39" s="717">
        <f>(BK27*BE25+BK33*BE29)/BE35</f>
        <v>0</v>
      </c>
      <c r="BL39" s="696">
        <f t="shared" ref="BL39" si="628">(BL27*BF25+BL33*BF29)/BF35</f>
        <v>0</v>
      </c>
      <c r="BM39" s="696">
        <f t="shared" ref="BM39" si="629">(BM27*BG25+BM33*BG29)/BG35</f>
        <v>0</v>
      </c>
      <c r="BN39" s="697">
        <f t="shared" ref="BN39" si="630">(BN27*BH25+BN33*BH29)/BH35</f>
        <v>0</v>
      </c>
      <c r="BO39" s="732">
        <f>SUMPRODUCT(BK39:BN39,BE35:BH35)/BI35</f>
        <v>0</v>
      </c>
      <c r="BP39" s="665"/>
      <c r="BQ39" s="717">
        <f>(BQ27*BK25+BQ33*BK29)/BK35</f>
        <v>0</v>
      </c>
      <c r="BR39" s="696">
        <f t="shared" ref="BR39" si="631">(BR27*BL25+BR33*BL29)/BL35</f>
        <v>0</v>
      </c>
      <c r="BS39" s="696">
        <f t="shared" ref="BS39" si="632">(BS27*BM25+BS33*BM29)/BM35</f>
        <v>0</v>
      </c>
      <c r="BT39" s="697">
        <f t="shared" ref="BT39" si="633">(BT27*BN25+BT33*BN29)/BN35</f>
        <v>0</v>
      </c>
      <c r="BU39" s="732">
        <f>SUMPRODUCT(BQ39:BT39,BK35:BN35)/BO35</f>
        <v>0</v>
      </c>
      <c r="BV39" s="665"/>
      <c r="BW39" s="717">
        <f>(BW27*BQ25+BW33*BQ29)/BQ35</f>
        <v>0</v>
      </c>
      <c r="BX39" s="696">
        <f t="shared" ref="BX39" si="634">(BX27*BR25+BX33*BR29)/BR35</f>
        <v>0</v>
      </c>
      <c r="BY39" s="696">
        <f t="shared" ref="BY39" si="635">(BY27*BS25+BY33*BS29)/BS35</f>
        <v>0</v>
      </c>
      <c r="BZ39" s="697">
        <f t="shared" ref="BZ39" si="636">(BZ27*BT25+BZ33*BT29)/BT35</f>
        <v>0</v>
      </c>
      <c r="CA39" s="732">
        <f>SUMPRODUCT(BW39:BZ39,BQ35:BT35)/BU35</f>
        <v>0</v>
      </c>
      <c r="CB39" s="665"/>
      <c r="CC39" s="717">
        <f>(CC27*BW25+CC33*BW29)/BW35</f>
        <v>0</v>
      </c>
      <c r="CD39" s="696">
        <f t="shared" ref="CD39" si="637">(CD27*BX25+CD33*BX29)/BX35</f>
        <v>0</v>
      </c>
      <c r="CE39" s="696">
        <f t="shared" ref="CE39" si="638">(CE27*BY25+CE33*BY29)/BY35</f>
        <v>0</v>
      </c>
      <c r="CF39" s="697">
        <f t="shared" ref="CF39" si="639">(CF27*BZ25+CF33*BZ29)/BZ35</f>
        <v>0</v>
      </c>
      <c r="CG39" s="732">
        <f>SUMPRODUCT(CC39:CF39,BW35:BZ35)/CA35</f>
        <v>0</v>
      </c>
      <c r="CH39" s="665"/>
      <c r="CI39" s="717">
        <f>(CI27*CC25+CI33*CC29)/CC35</f>
        <v>0</v>
      </c>
      <c r="CJ39" s="696">
        <f t="shared" ref="CJ39" si="640">(CJ27*CD25+CJ33*CD29)/CD35</f>
        <v>0</v>
      </c>
      <c r="CK39" s="696">
        <f t="shared" ref="CK39" si="641">(CK27*CE25+CK33*CE29)/CE35</f>
        <v>0</v>
      </c>
      <c r="CL39" s="697">
        <f t="shared" ref="CL39" si="642">(CL27*CF25+CL33*CF29)/CF35</f>
        <v>0</v>
      </c>
      <c r="CM39" s="732">
        <f>SUMPRODUCT(CI39:CL39,CC35:CF35)/CG35</f>
        <v>0</v>
      </c>
    </row>
    <row r="40" spans="1:91" s="25" customFormat="1" ht="11.25" x14ac:dyDescent="0.2">
      <c r="A40" s="695" t="s">
        <v>7</v>
      </c>
      <c r="B40" s="665"/>
      <c r="C40" s="717"/>
      <c r="D40" s="696"/>
      <c r="E40" s="696"/>
      <c r="F40" s="697"/>
      <c r="G40" s="732"/>
      <c r="H40" s="665"/>
      <c r="I40" s="717">
        <f>I38-I39</f>
        <v>0.19495365940453108</v>
      </c>
      <c r="J40" s="696">
        <f t="shared" ref="J40:M40" si="643">J38-J39</f>
        <v>8.3091700075278802E-2</v>
      </c>
      <c r="K40" s="696">
        <f t="shared" si="643"/>
        <v>8.7051817613123028E-2</v>
      </c>
      <c r="L40" s="697">
        <f t="shared" si="643"/>
        <v>8.4260815723077337E-2</v>
      </c>
      <c r="M40" s="732">
        <f t="shared" si="643"/>
        <v>0.11045948912137275</v>
      </c>
      <c r="N40" s="665"/>
      <c r="O40" s="717">
        <f>O38-O39</f>
        <v>6.3800518938881376E-2</v>
      </c>
      <c r="P40" s="696">
        <f t="shared" ref="P40:S40" si="644">P38-P39</f>
        <v>4.0702706919416555E-2</v>
      </c>
      <c r="Q40" s="696">
        <f t="shared" si="644"/>
        <v>9.2900693289068428E-2</v>
      </c>
      <c r="R40" s="697">
        <f t="shared" si="644"/>
        <v>9.5033538878026763E-2</v>
      </c>
      <c r="S40" s="732">
        <f t="shared" si="644"/>
        <v>7.387673733912456E-2</v>
      </c>
      <c r="T40" s="665"/>
      <c r="U40" s="717">
        <f>U38-U39</f>
        <v>0.106970618653091</v>
      </c>
      <c r="V40" s="696">
        <f t="shared" ref="V40:Y40" si="645">V38-V39</f>
        <v>3.1139561596630668E-2</v>
      </c>
      <c r="W40" s="696">
        <f t="shared" si="645"/>
        <v>-2.8461807784330596E-4</v>
      </c>
      <c r="X40" s="697">
        <f t="shared" si="645"/>
        <v>6.7210215008549554E-3</v>
      </c>
      <c r="Y40" s="732">
        <f t="shared" si="645"/>
        <v>3.5356875030015056E-2</v>
      </c>
      <c r="Z40" s="665"/>
      <c r="AA40" s="717">
        <f>AA38-AA39</f>
        <v>-2.6042437048776176E-2</v>
      </c>
      <c r="AB40" s="696">
        <f t="shared" ref="AB40:AE40" si="646">AB38-AB39</f>
        <v>9.0066298012701412E-2</v>
      </c>
      <c r="AC40" s="696">
        <f t="shared" si="646"/>
        <v>5.6724018581595301E-2</v>
      </c>
      <c r="AD40" s="697">
        <f t="shared" si="646"/>
        <v>5.1744227577810428E-2</v>
      </c>
      <c r="AE40" s="732">
        <f t="shared" si="646"/>
        <v>4.1626742082578098E-2</v>
      </c>
      <c r="AF40" s="665"/>
      <c r="AG40" s="717">
        <f>AG38-AG39</f>
        <v>4.9979632922163786E-2</v>
      </c>
      <c r="AH40" s="696">
        <f t="shared" ref="AH40:AK40" si="647">AH38-AH39</f>
        <v>3.2402195862364029E-2</v>
      </c>
      <c r="AI40" s="696">
        <f t="shared" si="647"/>
        <v>5.0787870432809613E-2</v>
      </c>
      <c r="AJ40" s="697">
        <f t="shared" si="647"/>
        <v>5.6054796967918E-2</v>
      </c>
      <c r="AK40" s="732">
        <f t="shared" si="647"/>
        <v>4.7393749641426619E-2</v>
      </c>
      <c r="AL40" s="665"/>
      <c r="AM40" s="717">
        <f>AM38-AM39</f>
        <v>5.2867805906201985E-2</v>
      </c>
      <c r="AN40" s="696">
        <f t="shared" ref="AN40:AQ40" si="648">AN38-AN39</f>
        <v>7.839180192105788E-2</v>
      </c>
      <c r="AO40" s="696">
        <f t="shared" si="648"/>
        <v>2.4679464759906216E-2</v>
      </c>
      <c r="AP40" s="697">
        <f t="shared" si="648"/>
        <v>7.8432827360332733E-2</v>
      </c>
      <c r="AQ40" s="732">
        <f t="shared" si="648"/>
        <v>5.8721385945101845E-2</v>
      </c>
      <c r="AR40" s="665"/>
      <c r="AS40" s="717">
        <f>AS38-AS39</f>
        <v>3.9410546163111002E-2</v>
      </c>
      <c r="AT40" s="696">
        <f t="shared" ref="AT40:AW40" si="649">AT38-AT39</f>
        <v>-3.5449711014292631E-2</v>
      </c>
      <c r="AU40" s="696">
        <f t="shared" si="649"/>
        <v>1.3984347652309161E-2</v>
      </c>
      <c r="AV40" s="697">
        <f t="shared" si="649"/>
        <v>3.8988165680473474E-2</v>
      </c>
      <c r="AW40" s="732">
        <f t="shared" si="649"/>
        <v>1.4182218606390538E-2</v>
      </c>
      <c r="AX40" s="665"/>
      <c r="AY40" s="717">
        <f>AY38-AY39</f>
        <v>7.8034472145275313E-2</v>
      </c>
      <c r="AZ40" s="696">
        <f t="shared" ref="AZ40:BC40" si="650">AZ38-AZ39</f>
        <v>7.9803858520900314E-2</v>
      </c>
      <c r="BA40" s="696">
        <f t="shared" si="650"/>
        <v>3.7436548223350088E-2</v>
      </c>
      <c r="BB40" s="697">
        <f t="shared" si="650"/>
        <v>5.758266818700114E-2</v>
      </c>
      <c r="BC40" s="732">
        <f t="shared" si="650"/>
        <v>6.3117290114448055E-2</v>
      </c>
      <c r="BD40" s="665"/>
      <c r="BE40" s="717">
        <f>BE38-BE39</f>
        <v>-8.8809946714030197E-3</v>
      </c>
      <c r="BF40" s="696">
        <f t="shared" ref="BF40:BI40" si="651">BF38-BF39</f>
        <v>4.4654088050314573E-2</v>
      </c>
      <c r="BG40" s="696">
        <f t="shared" si="651"/>
        <v>9.6026490066225254E-2</v>
      </c>
      <c r="BH40" s="697">
        <f t="shared" si="651"/>
        <v>4.0935672514619877E-3</v>
      </c>
      <c r="BI40" s="732">
        <f t="shared" si="651"/>
        <v>3.2004923834435997E-2</v>
      </c>
      <c r="BJ40" s="665"/>
      <c r="BK40" s="717">
        <f>BK38-BK39</f>
        <v>6.3654952076677221E-2</v>
      </c>
      <c r="BL40" s="696">
        <f t="shared" ref="BL40" si="652">BL38-BL39</f>
        <v>0.10745454545454558</v>
      </c>
      <c r="BM40" s="696">
        <f t="shared" ref="BM40" si="653">BM38-BM39</f>
        <v>3.7461773700305928E-2</v>
      </c>
      <c r="BN40" s="697">
        <f t="shared" ref="BN40" si="654">BN38-BN39</f>
        <v>5.3283625730994266E-2</v>
      </c>
      <c r="BO40" s="732">
        <f t="shared" ref="BO40" si="655">BO38-BO39</f>
        <v>6.5084550345887809E-2</v>
      </c>
      <c r="BP40" s="665"/>
      <c r="BQ40" s="717">
        <f>BQ38-BQ39</f>
        <v>0.12612012012012022</v>
      </c>
      <c r="BR40" s="696">
        <f t="shared" ref="BR40:BU40" si="656">BR38-BR39</f>
        <v>2.6410256410256343E-2</v>
      </c>
      <c r="BS40" s="696">
        <f t="shared" si="656"/>
        <v>7.0580357142856959E-2</v>
      </c>
      <c r="BT40" s="697">
        <f t="shared" si="656"/>
        <v>4.0515320334261723E-2</v>
      </c>
      <c r="BU40" s="732">
        <f t="shared" si="656"/>
        <v>6.4922407541696842E-2</v>
      </c>
      <c r="BV40" s="665"/>
      <c r="BW40" s="717">
        <f>BW38-BW39</f>
        <v>4.1233595800524832E-2</v>
      </c>
      <c r="BX40" s="696">
        <f t="shared" ref="BX40:CA40" si="657">BX38-BX39</f>
        <v>4.0781720750971348E-2</v>
      </c>
      <c r="BY40" s="696">
        <f t="shared" si="657"/>
        <v>4.1965552605253809E-2</v>
      </c>
      <c r="BZ40" s="697">
        <f t="shared" si="657"/>
        <v>4.1643841067767751E-2</v>
      </c>
      <c r="CA40" s="732">
        <f t="shared" si="657"/>
        <v>4.1404831984769075E-2</v>
      </c>
      <c r="CB40" s="665"/>
      <c r="CC40" s="717">
        <f>CC38-CC39</f>
        <v>4.1617008702651281E-2</v>
      </c>
      <c r="CD40" s="696">
        <f t="shared" ref="CD40:CG40" si="658">CD38-CD39</f>
        <v>4.0904692900246342E-2</v>
      </c>
      <c r="CE40" s="696">
        <f t="shared" si="658"/>
        <v>4.2057817270545028E-2</v>
      </c>
      <c r="CF40" s="697">
        <f t="shared" si="658"/>
        <v>4.1737248989657694E-2</v>
      </c>
      <c r="CG40" s="732">
        <f t="shared" si="658"/>
        <v>4.1578034347362847E-2</v>
      </c>
      <c r="CH40" s="665"/>
      <c r="CI40" s="717">
        <f>CI38-CI39</f>
        <v>4.1710503031221036E-2</v>
      </c>
      <c r="CJ40" s="696">
        <f t="shared" ref="CJ40:CM40" si="659">CJ38-CJ39</f>
        <v>4.0999976869501742E-2</v>
      </c>
      <c r="CK40" s="696">
        <f t="shared" si="659"/>
        <v>4.2149717534132769E-2</v>
      </c>
      <c r="CL40" s="697">
        <f t="shared" si="659"/>
        <v>4.1830345368847333E-2</v>
      </c>
      <c r="CM40" s="732">
        <f t="shared" si="659"/>
        <v>4.1671651728282022E-2</v>
      </c>
    </row>
    <row r="41" spans="1:91" s="25" customFormat="1" ht="11.25" x14ac:dyDescent="0.2">
      <c r="A41" s="699" t="s">
        <v>18</v>
      </c>
      <c r="B41" s="700"/>
      <c r="C41" s="719"/>
      <c r="D41" s="700"/>
      <c r="E41" s="700"/>
      <c r="F41" s="701"/>
      <c r="G41" s="734"/>
      <c r="H41" s="700"/>
      <c r="I41" s="719"/>
      <c r="J41" s="700"/>
      <c r="K41" s="700"/>
      <c r="L41" s="701"/>
      <c r="M41" s="734"/>
      <c r="N41" s="700"/>
      <c r="O41" s="719"/>
      <c r="P41" s="700"/>
      <c r="Q41" s="700"/>
      <c r="R41" s="701"/>
      <c r="S41" s="734"/>
      <c r="T41" s="700"/>
      <c r="U41" s="719"/>
      <c r="V41" s="700"/>
      <c r="W41" s="700"/>
      <c r="X41" s="701"/>
      <c r="Y41" s="734"/>
      <c r="Z41" s="700"/>
      <c r="AA41" s="719"/>
      <c r="AB41" s="700"/>
      <c r="AC41" s="700"/>
      <c r="AD41" s="701"/>
      <c r="AE41" s="734"/>
      <c r="AF41" s="700"/>
      <c r="AG41" s="719"/>
      <c r="AH41" s="700"/>
      <c r="AI41" s="700"/>
      <c r="AJ41" s="701"/>
      <c r="AK41" s="734"/>
      <c r="AL41" s="700"/>
      <c r="AM41" s="719"/>
      <c r="AN41" s="700"/>
      <c r="AO41" s="700"/>
      <c r="AP41" s="701"/>
      <c r="AQ41" s="734"/>
      <c r="AR41" s="700"/>
      <c r="AS41" s="719"/>
      <c r="AT41" s="700"/>
      <c r="AU41" s="700"/>
      <c r="AV41" s="701"/>
      <c r="AW41" s="734"/>
      <c r="AX41" s="700"/>
      <c r="AY41" s="719"/>
      <c r="AZ41" s="700"/>
      <c r="BA41" s="700"/>
      <c r="BB41" s="701"/>
      <c r="BC41" s="734"/>
      <c r="BD41" s="700"/>
      <c r="BE41" s="719"/>
      <c r="BF41" s="700"/>
      <c r="BG41" s="700"/>
      <c r="BH41" s="701"/>
      <c r="BI41" s="734"/>
      <c r="BJ41" s="700"/>
      <c r="BK41" s="719"/>
      <c r="BL41" s="700"/>
      <c r="BM41" s="700"/>
      <c r="BN41" s="701"/>
      <c r="BO41" s="734"/>
      <c r="BP41" s="700"/>
      <c r="BQ41" s="719"/>
      <c r="BR41" s="700"/>
      <c r="BS41" s="700"/>
      <c r="BT41" s="701"/>
      <c r="BU41" s="734"/>
      <c r="BV41" s="700"/>
      <c r="BW41" s="719"/>
      <c r="BX41" s="700"/>
      <c r="BY41" s="700"/>
      <c r="BZ41" s="701"/>
      <c r="CA41" s="734"/>
      <c r="CB41" s="700"/>
      <c r="CC41" s="719"/>
      <c r="CD41" s="700"/>
      <c r="CE41" s="700"/>
      <c r="CF41" s="701"/>
      <c r="CG41" s="734"/>
      <c r="CH41" s="700"/>
      <c r="CI41" s="719"/>
      <c r="CJ41" s="700"/>
      <c r="CK41" s="700"/>
      <c r="CL41" s="701"/>
      <c r="CM41" s="734"/>
    </row>
    <row r="42" spans="1:91" s="25" customFormat="1" ht="11.25" hidden="1" outlineLevel="1" x14ac:dyDescent="0.2">
      <c r="A42" s="694" t="s">
        <v>4</v>
      </c>
      <c r="B42" s="665"/>
      <c r="C42" s="669">
        <v>61.832999999999998</v>
      </c>
      <c r="D42" s="657">
        <v>71.718999999999994</v>
      </c>
      <c r="E42" s="657">
        <v>71.686000000000007</v>
      </c>
      <c r="F42" s="676">
        <v>85.132999999999996</v>
      </c>
      <c r="G42" s="677">
        <v>290.37099999999998</v>
      </c>
      <c r="H42" s="665"/>
      <c r="I42" s="720">
        <v>67.358000000000004</v>
      </c>
      <c r="J42" s="655">
        <v>78.269000000000005</v>
      </c>
      <c r="K42" s="655">
        <v>80.186000000000007</v>
      </c>
      <c r="L42" s="676">
        <v>98.882999999999996</v>
      </c>
      <c r="M42" s="733">
        <f>SUM(I42:L42)</f>
        <v>324.69600000000003</v>
      </c>
      <c r="N42" s="665"/>
      <c r="O42" s="669">
        <v>77.378999999999991</v>
      </c>
      <c r="P42" s="657">
        <v>71.77</v>
      </c>
      <c r="Q42" s="657">
        <v>70.518000000000001</v>
      </c>
      <c r="R42" s="676">
        <v>84.179000000000002</v>
      </c>
      <c r="S42" s="733">
        <f>SUM(O42:R42)</f>
        <v>303.846</v>
      </c>
      <c r="T42" s="665"/>
      <c r="U42" s="669">
        <v>77.603999999999999</v>
      </c>
      <c r="V42" s="657">
        <v>78.183000000000007</v>
      </c>
      <c r="W42" s="657">
        <v>84.364999999999995</v>
      </c>
      <c r="X42" s="676">
        <v>86.765000000000001</v>
      </c>
      <c r="Y42" s="733">
        <f>SUM(U42:X42)</f>
        <v>326.91699999999997</v>
      </c>
      <c r="Z42" s="665"/>
      <c r="AA42" s="669">
        <f>80.255+9.5</f>
        <v>89.754999999999995</v>
      </c>
      <c r="AB42" s="657">
        <f>83.006+9.421</f>
        <v>92.426999999999992</v>
      </c>
      <c r="AC42" s="657">
        <f>89.162+8.752</f>
        <v>97.914000000000001</v>
      </c>
      <c r="AD42" s="676">
        <f>89.899+7</f>
        <v>96.899000000000001</v>
      </c>
      <c r="AE42" s="733">
        <f>SUM(AA42:AD42)</f>
        <v>376.995</v>
      </c>
      <c r="AF42" s="665"/>
      <c r="AG42" s="669">
        <f>73.792+6</f>
        <v>79.792000000000002</v>
      </c>
      <c r="AH42" s="657">
        <f>78.841+5.28</f>
        <v>84.120999999999995</v>
      </c>
      <c r="AI42" s="657">
        <v>91.674000000000007</v>
      </c>
      <c r="AJ42" s="676">
        <v>87.650999999999996</v>
      </c>
      <c r="AK42" s="733">
        <f>SUM(AG42:AJ42)</f>
        <v>343.238</v>
      </c>
      <c r="AL42" s="665"/>
      <c r="AM42" s="669">
        <v>84.194999999999993</v>
      </c>
      <c r="AN42" s="657">
        <v>88.861999999999995</v>
      </c>
      <c r="AO42" s="657">
        <v>88.635999999999996</v>
      </c>
      <c r="AP42" s="676">
        <v>92</v>
      </c>
      <c r="AQ42" s="733">
        <f>SUM(AM42:AP42)</f>
        <v>353.69299999999998</v>
      </c>
      <c r="AR42" s="665"/>
      <c r="AS42" s="669">
        <v>87</v>
      </c>
      <c r="AT42" s="657">
        <v>90</v>
      </c>
      <c r="AU42" s="657">
        <v>93.2</v>
      </c>
      <c r="AV42" s="676">
        <v>95.7</v>
      </c>
      <c r="AW42" s="733">
        <f>SUM(AS42:AV42)</f>
        <v>365.9</v>
      </c>
      <c r="AX42" s="665"/>
      <c r="AY42" s="669">
        <v>92.65</v>
      </c>
      <c r="AZ42" s="657">
        <v>96.7</v>
      </c>
      <c r="BA42" s="657">
        <v>102</v>
      </c>
      <c r="BB42" s="676">
        <v>110</v>
      </c>
      <c r="BC42" s="733">
        <f>SUM(AY42:BB42)</f>
        <v>401.35</v>
      </c>
      <c r="BD42" s="665"/>
      <c r="BE42" s="669">
        <v>98</v>
      </c>
      <c r="BF42" s="657">
        <v>110</v>
      </c>
      <c r="BG42" s="657">
        <v>106</v>
      </c>
      <c r="BH42" s="676">
        <v>119</v>
      </c>
      <c r="BI42" s="733">
        <f>SUM(BE42:BH42)</f>
        <v>433</v>
      </c>
      <c r="BJ42" s="665"/>
      <c r="BK42" s="669">
        <v>107</v>
      </c>
      <c r="BL42" s="657">
        <v>110</v>
      </c>
      <c r="BM42" s="657">
        <v>115</v>
      </c>
      <c r="BN42" s="676">
        <v>123</v>
      </c>
      <c r="BO42" s="733">
        <f>SUM(BK42:BN42)</f>
        <v>455</v>
      </c>
      <c r="BP42" s="657"/>
      <c r="BQ42" s="669">
        <v>108</v>
      </c>
      <c r="BR42" s="666">
        <f t="shared" ref="BR42" si="660">BL42*(1+BR43)</f>
        <v>119.9</v>
      </c>
      <c r="BS42" s="666">
        <f t="shared" ref="BS42" si="661">BM42*(1+BS43)</f>
        <v>118.45</v>
      </c>
      <c r="BT42" s="667">
        <f t="shared" ref="BT42" si="662">BN42*(1+BT43)</f>
        <v>129.15</v>
      </c>
      <c r="BU42" s="733">
        <f>SUM(BQ42:BT42)</f>
        <v>475.5</v>
      </c>
      <c r="BV42" s="665"/>
      <c r="BW42" s="718">
        <f>BQ42*(1+BW43)</f>
        <v>112.85999999999999</v>
      </c>
      <c r="BX42" s="666">
        <f t="shared" ref="BX42" si="663">BR42*(1+BX43)</f>
        <v>125.2955</v>
      </c>
      <c r="BY42" s="666">
        <f t="shared" ref="BY42" si="664">BS42*(1+BY43)</f>
        <v>123.78025</v>
      </c>
      <c r="BZ42" s="667">
        <f t="shared" ref="BZ42" si="665">BT42*(1+BZ43)</f>
        <v>134.96174999999999</v>
      </c>
      <c r="CA42" s="733">
        <f>SUM(BW42:BZ42)</f>
        <v>496.89749999999998</v>
      </c>
      <c r="CB42" s="665"/>
      <c r="CC42" s="718">
        <f>BW42*(1+CC43)</f>
        <v>117.93869999999998</v>
      </c>
      <c r="CD42" s="666">
        <f t="shared" ref="CD42" si="666">BX42*(1+CD43)</f>
        <v>130.9337975</v>
      </c>
      <c r="CE42" s="666">
        <f t="shared" ref="CE42" si="667">BY42*(1+CE43)</f>
        <v>129.35036124999999</v>
      </c>
      <c r="CF42" s="667">
        <f t="shared" ref="CF42" si="668">BZ42*(1+CF43)</f>
        <v>141.03502874999998</v>
      </c>
      <c r="CG42" s="733">
        <f>SUM(CC42:CF42)</f>
        <v>519.25788749999992</v>
      </c>
      <c r="CH42" s="665"/>
      <c r="CI42" s="718">
        <f>CC42*(1+CI43)</f>
        <v>123.24594149999997</v>
      </c>
      <c r="CJ42" s="666">
        <f t="shared" ref="CJ42" si="669">CD42*(1+CJ43)</f>
        <v>136.82581838749999</v>
      </c>
      <c r="CK42" s="666">
        <f t="shared" ref="CK42" si="670">CE42*(1+CK43)</f>
        <v>135.17112750624997</v>
      </c>
      <c r="CL42" s="667">
        <f t="shared" ref="CL42" si="671">CF42*(1+CL43)</f>
        <v>147.38160504374997</v>
      </c>
      <c r="CM42" s="733">
        <f>SUM(CI42:CL42)</f>
        <v>542.62449243749984</v>
      </c>
    </row>
    <row r="43" spans="1:91" s="25" customFormat="1" ht="11.25" hidden="1" outlineLevel="1" x14ac:dyDescent="0.2">
      <c r="A43" s="695" t="s">
        <v>5</v>
      </c>
      <c r="B43" s="665"/>
      <c r="C43" s="672">
        <v>7.3228729128336889E-2</v>
      </c>
      <c r="D43" s="673">
        <v>7.7622346100100659E-2</v>
      </c>
      <c r="E43" s="673">
        <v>7.1827995574295089E-2</v>
      </c>
      <c r="F43" s="674">
        <v>0.16713279043623674</v>
      </c>
      <c r="G43" s="671">
        <v>9.992764904864182E-2</v>
      </c>
      <c r="H43" s="665"/>
      <c r="I43" s="724">
        <f>I42/C42-1</f>
        <v>8.9353581420924089E-2</v>
      </c>
      <c r="J43" s="704">
        <f>J42/D42-1</f>
        <v>9.1328657677882008E-2</v>
      </c>
      <c r="K43" s="704">
        <f>K42/E42-1</f>
        <v>0.11857266411851675</v>
      </c>
      <c r="L43" s="697">
        <f>L42/F42-1</f>
        <v>0.16151198712602644</v>
      </c>
      <c r="M43" s="732">
        <f>M42/G42-1</f>
        <v>0.1182108406142488</v>
      </c>
      <c r="N43" s="696"/>
      <c r="O43" s="717">
        <f>O42/I42-1</f>
        <v>0.1487722319546303</v>
      </c>
      <c r="P43" s="696">
        <f>P42/J42-1</f>
        <v>-8.3034151452043736E-2</v>
      </c>
      <c r="Q43" s="696">
        <f>Q42/K42-1</f>
        <v>-0.12056967550445219</v>
      </c>
      <c r="R43" s="697">
        <f>R42/L42-1</f>
        <v>-0.14870099005895854</v>
      </c>
      <c r="S43" s="732">
        <f>S42/M42-1</f>
        <v>-6.4213910858156642E-2</v>
      </c>
      <c r="T43" s="696"/>
      <c r="U43" s="717">
        <f>U42/O42-1</f>
        <v>2.90776567285711E-3</v>
      </c>
      <c r="V43" s="696">
        <f>V42/P42-1</f>
        <v>8.9354883656123985E-2</v>
      </c>
      <c r="W43" s="696">
        <f>W42/Q42-1</f>
        <v>0.19636121274000962</v>
      </c>
      <c r="X43" s="697">
        <f>X42/R42-1</f>
        <v>3.072025089392838E-2</v>
      </c>
      <c r="Y43" s="732">
        <f>Y42/S42-1</f>
        <v>7.592991186324638E-2</v>
      </c>
      <c r="Z43" s="696"/>
      <c r="AA43" s="717">
        <f>AA42/U42-1</f>
        <v>0.15657698056801195</v>
      </c>
      <c r="AB43" s="696">
        <f>AB42/V42-1</f>
        <v>0.18218794367061864</v>
      </c>
      <c r="AC43" s="696">
        <f>AC42/W42-1</f>
        <v>0.16059977478812315</v>
      </c>
      <c r="AD43" s="697">
        <f>AD42/X42-1</f>
        <v>0.11679824814153172</v>
      </c>
      <c r="AE43" s="732">
        <f>AE42/Y42-1</f>
        <v>0.15318261210031925</v>
      </c>
      <c r="AF43" s="696"/>
      <c r="AG43" s="717">
        <f>AG42/AA42-1</f>
        <v>-0.1110021725809146</v>
      </c>
      <c r="AH43" s="696">
        <f>AH42/AB42-1</f>
        <v>-8.9865515487898562E-2</v>
      </c>
      <c r="AI43" s="696">
        <f>AI42/AC42-1</f>
        <v>-6.3729395183528381E-2</v>
      </c>
      <c r="AJ43" s="697">
        <f>AJ42/AD42-1</f>
        <v>-9.5439581419828889E-2</v>
      </c>
      <c r="AK43" s="732">
        <f>AK42/AE42-1</f>
        <v>-8.9542301622037468E-2</v>
      </c>
      <c r="AL43" s="696"/>
      <c r="AM43" s="717">
        <f>AM42/AG42-1</f>
        <v>5.5180970523360573E-2</v>
      </c>
      <c r="AN43" s="696">
        <f>AN42/AH42-1</f>
        <v>5.6359291972277958E-2</v>
      </c>
      <c r="AO43" s="696">
        <f>AO42/AI42-1</f>
        <v>-3.3139167048454432E-2</v>
      </c>
      <c r="AP43" s="697">
        <f>AP42/AJ42-1</f>
        <v>4.9617231976817111E-2</v>
      </c>
      <c r="AQ43" s="732">
        <f>AQ42/AK42-1</f>
        <v>3.0459914112073827E-2</v>
      </c>
      <c r="AR43" s="696"/>
      <c r="AS43" s="717">
        <f>AS42/AM42-1</f>
        <v>3.3315517548548002E-2</v>
      </c>
      <c r="AT43" s="696">
        <f>AT42/AN42-1</f>
        <v>1.2806373928113235E-2</v>
      </c>
      <c r="AU43" s="696">
        <f>AU42/AO42-1</f>
        <v>5.1491493298434055E-2</v>
      </c>
      <c r="AV43" s="697">
        <f>AV42/AP42-1</f>
        <v>4.021739130434776E-2</v>
      </c>
      <c r="AW43" s="732">
        <f>AW42/AQ42-1</f>
        <v>3.4512981597034642E-2</v>
      </c>
      <c r="AX43" s="696"/>
      <c r="AY43" s="717">
        <f>AY42/AS42-1</f>
        <v>6.4942528735632221E-2</v>
      </c>
      <c r="AZ43" s="696">
        <f>AZ42/AT42-1</f>
        <v>7.4444444444444535E-2</v>
      </c>
      <c r="BA43" s="696">
        <f>BA42/AU42-1</f>
        <v>9.4420600858369008E-2</v>
      </c>
      <c r="BB43" s="697">
        <f>BB42/AV42-1</f>
        <v>0.14942528735632177</v>
      </c>
      <c r="BC43" s="732">
        <f>BC42/AW42-1</f>
        <v>9.6884394643345306E-2</v>
      </c>
      <c r="BD43" s="665"/>
      <c r="BE43" s="717">
        <f>BE42/AY42-1</f>
        <v>5.7744198596869856E-2</v>
      </c>
      <c r="BF43" s="696">
        <f>BF42/AZ42-1</f>
        <v>0.13753877973112716</v>
      </c>
      <c r="BG43" s="696">
        <f>BG42/BA42-1</f>
        <v>3.9215686274509887E-2</v>
      </c>
      <c r="BH43" s="697">
        <f>BH42/BB42-1</f>
        <v>8.181818181818179E-2</v>
      </c>
      <c r="BI43" s="732">
        <f>BI42/BC42-1</f>
        <v>7.8858851376603978E-2</v>
      </c>
      <c r="BJ43" s="665"/>
      <c r="BK43" s="717">
        <f>BK42/BE42-1</f>
        <v>9.1836734693877542E-2</v>
      </c>
      <c r="BL43" s="696">
        <f t="shared" ref="BL43" si="672">BL42/BF42-1</f>
        <v>0</v>
      </c>
      <c r="BM43" s="696">
        <f t="shared" ref="BM43" si="673">BM42/BG42-1</f>
        <v>8.4905660377358583E-2</v>
      </c>
      <c r="BN43" s="697">
        <f t="shared" ref="BN43" si="674">BN42/BH42-1</f>
        <v>3.3613445378151363E-2</v>
      </c>
      <c r="BO43" s="732">
        <f t="shared" ref="BO43" si="675">BO42/BI42-1</f>
        <v>5.0808314087759765E-2</v>
      </c>
      <c r="BP43" s="665"/>
      <c r="BQ43" s="717">
        <f>BQ42/BK42-1</f>
        <v>9.3457943925232545E-3</v>
      </c>
      <c r="BR43" s="696">
        <f t="shared" ref="BR43" si="676">BR45+BR44</f>
        <v>0.09</v>
      </c>
      <c r="BS43" s="696">
        <f t="shared" ref="BS43" si="677">BS45+BS44</f>
        <v>0.03</v>
      </c>
      <c r="BT43" s="697">
        <f t="shared" ref="BT43" si="678">BT45+BT44</f>
        <v>0.05</v>
      </c>
      <c r="BU43" s="732">
        <f t="shared" ref="BU43" si="679">BU42/BO42-1</f>
        <v>4.5054945054945117E-2</v>
      </c>
      <c r="BV43" s="665"/>
      <c r="BW43" s="717">
        <f>BW45+BW44</f>
        <v>4.4999999999999998E-2</v>
      </c>
      <c r="BX43" s="696">
        <f t="shared" ref="BX43" si="680">BX45+BX44</f>
        <v>4.4999999999999998E-2</v>
      </c>
      <c r="BY43" s="696">
        <f t="shared" ref="BY43" si="681">BY45+BY44</f>
        <v>4.4999999999999998E-2</v>
      </c>
      <c r="BZ43" s="697">
        <f t="shared" ref="BZ43" si="682">BZ45+BZ44</f>
        <v>4.4999999999999998E-2</v>
      </c>
      <c r="CA43" s="732">
        <f t="shared" ref="CA43" si="683">CA42/BU42-1</f>
        <v>4.4999999999999929E-2</v>
      </c>
      <c r="CB43" s="665"/>
      <c r="CC43" s="717">
        <f>CC45+CC44</f>
        <v>4.4999999999999998E-2</v>
      </c>
      <c r="CD43" s="696">
        <f t="shared" ref="CD43" si="684">CD45+CD44</f>
        <v>4.4999999999999998E-2</v>
      </c>
      <c r="CE43" s="696">
        <f t="shared" ref="CE43" si="685">CE45+CE44</f>
        <v>4.4999999999999998E-2</v>
      </c>
      <c r="CF43" s="697">
        <f t="shared" ref="CF43" si="686">CF45+CF44</f>
        <v>4.4999999999999998E-2</v>
      </c>
      <c r="CG43" s="732">
        <f t="shared" ref="CG43" si="687">CG42/CA42-1</f>
        <v>4.4999999999999929E-2</v>
      </c>
      <c r="CH43" s="665"/>
      <c r="CI43" s="717">
        <f>CI45+CI44</f>
        <v>4.4999999999999998E-2</v>
      </c>
      <c r="CJ43" s="696">
        <f t="shared" ref="CJ43" si="688">CJ45+CJ44</f>
        <v>4.4999999999999998E-2</v>
      </c>
      <c r="CK43" s="696">
        <f t="shared" ref="CK43" si="689">CK45+CK44</f>
        <v>4.4999999999999998E-2</v>
      </c>
      <c r="CL43" s="697">
        <f t="shared" ref="CL43" si="690">CL45+CL44</f>
        <v>4.4999999999999998E-2</v>
      </c>
      <c r="CM43" s="732">
        <f t="shared" ref="CM43" si="691">CM42/CG42-1</f>
        <v>4.4999999999999929E-2</v>
      </c>
    </row>
    <row r="44" spans="1:91" s="25" customFormat="1" ht="11.25" hidden="1" outlineLevel="1" x14ac:dyDescent="0.2">
      <c r="A44" s="695" t="s">
        <v>6</v>
      </c>
      <c r="B44" s="665"/>
      <c r="C44" s="672"/>
      <c r="D44" s="673"/>
      <c r="E44" s="673"/>
      <c r="F44" s="674"/>
      <c r="G44" s="671"/>
      <c r="H44" s="665"/>
      <c r="I44" s="722">
        <v>0</v>
      </c>
      <c r="J44" s="703">
        <v>0</v>
      </c>
      <c r="K44" s="703">
        <v>0</v>
      </c>
      <c r="L44" s="674">
        <v>0</v>
      </c>
      <c r="M44" s="732">
        <f>SUMPRODUCT(I44:L44,C42:F42)/G42</f>
        <v>0</v>
      </c>
      <c r="N44" s="665"/>
      <c r="O44" s="672">
        <v>0</v>
      </c>
      <c r="P44" s="673">
        <v>0</v>
      </c>
      <c r="Q44" s="673">
        <v>0</v>
      </c>
      <c r="R44" s="674">
        <v>0</v>
      </c>
      <c r="S44" s="732">
        <f>SUMPRODUCT(O44:R44,I42:L42)/M42</f>
        <v>0</v>
      </c>
      <c r="T44" s="665"/>
      <c r="U44" s="672">
        <v>0</v>
      </c>
      <c r="V44" s="673">
        <v>0</v>
      </c>
      <c r="W44" s="673">
        <v>0</v>
      </c>
      <c r="X44" s="674">
        <v>0</v>
      </c>
      <c r="Y44" s="732">
        <f>SUMPRODUCT(U44:X44,O42:R42)/S42</f>
        <v>0</v>
      </c>
      <c r="Z44" s="665"/>
      <c r="AA44" s="672">
        <v>0</v>
      </c>
      <c r="AB44" s="673">
        <v>0</v>
      </c>
      <c r="AC44" s="673">
        <v>0</v>
      </c>
      <c r="AD44" s="674">
        <v>0</v>
      </c>
      <c r="AE44" s="732">
        <f>SUMPRODUCT(AA44:AD44,U42:X42)/Y42</f>
        <v>0</v>
      </c>
      <c r="AF44" s="665"/>
      <c r="AG44" s="672">
        <v>0</v>
      </c>
      <c r="AH44" s="673">
        <v>0</v>
      </c>
      <c r="AI44" s="673">
        <v>0</v>
      </c>
      <c r="AJ44" s="674">
        <v>0</v>
      </c>
      <c r="AK44" s="732">
        <f>SUMPRODUCT(AG44:AJ44,AA42:AD42)/AE42</f>
        <v>0</v>
      </c>
      <c r="AL44" s="665"/>
      <c r="AM44" s="672">
        <v>0</v>
      </c>
      <c r="AN44" s="673">
        <v>0</v>
      </c>
      <c r="AO44" s="673">
        <v>0</v>
      </c>
      <c r="AP44" s="674">
        <v>0</v>
      </c>
      <c r="AQ44" s="732">
        <f>SUMPRODUCT(AM44:AP44,AG42:AJ42)/AK42</f>
        <v>0</v>
      </c>
      <c r="AR44" s="665"/>
      <c r="AS44" s="672">
        <v>0</v>
      </c>
      <c r="AT44" s="673">
        <v>0</v>
      </c>
      <c r="AU44" s="673">
        <v>0</v>
      </c>
      <c r="AV44" s="674">
        <v>0</v>
      </c>
      <c r="AW44" s="732">
        <f>SUMPRODUCT(AS44:AV44,AM42:AP42)/AQ42</f>
        <v>0</v>
      </c>
      <c r="AX44" s="665"/>
      <c r="AY44" s="672">
        <v>0</v>
      </c>
      <c r="AZ44" s="673">
        <v>0</v>
      </c>
      <c r="BA44" s="673">
        <v>0</v>
      </c>
      <c r="BB44" s="674">
        <v>0</v>
      </c>
      <c r="BC44" s="732">
        <f>SUMPRODUCT(AY44:BB44,AS42:AV42)/AW42</f>
        <v>0</v>
      </c>
      <c r="BD44" s="665"/>
      <c r="BE44" s="672">
        <v>0</v>
      </c>
      <c r="BF44" s="673">
        <v>0</v>
      </c>
      <c r="BG44" s="673">
        <v>0</v>
      </c>
      <c r="BH44" s="674">
        <v>0</v>
      </c>
      <c r="BI44" s="732">
        <f>SUMPRODUCT(BE44:BH44,AY42:BB42)/BC42</f>
        <v>0</v>
      </c>
      <c r="BJ44" s="665"/>
      <c r="BK44" s="672">
        <v>0</v>
      </c>
      <c r="BL44" s="673">
        <v>0</v>
      </c>
      <c r="BM44" s="673">
        <v>0</v>
      </c>
      <c r="BN44" s="674">
        <v>0</v>
      </c>
      <c r="BO44" s="732">
        <f>SUMPRODUCT(BK44:BN44,BE42:BH42)/BI42</f>
        <v>0</v>
      </c>
      <c r="BP44" s="665"/>
      <c r="BQ44" s="672">
        <v>0</v>
      </c>
      <c r="BR44" s="673">
        <v>0</v>
      </c>
      <c r="BS44" s="673">
        <v>0</v>
      </c>
      <c r="BT44" s="674">
        <v>0</v>
      </c>
      <c r="BU44" s="732">
        <f>SUMPRODUCT(BQ44:BT44,BK42:BN42)/BO42</f>
        <v>0</v>
      </c>
      <c r="BV44" s="665"/>
      <c r="BW44" s="672">
        <v>0</v>
      </c>
      <c r="BX44" s="673">
        <v>0</v>
      </c>
      <c r="BY44" s="673">
        <v>0</v>
      </c>
      <c r="BZ44" s="674">
        <v>0</v>
      </c>
      <c r="CA44" s="732">
        <f>SUMPRODUCT(BW44:BZ44,BQ42:BT42)/BU42</f>
        <v>0</v>
      </c>
      <c r="CB44" s="665"/>
      <c r="CC44" s="672">
        <v>0</v>
      </c>
      <c r="CD44" s="673">
        <v>0</v>
      </c>
      <c r="CE44" s="673">
        <v>0</v>
      </c>
      <c r="CF44" s="674">
        <v>0</v>
      </c>
      <c r="CG44" s="732">
        <f>SUMPRODUCT(CC44:CF44,BW42:BZ42)/CA42</f>
        <v>0</v>
      </c>
      <c r="CH44" s="665"/>
      <c r="CI44" s="672">
        <v>0</v>
      </c>
      <c r="CJ44" s="673">
        <v>0</v>
      </c>
      <c r="CK44" s="673">
        <v>0</v>
      </c>
      <c r="CL44" s="674">
        <v>0</v>
      </c>
      <c r="CM44" s="732">
        <f>SUMPRODUCT(CI44:CL44,CC42:CF42)/CG42</f>
        <v>0</v>
      </c>
    </row>
    <row r="45" spans="1:91" s="25" customFormat="1" ht="11.25" hidden="1" outlineLevel="1" x14ac:dyDescent="0.2">
      <c r="A45" s="695" t="s">
        <v>7</v>
      </c>
      <c r="B45" s="665"/>
      <c r="C45" s="717"/>
      <c r="D45" s="696"/>
      <c r="E45" s="696"/>
      <c r="F45" s="697"/>
      <c r="G45" s="732"/>
      <c r="H45" s="665"/>
      <c r="I45" s="724">
        <f>I43-I44</f>
        <v>8.9353581420924089E-2</v>
      </c>
      <c r="J45" s="704">
        <f t="shared" ref="J45:M45" si="692">J43-J44</f>
        <v>9.1328657677882008E-2</v>
      </c>
      <c r="K45" s="704">
        <f t="shared" si="692"/>
        <v>0.11857266411851675</v>
      </c>
      <c r="L45" s="697">
        <f t="shared" si="692"/>
        <v>0.16151198712602644</v>
      </c>
      <c r="M45" s="732">
        <f t="shared" si="692"/>
        <v>0.1182108406142488</v>
      </c>
      <c r="N45" s="665"/>
      <c r="O45" s="717">
        <f>O43-O44</f>
        <v>0.1487722319546303</v>
      </c>
      <c r="P45" s="696">
        <f t="shared" ref="P45:S45" si="693">P43-P44</f>
        <v>-8.3034151452043736E-2</v>
      </c>
      <c r="Q45" s="696">
        <f t="shared" si="693"/>
        <v>-0.12056967550445219</v>
      </c>
      <c r="R45" s="697">
        <f t="shared" si="693"/>
        <v>-0.14870099005895854</v>
      </c>
      <c r="S45" s="732">
        <f t="shared" si="693"/>
        <v>-6.4213910858156642E-2</v>
      </c>
      <c r="T45" s="665"/>
      <c r="U45" s="717">
        <f>U43-U44</f>
        <v>2.90776567285711E-3</v>
      </c>
      <c r="V45" s="696">
        <f t="shared" ref="V45:Y45" si="694">V43-V44</f>
        <v>8.9354883656123985E-2</v>
      </c>
      <c r="W45" s="696">
        <f t="shared" si="694"/>
        <v>0.19636121274000962</v>
      </c>
      <c r="X45" s="697">
        <f t="shared" si="694"/>
        <v>3.072025089392838E-2</v>
      </c>
      <c r="Y45" s="732">
        <f t="shared" si="694"/>
        <v>7.592991186324638E-2</v>
      </c>
      <c r="Z45" s="665"/>
      <c r="AA45" s="717">
        <f>AA43-AA44</f>
        <v>0.15657698056801195</v>
      </c>
      <c r="AB45" s="696">
        <f t="shared" ref="AB45:AE45" si="695">AB43-AB44</f>
        <v>0.18218794367061864</v>
      </c>
      <c r="AC45" s="696">
        <f t="shared" si="695"/>
        <v>0.16059977478812315</v>
      </c>
      <c r="AD45" s="697">
        <f t="shared" si="695"/>
        <v>0.11679824814153172</v>
      </c>
      <c r="AE45" s="732">
        <f t="shared" si="695"/>
        <v>0.15318261210031925</v>
      </c>
      <c r="AF45" s="665"/>
      <c r="AG45" s="717">
        <f>AG43-AG44</f>
        <v>-0.1110021725809146</v>
      </c>
      <c r="AH45" s="696">
        <f t="shared" ref="AH45:AK45" si="696">AH43-AH44</f>
        <v>-8.9865515487898562E-2</v>
      </c>
      <c r="AI45" s="696">
        <f t="shared" si="696"/>
        <v>-6.3729395183528381E-2</v>
      </c>
      <c r="AJ45" s="697">
        <f t="shared" si="696"/>
        <v>-9.5439581419828889E-2</v>
      </c>
      <c r="AK45" s="732">
        <f t="shared" si="696"/>
        <v>-8.9542301622037468E-2</v>
      </c>
      <c r="AL45" s="665"/>
      <c r="AM45" s="717">
        <f>AM43-AM44</f>
        <v>5.5180970523360573E-2</v>
      </c>
      <c r="AN45" s="696">
        <f t="shared" ref="AN45:AQ45" si="697">AN43-AN44</f>
        <v>5.6359291972277958E-2</v>
      </c>
      <c r="AO45" s="696">
        <f t="shared" si="697"/>
        <v>-3.3139167048454432E-2</v>
      </c>
      <c r="AP45" s="697">
        <f t="shared" si="697"/>
        <v>4.9617231976817111E-2</v>
      </c>
      <c r="AQ45" s="732">
        <f t="shared" si="697"/>
        <v>3.0459914112073827E-2</v>
      </c>
      <c r="AR45" s="665"/>
      <c r="AS45" s="717">
        <f>AS43-AS44</f>
        <v>3.3315517548548002E-2</v>
      </c>
      <c r="AT45" s="696">
        <f t="shared" ref="AT45:AW45" si="698">AT43-AT44</f>
        <v>1.2806373928113235E-2</v>
      </c>
      <c r="AU45" s="696">
        <f t="shared" si="698"/>
        <v>5.1491493298434055E-2</v>
      </c>
      <c r="AV45" s="697">
        <f t="shared" si="698"/>
        <v>4.021739130434776E-2</v>
      </c>
      <c r="AW45" s="732">
        <f t="shared" si="698"/>
        <v>3.4512981597034642E-2</v>
      </c>
      <c r="AX45" s="665"/>
      <c r="AY45" s="717">
        <f>AY43-AY44</f>
        <v>6.4942528735632221E-2</v>
      </c>
      <c r="AZ45" s="696">
        <f t="shared" ref="AZ45:BC45" si="699">AZ43-AZ44</f>
        <v>7.4444444444444535E-2</v>
      </c>
      <c r="BA45" s="696">
        <f t="shared" si="699"/>
        <v>9.4420600858369008E-2</v>
      </c>
      <c r="BB45" s="697">
        <f t="shared" si="699"/>
        <v>0.14942528735632177</v>
      </c>
      <c r="BC45" s="732">
        <f t="shared" si="699"/>
        <v>9.6884394643345306E-2</v>
      </c>
      <c r="BD45" s="665"/>
      <c r="BE45" s="717">
        <f>BE43-BE44</f>
        <v>5.7744198596869856E-2</v>
      </c>
      <c r="BF45" s="696">
        <f t="shared" ref="BF45:BI45" si="700">BF43-BF44</f>
        <v>0.13753877973112716</v>
      </c>
      <c r="BG45" s="696">
        <f t="shared" si="700"/>
        <v>3.9215686274509887E-2</v>
      </c>
      <c r="BH45" s="697">
        <f t="shared" si="700"/>
        <v>8.181818181818179E-2</v>
      </c>
      <c r="BI45" s="732">
        <f t="shared" si="700"/>
        <v>7.8858851376603978E-2</v>
      </c>
      <c r="BJ45" s="665"/>
      <c r="BK45" s="717">
        <f>BK43-BK44</f>
        <v>9.1836734693877542E-2</v>
      </c>
      <c r="BL45" s="696">
        <f t="shared" ref="BL45" si="701">BL43-BL44</f>
        <v>0</v>
      </c>
      <c r="BM45" s="696">
        <f t="shared" ref="BM45" si="702">BM43-BM44</f>
        <v>8.4905660377358583E-2</v>
      </c>
      <c r="BN45" s="697">
        <f t="shared" ref="BN45" si="703">BN43-BN44</f>
        <v>3.3613445378151363E-2</v>
      </c>
      <c r="BO45" s="732">
        <f t="shared" ref="BO45" si="704">BO43-BO44</f>
        <v>5.0808314087759765E-2</v>
      </c>
      <c r="BP45" s="665"/>
      <c r="BQ45" s="717">
        <f>BQ43-BQ44</f>
        <v>9.3457943925232545E-3</v>
      </c>
      <c r="BR45" s="673">
        <v>0.09</v>
      </c>
      <c r="BS45" s="673">
        <v>0.03</v>
      </c>
      <c r="BT45" s="674">
        <v>0.05</v>
      </c>
      <c r="BU45" s="732">
        <f t="shared" ref="BU45" si="705">BU43-BU44</f>
        <v>4.5054945054945117E-2</v>
      </c>
      <c r="BV45" s="665"/>
      <c r="BW45" s="672">
        <v>4.4999999999999998E-2</v>
      </c>
      <c r="BX45" s="673">
        <f>BW45</f>
        <v>4.4999999999999998E-2</v>
      </c>
      <c r="BY45" s="673">
        <f>BX45</f>
        <v>4.4999999999999998E-2</v>
      </c>
      <c r="BZ45" s="674">
        <f>BY45</f>
        <v>4.4999999999999998E-2</v>
      </c>
      <c r="CA45" s="732">
        <f t="shared" ref="CA45" si="706">CA43-CA44</f>
        <v>4.4999999999999929E-2</v>
      </c>
      <c r="CB45" s="665"/>
      <c r="CC45" s="672">
        <v>4.4999999999999998E-2</v>
      </c>
      <c r="CD45" s="673">
        <f>CC45</f>
        <v>4.4999999999999998E-2</v>
      </c>
      <c r="CE45" s="673">
        <f>CD45</f>
        <v>4.4999999999999998E-2</v>
      </c>
      <c r="CF45" s="674">
        <f>CE45</f>
        <v>4.4999999999999998E-2</v>
      </c>
      <c r="CG45" s="732">
        <f t="shared" ref="CG45" si="707">CG43-CG44</f>
        <v>4.4999999999999929E-2</v>
      </c>
      <c r="CH45" s="665"/>
      <c r="CI45" s="672">
        <v>4.4999999999999998E-2</v>
      </c>
      <c r="CJ45" s="673">
        <f>CI45</f>
        <v>4.4999999999999998E-2</v>
      </c>
      <c r="CK45" s="673">
        <f>CJ45</f>
        <v>4.4999999999999998E-2</v>
      </c>
      <c r="CL45" s="674">
        <f>CK45</f>
        <v>4.4999999999999998E-2</v>
      </c>
      <c r="CM45" s="732">
        <f t="shared" ref="CM45" si="708">CM43-CM44</f>
        <v>4.4999999999999929E-2</v>
      </c>
    </row>
    <row r="46" spans="1:91" s="25" customFormat="1" ht="11.25" hidden="1" outlineLevel="1" x14ac:dyDescent="0.2">
      <c r="A46" s="694" t="s">
        <v>8</v>
      </c>
      <c r="B46" s="665"/>
      <c r="C46" s="669">
        <v>107.158</v>
      </c>
      <c r="D46" s="657">
        <v>116.494</v>
      </c>
      <c r="E46" s="657">
        <v>115.494</v>
      </c>
      <c r="F46" s="676">
        <v>126.515</v>
      </c>
      <c r="G46" s="677">
        <v>465.66099999999994</v>
      </c>
      <c r="H46" s="665"/>
      <c r="I46" s="720">
        <v>137.755</v>
      </c>
      <c r="J46" s="655">
        <v>141.452</v>
      </c>
      <c r="K46" s="655">
        <v>141.88999999999999</v>
      </c>
      <c r="L46" s="676">
        <v>154.71899999999999</v>
      </c>
      <c r="M46" s="733">
        <f>SUM(I46:L46)</f>
        <v>575.81600000000003</v>
      </c>
      <c r="N46" s="665"/>
      <c r="O46" s="669">
        <v>152.142</v>
      </c>
      <c r="P46" s="657">
        <v>159.22300000000001</v>
      </c>
      <c r="Q46" s="657">
        <v>139.251</v>
      </c>
      <c r="R46" s="676">
        <v>150.05500000000001</v>
      </c>
      <c r="S46" s="733">
        <f>SUM(O46:R46)</f>
        <v>600.67100000000005</v>
      </c>
      <c r="T46" s="665"/>
      <c r="U46" s="669">
        <v>153.73099999999999</v>
      </c>
      <c r="V46" s="657">
        <v>164.292</v>
      </c>
      <c r="W46" s="657">
        <v>146.06800000000001</v>
      </c>
      <c r="X46" s="676">
        <v>160.22999999999999</v>
      </c>
      <c r="Y46" s="733">
        <f>SUM(U46:X46)</f>
        <v>624.32100000000003</v>
      </c>
      <c r="Z46" s="665"/>
      <c r="AA46" s="669">
        <f>160.4877+4.842</f>
        <v>165.3297</v>
      </c>
      <c r="AB46" s="657">
        <f>172.51+8.998</f>
        <v>181.50799999999998</v>
      </c>
      <c r="AC46" s="657">
        <f>165.866+11.914</f>
        <v>177.78</v>
      </c>
      <c r="AD46" s="676">
        <f>183.259+11.384</f>
        <v>194.64299999999997</v>
      </c>
      <c r="AE46" s="733">
        <f>SUM(AA46:AD46)</f>
        <v>719.26070000000004</v>
      </c>
      <c r="AF46" s="665"/>
      <c r="AG46" s="669">
        <f>169.809+10.979</f>
        <v>180.78800000000001</v>
      </c>
      <c r="AH46" s="657">
        <f>182.702+10.932</f>
        <v>193.63399999999999</v>
      </c>
      <c r="AI46" s="657">
        <v>176.53</v>
      </c>
      <c r="AJ46" s="676">
        <v>185.44399999999999</v>
      </c>
      <c r="AK46" s="733">
        <f>SUM(AG46:AJ46)</f>
        <v>736.39599999999996</v>
      </c>
      <c r="AL46" s="665"/>
      <c r="AM46" s="669">
        <v>180.69900000000001</v>
      </c>
      <c r="AN46" s="657">
        <v>190.50200000000001</v>
      </c>
      <c r="AO46" s="657">
        <v>168.42</v>
      </c>
      <c r="AP46" s="676">
        <v>208</v>
      </c>
      <c r="AQ46" s="733">
        <f>SUM(AM46:AP46)</f>
        <v>747.62099999999998</v>
      </c>
      <c r="AR46" s="665"/>
      <c r="AS46" s="669">
        <v>192</v>
      </c>
      <c r="AT46" s="657">
        <v>212</v>
      </c>
      <c r="AU46" s="657">
        <v>183.8</v>
      </c>
      <c r="AV46" s="676">
        <v>204.49</v>
      </c>
      <c r="AW46" s="733">
        <f>SUM(AS46:AV46)</f>
        <v>792.29</v>
      </c>
      <c r="AX46" s="665"/>
      <c r="AY46" s="669">
        <v>195.5</v>
      </c>
      <c r="AZ46" s="657">
        <v>192</v>
      </c>
      <c r="BA46" s="657">
        <v>167</v>
      </c>
      <c r="BB46" s="676">
        <v>176</v>
      </c>
      <c r="BC46" s="733">
        <f>SUM(AY46:BB46)</f>
        <v>730.5</v>
      </c>
      <c r="BD46" s="665"/>
      <c r="BE46" s="669">
        <v>177</v>
      </c>
      <c r="BF46" s="657">
        <v>167</v>
      </c>
      <c r="BG46" s="657">
        <v>164</v>
      </c>
      <c r="BH46" s="676">
        <v>177</v>
      </c>
      <c r="BI46" s="733">
        <f>SUM(BE46:BH46)</f>
        <v>685</v>
      </c>
      <c r="BJ46" s="665"/>
      <c r="BK46" s="669">
        <v>163</v>
      </c>
      <c r="BL46" s="657">
        <v>160</v>
      </c>
      <c r="BM46" s="657">
        <v>171</v>
      </c>
      <c r="BN46" s="676">
        <v>191</v>
      </c>
      <c r="BO46" s="733">
        <f>SUM(BK46:BN46)</f>
        <v>685</v>
      </c>
      <c r="BP46" s="665"/>
      <c r="BQ46" s="669">
        <v>181</v>
      </c>
      <c r="BR46" s="666">
        <f t="shared" ref="BR46" si="709">BL46*(1+BR47)</f>
        <v>188.20792676071974</v>
      </c>
      <c r="BS46" s="666">
        <f t="shared" ref="BS46" si="710">BM46*(1+BS47)</f>
        <v>190.06368474745366</v>
      </c>
      <c r="BT46" s="667">
        <f t="shared" ref="BT46" si="711">BN46*(1+BT47)</f>
        <v>202.88481502888391</v>
      </c>
      <c r="BU46" s="733">
        <f>SUM(BQ46:BT46)</f>
        <v>762.15642653705731</v>
      </c>
      <c r="BV46" s="665"/>
      <c r="BW46" s="718">
        <f>BQ46*(1+BW47)</f>
        <v>201.61080178402011</v>
      </c>
      <c r="BX46" s="666">
        <f t="shared" ref="BX46" si="712">BR46*(1+BX47)</f>
        <v>198.71606933130016</v>
      </c>
      <c r="BY46" s="666">
        <f t="shared" ref="BY46" si="713">BS46*(1+BY47)</f>
        <v>199.56686898482636</v>
      </c>
      <c r="BZ46" s="667">
        <f t="shared" ref="BZ46" si="714">BT46*(1+BZ47)</f>
        <v>213.02905578032812</v>
      </c>
      <c r="CA46" s="733">
        <f>SUM(BW46:BZ46)</f>
        <v>812.92279588047472</v>
      </c>
      <c r="CB46" s="665"/>
      <c r="CC46" s="718">
        <f>BW46*(1+CC47)</f>
        <v>211.69134187322112</v>
      </c>
      <c r="CD46" s="666">
        <f t="shared" ref="CD46" si="715">BX46*(1+CD47)</f>
        <v>208.65187279786517</v>
      </c>
      <c r="CE46" s="666">
        <f t="shared" ref="CE46" si="716">BY46*(1+CE47)</f>
        <v>209.54521243406768</v>
      </c>
      <c r="CF46" s="667">
        <f t="shared" ref="CF46" si="717">BZ46*(1+CF47)</f>
        <v>223.68050856934454</v>
      </c>
      <c r="CG46" s="733">
        <f>SUM(CC46:CF46)</f>
        <v>853.56893567449845</v>
      </c>
      <c r="CH46" s="665"/>
      <c r="CI46" s="718">
        <f>CC46*(1+CI47)</f>
        <v>222.27590896688218</v>
      </c>
      <c r="CJ46" s="666">
        <f t="shared" ref="CJ46" si="718">CD46*(1+CJ47)</f>
        <v>219.08446643775844</v>
      </c>
      <c r="CK46" s="666">
        <f t="shared" ref="CK46" si="719">CE46*(1+CK47)</f>
        <v>220.02247305577106</v>
      </c>
      <c r="CL46" s="667">
        <f t="shared" ref="CL46" si="720">CF46*(1+CL47)</f>
        <v>234.86453399781178</v>
      </c>
      <c r="CM46" s="733">
        <f>SUM(CI46:CL46)</f>
        <v>896.24738245822346</v>
      </c>
    </row>
    <row r="47" spans="1:91" s="25" customFormat="1" ht="11.25" hidden="1" outlineLevel="1" x14ac:dyDescent="0.2">
      <c r="A47" s="695" t="s">
        <v>5</v>
      </c>
      <c r="B47" s="665"/>
      <c r="C47" s="672">
        <v>0.16243599757007732</v>
      </c>
      <c r="D47" s="673">
        <v>0.18126508345332493</v>
      </c>
      <c r="E47" s="673">
        <v>0.19823212673908297</v>
      </c>
      <c r="F47" s="674">
        <v>0.16051772216922289</v>
      </c>
      <c r="G47" s="671">
        <v>0.17530318900569131</v>
      </c>
      <c r="H47" s="665"/>
      <c r="I47" s="724">
        <f>I46/C46-1</f>
        <v>0.28553164486085958</v>
      </c>
      <c r="J47" s="704">
        <f>J46/D46-1</f>
        <v>0.21424279362027221</v>
      </c>
      <c r="K47" s="704">
        <f>K46/E46-1</f>
        <v>0.22854866919493633</v>
      </c>
      <c r="L47" s="697">
        <f>L46/F46-1</f>
        <v>0.22293008734142195</v>
      </c>
      <c r="M47" s="732">
        <f>M46/G46-1</f>
        <v>0.23655620719794035</v>
      </c>
      <c r="N47" s="696"/>
      <c r="O47" s="717">
        <f>O46/I46-1</f>
        <v>0.10443904032521512</v>
      </c>
      <c r="P47" s="696">
        <f>P46/J46-1</f>
        <v>0.12563272346803167</v>
      </c>
      <c r="Q47" s="696">
        <f>Q46/K46-1</f>
        <v>-1.8598914652195209E-2</v>
      </c>
      <c r="R47" s="697">
        <f>R46/L46-1</f>
        <v>-3.0144972498529543E-2</v>
      </c>
      <c r="S47" s="732">
        <f>S46/M46-1</f>
        <v>4.3164830431943635E-2</v>
      </c>
      <c r="T47" s="696"/>
      <c r="U47" s="717">
        <f>U46/O46-1</f>
        <v>1.0444190295907818E-2</v>
      </c>
      <c r="V47" s="696">
        <f>V46/P46-1</f>
        <v>3.1835852860453429E-2</v>
      </c>
      <c r="W47" s="696">
        <f>W46/Q46-1</f>
        <v>4.8954765136336675E-2</v>
      </c>
      <c r="X47" s="697">
        <f>X46/R46-1</f>
        <v>6.7808470227583184E-2</v>
      </c>
      <c r="Y47" s="732">
        <f>Y46/S46-1</f>
        <v>3.9372634936595929E-2</v>
      </c>
      <c r="Z47" s="696"/>
      <c r="AA47" s="717">
        <f>AA46/U46-1</f>
        <v>7.5448022845099549E-2</v>
      </c>
      <c r="AB47" s="696">
        <f>AB46/V46-1</f>
        <v>0.10478903415869301</v>
      </c>
      <c r="AC47" s="696">
        <f>AC46/W46-1</f>
        <v>0.21710436235178121</v>
      </c>
      <c r="AD47" s="697">
        <f>AD46/X46-1</f>
        <v>0.21477251451039114</v>
      </c>
      <c r="AE47" s="732">
        <f>AE46/Y46-1</f>
        <v>0.15206872746551858</v>
      </c>
      <c r="AF47" s="696"/>
      <c r="AG47" s="717">
        <f>AG46/AA46-1</f>
        <v>9.3499836992385621E-2</v>
      </c>
      <c r="AH47" s="696">
        <f>AH46/AB46-1</f>
        <v>6.6806972695418354E-2</v>
      </c>
      <c r="AI47" s="696">
        <f>AI46/AC46-1</f>
        <v>-7.0311621104736099E-3</v>
      </c>
      <c r="AJ47" s="697">
        <f>AJ46/AD46-1</f>
        <v>-4.7260882744306176E-2</v>
      </c>
      <c r="AK47" s="732">
        <f>AK46/AE46-1</f>
        <v>2.3823489869528425E-2</v>
      </c>
      <c r="AL47" s="696"/>
      <c r="AM47" s="717">
        <f>AM46/AG46-1</f>
        <v>-4.9228931123745934E-4</v>
      </c>
      <c r="AN47" s="696">
        <f>AN46/AH46-1</f>
        <v>-1.6174845326750398E-2</v>
      </c>
      <c r="AO47" s="696">
        <f>AO46/AI46-1</f>
        <v>-4.5941199796068699E-2</v>
      </c>
      <c r="AP47" s="697">
        <f>AP46/AJ46-1</f>
        <v>0.12163240654860763</v>
      </c>
      <c r="AQ47" s="732">
        <f>AQ46/AK46-1</f>
        <v>1.5243157214325009E-2</v>
      </c>
      <c r="AR47" s="696"/>
      <c r="AS47" s="717">
        <f>AS46/AM46-1</f>
        <v>6.2540467849849568E-2</v>
      </c>
      <c r="AT47" s="696">
        <f>AT46/AN46-1</f>
        <v>0.11284920893218953</v>
      </c>
      <c r="AU47" s="696">
        <f>AU46/AO46-1</f>
        <v>9.1319320745754773E-2</v>
      </c>
      <c r="AV47" s="697">
        <f>AV46/AP46-1</f>
        <v>-1.6874999999999973E-2</v>
      </c>
      <c r="AW47" s="732">
        <f>AW46/AQ46-1</f>
        <v>5.9748187918744922E-2</v>
      </c>
      <c r="AX47" s="696"/>
      <c r="AY47" s="717">
        <f>AY46/AS46-1</f>
        <v>1.8229166666666741E-2</v>
      </c>
      <c r="AZ47" s="696">
        <f>AZ46/AT46-1</f>
        <v>-9.4339622641509413E-2</v>
      </c>
      <c r="BA47" s="696">
        <f>BA46/AU46-1</f>
        <v>-9.1403699673558325E-2</v>
      </c>
      <c r="BB47" s="697">
        <f>BB46/AV46-1</f>
        <v>-0.13932221624529317</v>
      </c>
      <c r="BC47" s="732">
        <f>BC46/AW46-1</f>
        <v>-7.7989120145401269E-2</v>
      </c>
      <c r="BD47" s="665"/>
      <c r="BE47" s="717">
        <f>BE46/AY46-1</f>
        <v>-9.4629156010230142E-2</v>
      </c>
      <c r="BF47" s="696">
        <f>BF46/AZ46-1</f>
        <v>-0.13020833333333337</v>
      </c>
      <c r="BG47" s="696">
        <f>BG46/BA46-1</f>
        <v>-1.7964071856287456E-2</v>
      </c>
      <c r="BH47" s="697">
        <f>BH46/BB46-1</f>
        <v>5.6818181818181213E-3</v>
      </c>
      <c r="BI47" s="732">
        <f>BI46/BC46-1</f>
        <v>-6.2286105407255321E-2</v>
      </c>
      <c r="BJ47" s="665"/>
      <c r="BK47" s="717">
        <f>BK46/BE46-1</f>
        <v>-7.9096045197740161E-2</v>
      </c>
      <c r="BL47" s="696">
        <f t="shared" ref="BL47" si="721">BL46/BF46-1</f>
        <v>-4.1916167664670656E-2</v>
      </c>
      <c r="BM47" s="696">
        <f t="shared" ref="BM47" si="722">BM46/BG46-1</f>
        <v>4.2682926829268331E-2</v>
      </c>
      <c r="BN47" s="697">
        <f t="shared" ref="BN47" si="723">BN46/BH46-1</f>
        <v>7.909604519774005E-2</v>
      </c>
      <c r="BO47" s="732">
        <f t="shared" ref="BO47" si="724">BO46/BI46-1</f>
        <v>0</v>
      </c>
      <c r="BP47" s="665"/>
      <c r="BQ47" s="717">
        <f>BQ46/BK46-1</f>
        <v>0.11042944785276076</v>
      </c>
      <c r="BR47" s="696">
        <f t="shared" ref="BR47" si="725">BR49+BR48</f>
        <v>0.17629954225449829</v>
      </c>
      <c r="BS47" s="696">
        <f t="shared" ref="BS47" si="726">BS49+BS48</f>
        <v>0.11148353653481674</v>
      </c>
      <c r="BT47" s="697">
        <f t="shared" ref="BT47" si="727">BT49+BT48</f>
        <v>6.2224162454889501E-2</v>
      </c>
      <c r="BU47" s="732">
        <f t="shared" ref="BU47" si="728">BU46/BO46-1</f>
        <v>0.11263711903220042</v>
      </c>
      <c r="BV47" s="665"/>
      <c r="BW47" s="717">
        <f>BW49+BW48</f>
        <v>0.11387183306088458</v>
      </c>
      <c r="BX47" s="696">
        <f t="shared" ref="BX47" si="729">BX49+BX48</f>
        <v>5.5832624860376212E-2</v>
      </c>
      <c r="BY47" s="696">
        <f t="shared" ref="BY47" si="730">BY49+BY48</f>
        <v>0.05</v>
      </c>
      <c r="BZ47" s="697">
        <f t="shared" ref="BZ47" si="731">BZ49+BZ48</f>
        <v>0.05</v>
      </c>
      <c r="CA47" s="732">
        <f t="shared" ref="CA47" si="732">CA46/BU46-1</f>
        <v>6.6608858202613419E-2</v>
      </c>
      <c r="CB47" s="665"/>
      <c r="CC47" s="717">
        <f>CC49+CC48</f>
        <v>0.05</v>
      </c>
      <c r="CD47" s="696">
        <f t="shared" ref="CD47" si="733">CD49+CD48</f>
        <v>0.05</v>
      </c>
      <c r="CE47" s="696">
        <f t="shared" ref="CE47" si="734">CE49+CE48</f>
        <v>0.05</v>
      </c>
      <c r="CF47" s="697">
        <f t="shared" ref="CF47" si="735">CF49+CF48</f>
        <v>0.05</v>
      </c>
      <c r="CG47" s="732">
        <f t="shared" ref="CG47" si="736">CG46/CA46-1</f>
        <v>5.0000000000000044E-2</v>
      </c>
      <c r="CH47" s="665"/>
      <c r="CI47" s="717">
        <f>CI49+CI48</f>
        <v>0.05</v>
      </c>
      <c r="CJ47" s="696">
        <f t="shared" ref="CJ47" si="737">CJ49+CJ48</f>
        <v>0.05</v>
      </c>
      <c r="CK47" s="696">
        <f t="shared" ref="CK47" si="738">CK49+CK48</f>
        <v>0.05</v>
      </c>
      <c r="CL47" s="697">
        <f t="shared" ref="CL47" si="739">CL49+CL48</f>
        <v>0.05</v>
      </c>
      <c r="CM47" s="732">
        <f t="shared" ref="CM47" si="740">CM46/CG46-1</f>
        <v>5.0000000000000044E-2</v>
      </c>
    </row>
    <row r="48" spans="1:91" s="25" customFormat="1" ht="11.25" hidden="1" outlineLevel="1" x14ac:dyDescent="0.2">
      <c r="A48" s="695" t="s">
        <v>9</v>
      </c>
      <c r="B48" s="665"/>
      <c r="C48" s="672">
        <v>3.9589393110989607E-2</v>
      </c>
      <c r="D48" s="673">
        <v>6.0610937669923017E-2</v>
      </c>
      <c r="E48" s="673">
        <v>6.7957437002415105E-2</v>
      </c>
      <c r="F48" s="674">
        <v>6.2678140295289245E-2</v>
      </c>
      <c r="G48" s="671">
        <v>5.7847014105258235E-2</v>
      </c>
      <c r="H48" s="665"/>
      <c r="I48" s="722">
        <v>2.3E-2</v>
      </c>
      <c r="J48" s="703">
        <v>0.1</v>
      </c>
      <c r="K48" s="703">
        <v>0.125</v>
      </c>
      <c r="L48" s="674">
        <v>7.5999999999999998E-2</v>
      </c>
      <c r="M48" s="671">
        <v>0.10199999999999999</v>
      </c>
      <c r="N48" s="665"/>
      <c r="O48" s="672">
        <v>6.0000000000000001E-3</v>
      </c>
      <c r="P48" s="673">
        <v>1.0999999999999999E-2</v>
      </c>
      <c r="Q48" s="673">
        <v>-4.9000000000000002E-2</v>
      </c>
      <c r="R48" s="674">
        <v>-2.7E-2</v>
      </c>
      <c r="S48" s="671">
        <v>-1.6E-2</v>
      </c>
      <c r="T48" s="665"/>
      <c r="U48" s="672">
        <v>-8.9999999999999993E-3</v>
      </c>
      <c r="V48" s="673">
        <v>-5.8999999999999997E-2</v>
      </c>
      <c r="W48" s="673">
        <v>-5.6000000000000001E-2</v>
      </c>
      <c r="X48" s="674">
        <v>-3.5999999999999997E-2</v>
      </c>
      <c r="Y48" s="671">
        <v>-0.04</v>
      </c>
      <c r="Z48" s="665"/>
      <c r="AA48" s="672">
        <v>-2E-3</v>
      </c>
      <c r="AB48" s="673">
        <v>5.5E-2</v>
      </c>
      <c r="AC48" s="673">
        <v>8.1000000000000003E-2</v>
      </c>
      <c r="AD48" s="674">
        <v>7.5999999999999998E-2</v>
      </c>
      <c r="AE48" s="732">
        <f>SUMPRODUCT(AA48:AD48,U46:X46)/Y46</f>
        <v>5.2437105271166608E-2</v>
      </c>
      <c r="AF48" s="665"/>
      <c r="AG48" s="672">
        <v>7.0000000000000001E-3</v>
      </c>
      <c r="AH48" s="673">
        <v>-7.0000000000000001E-3</v>
      </c>
      <c r="AI48" s="673">
        <v>-4.4999999999999998E-2</v>
      </c>
      <c r="AJ48" s="674">
        <v>-8.4000000000000005E-2</v>
      </c>
      <c r="AK48" s="732">
        <f>SUMPRODUCT(AG48:AJ48,AA46:AD46)/AE46</f>
        <v>-3.4011812545854371E-2</v>
      </c>
      <c r="AL48" s="665"/>
      <c r="AM48" s="672">
        <v>-2.4E-2</v>
      </c>
      <c r="AN48" s="673">
        <v>-7.0000000000000001E-3</v>
      </c>
      <c r="AO48" s="673">
        <v>-2.5000000000000001E-2</v>
      </c>
      <c r="AP48" s="674">
        <v>-2.4E-2</v>
      </c>
      <c r="AQ48" s="732">
        <f>SUMPRODUCT(AM48:AP48,AG46:AJ46)/AK46</f>
        <v>-1.9769602224889871E-2</v>
      </c>
      <c r="AR48" s="665"/>
      <c r="AS48" s="672">
        <v>-5.0000000000000001E-3</v>
      </c>
      <c r="AT48" s="673">
        <v>-2.9000000000000001E-2</v>
      </c>
      <c r="AU48" s="673">
        <v>1.7000000000000001E-2</v>
      </c>
      <c r="AV48" s="674">
        <v>1E-3</v>
      </c>
      <c r="AW48" s="732">
        <f>SUMPRODUCT(AS48:AV48,AM46:AP46)/AQ46</f>
        <v>-4.490126681834781E-3</v>
      </c>
      <c r="AX48" s="665"/>
      <c r="AY48" s="672">
        <v>-0.05</v>
      </c>
      <c r="AZ48" s="673">
        <v>-7.5999999999999998E-2</v>
      </c>
      <c r="BA48" s="673">
        <f>-22/AU46</f>
        <v>-0.11969532100108814</v>
      </c>
      <c r="BB48" s="674">
        <f>-22/AV46</f>
        <v>-0.10758472296933835</v>
      </c>
      <c r="BC48" s="732">
        <f>SUMPRODUCT(AY48:BB48,AS46:AV46)/AW46</f>
        <v>-8.7987984197705399E-2</v>
      </c>
      <c r="BD48" s="665"/>
      <c r="BE48" s="672">
        <f>-16.2/AY46</f>
        <v>-8.2864450127877229E-2</v>
      </c>
      <c r="BF48" s="673">
        <f>-10.2/AZ46</f>
        <v>-5.3124999999999999E-2</v>
      </c>
      <c r="BG48" s="673">
        <f>-2.3/BA46</f>
        <v>-1.3772455089820359E-2</v>
      </c>
      <c r="BH48" s="674">
        <f>-1.2/BB46</f>
        <v>-6.8181818181818179E-3</v>
      </c>
      <c r="BI48" s="732">
        <f>SUMPRODUCT(BE48:BH48,AY46:BB46)/BC46</f>
        <v>-4.093086926762491E-2</v>
      </c>
      <c r="BJ48" s="665"/>
      <c r="BK48" s="660">
        <f>BK47-BK49</f>
        <v>-5.096045197740165E-3</v>
      </c>
      <c r="BL48" s="661">
        <f t="shared" ref="BL48" si="741">BL47-BL49</f>
        <v>-1.2916167664670655E-2</v>
      </c>
      <c r="BM48" s="661">
        <f t="shared" ref="BM48" si="742">BM47-BM49</f>
        <v>-2.1317073170731671E-2</v>
      </c>
      <c r="BN48" s="662">
        <f t="shared" ref="BN48" si="743">BN47-BN49</f>
        <v>6.0960451977400548E-3</v>
      </c>
      <c r="BO48" s="732">
        <f>SUMPRODUCT(BK48:BN48,BE46:BH46)/BI46</f>
        <v>-7.9941605839416244E-3</v>
      </c>
      <c r="BP48" s="665"/>
      <c r="BQ48" s="660">
        <f>BQ47-BQ49</f>
        <v>3.2429447852760765E-2</v>
      </c>
      <c r="BR48" s="698">
        <v>0.1162995422544983</v>
      </c>
      <c r="BS48" s="698">
        <v>9.1483536534816737E-2</v>
      </c>
      <c r="BT48" s="742">
        <v>3.7224162454889499E-2</v>
      </c>
      <c r="BU48" s="732">
        <f>SUMPRODUCT(BQ48:BT48,BK46:BN46)/BO46</f>
        <v>6.8098432900813563E-2</v>
      </c>
      <c r="BV48" s="665"/>
      <c r="BW48" s="743">
        <v>6.3871833060884578E-2</v>
      </c>
      <c r="BX48" s="698">
        <v>5.8326248603762093E-3</v>
      </c>
      <c r="BY48" s="698">
        <v>0</v>
      </c>
      <c r="BZ48" s="742">
        <v>0</v>
      </c>
      <c r="CA48" s="732">
        <f>SUMPRODUCT(BW48:BZ48,BQ46:BT46)/BU46</f>
        <v>1.6608858202613437E-2</v>
      </c>
      <c r="CB48" s="665"/>
      <c r="CC48" s="743">
        <v>0</v>
      </c>
      <c r="CD48" s="698">
        <v>0</v>
      </c>
      <c r="CE48" s="698">
        <v>0</v>
      </c>
      <c r="CF48" s="742">
        <v>0</v>
      </c>
      <c r="CG48" s="732">
        <f>SUMPRODUCT(CC48:CF48,BW46:BZ46)/CA46</f>
        <v>0</v>
      </c>
      <c r="CH48" s="665"/>
      <c r="CI48" s="743">
        <v>0</v>
      </c>
      <c r="CJ48" s="698">
        <v>0</v>
      </c>
      <c r="CK48" s="698">
        <v>0</v>
      </c>
      <c r="CL48" s="742">
        <v>0</v>
      </c>
      <c r="CM48" s="732">
        <f>SUMPRODUCT(CI48:CL48,CC46:CF46)/CG46</f>
        <v>0</v>
      </c>
    </row>
    <row r="49" spans="1:91" s="25" customFormat="1" ht="11.25" hidden="1" outlineLevel="1" x14ac:dyDescent="0.2">
      <c r="A49" s="695" t="s">
        <v>10</v>
      </c>
      <c r="B49" s="665"/>
      <c r="C49" s="717"/>
      <c r="D49" s="696"/>
      <c r="E49" s="696"/>
      <c r="F49" s="697"/>
      <c r="G49" s="732"/>
      <c r="H49" s="665"/>
      <c r="I49" s="724">
        <f>I47-I48</f>
        <v>0.26253164486085956</v>
      </c>
      <c r="J49" s="704">
        <f>J47-J48</f>
        <v>0.1142427936202722</v>
      </c>
      <c r="K49" s="704">
        <f>K47-K48</f>
        <v>0.10354866919493633</v>
      </c>
      <c r="L49" s="697">
        <f>L47-L48</f>
        <v>0.14693008734142193</v>
      </c>
      <c r="M49" s="732">
        <f>M47-M48</f>
        <v>0.13455620719794037</v>
      </c>
      <c r="N49" s="665"/>
      <c r="O49" s="717">
        <f>O47-O48</f>
        <v>9.843904032521511E-2</v>
      </c>
      <c r="P49" s="696">
        <f>P47-P48</f>
        <v>0.11463272346803167</v>
      </c>
      <c r="Q49" s="696">
        <f>Q47-Q48</f>
        <v>3.0401085347804793E-2</v>
      </c>
      <c r="R49" s="697">
        <f>R47-R48</f>
        <v>-3.1449724985295434E-3</v>
      </c>
      <c r="S49" s="732">
        <f>S47-S48</f>
        <v>5.9164830431943635E-2</v>
      </c>
      <c r="T49" s="665"/>
      <c r="U49" s="717">
        <f>U47-U48</f>
        <v>1.9444190295907819E-2</v>
      </c>
      <c r="V49" s="696">
        <f>V47-V48</f>
        <v>9.0835852860453425E-2</v>
      </c>
      <c r="W49" s="696">
        <f>W47-W48</f>
        <v>0.10495476513633667</v>
      </c>
      <c r="X49" s="697">
        <f>X47-X48</f>
        <v>0.10380847022758319</v>
      </c>
      <c r="Y49" s="732">
        <f>Y47-Y48</f>
        <v>7.9372634936595937E-2</v>
      </c>
      <c r="Z49" s="665"/>
      <c r="AA49" s="717">
        <f>AA47-AA48</f>
        <v>7.7448022845099551E-2</v>
      </c>
      <c r="AB49" s="696">
        <f>AB47-AB48</f>
        <v>4.9789034158693006E-2</v>
      </c>
      <c r="AC49" s="696">
        <f>AC47-AC48</f>
        <v>0.13610436235178119</v>
      </c>
      <c r="AD49" s="697">
        <f>AD47-AD48</f>
        <v>0.13877251451039113</v>
      </c>
      <c r="AE49" s="732">
        <f>AE47-AE48</f>
        <v>9.9631622194351982E-2</v>
      </c>
      <c r="AF49" s="665"/>
      <c r="AG49" s="717">
        <f>AG47-AG48</f>
        <v>8.6499836992385615E-2</v>
      </c>
      <c r="AH49" s="696">
        <f>AH47-AH48</f>
        <v>7.380697269541836E-2</v>
      </c>
      <c r="AI49" s="696">
        <f>AI47-AI48</f>
        <v>3.7968837889526388E-2</v>
      </c>
      <c r="AJ49" s="697">
        <f>AJ47-AJ48</f>
        <v>3.6739117255693829E-2</v>
      </c>
      <c r="AK49" s="732">
        <f>AK47-AK48</f>
        <v>5.7835302415382796E-2</v>
      </c>
      <c r="AL49" s="665"/>
      <c r="AM49" s="717">
        <f>AM47-AM48</f>
        <v>2.3507710688762541E-2</v>
      </c>
      <c r="AN49" s="696">
        <f>AN47-AN48</f>
        <v>-9.1748453267503985E-3</v>
      </c>
      <c r="AO49" s="696">
        <f>AO47-AO48</f>
        <v>-2.0941199796068698E-2</v>
      </c>
      <c r="AP49" s="697">
        <f>AP47-AP48</f>
        <v>0.14563240654860762</v>
      </c>
      <c r="AQ49" s="732">
        <f>AQ47-AQ48</f>
        <v>3.5012759439214877E-2</v>
      </c>
      <c r="AR49" s="665"/>
      <c r="AS49" s="717">
        <f>AS47-AS48</f>
        <v>6.7540467849849573E-2</v>
      </c>
      <c r="AT49" s="696">
        <f>AT47-AT48</f>
        <v>0.14184920893218952</v>
      </c>
      <c r="AU49" s="696">
        <f>AU47-AU48</f>
        <v>7.4319320745754772E-2</v>
      </c>
      <c r="AV49" s="697">
        <f>AV47-AV48</f>
        <v>-1.7874999999999974E-2</v>
      </c>
      <c r="AW49" s="732">
        <f>AW47-AW48</f>
        <v>6.4238314600579702E-2</v>
      </c>
      <c r="AX49" s="665"/>
      <c r="AY49" s="717">
        <f>AY47-AY48</f>
        <v>6.8229166666666743E-2</v>
      </c>
      <c r="AZ49" s="696">
        <f>AZ47-AZ48</f>
        <v>-1.8339622641509415E-2</v>
      </c>
      <c r="BA49" s="696">
        <f>BA47-BA48</f>
        <v>2.8291621327529812E-2</v>
      </c>
      <c r="BB49" s="697">
        <f>BB47-BB48</f>
        <v>-3.173749327595482E-2</v>
      </c>
      <c r="BC49" s="732">
        <f>BC47-BC48</f>
        <v>9.9988640523041294E-3</v>
      </c>
      <c r="BD49" s="665"/>
      <c r="BE49" s="717">
        <f>BE47-BE48</f>
        <v>-1.1764705882352913E-2</v>
      </c>
      <c r="BF49" s="696">
        <f>BF47-BF48</f>
        <v>-7.7083333333333365E-2</v>
      </c>
      <c r="BG49" s="696">
        <f>BG47-BG48</f>
        <v>-4.1916167664670968E-3</v>
      </c>
      <c r="BH49" s="697">
        <f>BH47-BH48</f>
        <v>1.2499999999999938E-2</v>
      </c>
      <c r="BI49" s="732">
        <f>BI47-BI48</f>
        <v>-2.1355236139630411E-2</v>
      </c>
      <c r="BJ49" s="665"/>
      <c r="BK49" s="672">
        <v>-7.3999999999999996E-2</v>
      </c>
      <c r="BL49" s="673">
        <v>-2.9000000000000001E-2</v>
      </c>
      <c r="BM49" s="673">
        <v>6.4000000000000001E-2</v>
      </c>
      <c r="BN49" s="674">
        <v>7.2999999999999995E-2</v>
      </c>
      <c r="BO49" s="732">
        <f t="shared" ref="BO49" si="744">BO47-BO48</f>
        <v>7.9941605839416244E-3</v>
      </c>
      <c r="BP49" s="665"/>
      <c r="BQ49" s="672">
        <v>7.8E-2</v>
      </c>
      <c r="BR49" s="696">
        <f t="shared" ref="BR49" si="745">BR51+BR50</f>
        <v>0.06</v>
      </c>
      <c r="BS49" s="696">
        <f t="shared" ref="BS49" si="746">BS51+BS50</f>
        <v>0.02</v>
      </c>
      <c r="BT49" s="697">
        <f t="shared" ref="BT49" si="747">BT51+BT50</f>
        <v>2.5000000000000001E-2</v>
      </c>
      <c r="BU49" s="732">
        <f t="shared" ref="BU49" si="748">BU47-BU48</f>
        <v>4.4538686131386854E-2</v>
      </c>
      <c r="BV49" s="665"/>
      <c r="BW49" s="717">
        <f>BW51+BW50</f>
        <v>0.05</v>
      </c>
      <c r="BX49" s="696">
        <f t="shared" ref="BX49" si="749">BX51+BX50</f>
        <v>0.05</v>
      </c>
      <c r="BY49" s="696">
        <f t="shared" ref="BY49" si="750">BY51+BY50</f>
        <v>0.05</v>
      </c>
      <c r="BZ49" s="697">
        <f t="shared" ref="BZ49" si="751">BZ51+BZ50</f>
        <v>0.05</v>
      </c>
      <c r="CA49" s="732">
        <f t="shared" ref="CA49" si="752">CA47-CA48</f>
        <v>4.9999999999999982E-2</v>
      </c>
      <c r="CB49" s="665"/>
      <c r="CC49" s="717">
        <f>CC51+CC50</f>
        <v>0.05</v>
      </c>
      <c r="CD49" s="696">
        <f t="shared" ref="CD49" si="753">CD51+CD50</f>
        <v>0.05</v>
      </c>
      <c r="CE49" s="696">
        <f t="shared" ref="CE49" si="754">CE51+CE50</f>
        <v>0.05</v>
      </c>
      <c r="CF49" s="697">
        <f t="shared" ref="CF49" si="755">CF51+CF50</f>
        <v>0.05</v>
      </c>
      <c r="CG49" s="732">
        <f t="shared" ref="CG49" si="756">CG47-CG48</f>
        <v>5.0000000000000044E-2</v>
      </c>
      <c r="CH49" s="665"/>
      <c r="CI49" s="717">
        <f>CI51+CI50</f>
        <v>0.05</v>
      </c>
      <c r="CJ49" s="696">
        <f t="shared" ref="CJ49" si="757">CJ51+CJ50</f>
        <v>0.05</v>
      </c>
      <c r="CK49" s="696">
        <f t="shared" ref="CK49" si="758">CK51+CK50</f>
        <v>0.05</v>
      </c>
      <c r="CL49" s="697">
        <f t="shared" ref="CL49" si="759">CL51+CL50</f>
        <v>0.05</v>
      </c>
      <c r="CM49" s="732">
        <f t="shared" ref="CM49" si="760">CM47-CM48</f>
        <v>5.0000000000000044E-2</v>
      </c>
    </row>
    <row r="50" spans="1:91" s="25" customFormat="1" ht="11.25" hidden="1" outlineLevel="1" x14ac:dyDescent="0.2">
      <c r="A50" s="695" t="s">
        <v>6</v>
      </c>
      <c r="B50" s="665"/>
      <c r="C50" s="672"/>
      <c r="D50" s="673"/>
      <c r="E50" s="673"/>
      <c r="F50" s="674"/>
      <c r="G50" s="671"/>
      <c r="H50" s="665"/>
      <c r="I50" s="722">
        <v>0</v>
      </c>
      <c r="J50" s="703">
        <v>0</v>
      </c>
      <c r="K50" s="703">
        <v>0</v>
      </c>
      <c r="L50" s="674">
        <v>0</v>
      </c>
      <c r="M50" s="732">
        <f>SUMPRODUCT(I50:L50,C46:F46)/G46</f>
        <v>0</v>
      </c>
      <c r="N50" s="665"/>
      <c r="O50" s="672">
        <v>0</v>
      </c>
      <c r="P50" s="673">
        <v>0</v>
      </c>
      <c r="Q50" s="673">
        <v>0</v>
      </c>
      <c r="R50" s="674">
        <v>0</v>
      </c>
      <c r="S50" s="732">
        <f>SUMPRODUCT(O50:R50,I46:L46)/M46</f>
        <v>0</v>
      </c>
      <c r="T50" s="665"/>
      <c r="U50" s="672">
        <v>0</v>
      </c>
      <c r="V50" s="673">
        <v>0</v>
      </c>
      <c r="W50" s="673">
        <v>0</v>
      </c>
      <c r="X50" s="674">
        <v>0</v>
      </c>
      <c r="Y50" s="732">
        <f>SUMPRODUCT(U50:X50,O46:R46)/S46</f>
        <v>0</v>
      </c>
      <c r="Z50" s="665"/>
      <c r="AA50" s="672">
        <f>4.842/U46</f>
        <v>3.1496575186527112E-2</v>
      </c>
      <c r="AB50" s="673">
        <f>8.998/V46</f>
        <v>5.4768339298322491E-2</v>
      </c>
      <c r="AC50" s="673">
        <f>11.914/W46</f>
        <v>8.1564750664074259E-2</v>
      </c>
      <c r="AD50" s="674">
        <f>11.384/X46</f>
        <v>7.104786868875991E-2</v>
      </c>
      <c r="AE50" s="732">
        <f>SUMPRODUCT(AA50:AD50,U46:X46)/Y46</f>
        <v>5.9485424965682709E-2</v>
      </c>
      <c r="AF50" s="665"/>
      <c r="AG50" s="672">
        <v>0</v>
      </c>
      <c r="AH50" s="673">
        <v>0</v>
      </c>
      <c r="AI50" s="673">
        <v>0</v>
      </c>
      <c r="AJ50" s="674">
        <v>0</v>
      </c>
      <c r="AK50" s="732">
        <f>SUMPRODUCT(AG50:AJ50,AA46:AD46)/AE46</f>
        <v>0</v>
      </c>
      <c r="AL50" s="665"/>
      <c r="AM50" s="672">
        <v>0.01</v>
      </c>
      <c r="AN50" s="673">
        <v>0.01</v>
      </c>
      <c r="AO50" s="673">
        <v>0.01</v>
      </c>
      <c r="AP50" s="674">
        <v>0.01</v>
      </c>
      <c r="AQ50" s="732">
        <f>SUMPRODUCT(AM50:AP50,AG46:AJ46)/AK46</f>
        <v>1.0000000000000002E-2</v>
      </c>
      <c r="AR50" s="665"/>
      <c r="AS50" s="672">
        <v>0.01</v>
      </c>
      <c r="AT50" s="673">
        <v>0</v>
      </c>
      <c r="AU50" s="673">
        <v>0</v>
      </c>
      <c r="AV50" s="674">
        <v>0</v>
      </c>
      <c r="AW50" s="732">
        <f>SUMPRODUCT(AS50:AV50,AM46:AP46)/AQ46</f>
        <v>2.4169866817545255E-3</v>
      </c>
      <c r="AX50" s="665"/>
      <c r="AY50" s="672">
        <v>0</v>
      </c>
      <c r="AZ50" s="673">
        <v>0</v>
      </c>
      <c r="BA50" s="673">
        <v>0</v>
      </c>
      <c r="BB50" s="674">
        <v>0</v>
      </c>
      <c r="BC50" s="732">
        <f>SUMPRODUCT(AY50:BB50,AS46:AV46)/AW46</f>
        <v>0</v>
      </c>
      <c r="BD50" s="665"/>
      <c r="BE50" s="672">
        <v>0</v>
      </c>
      <c r="BF50" s="673">
        <v>0</v>
      </c>
      <c r="BG50" s="673">
        <v>0</v>
      </c>
      <c r="BH50" s="674">
        <v>0</v>
      </c>
      <c r="BI50" s="732">
        <f>SUMPRODUCT(BE50:BH50,AY46:BB46)/BC46</f>
        <v>0</v>
      </c>
      <c r="BJ50" s="665"/>
      <c r="BK50" s="672">
        <v>0</v>
      </c>
      <c r="BL50" s="673">
        <v>0</v>
      </c>
      <c r="BM50" s="673">
        <v>0</v>
      </c>
      <c r="BN50" s="674">
        <v>0</v>
      </c>
      <c r="BO50" s="732">
        <f>SUMPRODUCT(BK50:BN50,BE46:BH46)/BI46</f>
        <v>0</v>
      </c>
      <c r="BP50" s="665"/>
      <c r="BQ50" s="672">
        <v>0</v>
      </c>
      <c r="BR50" s="673">
        <v>0</v>
      </c>
      <c r="BS50" s="673">
        <v>0</v>
      </c>
      <c r="BT50" s="674">
        <v>0</v>
      </c>
      <c r="BU50" s="732">
        <f>SUMPRODUCT(BQ50:BT50,BK46:BN46)/BO46</f>
        <v>0</v>
      </c>
      <c r="BV50" s="665"/>
      <c r="BW50" s="672">
        <v>0</v>
      </c>
      <c r="BX50" s="673">
        <v>0</v>
      </c>
      <c r="BY50" s="673">
        <v>0</v>
      </c>
      <c r="BZ50" s="674">
        <v>0</v>
      </c>
      <c r="CA50" s="732">
        <f>SUMPRODUCT(BW50:BZ50,BQ46:BT46)/BU46</f>
        <v>0</v>
      </c>
      <c r="CB50" s="665"/>
      <c r="CC50" s="672">
        <v>0</v>
      </c>
      <c r="CD50" s="673">
        <v>0</v>
      </c>
      <c r="CE50" s="673">
        <v>0</v>
      </c>
      <c r="CF50" s="674">
        <v>0</v>
      </c>
      <c r="CG50" s="732">
        <f>SUMPRODUCT(CC50:CF50,BW46:BZ46)/CA46</f>
        <v>0</v>
      </c>
      <c r="CH50" s="665"/>
      <c r="CI50" s="672">
        <v>0</v>
      </c>
      <c r="CJ50" s="673">
        <v>0</v>
      </c>
      <c r="CK50" s="673">
        <v>0</v>
      </c>
      <c r="CL50" s="674">
        <v>0</v>
      </c>
      <c r="CM50" s="732">
        <f>SUMPRODUCT(CI50:CL50,CC46:CF46)/CG46</f>
        <v>0</v>
      </c>
    </row>
    <row r="51" spans="1:91" s="25" customFormat="1" ht="11.25" hidden="1" outlineLevel="1" x14ac:dyDescent="0.2">
      <c r="A51" s="695" t="s">
        <v>7</v>
      </c>
      <c r="B51" s="665"/>
      <c r="C51" s="717"/>
      <c r="D51" s="696"/>
      <c r="E51" s="696"/>
      <c r="F51" s="697"/>
      <c r="G51" s="732"/>
      <c r="H51" s="665"/>
      <c r="I51" s="724">
        <f>I49-I50</f>
        <v>0.26253164486085956</v>
      </c>
      <c r="J51" s="704">
        <f>J49-J50</f>
        <v>0.1142427936202722</v>
      </c>
      <c r="K51" s="704">
        <f>K49-K50</f>
        <v>0.10354866919493633</v>
      </c>
      <c r="L51" s="697">
        <f>L49-L50</f>
        <v>0.14693008734142193</v>
      </c>
      <c r="M51" s="732">
        <f>SUMPRODUCT(I51:L51,C46:F46)/G46</f>
        <v>0.15459545892827606</v>
      </c>
      <c r="N51" s="665"/>
      <c r="O51" s="717">
        <f>O49-O50</f>
        <v>9.843904032521511E-2</v>
      </c>
      <c r="P51" s="696">
        <f>P49-P50</f>
        <v>0.11463272346803167</v>
      </c>
      <c r="Q51" s="696">
        <f>Q49-Q50</f>
        <v>3.0401085347804793E-2</v>
      </c>
      <c r="R51" s="697">
        <f>R49-R50</f>
        <v>-3.1449724985295434E-3</v>
      </c>
      <c r="S51" s="732">
        <f>SUMPRODUCT(O51:R51,I46:L46)/M46</f>
        <v>5.8356351681787336E-2</v>
      </c>
      <c r="T51" s="665"/>
      <c r="U51" s="717">
        <f>U49-U50</f>
        <v>1.9444190295907819E-2</v>
      </c>
      <c r="V51" s="696">
        <f>V49-V50</f>
        <v>9.0835852860453425E-2</v>
      </c>
      <c r="W51" s="696">
        <f>W49-W50</f>
        <v>0.10495476513633667</v>
      </c>
      <c r="X51" s="697">
        <f>X49-X50</f>
        <v>0.10380847022758319</v>
      </c>
      <c r="Y51" s="732">
        <f>SUMPRODUCT(U51:X51,O46:R46)/S46</f>
        <v>7.9267137917429009E-2</v>
      </c>
      <c r="Z51" s="665"/>
      <c r="AA51" s="717">
        <f>AA49-AA50</f>
        <v>4.5951447658572439E-2</v>
      </c>
      <c r="AB51" s="696">
        <f>AB49-AB50</f>
        <v>-4.9793051396294849E-3</v>
      </c>
      <c r="AC51" s="696">
        <f>AC49-AC50</f>
        <v>5.4539611687706935E-2</v>
      </c>
      <c r="AD51" s="697">
        <f>AD49-AD50</f>
        <v>6.7724645821631221E-2</v>
      </c>
      <c r="AE51" s="732">
        <f>SUMPRODUCT(AA51:AD51,U46:X46)/Y46</f>
        <v>4.0146197228669127E-2</v>
      </c>
      <c r="AF51" s="665"/>
      <c r="AG51" s="717">
        <f>AG49-AG50</f>
        <v>8.6499836992385615E-2</v>
      </c>
      <c r="AH51" s="696">
        <f>AH49-AH50</f>
        <v>7.380697269541836E-2</v>
      </c>
      <c r="AI51" s="696">
        <f>AI49-AI50</f>
        <v>3.7968837889526388E-2</v>
      </c>
      <c r="AJ51" s="697">
        <f>AJ49-AJ50</f>
        <v>3.6739117255693829E-2</v>
      </c>
      <c r="AK51" s="732">
        <f>SUMPRODUCT(AG51:AJ51,AA46:AD46)/AE46</f>
        <v>5.7835302415382948E-2</v>
      </c>
      <c r="AL51" s="665"/>
      <c r="AM51" s="717">
        <f>AM49-AM50</f>
        <v>1.3507710688762541E-2</v>
      </c>
      <c r="AN51" s="696">
        <f>AN49-AN50</f>
        <v>-1.91748453267504E-2</v>
      </c>
      <c r="AO51" s="696">
        <f>AO49-AO50</f>
        <v>-3.09411997960687E-2</v>
      </c>
      <c r="AP51" s="697">
        <f>AP49-AP50</f>
        <v>0.13563240654860761</v>
      </c>
      <c r="AQ51" s="732">
        <f>SUMPRODUCT(AM51:AP51,AG46:AJ46)/AK46</f>
        <v>2.5012759439214764E-2</v>
      </c>
      <c r="AR51" s="665"/>
      <c r="AS51" s="717">
        <f>AS49-AS50</f>
        <v>5.7540467849849571E-2</v>
      </c>
      <c r="AT51" s="696">
        <f>AT49-AT50</f>
        <v>0.14184920893218952</v>
      </c>
      <c r="AU51" s="696">
        <f>AU49-AU50</f>
        <v>7.4319320745754772E-2</v>
      </c>
      <c r="AV51" s="697">
        <f>AV49-AV50</f>
        <v>-1.7874999999999974E-2</v>
      </c>
      <c r="AW51" s="732">
        <f>SUMPRODUCT(AS51:AV51,AM46:AP46)/AQ46</f>
        <v>6.1821327918825129E-2</v>
      </c>
      <c r="AX51" s="665"/>
      <c r="AY51" s="717">
        <f>AY49-AY50</f>
        <v>6.8229166666666743E-2</v>
      </c>
      <c r="AZ51" s="696">
        <f>AZ49-AZ50</f>
        <v>-1.8339622641509415E-2</v>
      </c>
      <c r="BA51" s="696">
        <f>BA49-BA50</f>
        <v>2.8291621327529812E-2</v>
      </c>
      <c r="BB51" s="697">
        <f>BB49-BB50</f>
        <v>-3.173749327595482E-2</v>
      </c>
      <c r="BC51" s="732">
        <f>SUMPRODUCT(AY51:BB51,AS46:AV46)/AW46</f>
        <v>9.9988640523040791E-3</v>
      </c>
      <c r="BD51" s="665"/>
      <c r="BE51" s="717">
        <f>BE49-BE50</f>
        <v>-1.1764705882352913E-2</v>
      </c>
      <c r="BF51" s="696">
        <f>BF49-BF50</f>
        <v>-7.7083333333333365E-2</v>
      </c>
      <c r="BG51" s="696">
        <f>BG49-BG50</f>
        <v>-4.1916167664670968E-3</v>
      </c>
      <c r="BH51" s="697">
        <f>BH49-BH50</f>
        <v>1.2499999999999938E-2</v>
      </c>
      <c r="BI51" s="732">
        <f>SUMPRODUCT(BE51:BH51,AY46:BB46)/BC46</f>
        <v>-2.1355236139630418E-2</v>
      </c>
      <c r="BJ51" s="665"/>
      <c r="BK51" s="717">
        <f>BK49-BK50</f>
        <v>-7.3999999999999996E-2</v>
      </c>
      <c r="BL51" s="696">
        <f t="shared" ref="BL51" si="761">BL49-BL50</f>
        <v>-2.9000000000000001E-2</v>
      </c>
      <c r="BM51" s="696">
        <f t="shared" ref="BM51" si="762">BM49-BM50</f>
        <v>6.4000000000000001E-2</v>
      </c>
      <c r="BN51" s="697">
        <f t="shared" ref="BN51" si="763">BN49-BN50</f>
        <v>7.2999999999999995E-2</v>
      </c>
      <c r="BO51" s="732">
        <f t="shared" ref="BO51" si="764">BO49-BO50</f>
        <v>7.9941605839416244E-3</v>
      </c>
      <c r="BP51" s="665"/>
      <c r="BQ51" s="717">
        <f>BQ49-BQ50</f>
        <v>7.8E-2</v>
      </c>
      <c r="BR51" s="673">
        <v>0.06</v>
      </c>
      <c r="BS51" s="673">
        <v>0.02</v>
      </c>
      <c r="BT51" s="674">
        <v>2.5000000000000001E-2</v>
      </c>
      <c r="BU51" s="732">
        <f t="shared" ref="BU51" si="765">BU49-BU50</f>
        <v>4.4538686131386854E-2</v>
      </c>
      <c r="BV51" s="665"/>
      <c r="BW51" s="672">
        <v>0.05</v>
      </c>
      <c r="BX51" s="673">
        <f>BW51</f>
        <v>0.05</v>
      </c>
      <c r="BY51" s="673">
        <f>BX51</f>
        <v>0.05</v>
      </c>
      <c r="BZ51" s="674">
        <f>BY51</f>
        <v>0.05</v>
      </c>
      <c r="CA51" s="732">
        <f t="shared" ref="CA51" si="766">CA49-CA50</f>
        <v>4.9999999999999982E-2</v>
      </c>
      <c r="CB51" s="665"/>
      <c r="CC51" s="672">
        <v>0.05</v>
      </c>
      <c r="CD51" s="673">
        <f>CC51</f>
        <v>0.05</v>
      </c>
      <c r="CE51" s="673">
        <f>CD51</f>
        <v>0.05</v>
      </c>
      <c r="CF51" s="674">
        <f>CE51</f>
        <v>0.05</v>
      </c>
      <c r="CG51" s="732">
        <f t="shared" ref="CG51" si="767">CG49-CG50</f>
        <v>5.0000000000000044E-2</v>
      </c>
      <c r="CH51" s="665"/>
      <c r="CI51" s="672">
        <v>0.05</v>
      </c>
      <c r="CJ51" s="673">
        <f>CI51</f>
        <v>0.05</v>
      </c>
      <c r="CK51" s="673">
        <f>CJ51</f>
        <v>0.05</v>
      </c>
      <c r="CL51" s="674">
        <f>CK51</f>
        <v>0.05</v>
      </c>
      <c r="CM51" s="732">
        <f t="shared" ref="CM51" si="768">CM49-CM50</f>
        <v>5.0000000000000044E-2</v>
      </c>
    </row>
    <row r="52" spans="1:91" s="25" customFormat="1" ht="11.25" collapsed="1" x14ac:dyDescent="0.2">
      <c r="A52" s="694" t="s">
        <v>11</v>
      </c>
      <c r="B52" s="665"/>
      <c r="C52" s="718">
        <f>C42+C46</f>
        <v>168.99099999999999</v>
      </c>
      <c r="D52" s="666">
        <f t="shared" ref="D52:F52" si="769">D42+D46</f>
        <v>188.21299999999999</v>
      </c>
      <c r="E52" s="666">
        <f t="shared" si="769"/>
        <v>187.18</v>
      </c>
      <c r="F52" s="667">
        <f t="shared" si="769"/>
        <v>211.648</v>
      </c>
      <c r="G52" s="733">
        <f>SUM(C52:F52)</f>
        <v>756.03200000000004</v>
      </c>
      <c r="H52" s="665"/>
      <c r="I52" s="718">
        <f>I42+I46</f>
        <v>205.113</v>
      </c>
      <c r="J52" s="666">
        <f t="shared" ref="J52:L52" si="770">J42+J46</f>
        <v>219.721</v>
      </c>
      <c r="K52" s="666">
        <f t="shared" si="770"/>
        <v>222.07599999999999</v>
      </c>
      <c r="L52" s="667">
        <f t="shared" si="770"/>
        <v>253.60199999999998</v>
      </c>
      <c r="M52" s="733">
        <f>SUM(I52:L52)</f>
        <v>900.51199999999994</v>
      </c>
      <c r="N52" s="665"/>
      <c r="O52" s="718">
        <f>O42+O46</f>
        <v>229.52099999999999</v>
      </c>
      <c r="P52" s="666">
        <f t="shared" ref="P52:R52" si="771">P42+P46</f>
        <v>230.99299999999999</v>
      </c>
      <c r="Q52" s="666">
        <f t="shared" si="771"/>
        <v>209.76900000000001</v>
      </c>
      <c r="R52" s="667">
        <f t="shared" si="771"/>
        <v>234.23400000000001</v>
      </c>
      <c r="S52" s="733">
        <f>SUM(O52:R52)</f>
        <v>904.51700000000005</v>
      </c>
      <c r="T52" s="665"/>
      <c r="U52" s="718">
        <f>U42+U46</f>
        <v>231.33499999999998</v>
      </c>
      <c r="V52" s="666">
        <f t="shared" ref="V52:X52" si="772">V42+V46</f>
        <v>242.47500000000002</v>
      </c>
      <c r="W52" s="666">
        <f t="shared" si="772"/>
        <v>230.43299999999999</v>
      </c>
      <c r="X52" s="667">
        <f t="shared" si="772"/>
        <v>246.995</v>
      </c>
      <c r="Y52" s="733">
        <f>SUM(U52:X52)</f>
        <v>951.23799999999994</v>
      </c>
      <c r="Z52" s="665"/>
      <c r="AA52" s="718">
        <f>AA42+AA46</f>
        <v>255.0847</v>
      </c>
      <c r="AB52" s="666">
        <f t="shared" ref="AB52:AD52" si="773">AB42+AB46</f>
        <v>273.93499999999995</v>
      </c>
      <c r="AC52" s="666">
        <f t="shared" si="773"/>
        <v>275.69400000000002</v>
      </c>
      <c r="AD52" s="667">
        <f t="shared" si="773"/>
        <v>291.54199999999997</v>
      </c>
      <c r="AE52" s="733">
        <f>SUM(AA52:AD52)</f>
        <v>1096.2556999999999</v>
      </c>
      <c r="AF52" s="665"/>
      <c r="AG52" s="718">
        <f>AG42+AG46</f>
        <v>260.58000000000004</v>
      </c>
      <c r="AH52" s="666">
        <f t="shared" ref="AH52:AJ52" si="774">AH42+AH46</f>
        <v>277.755</v>
      </c>
      <c r="AI52" s="666">
        <f t="shared" si="774"/>
        <v>268.20400000000001</v>
      </c>
      <c r="AJ52" s="667">
        <f t="shared" si="774"/>
        <v>273.09499999999997</v>
      </c>
      <c r="AK52" s="733">
        <f>SUM(AG52:AJ52)</f>
        <v>1079.634</v>
      </c>
      <c r="AL52" s="665"/>
      <c r="AM52" s="718">
        <f>AM42+AM46</f>
        <v>264.89400000000001</v>
      </c>
      <c r="AN52" s="666">
        <f t="shared" ref="AN52:AP52" si="775">AN42+AN46</f>
        <v>279.36400000000003</v>
      </c>
      <c r="AO52" s="666">
        <f t="shared" si="775"/>
        <v>257.05599999999998</v>
      </c>
      <c r="AP52" s="667">
        <f t="shared" si="775"/>
        <v>300</v>
      </c>
      <c r="AQ52" s="733">
        <f>SUM(AM52:AP52)</f>
        <v>1101.3140000000001</v>
      </c>
      <c r="AR52" s="665"/>
      <c r="AS52" s="718">
        <f>AS42+AS46</f>
        <v>279</v>
      </c>
      <c r="AT52" s="666">
        <f t="shared" ref="AT52:AV52" si="776">AT42+AT46</f>
        <v>302</v>
      </c>
      <c r="AU52" s="666">
        <f t="shared" si="776"/>
        <v>277</v>
      </c>
      <c r="AV52" s="667">
        <f t="shared" si="776"/>
        <v>300.19</v>
      </c>
      <c r="AW52" s="733">
        <f>SUM(AS52:AV52)</f>
        <v>1158.19</v>
      </c>
      <c r="AX52" s="665"/>
      <c r="AY52" s="718">
        <f>AY42+AY46</f>
        <v>288.14999999999998</v>
      </c>
      <c r="AZ52" s="666">
        <f t="shared" ref="AZ52:BB52" si="777">AZ42+AZ46</f>
        <v>288.7</v>
      </c>
      <c r="BA52" s="666">
        <f t="shared" si="777"/>
        <v>269</v>
      </c>
      <c r="BB52" s="667">
        <f t="shared" si="777"/>
        <v>286</v>
      </c>
      <c r="BC52" s="733">
        <f>SUM(AY52:BB52)</f>
        <v>1131.8499999999999</v>
      </c>
      <c r="BD52" s="665"/>
      <c r="BE52" s="718">
        <f>BE42+BE46</f>
        <v>275</v>
      </c>
      <c r="BF52" s="666">
        <f t="shared" ref="BF52:BH52" si="778">BF42+BF46</f>
        <v>277</v>
      </c>
      <c r="BG52" s="666">
        <f t="shared" si="778"/>
        <v>270</v>
      </c>
      <c r="BH52" s="667">
        <f t="shared" si="778"/>
        <v>296</v>
      </c>
      <c r="BI52" s="733">
        <f>SUM(BE52:BH52)</f>
        <v>1118</v>
      </c>
      <c r="BJ52" s="665"/>
      <c r="BK52" s="718">
        <f>BK42+BK46</f>
        <v>270</v>
      </c>
      <c r="BL52" s="666">
        <f t="shared" ref="BL52:BN52" si="779">BL42+BL46</f>
        <v>270</v>
      </c>
      <c r="BM52" s="666">
        <f t="shared" si="779"/>
        <v>286</v>
      </c>
      <c r="BN52" s="667">
        <f t="shared" si="779"/>
        <v>314</v>
      </c>
      <c r="BO52" s="733">
        <f>SUM(BK52:BN52)</f>
        <v>1140</v>
      </c>
      <c r="BP52" s="665"/>
      <c r="BQ52" s="718">
        <f>BQ42+BQ46</f>
        <v>289</v>
      </c>
      <c r="BR52" s="666">
        <f t="shared" ref="BR52:BT52" si="780">BR42+BR46</f>
        <v>308.10792676071975</v>
      </c>
      <c r="BS52" s="666">
        <f t="shared" si="780"/>
        <v>308.51368474745368</v>
      </c>
      <c r="BT52" s="667">
        <f t="shared" si="780"/>
        <v>332.03481502888394</v>
      </c>
      <c r="BU52" s="733">
        <f>SUM(BQ52:BT52)</f>
        <v>1237.6564265370573</v>
      </c>
      <c r="BV52" s="665"/>
      <c r="BW52" s="718">
        <f>BW42+BW46</f>
        <v>314.47080178402007</v>
      </c>
      <c r="BX52" s="666">
        <f t="shared" ref="BX52:BZ52" si="781">BX42+BX46</f>
        <v>324.01156933130017</v>
      </c>
      <c r="BY52" s="666">
        <f t="shared" si="781"/>
        <v>323.34711898482635</v>
      </c>
      <c r="BZ52" s="667">
        <f t="shared" si="781"/>
        <v>347.99080578032812</v>
      </c>
      <c r="CA52" s="733">
        <f>SUM(BW52:BZ52)</f>
        <v>1309.8202958804748</v>
      </c>
      <c r="CB52" s="665"/>
      <c r="CC52" s="718">
        <f>CC42+CC46</f>
        <v>329.6300418732211</v>
      </c>
      <c r="CD52" s="666">
        <f t="shared" ref="CD52:CF52" si="782">CD42+CD46</f>
        <v>339.58567029786514</v>
      </c>
      <c r="CE52" s="666">
        <f t="shared" si="782"/>
        <v>338.8955736840677</v>
      </c>
      <c r="CF52" s="667">
        <f t="shared" si="782"/>
        <v>364.71553731934455</v>
      </c>
      <c r="CG52" s="733">
        <f>SUM(CC52:CF52)</f>
        <v>1372.8268231744985</v>
      </c>
      <c r="CH52" s="665"/>
      <c r="CI52" s="718">
        <f>CI42+CI46</f>
        <v>345.52185046688214</v>
      </c>
      <c r="CJ52" s="666">
        <f t="shared" ref="CJ52:CL52" si="783">CJ42+CJ46</f>
        <v>355.91028482525843</v>
      </c>
      <c r="CK52" s="666">
        <f t="shared" si="783"/>
        <v>355.19360056202106</v>
      </c>
      <c r="CL52" s="667">
        <f t="shared" si="783"/>
        <v>382.24613904156172</v>
      </c>
      <c r="CM52" s="733">
        <f>SUM(CI52:CL52)</f>
        <v>1438.8718748957233</v>
      </c>
    </row>
    <row r="53" spans="1:91" s="25" customFormat="1" ht="11.25" x14ac:dyDescent="0.2">
      <c r="A53" s="695" t="s">
        <v>5</v>
      </c>
      <c r="B53" s="665"/>
      <c r="C53" s="672">
        <v>0.12812587617992222</v>
      </c>
      <c r="D53" s="673">
        <v>0.13950390807102941</v>
      </c>
      <c r="E53" s="673">
        <v>0.14645156153342032</v>
      </c>
      <c r="F53" s="674">
        <v>0.16316952263709195</v>
      </c>
      <c r="G53" s="671">
        <v>0.14516295160831016</v>
      </c>
      <c r="H53" s="665"/>
      <c r="I53" s="717">
        <f>I52/C52-1</f>
        <v>0.21375102816126312</v>
      </c>
      <c r="J53" s="696">
        <f>J52/D52-1</f>
        <v>0.16740607715726341</v>
      </c>
      <c r="K53" s="696">
        <f>K52/E52-1</f>
        <v>0.18643017416390628</v>
      </c>
      <c r="L53" s="697">
        <f>L52/F52-1</f>
        <v>0.19822535530692464</v>
      </c>
      <c r="M53" s="732">
        <f>M52/G52-1</f>
        <v>0.19110302209430285</v>
      </c>
      <c r="N53" s="665"/>
      <c r="O53" s="717">
        <f>O52/I52-1</f>
        <v>0.11899782071346032</v>
      </c>
      <c r="P53" s="696">
        <f>P52/J52-1</f>
        <v>5.1301423168472748E-2</v>
      </c>
      <c r="Q53" s="696">
        <f>Q52/K52-1</f>
        <v>-5.5417965020983728E-2</v>
      </c>
      <c r="R53" s="697">
        <f>R52/L52-1</f>
        <v>-7.6371637447654073E-2</v>
      </c>
      <c r="S53" s="732">
        <f>S52/M52-1</f>
        <v>4.4474698837995152E-3</v>
      </c>
      <c r="T53" s="665"/>
      <c r="U53" s="717">
        <f>U52/O52-1</f>
        <v>7.9034162451365741E-3</v>
      </c>
      <c r="V53" s="696">
        <f>V52/P52-1</f>
        <v>4.9707133982415108E-2</v>
      </c>
      <c r="W53" s="696">
        <f>W52/Q52-1</f>
        <v>9.8508359195114581E-2</v>
      </c>
      <c r="X53" s="697">
        <f>X52/R52-1</f>
        <v>5.4479708325862131E-2</v>
      </c>
      <c r="Y53" s="732">
        <f>Y52/S52-1</f>
        <v>5.1652981646558294E-2</v>
      </c>
      <c r="Z53" s="665"/>
      <c r="AA53" s="717">
        <f>AA52/U52-1</f>
        <v>0.10266366957010398</v>
      </c>
      <c r="AB53" s="696">
        <f>AB52/V52-1</f>
        <v>0.12974533457057391</v>
      </c>
      <c r="AC53" s="696">
        <f>AC52/W52-1</f>
        <v>0.19641717983101392</v>
      </c>
      <c r="AD53" s="697">
        <f>AD52/X52-1</f>
        <v>0.18035587764934502</v>
      </c>
      <c r="AE53" s="732">
        <f>AE52/Y52-1</f>
        <v>0.15245154209566891</v>
      </c>
      <c r="AF53" s="665"/>
      <c r="AG53" s="717">
        <f>AG52/AA52-1</f>
        <v>2.1543040409714997E-2</v>
      </c>
      <c r="AH53" s="696">
        <f>AH52/AB52-1</f>
        <v>1.3944913939438308E-2</v>
      </c>
      <c r="AI53" s="696">
        <f>AI52/AC52-1</f>
        <v>-2.7167801983358442E-2</v>
      </c>
      <c r="AJ53" s="697">
        <f>AJ52/AD52-1</f>
        <v>-6.3273902216490319E-2</v>
      </c>
      <c r="AK53" s="732">
        <f>AK52/AE52-1</f>
        <v>-1.5162247274974172E-2</v>
      </c>
      <c r="AL53" s="665"/>
      <c r="AM53" s="717">
        <f>AM52/AG52-1</f>
        <v>1.655537646787919E-2</v>
      </c>
      <c r="AN53" s="696">
        <f>AN52/AH52-1</f>
        <v>5.7928750157514308E-3</v>
      </c>
      <c r="AO53" s="696">
        <f>AO52/AI52-1</f>
        <v>-4.1565375609610711E-2</v>
      </c>
      <c r="AP53" s="697">
        <f>AP52/AJ52-1</f>
        <v>9.8518830443618643E-2</v>
      </c>
      <c r="AQ53" s="732">
        <f>AQ52/AK52-1</f>
        <v>2.0080879260934825E-2</v>
      </c>
      <c r="AR53" s="665"/>
      <c r="AS53" s="717">
        <f>AS52/AM52-1</f>
        <v>5.3251489274955155E-2</v>
      </c>
      <c r="AT53" s="696">
        <f>AT52/AN52-1</f>
        <v>8.1026903967583275E-2</v>
      </c>
      <c r="AU53" s="696">
        <f>AU52/AO52-1</f>
        <v>7.7586206896551824E-2</v>
      </c>
      <c r="AV53" s="697">
        <f>AV52/AP52-1</f>
        <v>6.3333333333326358E-4</v>
      </c>
      <c r="AW53" s="732">
        <f>AW52/AQ52-1</f>
        <v>5.164376372224444E-2</v>
      </c>
      <c r="AX53" s="665"/>
      <c r="AY53" s="717">
        <f>AY52/AS52-1</f>
        <v>3.2795698924731109E-2</v>
      </c>
      <c r="AZ53" s="696">
        <f>AZ52/AT52-1</f>
        <v>-4.4039735099337785E-2</v>
      </c>
      <c r="BA53" s="696">
        <f>BA52/AU52-1</f>
        <v>-2.8880866425992746E-2</v>
      </c>
      <c r="BB53" s="697">
        <f>BB52/AV52-1</f>
        <v>-4.7270062293880533E-2</v>
      </c>
      <c r="BC53" s="732">
        <f>BC52/AW52-1</f>
        <v>-2.2742382510641757E-2</v>
      </c>
      <c r="BD53" s="665"/>
      <c r="BE53" s="717">
        <f>BE52/AY52-1</f>
        <v>-4.5635953496442783E-2</v>
      </c>
      <c r="BF53" s="696">
        <f>BF52/AZ52-1</f>
        <v>-4.0526498094908159E-2</v>
      </c>
      <c r="BG53" s="696">
        <f>BG52/BA52-1</f>
        <v>3.7174721189590088E-3</v>
      </c>
      <c r="BH53" s="697">
        <f>BH52/BB52-1</f>
        <v>3.4965034965035002E-2</v>
      </c>
      <c r="BI53" s="732">
        <f>BI52/BC52-1</f>
        <v>-1.2236603790254819E-2</v>
      </c>
      <c r="BJ53" s="665"/>
      <c r="BK53" s="717">
        <f>BK52/BE52-1</f>
        <v>-1.8181818181818188E-2</v>
      </c>
      <c r="BL53" s="696">
        <f t="shared" ref="BL53" si="784">BL52/BF52-1</f>
        <v>-2.5270758122743708E-2</v>
      </c>
      <c r="BM53" s="696">
        <f t="shared" ref="BM53" si="785">BM52/BG52-1</f>
        <v>5.9259259259259345E-2</v>
      </c>
      <c r="BN53" s="697">
        <f t="shared" ref="BN53" si="786">BN52/BH52-1</f>
        <v>6.0810810810810745E-2</v>
      </c>
      <c r="BO53" s="732">
        <f t="shared" ref="BO53" si="787">BO52/BI52-1</f>
        <v>1.9677996422182487E-2</v>
      </c>
      <c r="BP53" s="665"/>
      <c r="BQ53" s="717">
        <f>BQ52/BK52-1</f>
        <v>7.0370370370370416E-2</v>
      </c>
      <c r="BR53" s="696">
        <f t="shared" ref="BR53" si="788">BR52/BL52-1</f>
        <v>0.14114046948414716</v>
      </c>
      <c r="BS53" s="696">
        <f t="shared" ref="BS53" si="789">BS52/BM52-1</f>
        <v>7.8719177438649313E-2</v>
      </c>
      <c r="BT53" s="697">
        <f t="shared" ref="BT53" si="790">BT52/BN52-1</f>
        <v>5.7435716652496582E-2</v>
      </c>
      <c r="BU53" s="732">
        <f t="shared" ref="BU53" si="791">BU52/BO52-1</f>
        <v>8.5663532050050284E-2</v>
      </c>
      <c r="BV53" s="665"/>
      <c r="BW53" s="717">
        <f>BW52/BQ52-1</f>
        <v>8.8134262228443117E-2</v>
      </c>
      <c r="BX53" s="696">
        <f t="shared" ref="BX53" si="792">BX52/BR52-1</f>
        <v>5.1617115917083733E-2</v>
      </c>
      <c r="BY53" s="696">
        <f t="shared" ref="BY53" si="793">BY52/BS52-1</f>
        <v>4.8080312059788133E-2</v>
      </c>
      <c r="BZ53" s="697">
        <f t="shared" ref="BZ53" si="794">BZ52/BT52-1</f>
        <v>4.8055173822829866E-2</v>
      </c>
      <c r="CA53" s="732">
        <f t="shared" ref="CA53" si="795">CA52/BU52-1</f>
        <v>5.8306867557203157E-2</v>
      </c>
      <c r="CB53" s="665"/>
      <c r="CC53" s="717">
        <f>CC52/BW52-1</f>
        <v>4.8205556774114866E-2</v>
      </c>
      <c r="CD53" s="696">
        <f t="shared" ref="CD53" si="796">CD52/BX52-1</f>
        <v>4.8066496510316137E-2</v>
      </c>
      <c r="CE53" s="696">
        <f t="shared" ref="CE53" si="797">CE52/BY52-1</f>
        <v>4.8085954030012479E-2</v>
      </c>
      <c r="CF53" s="697">
        <f t="shared" ref="CF53" si="798">CF52/BZ52-1</f>
        <v>4.8060843163695743E-2</v>
      </c>
      <c r="CG53" s="732">
        <f t="shared" ref="CG53" si="799">CG52/CA52-1</f>
        <v>4.8103184453765158E-2</v>
      </c>
      <c r="CH53" s="665"/>
      <c r="CI53" s="717">
        <f>CI52/CC52-1</f>
        <v>4.8211044428326577E-2</v>
      </c>
      <c r="CJ53" s="696">
        <f t="shared" ref="CJ53" si="800">CJ52/CD52-1</f>
        <v>4.8072153672074291E-2</v>
      </c>
      <c r="CK53" s="696">
        <f t="shared" ref="CK53" si="801">CK52/CE52-1</f>
        <v>4.809158969171734E-2</v>
      </c>
      <c r="CL53" s="697">
        <f t="shared" ref="CL53" si="802">CL52/CF52-1</f>
        <v>4.8066506436953427E-2</v>
      </c>
      <c r="CM53" s="732">
        <f t="shared" ref="CM53" si="803">CM52/CG52-1</f>
        <v>4.8108800473830593E-2</v>
      </c>
    </row>
    <row r="54" spans="1:91" s="25" customFormat="1" ht="11.25" x14ac:dyDescent="0.2">
      <c r="A54" s="695" t="s">
        <v>9</v>
      </c>
      <c r="B54" s="665"/>
      <c r="C54" s="672"/>
      <c r="D54" s="673"/>
      <c r="E54" s="673"/>
      <c r="F54" s="674"/>
      <c r="G54" s="671"/>
      <c r="H54" s="665"/>
      <c r="I54" s="717">
        <f>I48*C46/C52</f>
        <v>1.4584409820641336E-2</v>
      </c>
      <c r="J54" s="696">
        <f t="shared" ref="J54" si="804">J48*D46/D52</f>
        <v>6.1894768161604143E-2</v>
      </c>
      <c r="K54" s="696">
        <f t="shared" ref="K54" si="805">K48*E46/E52</f>
        <v>7.7127631157174914E-2</v>
      </c>
      <c r="L54" s="697">
        <f t="shared" ref="L54" si="806">L48*F46/F52</f>
        <v>4.5429864680979745E-2</v>
      </c>
      <c r="M54" s="732">
        <f>SUMPRODUCT(I54:L54,C52:F52)/G52</f>
        <v>5.0481889655464324E-2</v>
      </c>
      <c r="N54" s="665"/>
      <c r="O54" s="717">
        <f>O48*I46/I52</f>
        <v>4.0296324465050968E-3</v>
      </c>
      <c r="P54" s="696">
        <f t="shared" ref="P54" si="807">P48*J46/J52</f>
        <v>7.0815807319282173E-3</v>
      </c>
      <c r="Q54" s="696">
        <f t="shared" ref="Q54" si="808">Q48*K46/K52</f>
        <v>-3.1307345233163419E-2</v>
      </c>
      <c r="R54" s="697">
        <f t="shared" ref="R54" si="809">R48*L46/L52</f>
        <v>-1.6472318830293136E-2</v>
      </c>
      <c r="S54" s="732">
        <f>SUMPRODUCT(O54:R54,I52:L52)/M52</f>
        <v>-9.7139416243203856E-3</v>
      </c>
      <c r="T54" s="665"/>
      <c r="U54" s="717">
        <f>U48*O46/O52</f>
        <v>-5.9658070503352629E-3</v>
      </c>
      <c r="V54" s="696">
        <f t="shared" ref="V54" si="810">V48*P46/P52</f>
        <v>-4.0668578701519097E-2</v>
      </c>
      <c r="W54" s="696">
        <f t="shared" ref="W54" si="811">W48*Q46/Q52</f>
        <v>-3.717449194113525E-2</v>
      </c>
      <c r="X54" s="697">
        <f t="shared" ref="X54" si="812">X48*R46/R52</f>
        <v>-2.3062322293091523E-2</v>
      </c>
      <c r="Y54" s="732">
        <f>SUMPRODUCT(U54:X54,O52:R52)/S52</f>
        <v>-2.6493112898928375E-2</v>
      </c>
      <c r="Z54" s="665"/>
      <c r="AA54" s="717">
        <f>AA48*U46/U52</f>
        <v>-1.3290768798495691E-3</v>
      </c>
      <c r="AB54" s="696">
        <f t="shared" ref="AB54" si="813">AB48*V46/V52</f>
        <v>3.7265944942777608E-2</v>
      </c>
      <c r="AC54" s="696">
        <f t="shared" ref="AC54" si="814">AC48*W46/W52</f>
        <v>5.1344677194672644E-2</v>
      </c>
      <c r="AD54" s="697">
        <f t="shared" ref="AD54" si="815">AD48*X46/X52</f>
        <v>4.9302536488592882E-2</v>
      </c>
      <c r="AE54" s="732">
        <f>SUMPRODUCT(AA54:AD54,U52:X52)/Y52</f>
        <v>3.4415767662772101E-2</v>
      </c>
      <c r="AF54" s="665"/>
      <c r="AG54" s="717">
        <f>AG48*AA46/AA52</f>
        <v>4.5369553720783721E-3</v>
      </c>
      <c r="AH54" s="696">
        <f t="shared" ref="AH54" si="816">AH48*AB46/AB52</f>
        <v>-4.6381659882818917E-3</v>
      </c>
      <c r="AI54" s="696">
        <f t="shared" ref="AI54" si="817">AI48*AC46/AC52</f>
        <v>-2.9018041741931268E-2</v>
      </c>
      <c r="AJ54" s="697">
        <f t="shared" ref="AJ54" si="818">AJ48*AD46/AD52</f>
        <v>-5.6081154687832285E-2</v>
      </c>
      <c r="AK54" s="732">
        <f>SUMPRODUCT(AG54:AJ54,AA52:AD52)/AE52</f>
        <v>-2.2315377790053909E-2</v>
      </c>
      <c r="AL54" s="665"/>
      <c r="AM54" s="717">
        <f>AM48*AG46/AG52</f>
        <v>-1.6650978586230717E-2</v>
      </c>
      <c r="AN54" s="696">
        <f t="shared" ref="AN54" si="819">AN48*AH46/AH52</f>
        <v>-4.8799769581105651E-3</v>
      </c>
      <c r="AO54" s="696">
        <f t="shared" ref="AO54" si="820">AO48*AI46/AI52</f>
        <v>-1.645482543138805E-2</v>
      </c>
      <c r="AP54" s="697">
        <f t="shared" ref="AP54" si="821">AP48*AJ46/AJ52</f>
        <v>-1.6297098079422912E-2</v>
      </c>
      <c r="AQ54" s="732">
        <f>SUMPRODUCT(AM54:AP54,AG52:AJ52)/AK52</f>
        <v>-1.3484436392332957E-2</v>
      </c>
      <c r="AR54" s="665"/>
      <c r="AS54" s="717">
        <f>AS48*AM46/AM52</f>
        <v>-3.4107794061020635E-3</v>
      </c>
      <c r="AT54" s="696">
        <f t="shared" ref="AT54" si="822">AT48*AN46/AN52</f>
        <v>-1.9775482882547501E-2</v>
      </c>
      <c r="AU54" s="696">
        <f t="shared" ref="AU54" si="823">AU48*AO46/AO52</f>
        <v>1.1138195568280843E-2</v>
      </c>
      <c r="AV54" s="697">
        <f t="shared" ref="AV54" si="824">AV48*AP46/AP52</f>
        <v>6.9333333333333334E-4</v>
      </c>
      <c r="AW54" s="732">
        <f>SUMPRODUCT(AS54:AV54,AM52:AP52)/AQ52</f>
        <v>-3.0480979992990199E-3</v>
      </c>
      <c r="AX54" s="665"/>
      <c r="AY54" s="717">
        <f>AY48*AS46/AS52</f>
        <v>-3.4408602150537641E-2</v>
      </c>
      <c r="AZ54" s="696">
        <f t="shared" ref="AZ54" si="825">AZ48*AT46/AT52</f>
        <v>-5.335099337748344E-2</v>
      </c>
      <c r="BA54" s="696">
        <f t="shared" ref="BA54" si="826">BA48*AU46/AU52</f>
        <v>-7.9422382671480149E-2</v>
      </c>
      <c r="BB54" s="697">
        <f t="shared" ref="BB54" si="827">BB48*AV46/AV52</f>
        <v>-7.3286918285086114E-2</v>
      </c>
      <c r="BC54" s="732">
        <f>SUMPRODUCT(AY54:BB54,AS52:AV52)/AW52</f>
        <v>-6.0190469612067102E-2</v>
      </c>
      <c r="BD54" s="665"/>
      <c r="BE54" s="717">
        <f>BE48*AY46/AY52</f>
        <v>-5.6220718375845913E-2</v>
      </c>
      <c r="BF54" s="696">
        <f t="shared" ref="BF54" si="828">BF48*AZ46/AZ52</f>
        <v>-3.5330793210945614E-2</v>
      </c>
      <c r="BG54" s="696">
        <f t="shared" ref="BG54" si="829">BG48*BA46/BA52</f>
        <v>-8.5501858736059481E-3</v>
      </c>
      <c r="BH54" s="697">
        <f t="shared" ref="BH54" si="830">BH48*BB46/BB52</f>
        <v>-4.1958041958041958E-3</v>
      </c>
      <c r="BI54" s="732">
        <f>SUMPRODUCT(BE54:BH54,AY52:BB52)/BC52</f>
        <v>-2.6416928038167604E-2</v>
      </c>
      <c r="BJ54" s="665"/>
      <c r="BK54" s="717">
        <f>BK48*BE46/BE52</f>
        <v>-3.2800000000000338E-3</v>
      </c>
      <c r="BL54" s="696">
        <f t="shared" ref="BL54" si="831">BL48*BF46/BF52</f>
        <v>-7.7870036101083005E-3</v>
      </c>
      <c r="BM54" s="696">
        <f t="shared" ref="BM54" si="832">BM48*BG46/BG52</f>
        <v>-1.2948148148148127E-2</v>
      </c>
      <c r="BN54" s="697">
        <f t="shared" ref="BN54" si="833">BN48*BH46/BH52</f>
        <v>3.6452702702702358E-3</v>
      </c>
      <c r="BO54" s="732">
        <f>SUMPRODUCT(BK54:BN54,BE52:BH52)/BI52</f>
        <v>-4.8980322003577929E-3</v>
      </c>
      <c r="BP54" s="665"/>
      <c r="BQ54" s="717">
        <f>BQ48*BK46/BK52</f>
        <v>1.9577777777777795E-2</v>
      </c>
      <c r="BR54" s="696">
        <f t="shared" ref="BR54" si="834">BR48*BL46/BL52</f>
        <v>6.8918247261924914E-2</v>
      </c>
      <c r="BS54" s="696">
        <f t="shared" ref="BS54" si="835">BS48*BM46/BM52</f>
        <v>5.4698198417670145E-2</v>
      </c>
      <c r="BT54" s="697">
        <f t="shared" ref="BT54" si="836">BT48*BN46/BN52</f>
        <v>2.2642723021923231E-2</v>
      </c>
      <c r="BU54" s="732">
        <f>SUMPRODUCT(BQ54:BT54,BK52:BN52)/BO52</f>
        <v>4.0918795207944995E-2</v>
      </c>
      <c r="BV54" s="665"/>
      <c r="BW54" s="717">
        <f>BW48*BQ46/BQ52</f>
        <v>4.0002774339169926E-2</v>
      </c>
      <c r="BX54" s="696">
        <f t="shared" ref="BX54" si="837">BX48*BR46/BR52</f>
        <v>3.5628626763535417E-3</v>
      </c>
      <c r="BY54" s="696">
        <f t="shared" ref="BY54" si="838">BY48*BS46/BS52</f>
        <v>0</v>
      </c>
      <c r="BZ54" s="697">
        <f t="shared" ref="BZ54" si="839">BZ48*BT46/BT52</f>
        <v>0</v>
      </c>
      <c r="CA54" s="732">
        <f>SUMPRODUCT(BW54:BZ54,BQ52:BT52)/BU52</f>
        <v>1.0227836857748125E-2</v>
      </c>
      <c r="CB54" s="665"/>
      <c r="CC54" s="717">
        <f>CC48*BW46/BW52</f>
        <v>0</v>
      </c>
      <c r="CD54" s="696">
        <f t="shared" ref="CD54" si="840">CD48*BX46/BX52</f>
        <v>0</v>
      </c>
      <c r="CE54" s="696">
        <f t="shared" ref="CE54" si="841">CE48*BY46/BY52</f>
        <v>0</v>
      </c>
      <c r="CF54" s="697">
        <f t="shared" ref="CF54" si="842">CF48*BZ46/BZ52</f>
        <v>0</v>
      </c>
      <c r="CG54" s="732">
        <f>SUMPRODUCT(CC54:CF54,BW52:BZ52)/CA52</f>
        <v>0</v>
      </c>
      <c r="CH54" s="665"/>
      <c r="CI54" s="717">
        <f>CI48*CC46/CC52</f>
        <v>0</v>
      </c>
      <c r="CJ54" s="696">
        <f t="shared" ref="CJ54" si="843">CJ48*CD46/CD52</f>
        <v>0</v>
      </c>
      <c r="CK54" s="696">
        <f t="shared" ref="CK54" si="844">CK48*CE46/CE52</f>
        <v>0</v>
      </c>
      <c r="CL54" s="697">
        <f t="shared" ref="CL54" si="845">CL48*CF46/CF52</f>
        <v>0</v>
      </c>
      <c r="CM54" s="732">
        <f>SUMPRODUCT(CI54:CL54,CC52:CF52)/CG52</f>
        <v>0</v>
      </c>
    </row>
    <row r="55" spans="1:91" s="25" customFormat="1" ht="11.25" x14ac:dyDescent="0.2">
      <c r="A55" s="695" t="s">
        <v>10</v>
      </c>
      <c r="B55" s="665"/>
      <c r="C55" s="717"/>
      <c r="D55" s="696"/>
      <c r="E55" s="696"/>
      <c r="F55" s="697"/>
      <c r="G55" s="732"/>
      <c r="H55" s="665"/>
      <c r="I55" s="717">
        <f>I53-I54</f>
        <v>0.1991666183406218</v>
      </c>
      <c r="J55" s="696">
        <f t="shared" ref="J55:M55" si="846">J53-J54</f>
        <v>0.10551130899565928</v>
      </c>
      <c r="K55" s="696">
        <f t="shared" si="846"/>
        <v>0.10930254300673137</v>
      </c>
      <c r="L55" s="697">
        <f t="shared" si="846"/>
        <v>0.15279549062594489</v>
      </c>
      <c r="M55" s="732">
        <f t="shared" si="846"/>
        <v>0.14062113243883853</v>
      </c>
      <c r="N55" s="665"/>
      <c r="O55" s="717">
        <f>O53-O54</f>
        <v>0.11496818826695522</v>
      </c>
      <c r="P55" s="696">
        <f t="shared" ref="P55:S55" si="847">P53-P54</f>
        <v>4.4219842436544532E-2</v>
      </c>
      <c r="Q55" s="696">
        <f t="shared" si="847"/>
        <v>-2.4110619787820309E-2</v>
      </c>
      <c r="R55" s="697">
        <f t="shared" si="847"/>
        <v>-5.9899318617360933E-2</v>
      </c>
      <c r="S55" s="732">
        <f t="shared" si="847"/>
        <v>1.4161411508119901E-2</v>
      </c>
      <c r="T55" s="665"/>
      <c r="U55" s="717">
        <f>U53-U54</f>
        <v>1.3869223295471838E-2</v>
      </c>
      <c r="V55" s="696">
        <f t="shared" ref="V55:Y55" si="848">V53-V54</f>
        <v>9.0375712683934212E-2</v>
      </c>
      <c r="W55" s="696">
        <f t="shared" si="848"/>
        <v>0.13568285113624984</v>
      </c>
      <c r="X55" s="697">
        <f t="shared" si="848"/>
        <v>7.754203061895365E-2</v>
      </c>
      <c r="Y55" s="732">
        <f t="shared" si="848"/>
        <v>7.8146094545486669E-2</v>
      </c>
      <c r="Z55" s="665"/>
      <c r="AA55" s="717">
        <f>AA53-AA54</f>
        <v>0.10399274644995354</v>
      </c>
      <c r="AB55" s="696">
        <f t="shared" ref="AB55:AE55" si="849">AB53-AB54</f>
        <v>9.247938962779631E-2</v>
      </c>
      <c r="AC55" s="696">
        <f t="shared" si="849"/>
        <v>0.14507250263634128</v>
      </c>
      <c r="AD55" s="697">
        <f t="shared" si="849"/>
        <v>0.13105334116075212</v>
      </c>
      <c r="AE55" s="732">
        <f t="shared" si="849"/>
        <v>0.11803577443289681</v>
      </c>
      <c r="AF55" s="665"/>
      <c r="AG55" s="717">
        <f>AG53-AG54</f>
        <v>1.7006085037636627E-2</v>
      </c>
      <c r="AH55" s="696">
        <f t="shared" ref="AH55:AK55" si="850">AH53-AH54</f>
        <v>1.8583079927720202E-2</v>
      </c>
      <c r="AI55" s="696">
        <f t="shared" si="850"/>
        <v>1.8502397585728261E-3</v>
      </c>
      <c r="AJ55" s="697">
        <f t="shared" si="850"/>
        <v>-7.1927475286580334E-3</v>
      </c>
      <c r="AK55" s="732">
        <f t="shared" si="850"/>
        <v>7.1531305150797364E-3</v>
      </c>
      <c r="AL55" s="665"/>
      <c r="AM55" s="717">
        <f>AM53-AM54</f>
        <v>3.3206355054109904E-2</v>
      </c>
      <c r="AN55" s="696">
        <f t="shared" ref="AN55:AQ55" si="851">AN53-AN54</f>
        <v>1.0672851973861995E-2</v>
      </c>
      <c r="AO55" s="696">
        <f t="shared" si="851"/>
        <v>-2.5110550178222661E-2</v>
      </c>
      <c r="AP55" s="697">
        <f t="shared" si="851"/>
        <v>0.11481592852304155</v>
      </c>
      <c r="AQ55" s="732">
        <f t="shared" si="851"/>
        <v>3.3565315653267785E-2</v>
      </c>
      <c r="AR55" s="665"/>
      <c r="AS55" s="717">
        <f>AS53-AS54</f>
        <v>5.6662268681057219E-2</v>
      </c>
      <c r="AT55" s="696">
        <f t="shared" ref="AT55:AW55" si="852">AT53-AT54</f>
        <v>0.10080238685013078</v>
      </c>
      <c r="AU55" s="696">
        <f t="shared" si="852"/>
        <v>6.6448011328270981E-2</v>
      </c>
      <c r="AV55" s="697">
        <f t="shared" si="852"/>
        <v>-6.0000000000069763E-5</v>
      </c>
      <c r="AW55" s="732">
        <f t="shared" si="852"/>
        <v>5.4691861721543458E-2</v>
      </c>
      <c r="AX55" s="665"/>
      <c r="AY55" s="717">
        <f>AY53-AY54</f>
        <v>6.7204301075268758E-2</v>
      </c>
      <c r="AZ55" s="696">
        <f t="shared" ref="AZ55:BC55" si="853">AZ53-AZ54</f>
        <v>9.3112582781456552E-3</v>
      </c>
      <c r="BA55" s="696">
        <f t="shared" si="853"/>
        <v>5.0541516245487403E-2</v>
      </c>
      <c r="BB55" s="697">
        <f t="shared" si="853"/>
        <v>2.6016855991205581E-2</v>
      </c>
      <c r="BC55" s="732">
        <f t="shared" si="853"/>
        <v>3.7448087101425345E-2</v>
      </c>
      <c r="BD55" s="665"/>
      <c r="BE55" s="717">
        <f>BE53-BE54</f>
        <v>1.058476487940313E-2</v>
      </c>
      <c r="BF55" s="696">
        <f t="shared" ref="BF55:BI55" si="854">BF53-BF54</f>
        <v>-5.1957048839625444E-3</v>
      </c>
      <c r="BG55" s="696">
        <f t="shared" si="854"/>
        <v>1.2267657992564957E-2</v>
      </c>
      <c r="BH55" s="697">
        <f t="shared" si="854"/>
        <v>3.9160839160839199E-2</v>
      </c>
      <c r="BI55" s="732">
        <f t="shared" si="854"/>
        <v>1.4180324247912785E-2</v>
      </c>
      <c r="BJ55" s="665"/>
      <c r="BK55" s="717">
        <f>BK53-BK54</f>
        <v>-1.4901818181818155E-2</v>
      </c>
      <c r="BL55" s="696">
        <f t="shared" ref="BL55" si="855">BL53-BL54</f>
        <v>-1.7483754512635407E-2</v>
      </c>
      <c r="BM55" s="696">
        <f t="shared" ref="BM55" si="856">BM53-BM54</f>
        <v>7.220740740740747E-2</v>
      </c>
      <c r="BN55" s="697">
        <f t="shared" ref="BN55" si="857">BN53-BN54</f>
        <v>5.7165540540540509E-2</v>
      </c>
      <c r="BO55" s="732">
        <f t="shared" ref="BO55" si="858">BO53-BO54</f>
        <v>2.457602862254028E-2</v>
      </c>
      <c r="BP55" s="665"/>
      <c r="BQ55" s="717">
        <f>BQ53-BQ54</f>
        <v>5.0792592592592625E-2</v>
      </c>
      <c r="BR55" s="696">
        <f t="shared" ref="BR55:BU55" si="859">BR53-BR54</f>
        <v>7.2222222222222243E-2</v>
      </c>
      <c r="BS55" s="696">
        <f t="shared" si="859"/>
        <v>2.4020979020979168E-2</v>
      </c>
      <c r="BT55" s="697">
        <f t="shared" si="859"/>
        <v>3.4792993630573352E-2</v>
      </c>
      <c r="BU55" s="732">
        <f t="shared" si="859"/>
        <v>4.4744736842105289E-2</v>
      </c>
      <c r="BV55" s="665"/>
      <c r="BW55" s="717">
        <f>BW53-BW54</f>
        <v>4.813148788927319E-2</v>
      </c>
      <c r="BX55" s="696">
        <f t="shared" ref="BX55:CA55" si="860">BX53-BX54</f>
        <v>4.8054253240730191E-2</v>
      </c>
      <c r="BY55" s="696">
        <f t="shared" si="860"/>
        <v>4.8080312059788133E-2</v>
      </c>
      <c r="BZ55" s="697">
        <f t="shared" si="860"/>
        <v>4.8055173822829866E-2</v>
      </c>
      <c r="CA55" s="732">
        <f t="shared" si="860"/>
        <v>4.807903069945503E-2</v>
      </c>
      <c r="CB55" s="665"/>
      <c r="CC55" s="717">
        <f>CC53-CC54</f>
        <v>4.8205556774114866E-2</v>
      </c>
      <c r="CD55" s="696">
        <f t="shared" ref="CD55:CG55" si="861">CD53-CD54</f>
        <v>4.8066496510316137E-2</v>
      </c>
      <c r="CE55" s="696">
        <f t="shared" si="861"/>
        <v>4.8085954030012479E-2</v>
      </c>
      <c r="CF55" s="697">
        <f t="shared" si="861"/>
        <v>4.8060843163695743E-2</v>
      </c>
      <c r="CG55" s="732">
        <f t="shared" si="861"/>
        <v>4.8103184453765158E-2</v>
      </c>
      <c r="CH55" s="665"/>
      <c r="CI55" s="717">
        <f>CI53-CI54</f>
        <v>4.8211044428326577E-2</v>
      </c>
      <c r="CJ55" s="696">
        <f t="shared" ref="CJ55:CM55" si="862">CJ53-CJ54</f>
        <v>4.8072153672074291E-2</v>
      </c>
      <c r="CK55" s="696">
        <f t="shared" si="862"/>
        <v>4.809158969171734E-2</v>
      </c>
      <c r="CL55" s="697">
        <f t="shared" si="862"/>
        <v>4.8066506436953427E-2</v>
      </c>
      <c r="CM55" s="732">
        <f t="shared" si="862"/>
        <v>4.8108800473830593E-2</v>
      </c>
    </row>
    <row r="56" spans="1:91" s="25" customFormat="1" ht="11.25" x14ac:dyDescent="0.2">
      <c r="A56" s="695" t="s">
        <v>6</v>
      </c>
      <c r="B56" s="665"/>
      <c r="C56" s="672"/>
      <c r="D56" s="673"/>
      <c r="E56" s="673"/>
      <c r="F56" s="674"/>
      <c r="G56" s="671"/>
      <c r="H56" s="665"/>
      <c r="I56" s="717">
        <f>(I44*C42+I50*C46)/C52</f>
        <v>0</v>
      </c>
      <c r="J56" s="696">
        <f t="shared" ref="J56" si="863">(J44*D42+J50*D46)/D52</f>
        <v>0</v>
      </c>
      <c r="K56" s="696">
        <f t="shared" ref="K56" si="864">(K44*E42+K50*E46)/E52</f>
        <v>0</v>
      </c>
      <c r="L56" s="697">
        <f t="shared" ref="L56" si="865">(L44*F42+L50*F46)/F52</f>
        <v>0</v>
      </c>
      <c r="M56" s="732">
        <f>SUMPRODUCT(I56:L56,C52:F52)/G52</f>
        <v>0</v>
      </c>
      <c r="N56" s="665"/>
      <c r="O56" s="717">
        <f>(O44*I42+O50*I46)/I52</f>
        <v>0</v>
      </c>
      <c r="P56" s="696">
        <f t="shared" ref="P56" si="866">(P44*J42+P50*J46)/J52</f>
        <v>0</v>
      </c>
      <c r="Q56" s="696">
        <f t="shared" ref="Q56" si="867">(Q44*K42+Q50*K46)/K52</f>
        <v>0</v>
      </c>
      <c r="R56" s="697">
        <f t="shared" ref="R56" si="868">(R44*L42+R50*L46)/L52</f>
        <v>0</v>
      </c>
      <c r="S56" s="732">
        <f>SUMPRODUCT(O56:R56,I52:L52)/M52</f>
        <v>0</v>
      </c>
      <c r="T56" s="665"/>
      <c r="U56" s="717">
        <f>(U44*O42+U50*O46)/O52</f>
        <v>0</v>
      </c>
      <c r="V56" s="696">
        <f t="shared" ref="V56" si="869">(V44*P42+V50*P46)/P52</f>
        <v>0</v>
      </c>
      <c r="W56" s="696">
        <f t="shared" ref="W56" si="870">(W44*Q42+W50*Q46)/Q52</f>
        <v>0</v>
      </c>
      <c r="X56" s="697">
        <f t="shared" ref="X56" si="871">(X44*R42+X50*R46)/R52</f>
        <v>0</v>
      </c>
      <c r="Y56" s="732">
        <f>SUMPRODUCT(U56:X56,O52:R52)/S52</f>
        <v>0</v>
      </c>
      <c r="Z56" s="665"/>
      <c r="AA56" s="717">
        <f>(AA44*U42+AA50*U46)/U52</f>
        <v>2.0930684937428404E-2</v>
      </c>
      <c r="AB56" s="696">
        <f t="shared" ref="AB56" si="872">(AB44*V42+AB50*V46)/V52</f>
        <v>3.7108980307248164E-2</v>
      </c>
      <c r="AC56" s="696">
        <f t="shared" ref="AC56" si="873">(AC44*W42+AC50*W46)/W52</f>
        <v>5.1702664114948817E-2</v>
      </c>
      <c r="AD56" s="697">
        <f t="shared" ref="AD56" si="874">(AD44*X42+AD50*X46)/X52</f>
        <v>4.6090001821899228E-2</v>
      </c>
      <c r="AE56" s="732">
        <f>SUMPRODUCT(AA56:AD56,U52:X52)/Y52</f>
        <v>3.9041754008986185E-2</v>
      </c>
      <c r="AF56" s="665"/>
      <c r="AG56" s="717">
        <f>(AG44*AA42+AG50*AA46)/AA52</f>
        <v>0</v>
      </c>
      <c r="AH56" s="696">
        <f t="shared" ref="AH56" si="875">(AH44*AB42+AH50*AB46)/AB52</f>
        <v>0</v>
      </c>
      <c r="AI56" s="696">
        <f t="shared" ref="AI56" si="876">(AI44*AC42+AI50*AC46)/AC52</f>
        <v>0</v>
      </c>
      <c r="AJ56" s="697">
        <f t="shared" ref="AJ56" si="877">(AJ44*AD42+AJ50*AD46)/AD52</f>
        <v>0</v>
      </c>
      <c r="AK56" s="732">
        <f>SUMPRODUCT(AG56:AJ56,AA52:AD52)/AE52</f>
        <v>0</v>
      </c>
      <c r="AL56" s="665"/>
      <c r="AM56" s="717">
        <f>(AM44*AG42+AM50*AG46)/AG52</f>
        <v>6.9379077442627982E-3</v>
      </c>
      <c r="AN56" s="696">
        <f t="shared" ref="AN56" si="878">(AN44*AH42+AN50*AH46)/AH52</f>
        <v>6.9713956544436642E-3</v>
      </c>
      <c r="AO56" s="696">
        <f t="shared" ref="AO56" si="879">(AO44*AI42+AO50*AI46)/AI52</f>
        <v>6.581930172555219E-3</v>
      </c>
      <c r="AP56" s="697">
        <f t="shared" ref="AP56" si="880">(AP44*AJ42+AP50*AJ46)/AJ52</f>
        <v>6.7904575330928803E-3</v>
      </c>
      <c r="AQ56" s="732">
        <f>SUMPRODUCT(AM56:AP56,AG52:AJ52)/AK52</f>
        <v>6.8207929724332511E-3</v>
      </c>
      <c r="AR56" s="665"/>
      <c r="AS56" s="717">
        <f>(AS44*AM42+AS50*AM46)/AM52</f>
        <v>6.821558812204127E-3</v>
      </c>
      <c r="AT56" s="696">
        <f t="shared" ref="AT56" si="881">(AT44*AN42+AT50*AN46)/AN52</f>
        <v>0</v>
      </c>
      <c r="AU56" s="696">
        <f t="shared" ref="AU56" si="882">(AU44*AO42+AU50*AO46)/AO52</f>
        <v>0</v>
      </c>
      <c r="AV56" s="697">
        <f t="shared" ref="AV56" si="883">(AV44*AP42+AV50*AP46)/AP52</f>
        <v>0</v>
      </c>
      <c r="AW56" s="732">
        <f>SUMPRODUCT(AS56:AV56,AM52:AP52)/AQ52</f>
        <v>1.6407582215426299E-3</v>
      </c>
      <c r="AX56" s="665"/>
      <c r="AY56" s="717">
        <f>(AY44*AS42+AY50*AS46)/AS52</f>
        <v>0</v>
      </c>
      <c r="AZ56" s="696">
        <f t="shared" ref="AZ56" si="884">(AZ44*AT42+AZ50*AT46)/AT52</f>
        <v>0</v>
      </c>
      <c r="BA56" s="696">
        <f t="shared" ref="BA56" si="885">(BA44*AU42+BA50*AU46)/AU52</f>
        <v>0</v>
      </c>
      <c r="BB56" s="697">
        <f t="shared" ref="BB56" si="886">(BB44*AV42+BB50*AV46)/AV52</f>
        <v>0</v>
      </c>
      <c r="BC56" s="732">
        <f>SUMPRODUCT(AY56:BB56,AS52:AV52)/AW52</f>
        <v>0</v>
      </c>
      <c r="BD56" s="665"/>
      <c r="BE56" s="717">
        <f>(BE44*AY42+BE50*AY46)/AY52</f>
        <v>0</v>
      </c>
      <c r="BF56" s="696">
        <f t="shared" ref="BF56" si="887">(BF44*AZ42+BF50*AZ46)/AZ52</f>
        <v>0</v>
      </c>
      <c r="BG56" s="696">
        <f t="shared" ref="BG56" si="888">(BG44*BA42+BG50*BA46)/BA52</f>
        <v>0</v>
      </c>
      <c r="BH56" s="697">
        <f t="shared" ref="BH56" si="889">(BH44*BB42+BH50*BB46)/BB52</f>
        <v>0</v>
      </c>
      <c r="BI56" s="732">
        <f>SUMPRODUCT(BE56:BH56,AY52:BB52)/BC52</f>
        <v>0</v>
      </c>
      <c r="BJ56" s="665"/>
      <c r="BK56" s="717">
        <f>(BK44*BE42+BK50*BE46)/BE52</f>
        <v>0</v>
      </c>
      <c r="BL56" s="696">
        <f t="shared" ref="BL56" si="890">(BL44*BF42+BL50*BF46)/BF52</f>
        <v>0</v>
      </c>
      <c r="BM56" s="696">
        <f t="shared" ref="BM56" si="891">(BM44*BG42+BM50*BG46)/BG52</f>
        <v>0</v>
      </c>
      <c r="BN56" s="697">
        <f t="shared" ref="BN56" si="892">(BN44*BH42+BN50*BH46)/BH52</f>
        <v>0</v>
      </c>
      <c r="BO56" s="732">
        <f>SUMPRODUCT(BK56:BN56,BE52:BH52)/BI52</f>
        <v>0</v>
      </c>
      <c r="BP56" s="665"/>
      <c r="BQ56" s="717">
        <f>(BQ44*BK42+BQ50*BK46)/BK52</f>
        <v>0</v>
      </c>
      <c r="BR56" s="696">
        <f t="shared" ref="BR56" si="893">(BR44*BL42+BR50*BL46)/BL52</f>
        <v>0</v>
      </c>
      <c r="BS56" s="696">
        <f t="shared" ref="BS56" si="894">(BS44*BM42+BS50*BM46)/BM52</f>
        <v>0</v>
      </c>
      <c r="BT56" s="697">
        <f t="shared" ref="BT56" si="895">(BT44*BN42+BT50*BN46)/BN52</f>
        <v>0</v>
      </c>
      <c r="BU56" s="732">
        <f>SUMPRODUCT(BQ56:BT56,BK52:BN52)/BO52</f>
        <v>0</v>
      </c>
      <c r="BV56" s="665"/>
      <c r="BW56" s="717">
        <f>(BW44*BQ42+BW50*BQ46)/BQ52</f>
        <v>0</v>
      </c>
      <c r="BX56" s="696">
        <f t="shared" ref="BX56" si="896">(BX44*BR42+BX50*BR46)/BR52</f>
        <v>0</v>
      </c>
      <c r="BY56" s="696">
        <f t="shared" ref="BY56" si="897">(BY44*BS42+BY50*BS46)/BS52</f>
        <v>0</v>
      </c>
      <c r="BZ56" s="697">
        <f t="shared" ref="BZ56" si="898">(BZ44*BT42+BZ50*BT46)/BT52</f>
        <v>0</v>
      </c>
      <c r="CA56" s="732">
        <f>SUMPRODUCT(BW56:BZ56,BQ52:BT52)/BU52</f>
        <v>0</v>
      </c>
      <c r="CB56" s="665"/>
      <c r="CC56" s="717">
        <f>(CC44*BW42+CC50*BW46)/BW52</f>
        <v>0</v>
      </c>
      <c r="CD56" s="696">
        <f t="shared" ref="CD56" si="899">(CD44*BX42+CD50*BX46)/BX52</f>
        <v>0</v>
      </c>
      <c r="CE56" s="696">
        <f t="shared" ref="CE56" si="900">(CE44*BY42+CE50*BY46)/BY52</f>
        <v>0</v>
      </c>
      <c r="CF56" s="697">
        <f t="shared" ref="CF56" si="901">(CF44*BZ42+CF50*BZ46)/BZ52</f>
        <v>0</v>
      </c>
      <c r="CG56" s="732">
        <f>SUMPRODUCT(CC56:CF56,BW52:BZ52)/CA52</f>
        <v>0</v>
      </c>
      <c r="CH56" s="665"/>
      <c r="CI56" s="717">
        <f>(CI44*CC42+CI50*CC46)/CC52</f>
        <v>0</v>
      </c>
      <c r="CJ56" s="696">
        <f t="shared" ref="CJ56" si="902">(CJ44*CD42+CJ50*CD46)/CD52</f>
        <v>0</v>
      </c>
      <c r="CK56" s="696">
        <f t="shared" ref="CK56" si="903">(CK44*CE42+CK50*CE46)/CE52</f>
        <v>0</v>
      </c>
      <c r="CL56" s="697">
        <f t="shared" ref="CL56" si="904">(CL44*CF42+CL50*CF46)/CF52</f>
        <v>0</v>
      </c>
      <c r="CM56" s="732">
        <f>SUMPRODUCT(CI56:CL56,CC52:CF52)/CG52</f>
        <v>0</v>
      </c>
    </row>
    <row r="57" spans="1:91" s="25" customFormat="1" ht="11.25" x14ac:dyDescent="0.2">
      <c r="A57" s="695" t="s">
        <v>7</v>
      </c>
      <c r="B57" s="665"/>
      <c r="C57" s="717"/>
      <c r="D57" s="696"/>
      <c r="E57" s="696"/>
      <c r="F57" s="697"/>
      <c r="G57" s="732"/>
      <c r="H57" s="665"/>
      <c r="I57" s="717">
        <f>I55-I56</f>
        <v>0.1991666183406218</v>
      </c>
      <c r="J57" s="696">
        <f t="shared" ref="J57:M57" si="905">J55-J56</f>
        <v>0.10551130899565928</v>
      </c>
      <c r="K57" s="696">
        <f t="shared" si="905"/>
        <v>0.10930254300673137</v>
      </c>
      <c r="L57" s="697">
        <f t="shared" si="905"/>
        <v>0.15279549062594489</v>
      </c>
      <c r="M57" s="732">
        <f t="shared" si="905"/>
        <v>0.14062113243883853</v>
      </c>
      <c r="N57" s="665"/>
      <c r="O57" s="717">
        <f>O55-O56</f>
        <v>0.11496818826695522</v>
      </c>
      <c r="P57" s="696">
        <f t="shared" ref="P57:S57" si="906">P55-P56</f>
        <v>4.4219842436544532E-2</v>
      </c>
      <c r="Q57" s="696">
        <f t="shared" si="906"/>
        <v>-2.4110619787820309E-2</v>
      </c>
      <c r="R57" s="697">
        <f t="shared" si="906"/>
        <v>-5.9899318617360933E-2</v>
      </c>
      <c r="S57" s="732">
        <f t="shared" si="906"/>
        <v>1.4161411508119901E-2</v>
      </c>
      <c r="T57" s="665"/>
      <c r="U57" s="717">
        <f>U55-U56</f>
        <v>1.3869223295471838E-2</v>
      </c>
      <c r="V57" s="696">
        <f t="shared" ref="V57:Y57" si="907">V55-V56</f>
        <v>9.0375712683934212E-2</v>
      </c>
      <c r="W57" s="696">
        <f t="shared" si="907"/>
        <v>0.13568285113624984</v>
      </c>
      <c r="X57" s="697">
        <f t="shared" si="907"/>
        <v>7.754203061895365E-2</v>
      </c>
      <c r="Y57" s="732">
        <f t="shared" si="907"/>
        <v>7.8146094545486669E-2</v>
      </c>
      <c r="Z57" s="665"/>
      <c r="AA57" s="717">
        <f>AA55-AA56</f>
        <v>8.306206151252514E-2</v>
      </c>
      <c r="AB57" s="696">
        <f t="shared" ref="AB57:AE57" si="908">AB55-AB56</f>
        <v>5.5370409320548146E-2</v>
      </c>
      <c r="AC57" s="696">
        <f t="shared" si="908"/>
        <v>9.3369838521392468E-2</v>
      </c>
      <c r="AD57" s="697">
        <f t="shared" si="908"/>
        <v>8.4963339338852889E-2</v>
      </c>
      <c r="AE57" s="732">
        <f t="shared" si="908"/>
        <v>7.8994020423910627E-2</v>
      </c>
      <c r="AF57" s="665"/>
      <c r="AG57" s="717">
        <f>AG55-AG56</f>
        <v>1.7006085037636627E-2</v>
      </c>
      <c r="AH57" s="696">
        <f t="shared" ref="AH57:AK57" si="909">AH55-AH56</f>
        <v>1.8583079927720202E-2</v>
      </c>
      <c r="AI57" s="696">
        <f t="shared" si="909"/>
        <v>1.8502397585728261E-3</v>
      </c>
      <c r="AJ57" s="697">
        <f t="shared" si="909"/>
        <v>-7.1927475286580334E-3</v>
      </c>
      <c r="AK57" s="732">
        <f t="shared" si="909"/>
        <v>7.1531305150797364E-3</v>
      </c>
      <c r="AL57" s="665"/>
      <c r="AM57" s="717">
        <f>AM55-AM56</f>
        <v>2.6268447309847107E-2</v>
      </c>
      <c r="AN57" s="696">
        <f t="shared" ref="AN57:AQ57" si="910">AN55-AN56</f>
        <v>3.7014563194183309E-3</v>
      </c>
      <c r="AO57" s="696">
        <f t="shared" si="910"/>
        <v>-3.1692480350777881E-2</v>
      </c>
      <c r="AP57" s="697">
        <f t="shared" si="910"/>
        <v>0.10802547098994868</v>
      </c>
      <c r="AQ57" s="732">
        <f t="shared" si="910"/>
        <v>2.6744522680834534E-2</v>
      </c>
      <c r="AR57" s="665"/>
      <c r="AS57" s="717">
        <f>AS55-AS56</f>
        <v>4.9840709868853091E-2</v>
      </c>
      <c r="AT57" s="696">
        <f t="shared" ref="AT57:AW57" si="911">AT55-AT56</f>
        <v>0.10080238685013078</v>
      </c>
      <c r="AU57" s="696">
        <f t="shared" si="911"/>
        <v>6.6448011328270981E-2</v>
      </c>
      <c r="AV57" s="697">
        <f t="shared" si="911"/>
        <v>-6.0000000000069763E-5</v>
      </c>
      <c r="AW57" s="732">
        <f t="shared" si="911"/>
        <v>5.3051103500000828E-2</v>
      </c>
      <c r="AX57" s="665"/>
      <c r="AY57" s="717">
        <f>AY55-AY56</f>
        <v>6.7204301075268758E-2</v>
      </c>
      <c r="AZ57" s="696">
        <f t="shared" ref="AZ57:BC57" si="912">AZ55-AZ56</f>
        <v>9.3112582781456552E-3</v>
      </c>
      <c r="BA57" s="696">
        <f t="shared" si="912"/>
        <v>5.0541516245487403E-2</v>
      </c>
      <c r="BB57" s="697">
        <f t="shared" si="912"/>
        <v>2.6016855991205581E-2</v>
      </c>
      <c r="BC57" s="732">
        <f t="shared" si="912"/>
        <v>3.7448087101425345E-2</v>
      </c>
      <c r="BD57" s="665"/>
      <c r="BE57" s="717">
        <f>BE55-BE56</f>
        <v>1.058476487940313E-2</v>
      </c>
      <c r="BF57" s="696">
        <f t="shared" ref="BF57:BI57" si="913">BF55-BF56</f>
        <v>-5.1957048839625444E-3</v>
      </c>
      <c r="BG57" s="696">
        <f t="shared" si="913"/>
        <v>1.2267657992564957E-2</v>
      </c>
      <c r="BH57" s="697">
        <f t="shared" si="913"/>
        <v>3.9160839160839199E-2</v>
      </c>
      <c r="BI57" s="732">
        <f t="shared" si="913"/>
        <v>1.4180324247912785E-2</v>
      </c>
      <c r="BJ57" s="665"/>
      <c r="BK57" s="717">
        <f>BK55-BK56</f>
        <v>-1.4901818181818155E-2</v>
      </c>
      <c r="BL57" s="696">
        <f t="shared" ref="BL57" si="914">BL55-BL56</f>
        <v>-1.7483754512635407E-2</v>
      </c>
      <c r="BM57" s="696">
        <f t="shared" ref="BM57" si="915">BM55-BM56</f>
        <v>7.220740740740747E-2</v>
      </c>
      <c r="BN57" s="697">
        <f t="shared" ref="BN57" si="916">BN55-BN56</f>
        <v>5.7165540540540509E-2</v>
      </c>
      <c r="BO57" s="732">
        <f t="shared" ref="BO57" si="917">BO55-BO56</f>
        <v>2.457602862254028E-2</v>
      </c>
      <c r="BP57" s="665"/>
      <c r="BQ57" s="717">
        <f>BQ55-BQ56</f>
        <v>5.0792592592592625E-2</v>
      </c>
      <c r="BR57" s="696">
        <f t="shared" ref="BR57:BU57" si="918">BR55-BR56</f>
        <v>7.2222222222222243E-2</v>
      </c>
      <c r="BS57" s="696">
        <f t="shared" si="918"/>
        <v>2.4020979020979168E-2</v>
      </c>
      <c r="BT57" s="697">
        <f t="shared" si="918"/>
        <v>3.4792993630573352E-2</v>
      </c>
      <c r="BU57" s="732">
        <f t="shared" si="918"/>
        <v>4.4744736842105289E-2</v>
      </c>
      <c r="BV57" s="665"/>
      <c r="BW57" s="717">
        <f>BW55-BW56</f>
        <v>4.813148788927319E-2</v>
      </c>
      <c r="BX57" s="696">
        <f t="shared" ref="BX57:CA57" si="919">BX55-BX56</f>
        <v>4.8054253240730191E-2</v>
      </c>
      <c r="BY57" s="696">
        <f t="shared" si="919"/>
        <v>4.8080312059788133E-2</v>
      </c>
      <c r="BZ57" s="697">
        <f t="shared" si="919"/>
        <v>4.8055173822829866E-2</v>
      </c>
      <c r="CA57" s="732">
        <f t="shared" si="919"/>
        <v>4.807903069945503E-2</v>
      </c>
      <c r="CB57" s="665"/>
      <c r="CC57" s="717">
        <f>CC55-CC56</f>
        <v>4.8205556774114866E-2</v>
      </c>
      <c r="CD57" s="696">
        <f t="shared" ref="CD57:CG57" si="920">CD55-CD56</f>
        <v>4.8066496510316137E-2</v>
      </c>
      <c r="CE57" s="696">
        <f t="shared" si="920"/>
        <v>4.8085954030012479E-2</v>
      </c>
      <c r="CF57" s="697">
        <f t="shared" si="920"/>
        <v>4.8060843163695743E-2</v>
      </c>
      <c r="CG57" s="732">
        <f t="shared" si="920"/>
        <v>4.8103184453765158E-2</v>
      </c>
      <c r="CH57" s="665"/>
      <c r="CI57" s="717">
        <f>CI55-CI56</f>
        <v>4.8211044428326577E-2</v>
      </c>
      <c r="CJ57" s="696">
        <f t="shared" ref="CJ57:CM57" si="921">CJ55-CJ56</f>
        <v>4.8072153672074291E-2</v>
      </c>
      <c r="CK57" s="696">
        <f t="shared" si="921"/>
        <v>4.809158969171734E-2</v>
      </c>
      <c r="CL57" s="697">
        <f t="shared" si="921"/>
        <v>4.8066506436953427E-2</v>
      </c>
      <c r="CM57" s="732">
        <f t="shared" si="921"/>
        <v>4.8108800473830593E-2</v>
      </c>
    </row>
    <row r="58" spans="1:91" s="25" customFormat="1" ht="11.25" x14ac:dyDescent="0.2">
      <c r="A58" s="706" t="s">
        <v>19</v>
      </c>
      <c r="B58" s="707"/>
      <c r="C58" s="728"/>
      <c r="D58" s="707"/>
      <c r="E58" s="707"/>
      <c r="F58" s="708"/>
      <c r="G58" s="739"/>
      <c r="H58" s="707"/>
      <c r="I58" s="728"/>
      <c r="J58" s="707"/>
      <c r="K58" s="707"/>
      <c r="L58" s="708"/>
      <c r="M58" s="739"/>
      <c r="N58" s="707"/>
      <c r="O58" s="728"/>
      <c r="P58" s="707"/>
      <c r="Q58" s="707"/>
      <c r="R58" s="708"/>
      <c r="S58" s="739"/>
      <c r="T58" s="707"/>
      <c r="U58" s="728"/>
      <c r="V58" s="707"/>
      <c r="W58" s="707"/>
      <c r="X58" s="708"/>
      <c r="Y58" s="739"/>
      <c r="Z58" s="707"/>
      <c r="AA58" s="728"/>
      <c r="AB58" s="707"/>
      <c r="AC58" s="707"/>
      <c r="AD58" s="708"/>
      <c r="AE58" s="739"/>
      <c r="AF58" s="707"/>
      <c r="AG58" s="728"/>
      <c r="AH58" s="707"/>
      <c r="AI58" s="707"/>
      <c r="AJ58" s="708"/>
      <c r="AK58" s="739"/>
      <c r="AL58" s="707"/>
      <c r="AM58" s="728"/>
      <c r="AN58" s="707"/>
      <c r="AO58" s="707"/>
      <c r="AP58" s="708"/>
      <c r="AQ58" s="739"/>
      <c r="AR58" s="707"/>
      <c r="AS58" s="728"/>
      <c r="AT58" s="707"/>
      <c r="AU58" s="707"/>
      <c r="AV58" s="708"/>
      <c r="AW58" s="739"/>
      <c r="AX58" s="707"/>
      <c r="AY58" s="728"/>
      <c r="AZ58" s="707"/>
      <c r="BA58" s="707"/>
      <c r="BB58" s="708"/>
      <c r="BC58" s="739"/>
      <c r="BD58" s="707"/>
      <c r="BE58" s="728"/>
      <c r="BF58" s="707"/>
      <c r="BG58" s="707"/>
      <c r="BH58" s="708"/>
      <c r="BI58" s="739"/>
      <c r="BJ58" s="707"/>
      <c r="BK58" s="728"/>
      <c r="BL58" s="707"/>
      <c r="BM58" s="707"/>
      <c r="BN58" s="708"/>
      <c r="BO58" s="739"/>
      <c r="BP58" s="707"/>
      <c r="BQ58" s="728"/>
      <c r="BR58" s="707"/>
      <c r="BS58" s="707"/>
      <c r="BT58" s="708"/>
      <c r="BU58" s="739"/>
      <c r="BV58" s="707"/>
      <c r="BW58" s="728"/>
      <c r="BX58" s="707"/>
      <c r="BY58" s="707"/>
      <c r="BZ58" s="708"/>
      <c r="CA58" s="739"/>
      <c r="CB58" s="707"/>
      <c r="CC58" s="728"/>
      <c r="CD58" s="707"/>
      <c r="CE58" s="707"/>
      <c r="CF58" s="708"/>
      <c r="CG58" s="739"/>
      <c r="CH58" s="707"/>
      <c r="CI58" s="728"/>
      <c r="CJ58" s="707"/>
      <c r="CK58" s="707"/>
      <c r="CL58" s="708"/>
      <c r="CM58" s="739"/>
    </row>
    <row r="59" spans="1:91" s="25" customFormat="1" ht="11.25" hidden="1" outlineLevel="1" x14ac:dyDescent="0.2">
      <c r="A59" s="694" t="s">
        <v>4</v>
      </c>
      <c r="B59" s="665"/>
      <c r="C59" s="718">
        <f>C8+C25+C42</f>
        <v>304.73199999999997</v>
      </c>
      <c r="D59" s="666">
        <f t="shared" ref="D59:F59" si="922">D8+D25+D42</f>
        <v>337.51900000000001</v>
      </c>
      <c r="E59" s="666">
        <f t="shared" si="922"/>
        <v>344.63200000000006</v>
      </c>
      <c r="F59" s="667">
        <f t="shared" si="922"/>
        <v>357.87599999999998</v>
      </c>
      <c r="G59" s="733">
        <f>SUM(C59:F59)</f>
        <v>1344.759</v>
      </c>
      <c r="H59" s="665"/>
      <c r="I59" s="718">
        <f>I8+I25+I42</f>
        <v>346.846</v>
      </c>
      <c r="J59" s="666">
        <f t="shared" ref="J59:L59" si="923">J8+J25+J42</f>
        <v>359.35699999999997</v>
      </c>
      <c r="K59" s="666">
        <f t="shared" si="923"/>
        <v>360.30399999999997</v>
      </c>
      <c r="L59" s="667">
        <f t="shared" si="923"/>
        <v>380.03100000000001</v>
      </c>
      <c r="M59" s="733">
        <f>SUM(I59:L59)</f>
        <v>1446.538</v>
      </c>
      <c r="N59" s="665"/>
      <c r="O59" s="718">
        <f>O8+O25+O42</f>
        <v>364.947</v>
      </c>
      <c r="P59" s="666">
        <f t="shared" ref="P59:R59" si="924">P8+P25+P42</f>
        <v>356.88299999999998</v>
      </c>
      <c r="Q59" s="666">
        <f t="shared" si="924"/>
        <v>369.89200000000005</v>
      </c>
      <c r="R59" s="667">
        <f t="shared" si="924"/>
        <v>389.66700000000003</v>
      </c>
      <c r="S59" s="733">
        <f>SUM(O59:R59)</f>
        <v>1481.3890000000001</v>
      </c>
      <c r="T59" s="665"/>
      <c r="U59" s="718">
        <f>U8+U25+U42</f>
        <v>387.80899999999997</v>
      </c>
      <c r="V59" s="666">
        <f t="shared" ref="V59:X59" si="925">V8+V25+V42</f>
        <v>371.024</v>
      </c>
      <c r="W59" s="666">
        <f t="shared" si="925"/>
        <v>387.88600000000002</v>
      </c>
      <c r="X59" s="667">
        <f t="shared" si="925"/>
        <v>394.48599999999999</v>
      </c>
      <c r="Y59" s="733">
        <f>SUM(U59:X59)</f>
        <v>1541.2049999999999</v>
      </c>
      <c r="Z59" s="665"/>
      <c r="AA59" s="718">
        <f>AA8+AA25+AA42</f>
        <v>398.60599999999999</v>
      </c>
      <c r="AB59" s="666">
        <f t="shared" ref="AB59:AD59" si="926">AB8+AB25+AB42</f>
        <v>403.04399999999998</v>
      </c>
      <c r="AC59" s="666">
        <f t="shared" si="926"/>
        <v>410.71600000000001</v>
      </c>
      <c r="AD59" s="667">
        <f t="shared" si="926"/>
        <v>410.50200000000001</v>
      </c>
      <c r="AE59" s="733">
        <f>SUM(AA59:AD59)</f>
        <v>1622.8679999999999</v>
      </c>
      <c r="AF59" s="665"/>
      <c r="AG59" s="718">
        <f>AG8+AG25+AG42</f>
        <v>391.41500000000008</v>
      </c>
      <c r="AH59" s="666">
        <f t="shared" ref="AH59:AJ59" si="927">AH8+AH25+AH42</f>
        <v>402.71799999999996</v>
      </c>
      <c r="AI59" s="666">
        <f t="shared" si="927"/>
        <v>406.91399999999999</v>
      </c>
      <c r="AJ59" s="667">
        <f t="shared" si="927"/>
        <v>401.56700000000001</v>
      </c>
      <c r="AK59" s="733">
        <f>SUM(AG59:AJ59)</f>
        <v>1602.614</v>
      </c>
      <c r="AL59" s="665"/>
      <c r="AM59" s="718">
        <f>AM8+AM25+AM42</f>
        <v>404.73500000000001</v>
      </c>
      <c r="AN59" s="666">
        <f t="shared" ref="AN59:AP59" si="928">AN8+AN25+AN42</f>
        <v>411.07899999999995</v>
      </c>
      <c r="AO59" s="666">
        <f t="shared" si="928"/>
        <v>399.02199999999993</v>
      </c>
      <c r="AP59" s="667">
        <f t="shared" si="928"/>
        <v>411</v>
      </c>
      <c r="AQ59" s="733">
        <f>SUM(AM59:AP59)</f>
        <v>1625.8359999999998</v>
      </c>
      <c r="AR59" s="665"/>
      <c r="AS59" s="718">
        <f>AS8+AS25+AS42</f>
        <v>408</v>
      </c>
      <c r="AT59" s="666">
        <f t="shared" ref="AT59:AV59" si="929">AT8+AT25+AT42</f>
        <v>391</v>
      </c>
      <c r="AU59" s="666">
        <f t="shared" si="929"/>
        <v>402.8</v>
      </c>
      <c r="AV59" s="667">
        <f t="shared" si="929"/>
        <v>414.8</v>
      </c>
      <c r="AW59" s="733">
        <f>SUM(AS59:AV59)</f>
        <v>1616.6</v>
      </c>
      <c r="AX59" s="665"/>
      <c r="AY59" s="718">
        <f>AY8+AY25+AY42</f>
        <v>423.85</v>
      </c>
      <c r="AZ59" s="666">
        <f t="shared" ref="AZ59:BB59" si="930">AZ8+AZ25+AZ42</f>
        <v>415.7</v>
      </c>
      <c r="BA59" s="666">
        <f t="shared" si="930"/>
        <v>414.7</v>
      </c>
      <c r="BB59" s="667">
        <f t="shared" si="930"/>
        <v>429</v>
      </c>
      <c r="BC59" s="733">
        <f>SUM(AY59:BB59)</f>
        <v>1683.25</v>
      </c>
      <c r="BD59" s="665"/>
      <c r="BE59" s="718">
        <f>BE8+BE25+BE42</f>
        <v>425</v>
      </c>
      <c r="BF59" s="666">
        <f t="shared" ref="BF59:BH59" si="931">BF8+BF25+BF42</f>
        <v>441</v>
      </c>
      <c r="BG59" s="666">
        <f t="shared" si="931"/>
        <v>428</v>
      </c>
      <c r="BH59" s="667">
        <f t="shared" si="931"/>
        <v>454</v>
      </c>
      <c r="BI59" s="733">
        <f>SUM(BE59:BH59)</f>
        <v>1748</v>
      </c>
      <c r="BJ59" s="665"/>
      <c r="BK59" s="718">
        <f>BK8+BK25+BK42</f>
        <v>437</v>
      </c>
      <c r="BL59" s="666">
        <f t="shared" ref="BL59:BN59" si="932">BL8+BL25+BL42</f>
        <v>468</v>
      </c>
      <c r="BM59" s="666">
        <f t="shared" si="932"/>
        <v>451</v>
      </c>
      <c r="BN59" s="667">
        <f t="shared" si="932"/>
        <v>463</v>
      </c>
      <c r="BO59" s="733">
        <f>SUM(BK59:BN59)</f>
        <v>1819</v>
      </c>
      <c r="BP59" s="665"/>
      <c r="BQ59" s="718">
        <f>BQ8+BQ25+BQ42</f>
        <v>459</v>
      </c>
      <c r="BR59" s="666">
        <f t="shared" ref="BR59:BT59" si="933">BR8+BR25+BR42</f>
        <v>484.19499999999994</v>
      </c>
      <c r="BS59" s="666">
        <f t="shared" si="933"/>
        <v>466.70499999999998</v>
      </c>
      <c r="BT59" s="667">
        <f t="shared" si="933"/>
        <v>486.90499999999997</v>
      </c>
      <c r="BU59" s="733">
        <f>SUM(BQ59:BT59)</f>
        <v>1896.8049999999998</v>
      </c>
      <c r="BV59" s="665"/>
      <c r="BW59" s="718">
        <f>BW8+BW25+BW42</f>
        <v>475.30999999999995</v>
      </c>
      <c r="BX59" s="666">
        <f t="shared" ref="BX59:BZ59" si="934">BX8+BX25+BX42</f>
        <v>501.46284999999995</v>
      </c>
      <c r="BY59" s="666">
        <f t="shared" si="934"/>
        <v>483.46654999999998</v>
      </c>
      <c r="BZ59" s="667">
        <f t="shared" si="934"/>
        <v>504.44164999999998</v>
      </c>
      <c r="CA59" s="733">
        <f>SUM(BW59:BZ59)</f>
        <v>1964.6810499999999</v>
      </c>
      <c r="CB59" s="665"/>
      <c r="CC59" s="718">
        <f>CC8+CC25+CC42</f>
        <v>492.21439999999996</v>
      </c>
      <c r="CD59" s="666">
        <f t="shared" ref="CD59:CF59" si="935">CD8+CD25+CD42</f>
        <v>519.36269049999999</v>
      </c>
      <c r="CE59" s="666">
        <f t="shared" si="935"/>
        <v>500.84532799999999</v>
      </c>
      <c r="CF59" s="667">
        <f t="shared" si="935"/>
        <v>522.62630449999995</v>
      </c>
      <c r="CG59" s="733">
        <f>SUM(CC59:CF59)</f>
        <v>2035.0487229999999</v>
      </c>
      <c r="CH59" s="665"/>
      <c r="CI59" s="718">
        <f>CI8+CI25+CI42</f>
        <v>509.73543949999993</v>
      </c>
      <c r="CJ59" s="666">
        <f t="shared" ref="CJ59:CL59" si="936">CJ8+CJ25+CJ42</f>
        <v>537.9182789649999</v>
      </c>
      <c r="CK59" s="666">
        <f t="shared" si="936"/>
        <v>518.86465372999987</v>
      </c>
      <c r="CL59" s="667">
        <f t="shared" si="936"/>
        <v>541.48354207249986</v>
      </c>
      <c r="CM59" s="733">
        <f>SUM(CI59:CL59)</f>
        <v>2108.0019142674996</v>
      </c>
    </row>
    <row r="60" spans="1:91" s="25" customFormat="1" ht="11.25" hidden="1" outlineLevel="1" x14ac:dyDescent="0.2">
      <c r="A60" s="695" t="s">
        <v>5</v>
      </c>
      <c r="B60" s="665"/>
      <c r="C60" s="717"/>
      <c r="D60" s="696"/>
      <c r="E60" s="696"/>
      <c r="F60" s="697"/>
      <c r="G60" s="732"/>
      <c r="H60" s="665"/>
      <c r="I60" s="717">
        <f>I59/C59-1</f>
        <v>0.13820012338710752</v>
      </c>
      <c r="J60" s="696">
        <f t="shared" ref="J60" si="937">J59/D59-1</f>
        <v>6.4701542727964911E-2</v>
      </c>
      <c r="K60" s="696">
        <f t="shared" ref="K60" si="938">K59/E59-1</f>
        <v>4.5474593189256618E-2</v>
      </c>
      <c r="L60" s="697">
        <f t="shared" ref="L60" si="939">L59/F59-1</f>
        <v>6.1906917479797485E-2</v>
      </c>
      <c r="M60" s="732">
        <f t="shared" ref="M60" si="940">M59/G59-1</f>
        <v>7.5685680482525219E-2</v>
      </c>
      <c r="N60" s="665"/>
      <c r="O60" s="717">
        <f>O59/I59-1</f>
        <v>5.2187426119949532E-2</v>
      </c>
      <c r="P60" s="696">
        <f t="shared" ref="P60" si="941">P59/J59-1</f>
        <v>-6.8845187376341821E-3</v>
      </c>
      <c r="Q60" s="696">
        <f t="shared" ref="Q60" si="942">Q59/K59-1</f>
        <v>2.6610861938807462E-2</v>
      </c>
      <c r="R60" s="697">
        <f t="shared" ref="R60" si="943">R59/L59-1</f>
        <v>2.5355826235228252E-2</v>
      </c>
      <c r="S60" s="732">
        <f t="shared" ref="S60" si="944">S59/M59-1</f>
        <v>2.4092695801976927E-2</v>
      </c>
      <c r="T60" s="665"/>
      <c r="U60" s="717">
        <f>U59/O59-1</f>
        <v>6.2644712793912483E-2</v>
      </c>
      <c r="V60" s="696">
        <f t="shared" ref="V60" si="945">V59/P59-1</f>
        <v>3.9623630153299505E-2</v>
      </c>
      <c r="W60" s="696">
        <f t="shared" ref="W60" si="946">W59/Q59-1</f>
        <v>4.8646631989877953E-2</v>
      </c>
      <c r="X60" s="697">
        <f t="shared" ref="X60" si="947">X59/R59-1</f>
        <v>1.2366969745962519E-2</v>
      </c>
      <c r="Y60" s="732">
        <f t="shared" ref="Y60" si="948">Y59/S59-1</f>
        <v>4.0378320616664354E-2</v>
      </c>
      <c r="Z60" s="665"/>
      <c r="AA60" s="717">
        <f>AA59/U59-1</f>
        <v>2.7841024834390105E-2</v>
      </c>
      <c r="AB60" s="696">
        <f t="shared" ref="AB60" si="949">AB59/V59-1</f>
        <v>8.6301694769071569E-2</v>
      </c>
      <c r="AC60" s="696">
        <f t="shared" ref="AC60" si="950">AC59/W59-1</f>
        <v>5.8857499368371036E-2</v>
      </c>
      <c r="AD60" s="697">
        <f t="shared" ref="AD60" si="951">AD59/X59-1</f>
        <v>4.0599666401342605E-2</v>
      </c>
      <c r="AE60" s="732">
        <f t="shared" ref="AE60" si="952">AE59/Y59-1</f>
        <v>5.2986461891831427E-2</v>
      </c>
      <c r="AF60" s="665"/>
      <c r="AG60" s="717">
        <f>AG59/AA59-1</f>
        <v>-1.804037069186093E-2</v>
      </c>
      <c r="AH60" s="696">
        <f t="shared" ref="AH60" si="953">AH59/AB59-1</f>
        <v>-8.0884469189468344E-4</v>
      </c>
      <c r="AI60" s="696">
        <f t="shared" ref="AI60" si="954">AI59/AC59-1</f>
        <v>-9.2570048403276539E-3</v>
      </c>
      <c r="AJ60" s="697">
        <f t="shared" ref="AJ60" si="955">AJ59/AD59-1</f>
        <v>-2.1766032808610003E-2</v>
      </c>
      <c r="AK60" s="732">
        <f t="shared" ref="AK60" si="956">AK59/AE59-1</f>
        <v>-1.2480374251017223E-2</v>
      </c>
      <c r="AL60" s="665"/>
      <c r="AM60" s="717">
        <f>AM59/AG59-1</f>
        <v>3.4030376965624498E-2</v>
      </c>
      <c r="AN60" s="696">
        <f t="shared" ref="AN60" si="957">AN59/AH59-1</f>
        <v>2.0761426109585424E-2</v>
      </c>
      <c r="AO60" s="696">
        <f t="shared" ref="AO60" si="958">AO59/AI59-1</f>
        <v>-1.9394761546665973E-2</v>
      </c>
      <c r="AP60" s="697">
        <f t="shared" ref="AP60" si="959">AP59/AJ59-1</f>
        <v>2.3490476060034737E-2</v>
      </c>
      <c r="AQ60" s="732">
        <f t="shared" ref="AQ60" si="960">AQ59/AK59-1</f>
        <v>1.4490076836967347E-2</v>
      </c>
      <c r="AR60" s="665"/>
      <c r="AS60" s="717">
        <f>AS59/AM59-1</f>
        <v>8.0670068069230716E-3</v>
      </c>
      <c r="AT60" s="696">
        <f t="shared" ref="AT60" si="961">AT59/AN59-1</f>
        <v>-4.8844625972136679E-2</v>
      </c>
      <c r="AU60" s="696">
        <f t="shared" ref="AU60" si="962">AU59/AO59-1</f>
        <v>9.4681496258353093E-3</v>
      </c>
      <c r="AV60" s="697">
        <f t="shared" ref="AV60" si="963">AV59/AP59-1</f>
        <v>9.2457420924574318E-3</v>
      </c>
      <c r="AW60" s="732">
        <f t="shared" ref="AW60" si="964">AW59/AQ59-1</f>
        <v>-5.6807697701366511E-3</v>
      </c>
      <c r="AX60" s="665"/>
      <c r="AY60" s="717">
        <f>AY59/AS59-1</f>
        <v>3.8848039215686248E-2</v>
      </c>
      <c r="AZ60" s="696">
        <f t="shared" ref="AZ60" si="965">AZ59/AT59-1</f>
        <v>6.3171355498721216E-2</v>
      </c>
      <c r="BA60" s="696">
        <f t="shared" ref="BA60" si="966">BA59/AU59-1</f>
        <v>2.9543197616683115E-2</v>
      </c>
      <c r="BB60" s="697">
        <f t="shared" ref="BB60" si="967">BB59/AV59-1</f>
        <v>3.4233365477338351E-2</v>
      </c>
      <c r="BC60" s="732">
        <f t="shared" ref="BC60" si="968">BC59/AW59-1</f>
        <v>4.1228504268217225E-2</v>
      </c>
      <c r="BD60" s="665"/>
      <c r="BE60" s="717">
        <f>BE59/AY59-1</f>
        <v>2.7132240179308376E-3</v>
      </c>
      <c r="BF60" s="696">
        <f t="shared" ref="BF60" si="969">BF59/AZ59-1</f>
        <v>6.0861197979312109E-2</v>
      </c>
      <c r="BG60" s="696">
        <f t="shared" ref="BG60" si="970">BG59/BA59-1</f>
        <v>3.2071376898963111E-2</v>
      </c>
      <c r="BH60" s="697">
        <f t="shared" ref="BH60" si="971">BH59/BB59-1</f>
        <v>5.8275058275058189E-2</v>
      </c>
      <c r="BI60" s="732">
        <f t="shared" ref="BI60" si="972">BI59/BC59-1</f>
        <v>3.846725085400271E-2</v>
      </c>
      <c r="BJ60" s="665"/>
      <c r="BK60" s="717">
        <f>BK59/BE59-1</f>
        <v>2.8235294117647136E-2</v>
      </c>
      <c r="BL60" s="696">
        <f t="shared" ref="BL60:BO60" si="973">BL59/BF59-1</f>
        <v>6.1224489795918435E-2</v>
      </c>
      <c r="BM60" s="696">
        <f t="shared" si="973"/>
        <v>5.3738317757009435E-2</v>
      </c>
      <c r="BN60" s="697">
        <f t="shared" si="973"/>
        <v>1.982378854625555E-2</v>
      </c>
      <c r="BO60" s="732">
        <f t="shared" si="973"/>
        <v>4.061784897025178E-2</v>
      </c>
      <c r="BP60" s="665"/>
      <c r="BQ60" s="717">
        <f>BQ59/BK59-1</f>
        <v>5.034324942791768E-2</v>
      </c>
      <c r="BR60" s="696">
        <f t="shared" ref="BR60" si="974">BR59/BL59-1</f>
        <v>3.4604700854700798E-2</v>
      </c>
      <c r="BS60" s="696">
        <f t="shared" ref="BS60" si="975">BS59/BM59-1</f>
        <v>3.4822616407982121E-2</v>
      </c>
      <c r="BT60" s="697">
        <f t="shared" ref="BT60" si="976">BT59/BN59-1</f>
        <v>5.1630669546436136E-2</v>
      </c>
      <c r="BU60" s="732">
        <f t="shared" ref="BU60" si="977">BU59/BO59-1</f>
        <v>4.2773501924133983E-2</v>
      </c>
      <c r="BV60" s="665"/>
      <c r="BW60" s="717">
        <f>BW59/BQ59-1</f>
        <v>3.5533769063180731E-2</v>
      </c>
      <c r="BX60" s="696">
        <f t="shared" ref="BX60" si="978">BX59/BR59-1</f>
        <v>3.5663007672528613E-2</v>
      </c>
      <c r="BY60" s="696">
        <f t="shared" ref="BY60" si="979">BY59/BS59-1</f>
        <v>3.5914657010317041E-2</v>
      </c>
      <c r="BZ60" s="697">
        <f t="shared" ref="BZ60" si="980">BZ59/BT59-1</f>
        <v>3.6016574075024899E-2</v>
      </c>
      <c r="CA60" s="732">
        <f t="shared" ref="CA60" si="981">CA59/BU59-1</f>
        <v>3.5784411154546669E-2</v>
      </c>
      <c r="CB60" s="665"/>
      <c r="CC60" s="717">
        <f>CC59/BW59-1</f>
        <v>3.5564999684416509E-2</v>
      </c>
      <c r="CD60" s="696">
        <f t="shared" ref="CD60" si="982">CD59/BX59-1</f>
        <v>3.5695247414639031E-2</v>
      </c>
      <c r="CE60" s="696">
        <f t="shared" ref="CE60" si="983">CE59/BY59-1</f>
        <v>3.5946184901520128E-2</v>
      </c>
      <c r="CF60" s="697">
        <f t="shared" ref="CF60" si="984">CF59/BZ59-1</f>
        <v>3.6049074258638125E-2</v>
      </c>
      <c r="CG60" s="732">
        <f t="shared" ref="CG60" si="985">CG59/CA59-1</f>
        <v>3.5816334157648733E-2</v>
      </c>
      <c r="CH60" s="665"/>
      <c r="CI60" s="717">
        <f>CI59/CC59-1</f>
        <v>3.5596356994025413E-2</v>
      </c>
      <c r="CJ60" s="696">
        <f t="shared" ref="CJ60" si="986">CJ59/CD59-1</f>
        <v>3.5727611560114392E-2</v>
      </c>
      <c r="CK60" s="696">
        <f t="shared" ref="CK60" si="987">CK59/CE59-1</f>
        <v>3.5977825333732394E-2</v>
      </c>
      <c r="CL60" s="697">
        <f t="shared" ref="CL60" si="988">CL59/CF59-1</f>
        <v>3.6081684771953393E-2</v>
      </c>
      <c r="CM60" s="732">
        <f t="shared" ref="CM60" si="989">CM59/CG59-1</f>
        <v>3.5848375738127158E-2</v>
      </c>
    </row>
    <row r="61" spans="1:91" s="25" customFormat="1" ht="11.25" hidden="1" outlineLevel="1" x14ac:dyDescent="0.2">
      <c r="A61" s="695" t="s">
        <v>6</v>
      </c>
      <c r="B61" s="665"/>
      <c r="C61" s="717"/>
      <c r="D61" s="696"/>
      <c r="E61" s="696"/>
      <c r="F61" s="697"/>
      <c r="G61" s="732"/>
      <c r="H61" s="665"/>
      <c r="I61" s="717">
        <f>(I10*C8+I27*C25+I44*C42)/C59</f>
        <v>0</v>
      </c>
      <c r="J61" s="696">
        <f t="shared" ref="J61" si="990">(J10*D8+J27*D25+J44*D42)/D59</f>
        <v>0</v>
      </c>
      <c r="K61" s="696">
        <f t="shared" ref="K61" si="991">(K10*E8+K27*E25+K44*E42)/E59</f>
        <v>0</v>
      </c>
      <c r="L61" s="697">
        <f t="shared" ref="L61" si="992">(L10*F8+L27*F25+L44*F42)/F59</f>
        <v>0</v>
      </c>
      <c r="M61" s="732">
        <f>SUMPRODUCT(I61:L61,C59:F59)/G59</f>
        <v>0</v>
      </c>
      <c r="N61" s="665"/>
      <c r="O61" s="717">
        <f>(O10*I8+O27*I25+O44*I42)/I59</f>
        <v>0</v>
      </c>
      <c r="P61" s="696">
        <f t="shared" ref="P61" si="993">(P10*J8+P27*J25+P44*J42)/J59</f>
        <v>0</v>
      </c>
      <c r="Q61" s="696">
        <f t="shared" ref="Q61" si="994">(Q10*K8+Q27*K25+Q44*K42)/K59</f>
        <v>0</v>
      </c>
      <c r="R61" s="697">
        <f t="shared" ref="R61" si="995">(R10*L8+R27*L25+R44*L42)/L59</f>
        <v>0</v>
      </c>
      <c r="S61" s="732">
        <f>SUMPRODUCT(O61:R61,I59:L59)/M59</f>
        <v>0</v>
      </c>
      <c r="T61" s="665"/>
      <c r="U61" s="717">
        <f>(U10*O8+U27*O25+U44*O42)/O59</f>
        <v>0</v>
      </c>
      <c r="V61" s="696">
        <f t="shared" ref="V61" si="996">(V10*P8+V27*P25+V44*P42)/P59</f>
        <v>0</v>
      </c>
      <c r="W61" s="696">
        <f t="shared" ref="W61" si="997">(W10*Q8+W27*Q25+W44*Q42)/Q59</f>
        <v>0</v>
      </c>
      <c r="X61" s="697">
        <f t="shared" ref="X61" si="998">(X10*R8+X27*R25+X44*R42)/R59</f>
        <v>0</v>
      </c>
      <c r="Y61" s="732">
        <f>SUMPRODUCT(U61:X61,O59:R59)/S59</f>
        <v>0</v>
      </c>
      <c r="Z61" s="665"/>
      <c r="AA61" s="717">
        <f>(AA10*U8+AA27*U25+AA44*U42)/U59</f>
        <v>0</v>
      </c>
      <c r="AB61" s="696">
        <f t="shared" ref="AB61" si="999">(AB10*V8+AB27*V25+AB44*V42)/V59</f>
        <v>0</v>
      </c>
      <c r="AC61" s="696">
        <f t="shared" ref="AC61" si="1000">(AC10*W8+AC27*W25+AC44*W42)/W59</f>
        <v>0</v>
      </c>
      <c r="AD61" s="697">
        <f t="shared" ref="AD61" si="1001">(AD10*X8+AD27*X25+AD44*X42)/X59</f>
        <v>0</v>
      </c>
      <c r="AE61" s="732">
        <f>SUMPRODUCT(AA61:AD61,U59:X59)/Y59</f>
        <v>0</v>
      </c>
      <c r="AF61" s="665"/>
      <c r="AG61" s="717">
        <f>(AG10*AA8+AG27*AA25+AG44*AA42)/AA59</f>
        <v>0</v>
      </c>
      <c r="AH61" s="696">
        <f t="shared" ref="AH61" si="1002">(AH10*AB8+AH27*AB25+AH44*AB42)/AB59</f>
        <v>0</v>
      </c>
      <c r="AI61" s="696">
        <f t="shared" ref="AI61" si="1003">(AI10*AC8+AI27*AC25+AI44*AC42)/AC59</f>
        <v>0</v>
      </c>
      <c r="AJ61" s="697">
        <f t="shared" ref="AJ61" si="1004">(AJ10*AD8+AJ27*AD25+AJ44*AD42)/AD59</f>
        <v>0</v>
      </c>
      <c r="AK61" s="732">
        <f>SUMPRODUCT(AG61:AJ61,AA59:AD59)/AE59</f>
        <v>0</v>
      </c>
      <c r="AL61" s="665"/>
      <c r="AM61" s="717">
        <f>(AM10*AG8+AM27*AG25+AM44*AG42)/AG59</f>
        <v>0</v>
      </c>
      <c r="AN61" s="696">
        <f t="shared" ref="AN61" si="1005">(AN10*AH8+AN27*AH25+AN44*AH42)/AH59</f>
        <v>0</v>
      </c>
      <c r="AO61" s="696">
        <f t="shared" ref="AO61" si="1006">(AO10*AI8+AO27*AI25+AO44*AI42)/AI59</f>
        <v>0</v>
      </c>
      <c r="AP61" s="697">
        <f t="shared" ref="AP61" si="1007">(AP10*AJ8+AP27*AJ25+AP44*AJ42)/AJ59</f>
        <v>0</v>
      </c>
      <c r="AQ61" s="732">
        <f>SUMPRODUCT(AM61:AP61,AG59:AJ59)/AK59</f>
        <v>0</v>
      </c>
      <c r="AR61" s="665"/>
      <c r="AS61" s="717">
        <f>(AS10*AM8+AS27*AM25+AS44*AM42)/AM59</f>
        <v>0</v>
      </c>
      <c r="AT61" s="696">
        <f t="shared" ref="AT61" si="1008">(AT10*AN8+AT27*AN25+AT44*AN42)/AN59</f>
        <v>0</v>
      </c>
      <c r="AU61" s="696">
        <f t="shared" ref="AU61" si="1009">(AU10*AO8+AU27*AO25+AU44*AO42)/AO59</f>
        <v>0</v>
      </c>
      <c r="AV61" s="697">
        <f t="shared" ref="AV61" si="1010">(AV10*AP8+AV27*AP25+AV44*AP42)/AP59</f>
        <v>0</v>
      </c>
      <c r="AW61" s="732">
        <f>SUMPRODUCT(AS61:AV61,AM59:AP59)/AQ59</f>
        <v>0</v>
      </c>
      <c r="AX61" s="665"/>
      <c r="AY61" s="717">
        <f>(AY10*AS8+AY27*AS25+AY44*AS42)/AS59</f>
        <v>0</v>
      </c>
      <c r="AZ61" s="696">
        <f t="shared" ref="AZ61" si="1011">(AZ10*AT8+AZ27*AT25+AZ44*AT42)/AT59</f>
        <v>0</v>
      </c>
      <c r="BA61" s="696">
        <f t="shared" ref="BA61" si="1012">(BA10*AU8+BA27*AU25+BA44*AU42)/AU59</f>
        <v>0</v>
      </c>
      <c r="BB61" s="697">
        <f t="shared" ref="BB61" si="1013">(BB10*AV8+BB27*AV25+BB44*AV42)/AV59</f>
        <v>0</v>
      </c>
      <c r="BC61" s="732">
        <f>SUMPRODUCT(AY61:BB61,AS59:AV59)/AW59</f>
        <v>0</v>
      </c>
      <c r="BD61" s="665"/>
      <c r="BE61" s="717">
        <f>(BE10*AY8+BE27*AY25+BE44*AY42)/AY59</f>
        <v>0</v>
      </c>
      <c r="BF61" s="696">
        <f t="shared" ref="BF61" si="1014">(BF10*AZ8+BF27*AZ25+BF44*AZ42)/AZ59</f>
        <v>0</v>
      </c>
      <c r="BG61" s="696">
        <f t="shared" ref="BG61" si="1015">(BG10*BA8+BG27*BA25+BG44*BA42)/BA59</f>
        <v>0</v>
      </c>
      <c r="BH61" s="697">
        <f t="shared" ref="BH61" si="1016">(BH10*BB8+BH27*BB25+BH44*BB42)/BB59</f>
        <v>0</v>
      </c>
      <c r="BI61" s="732">
        <f>SUMPRODUCT(BE61:BH61,AY59:BB59)/BC59</f>
        <v>0</v>
      </c>
      <c r="BJ61" s="665"/>
      <c r="BK61" s="717">
        <f>(BK10*BE8+BK27*BE25+BK44*BE42)/BE59</f>
        <v>0</v>
      </c>
      <c r="BL61" s="696">
        <f t="shared" ref="BL61:BN61" si="1017">(BL10*BF8+BL27*BF25+BL44*BF42)/BF59</f>
        <v>0</v>
      </c>
      <c r="BM61" s="696">
        <f t="shared" si="1017"/>
        <v>0</v>
      </c>
      <c r="BN61" s="697">
        <f t="shared" si="1017"/>
        <v>0</v>
      </c>
      <c r="BO61" s="732">
        <f>SUMPRODUCT(BK61:BN61,BE59:BH59)/BI59</f>
        <v>0</v>
      </c>
      <c r="BP61" s="665"/>
      <c r="BQ61" s="717">
        <f>(BQ10*BK8+BQ27*BK25+BQ44*BK42)/BK59</f>
        <v>0</v>
      </c>
      <c r="BR61" s="696">
        <f t="shared" ref="BR61" si="1018">(BR10*BL8+BR27*BL25+BR44*BL42)/BL59</f>
        <v>0</v>
      </c>
      <c r="BS61" s="696">
        <f t="shared" ref="BS61" si="1019">(BS10*BM8+BS27*BM25+BS44*BM42)/BM59</f>
        <v>0</v>
      </c>
      <c r="BT61" s="697">
        <f t="shared" ref="BT61" si="1020">(BT10*BN8+BT27*BN25+BT44*BN42)/BN59</f>
        <v>0</v>
      </c>
      <c r="BU61" s="732">
        <f>SUMPRODUCT(BQ61:BT61,BK59:BN59)/BO59</f>
        <v>0</v>
      </c>
      <c r="BV61" s="665"/>
      <c r="BW61" s="717">
        <f>(BW10*BQ8+BW27*BQ25+BW44*BQ42)/BQ59</f>
        <v>0</v>
      </c>
      <c r="BX61" s="696">
        <f t="shared" ref="BX61" si="1021">(BX10*BR8+BX27*BR25+BX44*BR42)/BR59</f>
        <v>0</v>
      </c>
      <c r="BY61" s="696">
        <f t="shared" ref="BY61" si="1022">(BY10*BS8+BY27*BS25+BY44*BS42)/BS59</f>
        <v>0</v>
      </c>
      <c r="BZ61" s="697">
        <f t="shared" ref="BZ61" si="1023">(BZ10*BT8+BZ27*BT25+BZ44*BT42)/BT59</f>
        <v>0</v>
      </c>
      <c r="CA61" s="732">
        <f>SUMPRODUCT(BW61:BZ61,BQ59:BT59)/BU59</f>
        <v>0</v>
      </c>
      <c r="CB61" s="665"/>
      <c r="CC61" s="717">
        <f>(CC10*BW8+CC27*BW25+CC44*BW42)/BW59</f>
        <v>0</v>
      </c>
      <c r="CD61" s="696">
        <f t="shared" ref="CD61" si="1024">(CD10*BX8+CD27*BX25+CD44*BX42)/BX59</f>
        <v>0</v>
      </c>
      <c r="CE61" s="696">
        <f t="shared" ref="CE61" si="1025">(CE10*BY8+CE27*BY25+CE44*BY42)/BY59</f>
        <v>0</v>
      </c>
      <c r="CF61" s="697">
        <f t="shared" ref="CF61" si="1026">(CF10*BZ8+CF27*BZ25+CF44*BZ42)/BZ59</f>
        <v>0</v>
      </c>
      <c r="CG61" s="732">
        <f>SUMPRODUCT(CC61:CF61,BW59:BZ59)/CA59</f>
        <v>0</v>
      </c>
      <c r="CH61" s="665"/>
      <c r="CI61" s="717">
        <f>(CI10*CC8+CI27*CC25+CI44*CC42)/CC59</f>
        <v>0</v>
      </c>
      <c r="CJ61" s="696">
        <f t="shared" ref="CJ61" si="1027">(CJ10*CD8+CJ27*CD25+CJ44*CD42)/CD59</f>
        <v>0</v>
      </c>
      <c r="CK61" s="696">
        <f t="shared" ref="CK61" si="1028">(CK10*CE8+CK27*CE25+CK44*CE42)/CE59</f>
        <v>0</v>
      </c>
      <c r="CL61" s="697">
        <f t="shared" ref="CL61" si="1029">(CL10*CF8+CL27*CF25+CL44*CF42)/CF59</f>
        <v>0</v>
      </c>
      <c r="CM61" s="732">
        <f>SUMPRODUCT(CI61:CL61,CC59:CF59)/CG59</f>
        <v>0</v>
      </c>
    </row>
    <row r="62" spans="1:91" s="25" customFormat="1" ht="11.25" hidden="1" outlineLevel="1" x14ac:dyDescent="0.2">
      <c r="A62" s="695" t="s">
        <v>7</v>
      </c>
      <c r="B62" s="665"/>
      <c r="C62" s="717"/>
      <c r="D62" s="696"/>
      <c r="E62" s="696"/>
      <c r="F62" s="697"/>
      <c r="G62" s="732"/>
      <c r="H62" s="665"/>
      <c r="I62" s="717">
        <f>I60-I61</f>
        <v>0.13820012338710752</v>
      </c>
      <c r="J62" s="696">
        <f t="shared" ref="J62:M62" si="1030">J60-J61</f>
        <v>6.4701542727964911E-2</v>
      </c>
      <c r="K62" s="696">
        <f t="shared" si="1030"/>
        <v>4.5474593189256618E-2</v>
      </c>
      <c r="L62" s="697">
        <f t="shared" si="1030"/>
        <v>6.1906917479797485E-2</v>
      </c>
      <c r="M62" s="732">
        <f t="shared" si="1030"/>
        <v>7.5685680482525219E-2</v>
      </c>
      <c r="N62" s="665"/>
      <c r="O62" s="717">
        <f>O60-O61</f>
        <v>5.2187426119949532E-2</v>
      </c>
      <c r="P62" s="696">
        <f t="shared" ref="P62:S62" si="1031">P60-P61</f>
        <v>-6.8845187376341821E-3</v>
      </c>
      <c r="Q62" s="696">
        <f t="shared" si="1031"/>
        <v>2.6610861938807462E-2</v>
      </c>
      <c r="R62" s="697">
        <f t="shared" si="1031"/>
        <v>2.5355826235228252E-2</v>
      </c>
      <c r="S62" s="732">
        <f t="shared" si="1031"/>
        <v>2.4092695801976927E-2</v>
      </c>
      <c r="T62" s="665"/>
      <c r="U62" s="717">
        <f>U60-U61</f>
        <v>6.2644712793912483E-2</v>
      </c>
      <c r="V62" s="696">
        <f t="shared" ref="V62:Y62" si="1032">V60-V61</f>
        <v>3.9623630153299505E-2</v>
      </c>
      <c r="W62" s="696">
        <f t="shared" si="1032"/>
        <v>4.8646631989877953E-2</v>
      </c>
      <c r="X62" s="697">
        <f t="shared" si="1032"/>
        <v>1.2366969745962519E-2</v>
      </c>
      <c r="Y62" s="732">
        <f t="shared" si="1032"/>
        <v>4.0378320616664354E-2</v>
      </c>
      <c r="Z62" s="665"/>
      <c r="AA62" s="717">
        <f>AA60-AA61</f>
        <v>2.7841024834390105E-2</v>
      </c>
      <c r="AB62" s="696">
        <f t="shared" ref="AB62:AE62" si="1033">AB60-AB61</f>
        <v>8.6301694769071569E-2</v>
      </c>
      <c r="AC62" s="696">
        <f t="shared" si="1033"/>
        <v>5.8857499368371036E-2</v>
      </c>
      <c r="AD62" s="697">
        <f t="shared" si="1033"/>
        <v>4.0599666401342605E-2</v>
      </c>
      <c r="AE62" s="732">
        <f t="shared" si="1033"/>
        <v>5.2986461891831427E-2</v>
      </c>
      <c r="AF62" s="665"/>
      <c r="AG62" s="717">
        <f>AG60-AG61</f>
        <v>-1.804037069186093E-2</v>
      </c>
      <c r="AH62" s="696">
        <f t="shared" ref="AH62:AK62" si="1034">AH60-AH61</f>
        <v>-8.0884469189468344E-4</v>
      </c>
      <c r="AI62" s="696">
        <f t="shared" si="1034"/>
        <v>-9.2570048403276539E-3</v>
      </c>
      <c r="AJ62" s="697">
        <f t="shared" si="1034"/>
        <v>-2.1766032808610003E-2</v>
      </c>
      <c r="AK62" s="732">
        <f t="shared" si="1034"/>
        <v>-1.2480374251017223E-2</v>
      </c>
      <c r="AL62" s="665"/>
      <c r="AM62" s="717">
        <f>AM60-AM61</f>
        <v>3.4030376965624498E-2</v>
      </c>
      <c r="AN62" s="696">
        <f t="shared" ref="AN62:AQ62" si="1035">AN60-AN61</f>
        <v>2.0761426109585424E-2</v>
      </c>
      <c r="AO62" s="696">
        <f t="shared" si="1035"/>
        <v>-1.9394761546665973E-2</v>
      </c>
      <c r="AP62" s="697">
        <f t="shared" si="1035"/>
        <v>2.3490476060034737E-2</v>
      </c>
      <c r="AQ62" s="732">
        <f t="shared" si="1035"/>
        <v>1.4490076836967347E-2</v>
      </c>
      <c r="AR62" s="665"/>
      <c r="AS62" s="717">
        <f>AS60-AS61</f>
        <v>8.0670068069230716E-3</v>
      </c>
      <c r="AT62" s="696">
        <f t="shared" ref="AT62:AW62" si="1036">AT60-AT61</f>
        <v>-4.8844625972136679E-2</v>
      </c>
      <c r="AU62" s="696">
        <f t="shared" si="1036"/>
        <v>9.4681496258353093E-3</v>
      </c>
      <c r="AV62" s="697">
        <f t="shared" si="1036"/>
        <v>9.2457420924574318E-3</v>
      </c>
      <c r="AW62" s="732">
        <f t="shared" si="1036"/>
        <v>-5.6807697701366511E-3</v>
      </c>
      <c r="AX62" s="665"/>
      <c r="AY62" s="717">
        <f>AY60-AY61</f>
        <v>3.8848039215686248E-2</v>
      </c>
      <c r="AZ62" s="696">
        <f t="shared" ref="AZ62:BC62" si="1037">AZ60-AZ61</f>
        <v>6.3171355498721216E-2</v>
      </c>
      <c r="BA62" s="696">
        <f t="shared" si="1037"/>
        <v>2.9543197616683115E-2</v>
      </c>
      <c r="BB62" s="697">
        <f t="shared" si="1037"/>
        <v>3.4233365477338351E-2</v>
      </c>
      <c r="BC62" s="732">
        <f t="shared" si="1037"/>
        <v>4.1228504268217225E-2</v>
      </c>
      <c r="BD62" s="665"/>
      <c r="BE62" s="717">
        <f>BE60-BE61</f>
        <v>2.7132240179308376E-3</v>
      </c>
      <c r="BF62" s="696">
        <f t="shared" ref="BF62:BI62" si="1038">BF60-BF61</f>
        <v>6.0861197979312109E-2</v>
      </c>
      <c r="BG62" s="696">
        <f t="shared" si="1038"/>
        <v>3.2071376898963111E-2</v>
      </c>
      <c r="BH62" s="697">
        <f t="shared" si="1038"/>
        <v>5.8275058275058189E-2</v>
      </c>
      <c r="BI62" s="732">
        <f t="shared" si="1038"/>
        <v>3.846725085400271E-2</v>
      </c>
      <c r="BJ62" s="665"/>
      <c r="BK62" s="717">
        <f>BK60-BK61</f>
        <v>2.8235294117647136E-2</v>
      </c>
      <c r="BL62" s="696">
        <f t="shared" ref="BL62:BO62" si="1039">BL60-BL61</f>
        <v>6.1224489795918435E-2</v>
      </c>
      <c r="BM62" s="696">
        <f t="shared" si="1039"/>
        <v>5.3738317757009435E-2</v>
      </c>
      <c r="BN62" s="697">
        <f t="shared" si="1039"/>
        <v>1.982378854625555E-2</v>
      </c>
      <c r="BO62" s="732">
        <f t="shared" si="1039"/>
        <v>4.061784897025178E-2</v>
      </c>
      <c r="BP62" s="665"/>
      <c r="BQ62" s="717">
        <f>BQ60-BQ61</f>
        <v>5.034324942791768E-2</v>
      </c>
      <c r="BR62" s="696">
        <f t="shared" ref="BR62:BU62" si="1040">BR60-BR61</f>
        <v>3.4604700854700798E-2</v>
      </c>
      <c r="BS62" s="696">
        <f t="shared" si="1040"/>
        <v>3.4822616407982121E-2</v>
      </c>
      <c r="BT62" s="697">
        <f t="shared" si="1040"/>
        <v>5.1630669546436136E-2</v>
      </c>
      <c r="BU62" s="732">
        <f t="shared" si="1040"/>
        <v>4.2773501924133983E-2</v>
      </c>
      <c r="BV62" s="665"/>
      <c r="BW62" s="717">
        <f>BW60-BW61</f>
        <v>3.5533769063180731E-2</v>
      </c>
      <c r="BX62" s="696">
        <f t="shared" ref="BX62:CA62" si="1041">BX60-BX61</f>
        <v>3.5663007672528613E-2</v>
      </c>
      <c r="BY62" s="696">
        <f t="shared" si="1041"/>
        <v>3.5914657010317041E-2</v>
      </c>
      <c r="BZ62" s="697">
        <f t="shared" si="1041"/>
        <v>3.6016574075024899E-2</v>
      </c>
      <c r="CA62" s="732">
        <f t="shared" si="1041"/>
        <v>3.5784411154546669E-2</v>
      </c>
      <c r="CB62" s="665"/>
      <c r="CC62" s="717">
        <f>CC60-CC61</f>
        <v>3.5564999684416509E-2</v>
      </c>
      <c r="CD62" s="696">
        <f t="shared" ref="CD62:CG62" si="1042">CD60-CD61</f>
        <v>3.5695247414639031E-2</v>
      </c>
      <c r="CE62" s="696">
        <f t="shared" si="1042"/>
        <v>3.5946184901520128E-2</v>
      </c>
      <c r="CF62" s="697">
        <f t="shared" si="1042"/>
        <v>3.6049074258638125E-2</v>
      </c>
      <c r="CG62" s="732">
        <f t="shared" si="1042"/>
        <v>3.5816334157648733E-2</v>
      </c>
      <c r="CH62" s="665"/>
      <c r="CI62" s="717">
        <f>CI60-CI61</f>
        <v>3.5596356994025413E-2</v>
      </c>
      <c r="CJ62" s="696">
        <f t="shared" ref="CJ62:CM62" si="1043">CJ60-CJ61</f>
        <v>3.5727611560114392E-2</v>
      </c>
      <c r="CK62" s="696">
        <f t="shared" si="1043"/>
        <v>3.5977825333732394E-2</v>
      </c>
      <c r="CL62" s="697">
        <f t="shared" si="1043"/>
        <v>3.6081684771953393E-2</v>
      </c>
      <c r="CM62" s="732">
        <f t="shared" si="1043"/>
        <v>3.5848375738127158E-2</v>
      </c>
    </row>
    <row r="63" spans="1:91" s="25" customFormat="1" ht="11.25" hidden="1" outlineLevel="1" x14ac:dyDescent="0.2">
      <c r="A63" s="694" t="s">
        <v>8</v>
      </c>
      <c r="B63" s="665"/>
      <c r="C63" s="718">
        <f>C12+C29+C46</f>
        <v>306.65899999999999</v>
      </c>
      <c r="D63" s="666">
        <f t="shared" ref="D63:F63" si="1044">D12+D29+D46</f>
        <v>323.92399999999998</v>
      </c>
      <c r="E63" s="666">
        <f t="shared" si="1044"/>
        <v>334.07299999999998</v>
      </c>
      <c r="F63" s="667">
        <f t="shared" si="1044"/>
        <v>351.721</v>
      </c>
      <c r="G63" s="733">
        <f>SUM(C63:F63)</f>
        <v>1316.377</v>
      </c>
      <c r="H63" s="665"/>
      <c r="I63" s="718">
        <f>I12+I29+I46</f>
        <v>381.01800000000003</v>
      </c>
      <c r="J63" s="666">
        <f t="shared" ref="J63:L63" si="1045">J12+J29+J46</f>
        <v>390.93599999999998</v>
      </c>
      <c r="K63" s="666">
        <f t="shared" si="1045"/>
        <v>415.19399999999996</v>
      </c>
      <c r="L63" s="667">
        <f t="shared" si="1045"/>
        <v>426.637</v>
      </c>
      <c r="M63" s="733">
        <f>SUM(I63:L63)</f>
        <v>1613.7849999999999</v>
      </c>
      <c r="N63" s="665"/>
      <c r="O63" s="718">
        <f>O12+O29+O46</f>
        <v>404.76499999999999</v>
      </c>
      <c r="P63" s="666">
        <f t="shared" ref="P63:R63" si="1046">P12+P29+P46</f>
        <v>413.75</v>
      </c>
      <c r="Q63" s="666">
        <f t="shared" si="1046"/>
        <v>406.25599999999997</v>
      </c>
      <c r="R63" s="667">
        <f t="shared" si="1046"/>
        <v>424.57599999999996</v>
      </c>
      <c r="S63" s="733">
        <f>SUM(O63:R63)</f>
        <v>1649.347</v>
      </c>
      <c r="T63" s="665"/>
      <c r="U63" s="718">
        <f>U12+U29+U46</f>
        <v>439</v>
      </c>
      <c r="V63" s="666">
        <f t="shared" ref="V63:X63" si="1047">V12+V29+V46</f>
        <v>427.12300000000005</v>
      </c>
      <c r="W63" s="666">
        <f t="shared" si="1047"/>
        <v>418.81600000000003</v>
      </c>
      <c r="X63" s="667">
        <f t="shared" si="1047"/>
        <v>443.97299999999996</v>
      </c>
      <c r="Y63" s="733">
        <f>SUM(U63:X63)</f>
        <v>1728.912</v>
      </c>
      <c r="Z63" s="665"/>
      <c r="AA63" s="718">
        <f>AA12+AA29+AA46</f>
        <v>458.20069999999998</v>
      </c>
      <c r="AB63" s="666">
        <f t="shared" ref="AB63:AD63" si="1048">AB12+AB29+AB46</f>
        <v>476.238</v>
      </c>
      <c r="AC63" s="666">
        <f t="shared" si="1048"/>
        <v>496.33699999999999</v>
      </c>
      <c r="AD63" s="667">
        <f t="shared" si="1048"/>
        <v>523.08799999999997</v>
      </c>
      <c r="AE63" s="733">
        <f>SUM(AA63:AD63)</f>
        <v>1953.8636999999999</v>
      </c>
      <c r="AF63" s="665"/>
      <c r="AG63" s="718">
        <f>AG12+AG29+AG46</f>
        <v>489.90800000000002</v>
      </c>
      <c r="AH63" s="666">
        <f t="shared" ref="AH63:AJ63" si="1049">AH12+AH29+AH46</f>
        <v>505.05600000000004</v>
      </c>
      <c r="AI63" s="666">
        <f t="shared" si="1049"/>
        <v>503.53999999999996</v>
      </c>
      <c r="AJ63" s="667">
        <f t="shared" si="1049"/>
        <v>516.572</v>
      </c>
      <c r="AK63" s="733">
        <f>SUM(AG63:AJ63)</f>
        <v>2015.076</v>
      </c>
      <c r="AL63" s="665"/>
      <c r="AM63" s="718">
        <f>AM12+AM29+AM46</f>
        <v>512.08400000000006</v>
      </c>
      <c r="AN63" s="666">
        <f t="shared" ref="AN63:AP63" si="1050">AN12+AN29+AN46</f>
        <v>527.22499999999991</v>
      </c>
      <c r="AO63" s="666">
        <f t="shared" si="1050"/>
        <v>513.14400000000001</v>
      </c>
      <c r="AP63" s="667">
        <f t="shared" si="1050"/>
        <v>569</v>
      </c>
      <c r="AQ63" s="733">
        <f>SUM(AM63:AP63)</f>
        <v>2121.453</v>
      </c>
      <c r="AR63" s="665"/>
      <c r="AS63" s="718">
        <f>AS12+AS29+AS46</f>
        <v>543.4</v>
      </c>
      <c r="AT63" s="666">
        <f t="shared" ref="AT63:AV63" si="1051">AT12+AT29+AT46</f>
        <v>564</v>
      </c>
      <c r="AU63" s="666">
        <f t="shared" si="1051"/>
        <v>553.5</v>
      </c>
      <c r="AV63" s="667">
        <f t="shared" si="1051"/>
        <v>593.89</v>
      </c>
      <c r="AW63" s="733">
        <f>SUM(AS63:AV63)</f>
        <v>2254.79</v>
      </c>
      <c r="AX63" s="665"/>
      <c r="AY63" s="718">
        <f>AY12+AY29+AY46</f>
        <v>555.65</v>
      </c>
      <c r="AZ63" s="666">
        <f t="shared" ref="AZ63:BB63" si="1052">AZ12+AZ29+AZ46</f>
        <v>529.25</v>
      </c>
      <c r="BA63" s="666">
        <f t="shared" si="1052"/>
        <v>506</v>
      </c>
      <c r="BB63" s="667">
        <f t="shared" si="1052"/>
        <v>547</v>
      </c>
      <c r="BC63" s="733">
        <f>SUM(AY63:BB63)</f>
        <v>2137.9</v>
      </c>
      <c r="BD63" s="665"/>
      <c r="BE63" s="718">
        <f>BE12+BE29+BE46</f>
        <v>507</v>
      </c>
      <c r="BF63" s="666">
        <f t="shared" ref="BF63:BH63" si="1053">BF12+BF29+BF46</f>
        <v>495</v>
      </c>
      <c r="BG63" s="666">
        <f t="shared" si="1053"/>
        <v>535</v>
      </c>
      <c r="BH63" s="667">
        <f t="shared" si="1053"/>
        <v>543</v>
      </c>
      <c r="BI63" s="733">
        <f>SUM(BE63:BH63)</f>
        <v>2080</v>
      </c>
      <c r="BJ63" s="665"/>
      <c r="BK63" s="718">
        <f>BK12+BK29+BK46</f>
        <v>521</v>
      </c>
      <c r="BL63" s="666">
        <f t="shared" ref="BL63:BN63" si="1054">BL12+BL29+BL46</f>
        <v>515</v>
      </c>
      <c r="BM63" s="666">
        <f t="shared" si="1054"/>
        <v>547</v>
      </c>
      <c r="BN63" s="667">
        <f t="shared" si="1054"/>
        <v>588</v>
      </c>
      <c r="BO63" s="733">
        <f>SUM(BK63:BN63)</f>
        <v>2171</v>
      </c>
      <c r="BP63" s="665"/>
      <c r="BQ63" s="718">
        <f>BQ12+BQ29+BQ46</f>
        <v>586</v>
      </c>
      <c r="BR63" s="666">
        <f t="shared" ref="BR63:BT63" si="1055">BR12+BR29+BR46</f>
        <v>601.78926426106659</v>
      </c>
      <c r="BS63" s="666">
        <f t="shared" si="1055"/>
        <v>635.22649448454467</v>
      </c>
      <c r="BT63" s="667">
        <f t="shared" si="1055"/>
        <v>631.29780752347506</v>
      </c>
      <c r="BU63" s="733">
        <f>SUM(BQ63:BT63)</f>
        <v>2454.3135662690866</v>
      </c>
      <c r="BV63" s="665"/>
      <c r="BW63" s="718">
        <f>BW12+BW29+BW46</f>
        <v>655.59389417367834</v>
      </c>
      <c r="BX63" s="666">
        <f t="shared" ref="BX63:BZ63" si="1056">BX12+BX29+BX46</f>
        <v>638.51181378224226</v>
      </c>
      <c r="BY63" s="666">
        <f t="shared" si="1056"/>
        <v>670.28031102265606</v>
      </c>
      <c r="BZ63" s="667">
        <f t="shared" si="1056"/>
        <v>665.95915340020838</v>
      </c>
      <c r="CA63" s="733">
        <f>SUM(BW63:BZ63)</f>
        <v>2630.3451723787848</v>
      </c>
      <c r="CB63" s="665"/>
      <c r="CC63" s="718">
        <f>CC12+CC29+CC46</f>
        <v>691.60780668408165</v>
      </c>
      <c r="CD63" s="666">
        <f t="shared" ref="CD63:CF63" si="1057">CD12+CD29+CD46</f>
        <v>673.78169537609097</v>
      </c>
      <c r="CE63" s="666">
        <f t="shared" si="1057"/>
        <v>707.3008303555755</v>
      </c>
      <c r="CF63" s="667">
        <f t="shared" si="1057"/>
        <v>702.55483617831487</v>
      </c>
      <c r="CG63" s="733">
        <f>SUM(CC63:CF63)</f>
        <v>2775.2451685940632</v>
      </c>
      <c r="CH63" s="665"/>
      <c r="CI63" s="718">
        <f>CI12+CI29+CI46</f>
        <v>729.63263897711693</v>
      </c>
      <c r="CJ63" s="666">
        <f t="shared" ref="CJ63:CL63" si="1058">CJ12+CJ29+CJ46</f>
        <v>711.03244995843988</v>
      </c>
      <c r="CK63" s="666">
        <f t="shared" si="1058"/>
        <v>746.4002984009569</v>
      </c>
      <c r="CL63" s="667">
        <f t="shared" si="1058"/>
        <v>741.19465522735277</v>
      </c>
      <c r="CM63" s="733">
        <f>SUM(CI63:CL63)</f>
        <v>2928.2600425638666</v>
      </c>
    </row>
    <row r="64" spans="1:91" s="25" customFormat="1" ht="11.25" hidden="1" outlineLevel="1" x14ac:dyDescent="0.2">
      <c r="A64" s="695" t="s">
        <v>5</v>
      </c>
      <c r="B64" s="665"/>
      <c r="C64" s="717"/>
      <c r="D64" s="696"/>
      <c r="E64" s="696"/>
      <c r="F64" s="697"/>
      <c r="G64" s="732"/>
      <c r="H64" s="665"/>
      <c r="I64" s="717">
        <f>I63/C63-1</f>
        <v>0.24248106202655073</v>
      </c>
      <c r="J64" s="696">
        <f t="shared" ref="J64" si="1059">J63/D63-1</f>
        <v>0.20687568688951741</v>
      </c>
      <c r="K64" s="696">
        <f t="shared" ref="K64" si="1060">K63/E63-1</f>
        <v>0.24282417315975846</v>
      </c>
      <c r="L64" s="697">
        <f t="shared" ref="L64" si="1061">L63/F63-1</f>
        <v>0.21299837086781848</v>
      </c>
      <c r="M64" s="732">
        <f t="shared" ref="M64" si="1062">M63/G63-1</f>
        <v>0.22592919809446688</v>
      </c>
      <c r="N64" s="665"/>
      <c r="O64" s="717">
        <f>O63/I63-1</f>
        <v>6.2325139494721959E-2</v>
      </c>
      <c r="P64" s="696">
        <f t="shared" ref="P64" si="1063">P63/J63-1</f>
        <v>5.8357378189780373E-2</v>
      </c>
      <c r="Q64" s="696">
        <f t="shared" ref="Q64" si="1064">Q63/K63-1</f>
        <v>-2.1527286039778937E-2</v>
      </c>
      <c r="R64" s="697">
        <f t="shared" ref="R64" si="1065">R63/L63-1</f>
        <v>-4.8308046418853445E-3</v>
      </c>
      <c r="S64" s="732">
        <f t="shared" ref="S64" si="1066">S63/M63-1</f>
        <v>2.2036392704108732E-2</v>
      </c>
      <c r="T64" s="665"/>
      <c r="U64" s="717">
        <f>U63/O63-1</f>
        <v>8.4579941447506579E-2</v>
      </c>
      <c r="V64" s="696">
        <f t="shared" ref="V64" si="1067">V63/P63-1</f>
        <v>3.2321450151057585E-2</v>
      </c>
      <c r="W64" s="696">
        <f t="shared" ref="W64" si="1068">W63/Q63-1</f>
        <v>3.0916466464495418E-2</v>
      </c>
      <c r="X64" s="697">
        <f t="shared" ref="X64" si="1069">X63/R63-1</f>
        <v>4.568557808260465E-2</v>
      </c>
      <c r="Y64" s="732">
        <f t="shared" ref="Y64" si="1070">Y63/S63-1</f>
        <v>4.8240303586813527E-2</v>
      </c>
      <c r="Z64" s="665"/>
      <c r="AA64" s="717">
        <f>AA63/U63-1</f>
        <v>4.3737357630979412E-2</v>
      </c>
      <c r="AB64" s="696">
        <f t="shared" ref="AB64" si="1071">AB63/V63-1</f>
        <v>0.11499029553547802</v>
      </c>
      <c r="AC64" s="696">
        <f t="shared" ref="AC64" si="1072">AC63/W63-1</f>
        <v>0.18509560284229809</v>
      </c>
      <c r="AD64" s="697">
        <f t="shared" ref="AD64" si="1073">AD63/X63-1</f>
        <v>0.17819777328801534</v>
      </c>
      <c r="AE64" s="732">
        <f t="shared" ref="AE64" si="1074">AE63/Y63-1</f>
        <v>0.13011171187428849</v>
      </c>
      <c r="AF64" s="665"/>
      <c r="AG64" s="717">
        <f>AG63/AA63-1</f>
        <v>6.9199588739170537E-2</v>
      </c>
      <c r="AH64" s="696">
        <f t="shared" ref="AH64" si="1075">AH63/AB63-1</f>
        <v>6.0511760926259539E-2</v>
      </c>
      <c r="AI64" s="696">
        <f t="shared" ref="AI64" si="1076">AI63/AC63-1</f>
        <v>1.4512317236071492E-2</v>
      </c>
      <c r="AJ64" s="697">
        <f t="shared" ref="AJ64" si="1077">AJ63/AD63-1</f>
        <v>-1.2456795032575685E-2</v>
      </c>
      <c r="AK64" s="732">
        <f t="shared" ref="AK64" si="1078">AK63/AE63-1</f>
        <v>3.1328848578332291E-2</v>
      </c>
      <c r="AL64" s="665"/>
      <c r="AM64" s="717">
        <f>AM63/AG63-1</f>
        <v>4.5265641712321614E-2</v>
      </c>
      <c r="AN64" s="696">
        <f t="shared" ref="AN64" si="1079">AN63/AH63-1</f>
        <v>4.3894142431730065E-2</v>
      </c>
      <c r="AO64" s="696">
        <f t="shared" ref="AO64" si="1080">AO63/AI63-1</f>
        <v>1.9072963418993671E-2</v>
      </c>
      <c r="AP64" s="697">
        <f t="shared" ref="AP64" si="1081">AP63/AJ63-1</f>
        <v>0.10149214436709686</v>
      </c>
      <c r="AQ64" s="732">
        <f t="shared" ref="AQ64" si="1082">AQ63/AK63-1</f>
        <v>5.2790564723117051E-2</v>
      </c>
      <c r="AR64" s="665"/>
      <c r="AS64" s="717">
        <f>AS63/AM63-1</f>
        <v>6.1154029417048505E-2</v>
      </c>
      <c r="AT64" s="696">
        <f t="shared" ref="AT64" si="1083">AT63/AN63-1</f>
        <v>6.975200341410237E-2</v>
      </c>
      <c r="AU64" s="696">
        <f t="shared" ref="AU64" si="1084">AU63/AO63-1</f>
        <v>7.8644590992002161E-2</v>
      </c>
      <c r="AV64" s="697">
        <f t="shared" ref="AV64" si="1085">AV63/AP63-1</f>
        <v>4.3743409490333951E-2</v>
      </c>
      <c r="AW64" s="732">
        <f t="shared" ref="AW64" si="1086">AW63/AQ63-1</f>
        <v>6.2851734165215944E-2</v>
      </c>
      <c r="AX64" s="665"/>
      <c r="AY64" s="717">
        <f>AY63/AS63-1</f>
        <v>2.2543246227456848E-2</v>
      </c>
      <c r="AZ64" s="696">
        <f t="shared" ref="AZ64" si="1087">AZ63/AT63-1</f>
        <v>-6.1613475177304977E-2</v>
      </c>
      <c r="BA64" s="696">
        <f t="shared" ref="BA64" si="1088">BA63/AU63-1</f>
        <v>-8.5817524841915072E-2</v>
      </c>
      <c r="BB64" s="697">
        <f t="shared" ref="BB64" si="1089">BB63/AV63-1</f>
        <v>-7.8954015053292692E-2</v>
      </c>
      <c r="BC64" s="732">
        <f t="shared" ref="BC64" si="1090">BC63/AW63-1</f>
        <v>-5.184074791887483E-2</v>
      </c>
      <c r="BD64" s="665"/>
      <c r="BE64" s="717">
        <f>BE63/AY63-1</f>
        <v>-8.7555115630342795E-2</v>
      </c>
      <c r="BF64" s="696">
        <f t="shared" ref="BF64" si="1091">BF63/AZ63-1</f>
        <v>-6.4714218233349108E-2</v>
      </c>
      <c r="BG64" s="696">
        <f t="shared" ref="BG64" si="1092">BG63/BA63-1</f>
        <v>5.7312252964426769E-2</v>
      </c>
      <c r="BH64" s="697">
        <f t="shared" ref="BH64" si="1093">BH63/BB63-1</f>
        <v>-7.3126142595978383E-3</v>
      </c>
      <c r="BI64" s="732">
        <f t="shared" ref="BI64" si="1094">BI63/BC63-1</f>
        <v>-2.7082651199775487E-2</v>
      </c>
      <c r="BJ64" s="665"/>
      <c r="BK64" s="717">
        <f>BK63/BE63-1</f>
        <v>2.7613412228796763E-2</v>
      </c>
      <c r="BL64" s="696">
        <f t="shared" ref="BL64:BO64" si="1095">BL63/BF63-1</f>
        <v>4.0404040404040442E-2</v>
      </c>
      <c r="BM64" s="696">
        <f t="shared" si="1095"/>
        <v>2.2429906542056122E-2</v>
      </c>
      <c r="BN64" s="697">
        <f t="shared" si="1095"/>
        <v>8.287292817679548E-2</v>
      </c>
      <c r="BO64" s="732">
        <f t="shared" si="1095"/>
        <v>4.3749999999999956E-2</v>
      </c>
      <c r="BP64" s="665"/>
      <c r="BQ64" s="717">
        <f>BQ63/BK63-1</f>
        <v>0.12476007677543177</v>
      </c>
      <c r="BR64" s="696">
        <f t="shared" ref="BR64" si="1096">BR63/BL63-1</f>
        <v>0.16852284322537203</v>
      </c>
      <c r="BS64" s="696">
        <f t="shared" ref="BS64" si="1097">BS63/BM63-1</f>
        <v>0.16129158041050218</v>
      </c>
      <c r="BT64" s="697">
        <f t="shared" ref="BT64" si="1098">BT63/BN63-1</f>
        <v>7.3635727080739954E-2</v>
      </c>
      <c r="BU64" s="732">
        <f t="shared" ref="BU64" si="1099">BU63/BO63-1</f>
        <v>0.13049910929022879</v>
      </c>
      <c r="BV64" s="665"/>
      <c r="BW64" s="717">
        <f>BW63/BQ63-1</f>
        <v>0.11876091155917812</v>
      </c>
      <c r="BX64" s="696">
        <f t="shared" ref="BX64" si="1100">BX63/BR63-1</f>
        <v>6.1022274244568075E-2</v>
      </c>
      <c r="BY64" s="696">
        <f t="shared" ref="BY64" si="1101">BY63/BS63-1</f>
        <v>5.5183177720815824E-2</v>
      </c>
      <c r="BZ64" s="697">
        <f t="shared" ref="BZ64" si="1102">BZ63/BT63-1</f>
        <v>5.4904904569060164E-2</v>
      </c>
      <c r="CA64" s="732">
        <f t="shared" ref="CA64" si="1103">CA63/BU63-1</f>
        <v>7.1723356187649578E-2</v>
      </c>
      <c r="CB64" s="665"/>
      <c r="CC64" s="717">
        <f>CC63/BW63-1</f>
        <v>5.493326406859822E-2</v>
      </c>
      <c r="CD64" s="696">
        <f t="shared" ref="CD64" si="1104">CD63/BX63-1</f>
        <v>5.5237633560648813E-2</v>
      </c>
      <c r="CE64" s="696">
        <f t="shared" ref="CE64" si="1105">CE63/BY63-1</f>
        <v>5.5231399049207708E-2</v>
      </c>
      <c r="CF64" s="697">
        <f t="shared" ref="CF64" si="1106">CF63/BZ63-1</f>
        <v>5.4951842903966153E-2</v>
      </c>
      <c r="CG64" s="732">
        <f t="shared" ref="CG64" si="1107">CG63/CA63-1</f>
        <v>5.5087825634776433E-2</v>
      </c>
      <c r="CH64" s="665"/>
      <c r="CI64" s="717">
        <f>CI63/CC63-1</f>
        <v>5.4980339905857267E-2</v>
      </c>
      <c r="CJ64" s="696">
        <f t="shared" ref="CJ64" si="1108">CJ63/CD63-1</f>
        <v>5.5286088710908565E-2</v>
      </c>
      <c r="CK64" s="696">
        <f t="shared" ref="CK64" si="1109">CK63/CE63-1</f>
        <v>5.5279827715917218E-2</v>
      </c>
      <c r="CL64" s="697">
        <f t="shared" ref="CL64" si="1110">CL63/CF63-1</f>
        <v>5.4999007990930382E-2</v>
      </c>
      <c r="CM64" s="732">
        <f t="shared" ref="CM64" si="1111">CM63/CG63-1</f>
        <v>5.5135623944647882E-2</v>
      </c>
    </row>
    <row r="65" spans="1:91" s="25" customFormat="1" ht="11.25" hidden="1" outlineLevel="1" x14ac:dyDescent="0.2">
      <c r="A65" s="695" t="s">
        <v>9</v>
      </c>
      <c r="B65" s="665"/>
      <c r="C65" s="717"/>
      <c r="D65" s="696"/>
      <c r="E65" s="696"/>
      <c r="F65" s="697"/>
      <c r="G65" s="732"/>
      <c r="H65" s="665"/>
      <c r="I65" s="717">
        <f>(I14*C12+I31*C29+I48*C46)/C63</f>
        <v>7.9229463345279291E-2</v>
      </c>
      <c r="J65" s="696">
        <f t="shared" ref="J65" si="1112">(J14*D12+J31*D29+J48*D46)/D63</f>
        <v>9.9584229634111718E-2</v>
      </c>
      <c r="K65" s="696">
        <f t="shared" ref="K65" si="1113">(K14*E12+K31*E29+K48*E46)/E63</f>
        <v>0.12630857028254303</v>
      </c>
      <c r="L65" s="697">
        <f t="shared" ref="L65" si="1114">(L14*F12+L31*F29+L48*F46)/F63</f>
        <v>8.2110499515240784E-2</v>
      </c>
      <c r="M65" s="732">
        <f>SUMPRODUCT(I65:L65,C63:F63)/G63</f>
        <v>9.6955826484358215E-2</v>
      </c>
      <c r="N65" s="665"/>
      <c r="O65" s="717">
        <f>(O14*I12+O31*I29+O48*I46)/I63</f>
        <v>-3.732556729603325E-2</v>
      </c>
      <c r="P65" s="696">
        <f t="shared" ref="P65" si="1115">(P14*J12+P31*J29+P48*J46)/J63</f>
        <v>-4.1248260584852758E-2</v>
      </c>
      <c r="Q65" s="696">
        <f t="shared" ref="Q65" si="1116">(Q14*K12+Q31*K29+Q48*K46)/K63</f>
        <v>-9.4508480373030446E-2</v>
      </c>
      <c r="R65" s="697">
        <f t="shared" ref="R65" si="1117">(R14*L12+R31*L29+R48*L46)/L63</f>
        <v>-4.870203943867972E-2</v>
      </c>
      <c r="S65" s="732">
        <f>SUMPRODUCT(O65:R65,I63:L63)/M63</f>
        <v>-5.5995432477064788E-2</v>
      </c>
      <c r="T65" s="665"/>
      <c r="U65" s="717">
        <f>(U14*O12+U31*O29+U48*O46)/O63</f>
        <v>2.5046955640927453E-2</v>
      </c>
      <c r="V65" s="696">
        <f t="shared" ref="V65" si="1118">(V14*P12+V31*P29+V48*P46)/P63</f>
        <v>-1.9744058972809668E-2</v>
      </c>
      <c r="W65" s="696">
        <f t="shared" ref="W65" si="1119">(W14*Q12+W31*Q29+W48*Q46)/Q63</f>
        <v>-2.3066344866291208E-2</v>
      </c>
      <c r="X65" s="697">
        <f t="shared" ref="X65" si="1120">(X14*R12+X31*R29+X48*R46)/R63</f>
        <v>-2.8270373266505881E-2</v>
      </c>
      <c r="Y65" s="732">
        <f>SUMPRODUCT(U65:X65,O63:R63)/S63</f>
        <v>-1.1765102431447112E-2</v>
      </c>
      <c r="Z65" s="665"/>
      <c r="AA65" s="717">
        <f>(AA14*U12+AA31*U29+AA48*U46)/U63</f>
        <v>4.4863507972665142E-3</v>
      </c>
      <c r="AB65" s="696">
        <f t="shared" ref="AB65" si="1121">(AB14*V12+AB31*V29+AB48*V46)/V63</f>
        <v>5.2068088115133103E-2</v>
      </c>
      <c r="AC65" s="696">
        <f t="shared" ref="AC65" si="1122">(AC14*W12+AC31*W29+AC48*W46)/W63</f>
        <v>9.3755859374999986E-2</v>
      </c>
      <c r="AD65" s="697">
        <f t="shared" ref="AD65" si="1123">(AD14*X12+AD31*X29+AD48*X46)/X63</f>
        <v>9.0083162714849771E-2</v>
      </c>
      <c r="AE65" s="732">
        <f>SUMPRODUCT(AA65:AD65,U63:X63)/Y63</f>
        <v>5.9846847034435519E-2</v>
      </c>
      <c r="AF65" s="665"/>
      <c r="AG65" s="717">
        <f>(AG14*AA12+AG31*AA29+AG48*AA46)/AA63</f>
        <v>1.1211176674326342E-3</v>
      </c>
      <c r="AH65" s="696">
        <f t="shared" ref="AH65" si="1124">(AH14*AB12+AH31*AB29+AH48*AB46)/AB63</f>
        <v>-1.4474229271918663E-2</v>
      </c>
      <c r="AI65" s="696">
        <f t="shared" ref="AI65" si="1125">(AI14*AC12+AI31*AC29+AI48*AC46)/AC63</f>
        <v>-5.3244243326610749E-2</v>
      </c>
      <c r="AJ65" s="697">
        <f t="shared" ref="AJ65" si="1126">(AJ14*AD12+AJ31*AD29+AJ48*AD46)/AD63</f>
        <v>-8.8481576713669616E-2</v>
      </c>
      <c r="AK65" s="732">
        <f>SUMPRODUCT(AG65:AJ65,AA63:AD63)/AE63</f>
        <v>-4.0478882994755473E-2</v>
      </c>
      <c r="AL65" s="665"/>
      <c r="AM65" s="717">
        <f>(AM14*AG12+AM31*AG29+AM48*AG46)/AG63</f>
        <v>-2.3053212031646762E-2</v>
      </c>
      <c r="AN65" s="696">
        <f t="shared" ref="AN65" si="1127">(AN14*AH12+AN31*AH29+AN48*AH46)/AH63</f>
        <v>-6.6177968383703979E-3</v>
      </c>
      <c r="AO65" s="696">
        <f t="shared" ref="AO65" si="1128">(AO14*AI12+AO31*AI29+AO48*AI46)/AI63</f>
        <v>-2.9102474480676811E-2</v>
      </c>
      <c r="AP65" s="697">
        <f t="shared" ref="AP65" si="1129">(AP14*AJ12+AP31*AJ29+AP48*AJ46)/AJ63</f>
        <v>-1.9614535824628514E-2</v>
      </c>
      <c r="AQ65" s="732">
        <f>SUMPRODUCT(AM65:AP65,AG63:AJ63)/AK63</f>
        <v>-1.9563972276976156E-2</v>
      </c>
      <c r="AR65" s="665"/>
      <c r="AS65" s="717">
        <f>(AS14*AM12+AS31*AM29+AS48*AM46)/AM63</f>
        <v>-1.5607085946836845E-2</v>
      </c>
      <c r="AT65" s="696">
        <f t="shared" ref="AT65" si="1130">(AT14*AN12+AT31*AN29+AT48*AN46)/AN63</f>
        <v>-3.3471821328654762E-2</v>
      </c>
      <c r="AU65" s="696">
        <f t="shared" ref="AU65" si="1131">(AU14*AO12+AU31*AO29+AU48*AO46)/AO63</f>
        <v>4.8063038835102819E-3</v>
      </c>
      <c r="AV65" s="697">
        <f t="shared" ref="AV65" si="1132">(AV14*AP12+AV31*AP29+AV48*AP46)/AP63</f>
        <v>6.0808435852372584E-4</v>
      </c>
      <c r="AW65" s="732">
        <f>SUMPRODUCT(AS65:AV65,AM63:AP63)/AQ63</f>
        <v>-1.0760075288021939E-2</v>
      </c>
      <c r="AX65" s="665"/>
      <c r="AY65" s="717">
        <f>(AY14*AS12+AY31*AS29+AY48*AS46)/AS63</f>
        <v>-6.2932278248067727E-2</v>
      </c>
      <c r="AZ65" s="696">
        <f t="shared" ref="AZ65" si="1133">(AZ14*AT12+AZ31*AT29+AZ48*AT46)/AT63</f>
        <v>-9.3168439716312057E-2</v>
      </c>
      <c r="BA65" s="696">
        <f t="shared" ref="BA65" si="1134">(BA14*AU12+BA31*AU29+BA48*AU46)/AU63</f>
        <v>-0.13730803974706413</v>
      </c>
      <c r="BB65" s="697">
        <f t="shared" ref="BB65" si="1135">(BB14*AV12+BB31*AV29+BB48*AV46)/AV63</f>
        <v>-0.13638889356614861</v>
      </c>
      <c r="BC65" s="732">
        <f>SUMPRODUCT(AY65:BB65,AS63:AV63)/AW63</f>
        <v>-0.10810071004395087</v>
      </c>
      <c r="BD65" s="665"/>
      <c r="BE65" s="717">
        <f>(BE14*AY12+BE31*AY29+BE48*AY46)/AY63</f>
        <v>-0.11356069468190406</v>
      </c>
      <c r="BF65" s="696">
        <f t="shared" ref="BF65" si="1136">(BF14*AZ12+BF31*AZ29+BF48*AZ46)/AZ63</f>
        <v>-7.8034955125177136E-2</v>
      </c>
      <c r="BG65" s="696">
        <f t="shared" ref="BG65" si="1137">(BG14*BA12+BG31*BA29+BG48*BA46)/BA63</f>
        <v>-2.490118577075099E-2</v>
      </c>
      <c r="BH65" s="697">
        <f t="shared" ref="BH65" si="1138">(BH14*BB12+BH31*BB29+BH48*BB46)/BB63</f>
        <v>-1.2065813528336381E-2</v>
      </c>
      <c r="BI65" s="732">
        <f>SUMPRODUCT(BE65:BH65,AY63:BB63)/BC63</f>
        <v>-5.7813742457551796E-2</v>
      </c>
      <c r="BJ65" s="665"/>
      <c r="BK65" s="717">
        <f>(BK14*BE12+BK31*BE29+BK48*BE46)/BE63</f>
        <v>-7.747534516765249E-3</v>
      </c>
      <c r="BL65" s="696">
        <f t="shared" ref="BL65:BN65" si="1139">(BL14*BF12+BL31*BF29+BL48*BF46)/BF63</f>
        <v>-1.5050505050505069E-2</v>
      </c>
      <c r="BM65" s="696">
        <f t="shared" si="1139"/>
        <v>-2.1431775700934609E-2</v>
      </c>
      <c r="BN65" s="697">
        <f t="shared" si="1139"/>
        <v>-3.3149171270721004E-4</v>
      </c>
      <c r="BO65" s="732">
        <f>SUMPRODUCT(BK65:BN65,BE63:BH63)/BI63</f>
        <v>-1.1069230769230777E-2</v>
      </c>
      <c r="BP65" s="665"/>
      <c r="BQ65" s="717">
        <f>(BQ14*BK12+BQ31*BK29+BQ48*BK46)/BK63</f>
        <v>3.3017274472168873E-2</v>
      </c>
      <c r="BR65" s="696">
        <f t="shared" ref="BR65" si="1140">(BR14*BL12+BR31*BL29+BR48*BL46)/BL63</f>
        <v>0.11629954225449832</v>
      </c>
      <c r="BS65" s="696">
        <f t="shared" ref="BS65" si="1141">(BS14*BM12+BS31*BM29+BS48*BM46)/BM63</f>
        <v>9.1483536534816737E-2</v>
      </c>
      <c r="BT65" s="697">
        <f t="shared" ref="BT65" si="1142">(BT14*BN12+BT31*BN29+BT48*BN46)/BN63</f>
        <v>3.7224162454889499E-2</v>
      </c>
      <c r="BU65" s="732">
        <f>SUMPRODUCT(BQ65:BT65,BK63:BN63)/BO63</f>
        <v>6.8643743099533111E-2</v>
      </c>
      <c r="BV65" s="665"/>
      <c r="BW65" s="717">
        <f>(BW14*BQ12+BW31*BQ29+BW48*BQ46)/BQ63</f>
        <v>6.3871833060884578E-2</v>
      </c>
      <c r="BX65" s="696">
        <f t="shared" ref="BX65" si="1143">(BX14*BR12+BX31*BR29+BX48*BR46)/BR63</f>
        <v>5.8326248603762102E-3</v>
      </c>
      <c r="BY65" s="696">
        <f t="shared" ref="BY65" si="1144">(BY14*BS12+BY31*BS29+BY48*BS46)/BS63</f>
        <v>0</v>
      </c>
      <c r="BZ65" s="697">
        <f t="shared" ref="BZ65" si="1145">(BZ14*BT12+BZ31*BT29+BZ48*BT46)/BT63</f>
        <v>0</v>
      </c>
      <c r="CA65" s="732">
        <f>SUMPRODUCT(BW65:BZ65,BQ63:BT63)/BU63</f>
        <v>1.6680389074876061E-2</v>
      </c>
      <c r="CB65" s="665"/>
      <c r="CC65" s="717">
        <f>(CC14*BW12+CC31*BW29+CC48*BW46)/BW63</f>
        <v>0</v>
      </c>
      <c r="CD65" s="696">
        <f t="shared" ref="CD65" si="1146">(CD14*BX12+CD31*BX29+CD48*BX46)/BX63</f>
        <v>0</v>
      </c>
      <c r="CE65" s="696">
        <f t="shared" ref="CE65" si="1147">(CE14*BY12+CE31*BY29+CE48*BY46)/BY63</f>
        <v>0</v>
      </c>
      <c r="CF65" s="697">
        <f t="shared" ref="CF65" si="1148">(CF14*BZ12+CF31*BZ29+CF48*BZ46)/BZ63</f>
        <v>0</v>
      </c>
      <c r="CG65" s="732">
        <f>SUMPRODUCT(CC65:CF65,BW63:BZ63)/CA63</f>
        <v>0</v>
      </c>
      <c r="CH65" s="665"/>
      <c r="CI65" s="717">
        <f>(CI14*CC12+CI31*CC29+CI48*CC46)/CC63</f>
        <v>0</v>
      </c>
      <c r="CJ65" s="696">
        <f t="shared" ref="CJ65" si="1149">(CJ14*CD12+CJ31*CD29+CJ48*CD46)/CD63</f>
        <v>0</v>
      </c>
      <c r="CK65" s="696">
        <f t="shared" ref="CK65" si="1150">(CK14*CE12+CK31*CE29+CK48*CE46)/CE63</f>
        <v>0</v>
      </c>
      <c r="CL65" s="697">
        <f t="shared" ref="CL65" si="1151">(CL14*CF12+CL31*CF29+CL48*CF46)/CF63</f>
        <v>0</v>
      </c>
      <c r="CM65" s="732">
        <f>SUMPRODUCT(CI65:CL65,CC63:CF63)/CG63</f>
        <v>0</v>
      </c>
    </row>
    <row r="66" spans="1:91" s="25" customFormat="1" ht="11.25" hidden="1" outlineLevel="1" x14ac:dyDescent="0.2">
      <c r="A66" s="695" t="s">
        <v>10</v>
      </c>
      <c r="B66" s="665"/>
      <c r="C66" s="717"/>
      <c r="D66" s="696"/>
      <c r="E66" s="696"/>
      <c r="F66" s="697"/>
      <c r="G66" s="732"/>
      <c r="H66" s="665"/>
      <c r="I66" s="717">
        <f>I64-I65</f>
        <v>0.16325159868127143</v>
      </c>
      <c r="J66" s="696">
        <f t="shared" ref="J66:M66" si="1152">J64-J65</f>
        <v>0.10729145725540569</v>
      </c>
      <c r="K66" s="696">
        <f t="shared" si="1152"/>
        <v>0.11651560287721544</v>
      </c>
      <c r="L66" s="697">
        <f t="shared" si="1152"/>
        <v>0.13088787135257768</v>
      </c>
      <c r="M66" s="732">
        <f t="shared" si="1152"/>
        <v>0.12897337161010866</v>
      </c>
      <c r="N66" s="665"/>
      <c r="O66" s="717">
        <f>O64-O65</f>
        <v>9.9650706790755217E-2</v>
      </c>
      <c r="P66" s="696">
        <f t="shared" ref="P66:S66" si="1153">P64-P65</f>
        <v>9.9605638774633132E-2</v>
      </c>
      <c r="Q66" s="696">
        <f t="shared" si="1153"/>
        <v>7.2981194333251509E-2</v>
      </c>
      <c r="R66" s="697">
        <f t="shared" si="1153"/>
        <v>4.3871234796794376E-2</v>
      </c>
      <c r="S66" s="732">
        <f t="shared" si="1153"/>
        <v>7.803182518117352E-2</v>
      </c>
      <c r="T66" s="665"/>
      <c r="U66" s="717">
        <f>U64-U65</f>
        <v>5.9532985806579126E-2</v>
      </c>
      <c r="V66" s="696">
        <f t="shared" ref="V66:Y66" si="1154">V64-V65</f>
        <v>5.2065509123867253E-2</v>
      </c>
      <c r="W66" s="696">
        <f t="shared" si="1154"/>
        <v>5.3982811330786626E-2</v>
      </c>
      <c r="X66" s="697">
        <f t="shared" si="1154"/>
        <v>7.3955951349110538E-2</v>
      </c>
      <c r="Y66" s="732">
        <f t="shared" si="1154"/>
        <v>6.000540601826064E-2</v>
      </c>
      <c r="Z66" s="665"/>
      <c r="AA66" s="717">
        <f>AA64-AA65</f>
        <v>3.9251006833712895E-2</v>
      </c>
      <c r="AB66" s="696">
        <f t="shared" ref="AB66:AE66" si="1155">AB64-AB65</f>
        <v>6.2922207420344906E-2</v>
      </c>
      <c r="AC66" s="696">
        <f t="shared" si="1155"/>
        <v>9.1339743467298104E-2</v>
      </c>
      <c r="AD66" s="697">
        <f t="shared" si="1155"/>
        <v>8.8114610573165567E-2</v>
      </c>
      <c r="AE66" s="732">
        <f t="shared" si="1155"/>
        <v>7.0264864839852975E-2</v>
      </c>
      <c r="AF66" s="665"/>
      <c r="AG66" s="717">
        <f>AG64-AG65</f>
        <v>6.8078471071737909E-2</v>
      </c>
      <c r="AH66" s="696">
        <f t="shared" ref="AH66:AK66" si="1156">AH64-AH65</f>
        <v>7.4985990198178198E-2</v>
      </c>
      <c r="AI66" s="696">
        <f t="shared" si="1156"/>
        <v>6.7756560562682241E-2</v>
      </c>
      <c r="AJ66" s="697">
        <f t="shared" si="1156"/>
        <v>7.6024781681093931E-2</v>
      </c>
      <c r="AK66" s="732">
        <f t="shared" si="1156"/>
        <v>7.1807731573087757E-2</v>
      </c>
      <c r="AL66" s="665"/>
      <c r="AM66" s="717">
        <f>AM64-AM65</f>
        <v>6.8318853743968372E-2</v>
      </c>
      <c r="AN66" s="696">
        <f t="shared" ref="AN66:AQ66" si="1157">AN64-AN65</f>
        <v>5.0511939270100462E-2</v>
      </c>
      <c r="AO66" s="696">
        <f t="shared" si="1157"/>
        <v>4.8175437899670479E-2</v>
      </c>
      <c r="AP66" s="697">
        <f t="shared" si="1157"/>
        <v>0.12110668019172538</v>
      </c>
      <c r="AQ66" s="732">
        <f t="shared" si="1157"/>
        <v>7.23545370000932E-2</v>
      </c>
      <c r="AR66" s="665"/>
      <c r="AS66" s="717">
        <f>AS64-AS65</f>
        <v>7.6761115363885357E-2</v>
      </c>
      <c r="AT66" s="696">
        <f t="shared" ref="AT66:AW66" si="1158">AT64-AT65</f>
        <v>0.10322382474275713</v>
      </c>
      <c r="AU66" s="696">
        <f t="shared" si="1158"/>
        <v>7.3838287108491885E-2</v>
      </c>
      <c r="AV66" s="697">
        <f t="shared" si="1158"/>
        <v>4.3135325131810225E-2</v>
      </c>
      <c r="AW66" s="732">
        <f t="shared" si="1158"/>
        <v>7.3611809453237878E-2</v>
      </c>
      <c r="AX66" s="665"/>
      <c r="AY66" s="717">
        <f>AY64-AY65</f>
        <v>8.5475524475524575E-2</v>
      </c>
      <c r="AZ66" s="696">
        <f t="shared" ref="AZ66:BC66" si="1159">AZ64-AZ65</f>
        <v>3.155496453900708E-2</v>
      </c>
      <c r="BA66" s="696">
        <f t="shared" si="1159"/>
        <v>5.1490514905149054E-2</v>
      </c>
      <c r="BB66" s="697">
        <f t="shared" si="1159"/>
        <v>5.7434878512855919E-2</v>
      </c>
      <c r="BC66" s="732">
        <f t="shared" si="1159"/>
        <v>5.6259962125076043E-2</v>
      </c>
      <c r="BD66" s="665"/>
      <c r="BE66" s="717">
        <f>BE64-BE65</f>
        <v>2.600557905156127E-2</v>
      </c>
      <c r="BF66" s="696">
        <f t="shared" ref="BF66:BI66" si="1160">BF64-BF65</f>
        <v>1.3320736891828028E-2</v>
      </c>
      <c r="BG66" s="696">
        <f t="shared" si="1160"/>
        <v>8.2213438735177752E-2</v>
      </c>
      <c r="BH66" s="697">
        <f t="shared" si="1160"/>
        <v>4.7531992687385432E-3</v>
      </c>
      <c r="BI66" s="732">
        <f t="shared" si="1160"/>
        <v>3.0731091257776309E-2</v>
      </c>
      <c r="BJ66" s="665"/>
      <c r="BK66" s="717">
        <f>BK64-BK65</f>
        <v>3.5360946745562012E-2</v>
      </c>
      <c r="BL66" s="696">
        <f t="shared" ref="BL66:BO66" si="1161">BL64-BL65</f>
        <v>5.5454545454545513E-2</v>
      </c>
      <c r="BM66" s="696">
        <f t="shared" si="1161"/>
        <v>4.3861682242990731E-2</v>
      </c>
      <c r="BN66" s="697">
        <f t="shared" si="1161"/>
        <v>8.3204419889502695E-2</v>
      </c>
      <c r="BO66" s="732">
        <f t="shared" si="1161"/>
        <v>5.4819230769230731E-2</v>
      </c>
      <c r="BP66" s="665"/>
      <c r="BQ66" s="717">
        <f>BQ64-BQ65</f>
        <v>9.1742802303262899E-2</v>
      </c>
      <c r="BR66" s="696">
        <f t="shared" ref="BR66:BU66" si="1162">BR64-BR65</f>
        <v>5.2223300970873715E-2</v>
      </c>
      <c r="BS66" s="696">
        <f t="shared" si="1162"/>
        <v>6.9808043875685441E-2</v>
      </c>
      <c r="BT66" s="697">
        <f t="shared" si="1162"/>
        <v>3.6411564625850455E-2</v>
      </c>
      <c r="BU66" s="732">
        <f t="shared" si="1162"/>
        <v>6.1855366190695676E-2</v>
      </c>
      <c r="BV66" s="665"/>
      <c r="BW66" s="717">
        <f>BW64-BW65</f>
        <v>5.4889078498293539E-2</v>
      </c>
      <c r="BX66" s="696">
        <f t="shared" ref="BX66:CA66" si="1163">BX64-BX65</f>
        <v>5.5189649384191866E-2</v>
      </c>
      <c r="BY66" s="696">
        <f t="shared" si="1163"/>
        <v>5.5183177720815824E-2</v>
      </c>
      <c r="BZ66" s="697">
        <f t="shared" si="1163"/>
        <v>5.4904904569060164E-2</v>
      </c>
      <c r="CA66" s="732">
        <f t="shared" si="1163"/>
        <v>5.5042967112773518E-2</v>
      </c>
      <c r="CB66" s="665"/>
      <c r="CC66" s="717">
        <f>CC64-CC65</f>
        <v>5.493326406859822E-2</v>
      </c>
      <c r="CD66" s="696">
        <f t="shared" ref="CD66:CG66" si="1164">CD64-CD65</f>
        <v>5.5237633560648813E-2</v>
      </c>
      <c r="CE66" s="696">
        <f t="shared" si="1164"/>
        <v>5.5231399049207708E-2</v>
      </c>
      <c r="CF66" s="697">
        <f t="shared" si="1164"/>
        <v>5.4951842903966153E-2</v>
      </c>
      <c r="CG66" s="732">
        <f t="shared" si="1164"/>
        <v>5.5087825634776433E-2</v>
      </c>
      <c r="CH66" s="665"/>
      <c r="CI66" s="717">
        <f>CI64-CI65</f>
        <v>5.4980339905857267E-2</v>
      </c>
      <c r="CJ66" s="696">
        <f t="shared" ref="CJ66:CM66" si="1165">CJ64-CJ65</f>
        <v>5.5286088710908565E-2</v>
      </c>
      <c r="CK66" s="696">
        <f t="shared" si="1165"/>
        <v>5.5279827715917218E-2</v>
      </c>
      <c r="CL66" s="697">
        <f t="shared" si="1165"/>
        <v>5.4999007990930382E-2</v>
      </c>
      <c r="CM66" s="732">
        <f t="shared" si="1165"/>
        <v>5.5135623944647882E-2</v>
      </c>
    </row>
    <row r="67" spans="1:91" s="25" customFormat="1" ht="11.25" hidden="1" outlineLevel="1" x14ac:dyDescent="0.2">
      <c r="A67" s="695" t="s">
        <v>6</v>
      </c>
      <c r="B67" s="665"/>
      <c r="C67" s="717"/>
      <c r="D67" s="696"/>
      <c r="E67" s="696"/>
      <c r="F67" s="697"/>
      <c r="G67" s="732"/>
      <c r="H67" s="665"/>
      <c r="I67" s="717">
        <f>(I16*C12+I33*C29+I50*C46)/C63</f>
        <v>0</v>
      </c>
      <c r="J67" s="696">
        <f t="shared" ref="J67" si="1166">(J16*D12+J33*D29+J50*D46)/D63</f>
        <v>0</v>
      </c>
      <c r="K67" s="696">
        <f t="shared" ref="K67" si="1167">(K16*E12+K33*E29+K50*E46)/E63</f>
        <v>0</v>
      </c>
      <c r="L67" s="697">
        <f t="shared" ref="L67" si="1168">(L16*F12+L33*F29+L50*F46)/F63</f>
        <v>0</v>
      </c>
      <c r="M67" s="732">
        <f>SUMPRODUCT(I67:L67,C63:F63)/G63</f>
        <v>0</v>
      </c>
      <c r="N67" s="665"/>
      <c r="O67" s="717">
        <f>(O16*I12+O33*I29+O50*I46)/I63</f>
        <v>0</v>
      </c>
      <c r="P67" s="696">
        <f t="shared" ref="P67" si="1169">(P16*J12+P33*J29+P50*J46)/J63</f>
        <v>0</v>
      </c>
      <c r="Q67" s="696">
        <f t="shared" ref="Q67" si="1170">(Q16*K12+Q33*K29+Q50*K46)/K63</f>
        <v>0</v>
      </c>
      <c r="R67" s="697">
        <f t="shared" ref="R67" si="1171">(R16*L12+R33*L29+R50*L46)/L63</f>
        <v>0</v>
      </c>
      <c r="S67" s="732">
        <f>SUMPRODUCT(O67:R67,I63:L63)/M63</f>
        <v>0</v>
      </c>
      <c r="T67" s="665"/>
      <c r="U67" s="717">
        <f>(U16*O12+U33*O29+U50*O46)/O63</f>
        <v>0</v>
      </c>
      <c r="V67" s="696">
        <f t="shared" ref="V67" si="1172">(V16*P12+V33*P29+V50*P46)/P63</f>
        <v>0</v>
      </c>
      <c r="W67" s="696">
        <f t="shared" ref="W67" si="1173">(W16*Q12+W33*Q29+W50*Q46)/Q63</f>
        <v>0</v>
      </c>
      <c r="X67" s="697">
        <f t="shared" ref="X67" si="1174">(X16*R12+X33*R29+X50*R46)/R63</f>
        <v>0</v>
      </c>
      <c r="Y67" s="732">
        <f>SUMPRODUCT(U67:X67,O63:R63)/S63</f>
        <v>0</v>
      </c>
      <c r="Z67" s="665"/>
      <c r="AA67" s="717">
        <f>(AA16*U12+AA33*U29+AA50*U46)/U63</f>
        <v>1.1029612756264236E-2</v>
      </c>
      <c r="AB67" s="696">
        <f t="shared" ref="AB67" si="1175">(AB16*V12+AB33*V29+AB50*V46)/V63</f>
        <v>2.1066531186566862E-2</v>
      </c>
      <c r="AC67" s="696">
        <f t="shared" ref="AC67" si="1176">(AC16*W12+AC33*W29+AC50*W46)/W63</f>
        <v>2.8446859718826403E-2</v>
      </c>
      <c r="AD67" s="697">
        <f t="shared" ref="AD67" si="1177">(AD16*X12+AD33*X29+AD50*X46)/X63</f>
        <v>2.5641198901735017E-2</v>
      </c>
      <c r="AE67" s="732">
        <f>SUMPRODUCT(AA67:AD67,U63:X63)/Y63</f>
        <v>2.148056118530035E-2</v>
      </c>
      <c r="AF67" s="665"/>
      <c r="AG67" s="717">
        <f>(AG16*AA12+AG33*AA29+AG50*AA46)/AA63</f>
        <v>0</v>
      </c>
      <c r="AH67" s="696">
        <f t="shared" ref="AH67" si="1178">(AH16*AB12+AH33*AB29+AH50*AB46)/AB63</f>
        <v>0</v>
      </c>
      <c r="AI67" s="696">
        <f t="shared" ref="AI67" si="1179">(AI16*AC12+AI33*AC29+AI50*AC46)/AC63</f>
        <v>0</v>
      </c>
      <c r="AJ67" s="697">
        <f t="shared" ref="AJ67" si="1180">(AJ16*AD12+AJ33*AD29+AJ50*AD46)/AD63</f>
        <v>0</v>
      </c>
      <c r="AK67" s="732">
        <f>SUMPRODUCT(AG67:AJ67,AA63:AD63)/AE63</f>
        <v>0</v>
      </c>
      <c r="AL67" s="665"/>
      <c r="AM67" s="717">
        <f>(AM16*AG12+AM33*AG29+AM50*AG46)/AG63</f>
        <v>3.6902438825248823E-3</v>
      </c>
      <c r="AN67" s="696">
        <f t="shared" ref="AN67" si="1181">(AN16*AH12+AN33*AH29+AN50*AH46)/AH63</f>
        <v>3.8339114870430207E-3</v>
      </c>
      <c r="AO67" s="696">
        <f t="shared" ref="AO67" si="1182">(AO16*AI12+AO33*AI29+AO50*AI46)/AI63</f>
        <v>3.5057790840846807E-3</v>
      </c>
      <c r="AP67" s="697">
        <f t="shared" ref="AP67" si="1183">(AP16*AJ12+AP33*AJ29+AP50*AJ46)/AJ63</f>
        <v>3.5898964713534606E-3</v>
      </c>
      <c r="AQ67" s="732">
        <f>SUMPRODUCT(AM67:AP67,AG63:AJ63)/AK63</f>
        <v>3.6544328849135222E-3</v>
      </c>
      <c r="AR67" s="665"/>
      <c r="AS67" s="717">
        <f>(AS16*AM12+AS33*AM29+AS50*AM46)/AM63</f>
        <v>3.5286984166660153E-3</v>
      </c>
      <c r="AT67" s="696">
        <f t="shared" ref="AT67" si="1184">(AT16*AN12+AT33*AN29+AT50*AN46)/AN63</f>
        <v>0</v>
      </c>
      <c r="AU67" s="696">
        <f t="shared" ref="AU67" si="1185">(AU16*AO12+AU33*AO29+AU50*AO46)/AO63</f>
        <v>0</v>
      </c>
      <c r="AV67" s="697">
        <f t="shared" ref="AV67" si="1186">(AV16*AP12+AV33*AP29+AV50*AP46)/AP63</f>
        <v>0</v>
      </c>
      <c r="AW67" s="732">
        <f>SUMPRODUCT(AS67:AV67,AM63:AP63)/AQ63</f>
        <v>8.5176998971931036E-4</v>
      </c>
      <c r="AX67" s="665"/>
      <c r="AY67" s="717">
        <f>(AY16*AS12+AY33*AS29+AY50*AS46)/AS63</f>
        <v>0</v>
      </c>
      <c r="AZ67" s="696">
        <f t="shared" ref="AZ67" si="1187">(AZ16*AT12+AZ33*AT29+AZ50*AT46)/AT63</f>
        <v>0</v>
      </c>
      <c r="BA67" s="696">
        <f t="shared" ref="BA67" si="1188">(BA16*AU12+BA33*AU29+BA50*AU46)/AU63</f>
        <v>0</v>
      </c>
      <c r="BB67" s="697">
        <f t="shared" ref="BB67" si="1189">(BB16*AV12+BB33*AV29+BB50*AV46)/AV63</f>
        <v>0</v>
      </c>
      <c r="BC67" s="732">
        <f>SUMPRODUCT(AY67:BB67,AS63:AV63)/AW63</f>
        <v>0</v>
      </c>
      <c r="BD67" s="665"/>
      <c r="BE67" s="717">
        <f>(BE16*AY12+BE33*AY29+BE50*AY46)/AY63</f>
        <v>0</v>
      </c>
      <c r="BF67" s="696">
        <f t="shared" ref="BF67" si="1190">(BF16*AZ12+BF33*AZ29+BF50*AZ46)/AZ63</f>
        <v>0</v>
      </c>
      <c r="BG67" s="696">
        <f t="shared" ref="BG67" si="1191">(BG16*BA12+BG33*BA29+BG50*BA46)/BA63</f>
        <v>0</v>
      </c>
      <c r="BH67" s="697">
        <f t="shared" ref="BH67" si="1192">(BH16*BB12+BH33*BB29+BH50*BB46)/BB63</f>
        <v>0</v>
      </c>
      <c r="BI67" s="732">
        <f>SUMPRODUCT(BE67:BH67,AY63:BB63)/BC63</f>
        <v>0</v>
      </c>
      <c r="BJ67" s="665"/>
      <c r="BK67" s="717">
        <f>(BK16*BE12+BK33*BE29+BK50*BE46)/BE63</f>
        <v>0</v>
      </c>
      <c r="BL67" s="696">
        <f t="shared" ref="BL67:BN67" si="1193">(BL16*BF12+BL33*BF29+BL50*BF46)/BF63</f>
        <v>0</v>
      </c>
      <c r="BM67" s="696">
        <f t="shared" si="1193"/>
        <v>0</v>
      </c>
      <c r="BN67" s="697">
        <f t="shared" si="1193"/>
        <v>0</v>
      </c>
      <c r="BO67" s="732">
        <f>SUMPRODUCT(BK67:BN67,BE63:BH63)/BI63</f>
        <v>0</v>
      </c>
      <c r="BP67" s="665"/>
      <c r="BQ67" s="717">
        <f>(BQ16*BK12+BQ33*BK29+BQ50*BK46)/BK63</f>
        <v>0</v>
      </c>
      <c r="BR67" s="696">
        <f t="shared" ref="BR67" si="1194">(BR16*BL12+BR33*BL29+BR50*BL46)/BL63</f>
        <v>0</v>
      </c>
      <c r="BS67" s="696">
        <f t="shared" ref="BS67" si="1195">(BS16*BM12+BS33*BM29+BS50*BM46)/BM63</f>
        <v>0</v>
      </c>
      <c r="BT67" s="697">
        <f t="shared" ref="BT67" si="1196">(BT16*BN12+BT33*BN29+BT50*BN46)/BN63</f>
        <v>0</v>
      </c>
      <c r="BU67" s="732">
        <f>SUMPRODUCT(BQ67:BT67,BK63:BN63)/BO63</f>
        <v>0</v>
      </c>
      <c r="BV67" s="665"/>
      <c r="BW67" s="717">
        <f>(BW16*BQ12+BW33*BQ29+BW50*BQ46)/BQ63</f>
        <v>0</v>
      </c>
      <c r="BX67" s="696">
        <f t="shared" ref="BX67" si="1197">(BX16*BR12+BX33*BR29+BX50*BR46)/BR63</f>
        <v>0</v>
      </c>
      <c r="BY67" s="696">
        <f t="shared" ref="BY67" si="1198">(BY16*BS12+BY33*BS29+BY50*BS46)/BS63</f>
        <v>0</v>
      </c>
      <c r="BZ67" s="697">
        <f t="shared" ref="BZ67" si="1199">(BZ16*BT12+BZ33*BT29+BZ50*BT46)/BT63</f>
        <v>0</v>
      </c>
      <c r="CA67" s="732">
        <f>SUMPRODUCT(BW67:BZ67,BQ63:BT63)/BU63</f>
        <v>0</v>
      </c>
      <c r="CB67" s="665"/>
      <c r="CC67" s="717">
        <f>(CC16*BW12+CC33*BW29+CC50*BW46)/BW63</f>
        <v>0</v>
      </c>
      <c r="CD67" s="696">
        <f t="shared" ref="CD67" si="1200">(CD16*BX12+CD33*BX29+CD50*BX46)/BX63</f>
        <v>0</v>
      </c>
      <c r="CE67" s="696">
        <f t="shared" ref="CE67" si="1201">(CE16*BY12+CE33*BY29+CE50*BY46)/BY63</f>
        <v>0</v>
      </c>
      <c r="CF67" s="697">
        <f t="shared" ref="CF67" si="1202">(CF16*BZ12+CF33*BZ29+CF50*BZ46)/BZ63</f>
        <v>0</v>
      </c>
      <c r="CG67" s="732">
        <f>SUMPRODUCT(CC67:CF67,BW63:BZ63)/CA63</f>
        <v>0</v>
      </c>
      <c r="CH67" s="665"/>
      <c r="CI67" s="717">
        <f>(CI16*CC12+CI33*CC29+CI50*CC46)/CC63</f>
        <v>0</v>
      </c>
      <c r="CJ67" s="696">
        <f t="shared" ref="CJ67" si="1203">(CJ16*CD12+CJ33*CD29+CJ50*CD46)/CD63</f>
        <v>0</v>
      </c>
      <c r="CK67" s="696">
        <f t="shared" ref="CK67" si="1204">(CK16*CE12+CK33*CE29+CK50*CE46)/CE63</f>
        <v>0</v>
      </c>
      <c r="CL67" s="697">
        <f t="shared" ref="CL67" si="1205">(CL16*CF12+CL33*CF29+CL50*CF46)/CF63</f>
        <v>0</v>
      </c>
      <c r="CM67" s="732">
        <f>SUMPRODUCT(CI67:CL67,CC63:CF63)/CG63</f>
        <v>0</v>
      </c>
    </row>
    <row r="68" spans="1:91" s="25" customFormat="1" ht="11.25" hidden="1" outlineLevel="1" x14ac:dyDescent="0.2">
      <c r="A68" s="695" t="s">
        <v>7</v>
      </c>
      <c r="B68" s="665"/>
      <c r="C68" s="717"/>
      <c r="D68" s="696"/>
      <c r="E68" s="696"/>
      <c r="F68" s="697"/>
      <c r="G68" s="732"/>
      <c r="H68" s="665"/>
      <c r="I68" s="717">
        <f>I66-I67</f>
        <v>0.16325159868127143</v>
      </c>
      <c r="J68" s="696">
        <f t="shared" ref="J68:M68" si="1206">J66-J67</f>
        <v>0.10729145725540569</v>
      </c>
      <c r="K68" s="696">
        <f t="shared" si="1206"/>
        <v>0.11651560287721544</v>
      </c>
      <c r="L68" s="697">
        <f t="shared" si="1206"/>
        <v>0.13088787135257768</v>
      </c>
      <c r="M68" s="732">
        <f t="shared" si="1206"/>
        <v>0.12897337161010866</v>
      </c>
      <c r="N68" s="665"/>
      <c r="O68" s="717">
        <f>O66-O67</f>
        <v>9.9650706790755217E-2</v>
      </c>
      <c r="P68" s="696">
        <f t="shared" ref="P68:S68" si="1207">P66-P67</f>
        <v>9.9605638774633132E-2</v>
      </c>
      <c r="Q68" s="696">
        <f t="shared" si="1207"/>
        <v>7.2981194333251509E-2</v>
      </c>
      <c r="R68" s="697">
        <f t="shared" si="1207"/>
        <v>4.3871234796794376E-2</v>
      </c>
      <c r="S68" s="732">
        <f t="shared" si="1207"/>
        <v>7.803182518117352E-2</v>
      </c>
      <c r="T68" s="665"/>
      <c r="U68" s="717">
        <f>U66-U67</f>
        <v>5.9532985806579126E-2</v>
      </c>
      <c r="V68" s="696">
        <f t="shared" ref="V68:Y68" si="1208">V66-V67</f>
        <v>5.2065509123867253E-2</v>
      </c>
      <c r="W68" s="696">
        <f t="shared" si="1208"/>
        <v>5.3982811330786626E-2</v>
      </c>
      <c r="X68" s="697">
        <f t="shared" si="1208"/>
        <v>7.3955951349110538E-2</v>
      </c>
      <c r="Y68" s="732">
        <f t="shared" si="1208"/>
        <v>6.000540601826064E-2</v>
      </c>
      <c r="Z68" s="665"/>
      <c r="AA68" s="717">
        <f>AA66-AA67</f>
        <v>2.8221394077448659E-2</v>
      </c>
      <c r="AB68" s="696">
        <f t="shared" ref="AB68:AE68" si="1209">AB66-AB67</f>
        <v>4.1855676233778047E-2</v>
      </c>
      <c r="AC68" s="696">
        <f t="shared" si="1209"/>
        <v>6.2892883748471698E-2</v>
      </c>
      <c r="AD68" s="697">
        <f t="shared" si="1209"/>
        <v>6.247341167143055E-2</v>
      </c>
      <c r="AE68" s="732">
        <f t="shared" si="1209"/>
        <v>4.8784303654552622E-2</v>
      </c>
      <c r="AF68" s="665"/>
      <c r="AG68" s="717">
        <f>AG66-AG67</f>
        <v>6.8078471071737909E-2</v>
      </c>
      <c r="AH68" s="696">
        <f t="shared" ref="AH68:AK68" si="1210">AH66-AH67</f>
        <v>7.4985990198178198E-2</v>
      </c>
      <c r="AI68" s="696">
        <f t="shared" si="1210"/>
        <v>6.7756560562682241E-2</v>
      </c>
      <c r="AJ68" s="697">
        <f t="shared" si="1210"/>
        <v>7.6024781681093931E-2</v>
      </c>
      <c r="AK68" s="732">
        <f t="shared" si="1210"/>
        <v>7.1807731573087757E-2</v>
      </c>
      <c r="AL68" s="665"/>
      <c r="AM68" s="717">
        <f>AM66-AM67</f>
        <v>6.462860986144349E-2</v>
      </c>
      <c r="AN68" s="696">
        <f t="shared" ref="AN68:AQ68" si="1211">AN66-AN67</f>
        <v>4.6678027783057442E-2</v>
      </c>
      <c r="AO68" s="696">
        <f t="shared" si="1211"/>
        <v>4.4669658815585794E-2</v>
      </c>
      <c r="AP68" s="697">
        <f t="shared" si="1211"/>
        <v>0.11751678372037191</v>
      </c>
      <c r="AQ68" s="732">
        <f t="shared" si="1211"/>
        <v>6.8700104115179683E-2</v>
      </c>
      <c r="AR68" s="665"/>
      <c r="AS68" s="717">
        <f>AS66-AS67</f>
        <v>7.3232416947219339E-2</v>
      </c>
      <c r="AT68" s="696">
        <f t="shared" ref="AT68:AW68" si="1212">AT66-AT67</f>
        <v>0.10322382474275713</v>
      </c>
      <c r="AU68" s="696">
        <f t="shared" si="1212"/>
        <v>7.3838287108491885E-2</v>
      </c>
      <c r="AV68" s="697">
        <f t="shared" si="1212"/>
        <v>4.3135325131810225E-2</v>
      </c>
      <c r="AW68" s="732">
        <f t="shared" si="1212"/>
        <v>7.2760039463518569E-2</v>
      </c>
      <c r="AX68" s="665"/>
      <c r="AY68" s="717">
        <f>AY66-AY67</f>
        <v>8.5475524475524575E-2</v>
      </c>
      <c r="AZ68" s="696">
        <f t="shared" ref="AZ68:BC68" si="1213">AZ66-AZ67</f>
        <v>3.155496453900708E-2</v>
      </c>
      <c r="BA68" s="696">
        <f t="shared" si="1213"/>
        <v>5.1490514905149054E-2</v>
      </c>
      <c r="BB68" s="697">
        <f t="shared" si="1213"/>
        <v>5.7434878512855919E-2</v>
      </c>
      <c r="BC68" s="732">
        <f t="shared" si="1213"/>
        <v>5.6259962125076043E-2</v>
      </c>
      <c r="BD68" s="665"/>
      <c r="BE68" s="717">
        <f>BE66-BE67</f>
        <v>2.600557905156127E-2</v>
      </c>
      <c r="BF68" s="696">
        <f t="shared" ref="BF68:BI68" si="1214">BF66-BF67</f>
        <v>1.3320736891828028E-2</v>
      </c>
      <c r="BG68" s="696">
        <f t="shared" si="1214"/>
        <v>8.2213438735177752E-2</v>
      </c>
      <c r="BH68" s="697">
        <f t="shared" si="1214"/>
        <v>4.7531992687385432E-3</v>
      </c>
      <c r="BI68" s="732">
        <f t="shared" si="1214"/>
        <v>3.0731091257776309E-2</v>
      </c>
      <c r="BJ68" s="665"/>
      <c r="BK68" s="717">
        <f>BK66-BK67</f>
        <v>3.5360946745562012E-2</v>
      </c>
      <c r="BL68" s="696">
        <f t="shared" ref="BL68:BO68" si="1215">BL66-BL67</f>
        <v>5.5454545454545513E-2</v>
      </c>
      <c r="BM68" s="696">
        <f t="shared" si="1215"/>
        <v>4.3861682242990731E-2</v>
      </c>
      <c r="BN68" s="697">
        <f t="shared" si="1215"/>
        <v>8.3204419889502695E-2</v>
      </c>
      <c r="BO68" s="732">
        <f t="shared" si="1215"/>
        <v>5.4819230769230731E-2</v>
      </c>
      <c r="BP68" s="665"/>
      <c r="BQ68" s="717">
        <f>BQ66-BQ67</f>
        <v>9.1742802303262899E-2</v>
      </c>
      <c r="BR68" s="696">
        <f t="shared" ref="BR68:BU68" si="1216">BR66-BR67</f>
        <v>5.2223300970873715E-2</v>
      </c>
      <c r="BS68" s="696">
        <f t="shared" si="1216"/>
        <v>6.9808043875685441E-2</v>
      </c>
      <c r="BT68" s="697">
        <f t="shared" si="1216"/>
        <v>3.6411564625850455E-2</v>
      </c>
      <c r="BU68" s="732">
        <f t="shared" si="1216"/>
        <v>6.1855366190695676E-2</v>
      </c>
      <c r="BV68" s="665"/>
      <c r="BW68" s="717">
        <f>BW66-BW67</f>
        <v>5.4889078498293539E-2</v>
      </c>
      <c r="BX68" s="696">
        <f t="shared" ref="BX68:CA68" si="1217">BX66-BX67</f>
        <v>5.5189649384191866E-2</v>
      </c>
      <c r="BY68" s="696">
        <f t="shared" si="1217"/>
        <v>5.5183177720815824E-2</v>
      </c>
      <c r="BZ68" s="697">
        <f t="shared" si="1217"/>
        <v>5.4904904569060164E-2</v>
      </c>
      <c r="CA68" s="732">
        <f t="shared" si="1217"/>
        <v>5.5042967112773518E-2</v>
      </c>
      <c r="CB68" s="665"/>
      <c r="CC68" s="717">
        <f>CC66-CC67</f>
        <v>5.493326406859822E-2</v>
      </c>
      <c r="CD68" s="696">
        <f t="shared" ref="CD68:CG68" si="1218">CD66-CD67</f>
        <v>5.5237633560648813E-2</v>
      </c>
      <c r="CE68" s="696">
        <f t="shared" si="1218"/>
        <v>5.5231399049207708E-2</v>
      </c>
      <c r="CF68" s="697">
        <f t="shared" si="1218"/>
        <v>5.4951842903966153E-2</v>
      </c>
      <c r="CG68" s="732">
        <f t="shared" si="1218"/>
        <v>5.5087825634776433E-2</v>
      </c>
      <c r="CH68" s="665"/>
      <c r="CI68" s="717">
        <f>CI66-CI67</f>
        <v>5.4980339905857267E-2</v>
      </c>
      <c r="CJ68" s="696">
        <f t="shared" ref="CJ68:CM68" si="1219">CJ66-CJ67</f>
        <v>5.5286088710908565E-2</v>
      </c>
      <c r="CK68" s="696">
        <f t="shared" si="1219"/>
        <v>5.5279827715917218E-2</v>
      </c>
      <c r="CL68" s="697">
        <f t="shared" si="1219"/>
        <v>5.4999007990930382E-2</v>
      </c>
      <c r="CM68" s="732">
        <f t="shared" si="1219"/>
        <v>5.5135623944647882E-2</v>
      </c>
    </row>
    <row r="69" spans="1:91" s="31" customFormat="1" ht="11.25" collapsed="1" x14ac:dyDescent="0.2">
      <c r="A69" s="709" t="s">
        <v>11</v>
      </c>
      <c r="B69" s="710"/>
      <c r="C69" s="729">
        <f>C59+C63</f>
        <v>611.39099999999996</v>
      </c>
      <c r="D69" s="711">
        <f t="shared" ref="D69:F69" si="1220">D59+D63</f>
        <v>661.44299999999998</v>
      </c>
      <c r="E69" s="711">
        <f t="shared" si="1220"/>
        <v>678.70500000000004</v>
      </c>
      <c r="F69" s="712">
        <f t="shared" si="1220"/>
        <v>709.59699999999998</v>
      </c>
      <c r="G69" s="740">
        <f>SUM(C69:F69)</f>
        <v>2661.1359999999995</v>
      </c>
      <c r="H69" s="710"/>
      <c r="I69" s="729">
        <f>I59+I63</f>
        <v>727.86400000000003</v>
      </c>
      <c r="J69" s="711">
        <f t="shared" ref="J69:L69" si="1221">J59+J63</f>
        <v>750.29299999999989</v>
      </c>
      <c r="K69" s="711">
        <f t="shared" si="1221"/>
        <v>775.49799999999993</v>
      </c>
      <c r="L69" s="712">
        <f t="shared" si="1221"/>
        <v>806.66800000000001</v>
      </c>
      <c r="M69" s="740">
        <f>SUM(I69:L69)</f>
        <v>3060.3229999999999</v>
      </c>
      <c r="N69" s="710"/>
      <c r="O69" s="729">
        <f>O59+O63</f>
        <v>769.71199999999999</v>
      </c>
      <c r="P69" s="711">
        <f t="shared" ref="P69:R69" si="1222">P59+P63</f>
        <v>770.63300000000004</v>
      </c>
      <c r="Q69" s="711">
        <f t="shared" si="1222"/>
        <v>776.14800000000002</v>
      </c>
      <c r="R69" s="712">
        <f t="shared" si="1222"/>
        <v>814.24299999999994</v>
      </c>
      <c r="S69" s="740">
        <f>SUM(O69:R69)</f>
        <v>3130.7359999999999</v>
      </c>
      <c r="T69" s="710"/>
      <c r="U69" s="729">
        <f>U59+U63</f>
        <v>826.80899999999997</v>
      </c>
      <c r="V69" s="711">
        <f t="shared" ref="V69:X69" si="1223">V59+V63</f>
        <v>798.14700000000005</v>
      </c>
      <c r="W69" s="711">
        <f t="shared" si="1223"/>
        <v>806.702</v>
      </c>
      <c r="X69" s="712">
        <f t="shared" si="1223"/>
        <v>838.45899999999995</v>
      </c>
      <c r="Y69" s="740">
        <f>SUM(U69:X69)</f>
        <v>3270.1170000000002</v>
      </c>
      <c r="Z69" s="710"/>
      <c r="AA69" s="729">
        <f>AA59+AA63</f>
        <v>856.80669999999998</v>
      </c>
      <c r="AB69" s="711">
        <f t="shared" ref="AB69:AD69" si="1224">AB59+AB63</f>
        <v>879.28199999999993</v>
      </c>
      <c r="AC69" s="711">
        <f t="shared" si="1224"/>
        <v>907.053</v>
      </c>
      <c r="AD69" s="712">
        <f t="shared" si="1224"/>
        <v>933.58999999999992</v>
      </c>
      <c r="AE69" s="740">
        <f>SUM(AA69:AD69)</f>
        <v>3576.7316999999994</v>
      </c>
      <c r="AF69" s="710"/>
      <c r="AG69" s="729">
        <f>AG59+AG63</f>
        <v>881.32300000000009</v>
      </c>
      <c r="AH69" s="711">
        <f t="shared" ref="AH69:AJ69" si="1225">AH59+AH63</f>
        <v>907.774</v>
      </c>
      <c r="AI69" s="711">
        <f t="shared" si="1225"/>
        <v>910.45399999999995</v>
      </c>
      <c r="AJ69" s="712">
        <f t="shared" si="1225"/>
        <v>918.13900000000001</v>
      </c>
      <c r="AK69" s="740">
        <f>SUM(AG69:AJ69)</f>
        <v>3617.6900000000005</v>
      </c>
      <c r="AL69" s="710"/>
      <c r="AM69" s="729">
        <f>AM59+AM63</f>
        <v>916.81900000000007</v>
      </c>
      <c r="AN69" s="711">
        <f t="shared" ref="AN69:AP69" si="1226">AN59+AN63</f>
        <v>938.30399999999986</v>
      </c>
      <c r="AO69" s="711">
        <f t="shared" si="1226"/>
        <v>912.16599999999994</v>
      </c>
      <c r="AP69" s="712">
        <f t="shared" si="1226"/>
        <v>980</v>
      </c>
      <c r="AQ69" s="740">
        <f>SUM(AM69:AP69)</f>
        <v>3747.2889999999998</v>
      </c>
      <c r="AR69" s="710"/>
      <c r="AS69" s="729">
        <f>AS59+AS63</f>
        <v>951.4</v>
      </c>
      <c r="AT69" s="711">
        <f t="shared" ref="AT69:AV69" si="1227">AT59+AT63</f>
        <v>955</v>
      </c>
      <c r="AU69" s="711">
        <f t="shared" si="1227"/>
        <v>956.3</v>
      </c>
      <c r="AV69" s="712">
        <f t="shared" si="1227"/>
        <v>1008.69</v>
      </c>
      <c r="AW69" s="740">
        <f>SUM(AS69:AV69)</f>
        <v>3871.39</v>
      </c>
      <c r="AX69" s="710"/>
      <c r="AY69" s="729">
        <f>AY59+AY63</f>
        <v>979.5</v>
      </c>
      <c r="AZ69" s="711">
        <f t="shared" ref="AZ69:BB69" si="1228">AZ59+AZ63</f>
        <v>944.95</v>
      </c>
      <c r="BA69" s="711">
        <f t="shared" si="1228"/>
        <v>920.7</v>
      </c>
      <c r="BB69" s="712">
        <f t="shared" si="1228"/>
        <v>976</v>
      </c>
      <c r="BC69" s="740">
        <f>SUM(AY69:BB69)</f>
        <v>3821.15</v>
      </c>
      <c r="BD69" s="710"/>
      <c r="BE69" s="729">
        <f>BE59+BE63</f>
        <v>932</v>
      </c>
      <c r="BF69" s="711">
        <f t="shared" ref="BF69:BH69" si="1229">BF59+BF63</f>
        <v>936</v>
      </c>
      <c r="BG69" s="711">
        <f t="shared" si="1229"/>
        <v>963</v>
      </c>
      <c r="BH69" s="712">
        <f t="shared" si="1229"/>
        <v>997</v>
      </c>
      <c r="BI69" s="740">
        <f>SUM(BE69:BH69)</f>
        <v>3828</v>
      </c>
      <c r="BJ69" s="710"/>
      <c r="BK69" s="729">
        <f>BK59+BK63</f>
        <v>958</v>
      </c>
      <c r="BL69" s="711">
        <f t="shared" ref="BL69:BN69" si="1230">BL59+BL63</f>
        <v>983</v>
      </c>
      <c r="BM69" s="711">
        <f t="shared" si="1230"/>
        <v>998</v>
      </c>
      <c r="BN69" s="712">
        <f t="shared" si="1230"/>
        <v>1051</v>
      </c>
      <c r="BO69" s="740">
        <f>SUM(BK69:BN69)</f>
        <v>3990</v>
      </c>
      <c r="BP69" s="710"/>
      <c r="BQ69" s="729">
        <f>BQ59+BQ63</f>
        <v>1045</v>
      </c>
      <c r="BR69" s="711">
        <f t="shared" ref="BR69:BT69" si="1231">BR59+BR63</f>
        <v>1085.9842642610665</v>
      </c>
      <c r="BS69" s="711">
        <f t="shared" si="1231"/>
        <v>1101.9314944845446</v>
      </c>
      <c r="BT69" s="712">
        <f t="shared" si="1231"/>
        <v>1118.202807523475</v>
      </c>
      <c r="BU69" s="740">
        <f>SUM(BQ69:BT69)</f>
        <v>4351.1185662690859</v>
      </c>
      <c r="BV69" s="710"/>
      <c r="BW69" s="729">
        <f>BW59+BW63</f>
        <v>1130.9038941736783</v>
      </c>
      <c r="BX69" s="711">
        <f t="shared" ref="BX69:BZ69" si="1232">BX59+BX63</f>
        <v>1139.9746637822423</v>
      </c>
      <c r="BY69" s="711">
        <f t="shared" si="1232"/>
        <v>1153.746861022656</v>
      </c>
      <c r="BZ69" s="712">
        <f t="shared" si="1232"/>
        <v>1170.4008034002084</v>
      </c>
      <c r="CA69" s="740">
        <f>SUM(BW69:BZ69)</f>
        <v>4595.026222378785</v>
      </c>
      <c r="CB69" s="710"/>
      <c r="CC69" s="729">
        <f>CC59+CC63</f>
        <v>1183.8222066840817</v>
      </c>
      <c r="CD69" s="711">
        <f t="shared" ref="CD69:CF69" si="1233">CD59+CD63</f>
        <v>1193.1443858760908</v>
      </c>
      <c r="CE69" s="711">
        <f t="shared" si="1233"/>
        <v>1208.1461583555756</v>
      </c>
      <c r="CF69" s="712">
        <f t="shared" si="1233"/>
        <v>1225.1811406783149</v>
      </c>
      <c r="CG69" s="740">
        <f>SUM(CC69:CF69)</f>
        <v>4810.2938915940631</v>
      </c>
      <c r="CH69" s="710"/>
      <c r="CI69" s="729">
        <f>CI59+CI63</f>
        <v>1239.3680784771168</v>
      </c>
      <c r="CJ69" s="711">
        <f t="shared" ref="CJ69:CL69" si="1234">CJ59+CJ63</f>
        <v>1248.9507289234398</v>
      </c>
      <c r="CK69" s="711">
        <f t="shared" si="1234"/>
        <v>1265.2649521309568</v>
      </c>
      <c r="CL69" s="712">
        <f t="shared" si="1234"/>
        <v>1282.6781972998526</v>
      </c>
      <c r="CM69" s="740">
        <f>SUM(CI69:CL69)</f>
        <v>5036.2619568313658</v>
      </c>
    </row>
    <row r="70" spans="1:91" s="25" customFormat="1" ht="11.25" x14ac:dyDescent="0.2">
      <c r="A70" s="695" t="s">
        <v>5</v>
      </c>
      <c r="B70" s="665"/>
      <c r="C70" s="717"/>
      <c r="D70" s="696"/>
      <c r="E70" s="696"/>
      <c r="F70" s="697"/>
      <c r="G70" s="732"/>
      <c r="H70" s="665"/>
      <c r="I70" s="717">
        <f>I69/C69-1</f>
        <v>0.19050493055998552</v>
      </c>
      <c r="J70" s="696">
        <f t="shared" ref="J70" si="1235">J69/D69-1</f>
        <v>0.13432752330888675</v>
      </c>
      <c r="K70" s="696">
        <f t="shared" ref="K70" si="1236">K69/E69-1</f>
        <v>0.14261424330158157</v>
      </c>
      <c r="L70" s="697">
        <f t="shared" ref="L70" si="1237">L69/F69-1</f>
        <v>0.13679736526507313</v>
      </c>
      <c r="M70" s="732">
        <f t="shared" ref="M70" si="1238">M69/G69-1</f>
        <v>0.15000623793748247</v>
      </c>
      <c r="N70" s="665"/>
      <c r="O70" s="717">
        <f>O69/I69-1</f>
        <v>5.7494257168921648E-2</v>
      </c>
      <c r="P70" s="696">
        <f t="shared" ref="P70" si="1239">P69/J69-1</f>
        <v>2.7109409257450201E-2</v>
      </c>
      <c r="Q70" s="696">
        <f t="shared" ref="Q70" si="1240">Q69/K69-1</f>
        <v>8.3817108490302772E-4</v>
      </c>
      <c r="R70" s="697">
        <f t="shared" ref="R70" si="1241">R69/L69-1</f>
        <v>9.3904803463134012E-3</v>
      </c>
      <c r="S70" s="732">
        <f t="shared" ref="S70" si="1242">S69/M69-1</f>
        <v>2.3008355653961976E-2</v>
      </c>
      <c r="T70" s="665"/>
      <c r="U70" s="717">
        <f>U69/O69-1</f>
        <v>7.4179693183944018E-2</v>
      </c>
      <c r="V70" s="696">
        <f t="shared" ref="V70" si="1243">V69/P69-1</f>
        <v>3.5703116788406319E-2</v>
      </c>
      <c r="W70" s="696">
        <f t="shared" ref="W70" si="1244">W69/Q69-1</f>
        <v>3.9366203352968698E-2</v>
      </c>
      <c r="X70" s="697">
        <f t="shared" ref="X70" si="1245">X69/R69-1</f>
        <v>2.9740507440653374E-2</v>
      </c>
      <c r="Y70" s="732">
        <f t="shared" ref="Y70" si="1246">Y69/S69-1</f>
        <v>4.4520202278314214E-2</v>
      </c>
      <c r="Z70" s="665"/>
      <c r="AA70" s="717">
        <f>AA69/U69-1</f>
        <v>3.6281293503094503E-2</v>
      </c>
      <c r="AB70" s="696">
        <f t="shared" ref="AB70" si="1247">AB69/V69-1</f>
        <v>0.10165420655593493</v>
      </c>
      <c r="AC70" s="696">
        <f t="shared" ref="AC70" si="1248">AC69/W69-1</f>
        <v>0.12439661733824892</v>
      </c>
      <c r="AD70" s="697">
        <f t="shared" ref="AD70" si="1249">AD69/X69-1</f>
        <v>0.11345933432642497</v>
      </c>
      <c r="AE70" s="732">
        <f t="shared" ref="AE70" si="1250">AE69/Y69-1</f>
        <v>9.376260849382434E-2</v>
      </c>
      <c r="AF70" s="665"/>
      <c r="AG70" s="717">
        <f>AG69/AA69-1</f>
        <v>2.8613571765953916E-2</v>
      </c>
      <c r="AH70" s="696">
        <f t="shared" ref="AH70" si="1251">AH69/AB69-1</f>
        <v>3.2403711209828101E-2</v>
      </c>
      <c r="AI70" s="696">
        <f t="shared" ref="AI70" si="1252">AI69/AC69-1</f>
        <v>3.7495052659546335E-3</v>
      </c>
      <c r="AJ70" s="697">
        <f t="shared" ref="AJ70" si="1253">AJ69/AD69-1</f>
        <v>-1.6550091581957749E-2</v>
      </c>
      <c r="AK70" s="732">
        <f t="shared" ref="AK70" si="1254">AK69/AE69-1</f>
        <v>1.1451320209453053E-2</v>
      </c>
      <c r="AL70" s="665"/>
      <c r="AM70" s="717">
        <f>AM69/AG69-1</f>
        <v>4.0275812613536743E-2</v>
      </c>
      <c r="AN70" s="696">
        <f t="shared" ref="AN70" si="1255">AN69/AH69-1</f>
        <v>3.3631718908009978E-2</v>
      </c>
      <c r="AO70" s="696">
        <f t="shared" ref="AO70" si="1256">AO69/AI69-1</f>
        <v>1.8803805573921473E-3</v>
      </c>
      <c r="AP70" s="697">
        <f t="shared" ref="AP70" si="1257">AP69/AJ69-1</f>
        <v>6.737650835004283E-2</v>
      </c>
      <c r="AQ70" s="732">
        <f t="shared" ref="AQ70" si="1258">AQ69/AK69-1</f>
        <v>3.5823688596866798E-2</v>
      </c>
      <c r="AR70" s="665"/>
      <c r="AS70" s="717">
        <f>AS69/AM69-1</f>
        <v>3.7718459150606565E-2</v>
      </c>
      <c r="AT70" s="696">
        <f t="shared" ref="AT70" si="1259">AT69/AN69-1</f>
        <v>1.7793806698042536E-2</v>
      </c>
      <c r="AU70" s="696">
        <f t="shared" ref="AU70" si="1260">AU69/AO69-1</f>
        <v>4.838373717064659E-2</v>
      </c>
      <c r="AV70" s="697">
        <f t="shared" ref="AV70" si="1261">AV69/AP69-1</f>
        <v>2.927551020408159E-2</v>
      </c>
      <c r="AW70" s="732">
        <f t="shared" ref="AW70" si="1262">AW69/AQ69-1</f>
        <v>3.3117541774867032E-2</v>
      </c>
      <c r="AX70" s="665"/>
      <c r="AY70" s="717">
        <f>AY69/AS69-1</f>
        <v>2.9535421484128577E-2</v>
      </c>
      <c r="AZ70" s="696">
        <f t="shared" ref="AZ70" si="1263">AZ69/AT69-1</f>
        <v>-1.0523560209424021E-2</v>
      </c>
      <c r="BA70" s="696">
        <f t="shared" ref="BA70" si="1264">BA69/AU69-1</f>
        <v>-3.7226811669977988E-2</v>
      </c>
      <c r="BB70" s="697">
        <f t="shared" ref="BB70" si="1265">BB69/AV69-1</f>
        <v>-3.2408371253804469E-2</v>
      </c>
      <c r="BC70" s="732">
        <f t="shared" ref="BC70" si="1266">BC69/AW69-1</f>
        <v>-1.2977251064862916E-2</v>
      </c>
      <c r="BD70" s="665"/>
      <c r="BE70" s="717">
        <f>BE69/AY69-1</f>
        <v>-4.8494129657988716E-2</v>
      </c>
      <c r="BF70" s="696">
        <f t="shared" ref="BF70" si="1267">BF69/AZ69-1</f>
        <v>-9.4714006032066145E-3</v>
      </c>
      <c r="BG70" s="696">
        <f t="shared" ref="BG70" si="1268">BG69/BA69-1</f>
        <v>4.5943304007820096E-2</v>
      </c>
      <c r="BH70" s="697">
        <f t="shared" ref="BH70" si="1269">BH69/BB69-1</f>
        <v>2.1516393442623016E-2</v>
      </c>
      <c r="BI70" s="732">
        <f t="shared" ref="BI70" si="1270">BI69/BC69-1</f>
        <v>1.7926540439396899E-3</v>
      </c>
      <c r="BJ70" s="665"/>
      <c r="BK70" s="717">
        <f>BK69/BE69-1</f>
        <v>2.7896995708154515E-2</v>
      </c>
      <c r="BL70" s="696">
        <f t="shared" ref="BL70:BO70" si="1271">BL69/BF69-1</f>
        <v>5.0213675213675257E-2</v>
      </c>
      <c r="BM70" s="696">
        <f t="shared" si="1271"/>
        <v>3.6344755970924236E-2</v>
      </c>
      <c r="BN70" s="697">
        <f t="shared" si="1271"/>
        <v>5.4162487462387165E-2</v>
      </c>
      <c r="BO70" s="732">
        <f t="shared" si="1271"/>
        <v>4.2319749216300995E-2</v>
      </c>
      <c r="BP70" s="665"/>
      <c r="BQ70" s="717">
        <f>BQ69/BK69-1</f>
        <v>9.081419624217113E-2</v>
      </c>
      <c r="BR70" s="696">
        <f t="shared" ref="BR70" si="1272">BR69/BL69-1</f>
        <v>0.10476527391766677</v>
      </c>
      <c r="BS70" s="696">
        <f t="shared" ref="BS70" si="1273">BS69/BM69-1</f>
        <v>0.10413977403260977</v>
      </c>
      <c r="BT70" s="697">
        <f t="shared" ref="BT70" si="1274">BT69/BN69-1</f>
        <v>6.3941776901498493E-2</v>
      </c>
      <c r="BU70" s="732">
        <f t="shared" ref="BU70" si="1275">BU69/BO69-1</f>
        <v>9.050590633310418E-2</v>
      </c>
      <c r="BV70" s="665"/>
      <c r="BW70" s="717">
        <f>BW69/BQ69-1</f>
        <v>8.2204683419787816E-2</v>
      </c>
      <c r="BX70" s="696">
        <f t="shared" ref="BX70" si="1276">BX69/BR69-1</f>
        <v>4.971563704738613E-2</v>
      </c>
      <c r="BY70" s="696">
        <f t="shared" ref="BY70" si="1277">BY69/BS69-1</f>
        <v>4.7022312001663291E-2</v>
      </c>
      <c r="BZ70" s="697">
        <f t="shared" ref="BZ70" si="1278">BZ69/BT69-1</f>
        <v>4.6680258290835663E-2</v>
      </c>
      <c r="CA70" s="732">
        <f t="shared" ref="CA70" si="1279">CA69/BU69-1</f>
        <v>5.6056311128942715E-2</v>
      </c>
      <c r="CB70" s="665"/>
      <c r="CC70" s="717">
        <f>CC69/BW69-1</f>
        <v>4.679293508761817E-2</v>
      </c>
      <c r="CD70" s="696">
        <f t="shared" ref="CD70" si="1280">CD69/BX69-1</f>
        <v>4.6641143687738085E-2</v>
      </c>
      <c r="CE70" s="696">
        <f t="shared" ref="CE70" si="1281">CE69/BY69-1</f>
        <v>4.7150115134182213E-2</v>
      </c>
      <c r="CF70" s="697">
        <f t="shared" ref="CF70" si="1282">CF69/BZ69-1</f>
        <v>4.6804767323262775E-2</v>
      </c>
      <c r="CG70" s="732">
        <f t="shared" ref="CG70" si="1283">CG69/CA69-1</f>
        <v>4.684797404786889E-2</v>
      </c>
      <c r="CH70" s="665"/>
      <c r="CI70" s="717">
        <f>CI69/CC69-1</f>
        <v>4.6920788847694128E-2</v>
      </c>
      <c r="CJ70" s="696">
        <f t="shared" ref="CJ70" si="1284">CJ69/CD69-1</f>
        <v>4.6772497702674887E-2</v>
      </c>
      <c r="CK70" s="696">
        <f t="shared" ref="CK70" si="1285">CK69/CE69-1</f>
        <v>4.7278049415085954E-2</v>
      </c>
      <c r="CL70" s="697">
        <f t="shared" ref="CL70" si="1286">CL69/CF69-1</f>
        <v>4.692943329971988E-2</v>
      </c>
      <c r="CM70" s="732">
        <f t="shared" ref="CM70" si="1287">CM69/CG69-1</f>
        <v>4.697593750605944E-2</v>
      </c>
    </row>
    <row r="71" spans="1:91" s="25" customFormat="1" ht="11.25" x14ac:dyDescent="0.2">
      <c r="A71" s="695" t="s">
        <v>9</v>
      </c>
      <c r="B71" s="665"/>
      <c r="C71" s="717"/>
      <c r="D71" s="696"/>
      <c r="E71" s="696"/>
      <c r="F71" s="697"/>
      <c r="G71" s="732"/>
      <c r="H71" s="665"/>
      <c r="I71" s="717">
        <f>I65*C63/C69</f>
        <v>3.9739590540259842E-2</v>
      </c>
      <c r="J71" s="696">
        <f t="shared" ref="J71" si="1288">J65*D63/D69</f>
        <v>4.8768710228999326E-2</v>
      </c>
      <c r="K71" s="696">
        <f t="shared" ref="K71" si="1289">K65*E63/E69</f>
        <v>6.217175798027124E-2</v>
      </c>
      <c r="L71" s="697">
        <f t="shared" ref="L71" si="1290">L65*F63/F69</f>
        <v>4.0699139088806749E-2</v>
      </c>
      <c r="M71" s="732">
        <f>SUMPRODUCT(I71:L71,C69:F69)/G69</f>
        <v>4.796087836172222E-2</v>
      </c>
      <c r="N71" s="665"/>
      <c r="O71" s="717">
        <f>O65*I63/I69</f>
        <v>-1.9538970192233711E-2</v>
      </c>
      <c r="P71" s="696">
        <f t="shared" ref="P71" si="1291">P65*J63/J69</f>
        <v>-2.1492177056163391E-2</v>
      </c>
      <c r="Q71" s="696">
        <f t="shared" ref="Q71" si="1292">Q65*K63/K69</f>
        <v>-5.0598910635488423E-2</v>
      </c>
      <c r="R71" s="697">
        <f t="shared" ref="R71" si="1293">R65*L63/L69</f>
        <v>-2.5757922714177334E-2</v>
      </c>
      <c r="S71" s="732">
        <f>SUMPRODUCT(O71:R71,I69:L69)/M69</f>
        <v>-2.9527794615143564E-2</v>
      </c>
      <c r="T71" s="665"/>
      <c r="U71" s="717">
        <f>U65*O63/O69</f>
        <v>1.3171330315754464E-2</v>
      </c>
      <c r="V71" s="696">
        <f t="shared" ref="V71" si="1294">V65*P63/P69</f>
        <v>-1.0600512046590271E-2</v>
      </c>
      <c r="W71" s="696">
        <f t="shared" ref="W71" si="1295">W65*Q63/Q69</f>
        <v>-1.2073523348639693E-2</v>
      </c>
      <c r="X71" s="697">
        <f t="shared" ref="X71" si="1296">X65*R63/R69</f>
        <v>-1.4741203792970895E-2</v>
      </c>
      <c r="Y71" s="732">
        <f>SUMPRODUCT(U71:X71,O69:R69)/S69</f>
        <v>-6.1981388401960436E-3</v>
      </c>
      <c r="Z71" s="665"/>
      <c r="AA71" s="717">
        <f>AA65*U63/U69</f>
        <v>2.3820592180297988E-3</v>
      </c>
      <c r="AB71" s="696">
        <f t="shared" ref="AB71" si="1297">AB65*V63/V69</f>
        <v>2.7863887228793689E-2</v>
      </c>
      <c r="AC71" s="696">
        <f t="shared" ref="AC71" si="1298">AC65*W63/W69</f>
        <v>4.8675290255881347E-2</v>
      </c>
      <c r="AD71" s="697">
        <f t="shared" ref="AD71" si="1299">AD65*X63/X69</f>
        <v>4.7699997256872427E-2</v>
      </c>
      <c r="AE71" s="732">
        <f>SUMPRODUCT(AA71:AD71,U69:X69)/Y69</f>
        <v>3.1641048928830372E-2</v>
      </c>
      <c r="AF71" s="665"/>
      <c r="AG71" s="717">
        <f>AG65*AA63/AA69</f>
        <v>5.9954818280482649E-4</v>
      </c>
      <c r="AH71" s="696">
        <f t="shared" ref="AH71" si="1300">AH65*AB63/AB69</f>
        <v>-7.839553180890772E-3</v>
      </c>
      <c r="AI71" s="696">
        <f t="shared" ref="AI71" si="1301">AI65*AC63/AC69</f>
        <v>-2.9135108973786534E-2</v>
      </c>
      <c r="AJ71" s="697">
        <f t="shared" ref="AJ71" si="1302">AJ65*AD63/AD69</f>
        <v>-4.9575992673443384E-2</v>
      </c>
      <c r="AK71" s="732">
        <f>SUMPRODUCT(AG71:AJ71,AA69:AD69)/AE69</f>
        <v>-2.211242741522939E-2</v>
      </c>
      <c r="AL71" s="665"/>
      <c r="AM71" s="717">
        <f>AM65*AG63/AG69</f>
        <v>-1.2814771655794754E-2</v>
      </c>
      <c r="AN71" s="696">
        <f t="shared" ref="AN71" si="1303">AN65*AH63/AH69</f>
        <v>-3.681927440089714E-3</v>
      </c>
      <c r="AO71" s="696">
        <f t="shared" ref="AO71" si="1304">AO65*AI63/AI69</f>
        <v>-1.6095552328838143E-2</v>
      </c>
      <c r="AP71" s="697">
        <f t="shared" ref="AP71" si="1305">AP65*AJ63/AJ69</f>
        <v>-1.1035714635801332E-2</v>
      </c>
      <c r="AQ71" s="732">
        <f>SUMPRODUCT(AM71:AP71,AG69:AJ69)/AK69</f>
        <v>-1.0897255154532312E-2</v>
      </c>
      <c r="AR71" s="665"/>
      <c r="AS71" s="717">
        <f>AS65*AM63/AM69</f>
        <v>-8.7172484427133368E-3</v>
      </c>
      <c r="AT71" s="696">
        <f t="shared" ref="AT71" si="1306">AT65*AN63/AN69</f>
        <v>-1.8807530395266361E-2</v>
      </c>
      <c r="AU71" s="696">
        <f t="shared" ref="AU71" si="1307">AU65*AO63/AO69</f>
        <v>2.7038126832177479E-3</v>
      </c>
      <c r="AV71" s="697">
        <f t="shared" ref="AV71" si="1308">AV65*AP63/AP69</f>
        <v>3.5306122448979595E-4</v>
      </c>
      <c r="AW71" s="732">
        <f>SUMPRODUCT(AS71:AV71,AM69:AP69)/AQ69</f>
        <v>-6.0916022222999092E-3</v>
      </c>
      <c r="AX71" s="665"/>
      <c r="AY71" s="717">
        <f>AY65*AS63/AS69</f>
        <v>-3.5944292621400045E-2</v>
      </c>
      <c r="AZ71" s="696">
        <f t="shared" ref="AZ71" si="1309">AZ65*AT63/AT69</f>
        <v>-5.5023036649214659E-2</v>
      </c>
      <c r="BA71" s="696">
        <f t="shared" ref="BA71" si="1310">BA65*AU63/AU69</f>
        <v>-7.9472968733660984E-2</v>
      </c>
      <c r="BB71" s="697">
        <f t="shared" ref="BB71" si="1311">BB65*AV63/AV69</f>
        <v>-8.0302174107010071E-2</v>
      </c>
      <c r="BC71" s="732">
        <f>SUMPRODUCT(AY71:BB71,AS69:AV69)/AW69</f>
        <v>-6.2960435399171871E-2</v>
      </c>
      <c r="BD71" s="665"/>
      <c r="BE71" s="717">
        <f>BE65*AY63/AY69</f>
        <v>-6.4420622766717714E-2</v>
      </c>
      <c r="BF71" s="696">
        <f t="shared" ref="BF71" si="1312">BF65*AZ63/AZ69</f>
        <v>-4.3706016191332867E-2</v>
      </c>
      <c r="BG71" s="696">
        <f t="shared" ref="BG71" si="1313">BG65*BA63/BA69</f>
        <v>-1.3685239491691106E-2</v>
      </c>
      <c r="BH71" s="697">
        <f t="shared" ref="BH71" si="1314">BH65*BB63/BB69</f>
        <v>-6.762295081967214E-3</v>
      </c>
      <c r="BI71" s="732">
        <f>SUMPRODUCT(BE71:BH71,AY69:BB69)/BC69</f>
        <v>-3.2346283186998677E-2</v>
      </c>
      <c r="BJ71" s="665"/>
      <c r="BK71" s="717">
        <f>BK65*BE63/BE69</f>
        <v>-4.2145922746780915E-3</v>
      </c>
      <c r="BL71" s="696">
        <f t="shared" ref="BL71:BN71" si="1315">BL65*BF63/BF69</f>
        <v>-7.9594017094017193E-3</v>
      </c>
      <c r="BM71" s="696">
        <f t="shared" si="1315"/>
        <v>-1.1906542056074783E-2</v>
      </c>
      <c r="BN71" s="697">
        <f t="shared" si="1315"/>
        <v>-1.8054162487463895E-4</v>
      </c>
      <c r="BO71" s="732">
        <f>SUMPRODUCT(BK71:BN71,BE69:BH69)/BI69</f>
        <v>-6.0146290491118123E-3</v>
      </c>
      <c r="BP71" s="665"/>
      <c r="BQ71" s="717">
        <f>BQ65*BK63/BK69</f>
        <v>1.7956158663883073E-2</v>
      </c>
      <c r="BR71" s="696">
        <f t="shared" ref="BR71" si="1316">BR65*BL63/BL69</f>
        <v>6.0930075545337366E-2</v>
      </c>
      <c r="BS71" s="696">
        <f t="shared" ref="BS71" si="1317">BS65*BM63/BM69</f>
        <v>5.0141778040626007E-2</v>
      </c>
      <c r="BT71" s="697">
        <f t="shared" ref="BT71" si="1318">BT65*BN63/BN69</f>
        <v>2.0825696977616579E-2</v>
      </c>
      <c r="BU71" s="732">
        <f>SUMPRODUCT(BQ71:BT71,BK69:BN69)/BO69</f>
        <v>3.7349765982227168E-2</v>
      </c>
      <c r="BV71" s="665"/>
      <c r="BW71" s="717">
        <f>BW65*BQ63/BQ69</f>
        <v>3.5817123611175471E-2</v>
      </c>
      <c r="BX71" s="696">
        <f t="shared" ref="BX71" si="1319">BX65*BR63/BR69</f>
        <v>3.2321011813416225E-3</v>
      </c>
      <c r="BY71" s="696">
        <f t="shared" ref="BY71" si="1320">BY65*BS63/BS69</f>
        <v>0</v>
      </c>
      <c r="BZ71" s="697">
        <f t="shared" ref="BZ71" si="1321">BZ65*BT63/BT69</f>
        <v>0</v>
      </c>
      <c r="CA71" s="732">
        <f>SUMPRODUCT(BW71:BZ71,BQ69:BT69)/BU69</f>
        <v>9.4088231735359219E-3</v>
      </c>
      <c r="CB71" s="665"/>
      <c r="CC71" s="717">
        <f>CC65*BW63/BW69</f>
        <v>0</v>
      </c>
      <c r="CD71" s="696">
        <f t="shared" ref="CD71" si="1322">CD65*BX63/BX69</f>
        <v>0</v>
      </c>
      <c r="CE71" s="696">
        <f t="shared" ref="CE71" si="1323">CE65*BY63/BY69</f>
        <v>0</v>
      </c>
      <c r="CF71" s="697">
        <f t="shared" ref="CF71" si="1324">CF65*BZ63/BZ69</f>
        <v>0</v>
      </c>
      <c r="CG71" s="732">
        <f>SUMPRODUCT(CC71:CF71,BW69:BZ69)/CA69</f>
        <v>0</v>
      </c>
      <c r="CH71" s="665"/>
      <c r="CI71" s="717">
        <f>CI65*CC63/CC69</f>
        <v>0</v>
      </c>
      <c r="CJ71" s="696">
        <f t="shared" ref="CJ71" si="1325">CJ65*CD63/CD69</f>
        <v>0</v>
      </c>
      <c r="CK71" s="696">
        <f t="shared" ref="CK71" si="1326">CK65*CE63/CE69</f>
        <v>0</v>
      </c>
      <c r="CL71" s="697">
        <f t="shared" ref="CL71" si="1327">CL65*CF63/CF69</f>
        <v>0</v>
      </c>
      <c r="CM71" s="732">
        <f>SUMPRODUCT(CI71:CL71,CC69:CF69)/CG69</f>
        <v>0</v>
      </c>
    </row>
    <row r="72" spans="1:91" s="25" customFormat="1" ht="11.25" x14ac:dyDescent="0.2">
      <c r="A72" s="695" t="s">
        <v>10</v>
      </c>
      <c r="B72" s="665"/>
      <c r="C72" s="717"/>
      <c r="D72" s="696"/>
      <c r="E72" s="696"/>
      <c r="F72" s="697"/>
      <c r="G72" s="732"/>
      <c r="H72" s="665"/>
      <c r="I72" s="717">
        <f>I70-I71</f>
        <v>0.15076534001972569</v>
      </c>
      <c r="J72" s="696">
        <f t="shared" ref="J72:M72" si="1328">J70-J71</f>
        <v>8.5558813079887427E-2</v>
      </c>
      <c r="K72" s="696">
        <f t="shared" si="1328"/>
        <v>8.044248532131032E-2</v>
      </c>
      <c r="L72" s="697">
        <f t="shared" si="1328"/>
        <v>9.6098226176266385E-2</v>
      </c>
      <c r="M72" s="732">
        <f t="shared" si="1328"/>
        <v>0.10204535957576025</v>
      </c>
      <c r="N72" s="665"/>
      <c r="O72" s="717">
        <f>O70-O71</f>
        <v>7.7033227361155365E-2</v>
      </c>
      <c r="P72" s="696">
        <f t="shared" ref="P72:S72" si="1329">P70-P71</f>
        <v>4.8601586313613596E-2</v>
      </c>
      <c r="Q72" s="696">
        <f t="shared" si="1329"/>
        <v>5.143708172039145E-2</v>
      </c>
      <c r="R72" s="697">
        <f t="shared" si="1329"/>
        <v>3.5148403060490732E-2</v>
      </c>
      <c r="S72" s="732">
        <f t="shared" si="1329"/>
        <v>5.253615026910554E-2</v>
      </c>
      <c r="T72" s="665"/>
      <c r="U72" s="717">
        <f>U70-U71</f>
        <v>6.1008362868189552E-2</v>
      </c>
      <c r="V72" s="696">
        <f t="shared" ref="V72:Y72" si="1330">V70-V71</f>
        <v>4.6303628834996592E-2</v>
      </c>
      <c r="W72" s="696">
        <f t="shared" si="1330"/>
        <v>5.1439726701608388E-2</v>
      </c>
      <c r="X72" s="697">
        <f t="shared" si="1330"/>
        <v>4.4481711233624266E-2</v>
      </c>
      <c r="Y72" s="732">
        <f t="shared" si="1330"/>
        <v>5.0718341118510257E-2</v>
      </c>
      <c r="Z72" s="665"/>
      <c r="AA72" s="717">
        <f>AA70-AA71</f>
        <v>3.3899234285064701E-2</v>
      </c>
      <c r="AB72" s="696">
        <f t="shared" ref="AB72:AE72" si="1331">AB70-AB71</f>
        <v>7.3790319327141252E-2</v>
      </c>
      <c r="AC72" s="696">
        <f t="shared" si="1331"/>
        <v>7.5721327082367562E-2</v>
      </c>
      <c r="AD72" s="697">
        <f t="shared" si="1331"/>
        <v>6.5759337069552531E-2</v>
      </c>
      <c r="AE72" s="732">
        <f t="shared" si="1331"/>
        <v>6.2121559564993968E-2</v>
      </c>
      <c r="AF72" s="665"/>
      <c r="AG72" s="717">
        <f>AG70-AG71</f>
        <v>2.8014023583149091E-2</v>
      </c>
      <c r="AH72" s="696">
        <f t="shared" ref="AH72:AK72" si="1332">AH70-AH71</f>
        <v>4.0243264390718875E-2</v>
      </c>
      <c r="AI72" s="696">
        <f t="shared" si="1332"/>
        <v>3.2884614239741164E-2</v>
      </c>
      <c r="AJ72" s="697">
        <f t="shared" si="1332"/>
        <v>3.3025901091485635E-2</v>
      </c>
      <c r="AK72" s="732">
        <f t="shared" si="1332"/>
        <v>3.3563747624682443E-2</v>
      </c>
      <c r="AL72" s="665"/>
      <c r="AM72" s="717">
        <f>AM70-AM71</f>
        <v>5.3090584269331498E-2</v>
      </c>
      <c r="AN72" s="696">
        <f t="shared" ref="AN72:AQ72" si="1333">AN70-AN71</f>
        <v>3.7313646348099694E-2</v>
      </c>
      <c r="AO72" s="696">
        <f t="shared" si="1333"/>
        <v>1.7975932886230291E-2</v>
      </c>
      <c r="AP72" s="697">
        <f t="shared" si="1333"/>
        <v>7.841222298584416E-2</v>
      </c>
      <c r="AQ72" s="732">
        <f t="shared" si="1333"/>
        <v>4.672094375139911E-2</v>
      </c>
      <c r="AR72" s="665"/>
      <c r="AS72" s="717">
        <f>AS70-AS71</f>
        <v>4.64357075933199E-2</v>
      </c>
      <c r="AT72" s="696">
        <f t="shared" ref="AT72:AW72" si="1334">AT70-AT71</f>
        <v>3.66013370933089E-2</v>
      </c>
      <c r="AU72" s="696">
        <f t="shared" si="1334"/>
        <v>4.5679924487428844E-2</v>
      </c>
      <c r="AV72" s="697">
        <f t="shared" si="1334"/>
        <v>2.8922448979591793E-2</v>
      </c>
      <c r="AW72" s="732">
        <f t="shared" si="1334"/>
        <v>3.9209143997166941E-2</v>
      </c>
      <c r="AX72" s="665"/>
      <c r="AY72" s="717">
        <f>AY70-AY71</f>
        <v>6.5479714105528622E-2</v>
      </c>
      <c r="AZ72" s="696">
        <f t="shared" ref="AZ72:BC72" si="1335">AZ70-AZ71</f>
        <v>4.4499476439790638E-2</v>
      </c>
      <c r="BA72" s="696">
        <f t="shared" si="1335"/>
        <v>4.2246157063682996E-2</v>
      </c>
      <c r="BB72" s="697">
        <f t="shared" si="1335"/>
        <v>4.7893802853205603E-2</v>
      </c>
      <c r="BC72" s="732">
        <f t="shared" si="1335"/>
        <v>4.9983184334308955E-2</v>
      </c>
      <c r="BD72" s="665"/>
      <c r="BE72" s="717">
        <f>BE70-BE71</f>
        <v>1.5926493108728998E-2</v>
      </c>
      <c r="BF72" s="696">
        <f t="shared" ref="BF72:BI72" si="1336">BF70-BF71</f>
        <v>3.4234615588126252E-2</v>
      </c>
      <c r="BG72" s="696">
        <f t="shared" si="1336"/>
        <v>5.9628543499511202E-2</v>
      </c>
      <c r="BH72" s="697">
        <f t="shared" si="1336"/>
        <v>2.8278688524590229E-2</v>
      </c>
      <c r="BI72" s="732">
        <f t="shared" si="1336"/>
        <v>3.4138937230938367E-2</v>
      </c>
      <c r="BJ72" s="665"/>
      <c r="BK72" s="717">
        <f>BK70-BK71</f>
        <v>3.2111587982832604E-2</v>
      </c>
      <c r="BL72" s="696">
        <f t="shared" ref="BL72:BO72" si="1337">BL70-BL71</f>
        <v>5.817307692307698E-2</v>
      </c>
      <c r="BM72" s="696">
        <f t="shared" si="1337"/>
        <v>4.8251298026999019E-2</v>
      </c>
      <c r="BN72" s="697">
        <f t="shared" si="1337"/>
        <v>5.4343029087261803E-2</v>
      </c>
      <c r="BO72" s="732">
        <f t="shared" si="1337"/>
        <v>4.8334378265412807E-2</v>
      </c>
      <c r="BP72" s="665"/>
      <c r="BQ72" s="717">
        <f>BQ70-BQ71</f>
        <v>7.2858037578288057E-2</v>
      </c>
      <c r="BR72" s="696">
        <f t="shared" ref="BR72:BU72" si="1338">BR70-BR71</f>
        <v>4.3835198372329402E-2</v>
      </c>
      <c r="BS72" s="696">
        <f t="shared" si="1338"/>
        <v>5.3997995991983759E-2</v>
      </c>
      <c r="BT72" s="697">
        <f t="shared" si="1338"/>
        <v>4.3116079923881917E-2</v>
      </c>
      <c r="BU72" s="732">
        <f t="shared" si="1338"/>
        <v>5.3156140350877013E-2</v>
      </c>
      <c r="BV72" s="665"/>
      <c r="BW72" s="717">
        <f>BW70-BW71</f>
        <v>4.6387559808612346E-2</v>
      </c>
      <c r="BX72" s="696">
        <f t="shared" ref="BX72:CA72" si="1339">BX70-BX71</f>
        <v>4.6483535866044506E-2</v>
      </c>
      <c r="BY72" s="696">
        <f t="shared" si="1339"/>
        <v>4.7022312001663291E-2</v>
      </c>
      <c r="BZ72" s="697">
        <f t="shared" si="1339"/>
        <v>4.6680258290835663E-2</v>
      </c>
      <c r="CA72" s="732">
        <f t="shared" si="1339"/>
        <v>4.6647487955406797E-2</v>
      </c>
      <c r="CB72" s="665"/>
      <c r="CC72" s="717">
        <f>CC70-CC71</f>
        <v>4.679293508761817E-2</v>
      </c>
      <c r="CD72" s="696">
        <f t="shared" ref="CD72:CG72" si="1340">CD70-CD71</f>
        <v>4.6641143687738085E-2</v>
      </c>
      <c r="CE72" s="696">
        <f t="shared" si="1340"/>
        <v>4.7150115134182213E-2</v>
      </c>
      <c r="CF72" s="697">
        <f t="shared" si="1340"/>
        <v>4.6804767323262775E-2</v>
      </c>
      <c r="CG72" s="732">
        <f t="shared" si="1340"/>
        <v>4.684797404786889E-2</v>
      </c>
      <c r="CH72" s="665"/>
      <c r="CI72" s="717">
        <f>CI70-CI71</f>
        <v>4.6920788847694128E-2</v>
      </c>
      <c r="CJ72" s="696">
        <f t="shared" ref="CJ72:CM72" si="1341">CJ70-CJ71</f>
        <v>4.6772497702674887E-2</v>
      </c>
      <c r="CK72" s="696">
        <f t="shared" si="1341"/>
        <v>4.7278049415085954E-2</v>
      </c>
      <c r="CL72" s="697">
        <f t="shared" si="1341"/>
        <v>4.692943329971988E-2</v>
      </c>
      <c r="CM72" s="732">
        <f t="shared" si="1341"/>
        <v>4.697593750605944E-2</v>
      </c>
    </row>
    <row r="73" spans="1:91" s="25" customFormat="1" ht="11.25" x14ac:dyDescent="0.2">
      <c r="A73" s="695" t="s">
        <v>6</v>
      </c>
      <c r="B73" s="665"/>
      <c r="C73" s="717"/>
      <c r="D73" s="696"/>
      <c r="E73" s="696"/>
      <c r="F73" s="697"/>
      <c r="G73" s="732"/>
      <c r="H73" s="665"/>
      <c r="I73" s="717">
        <f>(I61*C59+I67*C63)/C69</f>
        <v>0</v>
      </c>
      <c r="J73" s="696">
        <f t="shared" ref="J73" si="1342">(J61*D59+J67*D63)/D69</f>
        <v>0</v>
      </c>
      <c r="K73" s="696">
        <f t="shared" ref="K73" si="1343">(K61*E59+K67*E63)/E69</f>
        <v>0</v>
      </c>
      <c r="L73" s="697">
        <f t="shared" ref="L73" si="1344">(L61*F59+L67*F63)/F69</f>
        <v>0</v>
      </c>
      <c r="M73" s="732">
        <f>SUMPRODUCT(I73:L73,C69:F69)/G69</f>
        <v>0</v>
      </c>
      <c r="N73" s="665"/>
      <c r="O73" s="717">
        <f>(O61*I59+O67*I63)/I69</f>
        <v>0</v>
      </c>
      <c r="P73" s="696">
        <f t="shared" ref="P73" si="1345">(P61*J59+P67*J63)/J69</f>
        <v>0</v>
      </c>
      <c r="Q73" s="696">
        <f t="shared" ref="Q73" si="1346">(Q61*K59+Q67*K63)/K69</f>
        <v>0</v>
      </c>
      <c r="R73" s="697">
        <f t="shared" ref="R73" si="1347">(R61*L59+R67*L63)/L69</f>
        <v>0</v>
      </c>
      <c r="S73" s="732">
        <f>SUMPRODUCT(O73:R73,I69:L69)/M69</f>
        <v>0</v>
      </c>
      <c r="T73" s="665"/>
      <c r="U73" s="717">
        <f>(U61*O59+U67*O63)/O69</f>
        <v>0</v>
      </c>
      <c r="V73" s="696">
        <f t="shared" ref="V73" si="1348">(V61*P59+V67*P63)/P69</f>
        <v>0</v>
      </c>
      <c r="W73" s="696">
        <f t="shared" ref="W73" si="1349">(W61*Q59+W67*Q63)/Q69</f>
        <v>0</v>
      </c>
      <c r="X73" s="697">
        <f t="shared" ref="X73" si="1350">(X61*R59+X67*R63)/R69</f>
        <v>0</v>
      </c>
      <c r="Y73" s="732">
        <f>SUMPRODUCT(U73:X73,O69:R69)/S69</f>
        <v>0</v>
      </c>
      <c r="Z73" s="665"/>
      <c r="AA73" s="717">
        <f>(AA61*U59+AA67*U63)/U69</f>
        <v>5.8562497505469822E-3</v>
      </c>
      <c r="AB73" s="696">
        <f t="shared" ref="AB73" si="1351">(AB61*V59+AB67*V63)/V69</f>
        <v>1.1273612504964623E-2</v>
      </c>
      <c r="AC73" s="696">
        <f t="shared" ref="AC73" si="1352">(AC61*W59+AC67*W63)/W69</f>
        <v>1.4768774590865027E-2</v>
      </c>
      <c r="AD73" s="697">
        <f t="shared" ref="AD73" si="1353">(AD61*X59+AD67*X63)/X69</f>
        <v>1.3577288811975303E-2</v>
      </c>
      <c r="AE73" s="732">
        <f>SUMPRODUCT(AA73:AD73,U69:X69)/Y69</f>
        <v>1.1356780200830734E-2</v>
      </c>
      <c r="AF73" s="665"/>
      <c r="AG73" s="717">
        <f>(AG61*AA59+AG67*AA63)/AA69</f>
        <v>0</v>
      </c>
      <c r="AH73" s="696">
        <f t="shared" ref="AH73" si="1354">(AH61*AB59+AH67*AB63)/AB69</f>
        <v>0</v>
      </c>
      <c r="AI73" s="696">
        <f t="shared" ref="AI73" si="1355">(AI61*AC59+AI67*AC63)/AC69</f>
        <v>0</v>
      </c>
      <c r="AJ73" s="697">
        <f t="shared" ref="AJ73" si="1356">(AJ61*AD59+AJ67*AD63)/AD69</f>
        <v>0</v>
      </c>
      <c r="AK73" s="732">
        <f>SUMPRODUCT(AG73:AJ73,AA69:AD69)/AE69</f>
        <v>0</v>
      </c>
      <c r="AL73" s="665"/>
      <c r="AM73" s="717">
        <f>(AM61*AG59+AM67*AG63)/AG69</f>
        <v>2.051325110090171E-3</v>
      </c>
      <c r="AN73" s="696">
        <f t="shared" ref="AN73" si="1357">(AN61*AH59+AN67*AH63)/AH69</f>
        <v>2.1330639564473095E-3</v>
      </c>
      <c r="AO73" s="696">
        <f t="shared" ref="AO73" si="1358">(AO61*AI59+AO67*AI63)/AI69</f>
        <v>1.9389227791848905E-3</v>
      </c>
      <c r="AP73" s="697">
        <f t="shared" ref="AP73" si="1359">(AP61*AJ59+AP67*AJ63)/AJ69</f>
        <v>2.0197813185149523E-3</v>
      </c>
      <c r="AQ73" s="732">
        <f>SUMPRODUCT(AM73:AP73,AG69:AJ69)/AK69</f>
        <v>2.0355420171435362E-3</v>
      </c>
      <c r="AR73" s="665"/>
      <c r="AS73" s="717">
        <f>(AS61*AM59+AS67*AM63)/AM69</f>
        <v>1.9709342847388633E-3</v>
      </c>
      <c r="AT73" s="696">
        <f t="shared" ref="AT73" si="1360">(AT61*AN59+AT67*AN63)/AN69</f>
        <v>0</v>
      </c>
      <c r="AU73" s="696">
        <f t="shared" ref="AU73" si="1361">(AU61*AO59+AU67*AO63)/AO69</f>
        <v>0</v>
      </c>
      <c r="AV73" s="697">
        <f t="shared" ref="AV73" si="1362">(AV61*AP59+AV67*AP63)/AP69</f>
        <v>0</v>
      </c>
      <c r="AW73" s="732">
        <f>SUMPRODUCT(AS73:AV73,AM69:AP69)/AQ69</f>
        <v>4.8221260756776437E-4</v>
      </c>
      <c r="AX73" s="665"/>
      <c r="AY73" s="717">
        <f>(AY61*AS59+AY67*AS63)/AS69</f>
        <v>0</v>
      </c>
      <c r="AZ73" s="696">
        <f t="shared" ref="AZ73" si="1363">(AZ61*AT59+AZ67*AT63)/AT69</f>
        <v>0</v>
      </c>
      <c r="BA73" s="696">
        <f t="shared" ref="BA73" si="1364">(BA61*AU59+BA67*AU63)/AU69</f>
        <v>0</v>
      </c>
      <c r="BB73" s="697">
        <f t="shared" ref="BB73" si="1365">(BB61*AV59+BB67*AV63)/AV69</f>
        <v>0</v>
      </c>
      <c r="BC73" s="732">
        <f>SUMPRODUCT(AY73:BB73,AS69:AV69)/AW69</f>
        <v>0</v>
      </c>
      <c r="BD73" s="665"/>
      <c r="BE73" s="717">
        <f>(BE61*AY59+BE67*AY63)/AY69</f>
        <v>0</v>
      </c>
      <c r="BF73" s="696">
        <f t="shared" ref="BF73" si="1366">(BF61*AZ59+BF67*AZ63)/AZ69</f>
        <v>0</v>
      </c>
      <c r="BG73" s="696">
        <f t="shared" ref="BG73" si="1367">(BG61*BA59+BG67*BA63)/BA69</f>
        <v>0</v>
      </c>
      <c r="BH73" s="697">
        <f t="shared" ref="BH73" si="1368">(BH61*BB59+BH67*BB63)/BB69</f>
        <v>0</v>
      </c>
      <c r="BI73" s="732">
        <f>SUMPRODUCT(BE73:BH73,AY69:BB69)/BC69</f>
        <v>0</v>
      </c>
      <c r="BJ73" s="665"/>
      <c r="BK73" s="717">
        <f>(BK61*BE59+BK67*BE63)/BE69</f>
        <v>0</v>
      </c>
      <c r="BL73" s="696">
        <f t="shared" ref="BL73:BN73" si="1369">(BL61*BF59+BL67*BF63)/BF69</f>
        <v>0</v>
      </c>
      <c r="BM73" s="696">
        <f t="shared" si="1369"/>
        <v>0</v>
      </c>
      <c r="BN73" s="697">
        <f t="shared" si="1369"/>
        <v>0</v>
      </c>
      <c r="BO73" s="732">
        <f>SUMPRODUCT(BK73:BN73,BE69:BH69)/BI69</f>
        <v>0</v>
      </c>
      <c r="BP73" s="665"/>
      <c r="BQ73" s="717">
        <f>(BQ61*BK59+BQ67*BK63)/BK69</f>
        <v>0</v>
      </c>
      <c r="BR73" s="696">
        <f t="shared" ref="BR73" si="1370">(BR61*BL59+BR67*BL63)/BL69</f>
        <v>0</v>
      </c>
      <c r="BS73" s="696">
        <f t="shared" ref="BS73" si="1371">(BS61*BM59+BS67*BM63)/BM69</f>
        <v>0</v>
      </c>
      <c r="BT73" s="697">
        <f t="shared" ref="BT73" si="1372">(BT61*BN59+BT67*BN63)/BN69</f>
        <v>0</v>
      </c>
      <c r="BU73" s="732">
        <f>SUMPRODUCT(BQ73:BT73,BK69:BN69)/BO69</f>
        <v>0</v>
      </c>
      <c r="BV73" s="665"/>
      <c r="BW73" s="717">
        <f>(BW61*BQ59+BW67*BQ63)/BQ69</f>
        <v>0</v>
      </c>
      <c r="BX73" s="696">
        <f t="shared" ref="BX73" si="1373">(BX61*BR59+BX67*BR63)/BR69</f>
        <v>0</v>
      </c>
      <c r="BY73" s="696">
        <f t="shared" ref="BY73" si="1374">(BY61*BS59+BY67*BS63)/BS69</f>
        <v>0</v>
      </c>
      <c r="BZ73" s="697">
        <f t="shared" ref="BZ73" si="1375">(BZ61*BT59+BZ67*BT63)/BT69</f>
        <v>0</v>
      </c>
      <c r="CA73" s="732">
        <f>SUMPRODUCT(BW73:BZ73,BQ69:BT69)/BU69</f>
        <v>0</v>
      </c>
      <c r="CB73" s="665"/>
      <c r="CC73" s="717">
        <f>(CC61*BW59+CC67*BW63)/BW69</f>
        <v>0</v>
      </c>
      <c r="CD73" s="696">
        <f t="shared" ref="CD73" si="1376">(CD61*BX59+CD67*BX63)/BX69</f>
        <v>0</v>
      </c>
      <c r="CE73" s="696">
        <f t="shared" ref="CE73" si="1377">(CE61*BY59+CE67*BY63)/BY69</f>
        <v>0</v>
      </c>
      <c r="CF73" s="697">
        <f t="shared" ref="CF73" si="1378">(CF61*BZ59+CF67*BZ63)/BZ69</f>
        <v>0</v>
      </c>
      <c r="CG73" s="732">
        <f>SUMPRODUCT(CC73:CF73,BW69:BZ69)/CA69</f>
        <v>0</v>
      </c>
      <c r="CH73" s="665"/>
      <c r="CI73" s="717">
        <f>(CI61*CC59+CI67*CC63)/CC69</f>
        <v>0</v>
      </c>
      <c r="CJ73" s="696">
        <f t="shared" ref="CJ73" si="1379">(CJ61*CD59+CJ67*CD63)/CD69</f>
        <v>0</v>
      </c>
      <c r="CK73" s="696">
        <f t="shared" ref="CK73" si="1380">(CK61*CE59+CK67*CE63)/CE69</f>
        <v>0</v>
      </c>
      <c r="CL73" s="697">
        <f t="shared" ref="CL73" si="1381">(CL61*CF59+CL67*CF63)/CF69</f>
        <v>0</v>
      </c>
      <c r="CM73" s="732">
        <f>SUMPRODUCT(CI73:CL73,CC69:CF69)/CG69</f>
        <v>0</v>
      </c>
    </row>
    <row r="74" spans="1:91" s="25" customFormat="1" ht="11.25" x14ac:dyDescent="0.2">
      <c r="A74" s="713" t="s">
        <v>7</v>
      </c>
      <c r="B74" s="656"/>
      <c r="C74" s="730"/>
      <c r="D74" s="714"/>
      <c r="E74" s="714"/>
      <c r="F74" s="715"/>
      <c r="G74" s="741"/>
      <c r="H74" s="656"/>
      <c r="I74" s="730">
        <f>I72-I73</f>
        <v>0.15076534001972569</v>
      </c>
      <c r="J74" s="714">
        <f t="shared" ref="J74:M74" si="1382">J72-J73</f>
        <v>8.5558813079887427E-2</v>
      </c>
      <c r="K74" s="714">
        <f t="shared" si="1382"/>
        <v>8.044248532131032E-2</v>
      </c>
      <c r="L74" s="715">
        <f t="shared" si="1382"/>
        <v>9.6098226176266385E-2</v>
      </c>
      <c r="M74" s="741">
        <f t="shared" si="1382"/>
        <v>0.10204535957576025</v>
      </c>
      <c r="N74" s="656"/>
      <c r="O74" s="730">
        <f>O72-O73</f>
        <v>7.7033227361155365E-2</v>
      </c>
      <c r="P74" s="714">
        <f t="shared" ref="P74:S74" si="1383">P72-P73</f>
        <v>4.8601586313613596E-2</v>
      </c>
      <c r="Q74" s="714">
        <f t="shared" si="1383"/>
        <v>5.143708172039145E-2</v>
      </c>
      <c r="R74" s="715">
        <f t="shared" si="1383"/>
        <v>3.5148403060490732E-2</v>
      </c>
      <c r="S74" s="741">
        <f t="shared" si="1383"/>
        <v>5.253615026910554E-2</v>
      </c>
      <c r="T74" s="656"/>
      <c r="U74" s="730">
        <f>U72-U73</f>
        <v>6.1008362868189552E-2</v>
      </c>
      <c r="V74" s="714">
        <f t="shared" ref="V74:Y74" si="1384">V72-V73</f>
        <v>4.6303628834996592E-2</v>
      </c>
      <c r="W74" s="714">
        <f t="shared" si="1384"/>
        <v>5.1439726701608388E-2</v>
      </c>
      <c r="X74" s="715">
        <f t="shared" si="1384"/>
        <v>4.4481711233624266E-2</v>
      </c>
      <c r="Y74" s="741">
        <f t="shared" si="1384"/>
        <v>5.0718341118510257E-2</v>
      </c>
      <c r="Z74" s="656"/>
      <c r="AA74" s="730">
        <f>AA72-AA73</f>
        <v>2.8042984534517718E-2</v>
      </c>
      <c r="AB74" s="714">
        <f t="shared" ref="AB74:AE74" si="1385">AB72-AB73</f>
        <v>6.2516706822176624E-2</v>
      </c>
      <c r="AC74" s="714">
        <f t="shared" si="1385"/>
        <v>6.0952552491502533E-2</v>
      </c>
      <c r="AD74" s="715">
        <f t="shared" si="1385"/>
        <v>5.2182048257577232E-2</v>
      </c>
      <c r="AE74" s="741">
        <f t="shared" si="1385"/>
        <v>5.0764779364163237E-2</v>
      </c>
      <c r="AF74" s="656"/>
      <c r="AG74" s="730">
        <f>AG72-AG73</f>
        <v>2.8014023583149091E-2</v>
      </c>
      <c r="AH74" s="714">
        <f t="shared" ref="AH74:AK74" si="1386">AH72-AH73</f>
        <v>4.0243264390718875E-2</v>
      </c>
      <c r="AI74" s="714">
        <f t="shared" si="1386"/>
        <v>3.2884614239741164E-2</v>
      </c>
      <c r="AJ74" s="715">
        <f t="shared" si="1386"/>
        <v>3.3025901091485635E-2</v>
      </c>
      <c r="AK74" s="741">
        <f t="shared" si="1386"/>
        <v>3.3563747624682443E-2</v>
      </c>
      <c r="AL74" s="656"/>
      <c r="AM74" s="730">
        <f>AM72-AM73</f>
        <v>5.1039259159241325E-2</v>
      </c>
      <c r="AN74" s="714">
        <f t="shared" ref="AN74:AQ74" si="1387">AN72-AN73</f>
        <v>3.5180582391652386E-2</v>
      </c>
      <c r="AO74" s="714">
        <f t="shared" si="1387"/>
        <v>1.6037010107045401E-2</v>
      </c>
      <c r="AP74" s="715">
        <f t="shared" si="1387"/>
        <v>7.6392441667329211E-2</v>
      </c>
      <c r="AQ74" s="741">
        <f t="shared" si="1387"/>
        <v>4.4685401734255573E-2</v>
      </c>
      <c r="AR74" s="656"/>
      <c r="AS74" s="730">
        <f>AS72-AS73</f>
        <v>4.4464773308581035E-2</v>
      </c>
      <c r="AT74" s="714">
        <f t="shared" ref="AT74:AW74" si="1388">AT72-AT73</f>
        <v>3.66013370933089E-2</v>
      </c>
      <c r="AU74" s="714">
        <f t="shared" si="1388"/>
        <v>4.5679924487428844E-2</v>
      </c>
      <c r="AV74" s="715">
        <f t="shared" si="1388"/>
        <v>2.8922448979591793E-2</v>
      </c>
      <c r="AW74" s="741">
        <f t="shared" si="1388"/>
        <v>3.8726931389599178E-2</v>
      </c>
      <c r="AX74" s="656"/>
      <c r="AY74" s="730">
        <f>AY72-AY73</f>
        <v>6.5479714105528622E-2</v>
      </c>
      <c r="AZ74" s="714">
        <f t="shared" ref="AZ74:BC74" si="1389">AZ72-AZ73</f>
        <v>4.4499476439790638E-2</v>
      </c>
      <c r="BA74" s="714">
        <f t="shared" si="1389"/>
        <v>4.2246157063682996E-2</v>
      </c>
      <c r="BB74" s="715">
        <f t="shared" si="1389"/>
        <v>4.7893802853205603E-2</v>
      </c>
      <c r="BC74" s="741">
        <f t="shared" si="1389"/>
        <v>4.9983184334308955E-2</v>
      </c>
      <c r="BD74" s="656"/>
      <c r="BE74" s="730">
        <f>BE72-BE73</f>
        <v>1.5926493108728998E-2</v>
      </c>
      <c r="BF74" s="714">
        <f t="shared" ref="BF74:BI74" si="1390">BF72-BF73</f>
        <v>3.4234615588126252E-2</v>
      </c>
      <c r="BG74" s="714">
        <f t="shared" si="1390"/>
        <v>5.9628543499511202E-2</v>
      </c>
      <c r="BH74" s="715">
        <f t="shared" si="1390"/>
        <v>2.8278688524590229E-2</v>
      </c>
      <c r="BI74" s="741">
        <f t="shared" si="1390"/>
        <v>3.4138937230938367E-2</v>
      </c>
      <c r="BJ74" s="656"/>
      <c r="BK74" s="730">
        <f>BK72-BK73</f>
        <v>3.2111587982832604E-2</v>
      </c>
      <c r="BL74" s="714">
        <f t="shared" ref="BL74:BO74" si="1391">BL72-BL73</f>
        <v>5.817307692307698E-2</v>
      </c>
      <c r="BM74" s="714">
        <f t="shared" si="1391"/>
        <v>4.8251298026999019E-2</v>
      </c>
      <c r="BN74" s="715">
        <f t="shared" si="1391"/>
        <v>5.4343029087261803E-2</v>
      </c>
      <c r="BO74" s="741">
        <f t="shared" si="1391"/>
        <v>4.8334378265412807E-2</v>
      </c>
      <c r="BP74" s="656"/>
      <c r="BQ74" s="730">
        <f>BQ72-BQ73</f>
        <v>7.2858037578288057E-2</v>
      </c>
      <c r="BR74" s="714">
        <f t="shared" ref="BR74:BU74" si="1392">BR72-BR73</f>
        <v>4.3835198372329402E-2</v>
      </c>
      <c r="BS74" s="714">
        <f t="shared" si="1392"/>
        <v>5.3997995991983759E-2</v>
      </c>
      <c r="BT74" s="715">
        <f t="shared" si="1392"/>
        <v>4.3116079923881917E-2</v>
      </c>
      <c r="BU74" s="741">
        <f t="shared" si="1392"/>
        <v>5.3156140350877013E-2</v>
      </c>
      <c r="BV74" s="656"/>
      <c r="BW74" s="730">
        <f>BW72-BW73</f>
        <v>4.6387559808612346E-2</v>
      </c>
      <c r="BX74" s="714">
        <f t="shared" ref="BX74:CA74" si="1393">BX72-BX73</f>
        <v>4.6483535866044506E-2</v>
      </c>
      <c r="BY74" s="714">
        <f t="shared" si="1393"/>
        <v>4.7022312001663291E-2</v>
      </c>
      <c r="BZ74" s="715">
        <f t="shared" si="1393"/>
        <v>4.6680258290835663E-2</v>
      </c>
      <c r="CA74" s="741">
        <f t="shared" si="1393"/>
        <v>4.6647487955406797E-2</v>
      </c>
      <c r="CB74" s="656"/>
      <c r="CC74" s="730">
        <f>CC72-CC73</f>
        <v>4.679293508761817E-2</v>
      </c>
      <c r="CD74" s="714">
        <f t="shared" ref="CD74:CG74" si="1394">CD72-CD73</f>
        <v>4.6641143687738085E-2</v>
      </c>
      <c r="CE74" s="714">
        <f t="shared" si="1394"/>
        <v>4.7150115134182213E-2</v>
      </c>
      <c r="CF74" s="715">
        <f t="shared" si="1394"/>
        <v>4.6804767323262775E-2</v>
      </c>
      <c r="CG74" s="741">
        <f t="shared" si="1394"/>
        <v>4.684797404786889E-2</v>
      </c>
      <c r="CH74" s="656"/>
      <c r="CI74" s="730">
        <f>CI72-CI73</f>
        <v>4.6920788847694128E-2</v>
      </c>
      <c r="CJ74" s="714">
        <f t="shared" ref="CJ74:CM74" si="1395">CJ72-CJ73</f>
        <v>4.6772497702674887E-2</v>
      </c>
      <c r="CK74" s="714">
        <f t="shared" si="1395"/>
        <v>4.7278049415085954E-2</v>
      </c>
      <c r="CL74" s="715">
        <f t="shared" si="1395"/>
        <v>4.692943329971988E-2</v>
      </c>
      <c r="CM74" s="741">
        <f t="shared" si="1395"/>
        <v>4.697593750605944E-2</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CM77"/>
  <sheetViews>
    <sheetView showGridLines="0" workbookViewId="0">
      <pane xSplit="2" ySplit="6" topLeftCell="C7" activePane="bottomRight" state="frozen"/>
      <selection pane="topRight" activeCell="C1" sqref="C1"/>
      <selection pane="bottomLeft" activeCell="A7" sqref="A7"/>
      <selection pane="bottomRight"/>
    </sheetView>
  </sheetViews>
  <sheetFormatPr defaultRowHeight="12.75" outlineLevelRow="1" outlineLevelCol="1" x14ac:dyDescent="0.2"/>
  <cols>
    <col min="1" max="1" width="25.7109375" customWidth="1"/>
    <col min="2" max="2" width="0.85546875" customWidth="1"/>
    <col min="3" max="7" width="8.28515625" hidden="1" customWidth="1" outlineLevel="1"/>
    <col min="8" max="8" width="0.85546875" hidden="1" customWidth="1" outlineLevel="1"/>
    <col min="9" max="13" width="8.28515625" hidden="1" customWidth="1" outlineLevel="1"/>
    <col min="14" max="14" width="0.85546875" hidden="1" customWidth="1" outlineLevel="1"/>
    <col min="15" max="19" width="8.28515625" hidden="1" customWidth="1" outlineLevel="1"/>
    <col min="20" max="20" width="0.85546875" hidden="1" customWidth="1" outlineLevel="1"/>
    <col min="21" max="25" width="8.28515625" hidden="1" customWidth="1" outlineLevel="1"/>
    <col min="26" max="26" width="0.85546875" hidden="1" customWidth="1" outlineLevel="1"/>
    <col min="27" max="31" width="8.28515625" hidden="1" customWidth="1" outlineLevel="1"/>
    <col min="32" max="32" width="0.85546875" hidden="1" customWidth="1" outlineLevel="1"/>
    <col min="33" max="37" width="8.28515625" hidden="1" customWidth="1" outlineLevel="1"/>
    <col min="38" max="38" width="0.85546875" hidden="1" customWidth="1" outlineLevel="1"/>
    <col min="39" max="43" width="8.28515625" hidden="1" customWidth="1" outlineLevel="1"/>
    <col min="44" max="44" width="0.85546875" hidden="1" customWidth="1" outlineLevel="1"/>
    <col min="45" max="49" width="8.28515625" hidden="1" customWidth="1" outlineLevel="1"/>
    <col min="50" max="50" width="0.85546875" hidden="1" customWidth="1" outlineLevel="1"/>
    <col min="51" max="54" width="8.28515625" hidden="1" customWidth="1" outlineLevel="1"/>
    <col min="55" max="55" width="8.28515625" customWidth="1" collapsed="1"/>
    <col min="56" max="56" width="0.85546875" customWidth="1"/>
    <col min="57" max="60" width="8.28515625" hidden="1" customWidth="1" outlineLevel="1"/>
    <col min="61" max="61" width="8.28515625" customWidth="1" collapsed="1"/>
    <col min="62" max="62" width="0.85546875" customWidth="1"/>
    <col min="63" max="66" width="8.28515625" hidden="1" customWidth="1" outlineLevel="1"/>
    <col min="67" max="67" width="8.28515625" customWidth="1" collapsed="1"/>
    <col min="68" max="68" width="0.85546875" customWidth="1"/>
    <col min="69" max="72" width="8.28515625" hidden="1" customWidth="1" outlineLevel="1"/>
    <col min="73" max="73" width="8.28515625" customWidth="1" collapsed="1"/>
    <col min="74" max="74" width="0.85546875" customWidth="1"/>
    <col min="75" max="78" width="8.28515625" hidden="1" customWidth="1" outlineLevel="1"/>
    <col min="79" max="79" width="8.28515625" customWidth="1" collapsed="1"/>
    <col min="80" max="80" width="0.85546875" customWidth="1"/>
    <col min="81" max="84" width="8.28515625" hidden="1" customWidth="1" outlineLevel="1"/>
    <col min="85" max="85" width="8.28515625" customWidth="1" collapsed="1"/>
    <col min="86" max="86" width="0.85546875" customWidth="1"/>
    <col min="87" max="90" width="8.28515625" hidden="1" customWidth="1" outlineLevel="1"/>
    <col min="91" max="91" width="8.28515625" customWidth="1" collapsed="1"/>
    <col min="257" max="257" width="25.7109375" customWidth="1"/>
    <col min="258" max="258" width="0.85546875" customWidth="1"/>
    <col min="259" max="263" width="8.28515625" customWidth="1"/>
    <col min="264" max="264" width="0.85546875" customWidth="1"/>
    <col min="265" max="269" width="8.28515625" customWidth="1"/>
    <col min="270" max="270" width="0.85546875" customWidth="1"/>
    <col min="271" max="275" width="8.28515625" customWidth="1"/>
    <col min="276" max="276" width="0.85546875" customWidth="1"/>
    <col min="277" max="281" width="8.28515625" customWidth="1"/>
    <col min="282" max="282" width="0.85546875" customWidth="1"/>
    <col min="283" max="287" width="8.28515625" customWidth="1"/>
    <col min="288" max="288" width="0.85546875" customWidth="1"/>
    <col min="289" max="293" width="8.28515625" customWidth="1"/>
    <col min="294" max="294" width="0.85546875" customWidth="1"/>
    <col min="295" max="299" width="8.28515625" customWidth="1"/>
    <col min="300" max="300" width="0.85546875" customWidth="1"/>
    <col min="301" max="305" width="8.28515625" customWidth="1"/>
    <col min="306" max="306" width="0.85546875" customWidth="1"/>
    <col min="307" max="311" width="8.28515625" customWidth="1"/>
    <col min="312" max="312" width="0.85546875" customWidth="1"/>
    <col min="313" max="317" width="8.28515625" customWidth="1"/>
    <col min="318" max="318" width="0.85546875" customWidth="1"/>
    <col min="319" max="323" width="8.28515625" customWidth="1"/>
    <col min="324" max="324" width="0.85546875" customWidth="1"/>
    <col min="325" max="329" width="8.28515625" customWidth="1"/>
    <col min="330" max="330" width="0.85546875" customWidth="1"/>
    <col min="331" max="335" width="8.28515625" customWidth="1"/>
    <col min="336" max="336" width="0.85546875" customWidth="1"/>
    <col min="337" max="341" width="8.28515625" customWidth="1"/>
    <col min="342" max="342" width="0.85546875" customWidth="1"/>
    <col min="343" max="347" width="8.28515625" customWidth="1"/>
    <col min="513" max="513" width="25.7109375" customWidth="1"/>
    <col min="514" max="514" width="0.85546875" customWidth="1"/>
    <col min="515" max="519" width="8.28515625" customWidth="1"/>
    <col min="520" max="520" width="0.85546875" customWidth="1"/>
    <col min="521" max="525" width="8.28515625" customWidth="1"/>
    <col min="526" max="526" width="0.85546875" customWidth="1"/>
    <col min="527" max="531" width="8.28515625" customWidth="1"/>
    <col min="532" max="532" width="0.85546875" customWidth="1"/>
    <col min="533" max="537" width="8.28515625" customWidth="1"/>
    <col min="538" max="538" width="0.85546875" customWidth="1"/>
    <col min="539" max="543" width="8.28515625" customWidth="1"/>
    <col min="544" max="544" width="0.85546875" customWidth="1"/>
    <col min="545" max="549" width="8.28515625" customWidth="1"/>
    <col min="550" max="550" width="0.85546875" customWidth="1"/>
    <col min="551" max="555" width="8.28515625" customWidth="1"/>
    <col min="556" max="556" width="0.85546875" customWidth="1"/>
    <col min="557" max="561" width="8.28515625" customWidth="1"/>
    <col min="562" max="562" width="0.85546875" customWidth="1"/>
    <col min="563" max="567" width="8.28515625" customWidth="1"/>
    <col min="568" max="568" width="0.85546875" customWidth="1"/>
    <col min="569" max="573" width="8.28515625" customWidth="1"/>
    <col min="574" max="574" width="0.85546875" customWidth="1"/>
    <col min="575" max="579" width="8.28515625" customWidth="1"/>
    <col min="580" max="580" width="0.85546875" customWidth="1"/>
    <col min="581" max="585" width="8.28515625" customWidth="1"/>
    <col min="586" max="586" width="0.85546875" customWidth="1"/>
    <col min="587" max="591" width="8.28515625" customWidth="1"/>
    <col min="592" max="592" width="0.85546875" customWidth="1"/>
    <col min="593" max="597" width="8.28515625" customWidth="1"/>
    <col min="598" max="598" width="0.85546875" customWidth="1"/>
    <col min="599" max="603" width="8.28515625" customWidth="1"/>
    <col min="769" max="769" width="25.7109375" customWidth="1"/>
    <col min="770" max="770" width="0.85546875" customWidth="1"/>
    <col min="771" max="775" width="8.28515625" customWidth="1"/>
    <col min="776" max="776" width="0.85546875" customWidth="1"/>
    <col min="777" max="781" width="8.28515625" customWidth="1"/>
    <col min="782" max="782" width="0.85546875" customWidth="1"/>
    <col min="783" max="787" width="8.28515625" customWidth="1"/>
    <col min="788" max="788" width="0.85546875" customWidth="1"/>
    <col min="789" max="793" width="8.28515625" customWidth="1"/>
    <col min="794" max="794" width="0.85546875" customWidth="1"/>
    <col min="795" max="799" width="8.28515625" customWidth="1"/>
    <col min="800" max="800" width="0.85546875" customWidth="1"/>
    <col min="801" max="805" width="8.28515625" customWidth="1"/>
    <col min="806" max="806" width="0.85546875" customWidth="1"/>
    <col min="807" max="811" width="8.28515625" customWidth="1"/>
    <col min="812" max="812" width="0.85546875" customWidth="1"/>
    <col min="813" max="817" width="8.28515625" customWidth="1"/>
    <col min="818" max="818" width="0.85546875" customWidth="1"/>
    <col min="819" max="823" width="8.28515625" customWidth="1"/>
    <col min="824" max="824" width="0.85546875" customWidth="1"/>
    <col min="825" max="829" width="8.28515625" customWidth="1"/>
    <col min="830" max="830" width="0.85546875" customWidth="1"/>
    <col min="831" max="835" width="8.28515625" customWidth="1"/>
    <col min="836" max="836" width="0.85546875" customWidth="1"/>
    <col min="837" max="841" width="8.28515625" customWidth="1"/>
    <col min="842" max="842" width="0.85546875" customWidth="1"/>
    <col min="843" max="847" width="8.28515625" customWidth="1"/>
    <col min="848" max="848" width="0.85546875" customWidth="1"/>
    <col min="849" max="853" width="8.28515625" customWidth="1"/>
    <col min="854" max="854" width="0.85546875" customWidth="1"/>
    <col min="855" max="859" width="8.28515625" customWidth="1"/>
    <col min="1025" max="1025" width="25.7109375" customWidth="1"/>
    <col min="1026" max="1026" width="0.85546875" customWidth="1"/>
    <col min="1027" max="1031" width="8.28515625" customWidth="1"/>
    <col min="1032" max="1032" width="0.85546875" customWidth="1"/>
    <col min="1033" max="1037" width="8.28515625" customWidth="1"/>
    <col min="1038" max="1038" width="0.85546875" customWidth="1"/>
    <col min="1039" max="1043" width="8.28515625" customWidth="1"/>
    <col min="1044" max="1044" width="0.85546875" customWidth="1"/>
    <col min="1045" max="1049" width="8.28515625" customWidth="1"/>
    <col min="1050" max="1050" width="0.85546875" customWidth="1"/>
    <col min="1051" max="1055" width="8.28515625" customWidth="1"/>
    <col min="1056" max="1056" width="0.85546875" customWidth="1"/>
    <col min="1057" max="1061" width="8.28515625" customWidth="1"/>
    <col min="1062" max="1062" width="0.85546875" customWidth="1"/>
    <col min="1063" max="1067" width="8.28515625" customWidth="1"/>
    <col min="1068" max="1068" width="0.85546875" customWidth="1"/>
    <col min="1069" max="1073" width="8.28515625" customWidth="1"/>
    <col min="1074" max="1074" width="0.85546875" customWidth="1"/>
    <col min="1075" max="1079" width="8.28515625" customWidth="1"/>
    <col min="1080" max="1080" width="0.85546875" customWidth="1"/>
    <col min="1081" max="1085" width="8.28515625" customWidth="1"/>
    <col min="1086" max="1086" width="0.85546875" customWidth="1"/>
    <col min="1087" max="1091" width="8.28515625" customWidth="1"/>
    <col min="1092" max="1092" width="0.85546875" customWidth="1"/>
    <col min="1093" max="1097" width="8.28515625" customWidth="1"/>
    <col min="1098" max="1098" width="0.85546875" customWidth="1"/>
    <col min="1099" max="1103" width="8.28515625" customWidth="1"/>
    <col min="1104" max="1104" width="0.85546875" customWidth="1"/>
    <col min="1105" max="1109" width="8.28515625" customWidth="1"/>
    <col min="1110" max="1110" width="0.85546875" customWidth="1"/>
    <col min="1111" max="1115" width="8.28515625" customWidth="1"/>
    <col min="1281" max="1281" width="25.7109375" customWidth="1"/>
    <col min="1282" max="1282" width="0.85546875" customWidth="1"/>
    <col min="1283" max="1287" width="8.28515625" customWidth="1"/>
    <col min="1288" max="1288" width="0.85546875" customWidth="1"/>
    <col min="1289" max="1293" width="8.28515625" customWidth="1"/>
    <col min="1294" max="1294" width="0.85546875" customWidth="1"/>
    <col min="1295" max="1299" width="8.28515625" customWidth="1"/>
    <col min="1300" max="1300" width="0.85546875" customWidth="1"/>
    <col min="1301" max="1305" width="8.28515625" customWidth="1"/>
    <col min="1306" max="1306" width="0.85546875" customWidth="1"/>
    <col min="1307" max="1311" width="8.28515625" customWidth="1"/>
    <col min="1312" max="1312" width="0.85546875" customWidth="1"/>
    <col min="1313" max="1317" width="8.28515625" customWidth="1"/>
    <col min="1318" max="1318" width="0.85546875" customWidth="1"/>
    <col min="1319" max="1323" width="8.28515625" customWidth="1"/>
    <col min="1324" max="1324" width="0.85546875" customWidth="1"/>
    <col min="1325" max="1329" width="8.28515625" customWidth="1"/>
    <col min="1330" max="1330" width="0.85546875" customWidth="1"/>
    <col min="1331" max="1335" width="8.28515625" customWidth="1"/>
    <col min="1336" max="1336" width="0.85546875" customWidth="1"/>
    <col min="1337" max="1341" width="8.28515625" customWidth="1"/>
    <col min="1342" max="1342" width="0.85546875" customWidth="1"/>
    <col min="1343" max="1347" width="8.28515625" customWidth="1"/>
    <col min="1348" max="1348" width="0.85546875" customWidth="1"/>
    <col min="1349" max="1353" width="8.28515625" customWidth="1"/>
    <col min="1354" max="1354" width="0.85546875" customWidth="1"/>
    <col min="1355" max="1359" width="8.28515625" customWidth="1"/>
    <col min="1360" max="1360" width="0.85546875" customWidth="1"/>
    <col min="1361" max="1365" width="8.28515625" customWidth="1"/>
    <col min="1366" max="1366" width="0.85546875" customWidth="1"/>
    <col min="1367" max="1371" width="8.28515625" customWidth="1"/>
    <col min="1537" max="1537" width="25.7109375" customWidth="1"/>
    <col min="1538" max="1538" width="0.85546875" customWidth="1"/>
    <col min="1539" max="1543" width="8.28515625" customWidth="1"/>
    <col min="1544" max="1544" width="0.85546875" customWidth="1"/>
    <col min="1545" max="1549" width="8.28515625" customWidth="1"/>
    <col min="1550" max="1550" width="0.85546875" customWidth="1"/>
    <col min="1551" max="1555" width="8.28515625" customWidth="1"/>
    <col min="1556" max="1556" width="0.85546875" customWidth="1"/>
    <col min="1557" max="1561" width="8.28515625" customWidth="1"/>
    <col min="1562" max="1562" width="0.85546875" customWidth="1"/>
    <col min="1563" max="1567" width="8.28515625" customWidth="1"/>
    <col min="1568" max="1568" width="0.85546875" customWidth="1"/>
    <col min="1569" max="1573" width="8.28515625" customWidth="1"/>
    <col min="1574" max="1574" width="0.85546875" customWidth="1"/>
    <col min="1575" max="1579" width="8.28515625" customWidth="1"/>
    <col min="1580" max="1580" width="0.85546875" customWidth="1"/>
    <col min="1581" max="1585" width="8.28515625" customWidth="1"/>
    <col min="1586" max="1586" width="0.85546875" customWidth="1"/>
    <col min="1587" max="1591" width="8.28515625" customWidth="1"/>
    <col min="1592" max="1592" width="0.85546875" customWidth="1"/>
    <col min="1593" max="1597" width="8.28515625" customWidth="1"/>
    <col min="1598" max="1598" width="0.85546875" customWidth="1"/>
    <col min="1599" max="1603" width="8.28515625" customWidth="1"/>
    <col min="1604" max="1604" width="0.85546875" customWidth="1"/>
    <col min="1605" max="1609" width="8.28515625" customWidth="1"/>
    <col min="1610" max="1610" width="0.85546875" customWidth="1"/>
    <col min="1611" max="1615" width="8.28515625" customWidth="1"/>
    <col min="1616" max="1616" width="0.85546875" customWidth="1"/>
    <col min="1617" max="1621" width="8.28515625" customWidth="1"/>
    <col min="1622" max="1622" width="0.85546875" customWidth="1"/>
    <col min="1623" max="1627" width="8.28515625" customWidth="1"/>
    <col min="1793" max="1793" width="25.7109375" customWidth="1"/>
    <col min="1794" max="1794" width="0.85546875" customWidth="1"/>
    <col min="1795" max="1799" width="8.28515625" customWidth="1"/>
    <col min="1800" max="1800" width="0.85546875" customWidth="1"/>
    <col min="1801" max="1805" width="8.28515625" customWidth="1"/>
    <col min="1806" max="1806" width="0.85546875" customWidth="1"/>
    <col min="1807" max="1811" width="8.28515625" customWidth="1"/>
    <col min="1812" max="1812" width="0.85546875" customWidth="1"/>
    <col min="1813" max="1817" width="8.28515625" customWidth="1"/>
    <col min="1818" max="1818" width="0.85546875" customWidth="1"/>
    <col min="1819" max="1823" width="8.28515625" customWidth="1"/>
    <col min="1824" max="1824" width="0.85546875" customWidth="1"/>
    <col min="1825" max="1829" width="8.28515625" customWidth="1"/>
    <col min="1830" max="1830" width="0.85546875" customWidth="1"/>
    <col min="1831" max="1835" width="8.28515625" customWidth="1"/>
    <col min="1836" max="1836" width="0.85546875" customWidth="1"/>
    <col min="1837" max="1841" width="8.28515625" customWidth="1"/>
    <col min="1842" max="1842" width="0.85546875" customWidth="1"/>
    <col min="1843" max="1847" width="8.28515625" customWidth="1"/>
    <col min="1848" max="1848" width="0.85546875" customWidth="1"/>
    <col min="1849" max="1853" width="8.28515625" customWidth="1"/>
    <col min="1854" max="1854" width="0.85546875" customWidth="1"/>
    <col min="1855" max="1859" width="8.28515625" customWidth="1"/>
    <col min="1860" max="1860" width="0.85546875" customWidth="1"/>
    <col min="1861" max="1865" width="8.28515625" customWidth="1"/>
    <col min="1866" max="1866" width="0.85546875" customWidth="1"/>
    <col min="1867" max="1871" width="8.28515625" customWidth="1"/>
    <col min="1872" max="1872" width="0.85546875" customWidth="1"/>
    <col min="1873" max="1877" width="8.28515625" customWidth="1"/>
    <col min="1878" max="1878" width="0.85546875" customWidth="1"/>
    <col min="1879" max="1883" width="8.28515625" customWidth="1"/>
    <col min="2049" max="2049" width="25.7109375" customWidth="1"/>
    <col min="2050" max="2050" width="0.85546875" customWidth="1"/>
    <col min="2051" max="2055" width="8.28515625" customWidth="1"/>
    <col min="2056" max="2056" width="0.85546875" customWidth="1"/>
    <col min="2057" max="2061" width="8.28515625" customWidth="1"/>
    <col min="2062" max="2062" width="0.85546875" customWidth="1"/>
    <col min="2063" max="2067" width="8.28515625" customWidth="1"/>
    <col min="2068" max="2068" width="0.85546875" customWidth="1"/>
    <col min="2069" max="2073" width="8.28515625" customWidth="1"/>
    <col min="2074" max="2074" width="0.85546875" customWidth="1"/>
    <col min="2075" max="2079" width="8.28515625" customWidth="1"/>
    <col min="2080" max="2080" width="0.85546875" customWidth="1"/>
    <col min="2081" max="2085" width="8.28515625" customWidth="1"/>
    <col min="2086" max="2086" width="0.85546875" customWidth="1"/>
    <col min="2087" max="2091" width="8.28515625" customWidth="1"/>
    <col min="2092" max="2092" width="0.85546875" customWidth="1"/>
    <col min="2093" max="2097" width="8.28515625" customWidth="1"/>
    <col min="2098" max="2098" width="0.85546875" customWidth="1"/>
    <col min="2099" max="2103" width="8.28515625" customWidth="1"/>
    <col min="2104" max="2104" width="0.85546875" customWidth="1"/>
    <col min="2105" max="2109" width="8.28515625" customWidth="1"/>
    <col min="2110" max="2110" width="0.85546875" customWidth="1"/>
    <col min="2111" max="2115" width="8.28515625" customWidth="1"/>
    <col min="2116" max="2116" width="0.85546875" customWidth="1"/>
    <col min="2117" max="2121" width="8.28515625" customWidth="1"/>
    <col min="2122" max="2122" width="0.85546875" customWidth="1"/>
    <col min="2123" max="2127" width="8.28515625" customWidth="1"/>
    <col min="2128" max="2128" width="0.85546875" customWidth="1"/>
    <col min="2129" max="2133" width="8.28515625" customWidth="1"/>
    <col min="2134" max="2134" width="0.85546875" customWidth="1"/>
    <col min="2135" max="2139" width="8.28515625" customWidth="1"/>
    <col min="2305" max="2305" width="25.7109375" customWidth="1"/>
    <col min="2306" max="2306" width="0.85546875" customWidth="1"/>
    <col min="2307" max="2311" width="8.28515625" customWidth="1"/>
    <col min="2312" max="2312" width="0.85546875" customWidth="1"/>
    <col min="2313" max="2317" width="8.28515625" customWidth="1"/>
    <col min="2318" max="2318" width="0.85546875" customWidth="1"/>
    <col min="2319" max="2323" width="8.28515625" customWidth="1"/>
    <col min="2324" max="2324" width="0.85546875" customWidth="1"/>
    <col min="2325" max="2329" width="8.28515625" customWidth="1"/>
    <col min="2330" max="2330" width="0.85546875" customWidth="1"/>
    <col min="2331" max="2335" width="8.28515625" customWidth="1"/>
    <col min="2336" max="2336" width="0.85546875" customWidth="1"/>
    <col min="2337" max="2341" width="8.28515625" customWidth="1"/>
    <col min="2342" max="2342" width="0.85546875" customWidth="1"/>
    <col min="2343" max="2347" width="8.28515625" customWidth="1"/>
    <col min="2348" max="2348" width="0.85546875" customWidth="1"/>
    <col min="2349" max="2353" width="8.28515625" customWidth="1"/>
    <col min="2354" max="2354" width="0.85546875" customWidth="1"/>
    <col min="2355" max="2359" width="8.28515625" customWidth="1"/>
    <col min="2360" max="2360" width="0.85546875" customWidth="1"/>
    <col min="2361" max="2365" width="8.28515625" customWidth="1"/>
    <col min="2366" max="2366" width="0.85546875" customWidth="1"/>
    <col min="2367" max="2371" width="8.28515625" customWidth="1"/>
    <col min="2372" max="2372" width="0.85546875" customWidth="1"/>
    <col min="2373" max="2377" width="8.28515625" customWidth="1"/>
    <col min="2378" max="2378" width="0.85546875" customWidth="1"/>
    <col min="2379" max="2383" width="8.28515625" customWidth="1"/>
    <col min="2384" max="2384" width="0.85546875" customWidth="1"/>
    <col min="2385" max="2389" width="8.28515625" customWidth="1"/>
    <col min="2390" max="2390" width="0.85546875" customWidth="1"/>
    <col min="2391" max="2395" width="8.28515625" customWidth="1"/>
    <col min="2561" max="2561" width="25.7109375" customWidth="1"/>
    <col min="2562" max="2562" width="0.85546875" customWidth="1"/>
    <col min="2563" max="2567" width="8.28515625" customWidth="1"/>
    <col min="2568" max="2568" width="0.85546875" customWidth="1"/>
    <col min="2569" max="2573" width="8.28515625" customWidth="1"/>
    <col min="2574" max="2574" width="0.85546875" customWidth="1"/>
    <col min="2575" max="2579" width="8.28515625" customWidth="1"/>
    <col min="2580" max="2580" width="0.85546875" customWidth="1"/>
    <col min="2581" max="2585" width="8.28515625" customWidth="1"/>
    <col min="2586" max="2586" width="0.85546875" customWidth="1"/>
    <col min="2587" max="2591" width="8.28515625" customWidth="1"/>
    <col min="2592" max="2592" width="0.85546875" customWidth="1"/>
    <col min="2593" max="2597" width="8.28515625" customWidth="1"/>
    <col min="2598" max="2598" width="0.85546875" customWidth="1"/>
    <col min="2599" max="2603" width="8.28515625" customWidth="1"/>
    <col min="2604" max="2604" width="0.85546875" customWidth="1"/>
    <col min="2605" max="2609" width="8.28515625" customWidth="1"/>
    <col min="2610" max="2610" width="0.85546875" customWidth="1"/>
    <col min="2611" max="2615" width="8.28515625" customWidth="1"/>
    <col min="2616" max="2616" width="0.85546875" customWidth="1"/>
    <col min="2617" max="2621" width="8.28515625" customWidth="1"/>
    <col min="2622" max="2622" width="0.85546875" customWidth="1"/>
    <col min="2623" max="2627" width="8.28515625" customWidth="1"/>
    <col min="2628" max="2628" width="0.85546875" customWidth="1"/>
    <col min="2629" max="2633" width="8.28515625" customWidth="1"/>
    <col min="2634" max="2634" width="0.85546875" customWidth="1"/>
    <col min="2635" max="2639" width="8.28515625" customWidth="1"/>
    <col min="2640" max="2640" width="0.85546875" customWidth="1"/>
    <col min="2641" max="2645" width="8.28515625" customWidth="1"/>
    <col min="2646" max="2646" width="0.85546875" customWidth="1"/>
    <col min="2647" max="2651" width="8.28515625" customWidth="1"/>
    <col min="2817" max="2817" width="25.7109375" customWidth="1"/>
    <col min="2818" max="2818" width="0.85546875" customWidth="1"/>
    <col min="2819" max="2823" width="8.28515625" customWidth="1"/>
    <col min="2824" max="2824" width="0.85546875" customWidth="1"/>
    <col min="2825" max="2829" width="8.28515625" customWidth="1"/>
    <col min="2830" max="2830" width="0.85546875" customWidth="1"/>
    <col min="2831" max="2835" width="8.28515625" customWidth="1"/>
    <col min="2836" max="2836" width="0.85546875" customWidth="1"/>
    <col min="2837" max="2841" width="8.28515625" customWidth="1"/>
    <col min="2842" max="2842" width="0.85546875" customWidth="1"/>
    <col min="2843" max="2847" width="8.28515625" customWidth="1"/>
    <col min="2848" max="2848" width="0.85546875" customWidth="1"/>
    <col min="2849" max="2853" width="8.28515625" customWidth="1"/>
    <col min="2854" max="2854" width="0.85546875" customWidth="1"/>
    <col min="2855" max="2859" width="8.28515625" customWidth="1"/>
    <col min="2860" max="2860" width="0.85546875" customWidth="1"/>
    <col min="2861" max="2865" width="8.28515625" customWidth="1"/>
    <col min="2866" max="2866" width="0.85546875" customWidth="1"/>
    <col min="2867" max="2871" width="8.28515625" customWidth="1"/>
    <col min="2872" max="2872" width="0.85546875" customWidth="1"/>
    <col min="2873" max="2877" width="8.28515625" customWidth="1"/>
    <col min="2878" max="2878" width="0.85546875" customWidth="1"/>
    <col min="2879" max="2883" width="8.28515625" customWidth="1"/>
    <col min="2884" max="2884" width="0.85546875" customWidth="1"/>
    <col min="2885" max="2889" width="8.28515625" customWidth="1"/>
    <col min="2890" max="2890" width="0.85546875" customWidth="1"/>
    <col min="2891" max="2895" width="8.28515625" customWidth="1"/>
    <col min="2896" max="2896" width="0.85546875" customWidth="1"/>
    <col min="2897" max="2901" width="8.28515625" customWidth="1"/>
    <col min="2902" max="2902" width="0.85546875" customWidth="1"/>
    <col min="2903" max="2907" width="8.28515625" customWidth="1"/>
    <col min="3073" max="3073" width="25.7109375" customWidth="1"/>
    <col min="3074" max="3074" width="0.85546875" customWidth="1"/>
    <col min="3075" max="3079" width="8.28515625" customWidth="1"/>
    <col min="3080" max="3080" width="0.85546875" customWidth="1"/>
    <col min="3081" max="3085" width="8.28515625" customWidth="1"/>
    <col min="3086" max="3086" width="0.85546875" customWidth="1"/>
    <col min="3087" max="3091" width="8.28515625" customWidth="1"/>
    <col min="3092" max="3092" width="0.85546875" customWidth="1"/>
    <col min="3093" max="3097" width="8.28515625" customWidth="1"/>
    <col min="3098" max="3098" width="0.85546875" customWidth="1"/>
    <col min="3099" max="3103" width="8.28515625" customWidth="1"/>
    <col min="3104" max="3104" width="0.85546875" customWidth="1"/>
    <col min="3105" max="3109" width="8.28515625" customWidth="1"/>
    <col min="3110" max="3110" width="0.85546875" customWidth="1"/>
    <col min="3111" max="3115" width="8.28515625" customWidth="1"/>
    <col min="3116" max="3116" width="0.85546875" customWidth="1"/>
    <col min="3117" max="3121" width="8.28515625" customWidth="1"/>
    <col min="3122" max="3122" width="0.85546875" customWidth="1"/>
    <col min="3123" max="3127" width="8.28515625" customWidth="1"/>
    <col min="3128" max="3128" width="0.85546875" customWidth="1"/>
    <col min="3129" max="3133" width="8.28515625" customWidth="1"/>
    <col min="3134" max="3134" width="0.85546875" customWidth="1"/>
    <col min="3135" max="3139" width="8.28515625" customWidth="1"/>
    <col min="3140" max="3140" width="0.85546875" customWidth="1"/>
    <col min="3141" max="3145" width="8.28515625" customWidth="1"/>
    <col min="3146" max="3146" width="0.85546875" customWidth="1"/>
    <col min="3147" max="3151" width="8.28515625" customWidth="1"/>
    <col min="3152" max="3152" width="0.85546875" customWidth="1"/>
    <col min="3153" max="3157" width="8.28515625" customWidth="1"/>
    <col min="3158" max="3158" width="0.85546875" customWidth="1"/>
    <col min="3159" max="3163" width="8.28515625" customWidth="1"/>
    <col min="3329" max="3329" width="25.7109375" customWidth="1"/>
    <col min="3330" max="3330" width="0.85546875" customWidth="1"/>
    <col min="3331" max="3335" width="8.28515625" customWidth="1"/>
    <col min="3336" max="3336" width="0.85546875" customWidth="1"/>
    <col min="3337" max="3341" width="8.28515625" customWidth="1"/>
    <col min="3342" max="3342" width="0.85546875" customWidth="1"/>
    <col min="3343" max="3347" width="8.28515625" customWidth="1"/>
    <col min="3348" max="3348" width="0.85546875" customWidth="1"/>
    <col min="3349" max="3353" width="8.28515625" customWidth="1"/>
    <col min="3354" max="3354" width="0.85546875" customWidth="1"/>
    <col min="3355" max="3359" width="8.28515625" customWidth="1"/>
    <col min="3360" max="3360" width="0.85546875" customWidth="1"/>
    <col min="3361" max="3365" width="8.28515625" customWidth="1"/>
    <col min="3366" max="3366" width="0.85546875" customWidth="1"/>
    <col min="3367" max="3371" width="8.28515625" customWidth="1"/>
    <col min="3372" max="3372" width="0.85546875" customWidth="1"/>
    <col min="3373" max="3377" width="8.28515625" customWidth="1"/>
    <col min="3378" max="3378" width="0.85546875" customWidth="1"/>
    <col min="3379" max="3383" width="8.28515625" customWidth="1"/>
    <col min="3384" max="3384" width="0.85546875" customWidth="1"/>
    <col min="3385" max="3389" width="8.28515625" customWidth="1"/>
    <col min="3390" max="3390" width="0.85546875" customWidth="1"/>
    <col min="3391" max="3395" width="8.28515625" customWidth="1"/>
    <col min="3396" max="3396" width="0.85546875" customWidth="1"/>
    <col min="3397" max="3401" width="8.28515625" customWidth="1"/>
    <col min="3402" max="3402" width="0.85546875" customWidth="1"/>
    <col min="3403" max="3407" width="8.28515625" customWidth="1"/>
    <col min="3408" max="3408" width="0.85546875" customWidth="1"/>
    <col min="3409" max="3413" width="8.28515625" customWidth="1"/>
    <col min="3414" max="3414" width="0.85546875" customWidth="1"/>
    <col min="3415" max="3419" width="8.28515625" customWidth="1"/>
    <col min="3585" max="3585" width="25.7109375" customWidth="1"/>
    <col min="3586" max="3586" width="0.85546875" customWidth="1"/>
    <col min="3587" max="3591" width="8.28515625" customWidth="1"/>
    <col min="3592" max="3592" width="0.85546875" customWidth="1"/>
    <col min="3593" max="3597" width="8.28515625" customWidth="1"/>
    <col min="3598" max="3598" width="0.85546875" customWidth="1"/>
    <col min="3599" max="3603" width="8.28515625" customWidth="1"/>
    <col min="3604" max="3604" width="0.85546875" customWidth="1"/>
    <col min="3605" max="3609" width="8.28515625" customWidth="1"/>
    <col min="3610" max="3610" width="0.85546875" customWidth="1"/>
    <col min="3611" max="3615" width="8.28515625" customWidth="1"/>
    <col min="3616" max="3616" width="0.85546875" customWidth="1"/>
    <col min="3617" max="3621" width="8.28515625" customWidth="1"/>
    <col min="3622" max="3622" width="0.85546875" customWidth="1"/>
    <col min="3623" max="3627" width="8.28515625" customWidth="1"/>
    <col min="3628" max="3628" width="0.85546875" customWidth="1"/>
    <col min="3629" max="3633" width="8.28515625" customWidth="1"/>
    <col min="3634" max="3634" width="0.85546875" customWidth="1"/>
    <col min="3635" max="3639" width="8.28515625" customWidth="1"/>
    <col min="3640" max="3640" width="0.85546875" customWidth="1"/>
    <col min="3641" max="3645" width="8.28515625" customWidth="1"/>
    <col min="3646" max="3646" width="0.85546875" customWidth="1"/>
    <col min="3647" max="3651" width="8.28515625" customWidth="1"/>
    <col min="3652" max="3652" width="0.85546875" customWidth="1"/>
    <col min="3653" max="3657" width="8.28515625" customWidth="1"/>
    <col min="3658" max="3658" width="0.85546875" customWidth="1"/>
    <col min="3659" max="3663" width="8.28515625" customWidth="1"/>
    <col min="3664" max="3664" width="0.85546875" customWidth="1"/>
    <col min="3665" max="3669" width="8.28515625" customWidth="1"/>
    <col min="3670" max="3670" width="0.85546875" customWidth="1"/>
    <col min="3671" max="3675" width="8.28515625" customWidth="1"/>
    <col min="3841" max="3841" width="25.7109375" customWidth="1"/>
    <col min="3842" max="3842" width="0.85546875" customWidth="1"/>
    <col min="3843" max="3847" width="8.28515625" customWidth="1"/>
    <col min="3848" max="3848" width="0.85546875" customWidth="1"/>
    <col min="3849" max="3853" width="8.28515625" customWidth="1"/>
    <col min="3854" max="3854" width="0.85546875" customWidth="1"/>
    <col min="3855" max="3859" width="8.28515625" customWidth="1"/>
    <col min="3860" max="3860" width="0.85546875" customWidth="1"/>
    <col min="3861" max="3865" width="8.28515625" customWidth="1"/>
    <col min="3866" max="3866" width="0.85546875" customWidth="1"/>
    <col min="3867" max="3871" width="8.28515625" customWidth="1"/>
    <col min="3872" max="3872" width="0.85546875" customWidth="1"/>
    <col min="3873" max="3877" width="8.28515625" customWidth="1"/>
    <col min="3878" max="3878" width="0.85546875" customWidth="1"/>
    <col min="3879" max="3883" width="8.28515625" customWidth="1"/>
    <col min="3884" max="3884" width="0.85546875" customWidth="1"/>
    <col min="3885" max="3889" width="8.28515625" customWidth="1"/>
    <col min="3890" max="3890" width="0.85546875" customWidth="1"/>
    <col min="3891" max="3895" width="8.28515625" customWidth="1"/>
    <col min="3896" max="3896" width="0.85546875" customWidth="1"/>
    <col min="3897" max="3901" width="8.28515625" customWidth="1"/>
    <col min="3902" max="3902" width="0.85546875" customWidth="1"/>
    <col min="3903" max="3907" width="8.28515625" customWidth="1"/>
    <col min="3908" max="3908" width="0.85546875" customWidth="1"/>
    <col min="3909" max="3913" width="8.28515625" customWidth="1"/>
    <col min="3914" max="3914" width="0.85546875" customWidth="1"/>
    <col min="3915" max="3919" width="8.28515625" customWidth="1"/>
    <col min="3920" max="3920" width="0.85546875" customWidth="1"/>
    <col min="3921" max="3925" width="8.28515625" customWidth="1"/>
    <col min="3926" max="3926" width="0.85546875" customWidth="1"/>
    <col min="3927" max="3931" width="8.28515625" customWidth="1"/>
    <col min="4097" max="4097" width="25.7109375" customWidth="1"/>
    <col min="4098" max="4098" width="0.85546875" customWidth="1"/>
    <col min="4099" max="4103" width="8.28515625" customWidth="1"/>
    <col min="4104" max="4104" width="0.85546875" customWidth="1"/>
    <col min="4105" max="4109" width="8.28515625" customWidth="1"/>
    <col min="4110" max="4110" width="0.85546875" customWidth="1"/>
    <col min="4111" max="4115" width="8.28515625" customWidth="1"/>
    <col min="4116" max="4116" width="0.85546875" customWidth="1"/>
    <col min="4117" max="4121" width="8.28515625" customWidth="1"/>
    <col min="4122" max="4122" width="0.85546875" customWidth="1"/>
    <col min="4123" max="4127" width="8.28515625" customWidth="1"/>
    <col min="4128" max="4128" width="0.85546875" customWidth="1"/>
    <col min="4129" max="4133" width="8.28515625" customWidth="1"/>
    <col min="4134" max="4134" width="0.85546875" customWidth="1"/>
    <col min="4135" max="4139" width="8.28515625" customWidth="1"/>
    <col min="4140" max="4140" width="0.85546875" customWidth="1"/>
    <col min="4141" max="4145" width="8.28515625" customWidth="1"/>
    <col min="4146" max="4146" width="0.85546875" customWidth="1"/>
    <col min="4147" max="4151" width="8.28515625" customWidth="1"/>
    <col min="4152" max="4152" width="0.85546875" customWidth="1"/>
    <col min="4153" max="4157" width="8.28515625" customWidth="1"/>
    <col min="4158" max="4158" width="0.85546875" customWidth="1"/>
    <col min="4159" max="4163" width="8.28515625" customWidth="1"/>
    <col min="4164" max="4164" width="0.85546875" customWidth="1"/>
    <col min="4165" max="4169" width="8.28515625" customWidth="1"/>
    <col min="4170" max="4170" width="0.85546875" customWidth="1"/>
    <col min="4171" max="4175" width="8.28515625" customWidth="1"/>
    <col min="4176" max="4176" width="0.85546875" customWidth="1"/>
    <col min="4177" max="4181" width="8.28515625" customWidth="1"/>
    <col min="4182" max="4182" width="0.85546875" customWidth="1"/>
    <col min="4183" max="4187" width="8.28515625" customWidth="1"/>
    <col min="4353" max="4353" width="25.7109375" customWidth="1"/>
    <col min="4354" max="4354" width="0.85546875" customWidth="1"/>
    <col min="4355" max="4359" width="8.28515625" customWidth="1"/>
    <col min="4360" max="4360" width="0.85546875" customWidth="1"/>
    <col min="4361" max="4365" width="8.28515625" customWidth="1"/>
    <col min="4366" max="4366" width="0.85546875" customWidth="1"/>
    <col min="4367" max="4371" width="8.28515625" customWidth="1"/>
    <col min="4372" max="4372" width="0.85546875" customWidth="1"/>
    <col min="4373" max="4377" width="8.28515625" customWidth="1"/>
    <col min="4378" max="4378" width="0.85546875" customWidth="1"/>
    <col min="4379" max="4383" width="8.28515625" customWidth="1"/>
    <col min="4384" max="4384" width="0.85546875" customWidth="1"/>
    <col min="4385" max="4389" width="8.28515625" customWidth="1"/>
    <col min="4390" max="4390" width="0.85546875" customWidth="1"/>
    <col min="4391" max="4395" width="8.28515625" customWidth="1"/>
    <col min="4396" max="4396" width="0.85546875" customWidth="1"/>
    <col min="4397" max="4401" width="8.28515625" customWidth="1"/>
    <col min="4402" max="4402" width="0.85546875" customWidth="1"/>
    <col min="4403" max="4407" width="8.28515625" customWidth="1"/>
    <col min="4408" max="4408" width="0.85546875" customWidth="1"/>
    <col min="4409" max="4413" width="8.28515625" customWidth="1"/>
    <col min="4414" max="4414" width="0.85546875" customWidth="1"/>
    <col min="4415" max="4419" width="8.28515625" customWidth="1"/>
    <col min="4420" max="4420" width="0.85546875" customWidth="1"/>
    <col min="4421" max="4425" width="8.28515625" customWidth="1"/>
    <col min="4426" max="4426" width="0.85546875" customWidth="1"/>
    <col min="4427" max="4431" width="8.28515625" customWidth="1"/>
    <col min="4432" max="4432" width="0.85546875" customWidth="1"/>
    <col min="4433" max="4437" width="8.28515625" customWidth="1"/>
    <col min="4438" max="4438" width="0.85546875" customWidth="1"/>
    <col min="4439" max="4443" width="8.28515625" customWidth="1"/>
    <col min="4609" max="4609" width="25.7109375" customWidth="1"/>
    <col min="4610" max="4610" width="0.85546875" customWidth="1"/>
    <col min="4611" max="4615" width="8.28515625" customWidth="1"/>
    <col min="4616" max="4616" width="0.85546875" customWidth="1"/>
    <col min="4617" max="4621" width="8.28515625" customWidth="1"/>
    <col min="4622" max="4622" width="0.85546875" customWidth="1"/>
    <col min="4623" max="4627" width="8.28515625" customWidth="1"/>
    <col min="4628" max="4628" width="0.85546875" customWidth="1"/>
    <col min="4629" max="4633" width="8.28515625" customWidth="1"/>
    <col min="4634" max="4634" width="0.85546875" customWidth="1"/>
    <col min="4635" max="4639" width="8.28515625" customWidth="1"/>
    <col min="4640" max="4640" width="0.85546875" customWidth="1"/>
    <col min="4641" max="4645" width="8.28515625" customWidth="1"/>
    <col min="4646" max="4646" width="0.85546875" customWidth="1"/>
    <col min="4647" max="4651" width="8.28515625" customWidth="1"/>
    <col min="4652" max="4652" width="0.85546875" customWidth="1"/>
    <col min="4653" max="4657" width="8.28515625" customWidth="1"/>
    <col min="4658" max="4658" width="0.85546875" customWidth="1"/>
    <col min="4659" max="4663" width="8.28515625" customWidth="1"/>
    <col min="4664" max="4664" width="0.85546875" customWidth="1"/>
    <col min="4665" max="4669" width="8.28515625" customWidth="1"/>
    <col min="4670" max="4670" width="0.85546875" customWidth="1"/>
    <col min="4671" max="4675" width="8.28515625" customWidth="1"/>
    <col min="4676" max="4676" width="0.85546875" customWidth="1"/>
    <col min="4677" max="4681" width="8.28515625" customWidth="1"/>
    <col min="4682" max="4682" width="0.85546875" customWidth="1"/>
    <col min="4683" max="4687" width="8.28515625" customWidth="1"/>
    <col min="4688" max="4688" width="0.85546875" customWidth="1"/>
    <col min="4689" max="4693" width="8.28515625" customWidth="1"/>
    <col min="4694" max="4694" width="0.85546875" customWidth="1"/>
    <col min="4695" max="4699" width="8.28515625" customWidth="1"/>
    <col min="4865" max="4865" width="25.7109375" customWidth="1"/>
    <col min="4866" max="4866" width="0.85546875" customWidth="1"/>
    <col min="4867" max="4871" width="8.28515625" customWidth="1"/>
    <col min="4872" max="4872" width="0.85546875" customWidth="1"/>
    <col min="4873" max="4877" width="8.28515625" customWidth="1"/>
    <col min="4878" max="4878" width="0.85546875" customWidth="1"/>
    <col min="4879" max="4883" width="8.28515625" customWidth="1"/>
    <col min="4884" max="4884" width="0.85546875" customWidth="1"/>
    <col min="4885" max="4889" width="8.28515625" customWidth="1"/>
    <col min="4890" max="4890" width="0.85546875" customWidth="1"/>
    <col min="4891" max="4895" width="8.28515625" customWidth="1"/>
    <col min="4896" max="4896" width="0.85546875" customWidth="1"/>
    <col min="4897" max="4901" width="8.28515625" customWidth="1"/>
    <col min="4902" max="4902" width="0.85546875" customWidth="1"/>
    <col min="4903" max="4907" width="8.28515625" customWidth="1"/>
    <col min="4908" max="4908" width="0.85546875" customWidth="1"/>
    <col min="4909" max="4913" width="8.28515625" customWidth="1"/>
    <col min="4914" max="4914" width="0.85546875" customWidth="1"/>
    <col min="4915" max="4919" width="8.28515625" customWidth="1"/>
    <col min="4920" max="4920" width="0.85546875" customWidth="1"/>
    <col min="4921" max="4925" width="8.28515625" customWidth="1"/>
    <col min="4926" max="4926" width="0.85546875" customWidth="1"/>
    <col min="4927" max="4931" width="8.28515625" customWidth="1"/>
    <col min="4932" max="4932" width="0.85546875" customWidth="1"/>
    <col min="4933" max="4937" width="8.28515625" customWidth="1"/>
    <col min="4938" max="4938" width="0.85546875" customWidth="1"/>
    <col min="4939" max="4943" width="8.28515625" customWidth="1"/>
    <col min="4944" max="4944" width="0.85546875" customWidth="1"/>
    <col min="4945" max="4949" width="8.28515625" customWidth="1"/>
    <col min="4950" max="4950" width="0.85546875" customWidth="1"/>
    <col min="4951" max="4955" width="8.28515625" customWidth="1"/>
    <col min="5121" max="5121" width="25.7109375" customWidth="1"/>
    <col min="5122" max="5122" width="0.85546875" customWidth="1"/>
    <col min="5123" max="5127" width="8.28515625" customWidth="1"/>
    <col min="5128" max="5128" width="0.85546875" customWidth="1"/>
    <col min="5129" max="5133" width="8.28515625" customWidth="1"/>
    <col min="5134" max="5134" width="0.85546875" customWidth="1"/>
    <col min="5135" max="5139" width="8.28515625" customWidth="1"/>
    <col min="5140" max="5140" width="0.85546875" customWidth="1"/>
    <col min="5141" max="5145" width="8.28515625" customWidth="1"/>
    <col min="5146" max="5146" width="0.85546875" customWidth="1"/>
    <col min="5147" max="5151" width="8.28515625" customWidth="1"/>
    <col min="5152" max="5152" width="0.85546875" customWidth="1"/>
    <col min="5153" max="5157" width="8.28515625" customWidth="1"/>
    <col min="5158" max="5158" width="0.85546875" customWidth="1"/>
    <col min="5159" max="5163" width="8.28515625" customWidth="1"/>
    <col min="5164" max="5164" width="0.85546875" customWidth="1"/>
    <col min="5165" max="5169" width="8.28515625" customWidth="1"/>
    <col min="5170" max="5170" width="0.85546875" customWidth="1"/>
    <col min="5171" max="5175" width="8.28515625" customWidth="1"/>
    <col min="5176" max="5176" width="0.85546875" customWidth="1"/>
    <col min="5177" max="5181" width="8.28515625" customWidth="1"/>
    <col min="5182" max="5182" width="0.85546875" customWidth="1"/>
    <col min="5183" max="5187" width="8.28515625" customWidth="1"/>
    <col min="5188" max="5188" width="0.85546875" customWidth="1"/>
    <col min="5189" max="5193" width="8.28515625" customWidth="1"/>
    <col min="5194" max="5194" width="0.85546875" customWidth="1"/>
    <col min="5195" max="5199" width="8.28515625" customWidth="1"/>
    <col min="5200" max="5200" width="0.85546875" customWidth="1"/>
    <col min="5201" max="5205" width="8.28515625" customWidth="1"/>
    <col min="5206" max="5206" width="0.85546875" customWidth="1"/>
    <col min="5207" max="5211" width="8.28515625" customWidth="1"/>
    <col min="5377" max="5377" width="25.7109375" customWidth="1"/>
    <col min="5378" max="5378" width="0.85546875" customWidth="1"/>
    <col min="5379" max="5383" width="8.28515625" customWidth="1"/>
    <col min="5384" max="5384" width="0.85546875" customWidth="1"/>
    <col min="5385" max="5389" width="8.28515625" customWidth="1"/>
    <col min="5390" max="5390" width="0.85546875" customWidth="1"/>
    <col min="5391" max="5395" width="8.28515625" customWidth="1"/>
    <col min="5396" max="5396" width="0.85546875" customWidth="1"/>
    <col min="5397" max="5401" width="8.28515625" customWidth="1"/>
    <col min="5402" max="5402" width="0.85546875" customWidth="1"/>
    <col min="5403" max="5407" width="8.28515625" customWidth="1"/>
    <col min="5408" max="5408" width="0.85546875" customWidth="1"/>
    <col min="5409" max="5413" width="8.28515625" customWidth="1"/>
    <col min="5414" max="5414" width="0.85546875" customWidth="1"/>
    <col min="5415" max="5419" width="8.28515625" customWidth="1"/>
    <col min="5420" max="5420" width="0.85546875" customWidth="1"/>
    <col min="5421" max="5425" width="8.28515625" customWidth="1"/>
    <col min="5426" max="5426" width="0.85546875" customWidth="1"/>
    <col min="5427" max="5431" width="8.28515625" customWidth="1"/>
    <col min="5432" max="5432" width="0.85546875" customWidth="1"/>
    <col min="5433" max="5437" width="8.28515625" customWidth="1"/>
    <col min="5438" max="5438" width="0.85546875" customWidth="1"/>
    <col min="5439" max="5443" width="8.28515625" customWidth="1"/>
    <col min="5444" max="5444" width="0.85546875" customWidth="1"/>
    <col min="5445" max="5449" width="8.28515625" customWidth="1"/>
    <col min="5450" max="5450" width="0.85546875" customWidth="1"/>
    <col min="5451" max="5455" width="8.28515625" customWidth="1"/>
    <col min="5456" max="5456" width="0.85546875" customWidth="1"/>
    <col min="5457" max="5461" width="8.28515625" customWidth="1"/>
    <col min="5462" max="5462" width="0.85546875" customWidth="1"/>
    <col min="5463" max="5467" width="8.28515625" customWidth="1"/>
    <col min="5633" max="5633" width="25.7109375" customWidth="1"/>
    <col min="5634" max="5634" width="0.85546875" customWidth="1"/>
    <col min="5635" max="5639" width="8.28515625" customWidth="1"/>
    <col min="5640" max="5640" width="0.85546875" customWidth="1"/>
    <col min="5641" max="5645" width="8.28515625" customWidth="1"/>
    <col min="5646" max="5646" width="0.85546875" customWidth="1"/>
    <col min="5647" max="5651" width="8.28515625" customWidth="1"/>
    <col min="5652" max="5652" width="0.85546875" customWidth="1"/>
    <col min="5653" max="5657" width="8.28515625" customWidth="1"/>
    <col min="5658" max="5658" width="0.85546875" customWidth="1"/>
    <col min="5659" max="5663" width="8.28515625" customWidth="1"/>
    <col min="5664" max="5664" width="0.85546875" customWidth="1"/>
    <col min="5665" max="5669" width="8.28515625" customWidth="1"/>
    <col min="5670" max="5670" width="0.85546875" customWidth="1"/>
    <col min="5671" max="5675" width="8.28515625" customWidth="1"/>
    <col min="5676" max="5676" width="0.85546875" customWidth="1"/>
    <col min="5677" max="5681" width="8.28515625" customWidth="1"/>
    <col min="5682" max="5682" width="0.85546875" customWidth="1"/>
    <col min="5683" max="5687" width="8.28515625" customWidth="1"/>
    <col min="5688" max="5688" width="0.85546875" customWidth="1"/>
    <col min="5689" max="5693" width="8.28515625" customWidth="1"/>
    <col min="5694" max="5694" width="0.85546875" customWidth="1"/>
    <col min="5695" max="5699" width="8.28515625" customWidth="1"/>
    <col min="5700" max="5700" width="0.85546875" customWidth="1"/>
    <col min="5701" max="5705" width="8.28515625" customWidth="1"/>
    <col min="5706" max="5706" width="0.85546875" customWidth="1"/>
    <col min="5707" max="5711" width="8.28515625" customWidth="1"/>
    <col min="5712" max="5712" width="0.85546875" customWidth="1"/>
    <col min="5713" max="5717" width="8.28515625" customWidth="1"/>
    <col min="5718" max="5718" width="0.85546875" customWidth="1"/>
    <col min="5719" max="5723" width="8.28515625" customWidth="1"/>
    <col min="5889" max="5889" width="25.7109375" customWidth="1"/>
    <col min="5890" max="5890" width="0.85546875" customWidth="1"/>
    <col min="5891" max="5895" width="8.28515625" customWidth="1"/>
    <col min="5896" max="5896" width="0.85546875" customWidth="1"/>
    <col min="5897" max="5901" width="8.28515625" customWidth="1"/>
    <col min="5902" max="5902" width="0.85546875" customWidth="1"/>
    <col min="5903" max="5907" width="8.28515625" customWidth="1"/>
    <col min="5908" max="5908" width="0.85546875" customWidth="1"/>
    <col min="5909" max="5913" width="8.28515625" customWidth="1"/>
    <col min="5914" max="5914" width="0.85546875" customWidth="1"/>
    <col min="5915" max="5919" width="8.28515625" customWidth="1"/>
    <col min="5920" max="5920" width="0.85546875" customWidth="1"/>
    <col min="5921" max="5925" width="8.28515625" customWidth="1"/>
    <col min="5926" max="5926" width="0.85546875" customWidth="1"/>
    <col min="5927" max="5931" width="8.28515625" customWidth="1"/>
    <col min="5932" max="5932" width="0.85546875" customWidth="1"/>
    <col min="5933" max="5937" width="8.28515625" customWidth="1"/>
    <col min="5938" max="5938" width="0.85546875" customWidth="1"/>
    <col min="5939" max="5943" width="8.28515625" customWidth="1"/>
    <col min="5944" max="5944" width="0.85546875" customWidth="1"/>
    <col min="5945" max="5949" width="8.28515625" customWidth="1"/>
    <col min="5950" max="5950" width="0.85546875" customWidth="1"/>
    <col min="5951" max="5955" width="8.28515625" customWidth="1"/>
    <col min="5956" max="5956" width="0.85546875" customWidth="1"/>
    <col min="5957" max="5961" width="8.28515625" customWidth="1"/>
    <col min="5962" max="5962" width="0.85546875" customWidth="1"/>
    <col min="5963" max="5967" width="8.28515625" customWidth="1"/>
    <col min="5968" max="5968" width="0.85546875" customWidth="1"/>
    <col min="5969" max="5973" width="8.28515625" customWidth="1"/>
    <col min="5974" max="5974" width="0.85546875" customWidth="1"/>
    <col min="5975" max="5979" width="8.28515625" customWidth="1"/>
    <col min="6145" max="6145" width="25.7109375" customWidth="1"/>
    <col min="6146" max="6146" width="0.85546875" customWidth="1"/>
    <col min="6147" max="6151" width="8.28515625" customWidth="1"/>
    <col min="6152" max="6152" width="0.85546875" customWidth="1"/>
    <col min="6153" max="6157" width="8.28515625" customWidth="1"/>
    <col min="6158" max="6158" width="0.85546875" customWidth="1"/>
    <col min="6159" max="6163" width="8.28515625" customWidth="1"/>
    <col min="6164" max="6164" width="0.85546875" customWidth="1"/>
    <col min="6165" max="6169" width="8.28515625" customWidth="1"/>
    <col min="6170" max="6170" width="0.85546875" customWidth="1"/>
    <col min="6171" max="6175" width="8.28515625" customWidth="1"/>
    <col min="6176" max="6176" width="0.85546875" customWidth="1"/>
    <col min="6177" max="6181" width="8.28515625" customWidth="1"/>
    <col min="6182" max="6182" width="0.85546875" customWidth="1"/>
    <col min="6183" max="6187" width="8.28515625" customWidth="1"/>
    <col min="6188" max="6188" width="0.85546875" customWidth="1"/>
    <col min="6189" max="6193" width="8.28515625" customWidth="1"/>
    <col min="6194" max="6194" width="0.85546875" customWidth="1"/>
    <col min="6195" max="6199" width="8.28515625" customWidth="1"/>
    <col min="6200" max="6200" width="0.85546875" customWidth="1"/>
    <col min="6201" max="6205" width="8.28515625" customWidth="1"/>
    <col min="6206" max="6206" width="0.85546875" customWidth="1"/>
    <col min="6207" max="6211" width="8.28515625" customWidth="1"/>
    <col min="6212" max="6212" width="0.85546875" customWidth="1"/>
    <col min="6213" max="6217" width="8.28515625" customWidth="1"/>
    <col min="6218" max="6218" width="0.85546875" customWidth="1"/>
    <col min="6219" max="6223" width="8.28515625" customWidth="1"/>
    <col min="6224" max="6224" width="0.85546875" customWidth="1"/>
    <col min="6225" max="6229" width="8.28515625" customWidth="1"/>
    <col min="6230" max="6230" width="0.85546875" customWidth="1"/>
    <col min="6231" max="6235" width="8.28515625" customWidth="1"/>
    <col min="6401" max="6401" width="25.7109375" customWidth="1"/>
    <col min="6402" max="6402" width="0.85546875" customWidth="1"/>
    <col min="6403" max="6407" width="8.28515625" customWidth="1"/>
    <col min="6408" max="6408" width="0.85546875" customWidth="1"/>
    <col min="6409" max="6413" width="8.28515625" customWidth="1"/>
    <col min="6414" max="6414" width="0.85546875" customWidth="1"/>
    <col min="6415" max="6419" width="8.28515625" customWidth="1"/>
    <col min="6420" max="6420" width="0.85546875" customWidth="1"/>
    <col min="6421" max="6425" width="8.28515625" customWidth="1"/>
    <col min="6426" max="6426" width="0.85546875" customWidth="1"/>
    <col min="6427" max="6431" width="8.28515625" customWidth="1"/>
    <col min="6432" max="6432" width="0.85546875" customWidth="1"/>
    <col min="6433" max="6437" width="8.28515625" customWidth="1"/>
    <col min="6438" max="6438" width="0.85546875" customWidth="1"/>
    <col min="6439" max="6443" width="8.28515625" customWidth="1"/>
    <col min="6444" max="6444" width="0.85546875" customWidth="1"/>
    <col min="6445" max="6449" width="8.28515625" customWidth="1"/>
    <col min="6450" max="6450" width="0.85546875" customWidth="1"/>
    <col min="6451" max="6455" width="8.28515625" customWidth="1"/>
    <col min="6456" max="6456" width="0.85546875" customWidth="1"/>
    <col min="6457" max="6461" width="8.28515625" customWidth="1"/>
    <col min="6462" max="6462" width="0.85546875" customWidth="1"/>
    <col min="6463" max="6467" width="8.28515625" customWidth="1"/>
    <col min="6468" max="6468" width="0.85546875" customWidth="1"/>
    <col min="6469" max="6473" width="8.28515625" customWidth="1"/>
    <col min="6474" max="6474" width="0.85546875" customWidth="1"/>
    <col min="6475" max="6479" width="8.28515625" customWidth="1"/>
    <col min="6480" max="6480" width="0.85546875" customWidth="1"/>
    <col min="6481" max="6485" width="8.28515625" customWidth="1"/>
    <col min="6486" max="6486" width="0.85546875" customWidth="1"/>
    <col min="6487" max="6491" width="8.28515625" customWidth="1"/>
    <col min="6657" max="6657" width="25.7109375" customWidth="1"/>
    <col min="6658" max="6658" width="0.85546875" customWidth="1"/>
    <col min="6659" max="6663" width="8.28515625" customWidth="1"/>
    <col min="6664" max="6664" width="0.85546875" customWidth="1"/>
    <col min="6665" max="6669" width="8.28515625" customWidth="1"/>
    <col min="6670" max="6670" width="0.85546875" customWidth="1"/>
    <col min="6671" max="6675" width="8.28515625" customWidth="1"/>
    <col min="6676" max="6676" width="0.85546875" customWidth="1"/>
    <col min="6677" max="6681" width="8.28515625" customWidth="1"/>
    <col min="6682" max="6682" width="0.85546875" customWidth="1"/>
    <col min="6683" max="6687" width="8.28515625" customWidth="1"/>
    <col min="6688" max="6688" width="0.85546875" customWidth="1"/>
    <col min="6689" max="6693" width="8.28515625" customWidth="1"/>
    <col min="6694" max="6694" width="0.85546875" customWidth="1"/>
    <col min="6695" max="6699" width="8.28515625" customWidth="1"/>
    <col min="6700" max="6700" width="0.85546875" customWidth="1"/>
    <col min="6701" max="6705" width="8.28515625" customWidth="1"/>
    <col min="6706" max="6706" width="0.85546875" customWidth="1"/>
    <col min="6707" max="6711" width="8.28515625" customWidth="1"/>
    <col min="6712" max="6712" width="0.85546875" customWidth="1"/>
    <col min="6713" max="6717" width="8.28515625" customWidth="1"/>
    <col min="6718" max="6718" width="0.85546875" customWidth="1"/>
    <col min="6719" max="6723" width="8.28515625" customWidth="1"/>
    <col min="6724" max="6724" width="0.85546875" customWidth="1"/>
    <col min="6725" max="6729" width="8.28515625" customWidth="1"/>
    <col min="6730" max="6730" width="0.85546875" customWidth="1"/>
    <col min="6731" max="6735" width="8.28515625" customWidth="1"/>
    <col min="6736" max="6736" width="0.85546875" customWidth="1"/>
    <col min="6737" max="6741" width="8.28515625" customWidth="1"/>
    <col min="6742" max="6742" width="0.85546875" customWidth="1"/>
    <col min="6743" max="6747" width="8.28515625" customWidth="1"/>
    <col min="6913" max="6913" width="25.7109375" customWidth="1"/>
    <col min="6914" max="6914" width="0.85546875" customWidth="1"/>
    <col min="6915" max="6919" width="8.28515625" customWidth="1"/>
    <col min="6920" max="6920" width="0.85546875" customWidth="1"/>
    <col min="6921" max="6925" width="8.28515625" customWidth="1"/>
    <col min="6926" max="6926" width="0.85546875" customWidth="1"/>
    <col min="6927" max="6931" width="8.28515625" customWidth="1"/>
    <col min="6932" max="6932" width="0.85546875" customWidth="1"/>
    <col min="6933" max="6937" width="8.28515625" customWidth="1"/>
    <col min="6938" max="6938" width="0.85546875" customWidth="1"/>
    <col min="6939" max="6943" width="8.28515625" customWidth="1"/>
    <col min="6944" max="6944" width="0.85546875" customWidth="1"/>
    <col min="6945" max="6949" width="8.28515625" customWidth="1"/>
    <col min="6950" max="6950" width="0.85546875" customWidth="1"/>
    <col min="6951" max="6955" width="8.28515625" customWidth="1"/>
    <col min="6956" max="6956" width="0.85546875" customWidth="1"/>
    <col min="6957" max="6961" width="8.28515625" customWidth="1"/>
    <col min="6962" max="6962" width="0.85546875" customWidth="1"/>
    <col min="6963" max="6967" width="8.28515625" customWidth="1"/>
    <col min="6968" max="6968" width="0.85546875" customWidth="1"/>
    <col min="6969" max="6973" width="8.28515625" customWidth="1"/>
    <col min="6974" max="6974" width="0.85546875" customWidth="1"/>
    <col min="6975" max="6979" width="8.28515625" customWidth="1"/>
    <col min="6980" max="6980" width="0.85546875" customWidth="1"/>
    <col min="6981" max="6985" width="8.28515625" customWidth="1"/>
    <col min="6986" max="6986" width="0.85546875" customWidth="1"/>
    <col min="6987" max="6991" width="8.28515625" customWidth="1"/>
    <col min="6992" max="6992" width="0.85546875" customWidth="1"/>
    <col min="6993" max="6997" width="8.28515625" customWidth="1"/>
    <col min="6998" max="6998" width="0.85546875" customWidth="1"/>
    <col min="6999" max="7003" width="8.28515625" customWidth="1"/>
    <col min="7169" max="7169" width="25.7109375" customWidth="1"/>
    <col min="7170" max="7170" width="0.85546875" customWidth="1"/>
    <col min="7171" max="7175" width="8.28515625" customWidth="1"/>
    <col min="7176" max="7176" width="0.85546875" customWidth="1"/>
    <col min="7177" max="7181" width="8.28515625" customWidth="1"/>
    <col min="7182" max="7182" width="0.85546875" customWidth="1"/>
    <col min="7183" max="7187" width="8.28515625" customWidth="1"/>
    <col min="7188" max="7188" width="0.85546875" customWidth="1"/>
    <col min="7189" max="7193" width="8.28515625" customWidth="1"/>
    <col min="7194" max="7194" width="0.85546875" customWidth="1"/>
    <col min="7195" max="7199" width="8.28515625" customWidth="1"/>
    <col min="7200" max="7200" width="0.85546875" customWidth="1"/>
    <col min="7201" max="7205" width="8.28515625" customWidth="1"/>
    <col min="7206" max="7206" width="0.85546875" customWidth="1"/>
    <col min="7207" max="7211" width="8.28515625" customWidth="1"/>
    <col min="7212" max="7212" width="0.85546875" customWidth="1"/>
    <col min="7213" max="7217" width="8.28515625" customWidth="1"/>
    <col min="7218" max="7218" width="0.85546875" customWidth="1"/>
    <col min="7219" max="7223" width="8.28515625" customWidth="1"/>
    <col min="7224" max="7224" width="0.85546875" customWidth="1"/>
    <col min="7225" max="7229" width="8.28515625" customWidth="1"/>
    <col min="7230" max="7230" width="0.85546875" customWidth="1"/>
    <col min="7231" max="7235" width="8.28515625" customWidth="1"/>
    <col min="7236" max="7236" width="0.85546875" customWidth="1"/>
    <col min="7237" max="7241" width="8.28515625" customWidth="1"/>
    <col min="7242" max="7242" width="0.85546875" customWidth="1"/>
    <col min="7243" max="7247" width="8.28515625" customWidth="1"/>
    <col min="7248" max="7248" width="0.85546875" customWidth="1"/>
    <col min="7249" max="7253" width="8.28515625" customWidth="1"/>
    <col min="7254" max="7254" width="0.85546875" customWidth="1"/>
    <col min="7255" max="7259" width="8.28515625" customWidth="1"/>
    <col min="7425" max="7425" width="25.7109375" customWidth="1"/>
    <col min="7426" max="7426" width="0.85546875" customWidth="1"/>
    <col min="7427" max="7431" width="8.28515625" customWidth="1"/>
    <col min="7432" max="7432" width="0.85546875" customWidth="1"/>
    <col min="7433" max="7437" width="8.28515625" customWidth="1"/>
    <col min="7438" max="7438" width="0.85546875" customWidth="1"/>
    <col min="7439" max="7443" width="8.28515625" customWidth="1"/>
    <col min="7444" max="7444" width="0.85546875" customWidth="1"/>
    <col min="7445" max="7449" width="8.28515625" customWidth="1"/>
    <col min="7450" max="7450" width="0.85546875" customWidth="1"/>
    <col min="7451" max="7455" width="8.28515625" customWidth="1"/>
    <col min="7456" max="7456" width="0.85546875" customWidth="1"/>
    <col min="7457" max="7461" width="8.28515625" customWidth="1"/>
    <col min="7462" max="7462" width="0.85546875" customWidth="1"/>
    <col min="7463" max="7467" width="8.28515625" customWidth="1"/>
    <col min="7468" max="7468" width="0.85546875" customWidth="1"/>
    <col min="7469" max="7473" width="8.28515625" customWidth="1"/>
    <col min="7474" max="7474" width="0.85546875" customWidth="1"/>
    <col min="7475" max="7479" width="8.28515625" customWidth="1"/>
    <col min="7480" max="7480" width="0.85546875" customWidth="1"/>
    <col min="7481" max="7485" width="8.28515625" customWidth="1"/>
    <col min="7486" max="7486" width="0.85546875" customWidth="1"/>
    <col min="7487" max="7491" width="8.28515625" customWidth="1"/>
    <col min="7492" max="7492" width="0.85546875" customWidth="1"/>
    <col min="7493" max="7497" width="8.28515625" customWidth="1"/>
    <col min="7498" max="7498" width="0.85546875" customWidth="1"/>
    <col min="7499" max="7503" width="8.28515625" customWidth="1"/>
    <col min="7504" max="7504" width="0.85546875" customWidth="1"/>
    <col min="7505" max="7509" width="8.28515625" customWidth="1"/>
    <col min="7510" max="7510" width="0.85546875" customWidth="1"/>
    <col min="7511" max="7515" width="8.28515625" customWidth="1"/>
    <col min="7681" max="7681" width="25.7109375" customWidth="1"/>
    <col min="7682" max="7682" width="0.85546875" customWidth="1"/>
    <col min="7683" max="7687" width="8.28515625" customWidth="1"/>
    <col min="7688" max="7688" width="0.85546875" customWidth="1"/>
    <col min="7689" max="7693" width="8.28515625" customWidth="1"/>
    <col min="7694" max="7694" width="0.85546875" customWidth="1"/>
    <col min="7695" max="7699" width="8.28515625" customWidth="1"/>
    <col min="7700" max="7700" width="0.85546875" customWidth="1"/>
    <col min="7701" max="7705" width="8.28515625" customWidth="1"/>
    <col min="7706" max="7706" width="0.85546875" customWidth="1"/>
    <col min="7707" max="7711" width="8.28515625" customWidth="1"/>
    <col min="7712" max="7712" width="0.85546875" customWidth="1"/>
    <col min="7713" max="7717" width="8.28515625" customWidth="1"/>
    <col min="7718" max="7718" width="0.85546875" customWidth="1"/>
    <col min="7719" max="7723" width="8.28515625" customWidth="1"/>
    <col min="7724" max="7724" width="0.85546875" customWidth="1"/>
    <col min="7725" max="7729" width="8.28515625" customWidth="1"/>
    <col min="7730" max="7730" width="0.85546875" customWidth="1"/>
    <col min="7731" max="7735" width="8.28515625" customWidth="1"/>
    <col min="7736" max="7736" width="0.85546875" customWidth="1"/>
    <col min="7737" max="7741" width="8.28515625" customWidth="1"/>
    <col min="7742" max="7742" width="0.85546875" customWidth="1"/>
    <col min="7743" max="7747" width="8.28515625" customWidth="1"/>
    <col min="7748" max="7748" width="0.85546875" customWidth="1"/>
    <col min="7749" max="7753" width="8.28515625" customWidth="1"/>
    <col min="7754" max="7754" width="0.85546875" customWidth="1"/>
    <col min="7755" max="7759" width="8.28515625" customWidth="1"/>
    <col min="7760" max="7760" width="0.85546875" customWidth="1"/>
    <col min="7761" max="7765" width="8.28515625" customWidth="1"/>
    <col min="7766" max="7766" width="0.85546875" customWidth="1"/>
    <col min="7767" max="7771" width="8.28515625" customWidth="1"/>
    <col min="7937" max="7937" width="25.7109375" customWidth="1"/>
    <col min="7938" max="7938" width="0.85546875" customWidth="1"/>
    <col min="7939" max="7943" width="8.28515625" customWidth="1"/>
    <col min="7944" max="7944" width="0.85546875" customWidth="1"/>
    <col min="7945" max="7949" width="8.28515625" customWidth="1"/>
    <col min="7950" max="7950" width="0.85546875" customWidth="1"/>
    <col min="7951" max="7955" width="8.28515625" customWidth="1"/>
    <col min="7956" max="7956" width="0.85546875" customWidth="1"/>
    <col min="7957" max="7961" width="8.28515625" customWidth="1"/>
    <col min="7962" max="7962" width="0.85546875" customWidth="1"/>
    <col min="7963" max="7967" width="8.28515625" customWidth="1"/>
    <col min="7968" max="7968" width="0.85546875" customWidth="1"/>
    <col min="7969" max="7973" width="8.28515625" customWidth="1"/>
    <col min="7974" max="7974" width="0.85546875" customWidth="1"/>
    <col min="7975" max="7979" width="8.28515625" customWidth="1"/>
    <col min="7980" max="7980" width="0.85546875" customWidth="1"/>
    <col min="7981" max="7985" width="8.28515625" customWidth="1"/>
    <col min="7986" max="7986" width="0.85546875" customWidth="1"/>
    <col min="7987" max="7991" width="8.28515625" customWidth="1"/>
    <col min="7992" max="7992" width="0.85546875" customWidth="1"/>
    <col min="7993" max="7997" width="8.28515625" customWidth="1"/>
    <col min="7998" max="7998" width="0.85546875" customWidth="1"/>
    <col min="7999" max="8003" width="8.28515625" customWidth="1"/>
    <col min="8004" max="8004" width="0.85546875" customWidth="1"/>
    <col min="8005" max="8009" width="8.28515625" customWidth="1"/>
    <col min="8010" max="8010" width="0.85546875" customWidth="1"/>
    <col min="8011" max="8015" width="8.28515625" customWidth="1"/>
    <col min="8016" max="8016" width="0.85546875" customWidth="1"/>
    <col min="8017" max="8021" width="8.28515625" customWidth="1"/>
    <col min="8022" max="8022" width="0.85546875" customWidth="1"/>
    <col min="8023" max="8027" width="8.28515625" customWidth="1"/>
    <col min="8193" max="8193" width="25.7109375" customWidth="1"/>
    <col min="8194" max="8194" width="0.85546875" customWidth="1"/>
    <col min="8195" max="8199" width="8.28515625" customWidth="1"/>
    <col min="8200" max="8200" width="0.85546875" customWidth="1"/>
    <col min="8201" max="8205" width="8.28515625" customWidth="1"/>
    <col min="8206" max="8206" width="0.85546875" customWidth="1"/>
    <col min="8207" max="8211" width="8.28515625" customWidth="1"/>
    <col min="8212" max="8212" width="0.85546875" customWidth="1"/>
    <col min="8213" max="8217" width="8.28515625" customWidth="1"/>
    <col min="8218" max="8218" width="0.85546875" customWidth="1"/>
    <col min="8219" max="8223" width="8.28515625" customWidth="1"/>
    <col min="8224" max="8224" width="0.85546875" customWidth="1"/>
    <col min="8225" max="8229" width="8.28515625" customWidth="1"/>
    <col min="8230" max="8230" width="0.85546875" customWidth="1"/>
    <col min="8231" max="8235" width="8.28515625" customWidth="1"/>
    <col min="8236" max="8236" width="0.85546875" customWidth="1"/>
    <col min="8237" max="8241" width="8.28515625" customWidth="1"/>
    <col min="8242" max="8242" width="0.85546875" customWidth="1"/>
    <col min="8243" max="8247" width="8.28515625" customWidth="1"/>
    <col min="8248" max="8248" width="0.85546875" customWidth="1"/>
    <col min="8249" max="8253" width="8.28515625" customWidth="1"/>
    <col min="8254" max="8254" width="0.85546875" customWidth="1"/>
    <col min="8255" max="8259" width="8.28515625" customWidth="1"/>
    <col min="8260" max="8260" width="0.85546875" customWidth="1"/>
    <col min="8261" max="8265" width="8.28515625" customWidth="1"/>
    <col min="8266" max="8266" width="0.85546875" customWidth="1"/>
    <col min="8267" max="8271" width="8.28515625" customWidth="1"/>
    <col min="8272" max="8272" width="0.85546875" customWidth="1"/>
    <col min="8273" max="8277" width="8.28515625" customWidth="1"/>
    <col min="8278" max="8278" width="0.85546875" customWidth="1"/>
    <col min="8279" max="8283" width="8.28515625" customWidth="1"/>
    <col min="8449" max="8449" width="25.7109375" customWidth="1"/>
    <col min="8450" max="8450" width="0.85546875" customWidth="1"/>
    <col min="8451" max="8455" width="8.28515625" customWidth="1"/>
    <col min="8456" max="8456" width="0.85546875" customWidth="1"/>
    <col min="8457" max="8461" width="8.28515625" customWidth="1"/>
    <col min="8462" max="8462" width="0.85546875" customWidth="1"/>
    <col min="8463" max="8467" width="8.28515625" customWidth="1"/>
    <col min="8468" max="8468" width="0.85546875" customWidth="1"/>
    <col min="8469" max="8473" width="8.28515625" customWidth="1"/>
    <col min="8474" max="8474" width="0.85546875" customWidth="1"/>
    <col min="8475" max="8479" width="8.28515625" customWidth="1"/>
    <col min="8480" max="8480" width="0.85546875" customWidth="1"/>
    <col min="8481" max="8485" width="8.28515625" customWidth="1"/>
    <col min="8486" max="8486" width="0.85546875" customWidth="1"/>
    <col min="8487" max="8491" width="8.28515625" customWidth="1"/>
    <col min="8492" max="8492" width="0.85546875" customWidth="1"/>
    <col min="8493" max="8497" width="8.28515625" customWidth="1"/>
    <col min="8498" max="8498" width="0.85546875" customWidth="1"/>
    <col min="8499" max="8503" width="8.28515625" customWidth="1"/>
    <col min="8504" max="8504" width="0.85546875" customWidth="1"/>
    <col min="8505" max="8509" width="8.28515625" customWidth="1"/>
    <col min="8510" max="8510" width="0.85546875" customWidth="1"/>
    <col min="8511" max="8515" width="8.28515625" customWidth="1"/>
    <col min="8516" max="8516" width="0.85546875" customWidth="1"/>
    <col min="8517" max="8521" width="8.28515625" customWidth="1"/>
    <col min="8522" max="8522" width="0.85546875" customWidth="1"/>
    <col min="8523" max="8527" width="8.28515625" customWidth="1"/>
    <col min="8528" max="8528" width="0.85546875" customWidth="1"/>
    <col min="8529" max="8533" width="8.28515625" customWidth="1"/>
    <col min="8534" max="8534" width="0.85546875" customWidth="1"/>
    <col min="8535" max="8539" width="8.28515625" customWidth="1"/>
    <col min="8705" max="8705" width="25.7109375" customWidth="1"/>
    <col min="8706" max="8706" width="0.85546875" customWidth="1"/>
    <col min="8707" max="8711" width="8.28515625" customWidth="1"/>
    <col min="8712" max="8712" width="0.85546875" customWidth="1"/>
    <col min="8713" max="8717" width="8.28515625" customWidth="1"/>
    <col min="8718" max="8718" width="0.85546875" customWidth="1"/>
    <col min="8719" max="8723" width="8.28515625" customWidth="1"/>
    <col min="8724" max="8724" width="0.85546875" customWidth="1"/>
    <col min="8725" max="8729" width="8.28515625" customWidth="1"/>
    <col min="8730" max="8730" width="0.85546875" customWidth="1"/>
    <col min="8731" max="8735" width="8.28515625" customWidth="1"/>
    <col min="8736" max="8736" width="0.85546875" customWidth="1"/>
    <col min="8737" max="8741" width="8.28515625" customWidth="1"/>
    <col min="8742" max="8742" width="0.85546875" customWidth="1"/>
    <col min="8743" max="8747" width="8.28515625" customWidth="1"/>
    <col min="8748" max="8748" width="0.85546875" customWidth="1"/>
    <col min="8749" max="8753" width="8.28515625" customWidth="1"/>
    <col min="8754" max="8754" width="0.85546875" customWidth="1"/>
    <col min="8755" max="8759" width="8.28515625" customWidth="1"/>
    <col min="8760" max="8760" width="0.85546875" customWidth="1"/>
    <col min="8761" max="8765" width="8.28515625" customWidth="1"/>
    <col min="8766" max="8766" width="0.85546875" customWidth="1"/>
    <col min="8767" max="8771" width="8.28515625" customWidth="1"/>
    <col min="8772" max="8772" width="0.85546875" customWidth="1"/>
    <col min="8773" max="8777" width="8.28515625" customWidth="1"/>
    <col min="8778" max="8778" width="0.85546875" customWidth="1"/>
    <col min="8779" max="8783" width="8.28515625" customWidth="1"/>
    <col min="8784" max="8784" width="0.85546875" customWidth="1"/>
    <col min="8785" max="8789" width="8.28515625" customWidth="1"/>
    <col min="8790" max="8790" width="0.85546875" customWidth="1"/>
    <col min="8791" max="8795" width="8.28515625" customWidth="1"/>
    <col min="8961" max="8961" width="25.7109375" customWidth="1"/>
    <col min="8962" max="8962" width="0.85546875" customWidth="1"/>
    <col min="8963" max="8967" width="8.28515625" customWidth="1"/>
    <col min="8968" max="8968" width="0.85546875" customWidth="1"/>
    <col min="8969" max="8973" width="8.28515625" customWidth="1"/>
    <col min="8974" max="8974" width="0.85546875" customWidth="1"/>
    <col min="8975" max="8979" width="8.28515625" customWidth="1"/>
    <col min="8980" max="8980" width="0.85546875" customWidth="1"/>
    <col min="8981" max="8985" width="8.28515625" customWidth="1"/>
    <col min="8986" max="8986" width="0.85546875" customWidth="1"/>
    <col min="8987" max="8991" width="8.28515625" customWidth="1"/>
    <col min="8992" max="8992" width="0.85546875" customWidth="1"/>
    <col min="8993" max="8997" width="8.28515625" customWidth="1"/>
    <col min="8998" max="8998" width="0.85546875" customWidth="1"/>
    <col min="8999" max="9003" width="8.28515625" customWidth="1"/>
    <col min="9004" max="9004" width="0.85546875" customWidth="1"/>
    <col min="9005" max="9009" width="8.28515625" customWidth="1"/>
    <col min="9010" max="9010" width="0.85546875" customWidth="1"/>
    <col min="9011" max="9015" width="8.28515625" customWidth="1"/>
    <col min="9016" max="9016" width="0.85546875" customWidth="1"/>
    <col min="9017" max="9021" width="8.28515625" customWidth="1"/>
    <col min="9022" max="9022" width="0.85546875" customWidth="1"/>
    <col min="9023" max="9027" width="8.28515625" customWidth="1"/>
    <col min="9028" max="9028" width="0.85546875" customWidth="1"/>
    <col min="9029" max="9033" width="8.28515625" customWidth="1"/>
    <col min="9034" max="9034" width="0.85546875" customWidth="1"/>
    <col min="9035" max="9039" width="8.28515625" customWidth="1"/>
    <col min="9040" max="9040" width="0.85546875" customWidth="1"/>
    <col min="9041" max="9045" width="8.28515625" customWidth="1"/>
    <col min="9046" max="9046" width="0.85546875" customWidth="1"/>
    <col min="9047" max="9051" width="8.28515625" customWidth="1"/>
    <col min="9217" max="9217" width="25.7109375" customWidth="1"/>
    <col min="9218" max="9218" width="0.85546875" customWidth="1"/>
    <col min="9219" max="9223" width="8.28515625" customWidth="1"/>
    <col min="9224" max="9224" width="0.85546875" customWidth="1"/>
    <col min="9225" max="9229" width="8.28515625" customWidth="1"/>
    <col min="9230" max="9230" width="0.85546875" customWidth="1"/>
    <col min="9231" max="9235" width="8.28515625" customWidth="1"/>
    <col min="9236" max="9236" width="0.85546875" customWidth="1"/>
    <col min="9237" max="9241" width="8.28515625" customWidth="1"/>
    <col min="9242" max="9242" width="0.85546875" customWidth="1"/>
    <col min="9243" max="9247" width="8.28515625" customWidth="1"/>
    <col min="9248" max="9248" width="0.85546875" customWidth="1"/>
    <col min="9249" max="9253" width="8.28515625" customWidth="1"/>
    <col min="9254" max="9254" width="0.85546875" customWidth="1"/>
    <col min="9255" max="9259" width="8.28515625" customWidth="1"/>
    <col min="9260" max="9260" width="0.85546875" customWidth="1"/>
    <col min="9261" max="9265" width="8.28515625" customWidth="1"/>
    <col min="9266" max="9266" width="0.85546875" customWidth="1"/>
    <col min="9267" max="9271" width="8.28515625" customWidth="1"/>
    <col min="9272" max="9272" width="0.85546875" customWidth="1"/>
    <col min="9273" max="9277" width="8.28515625" customWidth="1"/>
    <col min="9278" max="9278" width="0.85546875" customWidth="1"/>
    <col min="9279" max="9283" width="8.28515625" customWidth="1"/>
    <col min="9284" max="9284" width="0.85546875" customWidth="1"/>
    <col min="9285" max="9289" width="8.28515625" customWidth="1"/>
    <col min="9290" max="9290" width="0.85546875" customWidth="1"/>
    <col min="9291" max="9295" width="8.28515625" customWidth="1"/>
    <col min="9296" max="9296" width="0.85546875" customWidth="1"/>
    <col min="9297" max="9301" width="8.28515625" customWidth="1"/>
    <col min="9302" max="9302" width="0.85546875" customWidth="1"/>
    <col min="9303" max="9307" width="8.28515625" customWidth="1"/>
    <col min="9473" max="9473" width="25.7109375" customWidth="1"/>
    <col min="9474" max="9474" width="0.85546875" customWidth="1"/>
    <col min="9475" max="9479" width="8.28515625" customWidth="1"/>
    <col min="9480" max="9480" width="0.85546875" customWidth="1"/>
    <col min="9481" max="9485" width="8.28515625" customWidth="1"/>
    <col min="9486" max="9486" width="0.85546875" customWidth="1"/>
    <col min="9487" max="9491" width="8.28515625" customWidth="1"/>
    <col min="9492" max="9492" width="0.85546875" customWidth="1"/>
    <col min="9493" max="9497" width="8.28515625" customWidth="1"/>
    <col min="9498" max="9498" width="0.85546875" customWidth="1"/>
    <col min="9499" max="9503" width="8.28515625" customWidth="1"/>
    <col min="9504" max="9504" width="0.85546875" customWidth="1"/>
    <col min="9505" max="9509" width="8.28515625" customWidth="1"/>
    <col min="9510" max="9510" width="0.85546875" customWidth="1"/>
    <col min="9511" max="9515" width="8.28515625" customWidth="1"/>
    <col min="9516" max="9516" width="0.85546875" customWidth="1"/>
    <col min="9517" max="9521" width="8.28515625" customWidth="1"/>
    <col min="9522" max="9522" width="0.85546875" customWidth="1"/>
    <col min="9523" max="9527" width="8.28515625" customWidth="1"/>
    <col min="9528" max="9528" width="0.85546875" customWidth="1"/>
    <col min="9529" max="9533" width="8.28515625" customWidth="1"/>
    <col min="9534" max="9534" width="0.85546875" customWidth="1"/>
    <col min="9535" max="9539" width="8.28515625" customWidth="1"/>
    <col min="9540" max="9540" width="0.85546875" customWidth="1"/>
    <col min="9541" max="9545" width="8.28515625" customWidth="1"/>
    <col min="9546" max="9546" width="0.85546875" customWidth="1"/>
    <col min="9547" max="9551" width="8.28515625" customWidth="1"/>
    <col min="9552" max="9552" width="0.85546875" customWidth="1"/>
    <col min="9553" max="9557" width="8.28515625" customWidth="1"/>
    <col min="9558" max="9558" width="0.85546875" customWidth="1"/>
    <col min="9559" max="9563" width="8.28515625" customWidth="1"/>
    <col min="9729" max="9729" width="25.7109375" customWidth="1"/>
    <col min="9730" max="9730" width="0.85546875" customWidth="1"/>
    <col min="9731" max="9735" width="8.28515625" customWidth="1"/>
    <col min="9736" max="9736" width="0.85546875" customWidth="1"/>
    <col min="9737" max="9741" width="8.28515625" customWidth="1"/>
    <col min="9742" max="9742" width="0.85546875" customWidth="1"/>
    <col min="9743" max="9747" width="8.28515625" customWidth="1"/>
    <col min="9748" max="9748" width="0.85546875" customWidth="1"/>
    <col min="9749" max="9753" width="8.28515625" customWidth="1"/>
    <col min="9754" max="9754" width="0.85546875" customWidth="1"/>
    <col min="9755" max="9759" width="8.28515625" customWidth="1"/>
    <col min="9760" max="9760" width="0.85546875" customWidth="1"/>
    <col min="9761" max="9765" width="8.28515625" customWidth="1"/>
    <col min="9766" max="9766" width="0.85546875" customWidth="1"/>
    <col min="9767" max="9771" width="8.28515625" customWidth="1"/>
    <col min="9772" max="9772" width="0.85546875" customWidth="1"/>
    <col min="9773" max="9777" width="8.28515625" customWidth="1"/>
    <col min="9778" max="9778" width="0.85546875" customWidth="1"/>
    <col min="9779" max="9783" width="8.28515625" customWidth="1"/>
    <col min="9784" max="9784" width="0.85546875" customWidth="1"/>
    <col min="9785" max="9789" width="8.28515625" customWidth="1"/>
    <col min="9790" max="9790" width="0.85546875" customWidth="1"/>
    <col min="9791" max="9795" width="8.28515625" customWidth="1"/>
    <col min="9796" max="9796" width="0.85546875" customWidth="1"/>
    <col min="9797" max="9801" width="8.28515625" customWidth="1"/>
    <col min="9802" max="9802" width="0.85546875" customWidth="1"/>
    <col min="9803" max="9807" width="8.28515625" customWidth="1"/>
    <col min="9808" max="9808" width="0.85546875" customWidth="1"/>
    <col min="9809" max="9813" width="8.28515625" customWidth="1"/>
    <col min="9814" max="9814" width="0.85546875" customWidth="1"/>
    <col min="9815" max="9819" width="8.28515625" customWidth="1"/>
    <col min="9985" max="9985" width="25.7109375" customWidth="1"/>
    <col min="9986" max="9986" width="0.85546875" customWidth="1"/>
    <col min="9987" max="9991" width="8.28515625" customWidth="1"/>
    <col min="9992" max="9992" width="0.85546875" customWidth="1"/>
    <col min="9993" max="9997" width="8.28515625" customWidth="1"/>
    <col min="9998" max="9998" width="0.85546875" customWidth="1"/>
    <col min="9999" max="10003" width="8.28515625" customWidth="1"/>
    <col min="10004" max="10004" width="0.85546875" customWidth="1"/>
    <col min="10005" max="10009" width="8.28515625" customWidth="1"/>
    <col min="10010" max="10010" width="0.85546875" customWidth="1"/>
    <col min="10011" max="10015" width="8.28515625" customWidth="1"/>
    <col min="10016" max="10016" width="0.85546875" customWidth="1"/>
    <col min="10017" max="10021" width="8.28515625" customWidth="1"/>
    <col min="10022" max="10022" width="0.85546875" customWidth="1"/>
    <col min="10023" max="10027" width="8.28515625" customWidth="1"/>
    <col min="10028" max="10028" width="0.85546875" customWidth="1"/>
    <col min="10029" max="10033" width="8.28515625" customWidth="1"/>
    <col min="10034" max="10034" width="0.85546875" customWidth="1"/>
    <col min="10035" max="10039" width="8.28515625" customWidth="1"/>
    <col min="10040" max="10040" width="0.85546875" customWidth="1"/>
    <col min="10041" max="10045" width="8.28515625" customWidth="1"/>
    <col min="10046" max="10046" width="0.85546875" customWidth="1"/>
    <col min="10047" max="10051" width="8.28515625" customWidth="1"/>
    <col min="10052" max="10052" width="0.85546875" customWidth="1"/>
    <col min="10053" max="10057" width="8.28515625" customWidth="1"/>
    <col min="10058" max="10058" width="0.85546875" customWidth="1"/>
    <col min="10059" max="10063" width="8.28515625" customWidth="1"/>
    <col min="10064" max="10064" width="0.85546875" customWidth="1"/>
    <col min="10065" max="10069" width="8.28515625" customWidth="1"/>
    <col min="10070" max="10070" width="0.85546875" customWidth="1"/>
    <col min="10071" max="10075" width="8.28515625" customWidth="1"/>
    <col min="10241" max="10241" width="25.7109375" customWidth="1"/>
    <col min="10242" max="10242" width="0.85546875" customWidth="1"/>
    <col min="10243" max="10247" width="8.28515625" customWidth="1"/>
    <col min="10248" max="10248" width="0.85546875" customWidth="1"/>
    <col min="10249" max="10253" width="8.28515625" customWidth="1"/>
    <col min="10254" max="10254" width="0.85546875" customWidth="1"/>
    <col min="10255" max="10259" width="8.28515625" customWidth="1"/>
    <col min="10260" max="10260" width="0.85546875" customWidth="1"/>
    <col min="10261" max="10265" width="8.28515625" customWidth="1"/>
    <col min="10266" max="10266" width="0.85546875" customWidth="1"/>
    <col min="10267" max="10271" width="8.28515625" customWidth="1"/>
    <col min="10272" max="10272" width="0.85546875" customWidth="1"/>
    <col min="10273" max="10277" width="8.28515625" customWidth="1"/>
    <col min="10278" max="10278" width="0.85546875" customWidth="1"/>
    <col min="10279" max="10283" width="8.28515625" customWidth="1"/>
    <col min="10284" max="10284" width="0.85546875" customWidth="1"/>
    <col min="10285" max="10289" width="8.28515625" customWidth="1"/>
    <col min="10290" max="10290" width="0.85546875" customWidth="1"/>
    <col min="10291" max="10295" width="8.28515625" customWidth="1"/>
    <col min="10296" max="10296" width="0.85546875" customWidth="1"/>
    <col min="10297" max="10301" width="8.28515625" customWidth="1"/>
    <col min="10302" max="10302" width="0.85546875" customWidth="1"/>
    <col min="10303" max="10307" width="8.28515625" customWidth="1"/>
    <col min="10308" max="10308" width="0.85546875" customWidth="1"/>
    <col min="10309" max="10313" width="8.28515625" customWidth="1"/>
    <col min="10314" max="10314" width="0.85546875" customWidth="1"/>
    <col min="10315" max="10319" width="8.28515625" customWidth="1"/>
    <col min="10320" max="10320" width="0.85546875" customWidth="1"/>
    <col min="10321" max="10325" width="8.28515625" customWidth="1"/>
    <col min="10326" max="10326" width="0.85546875" customWidth="1"/>
    <col min="10327" max="10331" width="8.28515625" customWidth="1"/>
    <col min="10497" max="10497" width="25.7109375" customWidth="1"/>
    <col min="10498" max="10498" width="0.85546875" customWidth="1"/>
    <col min="10499" max="10503" width="8.28515625" customWidth="1"/>
    <col min="10504" max="10504" width="0.85546875" customWidth="1"/>
    <col min="10505" max="10509" width="8.28515625" customWidth="1"/>
    <col min="10510" max="10510" width="0.85546875" customWidth="1"/>
    <col min="10511" max="10515" width="8.28515625" customWidth="1"/>
    <col min="10516" max="10516" width="0.85546875" customWidth="1"/>
    <col min="10517" max="10521" width="8.28515625" customWidth="1"/>
    <col min="10522" max="10522" width="0.85546875" customWidth="1"/>
    <col min="10523" max="10527" width="8.28515625" customWidth="1"/>
    <col min="10528" max="10528" width="0.85546875" customWidth="1"/>
    <col min="10529" max="10533" width="8.28515625" customWidth="1"/>
    <col min="10534" max="10534" width="0.85546875" customWidth="1"/>
    <col min="10535" max="10539" width="8.28515625" customWidth="1"/>
    <col min="10540" max="10540" width="0.85546875" customWidth="1"/>
    <col min="10541" max="10545" width="8.28515625" customWidth="1"/>
    <col min="10546" max="10546" width="0.85546875" customWidth="1"/>
    <col min="10547" max="10551" width="8.28515625" customWidth="1"/>
    <col min="10552" max="10552" width="0.85546875" customWidth="1"/>
    <col min="10553" max="10557" width="8.28515625" customWidth="1"/>
    <col min="10558" max="10558" width="0.85546875" customWidth="1"/>
    <col min="10559" max="10563" width="8.28515625" customWidth="1"/>
    <col min="10564" max="10564" width="0.85546875" customWidth="1"/>
    <col min="10565" max="10569" width="8.28515625" customWidth="1"/>
    <col min="10570" max="10570" width="0.85546875" customWidth="1"/>
    <col min="10571" max="10575" width="8.28515625" customWidth="1"/>
    <col min="10576" max="10576" width="0.85546875" customWidth="1"/>
    <col min="10577" max="10581" width="8.28515625" customWidth="1"/>
    <col min="10582" max="10582" width="0.85546875" customWidth="1"/>
    <col min="10583" max="10587" width="8.28515625" customWidth="1"/>
    <col min="10753" max="10753" width="25.7109375" customWidth="1"/>
    <col min="10754" max="10754" width="0.85546875" customWidth="1"/>
    <col min="10755" max="10759" width="8.28515625" customWidth="1"/>
    <col min="10760" max="10760" width="0.85546875" customWidth="1"/>
    <col min="10761" max="10765" width="8.28515625" customWidth="1"/>
    <col min="10766" max="10766" width="0.85546875" customWidth="1"/>
    <col min="10767" max="10771" width="8.28515625" customWidth="1"/>
    <col min="10772" max="10772" width="0.85546875" customWidth="1"/>
    <col min="10773" max="10777" width="8.28515625" customWidth="1"/>
    <col min="10778" max="10778" width="0.85546875" customWidth="1"/>
    <col min="10779" max="10783" width="8.28515625" customWidth="1"/>
    <col min="10784" max="10784" width="0.85546875" customWidth="1"/>
    <col min="10785" max="10789" width="8.28515625" customWidth="1"/>
    <col min="10790" max="10790" width="0.85546875" customWidth="1"/>
    <col min="10791" max="10795" width="8.28515625" customWidth="1"/>
    <col min="10796" max="10796" width="0.85546875" customWidth="1"/>
    <col min="10797" max="10801" width="8.28515625" customWidth="1"/>
    <col min="10802" max="10802" width="0.85546875" customWidth="1"/>
    <col min="10803" max="10807" width="8.28515625" customWidth="1"/>
    <col min="10808" max="10808" width="0.85546875" customWidth="1"/>
    <col min="10809" max="10813" width="8.28515625" customWidth="1"/>
    <col min="10814" max="10814" width="0.85546875" customWidth="1"/>
    <col min="10815" max="10819" width="8.28515625" customWidth="1"/>
    <col min="10820" max="10820" width="0.85546875" customWidth="1"/>
    <col min="10821" max="10825" width="8.28515625" customWidth="1"/>
    <col min="10826" max="10826" width="0.85546875" customWidth="1"/>
    <col min="10827" max="10831" width="8.28515625" customWidth="1"/>
    <col min="10832" max="10832" width="0.85546875" customWidth="1"/>
    <col min="10833" max="10837" width="8.28515625" customWidth="1"/>
    <col min="10838" max="10838" width="0.85546875" customWidth="1"/>
    <col min="10839" max="10843" width="8.28515625" customWidth="1"/>
    <col min="11009" max="11009" width="25.7109375" customWidth="1"/>
    <col min="11010" max="11010" width="0.85546875" customWidth="1"/>
    <col min="11011" max="11015" width="8.28515625" customWidth="1"/>
    <col min="11016" max="11016" width="0.85546875" customWidth="1"/>
    <col min="11017" max="11021" width="8.28515625" customWidth="1"/>
    <col min="11022" max="11022" width="0.85546875" customWidth="1"/>
    <col min="11023" max="11027" width="8.28515625" customWidth="1"/>
    <col min="11028" max="11028" width="0.85546875" customWidth="1"/>
    <col min="11029" max="11033" width="8.28515625" customWidth="1"/>
    <col min="11034" max="11034" width="0.85546875" customWidth="1"/>
    <col min="11035" max="11039" width="8.28515625" customWidth="1"/>
    <col min="11040" max="11040" width="0.85546875" customWidth="1"/>
    <col min="11041" max="11045" width="8.28515625" customWidth="1"/>
    <col min="11046" max="11046" width="0.85546875" customWidth="1"/>
    <col min="11047" max="11051" width="8.28515625" customWidth="1"/>
    <col min="11052" max="11052" width="0.85546875" customWidth="1"/>
    <col min="11053" max="11057" width="8.28515625" customWidth="1"/>
    <col min="11058" max="11058" width="0.85546875" customWidth="1"/>
    <col min="11059" max="11063" width="8.28515625" customWidth="1"/>
    <col min="11064" max="11064" width="0.85546875" customWidth="1"/>
    <col min="11065" max="11069" width="8.28515625" customWidth="1"/>
    <col min="11070" max="11070" width="0.85546875" customWidth="1"/>
    <col min="11071" max="11075" width="8.28515625" customWidth="1"/>
    <col min="11076" max="11076" width="0.85546875" customWidth="1"/>
    <col min="11077" max="11081" width="8.28515625" customWidth="1"/>
    <col min="11082" max="11082" width="0.85546875" customWidth="1"/>
    <col min="11083" max="11087" width="8.28515625" customWidth="1"/>
    <col min="11088" max="11088" width="0.85546875" customWidth="1"/>
    <col min="11089" max="11093" width="8.28515625" customWidth="1"/>
    <col min="11094" max="11094" width="0.85546875" customWidth="1"/>
    <col min="11095" max="11099" width="8.28515625" customWidth="1"/>
    <col min="11265" max="11265" width="25.7109375" customWidth="1"/>
    <col min="11266" max="11266" width="0.85546875" customWidth="1"/>
    <col min="11267" max="11271" width="8.28515625" customWidth="1"/>
    <col min="11272" max="11272" width="0.85546875" customWidth="1"/>
    <col min="11273" max="11277" width="8.28515625" customWidth="1"/>
    <col min="11278" max="11278" width="0.85546875" customWidth="1"/>
    <col min="11279" max="11283" width="8.28515625" customWidth="1"/>
    <col min="11284" max="11284" width="0.85546875" customWidth="1"/>
    <col min="11285" max="11289" width="8.28515625" customWidth="1"/>
    <col min="11290" max="11290" width="0.85546875" customWidth="1"/>
    <col min="11291" max="11295" width="8.28515625" customWidth="1"/>
    <col min="11296" max="11296" width="0.85546875" customWidth="1"/>
    <col min="11297" max="11301" width="8.28515625" customWidth="1"/>
    <col min="11302" max="11302" width="0.85546875" customWidth="1"/>
    <col min="11303" max="11307" width="8.28515625" customWidth="1"/>
    <col min="11308" max="11308" width="0.85546875" customWidth="1"/>
    <col min="11309" max="11313" width="8.28515625" customWidth="1"/>
    <col min="11314" max="11314" width="0.85546875" customWidth="1"/>
    <col min="11315" max="11319" width="8.28515625" customWidth="1"/>
    <col min="11320" max="11320" width="0.85546875" customWidth="1"/>
    <col min="11321" max="11325" width="8.28515625" customWidth="1"/>
    <col min="11326" max="11326" width="0.85546875" customWidth="1"/>
    <col min="11327" max="11331" width="8.28515625" customWidth="1"/>
    <col min="11332" max="11332" width="0.85546875" customWidth="1"/>
    <col min="11333" max="11337" width="8.28515625" customWidth="1"/>
    <col min="11338" max="11338" width="0.85546875" customWidth="1"/>
    <col min="11339" max="11343" width="8.28515625" customWidth="1"/>
    <col min="11344" max="11344" width="0.85546875" customWidth="1"/>
    <col min="11345" max="11349" width="8.28515625" customWidth="1"/>
    <col min="11350" max="11350" width="0.85546875" customWidth="1"/>
    <col min="11351" max="11355" width="8.28515625" customWidth="1"/>
    <col min="11521" max="11521" width="25.7109375" customWidth="1"/>
    <col min="11522" max="11522" width="0.85546875" customWidth="1"/>
    <col min="11523" max="11527" width="8.28515625" customWidth="1"/>
    <col min="11528" max="11528" width="0.85546875" customWidth="1"/>
    <col min="11529" max="11533" width="8.28515625" customWidth="1"/>
    <col min="11534" max="11534" width="0.85546875" customWidth="1"/>
    <col min="11535" max="11539" width="8.28515625" customWidth="1"/>
    <col min="11540" max="11540" width="0.85546875" customWidth="1"/>
    <col min="11541" max="11545" width="8.28515625" customWidth="1"/>
    <col min="11546" max="11546" width="0.85546875" customWidth="1"/>
    <col min="11547" max="11551" width="8.28515625" customWidth="1"/>
    <col min="11552" max="11552" width="0.85546875" customWidth="1"/>
    <col min="11553" max="11557" width="8.28515625" customWidth="1"/>
    <col min="11558" max="11558" width="0.85546875" customWidth="1"/>
    <col min="11559" max="11563" width="8.28515625" customWidth="1"/>
    <col min="11564" max="11564" width="0.85546875" customWidth="1"/>
    <col min="11565" max="11569" width="8.28515625" customWidth="1"/>
    <col min="11570" max="11570" width="0.85546875" customWidth="1"/>
    <col min="11571" max="11575" width="8.28515625" customWidth="1"/>
    <col min="11576" max="11576" width="0.85546875" customWidth="1"/>
    <col min="11577" max="11581" width="8.28515625" customWidth="1"/>
    <col min="11582" max="11582" width="0.85546875" customWidth="1"/>
    <col min="11583" max="11587" width="8.28515625" customWidth="1"/>
    <col min="11588" max="11588" width="0.85546875" customWidth="1"/>
    <col min="11589" max="11593" width="8.28515625" customWidth="1"/>
    <col min="11594" max="11594" width="0.85546875" customWidth="1"/>
    <col min="11595" max="11599" width="8.28515625" customWidth="1"/>
    <col min="11600" max="11600" width="0.85546875" customWidth="1"/>
    <col min="11601" max="11605" width="8.28515625" customWidth="1"/>
    <col min="11606" max="11606" width="0.85546875" customWidth="1"/>
    <col min="11607" max="11611" width="8.28515625" customWidth="1"/>
    <col min="11777" max="11777" width="25.7109375" customWidth="1"/>
    <col min="11778" max="11778" width="0.85546875" customWidth="1"/>
    <col min="11779" max="11783" width="8.28515625" customWidth="1"/>
    <col min="11784" max="11784" width="0.85546875" customWidth="1"/>
    <col min="11785" max="11789" width="8.28515625" customWidth="1"/>
    <col min="11790" max="11790" width="0.85546875" customWidth="1"/>
    <col min="11791" max="11795" width="8.28515625" customWidth="1"/>
    <col min="11796" max="11796" width="0.85546875" customWidth="1"/>
    <col min="11797" max="11801" width="8.28515625" customWidth="1"/>
    <col min="11802" max="11802" width="0.85546875" customWidth="1"/>
    <col min="11803" max="11807" width="8.28515625" customWidth="1"/>
    <col min="11808" max="11808" width="0.85546875" customWidth="1"/>
    <col min="11809" max="11813" width="8.28515625" customWidth="1"/>
    <col min="11814" max="11814" width="0.85546875" customWidth="1"/>
    <col min="11815" max="11819" width="8.28515625" customWidth="1"/>
    <col min="11820" max="11820" width="0.85546875" customWidth="1"/>
    <col min="11821" max="11825" width="8.28515625" customWidth="1"/>
    <col min="11826" max="11826" width="0.85546875" customWidth="1"/>
    <col min="11827" max="11831" width="8.28515625" customWidth="1"/>
    <col min="11832" max="11832" width="0.85546875" customWidth="1"/>
    <col min="11833" max="11837" width="8.28515625" customWidth="1"/>
    <col min="11838" max="11838" width="0.85546875" customWidth="1"/>
    <col min="11839" max="11843" width="8.28515625" customWidth="1"/>
    <col min="11844" max="11844" width="0.85546875" customWidth="1"/>
    <col min="11845" max="11849" width="8.28515625" customWidth="1"/>
    <col min="11850" max="11850" width="0.85546875" customWidth="1"/>
    <col min="11851" max="11855" width="8.28515625" customWidth="1"/>
    <col min="11856" max="11856" width="0.85546875" customWidth="1"/>
    <col min="11857" max="11861" width="8.28515625" customWidth="1"/>
    <col min="11862" max="11862" width="0.85546875" customWidth="1"/>
    <col min="11863" max="11867" width="8.28515625" customWidth="1"/>
    <col min="12033" max="12033" width="25.7109375" customWidth="1"/>
    <col min="12034" max="12034" width="0.85546875" customWidth="1"/>
    <col min="12035" max="12039" width="8.28515625" customWidth="1"/>
    <col min="12040" max="12040" width="0.85546875" customWidth="1"/>
    <col min="12041" max="12045" width="8.28515625" customWidth="1"/>
    <col min="12046" max="12046" width="0.85546875" customWidth="1"/>
    <col min="12047" max="12051" width="8.28515625" customWidth="1"/>
    <col min="12052" max="12052" width="0.85546875" customWidth="1"/>
    <col min="12053" max="12057" width="8.28515625" customWidth="1"/>
    <col min="12058" max="12058" width="0.85546875" customWidth="1"/>
    <col min="12059" max="12063" width="8.28515625" customWidth="1"/>
    <col min="12064" max="12064" width="0.85546875" customWidth="1"/>
    <col min="12065" max="12069" width="8.28515625" customWidth="1"/>
    <col min="12070" max="12070" width="0.85546875" customWidth="1"/>
    <col min="12071" max="12075" width="8.28515625" customWidth="1"/>
    <col min="12076" max="12076" width="0.85546875" customWidth="1"/>
    <col min="12077" max="12081" width="8.28515625" customWidth="1"/>
    <col min="12082" max="12082" width="0.85546875" customWidth="1"/>
    <col min="12083" max="12087" width="8.28515625" customWidth="1"/>
    <col min="12088" max="12088" width="0.85546875" customWidth="1"/>
    <col min="12089" max="12093" width="8.28515625" customWidth="1"/>
    <col min="12094" max="12094" width="0.85546875" customWidth="1"/>
    <col min="12095" max="12099" width="8.28515625" customWidth="1"/>
    <col min="12100" max="12100" width="0.85546875" customWidth="1"/>
    <col min="12101" max="12105" width="8.28515625" customWidth="1"/>
    <col min="12106" max="12106" width="0.85546875" customWidth="1"/>
    <col min="12107" max="12111" width="8.28515625" customWidth="1"/>
    <col min="12112" max="12112" width="0.85546875" customWidth="1"/>
    <col min="12113" max="12117" width="8.28515625" customWidth="1"/>
    <col min="12118" max="12118" width="0.85546875" customWidth="1"/>
    <col min="12119" max="12123" width="8.28515625" customWidth="1"/>
    <col min="12289" max="12289" width="25.7109375" customWidth="1"/>
    <col min="12290" max="12290" width="0.85546875" customWidth="1"/>
    <col min="12291" max="12295" width="8.28515625" customWidth="1"/>
    <col min="12296" max="12296" width="0.85546875" customWidth="1"/>
    <col min="12297" max="12301" width="8.28515625" customWidth="1"/>
    <col min="12302" max="12302" width="0.85546875" customWidth="1"/>
    <col min="12303" max="12307" width="8.28515625" customWidth="1"/>
    <col min="12308" max="12308" width="0.85546875" customWidth="1"/>
    <col min="12309" max="12313" width="8.28515625" customWidth="1"/>
    <col min="12314" max="12314" width="0.85546875" customWidth="1"/>
    <col min="12315" max="12319" width="8.28515625" customWidth="1"/>
    <col min="12320" max="12320" width="0.85546875" customWidth="1"/>
    <col min="12321" max="12325" width="8.28515625" customWidth="1"/>
    <col min="12326" max="12326" width="0.85546875" customWidth="1"/>
    <col min="12327" max="12331" width="8.28515625" customWidth="1"/>
    <col min="12332" max="12332" width="0.85546875" customWidth="1"/>
    <col min="12333" max="12337" width="8.28515625" customWidth="1"/>
    <col min="12338" max="12338" width="0.85546875" customWidth="1"/>
    <col min="12339" max="12343" width="8.28515625" customWidth="1"/>
    <col min="12344" max="12344" width="0.85546875" customWidth="1"/>
    <col min="12345" max="12349" width="8.28515625" customWidth="1"/>
    <col min="12350" max="12350" width="0.85546875" customWidth="1"/>
    <col min="12351" max="12355" width="8.28515625" customWidth="1"/>
    <col min="12356" max="12356" width="0.85546875" customWidth="1"/>
    <col min="12357" max="12361" width="8.28515625" customWidth="1"/>
    <col min="12362" max="12362" width="0.85546875" customWidth="1"/>
    <col min="12363" max="12367" width="8.28515625" customWidth="1"/>
    <col min="12368" max="12368" width="0.85546875" customWidth="1"/>
    <col min="12369" max="12373" width="8.28515625" customWidth="1"/>
    <col min="12374" max="12374" width="0.85546875" customWidth="1"/>
    <col min="12375" max="12379" width="8.28515625" customWidth="1"/>
    <col min="12545" max="12545" width="25.7109375" customWidth="1"/>
    <col min="12546" max="12546" width="0.85546875" customWidth="1"/>
    <col min="12547" max="12551" width="8.28515625" customWidth="1"/>
    <col min="12552" max="12552" width="0.85546875" customWidth="1"/>
    <col min="12553" max="12557" width="8.28515625" customWidth="1"/>
    <col min="12558" max="12558" width="0.85546875" customWidth="1"/>
    <col min="12559" max="12563" width="8.28515625" customWidth="1"/>
    <col min="12564" max="12564" width="0.85546875" customWidth="1"/>
    <col min="12565" max="12569" width="8.28515625" customWidth="1"/>
    <col min="12570" max="12570" width="0.85546875" customWidth="1"/>
    <col min="12571" max="12575" width="8.28515625" customWidth="1"/>
    <col min="12576" max="12576" width="0.85546875" customWidth="1"/>
    <col min="12577" max="12581" width="8.28515625" customWidth="1"/>
    <col min="12582" max="12582" width="0.85546875" customWidth="1"/>
    <col min="12583" max="12587" width="8.28515625" customWidth="1"/>
    <col min="12588" max="12588" width="0.85546875" customWidth="1"/>
    <col min="12589" max="12593" width="8.28515625" customWidth="1"/>
    <col min="12594" max="12594" width="0.85546875" customWidth="1"/>
    <col min="12595" max="12599" width="8.28515625" customWidth="1"/>
    <col min="12600" max="12600" width="0.85546875" customWidth="1"/>
    <col min="12601" max="12605" width="8.28515625" customWidth="1"/>
    <col min="12606" max="12606" width="0.85546875" customWidth="1"/>
    <col min="12607" max="12611" width="8.28515625" customWidth="1"/>
    <col min="12612" max="12612" width="0.85546875" customWidth="1"/>
    <col min="12613" max="12617" width="8.28515625" customWidth="1"/>
    <col min="12618" max="12618" width="0.85546875" customWidth="1"/>
    <col min="12619" max="12623" width="8.28515625" customWidth="1"/>
    <col min="12624" max="12624" width="0.85546875" customWidth="1"/>
    <col min="12625" max="12629" width="8.28515625" customWidth="1"/>
    <col min="12630" max="12630" width="0.85546875" customWidth="1"/>
    <col min="12631" max="12635" width="8.28515625" customWidth="1"/>
    <col min="12801" max="12801" width="25.7109375" customWidth="1"/>
    <col min="12802" max="12802" width="0.85546875" customWidth="1"/>
    <col min="12803" max="12807" width="8.28515625" customWidth="1"/>
    <col min="12808" max="12808" width="0.85546875" customWidth="1"/>
    <col min="12809" max="12813" width="8.28515625" customWidth="1"/>
    <col min="12814" max="12814" width="0.85546875" customWidth="1"/>
    <col min="12815" max="12819" width="8.28515625" customWidth="1"/>
    <col min="12820" max="12820" width="0.85546875" customWidth="1"/>
    <col min="12821" max="12825" width="8.28515625" customWidth="1"/>
    <col min="12826" max="12826" width="0.85546875" customWidth="1"/>
    <col min="12827" max="12831" width="8.28515625" customWidth="1"/>
    <col min="12832" max="12832" width="0.85546875" customWidth="1"/>
    <col min="12833" max="12837" width="8.28515625" customWidth="1"/>
    <col min="12838" max="12838" width="0.85546875" customWidth="1"/>
    <col min="12839" max="12843" width="8.28515625" customWidth="1"/>
    <col min="12844" max="12844" width="0.85546875" customWidth="1"/>
    <col min="12845" max="12849" width="8.28515625" customWidth="1"/>
    <col min="12850" max="12850" width="0.85546875" customWidth="1"/>
    <col min="12851" max="12855" width="8.28515625" customWidth="1"/>
    <col min="12856" max="12856" width="0.85546875" customWidth="1"/>
    <col min="12857" max="12861" width="8.28515625" customWidth="1"/>
    <col min="12862" max="12862" width="0.85546875" customWidth="1"/>
    <col min="12863" max="12867" width="8.28515625" customWidth="1"/>
    <col min="12868" max="12868" width="0.85546875" customWidth="1"/>
    <col min="12869" max="12873" width="8.28515625" customWidth="1"/>
    <col min="12874" max="12874" width="0.85546875" customWidth="1"/>
    <col min="12875" max="12879" width="8.28515625" customWidth="1"/>
    <col min="12880" max="12880" width="0.85546875" customWidth="1"/>
    <col min="12881" max="12885" width="8.28515625" customWidth="1"/>
    <col min="12886" max="12886" width="0.85546875" customWidth="1"/>
    <col min="12887" max="12891" width="8.28515625" customWidth="1"/>
    <col min="13057" max="13057" width="25.7109375" customWidth="1"/>
    <col min="13058" max="13058" width="0.85546875" customWidth="1"/>
    <col min="13059" max="13063" width="8.28515625" customWidth="1"/>
    <col min="13064" max="13064" width="0.85546875" customWidth="1"/>
    <col min="13065" max="13069" width="8.28515625" customWidth="1"/>
    <col min="13070" max="13070" width="0.85546875" customWidth="1"/>
    <col min="13071" max="13075" width="8.28515625" customWidth="1"/>
    <col min="13076" max="13076" width="0.85546875" customWidth="1"/>
    <col min="13077" max="13081" width="8.28515625" customWidth="1"/>
    <col min="13082" max="13082" width="0.85546875" customWidth="1"/>
    <col min="13083" max="13087" width="8.28515625" customWidth="1"/>
    <col min="13088" max="13088" width="0.85546875" customWidth="1"/>
    <col min="13089" max="13093" width="8.28515625" customWidth="1"/>
    <col min="13094" max="13094" width="0.85546875" customWidth="1"/>
    <col min="13095" max="13099" width="8.28515625" customWidth="1"/>
    <col min="13100" max="13100" width="0.85546875" customWidth="1"/>
    <col min="13101" max="13105" width="8.28515625" customWidth="1"/>
    <col min="13106" max="13106" width="0.85546875" customWidth="1"/>
    <col min="13107" max="13111" width="8.28515625" customWidth="1"/>
    <col min="13112" max="13112" width="0.85546875" customWidth="1"/>
    <col min="13113" max="13117" width="8.28515625" customWidth="1"/>
    <col min="13118" max="13118" width="0.85546875" customWidth="1"/>
    <col min="13119" max="13123" width="8.28515625" customWidth="1"/>
    <col min="13124" max="13124" width="0.85546875" customWidth="1"/>
    <col min="13125" max="13129" width="8.28515625" customWidth="1"/>
    <col min="13130" max="13130" width="0.85546875" customWidth="1"/>
    <col min="13131" max="13135" width="8.28515625" customWidth="1"/>
    <col min="13136" max="13136" width="0.85546875" customWidth="1"/>
    <col min="13137" max="13141" width="8.28515625" customWidth="1"/>
    <col min="13142" max="13142" width="0.85546875" customWidth="1"/>
    <col min="13143" max="13147" width="8.28515625" customWidth="1"/>
    <col min="13313" max="13313" width="25.7109375" customWidth="1"/>
    <col min="13314" max="13314" width="0.85546875" customWidth="1"/>
    <col min="13315" max="13319" width="8.28515625" customWidth="1"/>
    <col min="13320" max="13320" width="0.85546875" customWidth="1"/>
    <col min="13321" max="13325" width="8.28515625" customWidth="1"/>
    <col min="13326" max="13326" width="0.85546875" customWidth="1"/>
    <col min="13327" max="13331" width="8.28515625" customWidth="1"/>
    <col min="13332" max="13332" width="0.85546875" customWidth="1"/>
    <col min="13333" max="13337" width="8.28515625" customWidth="1"/>
    <col min="13338" max="13338" width="0.85546875" customWidth="1"/>
    <col min="13339" max="13343" width="8.28515625" customWidth="1"/>
    <col min="13344" max="13344" width="0.85546875" customWidth="1"/>
    <col min="13345" max="13349" width="8.28515625" customWidth="1"/>
    <col min="13350" max="13350" width="0.85546875" customWidth="1"/>
    <col min="13351" max="13355" width="8.28515625" customWidth="1"/>
    <col min="13356" max="13356" width="0.85546875" customWidth="1"/>
    <col min="13357" max="13361" width="8.28515625" customWidth="1"/>
    <col min="13362" max="13362" width="0.85546875" customWidth="1"/>
    <col min="13363" max="13367" width="8.28515625" customWidth="1"/>
    <col min="13368" max="13368" width="0.85546875" customWidth="1"/>
    <col min="13369" max="13373" width="8.28515625" customWidth="1"/>
    <col min="13374" max="13374" width="0.85546875" customWidth="1"/>
    <col min="13375" max="13379" width="8.28515625" customWidth="1"/>
    <col min="13380" max="13380" width="0.85546875" customWidth="1"/>
    <col min="13381" max="13385" width="8.28515625" customWidth="1"/>
    <col min="13386" max="13386" width="0.85546875" customWidth="1"/>
    <col min="13387" max="13391" width="8.28515625" customWidth="1"/>
    <col min="13392" max="13392" width="0.85546875" customWidth="1"/>
    <col min="13393" max="13397" width="8.28515625" customWidth="1"/>
    <col min="13398" max="13398" width="0.85546875" customWidth="1"/>
    <col min="13399" max="13403" width="8.28515625" customWidth="1"/>
    <col min="13569" max="13569" width="25.7109375" customWidth="1"/>
    <col min="13570" max="13570" width="0.85546875" customWidth="1"/>
    <col min="13571" max="13575" width="8.28515625" customWidth="1"/>
    <col min="13576" max="13576" width="0.85546875" customWidth="1"/>
    <col min="13577" max="13581" width="8.28515625" customWidth="1"/>
    <col min="13582" max="13582" width="0.85546875" customWidth="1"/>
    <col min="13583" max="13587" width="8.28515625" customWidth="1"/>
    <col min="13588" max="13588" width="0.85546875" customWidth="1"/>
    <col min="13589" max="13593" width="8.28515625" customWidth="1"/>
    <col min="13594" max="13594" width="0.85546875" customWidth="1"/>
    <col min="13595" max="13599" width="8.28515625" customWidth="1"/>
    <col min="13600" max="13600" width="0.85546875" customWidth="1"/>
    <col min="13601" max="13605" width="8.28515625" customWidth="1"/>
    <col min="13606" max="13606" width="0.85546875" customWidth="1"/>
    <col min="13607" max="13611" width="8.28515625" customWidth="1"/>
    <col min="13612" max="13612" width="0.85546875" customWidth="1"/>
    <col min="13613" max="13617" width="8.28515625" customWidth="1"/>
    <col min="13618" max="13618" width="0.85546875" customWidth="1"/>
    <col min="13619" max="13623" width="8.28515625" customWidth="1"/>
    <col min="13624" max="13624" width="0.85546875" customWidth="1"/>
    <col min="13625" max="13629" width="8.28515625" customWidth="1"/>
    <col min="13630" max="13630" width="0.85546875" customWidth="1"/>
    <col min="13631" max="13635" width="8.28515625" customWidth="1"/>
    <col min="13636" max="13636" width="0.85546875" customWidth="1"/>
    <col min="13637" max="13641" width="8.28515625" customWidth="1"/>
    <col min="13642" max="13642" width="0.85546875" customWidth="1"/>
    <col min="13643" max="13647" width="8.28515625" customWidth="1"/>
    <col min="13648" max="13648" width="0.85546875" customWidth="1"/>
    <col min="13649" max="13653" width="8.28515625" customWidth="1"/>
    <col min="13654" max="13654" width="0.85546875" customWidth="1"/>
    <col min="13655" max="13659" width="8.28515625" customWidth="1"/>
    <col min="13825" max="13825" width="25.7109375" customWidth="1"/>
    <col min="13826" max="13826" width="0.85546875" customWidth="1"/>
    <col min="13827" max="13831" width="8.28515625" customWidth="1"/>
    <col min="13832" max="13832" width="0.85546875" customWidth="1"/>
    <col min="13833" max="13837" width="8.28515625" customWidth="1"/>
    <col min="13838" max="13838" width="0.85546875" customWidth="1"/>
    <col min="13839" max="13843" width="8.28515625" customWidth="1"/>
    <col min="13844" max="13844" width="0.85546875" customWidth="1"/>
    <col min="13845" max="13849" width="8.28515625" customWidth="1"/>
    <col min="13850" max="13850" width="0.85546875" customWidth="1"/>
    <col min="13851" max="13855" width="8.28515625" customWidth="1"/>
    <col min="13856" max="13856" width="0.85546875" customWidth="1"/>
    <col min="13857" max="13861" width="8.28515625" customWidth="1"/>
    <col min="13862" max="13862" width="0.85546875" customWidth="1"/>
    <col min="13863" max="13867" width="8.28515625" customWidth="1"/>
    <col min="13868" max="13868" width="0.85546875" customWidth="1"/>
    <col min="13869" max="13873" width="8.28515625" customWidth="1"/>
    <col min="13874" max="13874" width="0.85546875" customWidth="1"/>
    <col min="13875" max="13879" width="8.28515625" customWidth="1"/>
    <col min="13880" max="13880" width="0.85546875" customWidth="1"/>
    <col min="13881" max="13885" width="8.28515625" customWidth="1"/>
    <col min="13886" max="13886" width="0.85546875" customWidth="1"/>
    <col min="13887" max="13891" width="8.28515625" customWidth="1"/>
    <col min="13892" max="13892" width="0.85546875" customWidth="1"/>
    <col min="13893" max="13897" width="8.28515625" customWidth="1"/>
    <col min="13898" max="13898" width="0.85546875" customWidth="1"/>
    <col min="13899" max="13903" width="8.28515625" customWidth="1"/>
    <col min="13904" max="13904" width="0.85546875" customWidth="1"/>
    <col min="13905" max="13909" width="8.28515625" customWidth="1"/>
    <col min="13910" max="13910" width="0.85546875" customWidth="1"/>
    <col min="13911" max="13915" width="8.28515625" customWidth="1"/>
    <col min="14081" max="14081" width="25.7109375" customWidth="1"/>
    <col min="14082" max="14082" width="0.85546875" customWidth="1"/>
    <col min="14083" max="14087" width="8.28515625" customWidth="1"/>
    <col min="14088" max="14088" width="0.85546875" customWidth="1"/>
    <col min="14089" max="14093" width="8.28515625" customWidth="1"/>
    <col min="14094" max="14094" width="0.85546875" customWidth="1"/>
    <col min="14095" max="14099" width="8.28515625" customWidth="1"/>
    <col min="14100" max="14100" width="0.85546875" customWidth="1"/>
    <col min="14101" max="14105" width="8.28515625" customWidth="1"/>
    <col min="14106" max="14106" width="0.85546875" customWidth="1"/>
    <col min="14107" max="14111" width="8.28515625" customWidth="1"/>
    <col min="14112" max="14112" width="0.85546875" customWidth="1"/>
    <col min="14113" max="14117" width="8.28515625" customWidth="1"/>
    <col min="14118" max="14118" width="0.85546875" customWidth="1"/>
    <col min="14119" max="14123" width="8.28515625" customWidth="1"/>
    <col min="14124" max="14124" width="0.85546875" customWidth="1"/>
    <col min="14125" max="14129" width="8.28515625" customWidth="1"/>
    <col min="14130" max="14130" width="0.85546875" customWidth="1"/>
    <col min="14131" max="14135" width="8.28515625" customWidth="1"/>
    <col min="14136" max="14136" width="0.85546875" customWidth="1"/>
    <col min="14137" max="14141" width="8.28515625" customWidth="1"/>
    <col min="14142" max="14142" width="0.85546875" customWidth="1"/>
    <col min="14143" max="14147" width="8.28515625" customWidth="1"/>
    <col min="14148" max="14148" width="0.85546875" customWidth="1"/>
    <col min="14149" max="14153" width="8.28515625" customWidth="1"/>
    <col min="14154" max="14154" width="0.85546875" customWidth="1"/>
    <col min="14155" max="14159" width="8.28515625" customWidth="1"/>
    <col min="14160" max="14160" width="0.85546875" customWidth="1"/>
    <col min="14161" max="14165" width="8.28515625" customWidth="1"/>
    <col min="14166" max="14166" width="0.85546875" customWidth="1"/>
    <col min="14167" max="14171" width="8.28515625" customWidth="1"/>
    <col min="14337" max="14337" width="25.7109375" customWidth="1"/>
    <col min="14338" max="14338" width="0.85546875" customWidth="1"/>
    <col min="14339" max="14343" width="8.28515625" customWidth="1"/>
    <col min="14344" max="14344" width="0.85546875" customWidth="1"/>
    <col min="14345" max="14349" width="8.28515625" customWidth="1"/>
    <col min="14350" max="14350" width="0.85546875" customWidth="1"/>
    <col min="14351" max="14355" width="8.28515625" customWidth="1"/>
    <col min="14356" max="14356" width="0.85546875" customWidth="1"/>
    <col min="14357" max="14361" width="8.28515625" customWidth="1"/>
    <col min="14362" max="14362" width="0.85546875" customWidth="1"/>
    <col min="14363" max="14367" width="8.28515625" customWidth="1"/>
    <col min="14368" max="14368" width="0.85546875" customWidth="1"/>
    <col min="14369" max="14373" width="8.28515625" customWidth="1"/>
    <col min="14374" max="14374" width="0.85546875" customWidth="1"/>
    <col min="14375" max="14379" width="8.28515625" customWidth="1"/>
    <col min="14380" max="14380" width="0.85546875" customWidth="1"/>
    <col min="14381" max="14385" width="8.28515625" customWidth="1"/>
    <col min="14386" max="14386" width="0.85546875" customWidth="1"/>
    <col min="14387" max="14391" width="8.28515625" customWidth="1"/>
    <col min="14392" max="14392" width="0.85546875" customWidth="1"/>
    <col min="14393" max="14397" width="8.28515625" customWidth="1"/>
    <col min="14398" max="14398" width="0.85546875" customWidth="1"/>
    <col min="14399" max="14403" width="8.28515625" customWidth="1"/>
    <col min="14404" max="14404" width="0.85546875" customWidth="1"/>
    <col min="14405" max="14409" width="8.28515625" customWidth="1"/>
    <col min="14410" max="14410" width="0.85546875" customWidth="1"/>
    <col min="14411" max="14415" width="8.28515625" customWidth="1"/>
    <col min="14416" max="14416" width="0.85546875" customWidth="1"/>
    <col min="14417" max="14421" width="8.28515625" customWidth="1"/>
    <col min="14422" max="14422" width="0.85546875" customWidth="1"/>
    <col min="14423" max="14427" width="8.28515625" customWidth="1"/>
    <col min="14593" max="14593" width="25.7109375" customWidth="1"/>
    <col min="14594" max="14594" width="0.85546875" customWidth="1"/>
    <col min="14595" max="14599" width="8.28515625" customWidth="1"/>
    <col min="14600" max="14600" width="0.85546875" customWidth="1"/>
    <col min="14601" max="14605" width="8.28515625" customWidth="1"/>
    <col min="14606" max="14606" width="0.85546875" customWidth="1"/>
    <col min="14607" max="14611" width="8.28515625" customWidth="1"/>
    <col min="14612" max="14612" width="0.85546875" customWidth="1"/>
    <col min="14613" max="14617" width="8.28515625" customWidth="1"/>
    <col min="14618" max="14618" width="0.85546875" customWidth="1"/>
    <col min="14619" max="14623" width="8.28515625" customWidth="1"/>
    <col min="14624" max="14624" width="0.85546875" customWidth="1"/>
    <col min="14625" max="14629" width="8.28515625" customWidth="1"/>
    <col min="14630" max="14630" width="0.85546875" customWidth="1"/>
    <col min="14631" max="14635" width="8.28515625" customWidth="1"/>
    <col min="14636" max="14636" width="0.85546875" customWidth="1"/>
    <col min="14637" max="14641" width="8.28515625" customWidth="1"/>
    <col min="14642" max="14642" width="0.85546875" customWidth="1"/>
    <col min="14643" max="14647" width="8.28515625" customWidth="1"/>
    <col min="14648" max="14648" width="0.85546875" customWidth="1"/>
    <col min="14649" max="14653" width="8.28515625" customWidth="1"/>
    <col min="14654" max="14654" width="0.85546875" customWidth="1"/>
    <col min="14655" max="14659" width="8.28515625" customWidth="1"/>
    <col min="14660" max="14660" width="0.85546875" customWidth="1"/>
    <col min="14661" max="14665" width="8.28515625" customWidth="1"/>
    <col min="14666" max="14666" width="0.85546875" customWidth="1"/>
    <col min="14667" max="14671" width="8.28515625" customWidth="1"/>
    <col min="14672" max="14672" width="0.85546875" customWidth="1"/>
    <col min="14673" max="14677" width="8.28515625" customWidth="1"/>
    <col min="14678" max="14678" width="0.85546875" customWidth="1"/>
    <col min="14679" max="14683" width="8.28515625" customWidth="1"/>
    <col min="14849" max="14849" width="25.7109375" customWidth="1"/>
    <col min="14850" max="14850" width="0.85546875" customWidth="1"/>
    <col min="14851" max="14855" width="8.28515625" customWidth="1"/>
    <col min="14856" max="14856" width="0.85546875" customWidth="1"/>
    <col min="14857" max="14861" width="8.28515625" customWidth="1"/>
    <col min="14862" max="14862" width="0.85546875" customWidth="1"/>
    <col min="14863" max="14867" width="8.28515625" customWidth="1"/>
    <col min="14868" max="14868" width="0.85546875" customWidth="1"/>
    <col min="14869" max="14873" width="8.28515625" customWidth="1"/>
    <col min="14874" max="14874" width="0.85546875" customWidth="1"/>
    <col min="14875" max="14879" width="8.28515625" customWidth="1"/>
    <col min="14880" max="14880" width="0.85546875" customWidth="1"/>
    <col min="14881" max="14885" width="8.28515625" customWidth="1"/>
    <col min="14886" max="14886" width="0.85546875" customWidth="1"/>
    <col min="14887" max="14891" width="8.28515625" customWidth="1"/>
    <col min="14892" max="14892" width="0.85546875" customWidth="1"/>
    <col min="14893" max="14897" width="8.28515625" customWidth="1"/>
    <col min="14898" max="14898" width="0.85546875" customWidth="1"/>
    <col min="14899" max="14903" width="8.28515625" customWidth="1"/>
    <col min="14904" max="14904" width="0.85546875" customWidth="1"/>
    <col min="14905" max="14909" width="8.28515625" customWidth="1"/>
    <col min="14910" max="14910" width="0.85546875" customWidth="1"/>
    <col min="14911" max="14915" width="8.28515625" customWidth="1"/>
    <col min="14916" max="14916" width="0.85546875" customWidth="1"/>
    <col min="14917" max="14921" width="8.28515625" customWidth="1"/>
    <col min="14922" max="14922" width="0.85546875" customWidth="1"/>
    <col min="14923" max="14927" width="8.28515625" customWidth="1"/>
    <col min="14928" max="14928" width="0.85546875" customWidth="1"/>
    <col min="14929" max="14933" width="8.28515625" customWidth="1"/>
    <col min="14934" max="14934" width="0.85546875" customWidth="1"/>
    <col min="14935" max="14939" width="8.28515625" customWidth="1"/>
    <col min="15105" max="15105" width="25.7109375" customWidth="1"/>
    <col min="15106" max="15106" width="0.85546875" customWidth="1"/>
    <col min="15107" max="15111" width="8.28515625" customWidth="1"/>
    <col min="15112" max="15112" width="0.85546875" customWidth="1"/>
    <col min="15113" max="15117" width="8.28515625" customWidth="1"/>
    <col min="15118" max="15118" width="0.85546875" customWidth="1"/>
    <col min="15119" max="15123" width="8.28515625" customWidth="1"/>
    <col min="15124" max="15124" width="0.85546875" customWidth="1"/>
    <col min="15125" max="15129" width="8.28515625" customWidth="1"/>
    <col min="15130" max="15130" width="0.85546875" customWidth="1"/>
    <col min="15131" max="15135" width="8.28515625" customWidth="1"/>
    <col min="15136" max="15136" width="0.85546875" customWidth="1"/>
    <col min="15137" max="15141" width="8.28515625" customWidth="1"/>
    <col min="15142" max="15142" width="0.85546875" customWidth="1"/>
    <col min="15143" max="15147" width="8.28515625" customWidth="1"/>
    <col min="15148" max="15148" width="0.85546875" customWidth="1"/>
    <col min="15149" max="15153" width="8.28515625" customWidth="1"/>
    <col min="15154" max="15154" width="0.85546875" customWidth="1"/>
    <col min="15155" max="15159" width="8.28515625" customWidth="1"/>
    <col min="15160" max="15160" width="0.85546875" customWidth="1"/>
    <col min="15161" max="15165" width="8.28515625" customWidth="1"/>
    <col min="15166" max="15166" width="0.85546875" customWidth="1"/>
    <col min="15167" max="15171" width="8.28515625" customWidth="1"/>
    <col min="15172" max="15172" width="0.85546875" customWidth="1"/>
    <col min="15173" max="15177" width="8.28515625" customWidth="1"/>
    <col min="15178" max="15178" width="0.85546875" customWidth="1"/>
    <col min="15179" max="15183" width="8.28515625" customWidth="1"/>
    <col min="15184" max="15184" width="0.85546875" customWidth="1"/>
    <col min="15185" max="15189" width="8.28515625" customWidth="1"/>
    <col min="15190" max="15190" width="0.85546875" customWidth="1"/>
    <col min="15191" max="15195" width="8.28515625" customWidth="1"/>
    <col min="15361" max="15361" width="25.7109375" customWidth="1"/>
    <col min="15362" max="15362" width="0.85546875" customWidth="1"/>
    <col min="15363" max="15367" width="8.28515625" customWidth="1"/>
    <col min="15368" max="15368" width="0.85546875" customWidth="1"/>
    <col min="15369" max="15373" width="8.28515625" customWidth="1"/>
    <col min="15374" max="15374" width="0.85546875" customWidth="1"/>
    <col min="15375" max="15379" width="8.28515625" customWidth="1"/>
    <col min="15380" max="15380" width="0.85546875" customWidth="1"/>
    <col min="15381" max="15385" width="8.28515625" customWidth="1"/>
    <col min="15386" max="15386" width="0.85546875" customWidth="1"/>
    <col min="15387" max="15391" width="8.28515625" customWidth="1"/>
    <col min="15392" max="15392" width="0.85546875" customWidth="1"/>
    <col min="15393" max="15397" width="8.28515625" customWidth="1"/>
    <col min="15398" max="15398" width="0.85546875" customWidth="1"/>
    <col min="15399" max="15403" width="8.28515625" customWidth="1"/>
    <col min="15404" max="15404" width="0.85546875" customWidth="1"/>
    <col min="15405" max="15409" width="8.28515625" customWidth="1"/>
    <col min="15410" max="15410" width="0.85546875" customWidth="1"/>
    <col min="15411" max="15415" width="8.28515625" customWidth="1"/>
    <col min="15416" max="15416" width="0.85546875" customWidth="1"/>
    <col min="15417" max="15421" width="8.28515625" customWidth="1"/>
    <col min="15422" max="15422" width="0.85546875" customWidth="1"/>
    <col min="15423" max="15427" width="8.28515625" customWidth="1"/>
    <col min="15428" max="15428" width="0.85546875" customWidth="1"/>
    <col min="15429" max="15433" width="8.28515625" customWidth="1"/>
    <col min="15434" max="15434" width="0.85546875" customWidth="1"/>
    <col min="15435" max="15439" width="8.28515625" customWidth="1"/>
    <col min="15440" max="15440" width="0.85546875" customWidth="1"/>
    <col min="15441" max="15445" width="8.28515625" customWidth="1"/>
    <col min="15446" max="15446" width="0.85546875" customWidth="1"/>
    <col min="15447" max="15451" width="8.28515625" customWidth="1"/>
    <col min="15617" max="15617" width="25.7109375" customWidth="1"/>
    <col min="15618" max="15618" width="0.85546875" customWidth="1"/>
    <col min="15619" max="15623" width="8.28515625" customWidth="1"/>
    <col min="15624" max="15624" width="0.85546875" customWidth="1"/>
    <col min="15625" max="15629" width="8.28515625" customWidth="1"/>
    <col min="15630" max="15630" width="0.85546875" customWidth="1"/>
    <col min="15631" max="15635" width="8.28515625" customWidth="1"/>
    <col min="15636" max="15636" width="0.85546875" customWidth="1"/>
    <col min="15637" max="15641" width="8.28515625" customWidth="1"/>
    <col min="15642" max="15642" width="0.85546875" customWidth="1"/>
    <col min="15643" max="15647" width="8.28515625" customWidth="1"/>
    <col min="15648" max="15648" width="0.85546875" customWidth="1"/>
    <col min="15649" max="15653" width="8.28515625" customWidth="1"/>
    <col min="15654" max="15654" width="0.85546875" customWidth="1"/>
    <col min="15655" max="15659" width="8.28515625" customWidth="1"/>
    <col min="15660" max="15660" width="0.85546875" customWidth="1"/>
    <col min="15661" max="15665" width="8.28515625" customWidth="1"/>
    <col min="15666" max="15666" width="0.85546875" customWidth="1"/>
    <col min="15667" max="15671" width="8.28515625" customWidth="1"/>
    <col min="15672" max="15672" width="0.85546875" customWidth="1"/>
    <col min="15673" max="15677" width="8.28515625" customWidth="1"/>
    <col min="15678" max="15678" width="0.85546875" customWidth="1"/>
    <col min="15679" max="15683" width="8.28515625" customWidth="1"/>
    <col min="15684" max="15684" width="0.85546875" customWidth="1"/>
    <col min="15685" max="15689" width="8.28515625" customWidth="1"/>
    <col min="15690" max="15690" width="0.85546875" customWidth="1"/>
    <col min="15691" max="15695" width="8.28515625" customWidth="1"/>
    <col min="15696" max="15696" width="0.85546875" customWidth="1"/>
    <col min="15697" max="15701" width="8.28515625" customWidth="1"/>
    <col min="15702" max="15702" width="0.85546875" customWidth="1"/>
    <col min="15703" max="15707" width="8.28515625" customWidth="1"/>
    <col min="15873" max="15873" width="25.7109375" customWidth="1"/>
    <col min="15874" max="15874" width="0.85546875" customWidth="1"/>
    <col min="15875" max="15879" width="8.28515625" customWidth="1"/>
    <col min="15880" max="15880" width="0.85546875" customWidth="1"/>
    <col min="15881" max="15885" width="8.28515625" customWidth="1"/>
    <col min="15886" max="15886" width="0.85546875" customWidth="1"/>
    <col min="15887" max="15891" width="8.28515625" customWidth="1"/>
    <col min="15892" max="15892" width="0.85546875" customWidth="1"/>
    <col min="15893" max="15897" width="8.28515625" customWidth="1"/>
    <col min="15898" max="15898" width="0.85546875" customWidth="1"/>
    <col min="15899" max="15903" width="8.28515625" customWidth="1"/>
    <col min="15904" max="15904" width="0.85546875" customWidth="1"/>
    <col min="15905" max="15909" width="8.28515625" customWidth="1"/>
    <col min="15910" max="15910" width="0.85546875" customWidth="1"/>
    <col min="15911" max="15915" width="8.28515625" customWidth="1"/>
    <col min="15916" max="15916" width="0.85546875" customWidth="1"/>
    <col min="15917" max="15921" width="8.28515625" customWidth="1"/>
    <col min="15922" max="15922" width="0.85546875" customWidth="1"/>
    <col min="15923" max="15927" width="8.28515625" customWidth="1"/>
    <col min="15928" max="15928" width="0.85546875" customWidth="1"/>
    <col min="15929" max="15933" width="8.28515625" customWidth="1"/>
    <col min="15934" max="15934" width="0.85546875" customWidth="1"/>
    <col min="15935" max="15939" width="8.28515625" customWidth="1"/>
    <col min="15940" max="15940" width="0.85546875" customWidth="1"/>
    <col min="15941" max="15945" width="8.28515625" customWidth="1"/>
    <col min="15946" max="15946" width="0.85546875" customWidth="1"/>
    <col min="15947" max="15951" width="8.28515625" customWidth="1"/>
    <col min="15952" max="15952" width="0.85546875" customWidth="1"/>
    <col min="15953" max="15957" width="8.28515625" customWidth="1"/>
    <col min="15958" max="15958" width="0.85546875" customWidth="1"/>
    <col min="15959" max="15963" width="8.28515625" customWidth="1"/>
    <col min="16129" max="16129" width="25.7109375" customWidth="1"/>
    <col min="16130" max="16130" width="0.85546875" customWidth="1"/>
    <col min="16131" max="16135" width="8.28515625" customWidth="1"/>
    <col min="16136" max="16136" width="0.85546875" customWidth="1"/>
    <col min="16137" max="16141" width="8.28515625" customWidth="1"/>
    <col min="16142" max="16142" width="0.85546875" customWidth="1"/>
    <col min="16143" max="16147" width="8.28515625" customWidth="1"/>
    <col min="16148" max="16148" width="0.85546875" customWidth="1"/>
    <col min="16149" max="16153" width="8.28515625" customWidth="1"/>
    <col min="16154" max="16154" width="0.85546875" customWidth="1"/>
    <col min="16155" max="16159" width="8.28515625" customWidth="1"/>
    <col min="16160" max="16160" width="0.85546875" customWidth="1"/>
    <col min="16161" max="16165" width="8.28515625" customWidth="1"/>
    <col min="16166" max="16166" width="0.85546875" customWidth="1"/>
    <col min="16167" max="16171" width="8.28515625" customWidth="1"/>
    <col min="16172" max="16172" width="0.85546875" customWidth="1"/>
    <col min="16173" max="16177" width="8.28515625" customWidth="1"/>
    <col min="16178" max="16178" width="0.85546875" customWidth="1"/>
    <col min="16179" max="16183" width="8.28515625" customWidth="1"/>
    <col min="16184" max="16184" width="0.85546875" customWidth="1"/>
    <col min="16185" max="16189" width="8.28515625" customWidth="1"/>
    <col min="16190" max="16190" width="0.85546875" customWidth="1"/>
    <col min="16191" max="16195" width="8.28515625" customWidth="1"/>
    <col min="16196" max="16196" width="0.85546875" customWidth="1"/>
    <col min="16197" max="16201" width="8.28515625" customWidth="1"/>
    <col min="16202" max="16202" width="0.85546875" customWidth="1"/>
    <col min="16203" max="16207" width="8.28515625" customWidth="1"/>
    <col min="16208" max="16208" width="0.85546875" customWidth="1"/>
    <col min="16209" max="16213" width="8.28515625" customWidth="1"/>
    <col min="16214" max="16214" width="0.85546875" customWidth="1"/>
    <col min="16215" max="16219" width="8.28515625" customWidth="1"/>
  </cols>
  <sheetData>
    <row r="1" spans="1:91" s="3" customFormat="1" x14ac:dyDescent="0.2">
      <c r="A1" s="2" t="str">
        <f>TOC!$A$4</f>
        <v>Becton Dickinson</v>
      </c>
    </row>
    <row r="2" spans="1:91" s="3" customFormat="1" x14ac:dyDescent="0.2">
      <c r="A2" s="4" t="s">
        <v>25</v>
      </c>
      <c r="B2" s="5"/>
      <c r="C2" s="5"/>
      <c r="D2" s="5"/>
      <c r="E2" s="5"/>
      <c r="F2" s="5"/>
      <c r="G2" s="5"/>
      <c r="H2" s="5"/>
      <c r="I2" s="5"/>
      <c r="J2" s="5"/>
      <c r="K2" s="5"/>
      <c r="L2" s="5"/>
      <c r="M2" s="5"/>
      <c r="N2" s="5"/>
      <c r="O2" s="5"/>
      <c r="P2" s="5"/>
      <c r="Q2" s="5"/>
      <c r="R2" s="5"/>
      <c r="S2" s="5"/>
      <c r="T2" s="5"/>
      <c r="U2" s="5"/>
      <c r="V2" s="5"/>
      <c r="W2" s="5"/>
      <c r="X2" s="5"/>
      <c r="Y2" s="5"/>
      <c r="Z2" s="5"/>
      <c r="AA2" s="5"/>
      <c r="AB2" s="5"/>
      <c r="AC2" s="6"/>
      <c r="AD2" s="5"/>
      <c r="AE2" s="5"/>
      <c r="AF2" s="5"/>
      <c r="AG2" s="5"/>
      <c r="AH2" s="5"/>
      <c r="AI2" s="5"/>
      <c r="AJ2" s="5"/>
      <c r="AK2" s="7"/>
      <c r="AL2" s="5"/>
      <c r="AM2" s="5"/>
      <c r="AN2" s="5"/>
      <c r="AO2" s="6"/>
      <c r="AP2" s="6"/>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row>
    <row r="3" spans="1:91" s="3" customFormat="1" ht="11.25" x14ac:dyDescent="0.2">
      <c r="A3" s="8" t="s">
        <v>0</v>
      </c>
      <c r="AO3" s="9"/>
      <c r="AP3" s="9"/>
    </row>
    <row r="4" spans="1:91" s="3" customFormat="1" ht="11.25" x14ac:dyDescent="0.2">
      <c r="A4" s="8" t="s">
        <v>1</v>
      </c>
      <c r="AO4" s="9"/>
      <c r="AP4" s="9"/>
    </row>
    <row r="5" spans="1:91" s="3" customFormat="1" ht="11.25" x14ac:dyDescent="0.2">
      <c r="A5" s="10"/>
      <c r="B5" s="11"/>
      <c r="C5" s="12">
        <v>2007</v>
      </c>
      <c r="D5" s="13"/>
      <c r="E5" s="13"/>
      <c r="F5" s="13"/>
      <c r="G5" s="14">
        <f>C5</f>
        <v>2007</v>
      </c>
      <c r="H5" s="15"/>
      <c r="I5" s="12">
        <f>C5+1</f>
        <v>2008</v>
      </c>
      <c r="J5" s="13"/>
      <c r="K5" s="13"/>
      <c r="L5" s="13"/>
      <c r="M5" s="14">
        <f>I5</f>
        <v>2008</v>
      </c>
      <c r="N5" s="16"/>
      <c r="O5" s="12">
        <f>I5+1</f>
        <v>2009</v>
      </c>
      <c r="P5" s="13"/>
      <c r="Q5" s="13"/>
      <c r="R5" s="13"/>
      <c r="S5" s="14">
        <f>O5</f>
        <v>2009</v>
      </c>
      <c r="T5" s="16"/>
      <c r="U5" s="12">
        <f>O5+1</f>
        <v>2010</v>
      </c>
      <c r="V5" s="13"/>
      <c r="W5" s="13"/>
      <c r="X5" s="13"/>
      <c r="Y5" s="14">
        <f>U5</f>
        <v>2010</v>
      </c>
      <c r="Z5" s="16"/>
      <c r="AA5" s="12">
        <f>U5+1</f>
        <v>2011</v>
      </c>
      <c r="AB5" s="13"/>
      <c r="AC5" s="13"/>
      <c r="AD5" s="13"/>
      <c r="AE5" s="14">
        <f>AA5</f>
        <v>2011</v>
      </c>
      <c r="AF5" s="16"/>
      <c r="AG5" s="12">
        <f>AA5+1</f>
        <v>2012</v>
      </c>
      <c r="AH5" s="13"/>
      <c r="AI5" s="13"/>
      <c r="AJ5" s="13"/>
      <c r="AK5" s="14">
        <f>AG5</f>
        <v>2012</v>
      </c>
      <c r="AL5" s="16"/>
      <c r="AM5" s="12">
        <f>AG5+1</f>
        <v>2013</v>
      </c>
      <c r="AN5" s="13"/>
      <c r="AO5" s="13"/>
      <c r="AP5" s="13"/>
      <c r="AQ5" s="14">
        <f>AM5</f>
        <v>2013</v>
      </c>
      <c r="AR5" s="16"/>
      <c r="AS5" s="12">
        <f>AM5+1</f>
        <v>2014</v>
      </c>
      <c r="AT5" s="13"/>
      <c r="AU5" s="13"/>
      <c r="AV5" s="13"/>
      <c r="AW5" s="14">
        <f>AS5</f>
        <v>2014</v>
      </c>
      <c r="AX5" s="16"/>
      <c r="AY5" s="12">
        <f>AS5+1</f>
        <v>2015</v>
      </c>
      <c r="AZ5" s="13"/>
      <c r="BA5" s="13"/>
      <c r="BB5" s="13"/>
      <c r="BC5" s="14">
        <f>AY5</f>
        <v>2015</v>
      </c>
      <c r="BD5" s="16"/>
      <c r="BE5" s="12">
        <f>AY5+1</f>
        <v>2016</v>
      </c>
      <c r="BF5" s="13"/>
      <c r="BG5" s="13"/>
      <c r="BH5" s="13"/>
      <c r="BI5" s="14">
        <f>BE5</f>
        <v>2016</v>
      </c>
      <c r="BJ5" s="16"/>
      <c r="BK5" s="17">
        <f>BE5+1</f>
        <v>2017</v>
      </c>
      <c r="BL5" s="13"/>
      <c r="BM5" s="13"/>
      <c r="BN5" s="13"/>
      <c r="BO5" s="18">
        <f>BK5</f>
        <v>2017</v>
      </c>
      <c r="BP5" s="16"/>
      <c r="BQ5" s="17">
        <f>BK5+1</f>
        <v>2018</v>
      </c>
      <c r="BR5" s="13"/>
      <c r="BS5" s="13"/>
      <c r="BT5" s="13"/>
      <c r="BU5" s="18">
        <f>BQ5</f>
        <v>2018</v>
      </c>
      <c r="BV5" s="16"/>
      <c r="BW5" s="17">
        <f>BQ5+1</f>
        <v>2019</v>
      </c>
      <c r="BX5" s="13"/>
      <c r="BY5" s="13"/>
      <c r="BZ5" s="13"/>
      <c r="CA5" s="18">
        <f>BW5</f>
        <v>2019</v>
      </c>
      <c r="CB5" s="16"/>
      <c r="CC5" s="17">
        <f>BW5+1</f>
        <v>2020</v>
      </c>
      <c r="CD5" s="13"/>
      <c r="CE5" s="13"/>
      <c r="CF5" s="13"/>
      <c r="CG5" s="18">
        <f>CC5</f>
        <v>2020</v>
      </c>
      <c r="CH5" s="16"/>
      <c r="CI5" s="17">
        <f>CC5+1</f>
        <v>2021</v>
      </c>
      <c r="CJ5" s="13"/>
      <c r="CK5" s="13"/>
      <c r="CL5" s="13"/>
      <c r="CM5" s="18">
        <f>CI5</f>
        <v>2021</v>
      </c>
    </row>
    <row r="6" spans="1:91" s="3" customFormat="1" ht="11.25" x14ac:dyDescent="0.2">
      <c r="A6" s="10"/>
      <c r="B6" s="11"/>
      <c r="C6" s="19">
        <v>39082</v>
      </c>
      <c r="D6" s="19">
        <v>39172</v>
      </c>
      <c r="E6" s="19">
        <v>39263</v>
      </c>
      <c r="F6" s="19">
        <v>39355</v>
      </c>
      <c r="G6" s="15"/>
      <c r="H6" s="15"/>
      <c r="I6" s="19">
        <f>F6+FLOOR(365/4,1)+1</f>
        <v>39447</v>
      </c>
      <c r="J6" s="19">
        <f>D6+365+1</f>
        <v>39538</v>
      </c>
      <c r="K6" s="19">
        <f>J6+FLOOR(365/4,1)</f>
        <v>39629</v>
      </c>
      <c r="L6" s="19">
        <f>K6+FLOOR(365/4,1)+1</f>
        <v>39721</v>
      </c>
      <c r="M6" s="15"/>
      <c r="N6" s="16"/>
      <c r="O6" s="19">
        <f>L6+FLOOR(365/4,1)+1</f>
        <v>39813</v>
      </c>
      <c r="P6" s="19">
        <f>J6+365</f>
        <v>39903</v>
      </c>
      <c r="Q6" s="19">
        <f>P6+FLOOR(365/4,1)</f>
        <v>39994</v>
      </c>
      <c r="R6" s="19">
        <f>Q6+FLOOR(365/4,1)+1</f>
        <v>40086</v>
      </c>
      <c r="S6" s="15"/>
      <c r="T6" s="16"/>
      <c r="U6" s="19">
        <f>R6+FLOOR(365/4,1)+1</f>
        <v>40178</v>
      </c>
      <c r="V6" s="19">
        <f>P6+365</f>
        <v>40268</v>
      </c>
      <c r="W6" s="19">
        <f>V6+FLOOR(365/4,1)</f>
        <v>40359</v>
      </c>
      <c r="X6" s="19">
        <f>W6+FLOOR(365/4,1)+1</f>
        <v>40451</v>
      </c>
      <c r="Y6" s="15"/>
      <c r="Z6" s="16"/>
      <c r="AA6" s="19">
        <f>X6+FLOOR(365/4,1)+1</f>
        <v>40543</v>
      </c>
      <c r="AB6" s="19">
        <f>V6+365</f>
        <v>40633</v>
      </c>
      <c r="AC6" s="19">
        <f>AB6+FLOOR(365/4,1)</f>
        <v>40724</v>
      </c>
      <c r="AD6" s="19">
        <f>AC6+FLOOR(365/4,1)+1</f>
        <v>40816</v>
      </c>
      <c r="AE6" s="15"/>
      <c r="AF6" s="16"/>
      <c r="AG6" s="19">
        <f>AD6+FLOOR(365/4,1)+1</f>
        <v>40908</v>
      </c>
      <c r="AH6" s="19">
        <f>AB6+365+1</f>
        <v>40999</v>
      </c>
      <c r="AI6" s="19">
        <f>AH6+FLOOR(365/4,1)</f>
        <v>41090</v>
      </c>
      <c r="AJ6" s="19">
        <f>AI6+FLOOR(365/4,1)+1</f>
        <v>41182</v>
      </c>
      <c r="AK6" s="15"/>
      <c r="AL6" s="16"/>
      <c r="AM6" s="19">
        <f>AJ6+FLOOR(365/4,1)+1</f>
        <v>41274</v>
      </c>
      <c r="AN6" s="19">
        <f>AH6+365</f>
        <v>41364</v>
      </c>
      <c r="AO6" s="19">
        <f>AN6+FLOOR(365/4,1)</f>
        <v>41455</v>
      </c>
      <c r="AP6" s="19">
        <f>AO6+FLOOR(365/4,1)+1</f>
        <v>41547</v>
      </c>
      <c r="AQ6" s="15"/>
      <c r="AR6" s="16"/>
      <c r="AS6" s="19">
        <f>AP6+FLOOR(365/4,1)+1</f>
        <v>41639</v>
      </c>
      <c r="AT6" s="19">
        <f>AN6+365</f>
        <v>41729</v>
      </c>
      <c r="AU6" s="19">
        <f>AT6+FLOOR(365/4,1)</f>
        <v>41820</v>
      </c>
      <c r="AV6" s="19">
        <f>AU6+FLOOR(365/4,1)+1</f>
        <v>41912</v>
      </c>
      <c r="AW6" s="15"/>
      <c r="AX6" s="16"/>
      <c r="AY6" s="20">
        <f>AV6+FLOOR(365/4,1)+1</f>
        <v>42004</v>
      </c>
      <c r="AZ6" s="20">
        <f>AT6+365</f>
        <v>42094</v>
      </c>
      <c r="BA6" s="20">
        <f>AZ6+FLOOR(365/4,1)</f>
        <v>42185</v>
      </c>
      <c r="BB6" s="20">
        <f>BA6+FLOOR(365/4,1)+1</f>
        <v>42277</v>
      </c>
      <c r="BC6" s="15"/>
      <c r="BD6" s="16"/>
      <c r="BE6" s="20">
        <f>BB6+FLOOR(365/4,1)+1</f>
        <v>42369</v>
      </c>
      <c r="BF6" s="20">
        <f>AZ6+365+1</f>
        <v>42460</v>
      </c>
      <c r="BG6" s="20">
        <f>BF6+FLOOR(365/4,1)</f>
        <v>42551</v>
      </c>
      <c r="BH6" s="20">
        <f>BG6+FLOOR(365/4,1)+1</f>
        <v>42643</v>
      </c>
      <c r="BI6" s="15"/>
      <c r="BJ6" s="16"/>
      <c r="BK6" s="20">
        <f>BH6+FLOOR(365/4,1)+1</f>
        <v>42735</v>
      </c>
      <c r="BL6" s="20">
        <f>BF6+365</f>
        <v>42825</v>
      </c>
      <c r="BM6" s="20">
        <f>BL6+FLOOR(365/4,1)</f>
        <v>42916</v>
      </c>
      <c r="BN6" s="20">
        <f>BM6+FLOOR(365/4,1)+1</f>
        <v>43008</v>
      </c>
      <c r="BO6" s="15"/>
      <c r="BP6" s="16"/>
      <c r="BQ6" s="20">
        <f>BN6+FLOOR(365/4,1)+1</f>
        <v>43100</v>
      </c>
      <c r="BR6" s="21">
        <f>BL6+365</f>
        <v>43190</v>
      </c>
      <c r="BS6" s="21">
        <f>BR6+FLOOR(365/4,1)</f>
        <v>43281</v>
      </c>
      <c r="BT6" s="21">
        <f>BS6+FLOOR(365/4,1)+1</f>
        <v>43373</v>
      </c>
      <c r="BU6" s="15"/>
      <c r="BV6" s="16"/>
      <c r="BW6" s="21">
        <f>BT6+FLOOR(365/4,1)+1</f>
        <v>43465</v>
      </c>
      <c r="BX6" s="21">
        <f>BR6+365</f>
        <v>43555</v>
      </c>
      <c r="BY6" s="21">
        <f>BX6+FLOOR(365/4,1)</f>
        <v>43646</v>
      </c>
      <c r="BZ6" s="21">
        <f>BY6+FLOOR(365/4,1)+1</f>
        <v>43738</v>
      </c>
      <c r="CA6" s="15"/>
      <c r="CB6" s="16"/>
      <c r="CC6" s="21">
        <f>BZ6+FLOOR(365/4,1)+1</f>
        <v>43830</v>
      </c>
      <c r="CD6" s="21">
        <f>BX6+365+1</f>
        <v>43921</v>
      </c>
      <c r="CE6" s="21">
        <f>CD6+FLOOR(365/4,1)</f>
        <v>44012</v>
      </c>
      <c r="CF6" s="21">
        <f>CE6+FLOOR(365/4,1)+1</f>
        <v>44104</v>
      </c>
      <c r="CG6" s="15"/>
      <c r="CH6" s="16"/>
      <c r="CI6" s="21">
        <f>CF6+FLOOR(365/4,1)+1</f>
        <v>44196</v>
      </c>
      <c r="CJ6" s="21">
        <f>CD6+365</f>
        <v>44286</v>
      </c>
      <c r="CK6" s="21">
        <f>CJ6+FLOOR(365/4,1)</f>
        <v>44377</v>
      </c>
      <c r="CL6" s="21">
        <f>CK6+FLOOR(365/4,1)+1</f>
        <v>44469</v>
      </c>
      <c r="CM6" s="15"/>
    </row>
    <row r="7" spans="1:91" s="25" customFormat="1" ht="11.25" x14ac:dyDescent="0.2">
      <c r="A7" s="663" t="s">
        <v>20</v>
      </c>
      <c r="B7" s="692"/>
      <c r="C7" s="716"/>
      <c r="D7" s="692"/>
      <c r="E7" s="692"/>
      <c r="F7" s="693"/>
      <c r="G7" s="731"/>
      <c r="H7" s="692"/>
      <c r="I7" s="716"/>
      <c r="J7" s="692"/>
      <c r="K7" s="692"/>
      <c r="L7" s="693"/>
      <c r="M7" s="731"/>
      <c r="N7" s="692"/>
      <c r="O7" s="716"/>
      <c r="P7" s="692"/>
      <c r="Q7" s="692"/>
      <c r="R7" s="693"/>
      <c r="S7" s="731"/>
      <c r="T7" s="692"/>
      <c r="U7" s="692"/>
      <c r="V7" s="692"/>
      <c r="W7" s="692"/>
      <c r="X7" s="692"/>
      <c r="Y7" s="692"/>
      <c r="Z7" s="692"/>
      <c r="AA7" s="692"/>
      <c r="AB7" s="692"/>
      <c r="AC7" s="692"/>
      <c r="AD7" s="692"/>
      <c r="AE7" s="692"/>
      <c r="AF7" s="692"/>
      <c r="AG7" s="692"/>
      <c r="AH7" s="692"/>
      <c r="AI7" s="692"/>
      <c r="AJ7" s="692"/>
      <c r="AK7" s="692"/>
      <c r="AL7" s="692"/>
      <c r="AM7" s="692"/>
      <c r="AN7" s="692"/>
      <c r="AO7" s="692"/>
      <c r="AP7" s="692"/>
      <c r="AQ7" s="692"/>
      <c r="AR7" s="692"/>
      <c r="AS7" s="692"/>
      <c r="AT7" s="692"/>
      <c r="AU7" s="692"/>
      <c r="AV7" s="692"/>
      <c r="AW7" s="692"/>
      <c r="AX7" s="692"/>
      <c r="AY7" s="716"/>
      <c r="AZ7" s="692"/>
      <c r="BA7" s="692"/>
      <c r="BB7" s="693"/>
      <c r="BC7" s="731"/>
      <c r="BD7" s="692"/>
      <c r="BE7" s="716"/>
      <c r="BF7" s="692"/>
      <c r="BG7" s="692"/>
      <c r="BH7" s="693"/>
      <c r="BI7" s="731"/>
      <c r="BJ7" s="692"/>
      <c r="BK7" s="716"/>
      <c r="BL7" s="692"/>
      <c r="BM7" s="692"/>
      <c r="BN7" s="693"/>
      <c r="BO7" s="731"/>
      <c r="BP7" s="692"/>
      <c r="BQ7" s="716"/>
      <c r="BR7" s="692"/>
      <c r="BS7" s="692"/>
      <c r="BT7" s="693"/>
      <c r="BU7" s="731"/>
      <c r="BV7" s="692"/>
      <c r="BW7" s="716"/>
      <c r="BX7" s="692"/>
      <c r="BY7" s="692"/>
      <c r="BZ7" s="693"/>
      <c r="CA7" s="731"/>
      <c r="CB7" s="692"/>
      <c r="CC7" s="716"/>
      <c r="CD7" s="692"/>
      <c r="CE7" s="692"/>
      <c r="CF7" s="693"/>
      <c r="CG7" s="731"/>
      <c r="CH7" s="692"/>
      <c r="CI7" s="716"/>
      <c r="CJ7" s="692"/>
      <c r="CK7" s="692"/>
      <c r="CL7" s="693"/>
      <c r="CM7" s="731"/>
    </row>
    <row r="8" spans="1:91" s="25" customFormat="1" ht="11.25" hidden="1" outlineLevel="1" x14ac:dyDescent="0.2">
      <c r="A8" s="694" t="s">
        <v>4</v>
      </c>
      <c r="B8" s="665"/>
      <c r="C8" s="664"/>
      <c r="D8" s="665"/>
      <c r="E8" s="665"/>
      <c r="F8" s="668"/>
      <c r="G8" s="746"/>
      <c r="H8" s="665"/>
      <c r="I8" s="664"/>
      <c r="J8" s="665"/>
      <c r="K8" s="665"/>
      <c r="L8" s="668"/>
      <c r="M8" s="746"/>
      <c r="N8" s="665"/>
      <c r="O8" s="664"/>
      <c r="P8" s="665"/>
      <c r="Q8" s="665"/>
      <c r="R8" s="668"/>
      <c r="S8" s="746"/>
      <c r="T8" s="665"/>
      <c r="U8" s="665"/>
      <c r="V8" s="665"/>
      <c r="W8" s="665"/>
      <c r="X8" s="665"/>
      <c r="Y8" s="665"/>
      <c r="Z8" s="665"/>
      <c r="AA8" s="665"/>
      <c r="AB8" s="665"/>
      <c r="AC8" s="665"/>
      <c r="AD8" s="665"/>
      <c r="AE8" s="665"/>
      <c r="AF8" s="665"/>
      <c r="AG8" s="665"/>
      <c r="AH8" s="665"/>
      <c r="AI8" s="665"/>
      <c r="AJ8" s="665"/>
      <c r="AK8" s="665"/>
      <c r="AL8" s="665"/>
      <c r="AM8" s="665"/>
      <c r="AN8" s="665"/>
      <c r="AO8" s="665"/>
      <c r="AP8" s="665"/>
      <c r="AQ8" s="665"/>
      <c r="AR8" s="665"/>
      <c r="AS8" s="665"/>
      <c r="AT8" s="665"/>
      <c r="AU8" s="665"/>
      <c r="AV8" s="665"/>
      <c r="AW8" s="665"/>
      <c r="AX8" s="665"/>
      <c r="AY8" s="664"/>
      <c r="AZ8" s="665"/>
      <c r="BA8" s="665"/>
      <c r="BB8" s="668"/>
      <c r="BC8" s="746"/>
      <c r="BD8" s="665"/>
      <c r="BE8" s="669">
        <v>260</v>
      </c>
      <c r="BF8" s="657">
        <v>265</v>
      </c>
      <c r="BG8" s="657">
        <v>254</v>
      </c>
      <c r="BH8" s="676">
        <v>267</v>
      </c>
      <c r="BI8" s="678">
        <f>SUM(BE8:BH8)</f>
        <v>1046</v>
      </c>
      <c r="BJ8" s="665"/>
      <c r="BK8" s="669">
        <v>266</v>
      </c>
      <c r="BL8" s="657">
        <v>267</v>
      </c>
      <c r="BM8" s="657">
        <v>262</v>
      </c>
      <c r="BN8" s="676">
        <v>256</v>
      </c>
      <c r="BO8" s="758">
        <f>SUM(BK8:BN8)</f>
        <v>1051</v>
      </c>
      <c r="BP8" s="665"/>
      <c r="BQ8" s="720">
        <v>247</v>
      </c>
      <c r="BR8" s="666">
        <f t="shared" ref="BR8" si="0">BL8*(1+BR9)</f>
        <v>272.87400000000002</v>
      </c>
      <c r="BS8" s="666">
        <f t="shared" ref="BS8" si="1">BM8*(1+BS9)</f>
        <v>267.24</v>
      </c>
      <c r="BT8" s="667">
        <f t="shared" ref="BT8" si="2">BN8*(1+BT9)</f>
        <v>271.36</v>
      </c>
      <c r="BU8" s="758">
        <f>SUM(BQ8:BT8)</f>
        <v>1058.4740000000002</v>
      </c>
      <c r="BV8" s="665"/>
      <c r="BW8" s="718">
        <f>BQ8*(1+BW9)</f>
        <v>255.64499999999998</v>
      </c>
      <c r="BX8" s="666">
        <f t="shared" ref="BX8" si="3">BR8*(1+BX9)</f>
        <v>282.42459000000002</v>
      </c>
      <c r="BY8" s="666">
        <f t="shared" ref="BY8" si="4">BS8*(1+BY9)</f>
        <v>276.59339999999997</v>
      </c>
      <c r="BZ8" s="667">
        <f t="shared" ref="BZ8" si="5">BT8*(1+BZ9)</f>
        <v>280.85759999999999</v>
      </c>
      <c r="CA8" s="758">
        <f>SUM(BW8:BZ8)</f>
        <v>1095.5205900000001</v>
      </c>
      <c r="CB8" s="665"/>
      <c r="CC8" s="718">
        <f>BW8*(1+CC9)</f>
        <v>264.59257499999995</v>
      </c>
      <c r="CD8" s="666">
        <f t="shared" ref="CD8" si="6">BX8*(1+CD9)</f>
        <v>292.30945064999997</v>
      </c>
      <c r="CE8" s="666">
        <f t="shared" ref="CE8" si="7">BY8*(1+CE9)</f>
        <v>286.27416899999997</v>
      </c>
      <c r="CF8" s="667">
        <f t="shared" ref="CF8" si="8">BZ8*(1+CF9)</f>
        <v>290.68761599999999</v>
      </c>
      <c r="CG8" s="758">
        <f>SUM(CC8:CF8)</f>
        <v>1133.8638106499998</v>
      </c>
      <c r="CH8" s="665"/>
      <c r="CI8" s="718">
        <f>CC8*(1+CI9)</f>
        <v>273.85331512499994</v>
      </c>
      <c r="CJ8" s="666">
        <f t="shared" ref="CJ8" si="9">CD8*(1+CJ9)</f>
        <v>302.54028142274996</v>
      </c>
      <c r="CK8" s="666">
        <f t="shared" ref="CK8" si="10">CE8*(1+CK9)</f>
        <v>296.29376491499994</v>
      </c>
      <c r="CL8" s="667">
        <f t="shared" ref="CL8" si="11">CF8*(1+CL9)</f>
        <v>300.86168255999996</v>
      </c>
      <c r="CM8" s="758">
        <f>SUM(CI8:CL8)</f>
        <v>1173.5490440227497</v>
      </c>
    </row>
    <row r="9" spans="1:91" s="25" customFormat="1" ht="11.25" hidden="1" outlineLevel="1" x14ac:dyDescent="0.2">
      <c r="A9" s="695" t="s">
        <v>5</v>
      </c>
      <c r="B9" s="665"/>
      <c r="C9" s="664"/>
      <c r="D9" s="665"/>
      <c r="E9" s="665"/>
      <c r="F9" s="668"/>
      <c r="G9" s="746"/>
      <c r="H9" s="665"/>
      <c r="I9" s="664"/>
      <c r="J9" s="665"/>
      <c r="K9" s="665"/>
      <c r="L9" s="668"/>
      <c r="M9" s="746"/>
      <c r="N9" s="665"/>
      <c r="O9" s="664"/>
      <c r="P9" s="665"/>
      <c r="Q9" s="665"/>
      <c r="R9" s="668"/>
      <c r="S9" s="746"/>
      <c r="T9" s="665"/>
      <c r="U9" s="665"/>
      <c r="V9" s="665"/>
      <c r="W9" s="665"/>
      <c r="X9" s="665"/>
      <c r="Y9" s="665"/>
      <c r="Z9" s="665"/>
      <c r="AA9" s="665"/>
      <c r="AB9" s="665"/>
      <c r="AC9" s="665"/>
      <c r="AD9" s="665"/>
      <c r="AE9" s="665"/>
      <c r="AF9" s="665"/>
      <c r="AG9" s="665"/>
      <c r="AH9" s="665"/>
      <c r="AI9" s="665"/>
      <c r="AJ9" s="665"/>
      <c r="AK9" s="665"/>
      <c r="AL9" s="665"/>
      <c r="AM9" s="665"/>
      <c r="AN9" s="665"/>
      <c r="AO9" s="665"/>
      <c r="AP9" s="665"/>
      <c r="AQ9" s="665"/>
      <c r="AR9" s="665"/>
      <c r="AS9" s="665"/>
      <c r="AT9" s="665"/>
      <c r="AU9" s="665"/>
      <c r="AV9" s="665"/>
      <c r="AW9" s="665"/>
      <c r="AX9" s="665"/>
      <c r="AY9" s="664"/>
      <c r="AZ9" s="665"/>
      <c r="BA9" s="665"/>
      <c r="BB9" s="668"/>
      <c r="BC9" s="746"/>
      <c r="BD9" s="665"/>
      <c r="BE9" s="664"/>
      <c r="BF9" s="665"/>
      <c r="BG9" s="665"/>
      <c r="BH9" s="668"/>
      <c r="BI9" s="746"/>
      <c r="BJ9" s="665"/>
      <c r="BK9" s="717">
        <f>BK8/BE8-1</f>
        <v>2.3076923076922995E-2</v>
      </c>
      <c r="BL9" s="696">
        <f t="shared" ref="BL9:BO9" si="12">BL8/BF8-1</f>
        <v>7.547169811320753E-3</v>
      </c>
      <c r="BM9" s="696">
        <f t="shared" si="12"/>
        <v>3.1496062992125928E-2</v>
      </c>
      <c r="BN9" s="725">
        <f t="shared" si="12"/>
        <v>-4.1198501872659166E-2</v>
      </c>
      <c r="BO9" s="732">
        <f t="shared" si="12"/>
        <v>4.7801147227533036E-3</v>
      </c>
      <c r="BP9" s="665"/>
      <c r="BQ9" s="724">
        <f>BQ8/BK8-1</f>
        <v>-7.1428571428571397E-2</v>
      </c>
      <c r="BR9" s="696">
        <f t="shared" ref="BR9" si="13">BR11+BR10</f>
        <v>2.1999999999999999E-2</v>
      </c>
      <c r="BS9" s="696">
        <f t="shared" ref="BS9" si="14">BS11+BS10</f>
        <v>0.02</v>
      </c>
      <c r="BT9" s="697">
        <f t="shared" ref="BT9" si="15">BT11+BT10</f>
        <v>0.06</v>
      </c>
      <c r="BU9" s="732">
        <f t="shared" ref="BU9" si="16">BU8/BO8-1</f>
        <v>7.1113225499526145E-3</v>
      </c>
      <c r="BV9" s="665"/>
      <c r="BW9" s="717">
        <f>BW11+BW10</f>
        <v>3.5000000000000003E-2</v>
      </c>
      <c r="BX9" s="696">
        <f t="shared" ref="BX9" si="17">BX11+BX10</f>
        <v>3.5000000000000003E-2</v>
      </c>
      <c r="BY9" s="696">
        <f t="shared" ref="BY9" si="18">BY11+BY10</f>
        <v>3.5000000000000003E-2</v>
      </c>
      <c r="BZ9" s="697">
        <f t="shared" ref="BZ9" si="19">BZ11+BZ10</f>
        <v>3.5000000000000003E-2</v>
      </c>
      <c r="CA9" s="732">
        <f t="shared" ref="CA9" si="20">CA8/BU8-1</f>
        <v>3.499999999999992E-2</v>
      </c>
      <c r="CB9" s="665"/>
      <c r="CC9" s="717">
        <f>CC11+CC10</f>
        <v>3.5000000000000003E-2</v>
      </c>
      <c r="CD9" s="696">
        <f t="shared" ref="CD9" si="21">CD11+CD10</f>
        <v>3.5000000000000003E-2</v>
      </c>
      <c r="CE9" s="696">
        <f t="shared" ref="CE9" si="22">CE11+CE10</f>
        <v>3.5000000000000003E-2</v>
      </c>
      <c r="CF9" s="697">
        <f t="shared" ref="CF9" si="23">CF11+CF10</f>
        <v>3.5000000000000003E-2</v>
      </c>
      <c r="CG9" s="732">
        <f t="shared" ref="CG9" si="24">CG8/CA8-1</f>
        <v>3.4999999999999698E-2</v>
      </c>
      <c r="CH9" s="665"/>
      <c r="CI9" s="717">
        <f>CI11+CI10</f>
        <v>3.5000000000000003E-2</v>
      </c>
      <c r="CJ9" s="696">
        <f t="shared" ref="CJ9" si="25">CJ11+CJ10</f>
        <v>3.5000000000000003E-2</v>
      </c>
      <c r="CK9" s="696">
        <f t="shared" ref="CK9" si="26">CK11+CK10</f>
        <v>3.5000000000000003E-2</v>
      </c>
      <c r="CL9" s="697">
        <f t="shared" ref="CL9" si="27">CL11+CL10</f>
        <v>3.5000000000000003E-2</v>
      </c>
      <c r="CM9" s="732">
        <f t="shared" ref="CM9" si="28">CM8/CG8-1</f>
        <v>3.499999999999992E-2</v>
      </c>
    </row>
    <row r="10" spans="1:91" s="25" customFormat="1" ht="11.25" hidden="1" outlineLevel="1" x14ac:dyDescent="0.2">
      <c r="A10" s="695" t="s">
        <v>6</v>
      </c>
      <c r="B10" s="665"/>
      <c r="C10" s="664"/>
      <c r="D10" s="665"/>
      <c r="E10" s="665"/>
      <c r="F10" s="668"/>
      <c r="G10" s="746"/>
      <c r="H10" s="665"/>
      <c r="I10" s="664"/>
      <c r="J10" s="665"/>
      <c r="K10" s="665"/>
      <c r="L10" s="668"/>
      <c r="M10" s="746"/>
      <c r="N10" s="665"/>
      <c r="O10" s="664"/>
      <c r="P10" s="665"/>
      <c r="Q10" s="665"/>
      <c r="R10" s="668"/>
      <c r="S10" s="746"/>
      <c r="T10" s="665"/>
      <c r="U10" s="665"/>
      <c r="V10" s="665"/>
      <c r="W10" s="665"/>
      <c r="X10" s="665"/>
      <c r="Y10" s="665"/>
      <c r="Z10" s="665"/>
      <c r="AA10" s="665"/>
      <c r="AB10" s="665"/>
      <c r="AC10" s="665"/>
      <c r="AD10" s="665"/>
      <c r="AE10" s="665"/>
      <c r="AF10" s="665"/>
      <c r="AG10" s="665"/>
      <c r="AH10" s="665"/>
      <c r="AI10" s="665"/>
      <c r="AJ10" s="665"/>
      <c r="AK10" s="665"/>
      <c r="AL10" s="665"/>
      <c r="AM10" s="665"/>
      <c r="AN10" s="665"/>
      <c r="AO10" s="665"/>
      <c r="AP10" s="665"/>
      <c r="AQ10" s="665"/>
      <c r="AR10" s="665"/>
      <c r="AS10" s="665"/>
      <c r="AT10" s="665"/>
      <c r="AU10" s="665"/>
      <c r="AV10" s="665"/>
      <c r="AW10" s="665"/>
      <c r="AX10" s="665"/>
      <c r="AY10" s="664"/>
      <c r="AZ10" s="665"/>
      <c r="BA10" s="665"/>
      <c r="BB10" s="668"/>
      <c r="BC10" s="746"/>
      <c r="BD10" s="665"/>
      <c r="BE10" s="664"/>
      <c r="BF10" s="665"/>
      <c r="BG10" s="665"/>
      <c r="BH10" s="668"/>
      <c r="BI10" s="746"/>
      <c r="BJ10" s="665"/>
      <c r="BK10" s="672">
        <v>0</v>
      </c>
      <c r="BL10" s="673">
        <v>0</v>
      </c>
      <c r="BM10" s="673">
        <v>0</v>
      </c>
      <c r="BN10" s="723">
        <v>0</v>
      </c>
      <c r="BO10" s="732">
        <f>SUMPRODUCT(BK10:BN10,BE8:BH8)/BI8</f>
        <v>0</v>
      </c>
      <c r="BP10" s="665"/>
      <c r="BQ10" s="722">
        <v>0</v>
      </c>
      <c r="BR10" s="673">
        <v>0</v>
      </c>
      <c r="BS10" s="673">
        <v>0</v>
      </c>
      <c r="BT10" s="674">
        <v>0</v>
      </c>
      <c r="BU10" s="732">
        <f>SUMPRODUCT(BQ10:BT10,BK8:BN8)/BO8</f>
        <v>0</v>
      </c>
      <c r="BV10" s="665"/>
      <c r="BW10" s="672">
        <v>0</v>
      </c>
      <c r="BX10" s="673">
        <v>0</v>
      </c>
      <c r="BY10" s="673">
        <v>0</v>
      </c>
      <c r="BZ10" s="674">
        <v>0</v>
      </c>
      <c r="CA10" s="732">
        <f>SUMPRODUCT(BW10:BZ10,BQ8:BT8)/BU8</f>
        <v>0</v>
      </c>
      <c r="CB10" s="665"/>
      <c r="CC10" s="672">
        <v>0</v>
      </c>
      <c r="CD10" s="673">
        <v>0</v>
      </c>
      <c r="CE10" s="673">
        <v>0</v>
      </c>
      <c r="CF10" s="674">
        <v>0</v>
      </c>
      <c r="CG10" s="732">
        <f>SUMPRODUCT(CC10:CF10,BW8:BZ8)/CA8</f>
        <v>0</v>
      </c>
      <c r="CH10" s="665"/>
      <c r="CI10" s="672">
        <v>0</v>
      </c>
      <c r="CJ10" s="673">
        <v>0</v>
      </c>
      <c r="CK10" s="673">
        <v>0</v>
      </c>
      <c r="CL10" s="674">
        <v>0</v>
      </c>
      <c r="CM10" s="732">
        <f>SUMPRODUCT(CI10:CL10,CC8:CF8)/CG8</f>
        <v>0</v>
      </c>
    </row>
    <row r="11" spans="1:91" s="25" customFormat="1" ht="11.25" hidden="1" outlineLevel="1" x14ac:dyDescent="0.2">
      <c r="A11" s="695" t="s">
        <v>7</v>
      </c>
      <c r="B11" s="665"/>
      <c r="C11" s="664"/>
      <c r="D11" s="665"/>
      <c r="E11" s="665"/>
      <c r="F11" s="668"/>
      <c r="G11" s="746"/>
      <c r="H11" s="665"/>
      <c r="I11" s="664"/>
      <c r="J11" s="665"/>
      <c r="K11" s="665"/>
      <c r="L11" s="668"/>
      <c r="M11" s="746"/>
      <c r="N11" s="665"/>
      <c r="O11" s="664"/>
      <c r="P11" s="665"/>
      <c r="Q11" s="665"/>
      <c r="R11" s="668"/>
      <c r="S11" s="746"/>
      <c r="T11" s="665"/>
      <c r="U11" s="665"/>
      <c r="V11" s="665"/>
      <c r="W11" s="665"/>
      <c r="X11" s="665"/>
      <c r="Y11" s="665"/>
      <c r="Z11" s="665"/>
      <c r="AA11" s="665"/>
      <c r="AB11" s="665"/>
      <c r="AC11" s="665"/>
      <c r="AD11" s="665"/>
      <c r="AE11" s="665"/>
      <c r="AF11" s="665"/>
      <c r="AG11" s="665"/>
      <c r="AH11" s="665"/>
      <c r="AI11" s="665"/>
      <c r="AJ11" s="665"/>
      <c r="AK11" s="665"/>
      <c r="AL11" s="665"/>
      <c r="AM11" s="665"/>
      <c r="AN11" s="665"/>
      <c r="AO11" s="665"/>
      <c r="AP11" s="665"/>
      <c r="AQ11" s="665"/>
      <c r="AR11" s="665"/>
      <c r="AS11" s="665"/>
      <c r="AT11" s="665"/>
      <c r="AU11" s="665"/>
      <c r="AV11" s="665"/>
      <c r="AW11" s="665"/>
      <c r="AX11" s="665"/>
      <c r="AY11" s="664"/>
      <c r="AZ11" s="665"/>
      <c r="BA11" s="665"/>
      <c r="BB11" s="668"/>
      <c r="BC11" s="746"/>
      <c r="BD11" s="665"/>
      <c r="BE11" s="664"/>
      <c r="BF11" s="665"/>
      <c r="BG11" s="665"/>
      <c r="BH11" s="668"/>
      <c r="BI11" s="746"/>
      <c r="BJ11" s="665"/>
      <c r="BK11" s="717">
        <f>BK9-BK10</f>
        <v>2.3076923076922995E-2</v>
      </c>
      <c r="BL11" s="696">
        <f t="shared" ref="BL11:BO11" si="29">BL9-BL10</f>
        <v>7.547169811320753E-3</v>
      </c>
      <c r="BM11" s="696">
        <f t="shared" si="29"/>
        <v>3.1496062992125928E-2</v>
      </c>
      <c r="BN11" s="725">
        <f t="shared" si="29"/>
        <v>-4.1198501872659166E-2</v>
      </c>
      <c r="BO11" s="732">
        <f t="shared" si="29"/>
        <v>4.7801147227533036E-3</v>
      </c>
      <c r="BP11" s="665"/>
      <c r="BQ11" s="724">
        <f>BQ9-BQ10</f>
        <v>-7.1428571428571397E-2</v>
      </c>
      <c r="BR11" s="673">
        <v>2.1999999999999999E-2</v>
      </c>
      <c r="BS11" s="673">
        <v>0.02</v>
      </c>
      <c r="BT11" s="674">
        <v>0.06</v>
      </c>
      <c r="BU11" s="732">
        <f t="shared" ref="BU11" si="30">BU9-BU10</f>
        <v>7.1113225499526145E-3</v>
      </c>
      <c r="BV11" s="665"/>
      <c r="BW11" s="672">
        <v>3.5000000000000003E-2</v>
      </c>
      <c r="BX11" s="673">
        <f>BW11</f>
        <v>3.5000000000000003E-2</v>
      </c>
      <c r="BY11" s="673">
        <f t="shared" ref="BY11:BZ11" si="31">BX11</f>
        <v>3.5000000000000003E-2</v>
      </c>
      <c r="BZ11" s="674">
        <f t="shared" si="31"/>
        <v>3.5000000000000003E-2</v>
      </c>
      <c r="CA11" s="732">
        <f t="shared" ref="CA11" si="32">CA9-CA10</f>
        <v>3.499999999999992E-2</v>
      </c>
      <c r="CB11" s="665"/>
      <c r="CC11" s="672">
        <v>3.5000000000000003E-2</v>
      </c>
      <c r="CD11" s="673">
        <f>CC11</f>
        <v>3.5000000000000003E-2</v>
      </c>
      <c r="CE11" s="673">
        <f t="shared" ref="CE11:CF11" si="33">CD11</f>
        <v>3.5000000000000003E-2</v>
      </c>
      <c r="CF11" s="674">
        <f t="shared" si="33"/>
        <v>3.5000000000000003E-2</v>
      </c>
      <c r="CG11" s="732">
        <f t="shared" ref="CG11" si="34">CG9-CG10</f>
        <v>3.4999999999999698E-2</v>
      </c>
      <c r="CH11" s="665"/>
      <c r="CI11" s="672">
        <v>3.5000000000000003E-2</v>
      </c>
      <c r="CJ11" s="673">
        <f>CI11</f>
        <v>3.5000000000000003E-2</v>
      </c>
      <c r="CK11" s="673">
        <f t="shared" ref="CK11:CL11" si="35">CJ11</f>
        <v>3.5000000000000003E-2</v>
      </c>
      <c r="CL11" s="674">
        <f t="shared" si="35"/>
        <v>3.5000000000000003E-2</v>
      </c>
      <c r="CM11" s="732">
        <f t="shared" ref="CM11" si="36">CM9-CM10</f>
        <v>3.499999999999992E-2</v>
      </c>
    </row>
    <row r="12" spans="1:91" s="25" customFormat="1" ht="11.25" hidden="1" outlineLevel="1" x14ac:dyDescent="0.2">
      <c r="A12" s="694" t="s">
        <v>8</v>
      </c>
      <c r="B12" s="665"/>
      <c r="C12" s="664"/>
      <c r="D12" s="665"/>
      <c r="E12" s="665"/>
      <c r="F12" s="668"/>
      <c r="G12" s="746"/>
      <c r="H12" s="665"/>
      <c r="I12" s="664"/>
      <c r="J12" s="665"/>
      <c r="K12" s="665"/>
      <c r="L12" s="668"/>
      <c r="M12" s="746"/>
      <c r="N12" s="665"/>
      <c r="O12" s="664"/>
      <c r="P12" s="665"/>
      <c r="Q12" s="665"/>
      <c r="R12" s="668"/>
      <c r="S12" s="746"/>
      <c r="T12" s="665"/>
      <c r="U12" s="665"/>
      <c r="V12" s="665"/>
      <c r="W12" s="665"/>
      <c r="X12" s="665"/>
      <c r="Y12" s="665"/>
      <c r="Z12" s="665"/>
      <c r="AA12" s="665"/>
      <c r="AB12" s="665"/>
      <c r="AC12" s="665"/>
      <c r="AD12" s="665"/>
      <c r="AE12" s="665"/>
      <c r="AF12" s="665"/>
      <c r="AG12" s="665"/>
      <c r="AH12" s="665"/>
      <c r="AI12" s="665"/>
      <c r="AJ12" s="665"/>
      <c r="AK12" s="665"/>
      <c r="AL12" s="665"/>
      <c r="AM12" s="665"/>
      <c r="AN12" s="665"/>
      <c r="AO12" s="665"/>
      <c r="AP12" s="665"/>
      <c r="AQ12" s="665"/>
      <c r="AR12" s="665"/>
      <c r="AS12" s="665"/>
      <c r="AT12" s="665"/>
      <c r="AU12" s="665"/>
      <c r="AV12" s="665"/>
      <c r="AW12" s="665"/>
      <c r="AX12" s="665"/>
      <c r="AY12" s="664"/>
      <c r="AZ12" s="665"/>
      <c r="BA12" s="665"/>
      <c r="BB12" s="668"/>
      <c r="BC12" s="746"/>
      <c r="BD12" s="665"/>
      <c r="BE12" s="669">
        <v>50</v>
      </c>
      <c r="BF12" s="657">
        <v>50</v>
      </c>
      <c r="BG12" s="657">
        <v>60</v>
      </c>
      <c r="BH12" s="676">
        <v>58</v>
      </c>
      <c r="BI12" s="733">
        <f>SUM(BE12:BH12)</f>
        <v>218</v>
      </c>
      <c r="BJ12" s="665"/>
      <c r="BK12" s="669">
        <v>62</v>
      </c>
      <c r="BL12" s="657">
        <v>58</v>
      </c>
      <c r="BM12" s="657">
        <v>64</v>
      </c>
      <c r="BN12" s="721">
        <v>63</v>
      </c>
      <c r="BO12" s="733">
        <f>SUM(BK12:BN12)</f>
        <v>247</v>
      </c>
      <c r="BP12" s="665"/>
      <c r="BQ12" s="720">
        <v>71</v>
      </c>
      <c r="BR12" s="666">
        <f t="shared" ref="BR12" si="37">BL12*(1+BR13)</f>
        <v>66.654226220934603</v>
      </c>
      <c r="BS12" s="666">
        <f t="shared" ref="BS12" si="38">BM12*(1+BS13)</f>
        <v>71.797527648073114</v>
      </c>
      <c r="BT12" s="667">
        <f t="shared" ref="BT12" si="39">BN12*(1+BT13)</f>
        <v>70.088260602856806</v>
      </c>
      <c r="BU12" s="733">
        <f>SUM(BQ12:BT12)</f>
        <v>279.54001447186454</v>
      </c>
      <c r="BV12" s="665"/>
      <c r="BW12" s="718">
        <f>BQ12*(1+BW13)</f>
        <v>79.477373291882103</v>
      </c>
      <c r="BX12" s="666">
        <f t="shared" ref="BX12" si="40">BR12*(1+BX13)</f>
        <v>72.544896003194623</v>
      </c>
      <c r="BY12" s="666">
        <f t="shared" ref="BY12" si="41">BS12*(1+BY13)</f>
        <v>77.900317498159325</v>
      </c>
      <c r="BZ12" s="667">
        <f t="shared" ref="BZ12" si="42">BT12*(1+BZ13)</f>
        <v>76.045762754099627</v>
      </c>
      <c r="CA12" s="733">
        <f>SUM(BW12:BZ12)</f>
        <v>305.96834954733572</v>
      </c>
      <c r="CB12" s="665"/>
      <c r="CC12" s="718">
        <f>BW12*(1+CC13)</f>
        <v>86.232950021692076</v>
      </c>
      <c r="CD12" s="666">
        <f t="shared" ref="CD12" si="43">BX12*(1+CD13)</f>
        <v>78.711212163466158</v>
      </c>
      <c r="CE12" s="666">
        <f t="shared" ref="CE12" si="44">BY12*(1+CE13)</f>
        <v>84.521844485502868</v>
      </c>
      <c r="CF12" s="667">
        <f t="shared" ref="CF12" si="45">BZ12*(1+CF13)</f>
        <v>82.509652588198094</v>
      </c>
      <c r="CG12" s="733">
        <f>SUM(CC12:CF12)</f>
        <v>331.9756592588592</v>
      </c>
      <c r="CH12" s="665"/>
      <c r="CI12" s="718">
        <f>CC12*(1+CI13)</f>
        <v>93.562750773535896</v>
      </c>
      <c r="CJ12" s="666">
        <f t="shared" ref="CJ12" si="46">CD12*(1+CJ13)</f>
        <v>85.401665197360785</v>
      </c>
      <c r="CK12" s="666">
        <f t="shared" ref="CK12" si="47">CE12*(1+CK13)</f>
        <v>91.706201266770606</v>
      </c>
      <c r="CL12" s="667">
        <f t="shared" ref="CL12" si="48">CF12*(1+CL13)</f>
        <v>89.522973058194935</v>
      </c>
      <c r="CM12" s="733">
        <f>SUM(CI12:CL12)</f>
        <v>360.19359029586224</v>
      </c>
    </row>
    <row r="13" spans="1:91" s="25" customFormat="1" ht="11.25" hidden="1" outlineLevel="1" x14ac:dyDescent="0.2">
      <c r="A13" s="695" t="s">
        <v>5</v>
      </c>
      <c r="B13" s="665"/>
      <c r="C13" s="664"/>
      <c r="D13" s="665"/>
      <c r="E13" s="665"/>
      <c r="F13" s="668"/>
      <c r="G13" s="746"/>
      <c r="H13" s="665"/>
      <c r="I13" s="664"/>
      <c r="J13" s="665"/>
      <c r="K13" s="665"/>
      <c r="L13" s="668"/>
      <c r="M13" s="746"/>
      <c r="N13" s="665"/>
      <c r="O13" s="664"/>
      <c r="P13" s="665"/>
      <c r="Q13" s="665"/>
      <c r="R13" s="668"/>
      <c r="S13" s="746"/>
      <c r="T13" s="665"/>
      <c r="U13" s="665"/>
      <c r="V13" s="665"/>
      <c r="W13" s="665"/>
      <c r="X13" s="665"/>
      <c r="Y13" s="665"/>
      <c r="Z13" s="665"/>
      <c r="AA13" s="665"/>
      <c r="AB13" s="665"/>
      <c r="AC13" s="665"/>
      <c r="AD13" s="665"/>
      <c r="AE13" s="665"/>
      <c r="AF13" s="665"/>
      <c r="AG13" s="665"/>
      <c r="AH13" s="665"/>
      <c r="AI13" s="665"/>
      <c r="AJ13" s="665"/>
      <c r="AK13" s="665"/>
      <c r="AL13" s="665"/>
      <c r="AM13" s="665"/>
      <c r="AN13" s="665"/>
      <c r="AO13" s="665"/>
      <c r="AP13" s="665"/>
      <c r="AQ13" s="665"/>
      <c r="AR13" s="665"/>
      <c r="AS13" s="665"/>
      <c r="AT13" s="665"/>
      <c r="AU13" s="665"/>
      <c r="AV13" s="665"/>
      <c r="AW13" s="665"/>
      <c r="AX13" s="665"/>
      <c r="AY13" s="664"/>
      <c r="AZ13" s="665"/>
      <c r="BA13" s="665"/>
      <c r="BB13" s="668"/>
      <c r="BC13" s="746"/>
      <c r="BD13" s="665"/>
      <c r="BE13" s="664"/>
      <c r="BF13" s="665"/>
      <c r="BG13" s="665"/>
      <c r="BH13" s="668"/>
      <c r="BI13" s="746"/>
      <c r="BJ13" s="665"/>
      <c r="BK13" s="717">
        <f>BK12/BE12-1</f>
        <v>0.24</v>
      </c>
      <c r="BL13" s="696">
        <f t="shared" ref="BL13:BO13" si="49">BL12/BF12-1</f>
        <v>0.15999999999999992</v>
      </c>
      <c r="BM13" s="696">
        <f t="shared" si="49"/>
        <v>6.6666666666666652E-2</v>
      </c>
      <c r="BN13" s="697">
        <f t="shared" si="49"/>
        <v>8.6206896551724199E-2</v>
      </c>
      <c r="BO13" s="732">
        <f t="shared" si="49"/>
        <v>0.1330275229357798</v>
      </c>
      <c r="BP13" s="665"/>
      <c r="BQ13" s="724">
        <f>BQ12/BK12-1</f>
        <v>0.14516129032258074</v>
      </c>
      <c r="BR13" s="696">
        <f t="shared" ref="BR13" si="50">BR15+BR14</f>
        <v>0.14921079691266548</v>
      </c>
      <c r="BS13" s="696">
        <f t="shared" ref="BS13" si="51">BS15+BS14</f>
        <v>0.12183636950114238</v>
      </c>
      <c r="BT13" s="697">
        <f t="shared" ref="BT13" si="52">BT15+BT14</f>
        <v>0.11251207306121928</v>
      </c>
      <c r="BU13" s="732">
        <f t="shared" ref="BU13" si="53">BU12/BO12-1</f>
        <v>0.13174094927880375</v>
      </c>
      <c r="BV13" s="665"/>
      <c r="BW13" s="717">
        <f>BW15+BW14</f>
        <v>0.11939962382932538</v>
      </c>
      <c r="BX13" s="696">
        <f t="shared" ref="BX13" si="54">BX15+BX14</f>
        <v>8.8376538386847045E-2</v>
      </c>
      <c r="BY13" s="696">
        <f t="shared" ref="BY13" si="55">BY15+BY14</f>
        <v>8.5000000000000006E-2</v>
      </c>
      <c r="BZ13" s="697">
        <f t="shared" ref="BZ13" si="56">BZ15+BZ14</f>
        <v>8.5000000000000006E-2</v>
      </c>
      <c r="CA13" s="732">
        <f t="shared" ref="CA13" si="57">CA12/BU12-1</f>
        <v>9.4542225467800334E-2</v>
      </c>
      <c r="CB13" s="665"/>
      <c r="CC13" s="717">
        <f>CC15+CC14</f>
        <v>8.5000000000000006E-2</v>
      </c>
      <c r="CD13" s="696">
        <f t="shared" ref="CD13" si="58">CD15+CD14</f>
        <v>8.5000000000000006E-2</v>
      </c>
      <c r="CE13" s="696">
        <f t="shared" ref="CE13" si="59">CE15+CE14</f>
        <v>8.5000000000000006E-2</v>
      </c>
      <c r="CF13" s="697">
        <f t="shared" ref="CF13" si="60">CF15+CF14</f>
        <v>8.5000000000000006E-2</v>
      </c>
      <c r="CG13" s="732">
        <f t="shared" ref="CG13" si="61">CG12/CA12-1</f>
        <v>8.4999999999999742E-2</v>
      </c>
      <c r="CH13" s="665"/>
      <c r="CI13" s="717">
        <f>CI15+CI14</f>
        <v>8.5000000000000006E-2</v>
      </c>
      <c r="CJ13" s="696">
        <f t="shared" ref="CJ13" si="62">CJ15+CJ14</f>
        <v>8.5000000000000006E-2</v>
      </c>
      <c r="CK13" s="696">
        <f t="shared" ref="CK13" si="63">CK15+CK14</f>
        <v>8.5000000000000006E-2</v>
      </c>
      <c r="CL13" s="697">
        <f t="shared" ref="CL13" si="64">CL15+CL14</f>
        <v>8.5000000000000006E-2</v>
      </c>
      <c r="CM13" s="732">
        <f t="shared" ref="CM13" si="65">CM12/CG12-1</f>
        <v>8.4999999999999964E-2</v>
      </c>
    </row>
    <row r="14" spans="1:91" s="25" customFormat="1" ht="11.25" hidden="1" outlineLevel="1" x14ac:dyDescent="0.2">
      <c r="A14" s="695" t="s">
        <v>9</v>
      </c>
      <c r="B14" s="665"/>
      <c r="C14" s="664"/>
      <c r="D14" s="665"/>
      <c r="E14" s="665"/>
      <c r="F14" s="668"/>
      <c r="G14" s="746"/>
      <c r="H14" s="665"/>
      <c r="I14" s="664"/>
      <c r="J14" s="665"/>
      <c r="K14" s="665"/>
      <c r="L14" s="668"/>
      <c r="M14" s="746"/>
      <c r="N14" s="665"/>
      <c r="O14" s="664"/>
      <c r="P14" s="665"/>
      <c r="Q14" s="665"/>
      <c r="R14" s="668"/>
      <c r="S14" s="746"/>
      <c r="T14" s="665"/>
      <c r="U14" s="665"/>
      <c r="V14" s="665"/>
      <c r="W14" s="665"/>
      <c r="X14" s="665"/>
      <c r="Y14" s="665"/>
      <c r="Z14" s="665"/>
      <c r="AA14" s="665"/>
      <c r="AB14" s="665"/>
      <c r="AC14" s="665"/>
      <c r="AD14" s="665"/>
      <c r="AE14" s="665"/>
      <c r="AF14" s="665"/>
      <c r="AG14" s="665"/>
      <c r="AH14" s="665"/>
      <c r="AI14" s="665"/>
      <c r="AJ14" s="665"/>
      <c r="AK14" s="665"/>
      <c r="AL14" s="665"/>
      <c r="AM14" s="665"/>
      <c r="AN14" s="665"/>
      <c r="AO14" s="665"/>
      <c r="AP14" s="665"/>
      <c r="AQ14" s="665"/>
      <c r="AR14" s="665"/>
      <c r="AS14" s="665"/>
      <c r="AT14" s="665"/>
      <c r="AU14" s="665"/>
      <c r="AV14" s="665"/>
      <c r="AW14" s="665"/>
      <c r="AX14" s="665"/>
      <c r="AY14" s="664"/>
      <c r="AZ14" s="665"/>
      <c r="BA14" s="665"/>
      <c r="BB14" s="668"/>
      <c r="BC14" s="746"/>
      <c r="BD14" s="665"/>
      <c r="BE14" s="664"/>
      <c r="BF14" s="665"/>
      <c r="BG14" s="665"/>
      <c r="BH14" s="668"/>
      <c r="BI14" s="746"/>
      <c r="BJ14" s="665"/>
      <c r="BK14" s="660">
        <f>BK13-BK15</f>
        <v>-4.1999999999999982E-2</v>
      </c>
      <c r="BL14" s="661">
        <f t="shared" ref="BL14:BN14" si="66">BL13-BL15</f>
        <v>-4.3000000000000094E-2</v>
      </c>
      <c r="BM14" s="661">
        <f t="shared" si="66"/>
        <v>-4.0333333333333346E-2</v>
      </c>
      <c r="BN14" s="662">
        <f t="shared" si="66"/>
        <v>-4.7931034482757984E-3</v>
      </c>
      <c r="BO14" s="732">
        <f>SUMPRODUCT(BK14:BN14,BE12:BH12)/BI12</f>
        <v>-3.1871559633027527E-2</v>
      </c>
      <c r="BP14" s="665"/>
      <c r="BQ14" s="585">
        <f>BQ13-BQ15</f>
        <v>4.3161290322580745E-2</v>
      </c>
      <c r="BR14" s="698">
        <v>6.921079691266549E-2</v>
      </c>
      <c r="BS14" s="698">
        <v>5.1836369501142378E-2</v>
      </c>
      <c r="BT14" s="742">
        <v>2.2512073061219284E-2</v>
      </c>
      <c r="BU14" s="732">
        <f>SUMPRODUCT(BQ14:BT14,BK12:BN12)/BO12</f>
        <v>4.6259167902285556E-2</v>
      </c>
      <c r="BV14" s="665"/>
      <c r="BW14" s="743">
        <v>3.4399623829325376E-2</v>
      </c>
      <c r="BX14" s="698">
        <v>3.3765383868470385E-3</v>
      </c>
      <c r="BY14" s="698">
        <v>0</v>
      </c>
      <c r="BZ14" s="742">
        <v>0</v>
      </c>
      <c r="CA14" s="732">
        <f>SUMPRODUCT(BW14:BZ14,BQ12:BT12)/BU12</f>
        <v>9.5422254678002409E-3</v>
      </c>
      <c r="CB14" s="665"/>
      <c r="CC14" s="743">
        <v>0</v>
      </c>
      <c r="CD14" s="698">
        <v>0</v>
      </c>
      <c r="CE14" s="698">
        <v>0</v>
      </c>
      <c r="CF14" s="742">
        <v>0</v>
      </c>
      <c r="CG14" s="732">
        <f>SUMPRODUCT(CC14:CF14,BW12:BZ12)/CA12</f>
        <v>0</v>
      </c>
      <c r="CH14" s="665"/>
      <c r="CI14" s="743">
        <v>0</v>
      </c>
      <c r="CJ14" s="698">
        <v>0</v>
      </c>
      <c r="CK14" s="698">
        <v>0</v>
      </c>
      <c r="CL14" s="742">
        <v>0</v>
      </c>
      <c r="CM14" s="732">
        <f>SUMPRODUCT(CI14:CL14,CC12:CF12)/CG12</f>
        <v>0</v>
      </c>
    </row>
    <row r="15" spans="1:91" s="25" customFormat="1" ht="11.25" hidden="1" outlineLevel="1" x14ac:dyDescent="0.2">
      <c r="A15" s="695" t="s">
        <v>10</v>
      </c>
      <c r="B15" s="665"/>
      <c r="C15" s="664"/>
      <c r="D15" s="665"/>
      <c r="E15" s="665"/>
      <c r="F15" s="668"/>
      <c r="G15" s="746"/>
      <c r="H15" s="665"/>
      <c r="I15" s="664"/>
      <c r="J15" s="665"/>
      <c r="K15" s="665"/>
      <c r="L15" s="668"/>
      <c r="M15" s="746"/>
      <c r="N15" s="665"/>
      <c r="O15" s="664"/>
      <c r="P15" s="665"/>
      <c r="Q15" s="665"/>
      <c r="R15" s="668"/>
      <c r="S15" s="746"/>
      <c r="T15" s="665"/>
      <c r="U15" s="665"/>
      <c r="V15" s="665"/>
      <c r="W15" s="665"/>
      <c r="X15" s="665"/>
      <c r="Y15" s="665"/>
      <c r="Z15" s="665"/>
      <c r="AA15" s="665"/>
      <c r="AB15" s="665"/>
      <c r="AC15" s="665"/>
      <c r="AD15" s="665"/>
      <c r="AE15" s="665"/>
      <c r="AF15" s="665"/>
      <c r="AG15" s="665"/>
      <c r="AH15" s="665"/>
      <c r="AI15" s="665"/>
      <c r="AJ15" s="665"/>
      <c r="AK15" s="665"/>
      <c r="AL15" s="665"/>
      <c r="AM15" s="665"/>
      <c r="AN15" s="665"/>
      <c r="AO15" s="665"/>
      <c r="AP15" s="665"/>
      <c r="AQ15" s="665"/>
      <c r="AR15" s="665"/>
      <c r="AS15" s="665"/>
      <c r="AT15" s="665"/>
      <c r="AU15" s="665"/>
      <c r="AV15" s="665"/>
      <c r="AW15" s="665"/>
      <c r="AX15" s="665"/>
      <c r="AY15" s="664"/>
      <c r="AZ15" s="665"/>
      <c r="BA15" s="665"/>
      <c r="BB15" s="668"/>
      <c r="BC15" s="746"/>
      <c r="BD15" s="665"/>
      <c r="BE15" s="664"/>
      <c r="BF15" s="665"/>
      <c r="BG15" s="665"/>
      <c r="BH15" s="668"/>
      <c r="BI15" s="746"/>
      <c r="BJ15" s="665"/>
      <c r="BK15" s="722">
        <v>0.28199999999999997</v>
      </c>
      <c r="BL15" s="703">
        <v>0.20300000000000001</v>
      </c>
      <c r="BM15" s="673">
        <v>0.107</v>
      </c>
      <c r="BN15" s="674">
        <v>9.0999999999999998E-2</v>
      </c>
      <c r="BO15" s="732">
        <f t="shared" ref="BO15" si="67">BO13-BO14</f>
        <v>0.16489908256880731</v>
      </c>
      <c r="BP15" s="665"/>
      <c r="BQ15" s="722">
        <v>0.10199999999999999</v>
      </c>
      <c r="BR15" s="696">
        <f t="shared" ref="BR15" si="68">BR16+BR17</f>
        <v>0.08</v>
      </c>
      <c r="BS15" s="696">
        <f t="shared" ref="BS15" si="69">BS16+BS17</f>
        <v>7.0000000000000007E-2</v>
      </c>
      <c r="BT15" s="697">
        <f t="shared" ref="BT15" si="70">BT16+BT17</f>
        <v>0.09</v>
      </c>
      <c r="BU15" s="732">
        <f t="shared" ref="BU15" si="71">BU13-BU14</f>
        <v>8.5481781376518198E-2</v>
      </c>
      <c r="BV15" s="665"/>
      <c r="BW15" s="717">
        <f>BW16+BW17</f>
        <v>8.5000000000000006E-2</v>
      </c>
      <c r="BX15" s="696">
        <f t="shared" ref="BX15" si="72">BX16+BX17</f>
        <v>8.5000000000000006E-2</v>
      </c>
      <c r="BY15" s="696">
        <f t="shared" ref="BY15" si="73">BY16+BY17</f>
        <v>8.5000000000000006E-2</v>
      </c>
      <c r="BZ15" s="697">
        <f t="shared" ref="BZ15" si="74">BZ16+BZ17</f>
        <v>8.5000000000000006E-2</v>
      </c>
      <c r="CA15" s="732">
        <f t="shared" ref="CA15" si="75">CA13-CA14</f>
        <v>8.5000000000000089E-2</v>
      </c>
      <c r="CB15" s="665"/>
      <c r="CC15" s="717">
        <f>CC16+CC17</f>
        <v>8.5000000000000006E-2</v>
      </c>
      <c r="CD15" s="696">
        <f t="shared" ref="CD15" si="76">CD16+CD17</f>
        <v>8.5000000000000006E-2</v>
      </c>
      <c r="CE15" s="696">
        <f t="shared" ref="CE15" si="77">CE16+CE17</f>
        <v>8.5000000000000006E-2</v>
      </c>
      <c r="CF15" s="697">
        <f t="shared" ref="CF15" si="78">CF16+CF17</f>
        <v>8.5000000000000006E-2</v>
      </c>
      <c r="CG15" s="732">
        <f t="shared" ref="CG15" si="79">CG13-CG14</f>
        <v>8.4999999999999742E-2</v>
      </c>
      <c r="CH15" s="665"/>
      <c r="CI15" s="717">
        <f>CI16+CI17</f>
        <v>8.5000000000000006E-2</v>
      </c>
      <c r="CJ15" s="696">
        <f t="shared" ref="CJ15" si="80">CJ16+CJ17</f>
        <v>8.5000000000000006E-2</v>
      </c>
      <c r="CK15" s="696">
        <f t="shared" ref="CK15" si="81">CK16+CK17</f>
        <v>8.5000000000000006E-2</v>
      </c>
      <c r="CL15" s="697">
        <f t="shared" ref="CL15" si="82">CL16+CL17</f>
        <v>8.5000000000000006E-2</v>
      </c>
      <c r="CM15" s="732">
        <f t="shared" ref="CM15" si="83">CM13-CM14</f>
        <v>8.4999999999999964E-2</v>
      </c>
    </row>
    <row r="16" spans="1:91" s="25" customFormat="1" ht="11.25" hidden="1" outlineLevel="1" x14ac:dyDescent="0.2">
      <c r="A16" s="695" t="s">
        <v>6</v>
      </c>
      <c r="B16" s="665"/>
      <c r="C16" s="664"/>
      <c r="D16" s="665"/>
      <c r="E16" s="665"/>
      <c r="F16" s="668"/>
      <c r="G16" s="746"/>
      <c r="H16" s="665"/>
      <c r="I16" s="664"/>
      <c r="J16" s="665"/>
      <c r="K16" s="665"/>
      <c r="L16" s="668"/>
      <c r="M16" s="746"/>
      <c r="N16" s="665"/>
      <c r="O16" s="664"/>
      <c r="P16" s="665"/>
      <c r="Q16" s="665"/>
      <c r="R16" s="668"/>
      <c r="S16" s="746"/>
      <c r="T16" s="665"/>
      <c r="U16" s="665"/>
      <c r="V16" s="665"/>
      <c r="W16" s="665"/>
      <c r="X16" s="665"/>
      <c r="Y16" s="665"/>
      <c r="Z16" s="665"/>
      <c r="AA16" s="665"/>
      <c r="AB16" s="665"/>
      <c r="AC16" s="665"/>
      <c r="AD16" s="665"/>
      <c r="AE16" s="665"/>
      <c r="AF16" s="665"/>
      <c r="AG16" s="665"/>
      <c r="AH16" s="665"/>
      <c r="AI16" s="665"/>
      <c r="AJ16" s="665"/>
      <c r="AK16" s="665"/>
      <c r="AL16" s="665"/>
      <c r="AM16" s="665"/>
      <c r="AN16" s="665"/>
      <c r="AO16" s="665"/>
      <c r="AP16" s="665"/>
      <c r="AQ16" s="665"/>
      <c r="AR16" s="665"/>
      <c r="AS16" s="665"/>
      <c r="AT16" s="665"/>
      <c r="AU16" s="665"/>
      <c r="AV16" s="665"/>
      <c r="AW16" s="665"/>
      <c r="AX16" s="665"/>
      <c r="AY16" s="664"/>
      <c r="AZ16" s="665"/>
      <c r="BA16" s="665"/>
      <c r="BB16" s="668"/>
      <c r="BC16" s="746"/>
      <c r="BD16" s="665"/>
      <c r="BE16" s="664"/>
      <c r="BF16" s="665"/>
      <c r="BG16" s="665"/>
      <c r="BH16" s="668"/>
      <c r="BI16" s="746"/>
      <c r="BJ16" s="665"/>
      <c r="BK16" s="722">
        <v>0</v>
      </c>
      <c r="BL16" s="703">
        <v>0</v>
      </c>
      <c r="BM16" s="673">
        <v>0</v>
      </c>
      <c r="BN16" s="674">
        <v>0</v>
      </c>
      <c r="BO16" s="732">
        <f>SUMPRODUCT(BK16:BN16,BE12:BH12)/BI12</f>
        <v>0</v>
      </c>
      <c r="BP16" s="665"/>
      <c r="BQ16" s="722">
        <v>0</v>
      </c>
      <c r="BR16" s="673">
        <v>0</v>
      </c>
      <c r="BS16" s="673">
        <v>0</v>
      </c>
      <c r="BT16" s="674">
        <v>0</v>
      </c>
      <c r="BU16" s="732">
        <f>SUMPRODUCT(BQ16:BT16,BK12:BN12)/BO12</f>
        <v>0</v>
      </c>
      <c r="BV16" s="665"/>
      <c r="BW16" s="672">
        <v>0</v>
      </c>
      <c r="BX16" s="673">
        <v>0</v>
      </c>
      <c r="BY16" s="673">
        <v>0</v>
      </c>
      <c r="BZ16" s="674">
        <v>0</v>
      </c>
      <c r="CA16" s="732">
        <f>SUMPRODUCT(BW16:BZ16,BQ12:BT12)/BU12</f>
        <v>0</v>
      </c>
      <c r="CB16" s="665"/>
      <c r="CC16" s="672">
        <v>0</v>
      </c>
      <c r="CD16" s="673">
        <v>0</v>
      </c>
      <c r="CE16" s="673">
        <v>0</v>
      </c>
      <c r="CF16" s="674">
        <v>0</v>
      </c>
      <c r="CG16" s="732">
        <f>SUMPRODUCT(CC16:CF16,BW12:BZ12)/CA12</f>
        <v>0</v>
      </c>
      <c r="CH16" s="665"/>
      <c r="CI16" s="672">
        <v>0</v>
      </c>
      <c r="CJ16" s="673">
        <v>0</v>
      </c>
      <c r="CK16" s="673">
        <v>0</v>
      </c>
      <c r="CL16" s="674">
        <v>0</v>
      </c>
      <c r="CM16" s="732">
        <f>SUMPRODUCT(CI16:CL16,CC12:CF12)/CG12</f>
        <v>0</v>
      </c>
    </row>
    <row r="17" spans="1:91" s="25" customFormat="1" ht="11.25" hidden="1" outlineLevel="1" x14ac:dyDescent="0.2">
      <c r="A17" s="695" t="s">
        <v>7</v>
      </c>
      <c r="B17" s="665"/>
      <c r="C17" s="664"/>
      <c r="D17" s="665"/>
      <c r="E17" s="665"/>
      <c r="F17" s="668"/>
      <c r="G17" s="746"/>
      <c r="H17" s="665"/>
      <c r="I17" s="664"/>
      <c r="J17" s="665"/>
      <c r="K17" s="665"/>
      <c r="L17" s="668"/>
      <c r="M17" s="746"/>
      <c r="N17" s="665"/>
      <c r="O17" s="664"/>
      <c r="P17" s="665"/>
      <c r="Q17" s="665"/>
      <c r="R17" s="668"/>
      <c r="S17" s="746"/>
      <c r="T17" s="665"/>
      <c r="U17" s="665"/>
      <c r="V17" s="665"/>
      <c r="W17" s="665"/>
      <c r="X17" s="665"/>
      <c r="Y17" s="665"/>
      <c r="Z17" s="665"/>
      <c r="AA17" s="665"/>
      <c r="AB17" s="665"/>
      <c r="AC17" s="665"/>
      <c r="AD17" s="665"/>
      <c r="AE17" s="665"/>
      <c r="AF17" s="665"/>
      <c r="AG17" s="665"/>
      <c r="AH17" s="665"/>
      <c r="AI17" s="665"/>
      <c r="AJ17" s="665"/>
      <c r="AK17" s="665"/>
      <c r="AL17" s="665"/>
      <c r="AM17" s="665"/>
      <c r="AN17" s="665"/>
      <c r="AO17" s="665"/>
      <c r="AP17" s="665"/>
      <c r="AQ17" s="665"/>
      <c r="AR17" s="665"/>
      <c r="AS17" s="665"/>
      <c r="AT17" s="665"/>
      <c r="AU17" s="665"/>
      <c r="AV17" s="665"/>
      <c r="AW17" s="665"/>
      <c r="AX17" s="665"/>
      <c r="AY17" s="664"/>
      <c r="AZ17" s="665"/>
      <c r="BA17" s="665"/>
      <c r="BB17" s="668"/>
      <c r="BC17" s="746"/>
      <c r="BD17" s="665"/>
      <c r="BE17" s="664"/>
      <c r="BF17" s="665"/>
      <c r="BG17" s="665"/>
      <c r="BH17" s="668"/>
      <c r="BI17" s="746"/>
      <c r="BJ17" s="665"/>
      <c r="BK17" s="724">
        <f>BK15-BK16</f>
        <v>0.28199999999999997</v>
      </c>
      <c r="BL17" s="704">
        <f t="shared" ref="BL17:BQ17" si="84">BL15-BL16</f>
        <v>0.20300000000000001</v>
      </c>
      <c r="BM17" s="696">
        <f t="shared" si="84"/>
        <v>0.107</v>
      </c>
      <c r="BN17" s="697">
        <f t="shared" si="84"/>
        <v>9.0999999999999998E-2</v>
      </c>
      <c r="BO17" s="732">
        <f t="shared" si="84"/>
        <v>0.16489908256880731</v>
      </c>
      <c r="BP17" s="665"/>
      <c r="BQ17" s="660">
        <f t="shared" si="84"/>
        <v>0.10199999999999999</v>
      </c>
      <c r="BR17" s="673">
        <v>0.08</v>
      </c>
      <c r="BS17" s="673">
        <v>7.0000000000000007E-2</v>
      </c>
      <c r="BT17" s="674">
        <v>0.09</v>
      </c>
      <c r="BU17" s="732">
        <f t="shared" ref="BU17" si="85">BU15-BU16</f>
        <v>8.5481781376518198E-2</v>
      </c>
      <c r="BV17" s="665"/>
      <c r="BW17" s="672">
        <v>8.5000000000000006E-2</v>
      </c>
      <c r="BX17" s="673">
        <f>BW17</f>
        <v>8.5000000000000006E-2</v>
      </c>
      <c r="BY17" s="673">
        <f t="shared" ref="BY17:BZ17" si="86">BX17</f>
        <v>8.5000000000000006E-2</v>
      </c>
      <c r="BZ17" s="674">
        <f t="shared" si="86"/>
        <v>8.5000000000000006E-2</v>
      </c>
      <c r="CA17" s="732">
        <f t="shared" ref="CA17" si="87">CA15-CA16</f>
        <v>8.5000000000000089E-2</v>
      </c>
      <c r="CB17" s="665"/>
      <c r="CC17" s="672">
        <v>8.5000000000000006E-2</v>
      </c>
      <c r="CD17" s="673">
        <f>CC17</f>
        <v>8.5000000000000006E-2</v>
      </c>
      <c r="CE17" s="673">
        <f t="shared" ref="CE17:CF17" si="88">CD17</f>
        <v>8.5000000000000006E-2</v>
      </c>
      <c r="CF17" s="674">
        <f t="shared" si="88"/>
        <v>8.5000000000000006E-2</v>
      </c>
      <c r="CG17" s="732">
        <f t="shared" ref="CG17" si="89">CG15-CG16</f>
        <v>8.4999999999999742E-2</v>
      </c>
      <c r="CH17" s="665"/>
      <c r="CI17" s="672">
        <v>8.5000000000000006E-2</v>
      </c>
      <c r="CJ17" s="673">
        <f>CI17</f>
        <v>8.5000000000000006E-2</v>
      </c>
      <c r="CK17" s="673">
        <f t="shared" ref="CK17:CL17" si="90">CJ17</f>
        <v>8.5000000000000006E-2</v>
      </c>
      <c r="CL17" s="674">
        <f t="shared" si="90"/>
        <v>8.5000000000000006E-2</v>
      </c>
      <c r="CM17" s="732">
        <f t="shared" ref="CM17" si="91">CM15-CM16</f>
        <v>8.4999999999999964E-2</v>
      </c>
    </row>
    <row r="18" spans="1:91" s="25" customFormat="1" ht="11.25" collapsed="1" x14ac:dyDescent="0.2">
      <c r="A18" s="694" t="s">
        <v>11</v>
      </c>
      <c r="B18" s="665"/>
      <c r="C18" s="664"/>
      <c r="D18" s="665"/>
      <c r="E18" s="665"/>
      <c r="F18" s="668"/>
      <c r="G18" s="746"/>
      <c r="H18" s="665"/>
      <c r="I18" s="664"/>
      <c r="J18" s="665"/>
      <c r="K18" s="665"/>
      <c r="L18" s="668"/>
      <c r="M18" s="746"/>
      <c r="N18" s="665"/>
      <c r="O18" s="664"/>
      <c r="P18" s="665"/>
      <c r="Q18" s="665"/>
      <c r="R18" s="668"/>
      <c r="S18" s="746"/>
      <c r="T18" s="665"/>
      <c r="U18" s="665"/>
      <c r="V18" s="665"/>
      <c r="W18" s="665"/>
      <c r="X18" s="665"/>
      <c r="Y18" s="665"/>
      <c r="Z18" s="665"/>
      <c r="AA18" s="665"/>
      <c r="AB18" s="665"/>
      <c r="AC18" s="665"/>
      <c r="AD18" s="665"/>
      <c r="AE18" s="665"/>
      <c r="AF18" s="665"/>
      <c r="AG18" s="665"/>
      <c r="AH18" s="665"/>
      <c r="AI18" s="665"/>
      <c r="AJ18" s="665"/>
      <c r="AK18" s="665"/>
      <c r="AL18" s="665"/>
      <c r="AM18" s="665"/>
      <c r="AN18" s="665"/>
      <c r="AO18" s="665"/>
      <c r="AP18" s="665"/>
      <c r="AQ18" s="665"/>
      <c r="AR18" s="665"/>
      <c r="AS18" s="665"/>
      <c r="AT18" s="665"/>
      <c r="AU18" s="665"/>
      <c r="AV18" s="665"/>
      <c r="AW18" s="665"/>
      <c r="AX18" s="665"/>
      <c r="AY18" s="664"/>
      <c r="AZ18" s="665"/>
      <c r="BA18" s="665"/>
      <c r="BB18" s="668"/>
      <c r="BC18" s="746"/>
      <c r="BD18" s="665"/>
      <c r="BE18" s="718">
        <f>BE8+BE12</f>
        <v>310</v>
      </c>
      <c r="BF18" s="666">
        <f t="shared" ref="BF18:BH18" si="92">BF8+BF12</f>
        <v>315</v>
      </c>
      <c r="BG18" s="666">
        <f t="shared" si="92"/>
        <v>314</v>
      </c>
      <c r="BH18" s="667">
        <f t="shared" si="92"/>
        <v>325</v>
      </c>
      <c r="BI18" s="733">
        <f>SUM(BE18:BH18)</f>
        <v>1264</v>
      </c>
      <c r="BJ18" s="665"/>
      <c r="BK18" s="718">
        <f>BK8+BK12</f>
        <v>328</v>
      </c>
      <c r="BL18" s="666">
        <f t="shared" ref="BL18:BN18" si="93">BL8+BL12</f>
        <v>325</v>
      </c>
      <c r="BM18" s="666">
        <f t="shared" si="93"/>
        <v>326</v>
      </c>
      <c r="BN18" s="667">
        <f t="shared" si="93"/>
        <v>319</v>
      </c>
      <c r="BO18" s="733">
        <f>SUM(BK18:BN18)</f>
        <v>1298</v>
      </c>
      <c r="BP18" s="665"/>
      <c r="BQ18" s="718">
        <f>BQ8+BQ12</f>
        <v>318</v>
      </c>
      <c r="BR18" s="666">
        <f t="shared" ref="BR18:BT18" si="94">BR8+BR12</f>
        <v>339.52822622093464</v>
      </c>
      <c r="BS18" s="666">
        <f t="shared" si="94"/>
        <v>339.03752764807314</v>
      </c>
      <c r="BT18" s="667">
        <f t="shared" si="94"/>
        <v>341.44826060285681</v>
      </c>
      <c r="BU18" s="733">
        <f>SUM(BQ18:BT18)</f>
        <v>1338.0140144718646</v>
      </c>
      <c r="BV18" s="665"/>
      <c r="BW18" s="718">
        <f>BW8+BW12</f>
        <v>335.12237329188207</v>
      </c>
      <c r="BX18" s="666">
        <f t="shared" ref="BX18:BZ18" si="95">BX8+BX12</f>
        <v>354.96948600319467</v>
      </c>
      <c r="BY18" s="666">
        <f t="shared" si="95"/>
        <v>354.4937174981593</v>
      </c>
      <c r="BZ18" s="667">
        <f t="shared" si="95"/>
        <v>356.90336275409959</v>
      </c>
      <c r="CA18" s="733">
        <f>SUM(BW18:BZ18)</f>
        <v>1401.4889395473358</v>
      </c>
      <c r="CB18" s="665"/>
      <c r="CC18" s="718">
        <f>CC8+CC12</f>
        <v>350.82552502169204</v>
      </c>
      <c r="CD18" s="666">
        <f t="shared" ref="CD18:CF18" si="96">CD8+CD12</f>
        <v>371.02066281346612</v>
      </c>
      <c r="CE18" s="666">
        <f t="shared" si="96"/>
        <v>370.79601348550284</v>
      </c>
      <c r="CF18" s="667">
        <f t="shared" si="96"/>
        <v>373.19726858819809</v>
      </c>
      <c r="CG18" s="733">
        <f>SUM(CC18:CF18)</f>
        <v>1465.8394699088592</v>
      </c>
      <c r="CH18" s="665"/>
      <c r="CI18" s="718">
        <f>CI8+CI12</f>
        <v>367.41606589853586</v>
      </c>
      <c r="CJ18" s="666">
        <f t="shared" ref="CJ18:CL18" si="97">CJ8+CJ12</f>
        <v>387.94194662011074</v>
      </c>
      <c r="CK18" s="666">
        <f t="shared" si="97"/>
        <v>387.99996618177056</v>
      </c>
      <c r="CL18" s="667">
        <f t="shared" si="97"/>
        <v>390.38465561819487</v>
      </c>
      <c r="CM18" s="733">
        <f>SUM(CI18:CL18)</f>
        <v>1533.7426343186121</v>
      </c>
    </row>
    <row r="19" spans="1:91" s="25" customFormat="1" ht="11.25" x14ac:dyDescent="0.2">
      <c r="A19" s="695" t="s">
        <v>5</v>
      </c>
      <c r="B19" s="665"/>
      <c r="C19" s="664"/>
      <c r="D19" s="665"/>
      <c r="E19" s="665"/>
      <c r="F19" s="668"/>
      <c r="G19" s="746"/>
      <c r="H19" s="665"/>
      <c r="I19" s="664"/>
      <c r="J19" s="665"/>
      <c r="K19" s="665"/>
      <c r="L19" s="668"/>
      <c r="M19" s="746"/>
      <c r="N19" s="665"/>
      <c r="O19" s="664"/>
      <c r="P19" s="665"/>
      <c r="Q19" s="665"/>
      <c r="R19" s="668"/>
      <c r="S19" s="746"/>
      <c r="T19" s="665"/>
      <c r="U19" s="665"/>
      <c r="V19" s="665"/>
      <c r="W19" s="665"/>
      <c r="X19" s="665"/>
      <c r="Y19" s="665"/>
      <c r="Z19" s="665"/>
      <c r="AA19" s="665"/>
      <c r="AB19" s="665"/>
      <c r="AC19" s="665"/>
      <c r="AD19" s="665"/>
      <c r="AE19" s="665"/>
      <c r="AF19" s="665"/>
      <c r="AG19" s="665"/>
      <c r="AH19" s="665"/>
      <c r="AI19" s="665"/>
      <c r="AJ19" s="665"/>
      <c r="AK19" s="665"/>
      <c r="AL19" s="665"/>
      <c r="AM19" s="665"/>
      <c r="AN19" s="665"/>
      <c r="AO19" s="665"/>
      <c r="AP19" s="665"/>
      <c r="AQ19" s="665"/>
      <c r="AR19" s="665"/>
      <c r="AS19" s="665"/>
      <c r="AT19" s="665"/>
      <c r="AU19" s="665"/>
      <c r="AV19" s="665"/>
      <c r="AW19" s="665"/>
      <c r="AX19" s="665"/>
      <c r="AY19" s="664"/>
      <c r="AZ19" s="665"/>
      <c r="BA19" s="665"/>
      <c r="BB19" s="668"/>
      <c r="BC19" s="746"/>
      <c r="BD19" s="665"/>
      <c r="BE19" s="664"/>
      <c r="BF19" s="665"/>
      <c r="BG19" s="665"/>
      <c r="BH19" s="668"/>
      <c r="BI19" s="746"/>
      <c r="BJ19" s="665"/>
      <c r="BK19" s="717">
        <f>BK18/BE18-1</f>
        <v>5.8064516129032295E-2</v>
      </c>
      <c r="BL19" s="696">
        <f t="shared" ref="BL19:BO19" si="98">BL18/BF18-1</f>
        <v>3.1746031746031855E-2</v>
      </c>
      <c r="BM19" s="696">
        <f t="shared" si="98"/>
        <v>3.8216560509554132E-2</v>
      </c>
      <c r="BN19" s="697">
        <f t="shared" si="98"/>
        <v>-1.8461538461538418E-2</v>
      </c>
      <c r="BO19" s="732">
        <f t="shared" si="98"/>
        <v>2.6898734177215111E-2</v>
      </c>
      <c r="BP19" s="665"/>
      <c r="BQ19" s="717">
        <f>BQ18/BK18-1</f>
        <v>-3.0487804878048808E-2</v>
      </c>
      <c r="BR19" s="696">
        <f t="shared" ref="BR19" si="99">BR18/BL18-1</f>
        <v>4.4702234525952678E-2</v>
      </c>
      <c r="BS19" s="696">
        <f t="shared" ref="BS19" si="100">BS18/BM18-1</f>
        <v>3.9992416098383776E-2</v>
      </c>
      <c r="BT19" s="697">
        <f t="shared" ref="BT19" si="101">BT18/BN18-1</f>
        <v>7.0370722892967974E-2</v>
      </c>
      <c r="BU19" s="732">
        <f t="shared" ref="BU19" si="102">BU18/BO18-1</f>
        <v>3.0827437959834114E-2</v>
      </c>
      <c r="BV19" s="665"/>
      <c r="BW19" s="717">
        <f>BW18/BQ18-1</f>
        <v>5.3843941169440468E-2</v>
      </c>
      <c r="BX19" s="696">
        <f t="shared" ref="BX19" si="103">BX18/BR18-1</f>
        <v>4.54785746508517E-2</v>
      </c>
      <c r="BY19" s="696">
        <f t="shared" ref="BY19" si="104">BY18/BS18-1</f>
        <v>4.5588433697316022E-2</v>
      </c>
      <c r="BZ19" s="697">
        <f t="shared" ref="BZ19" si="105">BZ18/BT18-1</f>
        <v>4.5263379359307354E-2</v>
      </c>
      <c r="CA19" s="732">
        <f t="shared" ref="CA19" si="106">CA18/BU18-1</f>
        <v>4.7439656377983308E-2</v>
      </c>
      <c r="CB19" s="665"/>
      <c r="CC19" s="717">
        <f>CC18/BW18-1</f>
        <v>4.6857962885494819E-2</v>
      </c>
      <c r="CD19" s="696">
        <f t="shared" ref="CD19" si="107">CD18/BX18-1</f>
        <v>4.5218469314083576E-2</v>
      </c>
      <c r="CE19" s="696">
        <f t="shared" ref="CE19" si="108">CE18/BY18-1</f>
        <v>4.5987545568923149E-2</v>
      </c>
      <c r="CF19" s="697">
        <f t="shared" ref="CF19" si="109">CF18/BZ18-1</f>
        <v>4.565355088941736E-2</v>
      </c>
      <c r="CG19" s="732">
        <f t="shared" ref="CG19" si="110">CG18/CA18-1</f>
        <v>4.5915831759833825E-2</v>
      </c>
      <c r="CH19" s="665"/>
      <c r="CI19" s="717">
        <f>CI18/CC18-1</f>
        <v>4.7290005126673806E-2</v>
      </c>
      <c r="CJ19" s="696">
        <f t="shared" ref="CJ19" si="111">CJ18/CD18-1</f>
        <v>4.5607389298293555E-2</v>
      </c>
      <c r="CK19" s="696">
        <f t="shared" ref="CK19" si="112">CK18/CE18-1</f>
        <v>4.6397350755067679E-2</v>
      </c>
      <c r="CL19" s="697">
        <f t="shared" ref="CL19" si="113">CL18/CF18-1</f>
        <v>4.6054428787800417E-2</v>
      </c>
      <c r="CM19" s="732">
        <f t="shared" ref="CM19" si="114">CM18/CG18-1</f>
        <v>4.6323738583717411E-2</v>
      </c>
    </row>
    <row r="20" spans="1:91" s="25" customFormat="1" ht="11.25" x14ac:dyDescent="0.2">
      <c r="A20" s="695" t="s">
        <v>9</v>
      </c>
      <c r="B20" s="665"/>
      <c r="C20" s="664"/>
      <c r="D20" s="665"/>
      <c r="E20" s="665"/>
      <c r="F20" s="668"/>
      <c r="G20" s="746"/>
      <c r="H20" s="665"/>
      <c r="I20" s="664"/>
      <c r="J20" s="665"/>
      <c r="K20" s="665"/>
      <c r="L20" s="668"/>
      <c r="M20" s="746"/>
      <c r="N20" s="665"/>
      <c r="O20" s="664"/>
      <c r="P20" s="665"/>
      <c r="Q20" s="665"/>
      <c r="R20" s="668"/>
      <c r="S20" s="746"/>
      <c r="T20" s="665"/>
      <c r="U20" s="665"/>
      <c r="V20" s="665"/>
      <c r="W20" s="665"/>
      <c r="X20" s="665"/>
      <c r="Y20" s="665"/>
      <c r="Z20" s="665"/>
      <c r="AA20" s="665"/>
      <c r="AB20" s="665"/>
      <c r="AC20" s="665"/>
      <c r="AD20" s="665"/>
      <c r="AE20" s="665"/>
      <c r="AF20" s="665"/>
      <c r="AG20" s="665"/>
      <c r="AH20" s="665"/>
      <c r="AI20" s="665"/>
      <c r="AJ20" s="665"/>
      <c r="AK20" s="665"/>
      <c r="AL20" s="665"/>
      <c r="AM20" s="665"/>
      <c r="AN20" s="665"/>
      <c r="AO20" s="665"/>
      <c r="AP20" s="665"/>
      <c r="AQ20" s="665"/>
      <c r="AR20" s="665"/>
      <c r="AS20" s="665"/>
      <c r="AT20" s="665"/>
      <c r="AU20" s="665"/>
      <c r="AV20" s="665"/>
      <c r="AW20" s="665"/>
      <c r="AX20" s="665"/>
      <c r="AY20" s="664"/>
      <c r="AZ20" s="665"/>
      <c r="BA20" s="665"/>
      <c r="BB20" s="668"/>
      <c r="BC20" s="746"/>
      <c r="BD20" s="665"/>
      <c r="BE20" s="664"/>
      <c r="BF20" s="665"/>
      <c r="BG20" s="665"/>
      <c r="BH20" s="668"/>
      <c r="BI20" s="746"/>
      <c r="BJ20" s="665"/>
      <c r="BK20" s="717">
        <f>BK14*BE12/BE18</f>
        <v>-6.7741935483870939E-3</v>
      </c>
      <c r="BL20" s="696">
        <f t="shared" ref="BL20:BN20" si="115">BL14*BF12/BF18</f>
        <v>-6.8253968253968404E-3</v>
      </c>
      <c r="BM20" s="696">
        <f t="shared" si="115"/>
        <v>-7.7070063694267546E-3</v>
      </c>
      <c r="BN20" s="697">
        <f t="shared" si="115"/>
        <v>-8.55384615384604E-4</v>
      </c>
      <c r="BO20" s="732">
        <f>SUMPRODUCT(BK20:BN20,BE18:BH18)/BI18</f>
        <v>-5.4968354430379746E-3</v>
      </c>
      <c r="BP20" s="665"/>
      <c r="BQ20" s="717">
        <f>BQ14*BK12/BK18</f>
        <v>8.158536585365873E-3</v>
      </c>
      <c r="BR20" s="696">
        <f t="shared" ref="BR20" si="116">BR14*BL12/BL18</f>
        <v>1.235146529518338E-2</v>
      </c>
      <c r="BS20" s="696">
        <f t="shared" ref="BS20" si="117">BS14*BM12/BM18</f>
        <v>1.0176465178138382E-2</v>
      </c>
      <c r="BT20" s="697">
        <f t="shared" ref="BT20" si="118">BT14*BN12/BN18</f>
        <v>4.4459580026859399E-3</v>
      </c>
      <c r="BU20" s="732">
        <f>SUMPRODUCT(BQ20:BT20,BK18:BN18)/BO18</f>
        <v>8.8027846470450956E-3</v>
      </c>
      <c r="BV20" s="665"/>
      <c r="BW20" s="717">
        <f>BW14*BQ12/BQ18</f>
        <v>7.6804191568619548E-3</v>
      </c>
      <c r="BX20" s="696">
        <f t="shared" ref="BX20" si="119">BX14*BR12/BR18</f>
        <v>6.6286257253358018E-4</v>
      </c>
      <c r="BY20" s="696">
        <f t="shared" ref="BY20" si="120">BY14*BS12/BS18</f>
        <v>0</v>
      </c>
      <c r="BZ20" s="697">
        <f t="shared" ref="BZ20" si="121">BZ14*BT12/BT18</f>
        <v>0</v>
      </c>
      <c r="CA20" s="732">
        <f>SUMPRODUCT(BW20:BZ20,BQ18:BT18)/BU18</f>
        <v>1.9935769106391252E-3</v>
      </c>
      <c r="CB20" s="665"/>
      <c r="CC20" s="717">
        <f>CC14*BW12/BW18</f>
        <v>0</v>
      </c>
      <c r="CD20" s="696">
        <f t="shared" ref="CD20" si="122">CD14*BX12/BX18</f>
        <v>0</v>
      </c>
      <c r="CE20" s="696">
        <f t="shared" ref="CE20" si="123">CE14*BY12/BY18</f>
        <v>0</v>
      </c>
      <c r="CF20" s="697">
        <f t="shared" ref="CF20" si="124">CF14*BZ12/BZ18</f>
        <v>0</v>
      </c>
      <c r="CG20" s="732">
        <f>SUMPRODUCT(CC20:CF20,BW18:BZ18)/CA18</f>
        <v>0</v>
      </c>
      <c r="CH20" s="665"/>
      <c r="CI20" s="717">
        <f>CI14*CC12/CC18</f>
        <v>0</v>
      </c>
      <c r="CJ20" s="696">
        <f t="shared" ref="CJ20" si="125">CJ14*CD12/CD18</f>
        <v>0</v>
      </c>
      <c r="CK20" s="696">
        <f t="shared" ref="CK20" si="126">CK14*CE12/CE18</f>
        <v>0</v>
      </c>
      <c r="CL20" s="697">
        <f t="shared" ref="CL20" si="127">CL14*CF12/CF18</f>
        <v>0</v>
      </c>
      <c r="CM20" s="732">
        <f>SUMPRODUCT(CI20:CL20,CC18:CF18)/CG18</f>
        <v>0</v>
      </c>
    </row>
    <row r="21" spans="1:91" s="25" customFormat="1" ht="11.25" x14ac:dyDescent="0.2">
      <c r="A21" s="695" t="s">
        <v>10</v>
      </c>
      <c r="B21" s="665"/>
      <c r="C21" s="664"/>
      <c r="D21" s="665"/>
      <c r="E21" s="665"/>
      <c r="F21" s="668"/>
      <c r="G21" s="746"/>
      <c r="H21" s="665"/>
      <c r="I21" s="664"/>
      <c r="J21" s="665"/>
      <c r="K21" s="665"/>
      <c r="L21" s="668"/>
      <c r="M21" s="746"/>
      <c r="N21" s="665"/>
      <c r="O21" s="664"/>
      <c r="P21" s="665"/>
      <c r="Q21" s="665"/>
      <c r="R21" s="668"/>
      <c r="S21" s="746"/>
      <c r="T21" s="665"/>
      <c r="U21" s="665"/>
      <c r="V21" s="665"/>
      <c r="W21" s="665"/>
      <c r="X21" s="665"/>
      <c r="Y21" s="665"/>
      <c r="Z21" s="665"/>
      <c r="AA21" s="665"/>
      <c r="AB21" s="665"/>
      <c r="AC21" s="665"/>
      <c r="AD21" s="665"/>
      <c r="AE21" s="665"/>
      <c r="AF21" s="665"/>
      <c r="AG21" s="665"/>
      <c r="AH21" s="665"/>
      <c r="AI21" s="665"/>
      <c r="AJ21" s="665"/>
      <c r="AK21" s="665"/>
      <c r="AL21" s="665"/>
      <c r="AM21" s="665"/>
      <c r="AN21" s="665"/>
      <c r="AO21" s="665"/>
      <c r="AP21" s="665"/>
      <c r="AQ21" s="665"/>
      <c r="AR21" s="665"/>
      <c r="AS21" s="665"/>
      <c r="AT21" s="665"/>
      <c r="AU21" s="665"/>
      <c r="AV21" s="665"/>
      <c r="AW21" s="665"/>
      <c r="AX21" s="665"/>
      <c r="AY21" s="664"/>
      <c r="AZ21" s="665"/>
      <c r="BA21" s="665"/>
      <c r="BB21" s="668"/>
      <c r="BC21" s="746"/>
      <c r="BD21" s="665"/>
      <c r="BE21" s="664"/>
      <c r="BF21" s="665"/>
      <c r="BG21" s="665"/>
      <c r="BH21" s="668"/>
      <c r="BI21" s="746"/>
      <c r="BJ21" s="665"/>
      <c r="BK21" s="717">
        <f>BK19-BK20</f>
        <v>6.4838709677419393E-2</v>
      </c>
      <c r="BL21" s="696">
        <f t="shared" ref="BL21:BO21" si="128">BL19-BL20</f>
        <v>3.8571428571428694E-2</v>
      </c>
      <c r="BM21" s="696">
        <f t="shared" si="128"/>
        <v>4.5923566878980887E-2</v>
      </c>
      <c r="BN21" s="697">
        <f t="shared" si="128"/>
        <v>-1.7606153846153813E-2</v>
      </c>
      <c r="BO21" s="732">
        <f t="shared" si="128"/>
        <v>3.2395569620253084E-2</v>
      </c>
      <c r="BP21" s="665"/>
      <c r="BQ21" s="717">
        <f>BQ19-BQ20</f>
        <v>-3.8646341463414682E-2</v>
      </c>
      <c r="BR21" s="696">
        <f t="shared" ref="BR21:BU21" si="129">BR19-BR20</f>
        <v>3.2350769230769294E-2</v>
      </c>
      <c r="BS21" s="696">
        <f t="shared" si="129"/>
        <v>2.9815950920245395E-2</v>
      </c>
      <c r="BT21" s="697">
        <f t="shared" si="129"/>
        <v>6.5924764890282039E-2</v>
      </c>
      <c r="BU21" s="732">
        <f t="shared" si="129"/>
        <v>2.2024653312789019E-2</v>
      </c>
      <c r="BV21" s="665"/>
      <c r="BW21" s="717">
        <f>BW19-BW20</f>
        <v>4.6163522012578513E-2</v>
      </c>
      <c r="BX21" s="696">
        <f t="shared" ref="BX21:CA21" si="130">BX19-BX20</f>
        <v>4.4815712078318116E-2</v>
      </c>
      <c r="BY21" s="696">
        <f t="shared" si="130"/>
        <v>4.5588433697316022E-2</v>
      </c>
      <c r="BZ21" s="697">
        <f t="shared" si="130"/>
        <v>4.5263379359307354E-2</v>
      </c>
      <c r="CA21" s="732">
        <f t="shared" si="130"/>
        <v>4.5446079467344185E-2</v>
      </c>
      <c r="CB21" s="665"/>
      <c r="CC21" s="717">
        <f>CC19-CC20</f>
        <v>4.6857962885494819E-2</v>
      </c>
      <c r="CD21" s="696">
        <f t="shared" ref="CD21:CG21" si="131">CD19-CD20</f>
        <v>4.5218469314083576E-2</v>
      </c>
      <c r="CE21" s="696">
        <f t="shared" si="131"/>
        <v>4.5987545568923149E-2</v>
      </c>
      <c r="CF21" s="697">
        <f t="shared" si="131"/>
        <v>4.565355088941736E-2</v>
      </c>
      <c r="CG21" s="732">
        <f t="shared" si="131"/>
        <v>4.5915831759833825E-2</v>
      </c>
      <c r="CH21" s="665"/>
      <c r="CI21" s="717">
        <f>CI19-CI20</f>
        <v>4.7290005126673806E-2</v>
      </c>
      <c r="CJ21" s="696">
        <f t="shared" ref="CJ21:CM21" si="132">CJ19-CJ20</f>
        <v>4.5607389298293555E-2</v>
      </c>
      <c r="CK21" s="696">
        <f t="shared" si="132"/>
        <v>4.6397350755067679E-2</v>
      </c>
      <c r="CL21" s="697">
        <f t="shared" si="132"/>
        <v>4.6054428787800417E-2</v>
      </c>
      <c r="CM21" s="732">
        <f t="shared" si="132"/>
        <v>4.6323738583717411E-2</v>
      </c>
    </row>
    <row r="22" spans="1:91" s="25" customFormat="1" ht="11.25" x14ac:dyDescent="0.2">
      <c r="A22" s="695" t="s">
        <v>6</v>
      </c>
      <c r="B22" s="665"/>
      <c r="C22" s="664"/>
      <c r="D22" s="665"/>
      <c r="E22" s="665"/>
      <c r="F22" s="668"/>
      <c r="G22" s="746"/>
      <c r="H22" s="665"/>
      <c r="I22" s="664"/>
      <c r="J22" s="665"/>
      <c r="K22" s="665"/>
      <c r="L22" s="668"/>
      <c r="M22" s="746"/>
      <c r="N22" s="665"/>
      <c r="O22" s="664"/>
      <c r="P22" s="665"/>
      <c r="Q22" s="665"/>
      <c r="R22" s="668"/>
      <c r="S22" s="746"/>
      <c r="T22" s="665"/>
      <c r="U22" s="665"/>
      <c r="V22" s="665"/>
      <c r="W22" s="665"/>
      <c r="X22" s="665"/>
      <c r="Y22" s="665"/>
      <c r="Z22" s="665"/>
      <c r="AA22" s="665"/>
      <c r="AB22" s="665"/>
      <c r="AC22" s="665"/>
      <c r="AD22" s="665"/>
      <c r="AE22" s="665"/>
      <c r="AF22" s="665"/>
      <c r="AG22" s="665"/>
      <c r="AH22" s="665"/>
      <c r="AI22" s="665"/>
      <c r="AJ22" s="665"/>
      <c r="AK22" s="665"/>
      <c r="AL22" s="665"/>
      <c r="AM22" s="665"/>
      <c r="AN22" s="665"/>
      <c r="AO22" s="665"/>
      <c r="AP22" s="665"/>
      <c r="AQ22" s="665"/>
      <c r="AR22" s="665"/>
      <c r="AS22" s="665"/>
      <c r="AT22" s="665"/>
      <c r="AU22" s="665"/>
      <c r="AV22" s="665"/>
      <c r="AW22" s="665"/>
      <c r="AX22" s="665"/>
      <c r="AY22" s="664"/>
      <c r="AZ22" s="665"/>
      <c r="BA22" s="665"/>
      <c r="BB22" s="668"/>
      <c r="BC22" s="746"/>
      <c r="BD22" s="665"/>
      <c r="BE22" s="664"/>
      <c r="BF22" s="665"/>
      <c r="BG22" s="665"/>
      <c r="BH22" s="668"/>
      <c r="BI22" s="746"/>
      <c r="BJ22" s="665"/>
      <c r="BK22" s="717">
        <f>(BK10*BE8+BK16*BE12)/BE18</f>
        <v>0</v>
      </c>
      <c r="BL22" s="696">
        <f t="shared" ref="BL22:BN22" si="133">(BL10*BF8+BL16*BF12)/BF18</f>
        <v>0</v>
      </c>
      <c r="BM22" s="696">
        <f t="shared" si="133"/>
        <v>0</v>
      </c>
      <c r="BN22" s="697">
        <f t="shared" si="133"/>
        <v>0</v>
      </c>
      <c r="BO22" s="732">
        <f>SUMPRODUCT(BK22:BN22,BE18:BH18)/BI18</f>
        <v>0</v>
      </c>
      <c r="BP22" s="665"/>
      <c r="BQ22" s="717">
        <f>(BQ10*BK8+BQ16*BK12)/BK18</f>
        <v>0</v>
      </c>
      <c r="BR22" s="696">
        <f t="shared" ref="BR22" si="134">(BR10*BL8+BR16*BL12)/BL18</f>
        <v>0</v>
      </c>
      <c r="BS22" s="696">
        <f t="shared" ref="BS22" si="135">(BS10*BM8+BS16*BM12)/BM18</f>
        <v>0</v>
      </c>
      <c r="BT22" s="697">
        <f t="shared" ref="BT22" si="136">(BT10*BN8+BT16*BN12)/BN18</f>
        <v>0</v>
      </c>
      <c r="BU22" s="732">
        <f>SUMPRODUCT(BQ22:BT22,BK18:BN18)/BO18</f>
        <v>0</v>
      </c>
      <c r="BV22" s="665"/>
      <c r="BW22" s="717">
        <f t="shared" ref="BW22" si="137">(BW10*BQ8+BW16*BQ12)/BQ18</f>
        <v>0</v>
      </c>
      <c r="BX22" s="696">
        <f t="shared" ref="BX22" si="138">(BX10*BR8+BX16*BR12)/BR18</f>
        <v>0</v>
      </c>
      <c r="BY22" s="696">
        <f t="shared" ref="BY22" si="139">(BY10*BS8+BY16*BS12)/BS18</f>
        <v>0</v>
      </c>
      <c r="BZ22" s="697">
        <f t="shared" ref="BZ22" si="140">(BZ10*BT8+BZ16*BT12)/BT18</f>
        <v>0</v>
      </c>
      <c r="CA22" s="732">
        <f>SUMPRODUCT(BW22:BZ22,BQ18:BT18)/BU18</f>
        <v>0</v>
      </c>
      <c r="CB22" s="665"/>
      <c r="CC22" s="717">
        <f t="shared" ref="CC22" si="141">(CC10*BW8+CC16*BW12)/BW18</f>
        <v>0</v>
      </c>
      <c r="CD22" s="696">
        <f t="shared" ref="CD22" si="142">(CD10*BX8+CD16*BX12)/BX18</f>
        <v>0</v>
      </c>
      <c r="CE22" s="696">
        <f t="shared" ref="CE22" si="143">(CE10*BY8+CE16*BY12)/BY18</f>
        <v>0</v>
      </c>
      <c r="CF22" s="697">
        <f t="shared" ref="CF22" si="144">(CF10*BZ8+CF16*BZ12)/BZ18</f>
        <v>0</v>
      </c>
      <c r="CG22" s="732">
        <f>SUMPRODUCT(CC22:CF22,BW18:BZ18)/CA18</f>
        <v>0</v>
      </c>
      <c r="CH22" s="665"/>
      <c r="CI22" s="717">
        <f t="shared" ref="CI22" si="145">(CI10*CC8+CI16*CC12)/CC18</f>
        <v>0</v>
      </c>
      <c r="CJ22" s="696">
        <f t="shared" ref="CJ22" si="146">(CJ10*CD8+CJ16*CD12)/CD18</f>
        <v>0</v>
      </c>
      <c r="CK22" s="696">
        <f t="shared" ref="CK22" si="147">(CK10*CE8+CK16*CE12)/CE18</f>
        <v>0</v>
      </c>
      <c r="CL22" s="697">
        <f t="shared" ref="CL22" si="148">(CL10*CF8+CL16*CF12)/CF18</f>
        <v>0</v>
      </c>
      <c r="CM22" s="732">
        <f>SUMPRODUCT(CI22:CL22,CC18:CF18)/CG18</f>
        <v>0</v>
      </c>
    </row>
    <row r="23" spans="1:91" s="25" customFormat="1" ht="11.25" x14ac:dyDescent="0.2">
      <c r="A23" s="695" t="s">
        <v>7</v>
      </c>
      <c r="B23" s="665"/>
      <c r="C23" s="664"/>
      <c r="D23" s="665"/>
      <c r="E23" s="665"/>
      <c r="F23" s="668"/>
      <c r="G23" s="746"/>
      <c r="H23" s="665"/>
      <c r="I23" s="664"/>
      <c r="J23" s="665"/>
      <c r="K23" s="665"/>
      <c r="L23" s="668"/>
      <c r="M23" s="746"/>
      <c r="N23" s="665"/>
      <c r="O23" s="664"/>
      <c r="P23" s="665"/>
      <c r="Q23" s="665"/>
      <c r="R23" s="668"/>
      <c r="S23" s="746"/>
      <c r="T23" s="665"/>
      <c r="U23" s="665"/>
      <c r="V23" s="665"/>
      <c r="W23" s="665"/>
      <c r="X23" s="665"/>
      <c r="Y23" s="665"/>
      <c r="Z23" s="665"/>
      <c r="AA23" s="665"/>
      <c r="AB23" s="665"/>
      <c r="AC23" s="665"/>
      <c r="AD23" s="665"/>
      <c r="AE23" s="665"/>
      <c r="AF23" s="665"/>
      <c r="AG23" s="665"/>
      <c r="AH23" s="665"/>
      <c r="AI23" s="665"/>
      <c r="AJ23" s="665"/>
      <c r="AK23" s="665"/>
      <c r="AL23" s="665"/>
      <c r="AM23" s="665"/>
      <c r="AN23" s="665"/>
      <c r="AO23" s="665"/>
      <c r="AP23" s="665"/>
      <c r="AQ23" s="665"/>
      <c r="AR23" s="665"/>
      <c r="AS23" s="665"/>
      <c r="AT23" s="665"/>
      <c r="AU23" s="665"/>
      <c r="AV23" s="665"/>
      <c r="AW23" s="665"/>
      <c r="AX23" s="665"/>
      <c r="AY23" s="664"/>
      <c r="AZ23" s="665"/>
      <c r="BA23" s="665"/>
      <c r="BB23" s="668"/>
      <c r="BC23" s="746"/>
      <c r="BD23" s="665"/>
      <c r="BE23" s="664"/>
      <c r="BF23" s="665"/>
      <c r="BG23" s="665"/>
      <c r="BH23" s="668"/>
      <c r="BI23" s="746"/>
      <c r="BJ23" s="665"/>
      <c r="BK23" s="717">
        <f>BK21-BK22</f>
        <v>6.4838709677419393E-2</v>
      </c>
      <c r="BL23" s="696">
        <f t="shared" ref="BL23:BO23" si="149">BL21-BL22</f>
        <v>3.8571428571428694E-2</v>
      </c>
      <c r="BM23" s="696">
        <f t="shared" si="149"/>
        <v>4.5923566878980887E-2</v>
      </c>
      <c r="BN23" s="697">
        <f t="shared" si="149"/>
        <v>-1.7606153846153813E-2</v>
      </c>
      <c r="BO23" s="732">
        <f t="shared" si="149"/>
        <v>3.2395569620253084E-2</v>
      </c>
      <c r="BP23" s="665"/>
      <c r="BQ23" s="717">
        <f>BQ21-BQ22</f>
        <v>-3.8646341463414682E-2</v>
      </c>
      <c r="BR23" s="696">
        <f t="shared" ref="BR23:BU23" si="150">BR21-BR22</f>
        <v>3.2350769230769294E-2</v>
      </c>
      <c r="BS23" s="696">
        <f t="shared" si="150"/>
        <v>2.9815950920245395E-2</v>
      </c>
      <c r="BT23" s="697">
        <f t="shared" si="150"/>
        <v>6.5924764890282039E-2</v>
      </c>
      <c r="BU23" s="732">
        <f t="shared" si="150"/>
        <v>2.2024653312789019E-2</v>
      </c>
      <c r="BV23" s="665"/>
      <c r="BW23" s="717">
        <f>BW21-BW22</f>
        <v>4.6163522012578513E-2</v>
      </c>
      <c r="BX23" s="696">
        <f t="shared" ref="BX23:CA23" si="151">BX21-BX22</f>
        <v>4.4815712078318116E-2</v>
      </c>
      <c r="BY23" s="696">
        <f t="shared" si="151"/>
        <v>4.5588433697316022E-2</v>
      </c>
      <c r="BZ23" s="697">
        <f t="shared" si="151"/>
        <v>4.5263379359307354E-2</v>
      </c>
      <c r="CA23" s="732">
        <f t="shared" si="151"/>
        <v>4.5446079467344185E-2</v>
      </c>
      <c r="CB23" s="665"/>
      <c r="CC23" s="717">
        <f>CC21-CC22</f>
        <v>4.6857962885494819E-2</v>
      </c>
      <c r="CD23" s="696">
        <f t="shared" ref="CD23:CG23" si="152">CD21-CD22</f>
        <v>4.5218469314083576E-2</v>
      </c>
      <c r="CE23" s="696">
        <f t="shared" si="152"/>
        <v>4.5987545568923149E-2</v>
      </c>
      <c r="CF23" s="697">
        <f t="shared" si="152"/>
        <v>4.565355088941736E-2</v>
      </c>
      <c r="CG23" s="732">
        <f t="shared" si="152"/>
        <v>4.5915831759833825E-2</v>
      </c>
      <c r="CH23" s="665"/>
      <c r="CI23" s="717">
        <f>CI21-CI22</f>
        <v>4.7290005126673806E-2</v>
      </c>
      <c r="CJ23" s="696">
        <f t="shared" ref="CJ23:CM23" si="153">CJ21-CJ22</f>
        <v>4.5607389298293555E-2</v>
      </c>
      <c r="CK23" s="696">
        <f t="shared" si="153"/>
        <v>4.6397350755067679E-2</v>
      </c>
      <c r="CL23" s="697">
        <f t="shared" si="153"/>
        <v>4.6054428787800417E-2</v>
      </c>
      <c r="CM23" s="732">
        <f t="shared" si="153"/>
        <v>4.6323738583717411E-2</v>
      </c>
    </row>
    <row r="24" spans="1:91" s="25" customFormat="1" ht="11.25" x14ac:dyDescent="0.2">
      <c r="A24" s="699" t="s">
        <v>21</v>
      </c>
      <c r="B24" s="700"/>
      <c r="C24" s="719"/>
      <c r="D24" s="700"/>
      <c r="E24" s="700"/>
      <c r="F24" s="701"/>
      <c r="G24" s="734"/>
      <c r="H24" s="700"/>
      <c r="I24" s="719"/>
      <c r="J24" s="700"/>
      <c r="K24" s="700"/>
      <c r="L24" s="701"/>
      <c r="M24" s="734"/>
      <c r="N24" s="700"/>
      <c r="O24" s="719"/>
      <c r="P24" s="700"/>
      <c r="Q24" s="700"/>
      <c r="R24" s="701"/>
      <c r="S24" s="734"/>
      <c r="T24" s="700"/>
      <c r="U24" s="700"/>
      <c r="V24" s="700"/>
      <c r="W24" s="700"/>
      <c r="X24" s="700"/>
      <c r="Y24" s="700"/>
      <c r="Z24" s="700"/>
      <c r="AA24" s="700"/>
      <c r="AB24" s="700"/>
      <c r="AC24" s="700"/>
      <c r="AD24" s="700"/>
      <c r="AE24" s="700"/>
      <c r="AF24" s="700"/>
      <c r="AG24" s="700"/>
      <c r="AH24" s="700"/>
      <c r="AI24" s="700"/>
      <c r="AJ24" s="700"/>
      <c r="AK24" s="700"/>
      <c r="AL24" s="700"/>
      <c r="AM24" s="700"/>
      <c r="AN24" s="700"/>
      <c r="AO24" s="700"/>
      <c r="AP24" s="700"/>
      <c r="AQ24" s="700"/>
      <c r="AR24" s="700"/>
      <c r="AS24" s="700"/>
      <c r="AT24" s="700"/>
      <c r="AU24" s="700"/>
      <c r="AV24" s="700"/>
      <c r="AW24" s="700"/>
      <c r="AX24" s="700"/>
      <c r="AY24" s="719"/>
      <c r="AZ24" s="700"/>
      <c r="BA24" s="700"/>
      <c r="BB24" s="701"/>
      <c r="BC24" s="734"/>
      <c r="BD24" s="700"/>
      <c r="BE24" s="719"/>
      <c r="BF24" s="700"/>
      <c r="BG24" s="700"/>
      <c r="BH24" s="701"/>
      <c r="BI24" s="734"/>
      <c r="BJ24" s="700"/>
      <c r="BK24" s="719"/>
      <c r="BL24" s="700"/>
      <c r="BM24" s="700"/>
      <c r="BN24" s="701"/>
      <c r="BO24" s="734"/>
      <c r="BP24" s="700"/>
      <c r="BQ24" s="719"/>
      <c r="BR24" s="700"/>
      <c r="BS24" s="700"/>
      <c r="BT24" s="701"/>
      <c r="BU24" s="734"/>
      <c r="BV24" s="700"/>
      <c r="BW24" s="719"/>
      <c r="BX24" s="700"/>
      <c r="BY24" s="700"/>
      <c r="BZ24" s="701"/>
      <c r="CA24" s="734"/>
      <c r="CB24" s="700"/>
      <c r="CC24" s="719"/>
      <c r="CD24" s="700"/>
      <c r="CE24" s="700"/>
      <c r="CF24" s="701"/>
      <c r="CG24" s="734"/>
      <c r="CH24" s="700"/>
      <c r="CI24" s="719"/>
      <c r="CJ24" s="700"/>
      <c r="CK24" s="700"/>
      <c r="CL24" s="701"/>
      <c r="CM24" s="734"/>
    </row>
    <row r="25" spans="1:91" s="25" customFormat="1" ht="11.25" hidden="1" outlineLevel="1" x14ac:dyDescent="0.2">
      <c r="A25" s="694" t="s">
        <v>4</v>
      </c>
      <c r="B25" s="665"/>
      <c r="C25" s="664"/>
      <c r="D25" s="665"/>
      <c r="E25" s="665"/>
      <c r="F25" s="668"/>
      <c r="G25" s="746"/>
      <c r="H25" s="665"/>
      <c r="I25" s="664"/>
      <c r="J25" s="665"/>
      <c r="K25" s="665"/>
      <c r="L25" s="668"/>
      <c r="M25" s="746"/>
      <c r="N25" s="665"/>
      <c r="O25" s="664"/>
      <c r="P25" s="665"/>
      <c r="Q25" s="665"/>
      <c r="R25" s="668"/>
      <c r="S25" s="746"/>
      <c r="T25" s="665"/>
      <c r="U25" s="665"/>
      <c r="V25" s="665"/>
      <c r="W25" s="665"/>
      <c r="X25" s="665"/>
      <c r="Y25" s="665"/>
      <c r="Z25" s="665"/>
      <c r="AA25" s="665"/>
      <c r="AB25" s="665"/>
      <c r="AC25" s="665"/>
      <c r="AD25" s="665"/>
      <c r="AE25" s="665"/>
      <c r="AF25" s="665"/>
      <c r="AG25" s="665"/>
      <c r="AH25" s="665"/>
      <c r="AI25" s="665"/>
      <c r="AJ25" s="665"/>
      <c r="AK25" s="665"/>
      <c r="AL25" s="665"/>
      <c r="AM25" s="665"/>
      <c r="AN25" s="665"/>
      <c r="AO25" s="665"/>
      <c r="AP25" s="665"/>
      <c r="AQ25" s="665"/>
      <c r="AR25" s="665"/>
      <c r="AS25" s="665"/>
      <c r="AT25" s="665"/>
      <c r="AU25" s="665"/>
      <c r="AV25" s="665"/>
      <c r="AW25" s="665"/>
      <c r="AX25" s="665"/>
      <c r="AY25" s="664"/>
      <c r="AZ25" s="665"/>
      <c r="BA25" s="665"/>
      <c r="BB25" s="668"/>
      <c r="BC25" s="746"/>
      <c r="BD25" s="665"/>
      <c r="BE25" s="669">
        <v>165</v>
      </c>
      <c r="BF25" s="657">
        <v>169</v>
      </c>
      <c r="BG25" s="657">
        <v>172</v>
      </c>
      <c r="BH25" s="676">
        <v>175</v>
      </c>
      <c r="BI25" s="678">
        <f>SUM(BE25:BH25)</f>
        <v>681</v>
      </c>
      <c r="BJ25" s="665"/>
      <c r="BK25" s="669">
        <v>175</v>
      </c>
      <c r="BL25" s="657">
        <v>175</v>
      </c>
      <c r="BM25" s="657">
        <v>181</v>
      </c>
      <c r="BN25" s="676">
        <v>187</v>
      </c>
      <c r="BO25" s="758">
        <f>SUM(BK25:BN25)</f>
        <v>718</v>
      </c>
      <c r="BP25" s="665"/>
      <c r="BQ25" s="669">
        <v>193</v>
      </c>
      <c r="BR25" s="666">
        <f t="shared" ref="BR25" si="154">BL25*(1+BR26)</f>
        <v>190.75</v>
      </c>
      <c r="BS25" s="666">
        <f t="shared" ref="BS25" si="155">BM25*(1+BS26)</f>
        <v>197.29000000000002</v>
      </c>
      <c r="BT25" s="667">
        <f t="shared" ref="BT25" si="156">BN25*(1+BT26)</f>
        <v>203.83</v>
      </c>
      <c r="BU25" s="758">
        <f>SUM(BQ25:BT25)</f>
        <v>784.87</v>
      </c>
      <c r="BV25" s="665"/>
      <c r="BW25" s="718">
        <f>BQ25*(1+BW26)</f>
        <v>204.58</v>
      </c>
      <c r="BX25" s="666">
        <f t="shared" ref="BX25" si="157">BR25*(1+BX26)</f>
        <v>202.19500000000002</v>
      </c>
      <c r="BY25" s="666">
        <f t="shared" ref="BY25" si="158">BS25*(1+BY26)</f>
        <v>209.12740000000002</v>
      </c>
      <c r="BZ25" s="667">
        <f t="shared" ref="BZ25" si="159">BT25*(1+BZ26)</f>
        <v>216.05980000000002</v>
      </c>
      <c r="CA25" s="758">
        <f>SUM(BW25:BZ25)</f>
        <v>831.96220000000005</v>
      </c>
      <c r="CB25" s="665"/>
      <c r="CC25" s="718">
        <f>BW25*(1+CC26)</f>
        <v>216.85480000000001</v>
      </c>
      <c r="CD25" s="666">
        <f t="shared" ref="CD25" si="160">BX25*(1+CD26)</f>
        <v>214.32670000000005</v>
      </c>
      <c r="CE25" s="666">
        <f t="shared" ref="CE25" si="161">BY25*(1+CE26)</f>
        <v>221.67504400000004</v>
      </c>
      <c r="CF25" s="667">
        <f t="shared" ref="CF25" si="162">BZ25*(1+CF26)</f>
        <v>229.02338800000004</v>
      </c>
      <c r="CG25" s="758">
        <f>SUM(CC25:CF25)</f>
        <v>881.87993200000017</v>
      </c>
      <c r="CH25" s="665"/>
      <c r="CI25" s="718">
        <f>CC25*(1+CI26)</f>
        <v>229.86608800000002</v>
      </c>
      <c r="CJ25" s="666">
        <f t="shared" ref="CJ25" si="163">CD25*(1+CJ26)</f>
        <v>227.18630200000007</v>
      </c>
      <c r="CK25" s="666">
        <f t="shared" ref="CK25" si="164">CE25*(1+CK26)</f>
        <v>234.97554664000006</v>
      </c>
      <c r="CL25" s="667">
        <f t="shared" ref="CL25" si="165">CF25*(1+CL26)</f>
        <v>242.76479128000005</v>
      </c>
      <c r="CM25" s="758">
        <f>SUM(CI25:CL25)</f>
        <v>934.79272792000017</v>
      </c>
    </row>
    <row r="26" spans="1:91" s="25" customFormat="1" ht="11.25" hidden="1" outlineLevel="1" x14ac:dyDescent="0.2">
      <c r="A26" s="695" t="s">
        <v>5</v>
      </c>
      <c r="B26" s="665"/>
      <c r="C26" s="664"/>
      <c r="D26" s="665"/>
      <c r="E26" s="665"/>
      <c r="F26" s="668"/>
      <c r="G26" s="746"/>
      <c r="H26" s="665"/>
      <c r="I26" s="664"/>
      <c r="J26" s="665"/>
      <c r="K26" s="665"/>
      <c r="L26" s="668"/>
      <c r="M26" s="746"/>
      <c r="N26" s="665"/>
      <c r="O26" s="664"/>
      <c r="P26" s="665"/>
      <c r="Q26" s="665"/>
      <c r="R26" s="668"/>
      <c r="S26" s="746"/>
      <c r="T26" s="665"/>
      <c r="U26" s="665"/>
      <c r="V26" s="665"/>
      <c r="W26" s="665"/>
      <c r="X26" s="665"/>
      <c r="Y26" s="665"/>
      <c r="Z26" s="665"/>
      <c r="AA26" s="665"/>
      <c r="AB26" s="665"/>
      <c r="AC26" s="665"/>
      <c r="AD26" s="665"/>
      <c r="AE26" s="665"/>
      <c r="AF26" s="665"/>
      <c r="AG26" s="665"/>
      <c r="AH26" s="665"/>
      <c r="AI26" s="665"/>
      <c r="AJ26" s="665"/>
      <c r="AK26" s="665"/>
      <c r="AL26" s="665"/>
      <c r="AM26" s="665"/>
      <c r="AN26" s="665"/>
      <c r="AO26" s="665"/>
      <c r="AP26" s="665"/>
      <c r="AQ26" s="665"/>
      <c r="AR26" s="665"/>
      <c r="AS26" s="665"/>
      <c r="AT26" s="665"/>
      <c r="AU26" s="665"/>
      <c r="AV26" s="665"/>
      <c r="AW26" s="665"/>
      <c r="AX26" s="665"/>
      <c r="AY26" s="664"/>
      <c r="AZ26" s="665"/>
      <c r="BA26" s="665"/>
      <c r="BB26" s="668"/>
      <c r="BC26" s="746"/>
      <c r="BD26" s="665"/>
      <c r="BE26" s="664"/>
      <c r="BF26" s="665"/>
      <c r="BG26" s="665"/>
      <c r="BH26" s="668"/>
      <c r="BI26" s="746"/>
      <c r="BJ26" s="665"/>
      <c r="BK26" s="724">
        <f>BK25/BE25-1</f>
        <v>6.0606060606060552E-2</v>
      </c>
      <c r="BL26" s="704">
        <f t="shared" ref="BL26" si="166">BL25/BF25-1</f>
        <v>3.5502958579881616E-2</v>
      </c>
      <c r="BM26" s="704">
        <f t="shared" ref="BM26" si="167">BM25/BG25-1</f>
        <v>5.232558139534893E-2</v>
      </c>
      <c r="BN26" s="697">
        <f t="shared" ref="BN26" si="168">BN25/BH25-1</f>
        <v>6.8571428571428505E-2</v>
      </c>
      <c r="BO26" s="732">
        <f t="shared" ref="BO26" si="169">BO25/BI25-1</f>
        <v>5.4331864904552107E-2</v>
      </c>
      <c r="BP26" s="665"/>
      <c r="BQ26" s="717">
        <f>BQ25/BK25-1</f>
        <v>0.10285714285714276</v>
      </c>
      <c r="BR26" s="696">
        <f t="shared" ref="BR26" si="170">BR28+BR27</f>
        <v>0.09</v>
      </c>
      <c r="BS26" s="696">
        <f t="shared" ref="BS26" si="171">BS28+BS27</f>
        <v>0.09</v>
      </c>
      <c r="BT26" s="697">
        <f t="shared" ref="BT26" si="172">BT28+BT27</f>
        <v>0.09</v>
      </c>
      <c r="BU26" s="732">
        <f t="shared" ref="BU26" si="173">BU25/BO25-1</f>
        <v>9.3133704735375966E-2</v>
      </c>
      <c r="BV26" s="665"/>
      <c r="BW26" s="717">
        <f>BW28+BW27</f>
        <v>0.06</v>
      </c>
      <c r="BX26" s="696">
        <f t="shared" ref="BX26" si="174">BX28+BX27</f>
        <v>0.06</v>
      </c>
      <c r="BY26" s="696">
        <f t="shared" ref="BY26" si="175">BY28+BY27</f>
        <v>0.06</v>
      </c>
      <c r="BZ26" s="697">
        <f t="shared" ref="BZ26" si="176">BZ28+BZ27</f>
        <v>0.06</v>
      </c>
      <c r="CA26" s="732">
        <f t="shared" ref="CA26" si="177">CA25/BU25-1</f>
        <v>6.0000000000000053E-2</v>
      </c>
      <c r="CB26" s="665"/>
      <c r="CC26" s="717">
        <f>CC28+CC27</f>
        <v>0.06</v>
      </c>
      <c r="CD26" s="696">
        <f t="shared" ref="CD26" si="178">CD28+CD27</f>
        <v>0.06</v>
      </c>
      <c r="CE26" s="696">
        <f t="shared" ref="CE26" si="179">CE28+CE27</f>
        <v>0.06</v>
      </c>
      <c r="CF26" s="697">
        <f t="shared" ref="CF26" si="180">CF28+CF27</f>
        <v>0.06</v>
      </c>
      <c r="CG26" s="732">
        <f t="shared" ref="CG26" si="181">CG25/CA25-1</f>
        <v>6.0000000000000053E-2</v>
      </c>
      <c r="CH26" s="665"/>
      <c r="CI26" s="717">
        <f>CI28+CI27</f>
        <v>0.06</v>
      </c>
      <c r="CJ26" s="696">
        <f t="shared" ref="CJ26" si="182">CJ28+CJ27</f>
        <v>0.06</v>
      </c>
      <c r="CK26" s="696">
        <f t="shared" ref="CK26" si="183">CK28+CK27</f>
        <v>0.06</v>
      </c>
      <c r="CL26" s="697">
        <f t="shared" ref="CL26" si="184">CL28+CL27</f>
        <v>0.06</v>
      </c>
      <c r="CM26" s="732">
        <f t="shared" ref="CM26" si="185">CM25/CG25-1</f>
        <v>6.0000000000000053E-2</v>
      </c>
    </row>
    <row r="27" spans="1:91" s="25" customFormat="1" ht="11.25" hidden="1" outlineLevel="1" x14ac:dyDescent="0.2">
      <c r="A27" s="695" t="s">
        <v>6</v>
      </c>
      <c r="B27" s="665"/>
      <c r="C27" s="664"/>
      <c r="D27" s="665"/>
      <c r="E27" s="665"/>
      <c r="F27" s="668"/>
      <c r="G27" s="746"/>
      <c r="H27" s="665"/>
      <c r="I27" s="664"/>
      <c r="J27" s="665"/>
      <c r="K27" s="665"/>
      <c r="L27" s="668"/>
      <c r="M27" s="746"/>
      <c r="N27" s="665"/>
      <c r="O27" s="664"/>
      <c r="P27" s="665"/>
      <c r="Q27" s="665"/>
      <c r="R27" s="668"/>
      <c r="S27" s="746"/>
      <c r="T27" s="665"/>
      <c r="U27" s="665"/>
      <c r="V27" s="665"/>
      <c r="W27" s="665"/>
      <c r="X27" s="665"/>
      <c r="Y27" s="665"/>
      <c r="Z27" s="665"/>
      <c r="AA27" s="665"/>
      <c r="AB27" s="665"/>
      <c r="AC27" s="665"/>
      <c r="AD27" s="665"/>
      <c r="AE27" s="665"/>
      <c r="AF27" s="665"/>
      <c r="AG27" s="665"/>
      <c r="AH27" s="665"/>
      <c r="AI27" s="665"/>
      <c r="AJ27" s="665"/>
      <c r="AK27" s="665"/>
      <c r="AL27" s="665"/>
      <c r="AM27" s="665"/>
      <c r="AN27" s="665"/>
      <c r="AO27" s="665"/>
      <c r="AP27" s="665"/>
      <c r="AQ27" s="665"/>
      <c r="AR27" s="665"/>
      <c r="AS27" s="665"/>
      <c r="AT27" s="665"/>
      <c r="AU27" s="665"/>
      <c r="AV27" s="665"/>
      <c r="AW27" s="665"/>
      <c r="AX27" s="665"/>
      <c r="AY27" s="664"/>
      <c r="AZ27" s="665"/>
      <c r="BA27" s="665"/>
      <c r="BB27" s="668"/>
      <c r="BC27" s="746"/>
      <c r="BD27" s="665"/>
      <c r="BE27" s="664"/>
      <c r="BF27" s="665"/>
      <c r="BG27" s="665"/>
      <c r="BH27" s="668"/>
      <c r="BI27" s="746"/>
      <c r="BJ27" s="665"/>
      <c r="BK27" s="722">
        <v>0</v>
      </c>
      <c r="BL27" s="703">
        <v>0</v>
      </c>
      <c r="BM27" s="703">
        <v>0</v>
      </c>
      <c r="BN27" s="674">
        <v>0</v>
      </c>
      <c r="BO27" s="732">
        <f>SUMPRODUCT(BK27:BN27,BE25:BH25)/BI25</f>
        <v>0</v>
      </c>
      <c r="BP27" s="665"/>
      <c r="BQ27" s="672">
        <v>0</v>
      </c>
      <c r="BR27" s="673">
        <v>0</v>
      </c>
      <c r="BS27" s="673">
        <v>0</v>
      </c>
      <c r="BT27" s="674">
        <v>0</v>
      </c>
      <c r="BU27" s="732">
        <f>SUMPRODUCT(BQ27:BT27,BK25:BN25)/BO25</f>
        <v>0</v>
      </c>
      <c r="BV27" s="665"/>
      <c r="BW27" s="672">
        <v>0</v>
      </c>
      <c r="BX27" s="673">
        <v>0</v>
      </c>
      <c r="BY27" s="673">
        <v>0</v>
      </c>
      <c r="BZ27" s="674">
        <v>0</v>
      </c>
      <c r="CA27" s="732">
        <f>SUMPRODUCT(BW27:BZ27,BQ25:BT25)/BU25</f>
        <v>0</v>
      </c>
      <c r="CB27" s="665"/>
      <c r="CC27" s="672">
        <v>0</v>
      </c>
      <c r="CD27" s="673">
        <v>0</v>
      </c>
      <c r="CE27" s="673">
        <v>0</v>
      </c>
      <c r="CF27" s="674">
        <v>0</v>
      </c>
      <c r="CG27" s="732">
        <f>SUMPRODUCT(CC27:CF27,BW25:BZ25)/CA25</f>
        <v>0</v>
      </c>
      <c r="CH27" s="665"/>
      <c r="CI27" s="672">
        <v>0</v>
      </c>
      <c r="CJ27" s="673">
        <v>0</v>
      </c>
      <c r="CK27" s="673">
        <v>0</v>
      </c>
      <c r="CL27" s="674">
        <v>0</v>
      </c>
      <c r="CM27" s="732">
        <f>SUMPRODUCT(CI27:CL27,CC25:CF25)/CG25</f>
        <v>0</v>
      </c>
    </row>
    <row r="28" spans="1:91" s="25" customFormat="1" ht="11.25" hidden="1" outlineLevel="1" x14ac:dyDescent="0.2">
      <c r="A28" s="695" t="s">
        <v>7</v>
      </c>
      <c r="B28" s="665"/>
      <c r="C28" s="664"/>
      <c r="D28" s="665"/>
      <c r="E28" s="665"/>
      <c r="F28" s="668"/>
      <c r="G28" s="746"/>
      <c r="H28" s="665"/>
      <c r="I28" s="664"/>
      <c r="J28" s="665"/>
      <c r="K28" s="665"/>
      <c r="L28" s="668"/>
      <c r="M28" s="746"/>
      <c r="N28" s="665"/>
      <c r="O28" s="664"/>
      <c r="P28" s="665"/>
      <c r="Q28" s="665"/>
      <c r="R28" s="668"/>
      <c r="S28" s="746"/>
      <c r="T28" s="665"/>
      <c r="U28" s="665"/>
      <c r="V28" s="665"/>
      <c r="W28" s="665"/>
      <c r="X28" s="665"/>
      <c r="Y28" s="665"/>
      <c r="Z28" s="665"/>
      <c r="AA28" s="665"/>
      <c r="AB28" s="665"/>
      <c r="AC28" s="665"/>
      <c r="AD28" s="665"/>
      <c r="AE28" s="665"/>
      <c r="AF28" s="665"/>
      <c r="AG28" s="665"/>
      <c r="AH28" s="665"/>
      <c r="AI28" s="665"/>
      <c r="AJ28" s="665"/>
      <c r="AK28" s="665"/>
      <c r="AL28" s="665"/>
      <c r="AM28" s="665"/>
      <c r="AN28" s="665"/>
      <c r="AO28" s="665"/>
      <c r="AP28" s="665"/>
      <c r="AQ28" s="665"/>
      <c r="AR28" s="665"/>
      <c r="AS28" s="665"/>
      <c r="AT28" s="665"/>
      <c r="AU28" s="665"/>
      <c r="AV28" s="665"/>
      <c r="AW28" s="665"/>
      <c r="AX28" s="665"/>
      <c r="AY28" s="664"/>
      <c r="AZ28" s="665"/>
      <c r="BA28" s="665"/>
      <c r="BB28" s="668"/>
      <c r="BC28" s="746"/>
      <c r="BD28" s="665"/>
      <c r="BE28" s="664"/>
      <c r="BF28" s="665"/>
      <c r="BG28" s="665"/>
      <c r="BH28" s="668"/>
      <c r="BI28" s="746"/>
      <c r="BJ28" s="665"/>
      <c r="BK28" s="724">
        <f>BK26-BK27</f>
        <v>6.0606060606060552E-2</v>
      </c>
      <c r="BL28" s="704">
        <f t="shared" ref="BL28" si="186">BL26-BL27</f>
        <v>3.5502958579881616E-2</v>
      </c>
      <c r="BM28" s="704">
        <f t="shared" ref="BM28" si="187">BM26-BM27</f>
        <v>5.232558139534893E-2</v>
      </c>
      <c r="BN28" s="697">
        <f t="shared" ref="BN28" si="188">BN26-BN27</f>
        <v>6.8571428571428505E-2</v>
      </c>
      <c r="BO28" s="732">
        <f t="shared" ref="BO28" si="189">BO26-BO27</f>
        <v>5.4331864904552107E-2</v>
      </c>
      <c r="BP28" s="665"/>
      <c r="BQ28" s="717">
        <f>BQ26-BQ27</f>
        <v>0.10285714285714276</v>
      </c>
      <c r="BR28" s="673">
        <v>0.09</v>
      </c>
      <c r="BS28" s="673">
        <v>0.09</v>
      </c>
      <c r="BT28" s="674">
        <v>0.09</v>
      </c>
      <c r="BU28" s="732">
        <f t="shared" ref="BU28" si="190">BU26-BU27</f>
        <v>9.3133704735375966E-2</v>
      </c>
      <c r="BV28" s="665"/>
      <c r="BW28" s="672">
        <v>0.06</v>
      </c>
      <c r="BX28" s="673">
        <f>BW28</f>
        <v>0.06</v>
      </c>
      <c r="BY28" s="673">
        <f t="shared" ref="BY28:BZ28" si="191">BX28</f>
        <v>0.06</v>
      </c>
      <c r="BZ28" s="674">
        <f t="shared" si="191"/>
        <v>0.06</v>
      </c>
      <c r="CA28" s="732">
        <f t="shared" ref="CA28" si="192">CA26-CA27</f>
        <v>6.0000000000000053E-2</v>
      </c>
      <c r="CB28" s="665"/>
      <c r="CC28" s="672">
        <v>0.06</v>
      </c>
      <c r="CD28" s="673">
        <f>CC28</f>
        <v>0.06</v>
      </c>
      <c r="CE28" s="673">
        <f t="shared" ref="CE28:CF28" si="193">CD28</f>
        <v>0.06</v>
      </c>
      <c r="CF28" s="674">
        <f t="shared" si="193"/>
        <v>0.06</v>
      </c>
      <c r="CG28" s="732">
        <f t="shared" ref="CG28" si="194">CG26-CG27</f>
        <v>6.0000000000000053E-2</v>
      </c>
      <c r="CH28" s="665"/>
      <c r="CI28" s="672">
        <v>0.06</v>
      </c>
      <c r="CJ28" s="673">
        <f>CI28</f>
        <v>0.06</v>
      </c>
      <c r="CK28" s="673">
        <f t="shared" ref="CK28:CL28" si="195">CJ28</f>
        <v>0.06</v>
      </c>
      <c r="CL28" s="674">
        <f t="shared" si="195"/>
        <v>0.06</v>
      </c>
      <c r="CM28" s="732">
        <f t="shared" ref="CM28" si="196">CM26-CM27</f>
        <v>6.0000000000000053E-2</v>
      </c>
    </row>
    <row r="29" spans="1:91" s="25" customFormat="1" ht="11.25" hidden="1" outlineLevel="1" x14ac:dyDescent="0.2">
      <c r="A29" s="694" t="s">
        <v>8</v>
      </c>
      <c r="B29" s="665"/>
      <c r="C29" s="664"/>
      <c r="D29" s="665"/>
      <c r="E29" s="665"/>
      <c r="F29" s="668"/>
      <c r="G29" s="746"/>
      <c r="H29" s="665"/>
      <c r="I29" s="664"/>
      <c r="J29" s="665"/>
      <c r="K29" s="665"/>
      <c r="L29" s="668"/>
      <c r="M29" s="746"/>
      <c r="N29" s="665"/>
      <c r="O29" s="664"/>
      <c r="P29" s="665"/>
      <c r="Q29" s="665"/>
      <c r="R29" s="668"/>
      <c r="S29" s="746"/>
      <c r="T29" s="665"/>
      <c r="U29" s="665"/>
      <c r="V29" s="665"/>
      <c r="W29" s="665"/>
      <c r="X29" s="665"/>
      <c r="Y29" s="665"/>
      <c r="Z29" s="665"/>
      <c r="AA29" s="665"/>
      <c r="AB29" s="665"/>
      <c r="AC29" s="665"/>
      <c r="AD29" s="665"/>
      <c r="AE29" s="665"/>
      <c r="AF29" s="665"/>
      <c r="AG29" s="665"/>
      <c r="AH29" s="665"/>
      <c r="AI29" s="665"/>
      <c r="AJ29" s="665"/>
      <c r="AK29" s="665"/>
      <c r="AL29" s="665"/>
      <c r="AM29" s="665"/>
      <c r="AN29" s="665"/>
      <c r="AO29" s="665"/>
      <c r="AP29" s="665"/>
      <c r="AQ29" s="665"/>
      <c r="AR29" s="665"/>
      <c r="AS29" s="665"/>
      <c r="AT29" s="665"/>
      <c r="AU29" s="665"/>
      <c r="AV29" s="665"/>
      <c r="AW29" s="665"/>
      <c r="AX29" s="665"/>
      <c r="AY29" s="664"/>
      <c r="AZ29" s="665"/>
      <c r="BA29" s="665"/>
      <c r="BB29" s="668"/>
      <c r="BC29" s="746"/>
      <c r="BD29" s="665"/>
      <c r="BE29" s="669">
        <v>111</v>
      </c>
      <c r="BF29" s="657">
        <v>110</v>
      </c>
      <c r="BG29" s="657">
        <v>124</v>
      </c>
      <c r="BH29" s="676">
        <v>123</v>
      </c>
      <c r="BI29" s="733">
        <f>SUM(BE29:BH29)</f>
        <v>468</v>
      </c>
      <c r="BJ29" s="665"/>
      <c r="BK29" s="720">
        <v>127</v>
      </c>
      <c r="BL29" s="655">
        <v>120</v>
      </c>
      <c r="BM29" s="655">
        <v>136</v>
      </c>
      <c r="BN29" s="676">
        <v>138</v>
      </c>
      <c r="BO29" s="733">
        <f>SUM(BK29:BN29)</f>
        <v>521</v>
      </c>
      <c r="BP29" s="665"/>
      <c r="BQ29" s="669">
        <v>147</v>
      </c>
      <c r="BR29" s="666">
        <f t="shared" ref="BR29" si="197">BL29*(1+BR30)</f>
        <v>142.70529562951987</v>
      </c>
      <c r="BS29" s="666">
        <f t="shared" ref="BS29" si="198">BM29*(1+BS30)</f>
        <v>159.36974625215538</v>
      </c>
      <c r="BT29" s="667">
        <f t="shared" ref="BT29" si="199">BN29*(1+BT30)</f>
        <v>157.66666608244827</v>
      </c>
      <c r="BU29" s="733">
        <f>SUM(BQ29:BT29)</f>
        <v>606.74170796412352</v>
      </c>
      <c r="BV29" s="665"/>
      <c r="BW29" s="718">
        <f>BQ29*(1+BW30)</f>
        <v>168.96174470291083</v>
      </c>
      <c r="BX29" s="666">
        <f t="shared" ref="BX29" si="200">BR29*(1+BX30)</f>
        <v>159.5982545356141</v>
      </c>
      <c r="BY29" s="666">
        <f t="shared" ref="BY29" si="201">BS29*(1+BY30)</f>
        <v>177.69726707115325</v>
      </c>
      <c r="BZ29" s="667">
        <f t="shared" ref="BZ29" si="202">BT29*(1+BZ30)</f>
        <v>175.79833268192982</v>
      </c>
      <c r="CA29" s="733">
        <f>SUM(BW29:BZ29)</f>
        <v>682.05559899160801</v>
      </c>
      <c r="CB29" s="665"/>
      <c r="CC29" s="718">
        <f>BW29*(1+CC30)</f>
        <v>188.39234534374557</v>
      </c>
      <c r="CD29" s="666">
        <f t="shared" ref="CD29" si="203">BX29*(1+CD30)</f>
        <v>177.95205380720972</v>
      </c>
      <c r="CE29" s="666">
        <f t="shared" ref="CE29" si="204">BY29*(1+CE30)</f>
        <v>198.13245278433587</v>
      </c>
      <c r="CF29" s="667">
        <f t="shared" ref="CF29" si="205">BZ29*(1+CF30)</f>
        <v>196.01514094035176</v>
      </c>
      <c r="CG29" s="733">
        <f>SUM(CC29:CF29)</f>
        <v>760.49199287564295</v>
      </c>
      <c r="CH29" s="665"/>
      <c r="CI29" s="718">
        <f>CC29*(1+CI30)</f>
        <v>210.05746505827631</v>
      </c>
      <c r="CJ29" s="666">
        <f t="shared" ref="CJ29" si="206">CD29*(1+CJ30)</f>
        <v>198.41653999503885</v>
      </c>
      <c r="CK29" s="666">
        <f t="shared" ref="CK29" si="207">CE29*(1+CK30)</f>
        <v>220.91768485453449</v>
      </c>
      <c r="CL29" s="667">
        <f t="shared" ref="CL29" si="208">CF29*(1+CL30)</f>
        <v>218.55688214849221</v>
      </c>
      <c r="CM29" s="733">
        <f>SUM(CI29:CL29)</f>
        <v>847.94857205634185</v>
      </c>
    </row>
    <row r="30" spans="1:91" s="25" customFormat="1" ht="11.25" hidden="1" outlineLevel="1" x14ac:dyDescent="0.2">
      <c r="A30" s="695" t="s">
        <v>5</v>
      </c>
      <c r="B30" s="665"/>
      <c r="C30" s="664"/>
      <c r="D30" s="665"/>
      <c r="E30" s="665"/>
      <c r="F30" s="668"/>
      <c r="G30" s="746"/>
      <c r="H30" s="665"/>
      <c r="I30" s="664"/>
      <c r="J30" s="665"/>
      <c r="K30" s="665"/>
      <c r="L30" s="668"/>
      <c r="M30" s="746"/>
      <c r="N30" s="665"/>
      <c r="O30" s="664"/>
      <c r="P30" s="665"/>
      <c r="Q30" s="665"/>
      <c r="R30" s="668"/>
      <c r="S30" s="746"/>
      <c r="T30" s="665"/>
      <c r="U30" s="665"/>
      <c r="V30" s="665"/>
      <c r="W30" s="665"/>
      <c r="X30" s="665"/>
      <c r="Y30" s="665"/>
      <c r="Z30" s="665"/>
      <c r="AA30" s="665"/>
      <c r="AB30" s="665"/>
      <c r="AC30" s="665"/>
      <c r="AD30" s="665"/>
      <c r="AE30" s="665"/>
      <c r="AF30" s="665"/>
      <c r="AG30" s="665"/>
      <c r="AH30" s="665"/>
      <c r="AI30" s="665"/>
      <c r="AJ30" s="665"/>
      <c r="AK30" s="665"/>
      <c r="AL30" s="665"/>
      <c r="AM30" s="665"/>
      <c r="AN30" s="665"/>
      <c r="AO30" s="665"/>
      <c r="AP30" s="665"/>
      <c r="AQ30" s="665"/>
      <c r="AR30" s="665"/>
      <c r="AS30" s="665"/>
      <c r="AT30" s="665"/>
      <c r="AU30" s="665"/>
      <c r="AV30" s="665"/>
      <c r="AW30" s="665"/>
      <c r="AX30" s="665"/>
      <c r="AY30" s="664"/>
      <c r="AZ30" s="665"/>
      <c r="BA30" s="665"/>
      <c r="BB30" s="668"/>
      <c r="BC30" s="746"/>
      <c r="BD30" s="665"/>
      <c r="BE30" s="664"/>
      <c r="BF30" s="665"/>
      <c r="BG30" s="665"/>
      <c r="BH30" s="668"/>
      <c r="BI30" s="746"/>
      <c r="BJ30" s="665"/>
      <c r="BK30" s="724">
        <f>BK29/BE29-1</f>
        <v>0.14414414414414423</v>
      </c>
      <c r="BL30" s="704">
        <f t="shared" ref="BL30" si="209">BL29/BF29-1</f>
        <v>9.0909090909090828E-2</v>
      </c>
      <c r="BM30" s="704">
        <f t="shared" ref="BM30" si="210">BM29/BG29-1</f>
        <v>9.6774193548387011E-2</v>
      </c>
      <c r="BN30" s="697">
        <f t="shared" ref="BN30" si="211">BN29/BH29-1</f>
        <v>0.12195121951219523</v>
      </c>
      <c r="BO30" s="732">
        <f t="shared" ref="BO30" si="212">BO29/BI29-1</f>
        <v>0.11324786324786329</v>
      </c>
      <c r="BP30" s="665"/>
      <c r="BQ30" s="717">
        <f>BQ29/BK29-1</f>
        <v>0.15748031496062986</v>
      </c>
      <c r="BR30" s="696">
        <f t="shared" ref="BR30" si="213">BR32+BR31</f>
        <v>0.18921079691266549</v>
      </c>
      <c r="BS30" s="696">
        <f t="shared" ref="BS30" si="214">BS32+BS31</f>
        <v>0.17183636950114237</v>
      </c>
      <c r="BT30" s="697">
        <f t="shared" ref="BT30" si="215">BT32+BT31</f>
        <v>0.14251207306121927</v>
      </c>
      <c r="BU30" s="732">
        <f t="shared" ref="BU30" si="216">BU29/BO29-1</f>
        <v>0.16457141643785711</v>
      </c>
      <c r="BV30" s="665"/>
      <c r="BW30" s="717">
        <f>BW32+BW31</f>
        <v>0.14939962382932537</v>
      </c>
      <c r="BX30" s="696">
        <f t="shared" ref="BX30" si="217">BX32+BX31</f>
        <v>0.11837653838684704</v>
      </c>
      <c r="BY30" s="696">
        <f t="shared" ref="BY30" si="218">BY32+BY31</f>
        <v>0.115</v>
      </c>
      <c r="BZ30" s="697">
        <f t="shared" ref="BZ30" si="219">BZ32+BZ31</f>
        <v>0.115</v>
      </c>
      <c r="CA30" s="732">
        <f t="shared" ref="CA30" si="220">CA29/BU29-1</f>
        <v>0.12412842242244171</v>
      </c>
      <c r="CB30" s="665"/>
      <c r="CC30" s="717">
        <f>CC32+CC31</f>
        <v>0.115</v>
      </c>
      <c r="CD30" s="696">
        <f t="shared" ref="CD30" si="221">CD32+CD31</f>
        <v>0.115</v>
      </c>
      <c r="CE30" s="696">
        <f t="shared" ref="CE30" si="222">CE32+CE31</f>
        <v>0.115</v>
      </c>
      <c r="CF30" s="697">
        <f t="shared" ref="CF30" si="223">CF32+CF31</f>
        <v>0.115</v>
      </c>
      <c r="CG30" s="732">
        <f t="shared" ref="CG30" si="224">CG29/CA29-1</f>
        <v>0.11499999999999999</v>
      </c>
      <c r="CH30" s="665"/>
      <c r="CI30" s="717">
        <f>CI32+CI31</f>
        <v>0.115</v>
      </c>
      <c r="CJ30" s="696">
        <f t="shared" ref="CJ30" si="225">CJ32+CJ31</f>
        <v>0.115</v>
      </c>
      <c r="CK30" s="696">
        <f t="shared" ref="CK30" si="226">CK32+CK31</f>
        <v>0.115</v>
      </c>
      <c r="CL30" s="697">
        <f t="shared" ref="CL30" si="227">CL32+CL31</f>
        <v>0.115</v>
      </c>
      <c r="CM30" s="732">
        <f t="shared" ref="CM30" si="228">CM29/CG29-1</f>
        <v>0.11499999999999999</v>
      </c>
    </row>
    <row r="31" spans="1:91" s="25" customFormat="1" ht="11.25" hidden="1" outlineLevel="1" x14ac:dyDescent="0.2">
      <c r="A31" s="695" t="s">
        <v>9</v>
      </c>
      <c r="B31" s="665"/>
      <c r="C31" s="664"/>
      <c r="D31" s="665"/>
      <c r="E31" s="665"/>
      <c r="F31" s="668"/>
      <c r="G31" s="746"/>
      <c r="H31" s="665"/>
      <c r="I31" s="664"/>
      <c r="J31" s="665"/>
      <c r="K31" s="665"/>
      <c r="L31" s="668"/>
      <c r="M31" s="746"/>
      <c r="N31" s="665"/>
      <c r="O31" s="664"/>
      <c r="P31" s="665"/>
      <c r="Q31" s="665"/>
      <c r="R31" s="668"/>
      <c r="S31" s="746"/>
      <c r="T31" s="665"/>
      <c r="U31" s="665"/>
      <c r="V31" s="665"/>
      <c r="W31" s="665"/>
      <c r="X31" s="665"/>
      <c r="Y31" s="665"/>
      <c r="Z31" s="665"/>
      <c r="AA31" s="665"/>
      <c r="AB31" s="665"/>
      <c r="AC31" s="665"/>
      <c r="AD31" s="665"/>
      <c r="AE31" s="665"/>
      <c r="AF31" s="665"/>
      <c r="AG31" s="665"/>
      <c r="AH31" s="665"/>
      <c r="AI31" s="665"/>
      <c r="AJ31" s="665"/>
      <c r="AK31" s="665"/>
      <c r="AL31" s="665"/>
      <c r="AM31" s="665"/>
      <c r="AN31" s="665"/>
      <c r="AO31" s="665"/>
      <c r="AP31" s="665"/>
      <c r="AQ31" s="665"/>
      <c r="AR31" s="665"/>
      <c r="AS31" s="665"/>
      <c r="AT31" s="665"/>
      <c r="AU31" s="665"/>
      <c r="AV31" s="665"/>
      <c r="AW31" s="665"/>
      <c r="AX31" s="665"/>
      <c r="AY31" s="664"/>
      <c r="AZ31" s="665"/>
      <c r="BA31" s="665"/>
      <c r="BB31" s="668"/>
      <c r="BC31" s="746"/>
      <c r="BD31" s="665"/>
      <c r="BE31" s="664"/>
      <c r="BF31" s="665"/>
      <c r="BG31" s="665"/>
      <c r="BH31" s="668"/>
      <c r="BI31" s="746"/>
      <c r="BJ31" s="665"/>
      <c r="BK31" s="585">
        <f>BK30-BK32</f>
        <v>-7.8558558558557701E-3</v>
      </c>
      <c r="BL31" s="53">
        <f t="shared" ref="BL31" si="229">BL30-BL32</f>
        <v>-1.9090909090909172E-2</v>
      </c>
      <c r="BM31" s="53">
        <f t="shared" ref="BM31" si="230">BM30-BM32</f>
        <v>-2.7225806451612988E-2</v>
      </c>
      <c r="BN31" s="662">
        <f t="shared" ref="BN31" si="231">BN30-BN32</f>
        <v>3.9512195121952365E-3</v>
      </c>
      <c r="BO31" s="732">
        <f>SUMPRODUCT(BK31:BN31,BE29:BH29)/BI29</f>
        <v>-1.2525641025641016E-2</v>
      </c>
      <c r="BP31" s="665"/>
      <c r="BQ31" s="660">
        <f>BQ30-BQ32</f>
        <v>3.7480314960629868E-2</v>
      </c>
      <c r="BR31" s="698">
        <v>6.921079691266549E-2</v>
      </c>
      <c r="BS31" s="698">
        <v>5.1836369501142378E-2</v>
      </c>
      <c r="BT31" s="742">
        <v>2.2512073061219284E-2</v>
      </c>
      <c r="BU31" s="732">
        <f>SUMPRODUCT(BQ31:BT31,BK29:BN29)/BO29</f>
        <v>4.4571416437856955E-2</v>
      </c>
      <c r="BV31" s="665"/>
      <c r="BW31" s="743">
        <v>3.4399623829325376E-2</v>
      </c>
      <c r="BX31" s="698">
        <v>3.3765383868470385E-3</v>
      </c>
      <c r="BY31" s="698">
        <v>0</v>
      </c>
      <c r="BZ31" s="742">
        <v>0</v>
      </c>
      <c r="CA31" s="732">
        <f>SUMPRODUCT(BW31:BZ31,BQ29:BT29)/BU29</f>
        <v>9.1284224224416673E-3</v>
      </c>
      <c r="CB31" s="665"/>
      <c r="CC31" s="743">
        <v>0</v>
      </c>
      <c r="CD31" s="698">
        <v>0</v>
      </c>
      <c r="CE31" s="698">
        <v>0</v>
      </c>
      <c r="CF31" s="742">
        <v>0</v>
      </c>
      <c r="CG31" s="732">
        <f>SUMPRODUCT(CC31:CF31,BW29:BZ29)/CA29</f>
        <v>0</v>
      </c>
      <c r="CH31" s="665"/>
      <c r="CI31" s="743">
        <v>0</v>
      </c>
      <c r="CJ31" s="698">
        <v>0</v>
      </c>
      <c r="CK31" s="698">
        <v>0</v>
      </c>
      <c r="CL31" s="742">
        <v>0</v>
      </c>
      <c r="CM31" s="732">
        <f>SUMPRODUCT(CI31:CL31,CC29:CF29)/CG29</f>
        <v>0</v>
      </c>
    </row>
    <row r="32" spans="1:91" s="25" customFormat="1" ht="11.25" hidden="1" outlineLevel="1" x14ac:dyDescent="0.2">
      <c r="A32" s="695" t="s">
        <v>10</v>
      </c>
      <c r="B32" s="665"/>
      <c r="C32" s="664"/>
      <c r="D32" s="665"/>
      <c r="E32" s="665"/>
      <c r="F32" s="668"/>
      <c r="G32" s="746"/>
      <c r="H32" s="665"/>
      <c r="I32" s="664"/>
      <c r="J32" s="665"/>
      <c r="K32" s="665"/>
      <c r="L32" s="668"/>
      <c r="M32" s="746"/>
      <c r="N32" s="665"/>
      <c r="O32" s="664"/>
      <c r="P32" s="665"/>
      <c r="Q32" s="665"/>
      <c r="R32" s="668"/>
      <c r="S32" s="746"/>
      <c r="T32" s="665"/>
      <c r="U32" s="665"/>
      <c r="V32" s="665"/>
      <c r="W32" s="665"/>
      <c r="X32" s="665"/>
      <c r="Y32" s="665"/>
      <c r="Z32" s="665"/>
      <c r="AA32" s="665"/>
      <c r="AB32" s="665"/>
      <c r="AC32" s="665"/>
      <c r="AD32" s="665"/>
      <c r="AE32" s="665"/>
      <c r="AF32" s="665"/>
      <c r="AG32" s="665"/>
      <c r="AH32" s="665"/>
      <c r="AI32" s="665"/>
      <c r="AJ32" s="665"/>
      <c r="AK32" s="665"/>
      <c r="AL32" s="665"/>
      <c r="AM32" s="665"/>
      <c r="AN32" s="665"/>
      <c r="AO32" s="665"/>
      <c r="AP32" s="665"/>
      <c r="AQ32" s="665"/>
      <c r="AR32" s="665"/>
      <c r="AS32" s="665"/>
      <c r="AT32" s="665"/>
      <c r="AU32" s="665"/>
      <c r="AV32" s="665"/>
      <c r="AW32" s="665"/>
      <c r="AX32" s="665"/>
      <c r="AY32" s="664"/>
      <c r="AZ32" s="665"/>
      <c r="BA32" s="665"/>
      <c r="BB32" s="668"/>
      <c r="BC32" s="746"/>
      <c r="BD32" s="665"/>
      <c r="BE32" s="664"/>
      <c r="BF32" s="665"/>
      <c r="BG32" s="665"/>
      <c r="BH32" s="668"/>
      <c r="BI32" s="746"/>
      <c r="BJ32" s="665"/>
      <c r="BK32" s="722">
        <v>0.152</v>
      </c>
      <c r="BL32" s="703">
        <v>0.11</v>
      </c>
      <c r="BM32" s="703">
        <v>0.124</v>
      </c>
      <c r="BN32" s="674">
        <v>0.11799999999999999</v>
      </c>
      <c r="BO32" s="732">
        <f t="shared" ref="BO32" si="232">BO30-BO31</f>
        <v>0.12577350427350431</v>
      </c>
      <c r="BP32" s="665"/>
      <c r="BQ32" s="672">
        <v>0.12</v>
      </c>
      <c r="BR32" s="696">
        <f t="shared" ref="BR32" si="233">BR33+BR34</f>
        <v>0.12</v>
      </c>
      <c r="BS32" s="696">
        <f t="shared" ref="BS32" si="234">BS33+BS34</f>
        <v>0.12</v>
      </c>
      <c r="BT32" s="697">
        <f t="shared" ref="BT32" si="235">BT33+BT34</f>
        <v>0.12</v>
      </c>
      <c r="BU32" s="732">
        <f t="shared" ref="BU32" si="236">BU30-BU31</f>
        <v>0.12000000000000016</v>
      </c>
      <c r="BV32" s="665"/>
      <c r="BW32" s="717">
        <f>BW33+BW34</f>
        <v>0.115</v>
      </c>
      <c r="BX32" s="696">
        <f t="shared" ref="BX32" si="237">BX33+BX34</f>
        <v>0.115</v>
      </c>
      <c r="BY32" s="696">
        <f t="shared" ref="BY32" si="238">BY33+BY34</f>
        <v>0.115</v>
      </c>
      <c r="BZ32" s="697">
        <f t="shared" ref="BZ32" si="239">BZ33+BZ34</f>
        <v>0.115</v>
      </c>
      <c r="CA32" s="732">
        <f t="shared" ref="CA32" si="240">CA30-CA31</f>
        <v>0.11500000000000005</v>
      </c>
      <c r="CB32" s="665"/>
      <c r="CC32" s="717">
        <f>CC33+CC34</f>
        <v>0.115</v>
      </c>
      <c r="CD32" s="696">
        <f t="shared" ref="CD32" si="241">CD33+CD34</f>
        <v>0.115</v>
      </c>
      <c r="CE32" s="696">
        <f t="shared" ref="CE32" si="242">CE33+CE34</f>
        <v>0.115</v>
      </c>
      <c r="CF32" s="697">
        <f t="shared" ref="CF32" si="243">CF33+CF34</f>
        <v>0.115</v>
      </c>
      <c r="CG32" s="732">
        <f t="shared" ref="CG32" si="244">CG30-CG31</f>
        <v>0.11499999999999999</v>
      </c>
      <c r="CH32" s="665"/>
      <c r="CI32" s="717">
        <f>CI33+CI34</f>
        <v>0.115</v>
      </c>
      <c r="CJ32" s="696">
        <f t="shared" ref="CJ32" si="245">CJ33+CJ34</f>
        <v>0.115</v>
      </c>
      <c r="CK32" s="696">
        <f t="shared" ref="CK32" si="246">CK33+CK34</f>
        <v>0.115</v>
      </c>
      <c r="CL32" s="697">
        <f t="shared" ref="CL32" si="247">CL33+CL34</f>
        <v>0.115</v>
      </c>
      <c r="CM32" s="732">
        <f t="shared" ref="CM32" si="248">CM30-CM31</f>
        <v>0.11499999999999999</v>
      </c>
    </row>
    <row r="33" spans="1:91" s="25" customFormat="1" ht="11.25" hidden="1" outlineLevel="1" x14ac:dyDescent="0.2">
      <c r="A33" s="695" t="s">
        <v>6</v>
      </c>
      <c r="B33" s="665"/>
      <c r="C33" s="664"/>
      <c r="D33" s="665"/>
      <c r="E33" s="665"/>
      <c r="F33" s="668"/>
      <c r="G33" s="746"/>
      <c r="H33" s="665"/>
      <c r="I33" s="664"/>
      <c r="J33" s="665"/>
      <c r="K33" s="665"/>
      <c r="L33" s="668"/>
      <c r="M33" s="746"/>
      <c r="N33" s="665"/>
      <c r="O33" s="664"/>
      <c r="P33" s="665"/>
      <c r="Q33" s="665"/>
      <c r="R33" s="668"/>
      <c r="S33" s="746"/>
      <c r="T33" s="665"/>
      <c r="U33" s="665"/>
      <c r="V33" s="665"/>
      <c r="W33" s="665"/>
      <c r="X33" s="665"/>
      <c r="Y33" s="665"/>
      <c r="Z33" s="665"/>
      <c r="AA33" s="665"/>
      <c r="AB33" s="665"/>
      <c r="AC33" s="665"/>
      <c r="AD33" s="665"/>
      <c r="AE33" s="665"/>
      <c r="AF33" s="665"/>
      <c r="AG33" s="665"/>
      <c r="AH33" s="665"/>
      <c r="AI33" s="665"/>
      <c r="AJ33" s="665"/>
      <c r="AK33" s="665"/>
      <c r="AL33" s="665"/>
      <c r="AM33" s="665"/>
      <c r="AN33" s="665"/>
      <c r="AO33" s="665"/>
      <c r="AP33" s="665"/>
      <c r="AQ33" s="665"/>
      <c r="AR33" s="665"/>
      <c r="AS33" s="665"/>
      <c r="AT33" s="665"/>
      <c r="AU33" s="665"/>
      <c r="AV33" s="665"/>
      <c r="AW33" s="665"/>
      <c r="AX33" s="665"/>
      <c r="AY33" s="664"/>
      <c r="AZ33" s="665"/>
      <c r="BA33" s="665"/>
      <c r="BB33" s="668"/>
      <c r="BC33" s="746"/>
      <c r="BD33" s="665"/>
      <c r="BE33" s="664"/>
      <c r="BF33" s="665"/>
      <c r="BG33" s="665"/>
      <c r="BH33" s="668"/>
      <c r="BI33" s="746"/>
      <c r="BJ33" s="665"/>
      <c r="BK33" s="722">
        <v>0</v>
      </c>
      <c r="BL33" s="703">
        <v>0</v>
      </c>
      <c r="BM33" s="703">
        <v>0</v>
      </c>
      <c r="BN33" s="674">
        <v>0</v>
      </c>
      <c r="BO33" s="732">
        <f>SUMPRODUCT(BK33:BN33,BE29:BH29)/BI29</f>
        <v>0</v>
      </c>
      <c r="BP33" s="665"/>
      <c r="BQ33" s="672">
        <v>0</v>
      </c>
      <c r="BR33" s="673">
        <v>0</v>
      </c>
      <c r="BS33" s="673">
        <v>0</v>
      </c>
      <c r="BT33" s="674">
        <v>0</v>
      </c>
      <c r="BU33" s="732">
        <f>SUMPRODUCT(BQ33:BT33,BK29:BN29)/BO29</f>
        <v>0</v>
      </c>
      <c r="BV33" s="665"/>
      <c r="BW33" s="672">
        <v>0</v>
      </c>
      <c r="BX33" s="673">
        <v>0</v>
      </c>
      <c r="BY33" s="673">
        <v>0</v>
      </c>
      <c r="BZ33" s="674">
        <v>0</v>
      </c>
      <c r="CA33" s="732">
        <f>SUMPRODUCT(BW33:BZ33,BQ29:BT29)/BU29</f>
        <v>0</v>
      </c>
      <c r="CB33" s="665"/>
      <c r="CC33" s="672">
        <v>0</v>
      </c>
      <c r="CD33" s="673">
        <v>0</v>
      </c>
      <c r="CE33" s="673">
        <v>0</v>
      </c>
      <c r="CF33" s="674">
        <v>0</v>
      </c>
      <c r="CG33" s="732">
        <f>SUMPRODUCT(CC33:CF33,BW29:BZ29)/CA29</f>
        <v>0</v>
      </c>
      <c r="CH33" s="665"/>
      <c r="CI33" s="672">
        <v>0</v>
      </c>
      <c r="CJ33" s="673">
        <v>0</v>
      </c>
      <c r="CK33" s="673">
        <v>0</v>
      </c>
      <c r="CL33" s="674">
        <v>0</v>
      </c>
      <c r="CM33" s="732">
        <f>SUMPRODUCT(CI33:CL33,CC29:CF29)/CG29</f>
        <v>0</v>
      </c>
    </row>
    <row r="34" spans="1:91" s="25" customFormat="1" ht="11.25" hidden="1" outlineLevel="1" x14ac:dyDescent="0.2">
      <c r="A34" s="695" t="s">
        <v>7</v>
      </c>
      <c r="B34" s="665"/>
      <c r="C34" s="664"/>
      <c r="D34" s="665"/>
      <c r="E34" s="665"/>
      <c r="F34" s="668"/>
      <c r="G34" s="746"/>
      <c r="H34" s="665"/>
      <c r="I34" s="664"/>
      <c r="J34" s="665"/>
      <c r="K34" s="665"/>
      <c r="L34" s="668"/>
      <c r="M34" s="746"/>
      <c r="N34" s="665"/>
      <c r="O34" s="664"/>
      <c r="P34" s="665"/>
      <c r="Q34" s="665"/>
      <c r="R34" s="668"/>
      <c r="S34" s="746"/>
      <c r="T34" s="665"/>
      <c r="U34" s="665"/>
      <c r="V34" s="665"/>
      <c r="W34" s="665"/>
      <c r="X34" s="665"/>
      <c r="Y34" s="665"/>
      <c r="Z34" s="665"/>
      <c r="AA34" s="665"/>
      <c r="AB34" s="665"/>
      <c r="AC34" s="665"/>
      <c r="AD34" s="665"/>
      <c r="AE34" s="665"/>
      <c r="AF34" s="665"/>
      <c r="AG34" s="665"/>
      <c r="AH34" s="665"/>
      <c r="AI34" s="665"/>
      <c r="AJ34" s="665"/>
      <c r="AK34" s="665"/>
      <c r="AL34" s="665"/>
      <c r="AM34" s="665"/>
      <c r="AN34" s="665"/>
      <c r="AO34" s="665"/>
      <c r="AP34" s="665"/>
      <c r="AQ34" s="665"/>
      <c r="AR34" s="665"/>
      <c r="AS34" s="665"/>
      <c r="AT34" s="665"/>
      <c r="AU34" s="665"/>
      <c r="AV34" s="665"/>
      <c r="AW34" s="665"/>
      <c r="AX34" s="665"/>
      <c r="AY34" s="664"/>
      <c r="AZ34" s="665"/>
      <c r="BA34" s="665"/>
      <c r="BB34" s="668"/>
      <c r="BC34" s="746"/>
      <c r="BD34" s="665"/>
      <c r="BE34" s="664"/>
      <c r="BF34" s="665"/>
      <c r="BG34" s="665"/>
      <c r="BH34" s="668"/>
      <c r="BI34" s="746"/>
      <c r="BJ34" s="665"/>
      <c r="BK34" s="724">
        <f>BK32-BK33</f>
        <v>0.152</v>
      </c>
      <c r="BL34" s="704">
        <f t="shared" ref="BL34" si="249">BL32-BL33</f>
        <v>0.11</v>
      </c>
      <c r="BM34" s="704">
        <f t="shared" ref="BM34" si="250">BM32-BM33</f>
        <v>0.124</v>
      </c>
      <c r="BN34" s="697">
        <f t="shared" ref="BN34" si="251">BN32-BN33</f>
        <v>0.11799999999999999</v>
      </c>
      <c r="BO34" s="732">
        <f t="shared" ref="BO34" si="252">BO32-BO33</f>
        <v>0.12577350427350431</v>
      </c>
      <c r="BP34" s="665"/>
      <c r="BQ34" s="717">
        <f>BQ32-BQ33</f>
        <v>0.12</v>
      </c>
      <c r="BR34" s="673">
        <v>0.12</v>
      </c>
      <c r="BS34" s="673">
        <v>0.12</v>
      </c>
      <c r="BT34" s="674">
        <v>0.12</v>
      </c>
      <c r="BU34" s="732">
        <f t="shared" ref="BU34" si="253">BU32-BU33</f>
        <v>0.12000000000000016</v>
      </c>
      <c r="BV34" s="665"/>
      <c r="BW34" s="672">
        <v>0.115</v>
      </c>
      <c r="BX34" s="673">
        <f>BW34</f>
        <v>0.115</v>
      </c>
      <c r="BY34" s="673">
        <f t="shared" ref="BY34:BZ34" si="254">BX34</f>
        <v>0.115</v>
      </c>
      <c r="BZ34" s="674">
        <f t="shared" si="254"/>
        <v>0.115</v>
      </c>
      <c r="CA34" s="732">
        <f t="shared" ref="CA34" si="255">CA32-CA33</f>
        <v>0.11500000000000005</v>
      </c>
      <c r="CB34" s="665"/>
      <c r="CC34" s="672">
        <v>0.115</v>
      </c>
      <c r="CD34" s="673">
        <f>CC34</f>
        <v>0.115</v>
      </c>
      <c r="CE34" s="673">
        <f t="shared" ref="CE34:CF34" si="256">CD34</f>
        <v>0.115</v>
      </c>
      <c r="CF34" s="674">
        <f t="shared" si="256"/>
        <v>0.115</v>
      </c>
      <c r="CG34" s="732">
        <f t="shared" ref="CG34" si="257">CG32-CG33</f>
        <v>0.11499999999999999</v>
      </c>
      <c r="CH34" s="665"/>
      <c r="CI34" s="672">
        <v>0.115</v>
      </c>
      <c r="CJ34" s="673">
        <f>CI34</f>
        <v>0.115</v>
      </c>
      <c r="CK34" s="673">
        <f t="shared" ref="CK34:CL34" si="258">CJ34</f>
        <v>0.115</v>
      </c>
      <c r="CL34" s="674">
        <f t="shared" si="258"/>
        <v>0.115</v>
      </c>
      <c r="CM34" s="732">
        <f t="shared" ref="CM34" si="259">CM32-CM33</f>
        <v>0.11499999999999999</v>
      </c>
    </row>
    <row r="35" spans="1:91" s="25" customFormat="1" ht="11.25" collapsed="1" x14ac:dyDescent="0.2">
      <c r="A35" s="694" t="s">
        <v>11</v>
      </c>
      <c r="B35" s="665"/>
      <c r="C35" s="664"/>
      <c r="D35" s="665"/>
      <c r="E35" s="665"/>
      <c r="F35" s="668"/>
      <c r="G35" s="746"/>
      <c r="H35" s="665"/>
      <c r="I35" s="664"/>
      <c r="J35" s="665"/>
      <c r="K35" s="665"/>
      <c r="L35" s="668"/>
      <c r="M35" s="746"/>
      <c r="N35" s="665"/>
      <c r="O35" s="664"/>
      <c r="P35" s="665"/>
      <c r="Q35" s="665"/>
      <c r="R35" s="668"/>
      <c r="S35" s="746"/>
      <c r="T35" s="665"/>
      <c r="U35" s="665"/>
      <c r="V35" s="665"/>
      <c r="W35" s="665"/>
      <c r="X35" s="665"/>
      <c r="Y35" s="665"/>
      <c r="Z35" s="665"/>
      <c r="AA35" s="665"/>
      <c r="AB35" s="665"/>
      <c r="AC35" s="665"/>
      <c r="AD35" s="665"/>
      <c r="AE35" s="665"/>
      <c r="AF35" s="665"/>
      <c r="AG35" s="665"/>
      <c r="AH35" s="665"/>
      <c r="AI35" s="665"/>
      <c r="AJ35" s="665"/>
      <c r="AK35" s="665"/>
      <c r="AL35" s="665"/>
      <c r="AM35" s="665"/>
      <c r="AN35" s="665"/>
      <c r="AO35" s="665"/>
      <c r="AP35" s="665"/>
      <c r="AQ35" s="665"/>
      <c r="AR35" s="665"/>
      <c r="AS35" s="665"/>
      <c r="AT35" s="665"/>
      <c r="AU35" s="665"/>
      <c r="AV35" s="665"/>
      <c r="AW35" s="665"/>
      <c r="AX35" s="665"/>
      <c r="AY35" s="664"/>
      <c r="AZ35" s="665"/>
      <c r="BA35" s="665"/>
      <c r="BB35" s="668"/>
      <c r="BC35" s="746"/>
      <c r="BD35" s="665"/>
      <c r="BE35" s="718">
        <f>BE25+BE29</f>
        <v>276</v>
      </c>
      <c r="BF35" s="666">
        <f t="shared" ref="BF35:BH35" si="260">BF25+BF29</f>
        <v>279</v>
      </c>
      <c r="BG35" s="666">
        <f t="shared" si="260"/>
        <v>296</v>
      </c>
      <c r="BH35" s="667">
        <f t="shared" si="260"/>
        <v>298</v>
      </c>
      <c r="BI35" s="733">
        <f>SUM(BE35:BH35)</f>
        <v>1149</v>
      </c>
      <c r="BJ35" s="665"/>
      <c r="BK35" s="718">
        <f>BK25+BK29</f>
        <v>302</v>
      </c>
      <c r="BL35" s="666">
        <f t="shared" ref="BL35:BN35" si="261">BL25+BL29</f>
        <v>295</v>
      </c>
      <c r="BM35" s="666">
        <f t="shared" si="261"/>
        <v>317</v>
      </c>
      <c r="BN35" s="667">
        <f t="shared" si="261"/>
        <v>325</v>
      </c>
      <c r="BO35" s="733">
        <f>SUM(BK35:BN35)</f>
        <v>1239</v>
      </c>
      <c r="BP35" s="665"/>
      <c r="BQ35" s="718">
        <f>BQ25+BQ29</f>
        <v>340</v>
      </c>
      <c r="BR35" s="666">
        <f t="shared" ref="BR35:BT35" si="262">BR25+BR29</f>
        <v>333.45529562951987</v>
      </c>
      <c r="BS35" s="666">
        <f t="shared" si="262"/>
        <v>356.6597462521554</v>
      </c>
      <c r="BT35" s="667">
        <f t="shared" si="262"/>
        <v>361.49666608244831</v>
      </c>
      <c r="BU35" s="733">
        <f>SUM(BQ35:BT35)</f>
        <v>1391.6117079641235</v>
      </c>
      <c r="BV35" s="665"/>
      <c r="BW35" s="718">
        <f>BW25+BW29</f>
        <v>373.54174470291082</v>
      </c>
      <c r="BX35" s="666">
        <f t="shared" ref="BX35:BZ35" si="263">BX25+BX29</f>
        <v>361.7932545356141</v>
      </c>
      <c r="BY35" s="666">
        <f t="shared" si="263"/>
        <v>386.82466707115327</v>
      </c>
      <c r="BZ35" s="667">
        <f t="shared" si="263"/>
        <v>391.85813268192987</v>
      </c>
      <c r="CA35" s="733">
        <f>SUM(BW35:BZ35)</f>
        <v>1514.0177989916081</v>
      </c>
      <c r="CB35" s="665"/>
      <c r="CC35" s="718">
        <f>CC25+CC29</f>
        <v>405.24714534374561</v>
      </c>
      <c r="CD35" s="666">
        <f t="shared" ref="CD35:CF35" si="264">CD25+CD29</f>
        <v>392.2787538072098</v>
      </c>
      <c r="CE35" s="666">
        <f t="shared" si="264"/>
        <v>419.80749678433591</v>
      </c>
      <c r="CF35" s="667">
        <f t="shared" si="264"/>
        <v>425.0385289403518</v>
      </c>
      <c r="CG35" s="733">
        <f>SUM(CC35:CF35)</f>
        <v>1642.3719248756431</v>
      </c>
      <c r="CH35" s="665"/>
      <c r="CI35" s="718">
        <f>CI25+CI29</f>
        <v>439.9235530582763</v>
      </c>
      <c r="CJ35" s="666">
        <f t="shared" ref="CJ35:CL35" si="265">CJ25+CJ29</f>
        <v>425.60284199503894</v>
      </c>
      <c r="CK35" s="666">
        <f t="shared" si="265"/>
        <v>455.89323149453458</v>
      </c>
      <c r="CL35" s="667">
        <f t="shared" si="265"/>
        <v>461.32167342849226</v>
      </c>
      <c r="CM35" s="733">
        <f>SUM(CI35:CL35)</f>
        <v>1782.7412999763421</v>
      </c>
    </row>
    <row r="36" spans="1:91" s="25" customFormat="1" ht="11.25" x14ac:dyDescent="0.2">
      <c r="A36" s="695" t="s">
        <v>5</v>
      </c>
      <c r="B36" s="665"/>
      <c r="C36" s="664"/>
      <c r="D36" s="665"/>
      <c r="E36" s="665"/>
      <c r="F36" s="668"/>
      <c r="G36" s="746"/>
      <c r="H36" s="665"/>
      <c r="I36" s="664"/>
      <c r="J36" s="665"/>
      <c r="K36" s="665"/>
      <c r="L36" s="668"/>
      <c r="M36" s="746"/>
      <c r="N36" s="665"/>
      <c r="O36" s="664"/>
      <c r="P36" s="665"/>
      <c r="Q36" s="665"/>
      <c r="R36" s="668"/>
      <c r="S36" s="746"/>
      <c r="T36" s="665"/>
      <c r="U36" s="665"/>
      <c r="V36" s="665"/>
      <c r="W36" s="665"/>
      <c r="X36" s="665"/>
      <c r="Y36" s="665"/>
      <c r="Z36" s="665"/>
      <c r="AA36" s="665"/>
      <c r="AB36" s="665"/>
      <c r="AC36" s="665"/>
      <c r="AD36" s="665"/>
      <c r="AE36" s="665"/>
      <c r="AF36" s="665"/>
      <c r="AG36" s="665"/>
      <c r="AH36" s="665"/>
      <c r="AI36" s="665"/>
      <c r="AJ36" s="665"/>
      <c r="AK36" s="665"/>
      <c r="AL36" s="665"/>
      <c r="AM36" s="665"/>
      <c r="AN36" s="665"/>
      <c r="AO36" s="665"/>
      <c r="AP36" s="665"/>
      <c r="AQ36" s="665"/>
      <c r="AR36" s="665"/>
      <c r="AS36" s="665"/>
      <c r="AT36" s="665"/>
      <c r="AU36" s="665"/>
      <c r="AV36" s="665"/>
      <c r="AW36" s="665"/>
      <c r="AX36" s="665"/>
      <c r="AY36" s="664"/>
      <c r="AZ36" s="665"/>
      <c r="BA36" s="665"/>
      <c r="BB36" s="668"/>
      <c r="BC36" s="746"/>
      <c r="BD36" s="665"/>
      <c r="BE36" s="664"/>
      <c r="BF36" s="665"/>
      <c r="BG36" s="665"/>
      <c r="BH36" s="668"/>
      <c r="BI36" s="746"/>
      <c r="BJ36" s="665"/>
      <c r="BK36" s="717">
        <f>BK35/BE35-1</f>
        <v>9.4202898550724612E-2</v>
      </c>
      <c r="BL36" s="696">
        <f t="shared" ref="BL36" si="266">BL35/BF35-1</f>
        <v>5.7347670250896154E-2</v>
      </c>
      <c r="BM36" s="696">
        <f t="shared" ref="BM36" si="267">BM35/BG35-1</f>
        <v>7.0945945945946054E-2</v>
      </c>
      <c r="BN36" s="697">
        <f t="shared" ref="BN36" si="268">BN35/BH35-1</f>
        <v>9.060402684563762E-2</v>
      </c>
      <c r="BO36" s="732">
        <f t="shared" ref="BO36" si="269">BO35/BI35-1</f>
        <v>7.8328981723237545E-2</v>
      </c>
      <c r="BP36" s="665"/>
      <c r="BQ36" s="717">
        <f>BQ35/BK35-1</f>
        <v>0.1258278145695364</v>
      </c>
      <c r="BR36" s="696">
        <f t="shared" ref="BR36" si="270">BR35/BL35-1</f>
        <v>0.1303569343373554</v>
      </c>
      <c r="BS36" s="696">
        <f t="shared" ref="BS36" si="271">BS35/BM35-1</f>
        <v>0.12510960962825046</v>
      </c>
      <c r="BT36" s="697">
        <f t="shared" ref="BT36" si="272">BT35/BN35-1</f>
        <v>0.11229743409984105</v>
      </c>
      <c r="BU36" s="732">
        <f t="shared" ref="BU36" si="273">BU35/BO35-1</f>
        <v>0.12317329133504717</v>
      </c>
      <c r="BV36" s="665"/>
      <c r="BW36" s="717">
        <f>BW35/BQ35-1</f>
        <v>9.865219030267891E-2</v>
      </c>
      <c r="BX36" s="696">
        <f t="shared" ref="BX36" si="274">BX35/BR35-1</f>
        <v>8.498278263236414E-2</v>
      </c>
      <c r="BY36" s="696">
        <f t="shared" ref="BY36" si="275">BY35/BS35-1</f>
        <v>8.4576185386706193E-2</v>
      </c>
      <c r="BZ36" s="697">
        <f t="shared" ref="BZ36" si="276">BZ35/BT35-1</f>
        <v>8.3988234050703214E-2</v>
      </c>
      <c r="CA36" s="732">
        <f t="shared" ref="CA36" si="277">CA35/BU35-1</f>
        <v>8.7959946245752763E-2</v>
      </c>
      <c r="CB36" s="665"/>
      <c r="CC36" s="717">
        <f>CC35/BW35-1</f>
        <v>8.4877797703844404E-2</v>
      </c>
      <c r="CD36" s="696">
        <f t="shared" ref="CD36" si="278">CD35/BX35-1</f>
        <v>8.4262210224803402E-2</v>
      </c>
      <c r="CE36" s="696">
        <f t="shared" ref="CE36" si="279">CE35/BY35-1</f>
        <v>8.5265580302601895E-2</v>
      </c>
      <c r="CF36" s="697">
        <f t="shared" ref="CF36" si="280">CF35/BZ35-1</f>
        <v>8.4674512256083023E-2</v>
      </c>
      <c r="CG36" s="732">
        <f t="shared" ref="CG36" si="281">CG35/CA35-1</f>
        <v>8.4777157817777171E-2</v>
      </c>
      <c r="CH36" s="665"/>
      <c r="CI36" s="717">
        <f>CI35/CC35-1</f>
        <v>8.5568542833575956E-2</v>
      </c>
      <c r="CJ36" s="696">
        <f t="shared" ref="CJ36" si="282">CJ35/CD35-1</f>
        <v>8.4950020525982106E-2</v>
      </c>
      <c r="CK36" s="696">
        <f t="shared" ref="CK36" si="283">CK35/CE35-1</f>
        <v>8.595781396618718E-2</v>
      </c>
      <c r="CL36" s="697">
        <f t="shared" ref="CL36" si="284">CL35/CF35-1</f>
        <v>8.5364365857835578E-2</v>
      </c>
      <c r="CM36" s="732">
        <f t="shared" ref="CM36" si="285">CM35/CG35-1</f>
        <v>8.5467471146237095E-2</v>
      </c>
    </row>
    <row r="37" spans="1:91" s="25" customFormat="1" ht="11.25" x14ac:dyDescent="0.2">
      <c r="A37" s="695" t="s">
        <v>9</v>
      </c>
      <c r="B37" s="665"/>
      <c r="C37" s="664"/>
      <c r="D37" s="665"/>
      <c r="E37" s="665"/>
      <c r="F37" s="668"/>
      <c r="G37" s="746"/>
      <c r="H37" s="665"/>
      <c r="I37" s="664"/>
      <c r="J37" s="665"/>
      <c r="K37" s="665"/>
      <c r="L37" s="668"/>
      <c r="M37" s="746"/>
      <c r="N37" s="665"/>
      <c r="O37" s="664"/>
      <c r="P37" s="665"/>
      <c r="Q37" s="665"/>
      <c r="R37" s="668"/>
      <c r="S37" s="746"/>
      <c r="T37" s="665"/>
      <c r="U37" s="665"/>
      <c r="V37" s="665"/>
      <c r="W37" s="665"/>
      <c r="X37" s="665"/>
      <c r="Y37" s="665"/>
      <c r="Z37" s="665"/>
      <c r="AA37" s="665"/>
      <c r="AB37" s="665"/>
      <c r="AC37" s="665"/>
      <c r="AD37" s="665"/>
      <c r="AE37" s="665"/>
      <c r="AF37" s="665"/>
      <c r="AG37" s="665"/>
      <c r="AH37" s="665"/>
      <c r="AI37" s="665"/>
      <c r="AJ37" s="665"/>
      <c r="AK37" s="665"/>
      <c r="AL37" s="665"/>
      <c r="AM37" s="665"/>
      <c r="AN37" s="665"/>
      <c r="AO37" s="665"/>
      <c r="AP37" s="665"/>
      <c r="AQ37" s="665"/>
      <c r="AR37" s="665"/>
      <c r="AS37" s="665"/>
      <c r="AT37" s="665"/>
      <c r="AU37" s="665"/>
      <c r="AV37" s="665"/>
      <c r="AW37" s="665"/>
      <c r="AX37" s="665"/>
      <c r="AY37" s="664"/>
      <c r="AZ37" s="665"/>
      <c r="BA37" s="665"/>
      <c r="BB37" s="668"/>
      <c r="BC37" s="746"/>
      <c r="BD37" s="665"/>
      <c r="BE37" s="664"/>
      <c r="BF37" s="665"/>
      <c r="BG37" s="665"/>
      <c r="BH37" s="668"/>
      <c r="BI37" s="746"/>
      <c r="BJ37" s="665"/>
      <c r="BK37" s="717">
        <f>BK31*BE29/BE35</f>
        <v>-3.159420289855038E-3</v>
      </c>
      <c r="BL37" s="696">
        <f t="shared" ref="BL37" si="286">BL31*BF29/BF35</f>
        <v>-7.52688172043014E-3</v>
      </c>
      <c r="BM37" s="696">
        <f t="shared" ref="BM37" si="287">BM31*BG29/BG35</f>
        <v>-1.1405405405405441E-2</v>
      </c>
      <c r="BN37" s="697">
        <f t="shared" ref="BN37" si="288">BN31*BH29/BH35</f>
        <v>1.6308724832215238E-3</v>
      </c>
      <c r="BO37" s="732">
        <f>SUMPRODUCT(BK37:BN37,BE35:BH35)/BI35</f>
        <v>-5.1018276762402051E-3</v>
      </c>
      <c r="BP37" s="665"/>
      <c r="BQ37" s="717">
        <f>BQ31*BK29/BK35</f>
        <v>1.576158940397349E-2</v>
      </c>
      <c r="BR37" s="696">
        <f t="shared" ref="BR37" si="289">BR31*BL29/BL35</f>
        <v>2.815354450684698E-2</v>
      </c>
      <c r="BS37" s="696">
        <f t="shared" ref="BS37" si="290">BS31*BM29/BM35</f>
        <v>2.2238947167682533E-2</v>
      </c>
      <c r="BT37" s="697">
        <f t="shared" ref="BT37" si="291">BT31*BN29/BN35</f>
        <v>9.5589725613792649E-3</v>
      </c>
      <c r="BU37" s="732">
        <f>SUMPRODUCT(BQ37:BT37,BK35:BN35)/BO35</f>
        <v>1.8742298598969712E-2</v>
      </c>
      <c r="BV37" s="665"/>
      <c r="BW37" s="717">
        <f>BW31*BQ29/BQ35</f>
        <v>1.487277853797303E-2</v>
      </c>
      <c r="BX37" s="696">
        <f t="shared" ref="BX37" si="292">BX31*BR29/BR35</f>
        <v>1.4450210118563548E-3</v>
      </c>
      <c r="BY37" s="696">
        <f t="shared" ref="BY37" si="293">BY31*BS29/BS35</f>
        <v>0</v>
      </c>
      <c r="BZ37" s="697">
        <f t="shared" ref="BZ37" si="294">BZ31*BT29/BT35</f>
        <v>0</v>
      </c>
      <c r="CA37" s="732">
        <f>SUMPRODUCT(BW37:BZ37,BQ35:BT35)/BU35</f>
        <v>3.9799856381727474E-3</v>
      </c>
      <c r="CB37" s="665"/>
      <c r="CC37" s="717">
        <f>CC31*BW29/BW35</f>
        <v>0</v>
      </c>
      <c r="CD37" s="696">
        <f t="shared" ref="CD37" si="295">CD31*BX29/BX35</f>
        <v>0</v>
      </c>
      <c r="CE37" s="696">
        <f t="shared" ref="CE37" si="296">CE31*BY29/BY35</f>
        <v>0</v>
      </c>
      <c r="CF37" s="697">
        <f t="shared" ref="CF37" si="297">CF31*BZ29/BZ35</f>
        <v>0</v>
      </c>
      <c r="CG37" s="732">
        <f>SUMPRODUCT(CC37:CF37,BW35:BZ35)/CA35</f>
        <v>0</v>
      </c>
      <c r="CH37" s="665"/>
      <c r="CI37" s="717">
        <f>CI31*CC29/CC35</f>
        <v>0</v>
      </c>
      <c r="CJ37" s="696">
        <f t="shared" ref="CJ37" si="298">CJ31*CD29/CD35</f>
        <v>0</v>
      </c>
      <c r="CK37" s="696">
        <f t="shared" ref="CK37" si="299">CK31*CE29/CE35</f>
        <v>0</v>
      </c>
      <c r="CL37" s="697">
        <f t="shared" ref="CL37" si="300">CL31*CF29/CF35</f>
        <v>0</v>
      </c>
      <c r="CM37" s="732">
        <f>SUMPRODUCT(CI37:CL37,CC35:CF35)/CG35</f>
        <v>0</v>
      </c>
    </row>
    <row r="38" spans="1:91" s="25" customFormat="1" ht="11.25" x14ac:dyDescent="0.2">
      <c r="A38" s="695" t="s">
        <v>10</v>
      </c>
      <c r="B38" s="665"/>
      <c r="C38" s="664"/>
      <c r="D38" s="665"/>
      <c r="E38" s="665"/>
      <c r="F38" s="668"/>
      <c r="G38" s="746"/>
      <c r="H38" s="665"/>
      <c r="I38" s="664"/>
      <c r="J38" s="665"/>
      <c r="K38" s="665"/>
      <c r="L38" s="668"/>
      <c r="M38" s="746"/>
      <c r="N38" s="665"/>
      <c r="O38" s="664"/>
      <c r="P38" s="665"/>
      <c r="Q38" s="665"/>
      <c r="R38" s="668"/>
      <c r="S38" s="746"/>
      <c r="T38" s="665"/>
      <c r="U38" s="665"/>
      <c r="V38" s="665"/>
      <c r="W38" s="665"/>
      <c r="X38" s="665"/>
      <c r="Y38" s="665"/>
      <c r="Z38" s="665"/>
      <c r="AA38" s="665"/>
      <c r="AB38" s="665"/>
      <c r="AC38" s="665"/>
      <c r="AD38" s="665"/>
      <c r="AE38" s="665"/>
      <c r="AF38" s="665"/>
      <c r="AG38" s="665"/>
      <c r="AH38" s="665"/>
      <c r="AI38" s="665"/>
      <c r="AJ38" s="665"/>
      <c r="AK38" s="665"/>
      <c r="AL38" s="665"/>
      <c r="AM38" s="665"/>
      <c r="AN38" s="665"/>
      <c r="AO38" s="665"/>
      <c r="AP38" s="665"/>
      <c r="AQ38" s="665"/>
      <c r="AR38" s="665"/>
      <c r="AS38" s="665"/>
      <c r="AT38" s="665"/>
      <c r="AU38" s="665"/>
      <c r="AV38" s="665"/>
      <c r="AW38" s="665"/>
      <c r="AX38" s="665"/>
      <c r="AY38" s="664"/>
      <c r="AZ38" s="665"/>
      <c r="BA38" s="665"/>
      <c r="BB38" s="668"/>
      <c r="BC38" s="746"/>
      <c r="BD38" s="665"/>
      <c r="BE38" s="664"/>
      <c r="BF38" s="665"/>
      <c r="BG38" s="665"/>
      <c r="BH38" s="668"/>
      <c r="BI38" s="746"/>
      <c r="BJ38" s="665"/>
      <c r="BK38" s="717">
        <f>BK36-BK37</f>
        <v>9.7362318840579651E-2</v>
      </c>
      <c r="BL38" s="696">
        <f t="shared" ref="BL38" si="301">BL36-BL37</f>
        <v>6.48745519713263E-2</v>
      </c>
      <c r="BM38" s="696">
        <f t="shared" ref="BM38" si="302">BM36-BM37</f>
        <v>8.2351351351351493E-2</v>
      </c>
      <c r="BN38" s="697">
        <f t="shared" ref="BN38" si="303">BN36-BN37</f>
        <v>8.8973154362416096E-2</v>
      </c>
      <c r="BO38" s="732">
        <f t="shared" ref="BO38" si="304">BO36-BO37</f>
        <v>8.3430809399477751E-2</v>
      </c>
      <c r="BP38" s="665"/>
      <c r="BQ38" s="717">
        <f>BQ36-BQ37</f>
        <v>0.11006622516556291</v>
      </c>
      <c r="BR38" s="696">
        <f t="shared" ref="BR38:BU38" si="305">BR36-BR37</f>
        <v>0.10220338983050842</v>
      </c>
      <c r="BS38" s="696">
        <f t="shared" si="305"/>
        <v>0.10287066246056793</v>
      </c>
      <c r="BT38" s="697">
        <f t="shared" si="305"/>
        <v>0.10273846153846179</v>
      </c>
      <c r="BU38" s="732">
        <f t="shared" si="305"/>
        <v>0.10443099273607746</v>
      </c>
      <c r="BV38" s="665"/>
      <c r="BW38" s="717">
        <f>BW36-BW37</f>
        <v>8.377941176470588E-2</v>
      </c>
      <c r="BX38" s="696">
        <f t="shared" ref="BX38:CA38" si="306">BX36-BX37</f>
        <v>8.3537761620507786E-2</v>
      </c>
      <c r="BY38" s="696">
        <f t="shared" si="306"/>
        <v>8.4576185386706193E-2</v>
      </c>
      <c r="BZ38" s="697">
        <f t="shared" si="306"/>
        <v>8.3988234050703214E-2</v>
      </c>
      <c r="CA38" s="732">
        <f t="shared" si="306"/>
        <v>8.397996060758002E-2</v>
      </c>
      <c r="CB38" s="665"/>
      <c r="CC38" s="717">
        <f>CC36-CC37</f>
        <v>8.4877797703844404E-2</v>
      </c>
      <c r="CD38" s="696">
        <f t="shared" ref="CD38:CG38" si="307">CD36-CD37</f>
        <v>8.4262210224803402E-2</v>
      </c>
      <c r="CE38" s="696">
        <f t="shared" si="307"/>
        <v>8.5265580302601895E-2</v>
      </c>
      <c r="CF38" s="697">
        <f t="shared" si="307"/>
        <v>8.4674512256083023E-2</v>
      </c>
      <c r="CG38" s="732">
        <f t="shared" si="307"/>
        <v>8.4777157817777171E-2</v>
      </c>
      <c r="CH38" s="665"/>
      <c r="CI38" s="717">
        <f>CI36-CI37</f>
        <v>8.5568542833575956E-2</v>
      </c>
      <c r="CJ38" s="696">
        <f t="shared" ref="CJ38:CM38" si="308">CJ36-CJ37</f>
        <v>8.4950020525982106E-2</v>
      </c>
      <c r="CK38" s="696">
        <f t="shared" si="308"/>
        <v>8.595781396618718E-2</v>
      </c>
      <c r="CL38" s="697">
        <f t="shared" si="308"/>
        <v>8.5364365857835578E-2</v>
      </c>
      <c r="CM38" s="732">
        <f t="shared" si="308"/>
        <v>8.5467471146237095E-2</v>
      </c>
    </row>
    <row r="39" spans="1:91" s="25" customFormat="1" ht="11.25" x14ac:dyDescent="0.2">
      <c r="A39" s="695" t="s">
        <v>6</v>
      </c>
      <c r="B39" s="665"/>
      <c r="C39" s="664"/>
      <c r="D39" s="665"/>
      <c r="E39" s="665"/>
      <c r="F39" s="668"/>
      <c r="G39" s="746"/>
      <c r="H39" s="665"/>
      <c r="I39" s="664"/>
      <c r="J39" s="665"/>
      <c r="K39" s="665"/>
      <c r="L39" s="668"/>
      <c r="M39" s="746"/>
      <c r="N39" s="665"/>
      <c r="O39" s="664"/>
      <c r="P39" s="665"/>
      <c r="Q39" s="665"/>
      <c r="R39" s="668"/>
      <c r="S39" s="746"/>
      <c r="T39" s="665"/>
      <c r="U39" s="665"/>
      <c r="V39" s="665"/>
      <c r="W39" s="665"/>
      <c r="X39" s="665"/>
      <c r="Y39" s="665"/>
      <c r="Z39" s="665"/>
      <c r="AA39" s="665"/>
      <c r="AB39" s="665"/>
      <c r="AC39" s="665"/>
      <c r="AD39" s="665"/>
      <c r="AE39" s="665"/>
      <c r="AF39" s="665"/>
      <c r="AG39" s="665"/>
      <c r="AH39" s="665"/>
      <c r="AI39" s="665"/>
      <c r="AJ39" s="665"/>
      <c r="AK39" s="665"/>
      <c r="AL39" s="665"/>
      <c r="AM39" s="665"/>
      <c r="AN39" s="665"/>
      <c r="AO39" s="665"/>
      <c r="AP39" s="665"/>
      <c r="AQ39" s="665"/>
      <c r="AR39" s="665"/>
      <c r="AS39" s="665"/>
      <c r="AT39" s="665"/>
      <c r="AU39" s="665"/>
      <c r="AV39" s="665"/>
      <c r="AW39" s="665"/>
      <c r="AX39" s="665"/>
      <c r="AY39" s="664"/>
      <c r="AZ39" s="665"/>
      <c r="BA39" s="665"/>
      <c r="BB39" s="668"/>
      <c r="BC39" s="746"/>
      <c r="BD39" s="665"/>
      <c r="BE39" s="664"/>
      <c r="BF39" s="665"/>
      <c r="BG39" s="665"/>
      <c r="BH39" s="668"/>
      <c r="BI39" s="746"/>
      <c r="BJ39" s="665"/>
      <c r="BK39" s="717">
        <f>(BK27*BE25+BK33*BE29)/BE35</f>
        <v>0</v>
      </c>
      <c r="BL39" s="696">
        <f t="shared" ref="BL39" si="309">(BL27*BF25+BL33*BF29)/BF35</f>
        <v>0</v>
      </c>
      <c r="BM39" s="696">
        <f t="shared" ref="BM39" si="310">(BM27*BG25+BM33*BG29)/BG35</f>
        <v>0</v>
      </c>
      <c r="BN39" s="697">
        <f t="shared" ref="BN39" si="311">(BN27*BH25+BN33*BH29)/BH35</f>
        <v>0</v>
      </c>
      <c r="BO39" s="732">
        <f>SUMPRODUCT(BK39:BN39,BE35:BH35)/BI35</f>
        <v>0</v>
      </c>
      <c r="BP39" s="665"/>
      <c r="BQ39" s="717">
        <f>(BQ27*BK25+BQ33*BK29)/BK35</f>
        <v>0</v>
      </c>
      <c r="BR39" s="696">
        <f t="shared" ref="BR39" si="312">(BR27*BL25+BR33*BL29)/BL35</f>
        <v>0</v>
      </c>
      <c r="BS39" s="696">
        <f t="shared" ref="BS39" si="313">(BS27*BM25+BS33*BM29)/BM35</f>
        <v>0</v>
      </c>
      <c r="BT39" s="697">
        <f t="shared" ref="BT39" si="314">(BT27*BN25+BT33*BN29)/BN35</f>
        <v>0</v>
      </c>
      <c r="BU39" s="732">
        <f>SUMPRODUCT(BQ39:BT39,BK35:BN35)/BO35</f>
        <v>0</v>
      </c>
      <c r="BV39" s="665"/>
      <c r="BW39" s="717">
        <f t="shared" ref="BW39" si="315">(BW27*BQ25+BW33*BQ29)/BQ35</f>
        <v>0</v>
      </c>
      <c r="BX39" s="696">
        <f t="shared" ref="BX39" si="316">(BX27*BR25+BX33*BR29)/BR35</f>
        <v>0</v>
      </c>
      <c r="BY39" s="696">
        <f t="shared" ref="BY39" si="317">(BY27*BS25+BY33*BS29)/BS35</f>
        <v>0</v>
      </c>
      <c r="BZ39" s="697">
        <f t="shared" ref="BZ39" si="318">(BZ27*BT25+BZ33*BT29)/BT35</f>
        <v>0</v>
      </c>
      <c r="CA39" s="732">
        <f>SUMPRODUCT(BW39:BZ39,BQ35:BT35)/BU35</f>
        <v>0</v>
      </c>
      <c r="CB39" s="665"/>
      <c r="CC39" s="717">
        <f t="shared" ref="CC39" si="319">(CC27*BW25+CC33*BW29)/BW35</f>
        <v>0</v>
      </c>
      <c r="CD39" s="696">
        <f t="shared" ref="CD39" si="320">(CD27*BX25+CD33*BX29)/BX35</f>
        <v>0</v>
      </c>
      <c r="CE39" s="696">
        <f t="shared" ref="CE39" si="321">(CE27*BY25+CE33*BY29)/BY35</f>
        <v>0</v>
      </c>
      <c r="CF39" s="697">
        <f t="shared" ref="CF39" si="322">(CF27*BZ25+CF33*BZ29)/BZ35</f>
        <v>0</v>
      </c>
      <c r="CG39" s="732">
        <f>SUMPRODUCT(CC39:CF39,BW35:BZ35)/CA35</f>
        <v>0</v>
      </c>
      <c r="CH39" s="665"/>
      <c r="CI39" s="717">
        <f t="shared" ref="CI39" si="323">(CI27*CC25+CI33*CC29)/CC35</f>
        <v>0</v>
      </c>
      <c r="CJ39" s="696">
        <f t="shared" ref="CJ39" si="324">(CJ27*CD25+CJ33*CD29)/CD35</f>
        <v>0</v>
      </c>
      <c r="CK39" s="696">
        <f t="shared" ref="CK39" si="325">(CK27*CE25+CK33*CE29)/CE35</f>
        <v>0</v>
      </c>
      <c r="CL39" s="697">
        <f t="shared" ref="CL39" si="326">(CL27*CF25+CL33*CF29)/CF35</f>
        <v>0</v>
      </c>
      <c r="CM39" s="732">
        <f>SUMPRODUCT(CI39:CL39,CC35:CF35)/CG35</f>
        <v>0</v>
      </c>
    </row>
    <row r="40" spans="1:91" s="25" customFormat="1" ht="11.25" x14ac:dyDescent="0.2">
      <c r="A40" s="695" t="s">
        <v>7</v>
      </c>
      <c r="B40" s="665"/>
      <c r="C40" s="664"/>
      <c r="D40" s="665"/>
      <c r="E40" s="665"/>
      <c r="F40" s="668"/>
      <c r="G40" s="746"/>
      <c r="H40" s="665"/>
      <c r="I40" s="664"/>
      <c r="J40" s="665"/>
      <c r="K40" s="665"/>
      <c r="L40" s="668"/>
      <c r="M40" s="746"/>
      <c r="N40" s="665"/>
      <c r="O40" s="664"/>
      <c r="P40" s="665"/>
      <c r="Q40" s="665"/>
      <c r="R40" s="668"/>
      <c r="S40" s="746"/>
      <c r="T40" s="665"/>
      <c r="U40" s="665"/>
      <c r="V40" s="665"/>
      <c r="W40" s="665"/>
      <c r="X40" s="665"/>
      <c r="Y40" s="665"/>
      <c r="Z40" s="665"/>
      <c r="AA40" s="665"/>
      <c r="AB40" s="665"/>
      <c r="AC40" s="665"/>
      <c r="AD40" s="665"/>
      <c r="AE40" s="665"/>
      <c r="AF40" s="665"/>
      <c r="AG40" s="665"/>
      <c r="AH40" s="665"/>
      <c r="AI40" s="665"/>
      <c r="AJ40" s="665"/>
      <c r="AK40" s="665"/>
      <c r="AL40" s="665"/>
      <c r="AM40" s="665"/>
      <c r="AN40" s="665"/>
      <c r="AO40" s="665"/>
      <c r="AP40" s="665"/>
      <c r="AQ40" s="665"/>
      <c r="AR40" s="665"/>
      <c r="AS40" s="665"/>
      <c r="AT40" s="665"/>
      <c r="AU40" s="665"/>
      <c r="AV40" s="665"/>
      <c r="AW40" s="665"/>
      <c r="AX40" s="665"/>
      <c r="AY40" s="664"/>
      <c r="AZ40" s="665"/>
      <c r="BA40" s="665"/>
      <c r="BB40" s="668"/>
      <c r="BC40" s="746"/>
      <c r="BD40" s="665"/>
      <c r="BE40" s="664"/>
      <c r="BF40" s="665"/>
      <c r="BG40" s="665"/>
      <c r="BH40" s="668"/>
      <c r="BI40" s="746"/>
      <c r="BJ40" s="665"/>
      <c r="BK40" s="717">
        <f>BK38-BK39</f>
        <v>9.7362318840579651E-2</v>
      </c>
      <c r="BL40" s="696">
        <f t="shared" ref="BL40" si="327">BL38-BL39</f>
        <v>6.48745519713263E-2</v>
      </c>
      <c r="BM40" s="696">
        <f t="shared" ref="BM40" si="328">BM38-BM39</f>
        <v>8.2351351351351493E-2</v>
      </c>
      <c r="BN40" s="697">
        <f t="shared" ref="BN40" si="329">BN38-BN39</f>
        <v>8.8973154362416096E-2</v>
      </c>
      <c r="BO40" s="732">
        <f t="shared" ref="BO40" si="330">BO38-BO39</f>
        <v>8.3430809399477751E-2</v>
      </c>
      <c r="BP40" s="665"/>
      <c r="BQ40" s="717">
        <f>BQ38-BQ39</f>
        <v>0.11006622516556291</v>
      </c>
      <c r="BR40" s="696">
        <f t="shared" ref="BR40:BU40" si="331">BR38-BR39</f>
        <v>0.10220338983050842</v>
      </c>
      <c r="BS40" s="696">
        <f t="shared" si="331"/>
        <v>0.10287066246056793</v>
      </c>
      <c r="BT40" s="697">
        <f t="shared" si="331"/>
        <v>0.10273846153846179</v>
      </c>
      <c r="BU40" s="732">
        <f t="shared" si="331"/>
        <v>0.10443099273607746</v>
      </c>
      <c r="BV40" s="665"/>
      <c r="BW40" s="717">
        <f>BW38-BW39</f>
        <v>8.377941176470588E-2</v>
      </c>
      <c r="BX40" s="696">
        <f t="shared" ref="BX40:CA40" si="332">BX38-BX39</f>
        <v>8.3537761620507786E-2</v>
      </c>
      <c r="BY40" s="696">
        <f t="shared" si="332"/>
        <v>8.4576185386706193E-2</v>
      </c>
      <c r="BZ40" s="697">
        <f t="shared" si="332"/>
        <v>8.3988234050703214E-2</v>
      </c>
      <c r="CA40" s="732">
        <f t="shared" si="332"/>
        <v>8.397996060758002E-2</v>
      </c>
      <c r="CB40" s="665"/>
      <c r="CC40" s="717">
        <f>CC38-CC39</f>
        <v>8.4877797703844404E-2</v>
      </c>
      <c r="CD40" s="696">
        <f t="shared" ref="CD40:CG40" si="333">CD38-CD39</f>
        <v>8.4262210224803402E-2</v>
      </c>
      <c r="CE40" s="696">
        <f t="shared" si="333"/>
        <v>8.5265580302601895E-2</v>
      </c>
      <c r="CF40" s="697">
        <f t="shared" si="333"/>
        <v>8.4674512256083023E-2</v>
      </c>
      <c r="CG40" s="732">
        <f t="shared" si="333"/>
        <v>8.4777157817777171E-2</v>
      </c>
      <c r="CH40" s="665"/>
      <c r="CI40" s="717">
        <f>CI38-CI39</f>
        <v>8.5568542833575956E-2</v>
      </c>
      <c r="CJ40" s="696">
        <f t="shared" ref="CJ40:CM40" si="334">CJ38-CJ39</f>
        <v>8.4950020525982106E-2</v>
      </c>
      <c r="CK40" s="696">
        <f t="shared" si="334"/>
        <v>8.595781396618718E-2</v>
      </c>
      <c r="CL40" s="697">
        <f t="shared" si="334"/>
        <v>8.5364365857835578E-2</v>
      </c>
      <c r="CM40" s="732">
        <f t="shared" si="334"/>
        <v>8.5467471146237095E-2</v>
      </c>
    </row>
    <row r="41" spans="1:91" s="25" customFormat="1" ht="11.25" x14ac:dyDescent="0.2">
      <c r="A41" s="699" t="s">
        <v>22</v>
      </c>
      <c r="B41" s="700"/>
      <c r="C41" s="719"/>
      <c r="D41" s="700"/>
      <c r="E41" s="700"/>
      <c r="F41" s="701"/>
      <c r="G41" s="734"/>
      <c r="H41" s="700"/>
      <c r="I41" s="719"/>
      <c r="J41" s="700"/>
      <c r="K41" s="700"/>
      <c r="L41" s="701"/>
      <c r="M41" s="734"/>
      <c r="N41" s="700"/>
      <c r="O41" s="719"/>
      <c r="P41" s="700"/>
      <c r="Q41" s="700"/>
      <c r="R41" s="701"/>
      <c r="S41" s="734"/>
      <c r="T41" s="700"/>
      <c r="U41" s="700"/>
      <c r="V41" s="700"/>
      <c r="W41" s="700"/>
      <c r="X41" s="700"/>
      <c r="Y41" s="700"/>
      <c r="Z41" s="700"/>
      <c r="AA41" s="700"/>
      <c r="AB41" s="700"/>
      <c r="AC41" s="700"/>
      <c r="AD41" s="700"/>
      <c r="AE41" s="700"/>
      <c r="AF41" s="700"/>
      <c r="AG41" s="700"/>
      <c r="AH41" s="700"/>
      <c r="AI41" s="700"/>
      <c r="AJ41" s="700"/>
      <c r="AK41" s="700"/>
      <c r="AL41" s="700"/>
      <c r="AM41" s="700"/>
      <c r="AN41" s="700"/>
      <c r="AO41" s="700"/>
      <c r="AP41" s="700"/>
      <c r="AQ41" s="700"/>
      <c r="AR41" s="700"/>
      <c r="AS41" s="700"/>
      <c r="AT41" s="700"/>
      <c r="AU41" s="700"/>
      <c r="AV41" s="700"/>
      <c r="AW41" s="700"/>
      <c r="AX41" s="700"/>
      <c r="AY41" s="719"/>
      <c r="AZ41" s="700"/>
      <c r="BA41" s="700"/>
      <c r="BB41" s="701"/>
      <c r="BC41" s="734"/>
      <c r="BD41" s="700"/>
      <c r="BE41" s="719"/>
      <c r="BF41" s="700"/>
      <c r="BG41" s="700"/>
      <c r="BH41" s="701"/>
      <c r="BI41" s="734"/>
      <c r="BJ41" s="700"/>
      <c r="BK41" s="719"/>
      <c r="BL41" s="700"/>
      <c r="BM41" s="700"/>
      <c r="BN41" s="701"/>
      <c r="BO41" s="734"/>
      <c r="BP41" s="700"/>
      <c r="BQ41" s="719"/>
      <c r="BR41" s="700"/>
      <c r="BS41" s="700"/>
      <c r="BT41" s="701"/>
      <c r="BU41" s="734"/>
      <c r="BV41" s="700"/>
      <c r="BW41" s="719"/>
      <c r="BX41" s="700"/>
      <c r="BY41" s="700"/>
      <c r="BZ41" s="701"/>
      <c r="CA41" s="734"/>
      <c r="CB41" s="700"/>
      <c r="CC41" s="719"/>
      <c r="CD41" s="700"/>
      <c r="CE41" s="700"/>
      <c r="CF41" s="701"/>
      <c r="CG41" s="734"/>
      <c r="CH41" s="700"/>
      <c r="CI41" s="719"/>
      <c r="CJ41" s="700"/>
      <c r="CK41" s="700"/>
      <c r="CL41" s="701"/>
      <c r="CM41" s="734"/>
    </row>
    <row r="42" spans="1:91" s="25" customFormat="1" ht="11.25" hidden="1" outlineLevel="1" x14ac:dyDescent="0.2">
      <c r="A42" s="694" t="s">
        <v>4</v>
      </c>
      <c r="B42" s="665"/>
      <c r="C42" s="664"/>
      <c r="D42" s="665"/>
      <c r="E42" s="665"/>
      <c r="F42" s="668"/>
      <c r="G42" s="746"/>
      <c r="H42" s="665"/>
      <c r="I42" s="664"/>
      <c r="J42" s="665"/>
      <c r="K42" s="665"/>
      <c r="L42" s="668"/>
      <c r="M42" s="746"/>
      <c r="N42" s="665"/>
      <c r="O42" s="664"/>
      <c r="P42" s="665"/>
      <c r="Q42" s="665"/>
      <c r="R42" s="668"/>
      <c r="S42" s="746"/>
      <c r="T42" s="665"/>
      <c r="U42" s="665"/>
      <c r="V42" s="665"/>
      <c r="W42" s="665"/>
      <c r="X42" s="665"/>
      <c r="Y42" s="665"/>
      <c r="Z42" s="665"/>
      <c r="AA42" s="665"/>
      <c r="AB42" s="665"/>
      <c r="AC42" s="665"/>
      <c r="AD42" s="665"/>
      <c r="AE42" s="665"/>
      <c r="AF42" s="665"/>
      <c r="AG42" s="665"/>
      <c r="AH42" s="665"/>
      <c r="AI42" s="665"/>
      <c r="AJ42" s="665"/>
      <c r="AK42" s="665"/>
      <c r="AL42" s="665"/>
      <c r="AM42" s="665"/>
      <c r="AN42" s="665"/>
      <c r="AO42" s="665"/>
      <c r="AP42" s="665"/>
      <c r="AQ42" s="665"/>
      <c r="AR42" s="665"/>
      <c r="AS42" s="665"/>
      <c r="AT42" s="665"/>
      <c r="AU42" s="665"/>
      <c r="AV42" s="665"/>
      <c r="AW42" s="665"/>
      <c r="AX42" s="665"/>
      <c r="AY42" s="664"/>
      <c r="AZ42" s="665"/>
      <c r="BA42" s="665"/>
      <c r="BB42" s="668"/>
      <c r="BC42" s="746"/>
      <c r="BD42" s="665"/>
      <c r="BE42" s="669">
        <v>149</v>
      </c>
      <c r="BF42" s="657">
        <v>160</v>
      </c>
      <c r="BG42" s="657">
        <v>162</v>
      </c>
      <c r="BH42" s="676">
        <v>165</v>
      </c>
      <c r="BI42" s="678">
        <f>SUM(BE42:BH42)</f>
        <v>636</v>
      </c>
      <c r="BJ42" s="665"/>
      <c r="BK42" s="669">
        <v>174</v>
      </c>
      <c r="BL42" s="657">
        <v>169</v>
      </c>
      <c r="BM42" s="657">
        <v>167</v>
      </c>
      <c r="BN42" s="676">
        <v>172</v>
      </c>
      <c r="BO42" s="758">
        <f>SUM(BK42:BN42)</f>
        <v>682</v>
      </c>
      <c r="BP42" s="665"/>
      <c r="BQ42" s="669">
        <v>177</v>
      </c>
      <c r="BR42" s="666">
        <f t="shared" ref="BR42" si="335">BL42*(1+BR43)</f>
        <v>174.91499999999999</v>
      </c>
      <c r="BS42" s="666">
        <f t="shared" ref="BS42" si="336">BM42*(1+BS43)</f>
        <v>171.17499999999998</v>
      </c>
      <c r="BT42" s="667">
        <f t="shared" ref="BT42" si="337">BN42*(1+BT43)</f>
        <v>174.57999999999998</v>
      </c>
      <c r="BU42" s="758">
        <f>SUM(BQ42:BT42)</f>
        <v>697.66999999999985</v>
      </c>
      <c r="BV42" s="665"/>
      <c r="BW42" s="718">
        <f>BQ42*(1+BW43)</f>
        <v>181.42499999999998</v>
      </c>
      <c r="BX42" s="666">
        <f t="shared" ref="BX42" si="338">BR42*(1+BX43)</f>
        <v>179.28787499999999</v>
      </c>
      <c r="BY42" s="666">
        <f t="shared" ref="BY42" si="339">BS42*(1+BY43)</f>
        <v>175.45437499999997</v>
      </c>
      <c r="BZ42" s="667">
        <f t="shared" ref="BZ42" si="340">BT42*(1+BZ43)</f>
        <v>178.94449999999998</v>
      </c>
      <c r="CA42" s="758">
        <f>SUM(BW42:BZ42)</f>
        <v>715.11174999999992</v>
      </c>
      <c r="CB42" s="665"/>
      <c r="CC42" s="718">
        <f>BW42*(1+CC43)</f>
        <v>185.96062499999996</v>
      </c>
      <c r="CD42" s="666">
        <f t="shared" ref="CD42" si="341">BX42*(1+CD43)</f>
        <v>183.77007187499996</v>
      </c>
      <c r="CE42" s="666">
        <f t="shared" ref="CE42" si="342">BY42*(1+CE43)</f>
        <v>179.84073437499995</v>
      </c>
      <c r="CF42" s="667">
        <f t="shared" ref="CF42" si="343">BZ42*(1+CF43)</f>
        <v>183.41811249999995</v>
      </c>
      <c r="CG42" s="758">
        <f>SUM(CC42:CF42)</f>
        <v>732.98954374999994</v>
      </c>
      <c r="CH42" s="665"/>
      <c r="CI42" s="718">
        <f>CC42*(1+CI43)</f>
        <v>190.60964062499994</v>
      </c>
      <c r="CJ42" s="666">
        <f t="shared" ref="CJ42" si="344">CD42*(1+CJ43)</f>
        <v>188.36432367187493</v>
      </c>
      <c r="CK42" s="666">
        <f t="shared" ref="CK42" si="345">CE42*(1+CK43)</f>
        <v>184.33675273437493</v>
      </c>
      <c r="CL42" s="667">
        <f t="shared" ref="CL42" si="346">CF42*(1+CL43)</f>
        <v>188.00356531249994</v>
      </c>
      <c r="CM42" s="758">
        <f>SUM(CI42:CL42)</f>
        <v>751.31428234374982</v>
      </c>
    </row>
    <row r="43" spans="1:91" s="25" customFormat="1" ht="11.25" hidden="1" outlineLevel="1" x14ac:dyDescent="0.2">
      <c r="A43" s="695" t="s">
        <v>5</v>
      </c>
      <c r="B43" s="665"/>
      <c r="C43" s="664"/>
      <c r="D43" s="665"/>
      <c r="E43" s="665"/>
      <c r="F43" s="668"/>
      <c r="G43" s="746"/>
      <c r="H43" s="665"/>
      <c r="I43" s="664"/>
      <c r="J43" s="665"/>
      <c r="K43" s="665"/>
      <c r="L43" s="668"/>
      <c r="M43" s="746"/>
      <c r="N43" s="665"/>
      <c r="O43" s="664"/>
      <c r="P43" s="665"/>
      <c r="Q43" s="665"/>
      <c r="R43" s="668"/>
      <c r="S43" s="746"/>
      <c r="T43" s="665"/>
      <c r="U43" s="665"/>
      <c r="V43" s="665"/>
      <c r="W43" s="665"/>
      <c r="X43" s="665"/>
      <c r="Y43" s="665"/>
      <c r="Z43" s="665"/>
      <c r="AA43" s="665"/>
      <c r="AB43" s="665"/>
      <c r="AC43" s="665"/>
      <c r="AD43" s="665"/>
      <c r="AE43" s="665"/>
      <c r="AF43" s="665"/>
      <c r="AG43" s="665"/>
      <c r="AH43" s="665"/>
      <c r="AI43" s="665"/>
      <c r="AJ43" s="665"/>
      <c r="AK43" s="665"/>
      <c r="AL43" s="665"/>
      <c r="AM43" s="665"/>
      <c r="AN43" s="665"/>
      <c r="AO43" s="665"/>
      <c r="AP43" s="665"/>
      <c r="AQ43" s="665"/>
      <c r="AR43" s="665"/>
      <c r="AS43" s="665"/>
      <c r="AT43" s="665"/>
      <c r="AU43" s="665"/>
      <c r="AV43" s="665"/>
      <c r="AW43" s="665"/>
      <c r="AX43" s="665"/>
      <c r="AY43" s="664"/>
      <c r="AZ43" s="665"/>
      <c r="BA43" s="665"/>
      <c r="BB43" s="668"/>
      <c r="BC43" s="746"/>
      <c r="BD43" s="665"/>
      <c r="BE43" s="664"/>
      <c r="BF43" s="665"/>
      <c r="BG43" s="665"/>
      <c r="BH43" s="668"/>
      <c r="BI43" s="746"/>
      <c r="BJ43" s="665"/>
      <c r="BK43" s="717">
        <f>BK42/BE42-1</f>
        <v>0.16778523489932895</v>
      </c>
      <c r="BL43" s="696">
        <f t="shared" ref="BL43" si="347">BL42/BF42-1</f>
        <v>5.6249999999999911E-2</v>
      </c>
      <c r="BM43" s="696">
        <f t="shared" ref="BM43" si="348">BM42/BG42-1</f>
        <v>3.0864197530864113E-2</v>
      </c>
      <c r="BN43" s="697">
        <f t="shared" ref="BN43" si="349">BN42/BH42-1</f>
        <v>4.2424242424242475E-2</v>
      </c>
      <c r="BO43" s="732">
        <f t="shared" ref="BO43" si="350">BO42/BI42-1</f>
        <v>7.2327044025157328E-2</v>
      </c>
      <c r="BP43" s="665"/>
      <c r="BQ43" s="717">
        <f>BQ42/BK42-1</f>
        <v>1.7241379310344751E-2</v>
      </c>
      <c r="BR43" s="696">
        <f t="shared" ref="BR43" si="351">BR45+BR44</f>
        <v>3.5000000000000003E-2</v>
      </c>
      <c r="BS43" s="696">
        <f t="shared" ref="BS43" si="352">BS45+BS44</f>
        <v>2.5000000000000001E-2</v>
      </c>
      <c r="BT43" s="697">
        <f t="shared" ref="BT43" si="353">BT45+BT44</f>
        <v>1.4999999999999999E-2</v>
      </c>
      <c r="BU43" s="732">
        <f t="shared" ref="BU43" si="354">BU42/BO42-1</f>
        <v>2.2976539589442568E-2</v>
      </c>
      <c r="BV43" s="665"/>
      <c r="BW43" s="717">
        <f>BW45+BW44</f>
        <v>2.5000000000000001E-2</v>
      </c>
      <c r="BX43" s="696">
        <f t="shared" ref="BX43" si="355">BX45+BX44</f>
        <v>2.5000000000000001E-2</v>
      </c>
      <c r="BY43" s="696">
        <f t="shared" ref="BY43" si="356">BY45+BY44</f>
        <v>2.5000000000000001E-2</v>
      </c>
      <c r="BZ43" s="697">
        <f t="shared" ref="BZ43" si="357">BZ45+BZ44</f>
        <v>2.5000000000000001E-2</v>
      </c>
      <c r="CA43" s="732">
        <f t="shared" ref="CA43" si="358">CA42/BU42-1</f>
        <v>2.5000000000000133E-2</v>
      </c>
      <c r="CB43" s="665"/>
      <c r="CC43" s="717">
        <f>CC45+CC44</f>
        <v>2.5000000000000001E-2</v>
      </c>
      <c r="CD43" s="696">
        <f t="shared" ref="CD43" si="359">CD45+CD44</f>
        <v>2.5000000000000001E-2</v>
      </c>
      <c r="CE43" s="696">
        <f t="shared" ref="CE43" si="360">CE45+CE44</f>
        <v>2.5000000000000001E-2</v>
      </c>
      <c r="CF43" s="697">
        <f t="shared" ref="CF43" si="361">CF45+CF44</f>
        <v>2.5000000000000001E-2</v>
      </c>
      <c r="CG43" s="732">
        <f t="shared" ref="CG43" si="362">CG42/CA42-1</f>
        <v>2.5000000000000133E-2</v>
      </c>
      <c r="CH43" s="665"/>
      <c r="CI43" s="717">
        <f>CI45+CI44</f>
        <v>2.5000000000000001E-2</v>
      </c>
      <c r="CJ43" s="696">
        <f t="shared" ref="CJ43" si="363">CJ45+CJ44</f>
        <v>2.5000000000000001E-2</v>
      </c>
      <c r="CK43" s="696">
        <f t="shared" ref="CK43" si="364">CK45+CK44</f>
        <v>2.5000000000000001E-2</v>
      </c>
      <c r="CL43" s="697">
        <f t="shared" ref="CL43" si="365">CL45+CL44</f>
        <v>2.5000000000000001E-2</v>
      </c>
      <c r="CM43" s="732">
        <f t="shared" ref="CM43" si="366">CM42/CG42-1</f>
        <v>2.4999999999999911E-2</v>
      </c>
    </row>
    <row r="44" spans="1:91" s="25" customFormat="1" ht="11.25" hidden="1" outlineLevel="1" x14ac:dyDescent="0.2">
      <c r="A44" s="695" t="s">
        <v>6</v>
      </c>
      <c r="B44" s="665"/>
      <c r="C44" s="664"/>
      <c r="D44" s="665"/>
      <c r="E44" s="665"/>
      <c r="F44" s="668"/>
      <c r="G44" s="746"/>
      <c r="H44" s="665"/>
      <c r="I44" s="664"/>
      <c r="J44" s="665"/>
      <c r="K44" s="665"/>
      <c r="L44" s="668"/>
      <c r="M44" s="746"/>
      <c r="N44" s="665"/>
      <c r="O44" s="664"/>
      <c r="P44" s="665"/>
      <c r="Q44" s="665"/>
      <c r="R44" s="668"/>
      <c r="S44" s="746"/>
      <c r="T44" s="665"/>
      <c r="U44" s="665"/>
      <c r="V44" s="665"/>
      <c r="W44" s="665"/>
      <c r="X44" s="665"/>
      <c r="Y44" s="665"/>
      <c r="Z44" s="665"/>
      <c r="AA44" s="665"/>
      <c r="AB44" s="665"/>
      <c r="AC44" s="665"/>
      <c r="AD44" s="665"/>
      <c r="AE44" s="665"/>
      <c r="AF44" s="665"/>
      <c r="AG44" s="665"/>
      <c r="AH44" s="665"/>
      <c r="AI44" s="665"/>
      <c r="AJ44" s="665"/>
      <c r="AK44" s="665"/>
      <c r="AL44" s="665"/>
      <c r="AM44" s="665"/>
      <c r="AN44" s="665"/>
      <c r="AO44" s="665"/>
      <c r="AP44" s="665"/>
      <c r="AQ44" s="665"/>
      <c r="AR44" s="665"/>
      <c r="AS44" s="665"/>
      <c r="AT44" s="665"/>
      <c r="AU44" s="665"/>
      <c r="AV44" s="665"/>
      <c r="AW44" s="665"/>
      <c r="AX44" s="665"/>
      <c r="AY44" s="664"/>
      <c r="AZ44" s="665"/>
      <c r="BA44" s="665"/>
      <c r="BB44" s="668"/>
      <c r="BC44" s="746"/>
      <c r="BD44" s="665"/>
      <c r="BE44" s="664"/>
      <c r="BF44" s="665"/>
      <c r="BG44" s="665"/>
      <c r="BH44" s="668"/>
      <c r="BI44" s="746"/>
      <c r="BJ44" s="665"/>
      <c r="BK44" s="672">
        <f>(70/4)/BE42</f>
        <v>0.1174496644295302</v>
      </c>
      <c r="BL44" s="673">
        <f>(70/4)*0.3/BF42</f>
        <v>3.2812500000000001E-2</v>
      </c>
      <c r="BM44" s="673">
        <v>0</v>
      </c>
      <c r="BN44" s="674">
        <v>0</v>
      </c>
      <c r="BO44" s="732">
        <f>SUMPRODUCT(BK44:BN44,BE42:BH42)/BI42</f>
        <v>3.5770440251572326E-2</v>
      </c>
      <c r="BP44" s="665"/>
      <c r="BQ44" s="672">
        <v>0</v>
      </c>
      <c r="BR44" s="673">
        <v>0</v>
      </c>
      <c r="BS44" s="673">
        <v>0</v>
      </c>
      <c r="BT44" s="674">
        <v>0</v>
      </c>
      <c r="BU44" s="732">
        <f>SUMPRODUCT(BQ44:BT44,BK42:BN42)/BO42</f>
        <v>0</v>
      </c>
      <c r="BV44" s="665"/>
      <c r="BW44" s="672">
        <v>0</v>
      </c>
      <c r="BX44" s="673">
        <v>0</v>
      </c>
      <c r="BY44" s="673">
        <v>0</v>
      </c>
      <c r="BZ44" s="674">
        <v>0</v>
      </c>
      <c r="CA44" s="732">
        <f>SUMPRODUCT(BW44:BZ44,BQ42:BT42)/BU42</f>
        <v>0</v>
      </c>
      <c r="CB44" s="665"/>
      <c r="CC44" s="672">
        <v>0</v>
      </c>
      <c r="CD44" s="673">
        <v>0</v>
      </c>
      <c r="CE44" s="673">
        <v>0</v>
      </c>
      <c r="CF44" s="674">
        <v>0</v>
      </c>
      <c r="CG44" s="732">
        <f>SUMPRODUCT(CC44:CF44,BW42:BZ42)/CA42</f>
        <v>0</v>
      </c>
      <c r="CH44" s="665"/>
      <c r="CI44" s="672">
        <v>0</v>
      </c>
      <c r="CJ44" s="673">
        <v>0</v>
      </c>
      <c r="CK44" s="673">
        <v>0</v>
      </c>
      <c r="CL44" s="674">
        <v>0</v>
      </c>
      <c r="CM44" s="732">
        <f>SUMPRODUCT(CI44:CL44,CC42:CF42)/CG42</f>
        <v>0</v>
      </c>
    </row>
    <row r="45" spans="1:91" s="25" customFormat="1" ht="11.25" hidden="1" outlineLevel="1" x14ac:dyDescent="0.2">
      <c r="A45" s="695" t="s">
        <v>7</v>
      </c>
      <c r="B45" s="665"/>
      <c r="C45" s="664"/>
      <c r="D45" s="665"/>
      <c r="E45" s="665"/>
      <c r="F45" s="668"/>
      <c r="G45" s="746"/>
      <c r="H45" s="665"/>
      <c r="I45" s="664"/>
      <c r="J45" s="665"/>
      <c r="K45" s="665"/>
      <c r="L45" s="668"/>
      <c r="M45" s="746"/>
      <c r="N45" s="665"/>
      <c r="O45" s="664"/>
      <c r="P45" s="665"/>
      <c r="Q45" s="665"/>
      <c r="R45" s="668"/>
      <c r="S45" s="746"/>
      <c r="T45" s="665"/>
      <c r="U45" s="665"/>
      <c r="V45" s="665"/>
      <c r="W45" s="665"/>
      <c r="X45" s="665"/>
      <c r="Y45" s="665"/>
      <c r="Z45" s="665"/>
      <c r="AA45" s="665"/>
      <c r="AB45" s="665"/>
      <c r="AC45" s="665"/>
      <c r="AD45" s="665"/>
      <c r="AE45" s="665"/>
      <c r="AF45" s="665"/>
      <c r="AG45" s="665"/>
      <c r="AH45" s="665"/>
      <c r="AI45" s="665"/>
      <c r="AJ45" s="665"/>
      <c r="AK45" s="665"/>
      <c r="AL45" s="665"/>
      <c r="AM45" s="665"/>
      <c r="AN45" s="665"/>
      <c r="AO45" s="665"/>
      <c r="AP45" s="665"/>
      <c r="AQ45" s="665"/>
      <c r="AR45" s="665"/>
      <c r="AS45" s="665"/>
      <c r="AT45" s="665"/>
      <c r="AU45" s="665"/>
      <c r="AV45" s="665"/>
      <c r="AW45" s="665"/>
      <c r="AX45" s="665"/>
      <c r="AY45" s="664"/>
      <c r="AZ45" s="665"/>
      <c r="BA45" s="665"/>
      <c r="BB45" s="668"/>
      <c r="BC45" s="746"/>
      <c r="BD45" s="665"/>
      <c r="BE45" s="664"/>
      <c r="BF45" s="665"/>
      <c r="BG45" s="665"/>
      <c r="BH45" s="668"/>
      <c r="BI45" s="746"/>
      <c r="BJ45" s="665"/>
      <c r="BK45" s="717">
        <f>BK43-BK44</f>
        <v>5.0335570469798752E-2</v>
      </c>
      <c r="BL45" s="696">
        <f t="shared" ref="BL45" si="367">BL43-BL44</f>
        <v>2.343749999999991E-2</v>
      </c>
      <c r="BM45" s="696">
        <f t="shared" ref="BM45" si="368">BM43-BM44</f>
        <v>3.0864197530864113E-2</v>
      </c>
      <c r="BN45" s="697">
        <f t="shared" ref="BN45" si="369">BN43-BN44</f>
        <v>4.2424242424242475E-2</v>
      </c>
      <c r="BO45" s="732">
        <f t="shared" ref="BO45" si="370">BO43-BO44</f>
        <v>3.6556603773585002E-2</v>
      </c>
      <c r="BP45" s="665"/>
      <c r="BQ45" s="717">
        <f>BQ43-BQ44</f>
        <v>1.7241379310344751E-2</v>
      </c>
      <c r="BR45" s="673">
        <v>3.5000000000000003E-2</v>
      </c>
      <c r="BS45" s="673">
        <v>2.5000000000000001E-2</v>
      </c>
      <c r="BT45" s="674">
        <v>1.4999999999999999E-2</v>
      </c>
      <c r="BU45" s="732">
        <f t="shared" ref="BU45" si="371">BU43-BU44</f>
        <v>2.2976539589442568E-2</v>
      </c>
      <c r="BV45" s="665"/>
      <c r="BW45" s="672">
        <v>2.5000000000000001E-2</v>
      </c>
      <c r="BX45" s="673">
        <f>BW45</f>
        <v>2.5000000000000001E-2</v>
      </c>
      <c r="BY45" s="673">
        <f t="shared" ref="BY45:BZ45" si="372">BX45</f>
        <v>2.5000000000000001E-2</v>
      </c>
      <c r="BZ45" s="674">
        <f t="shared" si="372"/>
        <v>2.5000000000000001E-2</v>
      </c>
      <c r="CA45" s="732">
        <f t="shared" ref="CA45" si="373">CA43-CA44</f>
        <v>2.5000000000000133E-2</v>
      </c>
      <c r="CB45" s="665"/>
      <c r="CC45" s="672">
        <v>2.5000000000000001E-2</v>
      </c>
      <c r="CD45" s="673">
        <f>CC45</f>
        <v>2.5000000000000001E-2</v>
      </c>
      <c r="CE45" s="673">
        <f t="shared" ref="CE45:CF45" si="374">CD45</f>
        <v>2.5000000000000001E-2</v>
      </c>
      <c r="CF45" s="674">
        <f t="shared" si="374"/>
        <v>2.5000000000000001E-2</v>
      </c>
      <c r="CG45" s="732">
        <f t="shared" ref="CG45" si="375">CG43-CG44</f>
        <v>2.5000000000000133E-2</v>
      </c>
      <c r="CH45" s="665"/>
      <c r="CI45" s="672">
        <v>2.5000000000000001E-2</v>
      </c>
      <c r="CJ45" s="673">
        <f>CI45</f>
        <v>2.5000000000000001E-2</v>
      </c>
      <c r="CK45" s="673">
        <f t="shared" ref="CK45:CL45" si="376">CJ45</f>
        <v>2.5000000000000001E-2</v>
      </c>
      <c r="CL45" s="674">
        <f t="shared" si="376"/>
        <v>2.5000000000000001E-2</v>
      </c>
      <c r="CM45" s="732">
        <f t="shared" ref="CM45" si="377">CM43-CM44</f>
        <v>2.4999999999999911E-2</v>
      </c>
    </row>
    <row r="46" spans="1:91" s="25" customFormat="1" ht="11.25" hidden="1" outlineLevel="1" x14ac:dyDescent="0.2">
      <c r="A46" s="694" t="s">
        <v>8</v>
      </c>
      <c r="B46" s="665"/>
      <c r="C46" s="664"/>
      <c r="D46" s="665"/>
      <c r="E46" s="665"/>
      <c r="F46" s="668"/>
      <c r="G46" s="746"/>
      <c r="H46" s="665"/>
      <c r="I46" s="664"/>
      <c r="J46" s="665"/>
      <c r="K46" s="665"/>
      <c r="L46" s="668"/>
      <c r="M46" s="746"/>
      <c r="N46" s="665"/>
      <c r="O46" s="664"/>
      <c r="P46" s="665"/>
      <c r="Q46" s="665"/>
      <c r="R46" s="668"/>
      <c r="S46" s="746"/>
      <c r="T46" s="665"/>
      <c r="U46" s="665"/>
      <c r="V46" s="665"/>
      <c r="W46" s="665"/>
      <c r="X46" s="665"/>
      <c r="Y46" s="665"/>
      <c r="Z46" s="665"/>
      <c r="AA46" s="665"/>
      <c r="AB46" s="665"/>
      <c r="AC46" s="665"/>
      <c r="AD46" s="665"/>
      <c r="AE46" s="665"/>
      <c r="AF46" s="665"/>
      <c r="AG46" s="665"/>
      <c r="AH46" s="665"/>
      <c r="AI46" s="665"/>
      <c r="AJ46" s="665"/>
      <c r="AK46" s="665"/>
      <c r="AL46" s="665"/>
      <c r="AM46" s="665"/>
      <c r="AN46" s="665"/>
      <c r="AO46" s="665"/>
      <c r="AP46" s="665"/>
      <c r="AQ46" s="665"/>
      <c r="AR46" s="665"/>
      <c r="AS46" s="665"/>
      <c r="AT46" s="665"/>
      <c r="AU46" s="665"/>
      <c r="AV46" s="665"/>
      <c r="AW46" s="665"/>
      <c r="AX46" s="665"/>
      <c r="AY46" s="664"/>
      <c r="AZ46" s="665"/>
      <c r="BA46" s="665"/>
      <c r="BB46" s="668"/>
      <c r="BC46" s="746"/>
      <c r="BD46" s="665"/>
      <c r="BE46" s="669">
        <v>74</v>
      </c>
      <c r="BF46" s="657">
        <v>62</v>
      </c>
      <c r="BG46" s="657">
        <v>82</v>
      </c>
      <c r="BH46" s="676">
        <v>82</v>
      </c>
      <c r="BI46" s="733">
        <f>SUM(BE46:BH46)</f>
        <v>300</v>
      </c>
      <c r="BJ46" s="665"/>
      <c r="BK46" s="669">
        <v>87</v>
      </c>
      <c r="BL46" s="657">
        <v>73</v>
      </c>
      <c r="BM46" s="657">
        <v>80</v>
      </c>
      <c r="BN46" s="676">
        <v>81</v>
      </c>
      <c r="BO46" s="733">
        <f>SUM(BK46:BN46)</f>
        <v>321</v>
      </c>
      <c r="BP46" s="665"/>
      <c r="BQ46" s="669">
        <v>90</v>
      </c>
      <c r="BR46" s="666">
        <f t="shared" ref="BR46:BT46" si="378">BL46*(1+BR47)</f>
        <v>79.512388174624576</v>
      </c>
      <c r="BS46" s="666">
        <f t="shared" si="378"/>
        <v>85.746909560091382</v>
      </c>
      <c r="BT46" s="667">
        <f t="shared" si="378"/>
        <v>84.443477917958759</v>
      </c>
      <c r="BU46" s="733">
        <f>SUM(BQ46:BT46)</f>
        <v>339.70277565267469</v>
      </c>
      <c r="BV46" s="665"/>
      <c r="BW46" s="718">
        <f>BQ46*(1+BW47)</f>
        <v>95.345966144639277</v>
      </c>
      <c r="BX46" s="666">
        <f t="shared" ref="BX46" si="379">BR46*(1+BX47)</f>
        <v>81.768674509891696</v>
      </c>
      <c r="BY46" s="666">
        <f t="shared" ref="BY46" si="380">BS46*(1+BY47)</f>
        <v>87.890582299093666</v>
      </c>
      <c r="BZ46" s="667">
        <f t="shared" ref="BZ46" si="381">BT46*(1+BZ47)</f>
        <v>86.554564865907722</v>
      </c>
      <c r="CA46" s="733">
        <f>SUM(BW46:BZ46)</f>
        <v>351.55978781953235</v>
      </c>
      <c r="CB46" s="665"/>
      <c r="CC46" s="718">
        <f>BW46*(1+CC47)</f>
        <v>97.729615298255254</v>
      </c>
      <c r="CD46" s="666">
        <f t="shared" ref="CD46" si="382">BX46*(1+CD47)</f>
        <v>83.812891372638987</v>
      </c>
      <c r="CE46" s="666">
        <f t="shared" ref="CE46" si="383">BY46*(1+CE47)</f>
        <v>90.087846856571005</v>
      </c>
      <c r="CF46" s="667">
        <f t="shared" ref="CF46" si="384">BZ46*(1+CF47)</f>
        <v>88.718428987555413</v>
      </c>
      <c r="CG46" s="733">
        <f>SUM(CC46:CF46)</f>
        <v>360.34878251502062</v>
      </c>
      <c r="CH46" s="665"/>
      <c r="CI46" s="718">
        <f>CC46*(1+CI47)</f>
        <v>100.17285568071162</v>
      </c>
      <c r="CJ46" s="666">
        <f t="shared" ref="CJ46" si="385">CD46*(1+CJ47)</f>
        <v>85.908213656954956</v>
      </c>
      <c r="CK46" s="666">
        <f t="shared" ref="CK46" si="386">CE46*(1+CK47)</f>
        <v>92.340043027985274</v>
      </c>
      <c r="CL46" s="667">
        <f t="shared" ref="CL46" si="387">CF46*(1+CL47)</f>
        <v>90.936389712244292</v>
      </c>
      <c r="CM46" s="733">
        <f>SUM(CI46:CL46)</f>
        <v>369.35750207789619</v>
      </c>
    </row>
    <row r="47" spans="1:91" s="25" customFormat="1" ht="11.25" hidden="1" outlineLevel="1" x14ac:dyDescent="0.2">
      <c r="A47" s="695" t="s">
        <v>5</v>
      </c>
      <c r="B47" s="665"/>
      <c r="C47" s="664"/>
      <c r="D47" s="665"/>
      <c r="E47" s="665"/>
      <c r="F47" s="668"/>
      <c r="G47" s="746"/>
      <c r="H47" s="665"/>
      <c r="I47" s="664"/>
      <c r="J47" s="665"/>
      <c r="K47" s="665"/>
      <c r="L47" s="668"/>
      <c r="M47" s="746"/>
      <c r="N47" s="665"/>
      <c r="O47" s="664"/>
      <c r="P47" s="665"/>
      <c r="Q47" s="665"/>
      <c r="R47" s="668"/>
      <c r="S47" s="746"/>
      <c r="T47" s="665"/>
      <c r="U47" s="665"/>
      <c r="V47" s="665"/>
      <c r="W47" s="665"/>
      <c r="X47" s="665"/>
      <c r="Y47" s="665"/>
      <c r="Z47" s="665"/>
      <c r="AA47" s="665"/>
      <c r="AB47" s="665"/>
      <c r="AC47" s="665"/>
      <c r="AD47" s="665"/>
      <c r="AE47" s="665"/>
      <c r="AF47" s="665"/>
      <c r="AG47" s="665"/>
      <c r="AH47" s="665"/>
      <c r="AI47" s="665"/>
      <c r="AJ47" s="665"/>
      <c r="AK47" s="665"/>
      <c r="AL47" s="665"/>
      <c r="AM47" s="665"/>
      <c r="AN47" s="665"/>
      <c r="AO47" s="665"/>
      <c r="AP47" s="665"/>
      <c r="AQ47" s="665"/>
      <c r="AR47" s="665"/>
      <c r="AS47" s="665"/>
      <c r="AT47" s="665"/>
      <c r="AU47" s="665"/>
      <c r="AV47" s="665"/>
      <c r="AW47" s="665"/>
      <c r="AX47" s="665"/>
      <c r="AY47" s="664"/>
      <c r="AZ47" s="665"/>
      <c r="BA47" s="665"/>
      <c r="BB47" s="668"/>
      <c r="BC47" s="746"/>
      <c r="BD47" s="665"/>
      <c r="BE47" s="664"/>
      <c r="BF47" s="665"/>
      <c r="BG47" s="665"/>
      <c r="BH47" s="668"/>
      <c r="BI47" s="746"/>
      <c r="BJ47" s="665"/>
      <c r="BK47" s="717">
        <f>BK46/BE46-1</f>
        <v>0.17567567567567566</v>
      </c>
      <c r="BL47" s="696">
        <f t="shared" ref="BL47" si="388">BL46/BF46-1</f>
        <v>0.17741935483870974</v>
      </c>
      <c r="BM47" s="696">
        <f t="shared" ref="BM47" si="389">BM46/BG46-1</f>
        <v>-2.4390243902439046E-2</v>
      </c>
      <c r="BN47" s="697">
        <f t="shared" ref="BN47" si="390">BN46/BH46-1</f>
        <v>-1.2195121951219523E-2</v>
      </c>
      <c r="BO47" s="732">
        <f t="shared" ref="BO47" si="391">BO46/BI46-1</f>
        <v>7.0000000000000062E-2</v>
      </c>
      <c r="BP47" s="665"/>
      <c r="BQ47" s="717">
        <f>BQ46/BK46-1</f>
        <v>3.4482758620689724E-2</v>
      </c>
      <c r="BR47" s="696">
        <f t="shared" ref="BR47:BT47" si="392">BR49+BR48</f>
        <v>8.9210796912665494E-2</v>
      </c>
      <c r="BS47" s="696">
        <f t="shared" si="392"/>
        <v>7.1836369501142375E-2</v>
      </c>
      <c r="BT47" s="697">
        <f t="shared" si="392"/>
        <v>4.2512073061219284E-2</v>
      </c>
      <c r="BU47" s="732">
        <f t="shared" ref="BU47" si="393">BU46/BO46-1</f>
        <v>5.826409860646331E-2</v>
      </c>
      <c r="BV47" s="665"/>
      <c r="BW47" s="717">
        <f>BW49+BW48</f>
        <v>5.9399623829325378E-2</v>
      </c>
      <c r="BX47" s="696">
        <f t="shared" ref="BX47" si="394">BX49+BX48</f>
        <v>2.837653838684704E-2</v>
      </c>
      <c r="BY47" s="696">
        <f t="shared" ref="BY47" si="395">BY49+BY48</f>
        <v>2.5000000000000001E-2</v>
      </c>
      <c r="BZ47" s="697">
        <f t="shared" ref="BZ47" si="396">BZ49+BZ48</f>
        <v>2.5000000000000001E-2</v>
      </c>
      <c r="CA47" s="732">
        <f t="shared" ref="CA47" si="397">CA46/BU46-1</f>
        <v>3.4904077966618541E-2</v>
      </c>
      <c r="CB47" s="665"/>
      <c r="CC47" s="717">
        <f>CC49+CC48</f>
        <v>2.5000000000000001E-2</v>
      </c>
      <c r="CD47" s="696">
        <f t="shared" ref="CD47" si="398">CD49+CD48</f>
        <v>2.5000000000000001E-2</v>
      </c>
      <c r="CE47" s="696">
        <f t="shared" ref="CE47" si="399">CE49+CE48</f>
        <v>2.5000000000000001E-2</v>
      </c>
      <c r="CF47" s="697">
        <f t="shared" ref="CF47" si="400">CF49+CF48</f>
        <v>2.5000000000000001E-2</v>
      </c>
      <c r="CG47" s="732">
        <f t="shared" ref="CG47" si="401">CG46/CA46-1</f>
        <v>2.4999999999999911E-2</v>
      </c>
      <c r="CH47" s="665"/>
      <c r="CI47" s="717">
        <f>CI49+CI48</f>
        <v>2.5000000000000001E-2</v>
      </c>
      <c r="CJ47" s="696">
        <f t="shared" ref="CJ47" si="402">CJ49+CJ48</f>
        <v>2.5000000000000001E-2</v>
      </c>
      <c r="CK47" s="696">
        <f t="shared" ref="CK47" si="403">CK49+CK48</f>
        <v>2.5000000000000001E-2</v>
      </c>
      <c r="CL47" s="697">
        <f t="shared" ref="CL47" si="404">CL49+CL48</f>
        <v>2.5000000000000001E-2</v>
      </c>
      <c r="CM47" s="732">
        <f t="shared" ref="CM47" si="405">CM46/CG46-1</f>
        <v>2.5000000000000133E-2</v>
      </c>
    </row>
    <row r="48" spans="1:91" s="25" customFormat="1" ht="11.25" hidden="1" outlineLevel="1" x14ac:dyDescent="0.2">
      <c r="A48" s="695" t="s">
        <v>9</v>
      </c>
      <c r="B48" s="665"/>
      <c r="C48" s="664"/>
      <c r="D48" s="665"/>
      <c r="E48" s="665"/>
      <c r="F48" s="668"/>
      <c r="G48" s="746"/>
      <c r="H48" s="665"/>
      <c r="I48" s="664"/>
      <c r="J48" s="665"/>
      <c r="K48" s="665"/>
      <c r="L48" s="668"/>
      <c r="M48" s="746"/>
      <c r="N48" s="665"/>
      <c r="O48" s="664"/>
      <c r="P48" s="665"/>
      <c r="Q48" s="665"/>
      <c r="R48" s="668"/>
      <c r="S48" s="746"/>
      <c r="T48" s="665"/>
      <c r="U48" s="665"/>
      <c r="V48" s="665"/>
      <c r="W48" s="665"/>
      <c r="X48" s="665"/>
      <c r="Y48" s="665"/>
      <c r="Z48" s="665"/>
      <c r="AA48" s="665"/>
      <c r="AB48" s="665"/>
      <c r="AC48" s="665"/>
      <c r="AD48" s="665"/>
      <c r="AE48" s="665"/>
      <c r="AF48" s="665"/>
      <c r="AG48" s="665"/>
      <c r="AH48" s="665"/>
      <c r="AI48" s="665"/>
      <c r="AJ48" s="665"/>
      <c r="AK48" s="665"/>
      <c r="AL48" s="665"/>
      <c r="AM48" s="665"/>
      <c r="AN48" s="665"/>
      <c r="AO48" s="665"/>
      <c r="AP48" s="665"/>
      <c r="AQ48" s="665"/>
      <c r="AR48" s="665"/>
      <c r="AS48" s="665"/>
      <c r="AT48" s="665"/>
      <c r="AU48" s="665"/>
      <c r="AV48" s="665"/>
      <c r="AW48" s="665"/>
      <c r="AX48" s="665"/>
      <c r="AY48" s="664"/>
      <c r="AZ48" s="665"/>
      <c r="BA48" s="665"/>
      <c r="BB48" s="668"/>
      <c r="BC48" s="746"/>
      <c r="BD48" s="665"/>
      <c r="BE48" s="664"/>
      <c r="BF48" s="665"/>
      <c r="BG48" s="665"/>
      <c r="BH48" s="668"/>
      <c r="BI48" s="746"/>
      <c r="BJ48" s="665"/>
      <c r="BK48" s="585">
        <f>BK47-BK49</f>
        <v>-1.5324324324324345E-2</v>
      </c>
      <c r="BL48" s="53">
        <f t="shared" ref="BL48" si="406">BL47-BL49</f>
        <v>-4.7580645161290264E-2</v>
      </c>
      <c r="BM48" s="661">
        <f t="shared" ref="BM48" si="407">BM47-BM49</f>
        <v>-3.9390243902439045E-2</v>
      </c>
      <c r="BN48" s="662">
        <f t="shared" ref="BN48" si="408">BN47-BN49</f>
        <v>-3.1195121951219523E-2</v>
      </c>
      <c r="BO48" s="732">
        <f>SUMPRODUCT(BK48:BN48,BE46:BH46)/BI46</f>
        <v>-3.2906666666666667E-2</v>
      </c>
      <c r="BP48" s="665"/>
      <c r="BQ48" s="660">
        <f>BQ47-BQ49</f>
        <v>1.1482758620689724E-2</v>
      </c>
      <c r="BR48" s="698">
        <v>6.921079691266549E-2</v>
      </c>
      <c r="BS48" s="698">
        <v>5.1836369501142378E-2</v>
      </c>
      <c r="BT48" s="742">
        <v>2.2512073061219284E-2</v>
      </c>
      <c r="BU48" s="732">
        <f>SUMPRODUCT(BQ48:BT48,BK46:BN46)/BO46</f>
        <v>3.7451014494313831E-2</v>
      </c>
      <c r="BV48" s="665"/>
      <c r="BW48" s="743">
        <v>3.4399623829325376E-2</v>
      </c>
      <c r="BX48" s="698">
        <v>3.3765383868470385E-3</v>
      </c>
      <c r="BY48" s="698">
        <v>0</v>
      </c>
      <c r="BZ48" s="742">
        <v>0</v>
      </c>
      <c r="CA48" s="732">
        <f>SUMPRODUCT(BW48:BZ48,BQ46:BT46)/BU46</f>
        <v>9.9040779666184509E-3</v>
      </c>
      <c r="CB48" s="665"/>
      <c r="CC48" s="743">
        <v>0</v>
      </c>
      <c r="CD48" s="698">
        <v>0</v>
      </c>
      <c r="CE48" s="698">
        <v>0</v>
      </c>
      <c r="CF48" s="742">
        <v>0</v>
      </c>
      <c r="CG48" s="732">
        <f>SUMPRODUCT(CC48:CF48,BW46:BZ46)/CA46</f>
        <v>0</v>
      </c>
      <c r="CH48" s="665"/>
      <c r="CI48" s="743">
        <v>0</v>
      </c>
      <c r="CJ48" s="698">
        <v>0</v>
      </c>
      <c r="CK48" s="698">
        <v>0</v>
      </c>
      <c r="CL48" s="742">
        <v>0</v>
      </c>
      <c r="CM48" s="732">
        <f>SUMPRODUCT(CI48:CL48,CC46:CF46)/CG46</f>
        <v>0</v>
      </c>
    </row>
    <row r="49" spans="1:91" s="25" customFormat="1" ht="11.25" hidden="1" outlineLevel="1" x14ac:dyDescent="0.2">
      <c r="A49" s="695" t="s">
        <v>10</v>
      </c>
      <c r="B49" s="665"/>
      <c r="C49" s="664"/>
      <c r="D49" s="665"/>
      <c r="E49" s="665"/>
      <c r="F49" s="668"/>
      <c r="G49" s="746"/>
      <c r="H49" s="665"/>
      <c r="I49" s="664"/>
      <c r="J49" s="665"/>
      <c r="K49" s="665"/>
      <c r="L49" s="668"/>
      <c r="M49" s="746"/>
      <c r="N49" s="665"/>
      <c r="O49" s="664"/>
      <c r="P49" s="665"/>
      <c r="Q49" s="665"/>
      <c r="R49" s="668"/>
      <c r="S49" s="746"/>
      <c r="T49" s="665"/>
      <c r="U49" s="665"/>
      <c r="V49" s="665"/>
      <c r="W49" s="665"/>
      <c r="X49" s="665"/>
      <c r="Y49" s="665"/>
      <c r="Z49" s="665"/>
      <c r="AA49" s="665"/>
      <c r="AB49" s="665"/>
      <c r="AC49" s="665"/>
      <c r="AD49" s="665"/>
      <c r="AE49" s="665"/>
      <c r="AF49" s="665"/>
      <c r="AG49" s="665"/>
      <c r="AH49" s="665"/>
      <c r="AI49" s="665"/>
      <c r="AJ49" s="665"/>
      <c r="AK49" s="665"/>
      <c r="AL49" s="665"/>
      <c r="AM49" s="665"/>
      <c r="AN49" s="665"/>
      <c r="AO49" s="665"/>
      <c r="AP49" s="665"/>
      <c r="AQ49" s="665"/>
      <c r="AR49" s="665"/>
      <c r="AS49" s="665"/>
      <c r="AT49" s="665"/>
      <c r="AU49" s="665"/>
      <c r="AV49" s="665"/>
      <c r="AW49" s="665"/>
      <c r="AX49" s="665"/>
      <c r="AY49" s="664"/>
      <c r="AZ49" s="665"/>
      <c r="BA49" s="665"/>
      <c r="BB49" s="668"/>
      <c r="BC49" s="746"/>
      <c r="BD49" s="665"/>
      <c r="BE49" s="664"/>
      <c r="BF49" s="665"/>
      <c r="BG49" s="665"/>
      <c r="BH49" s="668"/>
      <c r="BI49" s="746"/>
      <c r="BJ49" s="665"/>
      <c r="BK49" s="722">
        <v>0.191</v>
      </c>
      <c r="BL49" s="703">
        <v>0.22500000000000001</v>
      </c>
      <c r="BM49" s="673">
        <v>1.4999999999999999E-2</v>
      </c>
      <c r="BN49" s="674">
        <v>1.9E-2</v>
      </c>
      <c r="BO49" s="732">
        <f t="shared" ref="BO49" si="409">BO47-BO48</f>
        <v>0.10290666666666673</v>
      </c>
      <c r="BP49" s="665"/>
      <c r="BQ49" s="672">
        <v>2.3E-2</v>
      </c>
      <c r="BR49" s="696">
        <f t="shared" ref="BR49:BT49" si="410">BR50+BR51</f>
        <v>0.02</v>
      </c>
      <c r="BS49" s="696">
        <f t="shared" si="410"/>
        <v>0.02</v>
      </c>
      <c r="BT49" s="697">
        <f t="shared" si="410"/>
        <v>0.02</v>
      </c>
      <c r="BU49" s="732">
        <f t="shared" ref="BU49" si="411">BU47-BU48</f>
        <v>2.081308411214948E-2</v>
      </c>
      <c r="BV49" s="665"/>
      <c r="BW49" s="717">
        <f>BW50+BW51</f>
        <v>2.5000000000000001E-2</v>
      </c>
      <c r="BX49" s="696">
        <f t="shared" ref="BX49" si="412">BX50+BX51</f>
        <v>2.5000000000000001E-2</v>
      </c>
      <c r="BY49" s="696">
        <f t="shared" ref="BY49" si="413">BY50+BY51</f>
        <v>2.5000000000000001E-2</v>
      </c>
      <c r="BZ49" s="697">
        <f t="shared" ref="BZ49" si="414">BZ50+BZ51</f>
        <v>2.5000000000000001E-2</v>
      </c>
      <c r="CA49" s="732">
        <f t="shared" ref="CA49" si="415">CA47-CA48</f>
        <v>2.5000000000000092E-2</v>
      </c>
      <c r="CB49" s="665"/>
      <c r="CC49" s="717">
        <f>CC50+CC51</f>
        <v>2.5000000000000001E-2</v>
      </c>
      <c r="CD49" s="696">
        <f t="shared" ref="CD49" si="416">CD50+CD51</f>
        <v>2.5000000000000001E-2</v>
      </c>
      <c r="CE49" s="696">
        <f t="shared" ref="CE49" si="417">CE50+CE51</f>
        <v>2.5000000000000001E-2</v>
      </c>
      <c r="CF49" s="697">
        <f t="shared" ref="CF49" si="418">CF50+CF51</f>
        <v>2.5000000000000001E-2</v>
      </c>
      <c r="CG49" s="732">
        <f t="shared" ref="CG49" si="419">CG47-CG48</f>
        <v>2.4999999999999911E-2</v>
      </c>
      <c r="CH49" s="665"/>
      <c r="CI49" s="717">
        <f>CI50+CI51</f>
        <v>2.5000000000000001E-2</v>
      </c>
      <c r="CJ49" s="696">
        <f t="shared" ref="CJ49" si="420">CJ50+CJ51</f>
        <v>2.5000000000000001E-2</v>
      </c>
      <c r="CK49" s="696">
        <f t="shared" ref="CK49" si="421">CK50+CK51</f>
        <v>2.5000000000000001E-2</v>
      </c>
      <c r="CL49" s="697">
        <f t="shared" ref="CL49" si="422">CL50+CL51</f>
        <v>2.5000000000000001E-2</v>
      </c>
      <c r="CM49" s="732">
        <f t="shared" ref="CM49" si="423">CM47-CM48</f>
        <v>2.5000000000000133E-2</v>
      </c>
    </row>
    <row r="50" spans="1:91" s="25" customFormat="1" ht="11.25" hidden="1" outlineLevel="1" x14ac:dyDescent="0.2">
      <c r="A50" s="695" t="s">
        <v>6</v>
      </c>
      <c r="B50" s="665"/>
      <c r="C50" s="664"/>
      <c r="D50" s="665"/>
      <c r="E50" s="665"/>
      <c r="F50" s="668"/>
      <c r="G50" s="746"/>
      <c r="H50" s="665"/>
      <c r="I50" s="664"/>
      <c r="J50" s="665"/>
      <c r="K50" s="665"/>
      <c r="L50" s="668"/>
      <c r="M50" s="746"/>
      <c r="N50" s="665"/>
      <c r="O50" s="664"/>
      <c r="P50" s="665"/>
      <c r="Q50" s="665"/>
      <c r="R50" s="668"/>
      <c r="S50" s="746"/>
      <c r="T50" s="665"/>
      <c r="U50" s="665"/>
      <c r="V50" s="665"/>
      <c r="W50" s="665"/>
      <c r="X50" s="665"/>
      <c r="Y50" s="665"/>
      <c r="Z50" s="665"/>
      <c r="AA50" s="665"/>
      <c r="AB50" s="665"/>
      <c r="AC50" s="665"/>
      <c r="AD50" s="665"/>
      <c r="AE50" s="665"/>
      <c r="AF50" s="665"/>
      <c r="AG50" s="665"/>
      <c r="AH50" s="665"/>
      <c r="AI50" s="665"/>
      <c r="AJ50" s="665"/>
      <c r="AK50" s="665"/>
      <c r="AL50" s="665"/>
      <c r="AM50" s="665"/>
      <c r="AN50" s="665"/>
      <c r="AO50" s="665"/>
      <c r="AP50" s="665"/>
      <c r="AQ50" s="665"/>
      <c r="AR50" s="665"/>
      <c r="AS50" s="665"/>
      <c r="AT50" s="665"/>
      <c r="AU50" s="665"/>
      <c r="AV50" s="665"/>
      <c r="AW50" s="665"/>
      <c r="AX50" s="665"/>
      <c r="AY50" s="664"/>
      <c r="AZ50" s="665"/>
      <c r="BA50" s="665"/>
      <c r="BB50" s="668"/>
      <c r="BC50" s="746"/>
      <c r="BD50" s="665"/>
      <c r="BE50" s="664"/>
      <c r="BF50" s="665"/>
      <c r="BG50" s="665"/>
      <c r="BH50" s="668"/>
      <c r="BI50" s="746"/>
      <c r="BJ50" s="665"/>
      <c r="BK50" s="722">
        <f>5/BE46</f>
        <v>6.7567567567567571E-2</v>
      </c>
      <c r="BL50" s="703">
        <f>5/BF46</f>
        <v>8.0645161290322578E-2</v>
      </c>
      <c r="BM50" s="673">
        <v>0</v>
      </c>
      <c r="BN50" s="674">
        <v>0</v>
      </c>
      <c r="BO50" s="732">
        <f>SUMPRODUCT(BK50:BN50,BE46:BH46)/BI46</f>
        <v>3.3333333333333333E-2</v>
      </c>
      <c r="BP50" s="665"/>
      <c r="BQ50" s="672">
        <v>0</v>
      </c>
      <c r="BR50" s="673">
        <v>0</v>
      </c>
      <c r="BS50" s="673">
        <v>0</v>
      </c>
      <c r="BT50" s="674">
        <v>0</v>
      </c>
      <c r="BU50" s="732">
        <f>SUMPRODUCT(BQ50:BT50,BK46:BN46)/BO46</f>
        <v>0</v>
      </c>
      <c r="BV50" s="665"/>
      <c r="BW50" s="672">
        <v>0</v>
      </c>
      <c r="BX50" s="673">
        <v>0</v>
      </c>
      <c r="BY50" s="673">
        <v>0</v>
      </c>
      <c r="BZ50" s="674">
        <v>0</v>
      </c>
      <c r="CA50" s="732">
        <f>SUMPRODUCT(BW50:BZ50,BQ46:BT46)/BU46</f>
        <v>0</v>
      </c>
      <c r="CB50" s="665"/>
      <c r="CC50" s="672">
        <v>0</v>
      </c>
      <c r="CD50" s="673">
        <v>0</v>
      </c>
      <c r="CE50" s="673">
        <v>0</v>
      </c>
      <c r="CF50" s="674">
        <v>0</v>
      </c>
      <c r="CG50" s="732">
        <f>SUMPRODUCT(CC50:CF50,BW46:BZ46)/CA46</f>
        <v>0</v>
      </c>
      <c r="CH50" s="665"/>
      <c r="CI50" s="672">
        <v>0</v>
      </c>
      <c r="CJ50" s="673">
        <v>0</v>
      </c>
      <c r="CK50" s="673">
        <v>0</v>
      </c>
      <c r="CL50" s="674">
        <v>0</v>
      </c>
      <c r="CM50" s="732">
        <f>SUMPRODUCT(CI50:CL50,CC46:CF46)/CG46</f>
        <v>0</v>
      </c>
    </row>
    <row r="51" spans="1:91" s="25" customFormat="1" ht="11.25" hidden="1" outlineLevel="1" x14ac:dyDescent="0.2">
      <c r="A51" s="695" t="s">
        <v>7</v>
      </c>
      <c r="B51" s="665"/>
      <c r="C51" s="664"/>
      <c r="D51" s="665"/>
      <c r="E51" s="665"/>
      <c r="F51" s="668"/>
      <c r="G51" s="746"/>
      <c r="H51" s="665"/>
      <c r="I51" s="664"/>
      <c r="J51" s="665"/>
      <c r="K51" s="665"/>
      <c r="L51" s="668"/>
      <c r="M51" s="746"/>
      <c r="N51" s="665"/>
      <c r="O51" s="664"/>
      <c r="P51" s="665"/>
      <c r="Q51" s="665"/>
      <c r="R51" s="668"/>
      <c r="S51" s="746"/>
      <c r="T51" s="665"/>
      <c r="U51" s="665"/>
      <c r="V51" s="665"/>
      <c r="W51" s="665"/>
      <c r="X51" s="665"/>
      <c r="Y51" s="665"/>
      <c r="Z51" s="665"/>
      <c r="AA51" s="665"/>
      <c r="AB51" s="665"/>
      <c r="AC51" s="665"/>
      <c r="AD51" s="665"/>
      <c r="AE51" s="665"/>
      <c r="AF51" s="665"/>
      <c r="AG51" s="665"/>
      <c r="AH51" s="665"/>
      <c r="AI51" s="665"/>
      <c r="AJ51" s="665"/>
      <c r="AK51" s="665"/>
      <c r="AL51" s="665"/>
      <c r="AM51" s="665"/>
      <c r="AN51" s="665"/>
      <c r="AO51" s="665"/>
      <c r="AP51" s="665"/>
      <c r="AQ51" s="665"/>
      <c r="AR51" s="665"/>
      <c r="AS51" s="665"/>
      <c r="AT51" s="665"/>
      <c r="AU51" s="665"/>
      <c r="AV51" s="665"/>
      <c r="AW51" s="665"/>
      <c r="AX51" s="665"/>
      <c r="AY51" s="664"/>
      <c r="AZ51" s="665"/>
      <c r="BA51" s="665"/>
      <c r="BB51" s="668"/>
      <c r="BC51" s="746"/>
      <c r="BD51" s="665"/>
      <c r="BE51" s="664"/>
      <c r="BF51" s="665"/>
      <c r="BG51" s="665"/>
      <c r="BH51" s="668"/>
      <c r="BI51" s="746"/>
      <c r="BJ51" s="665"/>
      <c r="BK51" s="724">
        <f>BK49-BK50</f>
        <v>0.12343243243243243</v>
      </c>
      <c r="BL51" s="704">
        <f t="shared" ref="BL51" si="424">BL49-BL50</f>
        <v>0.14435483870967741</v>
      </c>
      <c r="BM51" s="696">
        <f t="shared" ref="BM51" si="425">BM49-BM50</f>
        <v>1.4999999999999999E-2</v>
      </c>
      <c r="BN51" s="697">
        <f t="shared" ref="BN51" si="426">BN49-BN50</f>
        <v>1.9E-2</v>
      </c>
      <c r="BO51" s="732">
        <f t="shared" ref="BO51" si="427">BO49-BO50</f>
        <v>6.9573333333333404E-2</v>
      </c>
      <c r="BP51" s="665"/>
      <c r="BQ51" s="717">
        <f>BQ49-BQ50</f>
        <v>2.3E-2</v>
      </c>
      <c r="BR51" s="673">
        <v>0.02</v>
      </c>
      <c r="BS51" s="673">
        <v>0.02</v>
      </c>
      <c r="BT51" s="674">
        <v>0.02</v>
      </c>
      <c r="BU51" s="732">
        <f t="shared" ref="BU51" si="428">BU49-BU50</f>
        <v>2.081308411214948E-2</v>
      </c>
      <c r="BV51" s="665"/>
      <c r="BW51" s="672">
        <v>2.5000000000000001E-2</v>
      </c>
      <c r="BX51" s="673">
        <f>BW51</f>
        <v>2.5000000000000001E-2</v>
      </c>
      <c r="BY51" s="673">
        <f t="shared" ref="BY51:BZ51" si="429">BX51</f>
        <v>2.5000000000000001E-2</v>
      </c>
      <c r="BZ51" s="674">
        <f t="shared" si="429"/>
        <v>2.5000000000000001E-2</v>
      </c>
      <c r="CA51" s="732">
        <f t="shared" ref="CA51" si="430">CA49-CA50</f>
        <v>2.5000000000000092E-2</v>
      </c>
      <c r="CB51" s="665"/>
      <c r="CC51" s="672">
        <v>2.5000000000000001E-2</v>
      </c>
      <c r="CD51" s="673">
        <f>CC51</f>
        <v>2.5000000000000001E-2</v>
      </c>
      <c r="CE51" s="673">
        <f t="shared" ref="CE51:CF51" si="431">CD51</f>
        <v>2.5000000000000001E-2</v>
      </c>
      <c r="CF51" s="674">
        <f t="shared" si="431"/>
        <v>2.5000000000000001E-2</v>
      </c>
      <c r="CG51" s="732">
        <f t="shared" ref="CG51" si="432">CG49-CG50</f>
        <v>2.4999999999999911E-2</v>
      </c>
      <c r="CH51" s="665"/>
      <c r="CI51" s="672">
        <v>2.5000000000000001E-2</v>
      </c>
      <c r="CJ51" s="673">
        <f>CI51</f>
        <v>2.5000000000000001E-2</v>
      </c>
      <c r="CK51" s="673">
        <f t="shared" ref="CK51:CL51" si="433">CJ51</f>
        <v>2.5000000000000001E-2</v>
      </c>
      <c r="CL51" s="674">
        <f t="shared" si="433"/>
        <v>2.5000000000000001E-2</v>
      </c>
      <c r="CM51" s="732">
        <f t="shared" ref="CM51" si="434">CM49-CM50</f>
        <v>2.5000000000000133E-2</v>
      </c>
    </row>
    <row r="52" spans="1:91" s="25" customFormat="1" ht="11.25" collapsed="1" x14ac:dyDescent="0.2">
      <c r="A52" s="694" t="s">
        <v>11</v>
      </c>
      <c r="B52" s="665"/>
      <c r="C52" s="664"/>
      <c r="D52" s="665"/>
      <c r="E52" s="665"/>
      <c r="F52" s="668"/>
      <c r="G52" s="746"/>
      <c r="H52" s="665"/>
      <c r="I52" s="664"/>
      <c r="J52" s="665"/>
      <c r="K52" s="665"/>
      <c r="L52" s="668"/>
      <c r="M52" s="746"/>
      <c r="N52" s="665"/>
      <c r="O52" s="664"/>
      <c r="P52" s="665"/>
      <c r="Q52" s="665"/>
      <c r="R52" s="668"/>
      <c r="S52" s="746"/>
      <c r="T52" s="665"/>
      <c r="U52" s="665"/>
      <c r="V52" s="665"/>
      <c r="W52" s="665"/>
      <c r="X52" s="665"/>
      <c r="Y52" s="665"/>
      <c r="Z52" s="665"/>
      <c r="AA52" s="665"/>
      <c r="AB52" s="665"/>
      <c r="AC52" s="665"/>
      <c r="AD52" s="665"/>
      <c r="AE52" s="665"/>
      <c r="AF52" s="665"/>
      <c r="AG52" s="665"/>
      <c r="AH52" s="665"/>
      <c r="AI52" s="665"/>
      <c r="AJ52" s="665"/>
      <c r="AK52" s="665"/>
      <c r="AL52" s="665"/>
      <c r="AM52" s="665"/>
      <c r="AN52" s="665"/>
      <c r="AO52" s="665"/>
      <c r="AP52" s="665"/>
      <c r="AQ52" s="665"/>
      <c r="AR52" s="665"/>
      <c r="AS52" s="665"/>
      <c r="AT52" s="665"/>
      <c r="AU52" s="665"/>
      <c r="AV52" s="665"/>
      <c r="AW52" s="665"/>
      <c r="AX52" s="665"/>
      <c r="AY52" s="664"/>
      <c r="AZ52" s="665"/>
      <c r="BA52" s="665"/>
      <c r="BB52" s="668"/>
      <c r="BC52" s="746"/>
      <c r="BD52" s="665"/>
      <c r="BE52" s="718">
        <f>BE42+BE46</f>
        <v>223</v>
      </c>
      <c r="BF52" s="666">
        <f t="shared" ref="BF52:BH52" si="435">BF42+BF46</f>
        <v>222</v>
      </c>
      <c r="BG52" s="666">
        <f t="shared" si="435"/>
        <v>244</v>
      </c>
      <c r="BH52" s="667">
        <f t="shared" si="435"/>
        <v>247</v>
      </c>
      <c r="BI52" s="733">
        <f>SUM(BE52:BH52)</f>
        <v>936</v>
      </c>
      <c r="BJ52" s="665"/>
      <c r="BK52" s="726">
        <f>BK42+BK46</f>
        <v>261</v>
      </c>
      <c r="BL52" s="705">
        <f t="shared" ref="BL52:BN52" si="436">BL42+BL46</f>
        <v>242</v>
      </c>
      <c r="BM52" s="666">
        <f t="shared" si="436"/>
        <v>247</v>
      </c>
      <c r="BN52" s="667">
        <f t="shared" si="436"/>
        <v>253</v>
      </c>
      <c r="BO52" s="733">
        <f>SUM(BK52:BN52)</f>
        <v>1003</v>
      </c>
      <c r="BP52" s="665"/>
      <c r="BQ52" s="718">
        <f t="shared" ref="BQ52" si="437">BQ42+BQ46</f>
        <v>267</v>
      </c>
      <c r="BR52" s="666">
        <f t="shared" ref="BR52:BT52" si="438">BR42+BR46</f>
        <v>254.42738817462458</v>
      </c>
      <c r="BS52" s="666">
        <f t="shared" si="438"/>
        <v>256.92190956009136</v>
      </c>
      <c r="BT52" s="667">
        <f t="shared" si="438"/>
        <v>259.02347791795876</v>
      </c>
      <c r="BU52" s="733">
        <f>SUM(BQ52:BT52)</f>
        <v>1037.3727756526746</v>
      </c>
      <c r="BV52" s="665"/>
      <c r="BW52" s="718">
        <f>BW42+BW46</f>
        <v>276.77096614463926</v>
      </c>
      <c r="BX52" s="666">
        <f t="shared" ref="BX52:BZ52" si="439">BX42+BX46</f>
        <v>261.05654950989168</v>
      </c>
      <c r="BY52" s="666">
        <f t="shared" si="439"/>
        <v>263.34495729909361</v>
      </c>
      <c r="BZ52" s="667">
        <f t="shared" si="439"/>
        <v>265.49906486590771</v>
      </c>
      <c r="CA52" s="733">
        <f>SUM(BW52:BZ52)</f>
        <v>1066.6715378195322</v>
      </c>
      <c r="CB52" s="665"/>
      <c r="CC52" s="718">
        <f>CC42+CC46</f>
        <v>283.69024029825522</v>
      </c>
      <c r="CD52" s="666">
        <f t="shared" ref="CD52:CF52" si="440">CD42+CD46</f>
        <v>267.58296324763893</v>
      </c>
      <c r="CE52" s="666">
        <f t="shared" si="440"/>
        <v>269.92858123157094</v>
      </c>
      <c r="CF52" s="667">
        <f t="shared" si="440"/>
        <v>272.13654148755535</v>
      </c>
      <c r="CG52" s="733">
        <f>SUM(CC52:CF52)</f>
        <v>1093.3383262650204</v>
      </c>
      <c r="CH52" s="665"/>
      <c r="CI52" s="718">
        <f>CI42+CI46</f>
        <v>290.78249630571156</v>
      </c>
      <c r="CJ52" s="666">
        <f t="shared" ref="CJ52:CL52" si="441">CJ42+CJ46</f>
        <v>274.27253732882991</v>
      </c>
      <c r="CK52" s="666">
        <f t="shared" si="441"/>
        <v>276.6767957623602</v>
      </c>
      <c r="CL52" s="667">
        <f t="shared" si="441"/>
        <v>278.93995502474422</v>
      </c>
      <c r="CM52" s="733">
        <f>SUM(CI52:CL52)</f>
        <v>1120.671784421646</v>
      </c>
    </row>
    <row r="53" spans="1:91" s="25" customFormat="1" ht="11.25" x14ac:dyDescent="0.2">
      <c r="A53" s="695" t="s">
        <v>5</v>
      </c>
      <c r="B53" s="665"/>
      <c r="C53" s="664"/>
      <c r="D53" s="665"/>
      <c r="E53" s="665"/>
      <c r="F53" s="668"/>
      <c r="G53" s="746"/>
      <c r="H53" s="665"/>
      <c r="I53" s="664"/>
      <c r="J53" s="665"/>
      <c r="K53" s="665"/>
      <c r="L53" s="668"/>
      <c r="M53" s="746"/>
      <c r="N53" s="665"/>
      <c r="O53" s="664"/>
      <c r="P53" s="665"/>
      <c r="Q53" s="665"/>
      <c r="R53" s="668"/>
      <c r="S53" s="746"/>
      <c r="T53" s="665"/>
      <c r="U53" s="665"/>
      <c r="V53" s="665"/>
      <c r="W53" s="665"/>
      <c r="X53" s="665"/>
      <c r="Y53" s="665"/>
      <c r="Z53" s="665"/>
      <c r="AA53" s="665"/>
      <c r="AB53" s="665"/>
      <c r="AC53" s="665"/>
      <c r="AD53" s="665"/>
      <c r="AE53" s="665"/>
      <c r="AF53" s="665"/>
      <c r="AG53" s="665"/>
      <c r="AH53" s="665"/>
      <c r="AI53" s="665"/>
      <c r="AJ53" s="665"/>
      <c r="AK53" s="665"/>
      <c r="AL53" s="665"/>
      <c r="AM53" s="665"/>
      <c r="AN53" s="665"/>
      <c r="AO53" s="665"/>
      <c r="AP53" s="665"/>
      <c r="AQ53" s="665"/>
      <c r="AR53" s="665"/>
      <c r="AS53" s="665"/>
      <c r="AT53" s="665"/>
      <c r="AU53" s="665"/>
      <c r="AV53" s="665"/>
      <c r="AW53" s="665"/>
      <c r="AX53" s="665"/>
      <c r="AY53" s="664"/>
      <c r="AZ53" s="665"/>
      <c r="BA53" s="665"/>
      <c r="BB53" s="668"/>
      <c r="BC53" s="746"/>
      <c r="BD53" s="665"/>
      <c r="BE53" s="664"/>
      <c r="BF53" s="665"/>
      <c r="BG53" s="665"/>
      <c r="BH53" s="668"/>
      <c r="BI53" s="746"/>
      <c r="BJ53" s="665"/>
      <c r="BK53" s="724">
        <f>BK52/BE52-1</f>
        <v>0.17040358744394624</v>
      </c>
      <c r="BL53" s="704">
        <f t="shared" ref="BL53" si="442">BL52/BF52-1</f>
        <v>9.0090090090090058E-2</v>
      </c>
      <c r="BM53" s="696">
        <f t="shared" ref="BM53" si="443">BM52/BG52-1</f>
        <v>1.2295081967213184E-2</v>
      </c>
      <c r="BN53" s="697">
        <f t="shared" ref="BN53" si="444">BN52/BH52-1</f>
        <v>2.4291497975708509E-2</v>
      </c>
      <c r="BO53" s="732">
        <f t="shared" ref="BO53" si="445">BO52/BI52-1</f>
        <v>7.1581196581196549E-2</v>
      </c>
      <c r="BP53" s="665"/>
      <c r="BQ53" s="717">
        <f t="shared" ref="BQ53" si="446">BQ52/BK52-1</f>
        <v>2.2988505747126409E-2</v>
      </c>
      <c r="BR53" s="696">
        <f t="shared" ref="BR53" si="447">BR52/BL52-1</f>
        <v>5.1352843696795825E-2</v>
      </c>
      <c r="BS53" s="696">
        <f t="shared" ref="BS53" si="448">BS52/BM52-1</f>
        <v>4.0169674332353633E-2</v>
      </c>
      <c r="BT53" s="697">
        <f t="shared" ref="BT53:BU53" si="449">BT52/BN52-1</f>
        <v>2.3808213114461463E-2</v>
      </c>
      <c r="BU53" s="732">
        <f t="shared" si="449"/>
        <v>3.4269965755408416E-2</v>
      </c>
      <c r="BV53" s="665"/>
      <c r="BW53" s="717">
        <f>BW52/BQ52-1</f>
        <v>3.6595378818873536E-2</v>
      </c>
      <c r="BX53" s="696">
        <f t="shared" ref="BX53" si="450">BX52/BR52-1</f>
        <v>2.6055219065949098E-2</v>
      </c>
      <c r="BY53" s="696">
        <f t="shared" ref="BY53" si="451">BY52/BS52-1</f>
        <v>2.4999999999999911E-2</v>
      </c>
      <c r="BZ53" s="697">
        <f t="shared" ref="BZ53" si="452">BZ52/BT52-1</f>
        <v>2.4999999999999911E-2</v>
      </c>
      <c r="CA53" s="732">
        <f t="shared" ref="CA53" si="453">CA52/BU52-1</f>
        <v>2.824323411458729E-2</v>
      </c>
      <c r="CB53" s="665"/>
      <c r="CC53" s="717">
        <f>CC52/BW52-1</f>
        <v>2.4999999999999911E-2</v>
      </c>
      <c r="CD53" s="696">
        <f t="shared" ref="CD53" si="454">CD52/BX52-1</f>
        <v>2.4999999999999911E-2</v>
      </c>
      <c r="CE53" s="696">
        <f t="shared" ref="CE53" si="455">CE52/BY52-1</f>
        <v>2.4999999999999911E-2</v>
      </c>
      <c r="CF53" s="697">
        <f t="shared" ref="CF53" si="456">CF52/BZ52-1</f>
        <v>2.4999999999999689E-2</v>
      </c>
      <c r="CG53" s="732">
        <f t="shared" ref="CG53" si="457">CG52/CA52-1</f>
        <v>2.4999999999999911E-2</v>
      </c>
      <c r="CH53" s="665"/>
      <c r="CI53" s="717">
        <f>CI52/CC52-1</f>
        <v>2.4999999999999911E-2</v>
      </c>
      <c r="CJ53" s="696">
        <f t="shared" ref="CJ53" si="458">CJ52/CD52-1</f>
        <v>2.5000000000000133E-2</v>
      </c>
      <c r="CK53" s="696">
        <f t="shared" ref="CK53" si="459">CK52/CE52-1</f>
        <v>2.4999999999999911E-2</v>
      </c>
      <c r="CL53" s="697">
        <f t="shared" ref="CL53" si="460">CL52/CF52-1</f>
        <v>2.4999999999999911E-2</v>
      </c>
      <c r="CM53" s="732">
        <f t="shared" ref="CM53" si="461">CM52/CG52-1</f>
        <v>2.4999999999999911E-2</v>
      </c>
    </row>
    <row r="54" spans="1:91" s="25" customFormat="1" ht="11.25" x14ac:dyDescent="0.2">
      <c r="A54" s="695" t="s">
        <v>9</v>
      </c>
      <c r="B54" s="665"/>
      <c r="C54" s="664"/>
      <c r="D54" s="665"/>
      <c r="E54" s="665"/>
      <c r="F54" s="668"/>
      <c r="G54" s="746"/>
      <c r="H54" s="665"/>
      <c r="I54" s="664"/>
      <c r="J54" s="665"/>
      <c r="K54" s="665"/>
      <c r="L54" s="668"/>
      <c r="M54" s="746"/>
      <c r="N54" s="665"/>
      <c r="O54" s="664"/>
      <c r="P54" s="665"/>
      <c r="Q54" s="665"/>
      <c r="R54" s="668"/>
      <c r="S54" s="746"/>
      <c r="T54" s="665"/>
      <c r="U54" s="665"/>
      <c r="V54" s="665"/>
      <c r="W54" s="665"/>
      <c r="X54" s="665"/>
      <c r="Y54" s="665"/>
      <c r="Z54" s="665"/>
      <c r="AA54" s="665"/>
      <c r="AB54" s="665"/>
      <c r="AC54" s="665"/>
      <c r="AD54" s="665"/>
      <c r="AE54" s="665"/>
      <c r="AF54" s="665"/>
      <c r="AG54" s="665"/>
      <c r="AH54" s="665"/>
      <c r="AI54" s="665"/>
      <c r="AJ54" s="665"/>
      <c r="AK54" s="665"/>
      <c r="AL54" s="665"/>
      <c r="AM54" s="665"/>
      <c r="AN54" s="665"/>
      <c r="AO54" s="665"/>
      <c r="AP54" s="665"/>
      <c r="AQ54" s="665"/>
      <c r="AR54" s="665"/>
      <c r="AS54" s="665"/>
      <c r="AT54" s="665"/>
      <c r="AU54" s="665"/>
      <c r="AV54" s="665"/>
      <c r="AW54" s="665"/>
      <c r="AX54" s="665"/>
      <c r="AY54" s="664"/>
      <c r="AZ54" s="665"/>
      <c r="BA54" s="665"/>
      <c r="BB54" s="668"/>
      <c r="BC54" s="746"/>
      <c r="BD54" s="665"/>
      <c r="BE54" s="664"/>
      <c r="BF54" s="665"/>
      <c r="BG54" s="665"/>
      <c r="BH54" s="668"/>
      <c r="BI54" s="746"/>
      <c r="BJ54" s="665"/>
      <c r="BK54" s="724">
        <f>BK48*BE46/BE52</f>
        <v>-5.0852017937219806E-3</v>
      </c>
      <c r="BL54" s="704">
        <f t="shared" ref="BL54" si="462">BL48*BF46/BF52</f>
        <v>-1.3288288288288271E-2</v>
      </c>
      <c r="BM54" s="696">
        <f t="shared" ref="BM54" si="463">BM48*BG46/BG52</f>
        <v>-1.3237704918032793E-2</v>
      </c>
      <c r="BN54" s="697">
        <f t="shared" ref="BN54" si="464">BN48*BH46/BH52</f>
        <v>-1.0356275303643728E-2</v>
      </c>
      <c r="BO54" s="732">
        <f>SUMPRODUCT(BK54:BN54,BE52:BH52)/BI52</f>
        <v>-1.0547008547008546E-2</v>
      </c>
      <c r="BP54" s="665"/>
      <c r="BQ54" s="717">
        <f t="shared" ref="BQ54" si="465">BQ48*BK46/BK52</f>
        <v>3.8275862068965745E-3</v>
      </c>
      <c r="BR54" s="696">
        <f t="shared" ref="BR54" si="466">BR48*BL46/BL52</f>
        <v>2.0877637085225543E-2</v>
      </c>
      <c r="BS54" s="696">
        <f t="shared" ref="BS54" si="467">BS48*BM46/BM52</f>
        <v>1.6789107530734374E-2</v>
      </c>
      <c r="BT54" s="697">
        <f t="shared" ref="BT54" si="468">BT48*BN46/BN52</f>
        <v>7.2074226006275171E-3</v>
      </c>
      <c r="BU54" s="732">
        <f>SUMPRODUCT(BQ54:BT54,BK52:BN52)/BO52</f>
        <v>1.1985818198080497E-2</v>
      </c>
      <c r="BV54" s="665"/>
      <c r="BW54" s="717">
        <f>BW48*BQ46/BQ52</f>
        <v>1.1595378818873722E-2</v>
      </c>
      <c r="BX54" s="696">
        <f t="shared" ref="BX54" si="469">BX48*BR46/BR52</f>
        <v>1.0552190659491236E-3</v>
      </c>
      <c r="BY54" s="696">
        <f t="shared" ref="BY54" si="470">BY48*BS46/BS52</f>
        <v>0</v>
      </c>
      <c r="BZ54" s="697">
        <f t="shared" ref="BZ54" si="471">BZ48*BT46/BT52</f>
        <v>0</v>
      </c>
      <c r="CA54" s="732">
        <f>SUMPRODUCT(BW54:BZ54,BQ52:BT52)/BU52</f>
        <v>3.2432341145872175E-3</v>
      </c>
      <c r="CB54" s="665"/>
      <c r="CC54" s="717">
        <f>CC48*BW46/BW52</f>
        <v>0</v>
      </c>
      <c r="CD54" s="696">
        <f t="shared" ref="CD54" si="472">CD48*BX46/BX52</f>
        <v>0</v>
      </c>
      <c r="CE54" s="696">
        <f t="shared" ref="CE54" si="473">CE48*BY46/BY52</f>
        <v>0</v>
      </c>
      <c r="CF54" s="697">
        <f t="shared" ref="CF54" si="474">CF48*BZ46/BZ52</f>
        <v>0</v>
      </c>
      <c r="CG54" s="732">
        <f>SUMPRODUCT(CC54:CF54,BW52:BZ52)/CA52</f>
        <v>0</v>
      </c>
      <c r="CH54" s="665"/>
      <c r="CI54" s="717">
        <f>CI48*CC46/CC52</f>
        <v>0</v>
      </c>
      <c r="CJ54" s="696">
        <f t="shared" ref="CJ54" si="475">CJ48*CD46/CD52</f>
        <v>0</v>
      </c>
      <c r="CK54" s="696">
        <f t="shared" ref="CK54" si="476">CK48*CE46/CE52</f>
        <v>0</v>
      </c>
      <c r="CL54" s="697">
        <f t="shared" ref="CL54" si="477">CL48*CF46/CF52</f>
        <v>0</v>
      </c>
      <c r="CM54" s="732">
        <f>SUMPRODUCT(CI54:CL54,CC52:CF52)/CG52</f>
        <v>0</v>
      </c>
    </row>
    <row r="55" spans="1:91" s="25" customFormat="1" ht="11.25" x14ac:dyDescent="0.2">
      <c r="A55" s="695" t="s">
        <v>10</v>
      </c>
      <c r="B55" s="665"/>
      <c r="C55" s="664"/>
      <c r="D55" s="665"/>
      <c r="E55" s="665"/>
      <c r="F55" s="668"/>
      <c r="G55" s="746"/>
      <c r="H55" s="665"/>
      <c r="I55" s="664"/>
      <c r="J55" s="665"/>
      <c r="K55" s="665"/>
      <c r="L55" s="668"/>
      <c r="M55" s="746"/>
      <c r="N55" s="665"/>
      <c r="O55" s="664"/>
      <c r="P55" s="665"/>
      <c r="Q55" s="665"/>
      <c r="R55" s="668"/>
      <c r="S55" s="746"/>
      <c r="T55" s="665"/>
      <c r="U55" s="665"/>
      <c r="V55" s="665"/>
      <c r="W55" s="665"/>
      <c r="X55" s="665"/>
      <c r="Y55" s="665"/>
      <c r="Z55" s="665"/>
      <c r="AA55" s="665"/>
      <c r="AB55" s="665"/>
      <c r="AC55" s="665"/>
      <c r="AD55" s="665"/>
      <c r="AE55" s="665"/>
      <c r="AF55" s="665"/>
      <c r="AG55" s="665"/>
      <c r="AH55" s="665"/>
      <c r="AI55" s="665"/>
      <c r="AJ55" s="665"/>
      <c r="AK55" s="665"/>
      <c r="AL55" s="665"/>
      <c r="AM55" s="665"/>
      <c r="AN55" s="665"/>
      <c r="AO55" s="665"/>
      <c r="AP55" s="665"/>
      <c r="AQ55" s="665"/>
      <c r="AR55" s="665"/>
      <c r="AS55" s="665"/>
      <c r="AT55" s="665"/>
      <c r="AU55" s="665"/>
      <c r="AV55" s="665"/>
      <c r="AW55" s="665"/>
      <c r="AX55" s="665"/>
      <c r="AY55" s="664"/>
      <c r="AZ55" s="665"/>
      <c r="BA55" s="665"/>
      <c r="BB55" s="668"/>
      <c r="BC55" s="746"/>
      <c r="BD55" s="665"/>
      <c r="BE55" s="664"/>
      <c r="BF55" s="665"/>
      <c r="BG55" s="665"/>
      <c r="BH55" s="668"/>
      <c r="BI55" s="746"/>
      <c r="BJ55" s="665"/>
      <c r="BK55" s="724">
        <f>BK53-BK54</f>
        <v>0.17548878923766822</v>
      </c>
      <c r="BL55" s="704">
        <f t="shared" ref="BL55" si="478">BL53-BL54</f>
        <v>0.10337837837837832</v>
      </c>
      <c r="BM55" s="696">
        <f t="shared" ref="BM55" si="479">BM53-BM54</f>
        <v>2.5532786885245976E-2</v>
      </c>
      <c r="BN55" s="697">
        <f t="shared" ref="BN55" si="480">BN53-BN54</f>
        <v>3.4647773279352236E-2</v>
      </c>
      <c r="BO55" s="732">
        <f t="shared" ref="BO55" si="481">BO53-BO54</f>
        <v>8.2128205128205095E-2</v>
      </c>
      <c r="BP55" s="665"/>
      <c r="BQ55" s="717">
        <f t="shared" ref="BQ55" si="482">BQ53-BQ54</f>
        <v>1.9160919540229835E-2</v>
      </c>
      <c r="BR55" s="696">
        <f t="shared" ref="BR55:BU55" si="483">BR53-BR54</f>
        <v>3.0475206611570282E-2</v>
      </c>
      <c r="BS55" s="696">
        <f t="shared" si="483"/>
        <v>2.3380566801619259E-2</v>
      </c>
      <c r="BT55" s="697">
        <f t="shared" si="483"/>
        <v>1.6600790513833945E-2</v>
      </c>
      <c r="BU55" s="732">
        <f t="shared" si="483"/>
        <v>2.2284147557327917E-2</v>
      </c>
      <c r="BV55" s="665"/>
      <c r="BW55" s="717">
        <f>BW53-BW54</f>
        <v>2.4999999999999814E-2</v>
      </c>
      <c r="BX55" s="696">
        <f t="shared" ref="BX55:CA55" si="484">BX53-BX54</f>
        <v>2.4999999999999974E-2</v>
      </c>
      <c r="BY55" s="696">
        <f t="shared" si="484"/>
        <v>2.4999999999999911E-2</v>
      </c>
      <c r="BZ55" s="697">
        <f t="shared" si="484"/>
        <v>2.4999999999999911E-2</v>
      </c>
      <c r="CA55" s="732">
        <f t="shared" si="484"/>
        <v>2.5000000000000071E-2</v>
      </c>
      <c r="CB55" s="665"/>
      <c r="CC55" s="717">
        <f>CC53-CC54</f>
        <v>2.4999999999999911E-2</v>
      </c>
      <c r="CD55" s="696">
        <f t="shared" ref="CD55:CG55" si="485">CD53-CD54</f>
        <v>2.4999999999999911E-2</v>
      </c>
      <c r="CE55" s="696">
        <f t="shared" si="485"/>
        <v>2.4999999999999911E-2</v>
      </c>
      <c r="CF55" s="697">
        <f t="shared" si="485"/>
        <v>2.4999999999999689E-2</v>
      </c>
      <c r="CG55" s="732">
        <f t="shared" si="485"/>
        <v>2.4999999999999911E-2</v>
      </c>
      <c r="CH55" s="665"/>
      <c r="CI55" s="717">
        <f>CI53-CI54</f>
        <v>2.4999999999999911E-2</v>
      </c>
      <c r="CJ55" s="696">
        <f t="shared" ref="CJ55:CM55" si="486">CJ53-CJ54</f>
        <v>2.5000000000000133E-2</v>
      </c>
      <c r="CK55" s="696">
        <f t="shared" si="486"/>
        <v>2.4999999999999911E-2</v>
      </c>
      <c r="CL55" s="697">
        <f t="shared" si="486"/>
        <v>2.4999999999999911E-2</v>
      </c>
      <c r="CM55" s="732">
        <f t="shared" si="486"/>
        <v>2.4999999999999911E-2</v>
      </c>
    </row>
    <row r="56" spans="1:91" s="25" customFormat="1" ht="11.25" x14ac:dyDescent="0.2">
      <c r="A56" s="695" t="s">
        <v>6</v>
      </c>
      <c r="B56" s="665"/>
      <c r="C56" s="664"/>
      <c r="D56" s="665"/>
      <c r="E56" s="665"/>
      <c r="F56" s="668"/>
      <c r="G56" s="746"/>
      <c r="H56" s="665"/>
      <c r="I56" s="664"/>
      <c r="J56" s="665"/>
      <c r="K56" s="665"/>
      <c r="L56" s="668"/>
      <c r="M56" s="746"/>
      <c r="N56" s="665"/>
      <c r="O56" s="664"/>
      <c r="P56" s="665"/>
      <c r="Q56" s="665"/>
      <c r="R56" s="668"/>
      <c r="S56" s="746"/>
      <c r="T56" s="665"/>
      <c r="U56" s="665"/>
      <c r="V56" s="665"/>
      <c r="W56" s="665"/>
      <c r="X56" s="665"/>
      <c r="Y56" s="665"/>
      <c r="Z56" s="665"/>
      <c r="AA56" s="665"/>
      <c r="AB56" s="665"/>
      <c r="AC56" s="665"/>
      <c r="AD56" s="665"/>
      <c r="AE56" s="665"/>
      <c r="AF56" s="665"/>
      <c r="AG56" s="665"/>
      <c r="AH56" s="665"/>
      <c r="AI56" s="665"/>
      <c r="AJ56" s="665"/>
      <c r="AK56" s="665"/>
      <c r="AL56" s="665"/>
      <c r="AM56" s="665"/>
      <c r="AN56" s="665"/>
      <c r="AO56" s="665"/>
      <c r="AP56" s="665"/>
      <c r="AQ56" s="665"/>
      <c r="AR56" s="665"/>
      <c r="AS56" s="665"/>
      <c r="AT56" s="665"/>
      <c r="AU56" s="665"/>
      <c r="AV56" s="665"/>
      <c r="AW56" s="665"/>
      <c r="AX56" s="665"/>
      <c r="AY56" s="664"/>
      <c r="AZ56" s="665"/>
      <c r="BA56" s="665"/>
      <c r="BB56" s="668"/>
      <c r="BC56" s="746"/>
      <c r="BD56" s="665"/>
      <c r="BE56" s="672"/>
      <c r="BF56" s="673"/>
      <c r="BG56" s="673"/>
      <c r="BH56" s="674"/>
      <c r="BI56" s="746"/>
      <c r="BJ56" s="665"/>
      <c r="BK56" s="724">
        <f t="shared" ref="BK56:BL56" si="487">(BK44*BE42+BK50*BE46)/BE52</f>
        <v>0.10089686098654709</v>
      </c>
      <c r="BL56" s="704">
        <f t="shared" si="487"/>
        <v>4.6171171171171171E-2</v>
      </c>
      <c r="BM56" s="696">
        <f t="shared" ref="BM56" si="488">(BM44*BG42+BM50*BG46)/BG52</f>
        <v>0</v>
      </c>
      <c r="BN56" s="697">
        <f t="shared" ref="BN56" si="489">(BN44*BH42+BN50*BH46)/BH52</f>
        <v>0</v>
      </c>
      <c r="BO56" s="732">
        <f>SUMPRODUCT(BK56:BN56,BE52:BH52)/BI52</f>
        <v>3.498931623931624E-2</v>
      </c>
      <c r="BP56" s="665"/>
      <c r="BQ56" s="717">
        <f t="shared" ref="BQ56" si="490">(BQ44*BK42+BQ50*BK46)/BK52</f>
        <v>0</v>
      </c>
      <c r="BR56" s="696">
        <f t="shared" ref="BR56" si="491">(BR44*BL42+BR50*BL46)/BL52</f>
        <v>0</v>
      </c>
      <c r="BS56" s="696">
        <f t="shared" ref="BS56" si="492">(BS44*BM42+BS50*BM46)/BM52</f>
        <v>0</v>
      </c>
      <c r="BT56" s="697">
        <f t="shared" ref="BT56" si="493">(BT44*BN42+BT50*BN46)/BN52</f>
        <v>0</v>
      </c>
      <c r="BU56" s="732">
        <f>SUMPRODUCT(BQ56:BT56,BK52:BN52)/BO52</f>
        <v>0</v>
      </c>
      <c r="BV56" s="665"/>
      <c r="BW56" s="717">
        <f t="shared" ref="BW56" si="494">(BW44*BQ42+BW50*BQ46)/BQ52</f>
        <v>0</v>
      </c>
      <c r="BX56" s="696">
        <f t="shared" ref="BX56" si="495">(BX44*BR42+BX50*BR46)/BR52</f>
        <v>0</v>
      </c>
      <c r="BY56" s="696">
        <f t="shared" ref="BY56" si="496">(BY44*BS42+BY50*BS46)/BS52</f>
        <v>0</v>
      </c>
      <c r="BZ56" s="697">
        <f t="shared" ref="BZ56" si="497">(BZ44*BT42+BZ50*BT46)/BT52</f>
        <v>0</v>
      </c>
      <c r="CA56" s="732">
        <f>SUMPRODUCT(BW56:BZ56,BQ52:BT52)/BU52</f>
        <v>0</v>
      </c>
      <c r="CB56" s="665"/>
      <c r="CC56" s="717">
        <f t="shared" ref="CC56" si="498">(CC44*BW42+CC50*BW46)/BW52</f>
        <v>0</v>
      </c>
      <c r="CD56" s="696">
        <f t="shared" ref="CD56" si="499">(CD44*BX42+CD50*BX46)/BX52</f>
        <v>0</v>
      </c>
      <c r="CE56" s="696">
        <f t="shared" ref="CE56" si="500">(CE44*BY42+CE50*BY46)/BY52</f>
        <v>0</v>
      </c>
      <c r="CF56" s="697">
        <f t="shared" ref="CF56" si="501">(CF44*BZ42+CF50*BZ46)/BZ52</f>
        <v>0</v>
      </c>
      <c r="CG56" s="732">
        <f>SUMPRODUCT(CC56:CF56,BW52:BZ52)/CA52</f>
        <v>0</v>
      </c>
      <c r="CH56" s="665"/>
      <c r="CI56" s="717">
        <f t="shared" ref="CI56" si="502">(CI44*CC42+CI50*CC46)/CC52</f>
        <v>0</v>
      </c>
      <c r="CJ56" s="696">
        <f t="shared" ref="CJ56" si="503">(CJ44*CD42+CJ50*CD46)/CD52</f>
        <v>0</v>
      </c>
      <c r="CK56" s="696">
        <f t="shared" ref="CK56" si="504">(CK44*CE42+CK50*CE46)/CE52</f>
        <v>0</v>
      </c>
      <c r="CL56" s="697">
        <f t="shared" ref="CL56" si="505">(CL44*CF42+CL50*CF46)/CF52</f>
        <v>0</v>
      </c>
      <c r="CM56" s="732">
        <f>SUMPRODUCT(CI56:CL56,CC52:CF52)/CG52</f>
        <v>0</v>
      </c>
    </row>
    <row r="57" spans="1:91" s="25" customFormat="1" ht="11.25" x14ac:dyDescent="0.2">
      <c r="A57" s="695" t="s">
        <v>7</v>
      </c>
      <c r="B57" s="665"/>
      <c r="C57" s="664"/>
      <c r="D57" s="665"/>
      <c r="E57" s="665"/>
      <c r="F57" s="668"/>
      <c r="G57" s="746"/>
      <c r="H57" s="665"/>
      <c r="I57" s="664"/>
      <c r="J57" s="665"/>
      <c r="K57" s="665"/>
      <c r="L57" s="668"/>
      <c r="M57" s="746"/>
      <c r="N57" s="665"/>
      <c r="O57" s="664"/>
      <c r="P57" s="665"/>
      <c r="Q57" s="665"/>
      <c r="R57" s="668"/>
      <c r="S57" s="746"/>
      <c r="T57" s="665"/>
      <c r="U57" s="665"/>
      <c r="V57" s="665"/>
      <c r="W57" s="665"/>
      <c r="X57" s="665"/>
      <c r="Y57" s="665"/>
      <c r="Z57" s="665"/>
      <c r="AA57" s="665"/>
      <c r="AB57" s="665"/>
      <c r="AC57" s="665"/>
      <c r="AD57" s="665"/>
      <c r="AE57" s="665"/>
      <c r="AF57" s="665"/>
      <c r="AG57" s="665"/>
      <c r="AH57" s="665"/>
      <c r="AI57" s="665"/>
      <c r="AJ57" s="665"/>
      <c r="AK57" s="665"/>
      <c r="AL57" s="665"/>
      <c r="AM57" s="665"/>
      <c r="AN57" s="665"/>
      <c r="AO57" s="665"/>
      <c r="AP57" s="665"/>
      <c r="AQ57" s="665"/>
      <c r="AR57" s="665"/>
      <c r="AS57" s="665"/>
      <c r="AT57" s="665"/>
      <c r="AU57" s="665"/>
      <c r="AV57" s="665"/>
      <c r="AW57" s="665"/>
      <c r="AX57" s="665"/>
      <c r="AY57" s="664"/>
      <c r="AZ57" s="665"/>
      <c r="BA57" s="665"/>
      <c r="BB57" s="668"/>
      <c r="BC57" s="746"/>
      <c r="BD57" s="665"/>
      <c r="BE57" s="672"/>
      <c r="BF57" s="673"/>
      <c r="BG57" s="673"/>
      <c r="BH57" s="674"/>
      <c r="BI57" s="671"/>
      <c r="BJ57" s="665"/>
      <c r="BK57" s="724">
        <f>BK55-BK56</f>
        <v>7.459192825112114E-2</v>
      </c>
      <c r="BL57" s="704">
        <f t="shared" ref="BL57" si="506">BL55-BL56</f>
        <v>5.720720720720715E-2</v>
      </c>
      <c r="BM57" s="696">
        <f t="shared" ref="BM57" si="507">BM55-BM56</f>
        <v>2.5532786885245976E-2</v>
      </c>
      <c r="BN57" s="697">
        <f t="shared" ref="BN57" si="508">BN55-BN56</f>
        <v>3.4647773279352236E-2</v>
      </c>
      <c r="BO57" s="732">
        <f t="shared" ref="BO57" si="509">BO55-BO56</f>
        <v>4.7138888888888855E-2</v>
      </c>
      <c r="BP57" s="665"/>
      <c r="BQ57" s="717">
        <f t="shared" ref="BQ57" si="510">BQ55-BQ56</f>
        <v>1.9160919540229835E-2</v>
      </c>
      <c r="BR57" s="696">
        <f t="shared" ref="BR57:BU57" si="511">BR55-BR56</f>
        <v>3.0475206611570282E-2</v>
      </c>
      <c r="BS57" s="696">
        <f t="shared" si="511"/>
        <v>2.3380566801619259E-2</v>
      </c>
      <c r="BT57" s="697">
        <f t="shared" si="511"/>
        <v>1.6600790513833945E-2</v>
      </c>
      <c r="BU57" s="732">
        <f t="shared" si="511"/>
        <v>2.2284147557327917E-2</v>
      </c>
      <c r="BV57" s="665"/>
      <c r="BW57" s="717">
        <f>BW55-BW56</f>
        <v>2.4999999999999814E-2</v>
      </c>
      <c r="BX57" s="696">
        <f t="shared" ref="BX57:CA57" si="512">BX55-BX56</f>
        <v>2.4999999999999974E-2</v>
      </c>
      <c r="BY57" s="696">
        <f t="shared" si="512"/>
        <v>2.4999999999999911E-2</v>
      </c>
      <c r="BZ57" s="697">
        <f t="shared" si="512"/>
        <v>2.4999999999999911E-2</v>
      </c>
      <c r="CA57" s="732">
        <f t="shared" si="512"/>
        <v>2.5000000000000071E-2</v>
      </c>
      <c r="CB57" s="665"/>
      <c r="CC57" s="717">
        <f>CC55-CC56</f>
        <v>2.4999999999999911E-2</v>
      </c>
      <c r="CD57" s="696">
        <f t="shared" ref="CD57:CG57" si="513">CD55-CD56</f>
        <v>2.4999999999999911E-2</v>
      </c>
      <c r="CE57" s="696">
        <f t="shared" si="513"/>
        <v>2.4999999999999911E-2</v>
      </c>
      <c r="CF57" s="697">
        <f t="shared" si="513"/>
        <v>2.4999999999999689E-2</v>
      </c>
      <c r="CG57" s="732">
        <f t="shared" si="513"/>
        <v>2.4999999999999911E-2</v>
      </c>
      <c r="CH57" s="665"/>
      <c r="CI57" s="717">
        <f>CI55-CI56</f>
        <v>2.4999999999999911E-2</v>
      </c>
      <c r="CJ57" s="696">
        <f t="shared" ref="CJ57:CM57" si="514">CJ55-CJ56</f>
        <v>2.5000000000000133E-2</v>
      </c>
      <c r="CK57" s="696">
        <f t="shared" si="514"/>
        <v>2.4999999999999911E-2</v>
      </c>
      <c r="CL57" s="697">
        <f t="shared" si="514"/>
        <v>2.4999999999999911E-2</v>
      </c>
      <c r="CM57" s="732">
        <f t="shared" si="514"/>
        <v>2.4999999999999911E-2</v>
      </c>
    </row>
    <row r="58" spans="1:91" s="25" customFormat="1" ht="11.25" x14ac:dyDescent="0.2">
      <c r="A58" s="706" t="s">
        <v>23</v>
      </c>
      <c r="B58" s="707"/>
      <c r="C58" s="728"/>
      <c r="D58" s="707"/>
      <c r="E58" s="707"/>
      <c r="F58" s="708"/>
      <c r="G58" s="739"/>
      <c r="H58" s="707"/>
      <c r="I58" s="728"/>
      <c r="J58" s="707"/>
      <c r="K58" s="707"/>
      <c r="L58" s="708"/>
      <c r="M58" s="739"/>
      <c r="N58" s="707"/>
      <c r="O58" s="728"/>
      <c r="P58" s="707"/>
      <c r="Q58" s="707"/>
      <c r="R58" s="708"/>
      <c r="S58" s="739"/>
      <c r="T58" s="707"/>
      <c r="U58" s="707"/>
      <c r="V58" s="707"/>
      <c r="W58" s="707"/>
      <c r="X58" s="707"/>
      <c r="Y58" s="707"/>
      <c r="Z58" s="707"/>
      <c r="AA58" s="707"/>
      <c r="AB58" s="707"/>
      <c r="AC58" s="707"/>
      <c r="AD58" s="707"/>
      <c r="AE58" s="707"/>
      <c r="AF58" s="707"/>
      <c r="AG58" s="707"/>
      <c r="AH58" s="707"/>
      <c r="AI58" s="707"/>
      <c r="AJ58" s="707"/>
      <c r="AK58" s="707"/>
      <c r="AL58" s="707"/>
      <c r="AM58" s="707"/>
      <c r="AN58" s="707"/>
      <c r="AO58" s="707"/>
      <c r="AP58" s="707"/>
      <c r="AQ58" s="707"/>
      <c r="AR58" s="707"/>
      <c r="AS58" s="707"/>
      <c r="AT58" s="707"/>
      <c r="AU58" s="707"/>
      <c r="AV58" s="707"/>
      <c r="AW58" s="707"/>
      <c r="AX58" s="707"/>
      <c r="AY58" s="728"/>
      <c r="AZ58" s="707"/>
      <c r="BA58" s="707"/>
      <c r="BB58" s="708"/>
      <c r="BC58" s="739"/>
      <c r="BD58" s="707"/>
      <c r="BE58" s="728"/>
      <c r="BF58" s="707"/>
      <c r="BG58" s="707"/>
      <c r="BH58" s="708"/>
      <c r="BI58" s="739"/>
      <c r="BJ58" s="707"/>
      <c r="BK58" s="728"/>
      <c r="BL58" s="707"/>
      <c r="BM58" s="707"/>
      <c r="BN58" s="708"/>
      <c r="BO58" s="739"/>
      <c r="BP58" s="707"/>
      <c r="BQ58" s="728"/>
      <c r="BR58" s="707"/>
      <c r="BS58" s="707"/>
      <c r="BT58" s="708"/>
      <c r="BU58" s="739"/>
      <c r="BV58" s="707"/>
      <c r="BW58" s="728"/>
      <c r="BX58" s="707"/>
      <c r="BY58" s="707"/>
      <c r="BZ58" s="708"/>
      <c r="CA58" s="739"/>
      <c r="CB58" s="707"/>
      <c r="CC58" s="728"/>
      <c r="CD58" s="707"/>
      <c r="CE58" s="707"/>
      <c r="CF58" s="708"/>
      <c r="CG58" s="739"/>
      <c r="CH58" s="707"/>
      <c r="CI58" s="728"/>
      <c r="CJ58" s="707"/>
      <c r="CK58" s="707"/>
      <c r="CL58" s="708"/>
      <c r="CM58" s="739"/>
    </row>
    <row r="59" spans="1:91" s="25" customFormat="1" ht="11.25" hidden="1" outlineLevel="1" x14ac:dyDescent="0.2">
      <c r="A59" s="694" t="s">
        <v>4</v>
      </c>
      <c r="B59" s="665"/>
      <c r="C59" s="664"/>
      <c r="D59" s="665"/>
      <c r="E59" s="665"/>
      <c r="F59" s="668"/>
      <c r="G59" s="746"/>
      <c r="H59" s="665"/>
      <c r="I59" s="664"/>
      <c r="J59" s="665"/>
      <c r="K59" s="665"/>
      <c r="L59" s="668"/>
      <c r="M59" s="746"/>
      <c r="N59" s="665"/>
      <c r="O59" s="664"/>
      <c r="P59" s="665"/>
      <c r="Q59" s="665"/>
      <c r="R59" s="668"/>
      <c r="S59" s="746"/>
      <c r="T59" s="665"/>
      <c r="U59" s="665"/>
      <c r="V59" s="665"/>
      <c r="W59" s="665"/>
      <c r="X59" s="665"/>
      <c r="Y59" s="665"/>
      <c r="Z59" s="665"/>
      <c r="AA59" s="665"/>
      <c r="AB59" s="665"/>
      <c r="AC59" s="665"/>
      <c r="AD59" s="665"/>
      <c r="AE59" s="665"/>
      <c r="AF59" s="665"/>
      <c r="AG59" s="665"/>
      <c r="AH59" s="665"/>
      <c r="AI59" s="665"/>
      <c r="AJ59" s="665"/>
      <c r="AK59" s="665"/>
      <c r="AL59" s="665"/>
      <c r="AM59" s="665"/>
      <c r="AN59" s="665"/>
      <c r="AO59" s="665"/>
      <c r="AP59" s="665"/>
      <c r="AQ59" s="665"/>
      <c r="AR59" s="665"/>
      <c r="AS59" s="665"/>
      <c r="AT59" s="665"/>
      <c r="AU59" s="665"/>
      <c r="AV59" s="665"/>
      <c r="AW59" s="665"/>
      <c r="AX59" s="665"/>
      <c r="AY59" s="664"/>
      <c r="AZ59" s="665"/>
      <c r="BA59" s="665"/>
      <c r="BB59" s="668"/>
      <c r="BC59" s="746"/>
      <c r="BD59" s="665"/>
      <c r="BE59" s="718">
        <f>BE8+BE25+BE42</f>
        <v>574</v>
      </c>
      <c r="BF59" s="666">
        <f t="shared" ref="BF59:BH59" si="515">BF8+BF25+BF42</f>
        <v>594</v>
      </c>
      <c r="BG59" s="666">
        <f t="shared" si="515"/>
        <v>588</v>
      </c>
      <c r="BH59" s="667">
        <f t="shared" si="515"/>
        <v>607</v>
      </c>
      <c r="BI59" s="733">
        <f>SUM(BE59:BH59)</f>
        <v>2363</v>
      </c>
      <c r="BJ59" s="665"/>
      <c r="BK59" s="718">
        <f>BK8+BK25+BK42</f>
        <v>615</v>
      </c>
      <c r="BL59" s="666">
        <f t="shared" ref="BL59:BN59" si="516">BL8+BL25+BL42</f>
        <v>611</v>
      </c>
      <c r="BM59" s="666">
        <f t="shared" si="516"/>
        <v>610</v>
      </c>
      <c r="BN59" s="667">
        <f t="shared" si="516"/>
        <v>615</v>
      </c>
      <c r="BO59" s="733">
        <f>SUM(BK59:BN59)</f>
        <v>2451</v>
      </c>
      <c r="BP59" s="665"/>
      <c r="BQ59" s="718">
        <f>BQ8+BQ25+BQ42</f>
        <v>617</v>
      </c>
      <c r="BR59" s="666">
        <f t="shared" ref="BR59:BT59" si="517">BR8+BR25+BR42</f>
        <v>638.53899999999999</v>
      </c>
      <c r="BS59" s="666">
        <f t="shared" si="517"/>
        <v>635.70500000000004</v>
      </c>
      <c r="BT59" s="667">
        <f t="shared" si="517"/>
        <v>649.77</v>
      </c>
      <c r="BU59" s="733">
        <f>SUM(BQ59:BT59)</f>
        <v>2541.0140000000001</v>
      </c>
      <c r="BV59" s="665"/>
      <c r="BW59" s="718">
        <f>BW8+BW25+BW42</f>
        <v>641.65</v>
      </c>
      <c r="BX59" s="666">
        <f t="shared" ref="BX59:BZ59" si="518">BX8+BX25+BX42</f>
        <v>663.907465</v>
      </c>
      <c r="BY59" s="666">
        <f t="shared" si="518"/>
        <v>661.17517499999997</v>
      </c>
      <c r="BZ59" s="667">
        <f t="shared" si="518"/>
        <v>675.86189999999999</v>
      </c>
      <c r="CA59" s="733">
        <f>SUM(BW59:BZ59)</f>
        <v>2642.5945399999996</v>
      </c>
      <c r="CB59" s="665"/>
      <c r="CC59" s="718">
        <f>CC8+CC25+CC42</f>
        <v>667.4079999999999</v>
      </c>
      <c r="CD59" s="666">
        <f t="shared" ref="CD59:CF59" si="519">CD8+CD25+CD42</f>
        <v>690.40622252499998</v>
      </c>
      <c r="CE59" s="666">
        <f t="shared" si="519"/>
        <v>687.78994737499988</v>
      </c>
      <c r="CF59" s="667">
        <f t="shared" si="519"/>
        <v>703.12911650000001</v>
      </c>
      <c r="CG59" s="733">
        <f>SUM(CC59:CF59)</f>
        <v>2748.7332864</v>
      </c>
      <c r="CH59" s="665"/>
      <c r="CI59" s="718">
        <f>CI8+CI25+CI42</f>
        <v>694.32904374999998</v>
      </c>
      <c r="CJ59" s="666">
        <f t="shared" ref="CJ59:CL59" si="520">CJ8+CJ25+CJ42</f>
        <v>718.09090709462498</v>
      </c>
      <c r="CK59" s="666">
        <f t="shared" si="520"/>
        <v>715.60606428937501</v>
      </c>
      <c r="CL59" s="667">
        <f t="shared" si="520"/>
        <v>731.63003915249999</v>
      </c>
      <c r="CM59" s="733">
        <f>SUM(CI59:CL59)</f>
        <v>2859.6560542865</v>
      </c>
    </row>
    <row r="60" spans="1:91" s="25" customFormat="1" ht="11.25" hidden="1" outlineLevel="1" x14ac:dyDescent="0.2">
      <c r="A60" s="695" t="s">
        <v>5</v>
      </c>
      <c r="B60" s="665"/>
      <c r="C60" s="664"/>
      <c r="D60" s="665"/>
      <c r="E60" s="665"/>
      <c r="F60" s="668"/>
      <c r="G60" s="746"/>
      <c r="H60" s="665"/>
      <c r="I60" s="664"/>
      <c r="J60" s="665"/>
      <c r="K60" s="665"/>
      <c r="L60" s="668"/>
      <c r="M60" s="746"/>
      <c r="N60" s="665"/>
      <c r="O60" s="664"/>
      <c r="P60" s="665"/>
      <c r="Q60" s="665"/>
      <c r="R60" s="668"/>
      <c r="S60" s="746"/>
      <c r="T60" s="665"/>
      <c r="U60" s="665"/>
      <c r="V60" s="665"/>
      <c r="W60" s="665"/>
      <c r="X60" s="665"/>
      <c r="Y60" s="665"/>
      <c r="Z60" s="665"/>
      <c r="AA60" s="665"/>
      <c r="AB60" s="665"/>
      <c r="AC60" s="665"/>
      <c r="AD60" s="665"/>
      <c r="AE60" s="665"/>
      <c r="AF60" s="665"/>
      <c r="AG60" s="665"/>
      <c r="AH60" s="665"/>
      <c r="AI60" s="665"/>
      <c r="AJ60" s="665"/>
      <c r="AK60" s="665"/>
      <c r="AL60" s="665"/>
      <c r="AM60" s="665"/>
      <c r="AN60" s="665"/>
      <c r="AO60" s="665"/>
      <c r="AP60" s="665"/>
      <c r="AQ60" s="665"/>
      <c r="AR60" s="665"/>
      <c r="AS60" s="665"/>
      <c r="AT60" s="665"/>
      <c r="AU60" s="665"/>
      <c r="AV60" s="665"/>
      <c r="AW60" s="665"/>
      <c r="AX60" s="665"/>
      <c r="AY60" s="664"/>
      <c r="AZ60" s="665"/>
      <c r="BA60" s="665"/>
      <c r="BB60" s="668"/>
      <c r="BC60" s="746"/>
      <c r="BD60" s="665"/>
      <c r="BE60" s="664"/>
      <c r="BF60" s="665"/>
      <c r="BG60" s="665"/>
      <c r="BH60" s="668"/>
      <c r="BI60" s="746"/>
      <c r="BJ60" s="665"/>
      <c r="BK60" s="717">
        <f>BK59/BE59-1</f>
        <v>7.1428571428571397E-2</v>
      </c>
      <c r="BL60" s="696">
        <f t="shared" ref="BL60:BO60" si="521">BL59/BF59-1</f>
        <v>2.8619528619528545E-2</v>
      </c>
      <c r="BM60" s="696">
        <f t="shared" si="521"/>
        <v>3.7414965986394488E-2</v>
      </c>
      <c r="BN60" s="697">
        <f t="shared" si="521"/>
        <v>1.3179571663920919E-2</v>
      </c>
      <c r="BO60" s="732">
        <f t="shared" si="521"/>
        <v>3.7240795598814991E-2</v>
      </c>
      <c r="BP60" s="665"/>
      <c r="BQ60" s="717">
        <f>BQ59/BK59-1</f>
        <v>3.2520325203251321E-3</v>
      </c>
      <c r="BR60" s="696">
        <f t="shared" ref="BR60" si="522">BR59/BL59-1</f>
        <v>4.5072013093289565E-2</v>
      </c>
      <c r="BS60" s="696">
        <f t="shared" ref="BS60" si="523">BS59/BM59-1</f>
        <v>4.2139344262295042E-2</v>
      </c>
      <c r="BT60" s="697">
        <f t="shared" ref="BT60" si="524">BT59/BN59-1</f>
        <v>5.6536585365853709E-2</v>
      </c>
      <c r="BU60" s="732">
        <f t="shared" ref="BU60" si="525">BU59/BO59-1</f>
        <v>3.6725418196654536E-2</v>
      </c>
      <c r="BV60" s="665"/>
      <c r="BW60" s="717">
        <f>BW59/BQ59-1</f>
        <v>3.9951377633711482E-2</v>
      </c>
      <c r="BX60" s="696">
        <f t="shared" ref="BX60" si="526">BX59/BR59-1</f>
        <v>3.972892023823138E-2</v>
      </c>
      <c r="BY60" s="696">
        <f t="shared" ref="BY60" si="527">BY59/BS59-1</f>
        <v>4.0066029054356855E-2</v>
      </c>
      <c r="BZ60" s="697">
        <f t="shared" ref="BZ60" si="528">BZ59/BT59-1</f>
        <v>4.0155593517706256E-2</v>
      </c>
      <c r="CA60" s="732">
        <f t="shared" ref="CA60" si="529">CA59/BU59-1</f>
        <v>3.9976379508337878E-2</v>
      </c>
      <c r="CB60" s="665"/>
      <c r="CC60" s="717">
        <f>CC59/BW59-1</f>
        <v>4.014338034754128E-2</v>
      </c>
      <c r="CD60" s="696">
        <f t="shared" ref="CD60" si="530">CD59/BX59-1</f>
        <v>3.9913329676146914E-2</v>
      </c>
      <c r="CE60" s="696">
        <f t="shared" ref="CE60" si="531">CE59/BY59-1</f>
        <v>4.0253738164019781E-2</v>
      </c>
      <c r="CF60" s="697">
        <f t="shared" ref="CF60" si="532">CF59/BZ59-1</f>
        <v>4.0344361029967857E-2</v>
      </c>
      <c r="CG60" s="732">
        <f t="shared" ref="CG60" si="533">CG59/CA59-1</f>
        <v>4.0164597630630183E-2</v>
      </c>
      <c r="CH60" s="665"/>
      <c r="CI60" s="717">
        <f>CI59/CC59-1</f>
        <v>4.0336711202143327E-2</v>
      </c>
      <c r="CJ60" s="696">
        <f t="shared" ref="CJ60" si="534">CJ59/CD59-1</f>
        <v>4.0099123771472955E-2</v>
      </c>
      <c r="CK60" s="696">
        <f t="shared" ref="CK60" si="535">CK59/CE59-1</f>
        <v>4.0442750029332952E-2</v>
      </c>
      <c r="CL60" s="697">
        <f t="shared" ref="CL60" si="536">CL59/CF59-1</f>
        <v>4.0534408238376507E-2</v>
      </c>
      <c r="CM60" s="732">
        <f t="shared" ref="CM60" si="537">CM59/CG59-1</f>
        <v>4.0354140008896477E-2</v>
      </c>
    </row>
    <row r="61" spans="1:91" s="25" customFormat="1" ht="11.25" hidden="1" outlineLevel="1" x14ac:dyDescent="0.2">
      <c r="A61" s="695" t="s">
        <v>6</v>
      </c>
      <c r="B61" s="665"/>
      <c r="C61" s="664"/>
      <c r="D61" s="665"/>
      <c r="E61" s="665"/>
      <c r="F61" s="668"/>
      <c r="G61" s="746"/>
      <c r="H61" s="665"/>
      <c r="I61" s="664"/>
      <c r="J61" s="665"/>
      <c r="K61" s="665"/>
      <c r="L61" s="668"/>
      <c r="M61" s="746"/>
      <c r="N61" s="665"/>
      <c r="O61" s="664"/>
      <c r="P61" s="665"/>
      <c r="Q61" s="665"/>
      <c r="R61" s="668"/>
      <c r="S61" s="746"/>
      <c r="T61" s="665"/>
      <c r="U61" s="665"/>
      <c r="V61" s="665"/>
      <c r="W61" s="665"/>
      <c r="X61" s="665"/>
      <c r="Y61" s="665"/>
      <c r="Z61" s="665"/>
      <c r="AA61" s="665"/>
      <c r="AB61" s="665"/>
      <c r="AC61" s="665"/>
      <c r="AD61" s="665"/>
      <c r="AE61" s="665"/>
      <c r="AF61" s="665"/>
      <c r="AG61" s="665"/>
      <c r="AH61" s="665"/>
      <c r="AI61" s="665"/>
      <c r="AJ61" s="665"/>
      <c r="AK61" s="665"/>
      <c r="AL61" s="665"/>
      <c r="AM61" s="665"/>
      <c r="AN61" s="665"/>
      <c r="AO61" s="665"/>
      <c r="AP61" s="665"/>
      <c r="AQ61" s="665"/>
      <c r="AR61" s="665"/>
      <c r="AS61" s="665"/>
      <c r="AT61" s="665"/>
      <c r="AU61" s="665"/>
      <c r="AV61" s="665"/>
      <c r="AW61" s="665"/>
      <c r="AX61" s="665"/>
      <c r="AY61" s="664"/>
      <c r="AZ61" s="665"/>
      <c r="BA61" s="665"/>
      <c r="BB61" s="668"/>
      <c r="BC61" s="746"/>
      <c r="BD61" s="665"/>
      <c r="BE61" s="664"/>
      <c r="BF61" s="665"/>
      <c r="BG61" s="665"/>
      <c r="BH61" s="668"/>
      <c r="BI61" s="746"/>
      <c r="BJ61" s="665"/>
      <c r="BK61" s="717">
        <f>(BK10*BE8+BK27*BE25+BK44*BE42)/BE59</f>
        <v>3.048780487804878E-2</v>
      </c>
      <c r="BL61" s="696">
        <f t="shared" ref="BL61:BN61" si="538">(BL10*BF8+BL27*BF25+BL44*BF42)/BF59</f>
        <v>8.8383838383838381E-3</v>
      </c>
      <c r="BM61" s="696">
        <f t="shared" si="538"/>
        <v>0</v>
      </c>
      <c r="BN61" s="697">
        <f t="shared" si="538"/>
        <v>0</v>
      </c>
      <c r="BO61" s="732">
        <f>SUMPRODUCT(BK61:BN61,BE59:BH59)/BI59</f>
        <v>9.6275920440118488E-3</v>
      </c>
      <c r="BP61" s="665"/>
      <c r="BQ61" s="717">
        <f>(BQ10*BK8+BQ27*BK25+BQ44*BK42)/BK59</f>
        <v>0</v>
      </c>
      <c r="BR61" s="696">
        <f t="shared" ref="BR61" si="539">(BR10*BL8+BR27*BL25+BR44*BL42)/BL59</f>
        <v>0</v>
      </c>
      <c r="BS61" s="696">
        <f t="shared" ref="BS61" si="540">(BS10*BM8+BS27*BM25+BS44*BM42)/BM59</f>
        <v>0</v>
      </c>
      <c r="BT61" s="697">
        <f t="shared" ref="BT61" si="541">(BT10*BN8+BT27*BN25+BT44*BN42)/BN59</f>
        <v>0</v>
      </c>
      <c r="BU61" s="732">
        <f>SUMPRODUCT(BQ61:BT61,BK59:BN59)/BO59</f>
        <v>0</v>
      </c>
      <c r="BV61" s="665"/>
      <c r="BW61" s="717">
        <f>(BW10*BQ8+BW27*BQ25+BW44*BQ42)/BQ59</f>
        <v>0</v>
      </c>
      <c r="BX61" s="696">
        <f t="shared" ref="BX61" si="542">(BX10*BR8+BX27*BR25+BX44*BR42)/BR59</f>
        <v>0</v>
      </c>
      <c r="BY61" s="696">
        <f t="shared" ref="BY61" si="543">(BY10*BS8+BY27*BS25+BY44*BS42)/BS59</f>
        <v>0</v>
      </c>
      <c r="BZ61" s="697">
        <f t="shared" ref="BZ61" si="544">(BZ10*BT8+BZ27*BT25+BZ44*BT42)/BT59</f>
        <v>0</v>
      </c>
      <c r="CA61" s="732">
        <f>SUMPRODUCT(BW61:BZ61,BQ59:BT59)/BU59</f>
        <v>0</v>
      </c>
      <c r="CB61" s="665"/>
      <c r="CC61" s="717">
        <f>(CC10*BW8+CC27*BW25+CC44*BW42)/BW59</f>
        <v>0</v>
      </c>
      <c r="CD61" s="696">
        <f t="shared" ref="CD61" si="545">(CD10*BX8+CD27*BX25+CD44*BX42)/BX59</f>
        <v>0</v>
      </c>
      <c r="CE61" s="696">
        <f t="shared" ref="CE61" si="546">(CE10*BY8+CE27*BY25+CE44*BY42)/BY59</f>
        <v>0</v>
      </c>
      <c r="CF61" s="697">
        <f t="shared" ref="CF61" si="547">(CF10*BZ8+CF27*BZ25+CF44*BZ42)/BZ59</f>
        <v>0</v>
      </c>
      <c r="CG61" s="732">
        <f>SUMPRODUCT(CC61:CF61,BW59:BZ59)/CA59</f>
        <v>0</v>
      </c>
      <c r="CH61" s="665"/>
      <c r="CI61" s="717">
        <f>(CI10*CC8+CI27*CC25+CI44*CC42)/CC59</f>
        <v>0</v>
      </c>
      <c r="CJ61" s="696">
        <f t="shared" ref="CJ61" si="548">(CJ10*CD8+CJ27*CD25+CJ44*CD42)/CD59</f>
        <v>0</v>
      </c>
      <c r="CK61" s="696">
        <f t="shared" ref="CK61" si="549">(CK10*CE8+CK27*CE25+CK44*CE42)/CE59</f>
        <v>0</v>
      </c>
      <c r="CL61" s="697">
        <f t="shared" ref="CL61" si="550">(CL10*CF8+CL27*CF25+CL44*CF42)/CF59</f>
        <v>0</v>
      </c>
      <c r="CM61" s="732">
        <f>SUMPRODUCT(CI61:CL61,CC59:CF59)/CG59</f>
        <v>0</v>
      </c>
    </row>
    <row r="62" spans="1:91" s="25" customFormat="1" ht="11.25" hidden="1" outlineLevel="1" x14ac:dyDescent="0.2">
      <c r="A62" s="695" t="s">
        <v>7</v>
      </c>
      <c r="B62" s="665"/>
      <c r="C62" s="664"/>
      <c r="D62" s="665"/>
      <c r="E62" s="665"/>
      <c r="F62" s="668"/>
      <c r="G62" s="746"/>
      <c r="H62" s="665"/>
      <c r="I62" s="664"/>
      <c r="J62" s="665"/>
      <c r="K62" s="665"/>
      <c r="L62" s="668"/>
      <c r="M62" s="746"/>
      <c r="N62" s="665"/>
      <c r="O62" s="664"/>
      <c r="P62" s="665"/>
      <c r="Q62" s="665"/>
      <c r="R62" s="668"/>
      <c r="S62" s="746"/>
      <c r="T62" s="665"/>
      <c r="U62" s="665"/>
      <c r="V62" s="665"/>
      <c r="W62" s="665"/>
      <c r="X62" s="665"/>
      <c r="Y62" s="665"/>
      <c r="Z62" s="665"/>
      <c r="AA62" s="665"/>
      <c r="AB62" s="665"/>
      <c r="AC62" s="665"/>
      <c r="AD62" s="665"/>
      <c r="AE62" s="665"/>
      <c r="AF62" s="665"/>
      <c r="AG62" s="665"/>
      <c r="AH62" s="665"/>
      <c r="AI62" s="665"/>
      <c r="AJ62" s="665"/>
      <c r="AK62" s="665"/>
      <c r="AL62" s="665"/>
      <c r="AM62" s="665"/>
      <c r="AN62" s="665"/>
      <c r="AO62" s="665"/>
      <c r="AP62" s="665"/>
      <c r="AQ62" s="665"/>
      <c r="AR62" s="665"/>
      <c r="AS62" s="665"/>
      <c r="AT62" s="665"/>
      <c r="AU62" s="665"/>
      <c r="AV62" s="665"/>
      <c r="AW62" s="665"/>
      <c r="AX62" s="665"/>
      <c r="AY62" s="664"/>
      <c r="AZ62" s="665"/>
      <c r="BA62" s="665"/>
      <c r="BB62" s="668"/>
      <c r="BC62" s="746"/>
      <c r="BD62" s="665"/>
      <c r="BE62" s="664"/>
      <c r="BF62" s="665"/>
      <c r="BG62" s="665"/>
      <c r="BH62" s="668"/>
      <c r="BI62" s="746"/>
      <c r="BJ62" s="665"/>
      <c r="BK62" s="717">
        <f>BK60-BK61</f>
        <v>4.0940766550522617E-2</v>
      </c>
      <c r="BL62" s="696">
        <f t="shared" ref="BL62:BO62" si="551">BL60-BL61</f>
        <v>1.9781144781144705E-2</v>
      </c>
      <c r="BM62" s="696">
        <f t="shared" si="551"/>
        <v>3.7414965986394488E-2</v>
      </c>
      <c r="BN62" s="697">
        <f t="shared" si="551"/>
        <v>1.3179571663920919E-2</v>
      </c>
      <c r="BO62" s="732">
        <f t="shared" si="551"/>
        <v>2.7613203554803144E-2</v>
      </c>
      <c r="BP62" s="665"/>
      <c r="BQ62" s="717">
        <f>BQ60-BQ61</f>
        <v>3.2520325203251321E-3</v>
      </c>
      <c r="BR62" s="696">
        <f t="shared" ref="BR62:BU62" si="552">BR60-BR61</f>
        <v>4.5072013093289565E-2</v>
      </c>
      <c r="BS62" s="696">
        <f t="shared" si="552"/>
        <v>4.2139344262295042E-2</v>
      </c>
      <c r="BT62" s="697">
        <f t="shared" si="552"/>
        <v>5.6536585365853709E-2</v>
      </c>
      <c r="BU62" s="732">
        <f t="shared" si="552"/>
        <v>3.6725418196654536E-2</v>
      </c>
      <c r="BV62" s="665"/>
      <c r="BW62" s="717">
        <f>BW60-BW61</f>
        <v>3.9951377633711482E-2</v>
      </c>
      <c r="BX62" s="696">
        <f t="shared" ref="BX62:CA62" si="553">BX60-BX61</f>
        <v>3.972892023823138E-2</v>
      </c>
      <c r="BY62" s="696">
        <f t="shared" si="553"/>
        <v>4.0066029054356855E-2</v>
      </c>
      <c r="BZ62" s="697">
        <f t="shared" si="553"/>
        <v>4.0155593517706256E-2</v>
      </c>
      <c r="CA62" s="732">
        <f t="shared" si="553"/>
        <v>3.9976379508337878E-2</v>
      </c>
      <c r="CB62" s="665"/>
      <c r="CC62" s="717">
        <f>CC60-CC61</f>
        <v>4.014338034754128E-2</v>
      </c>
      <c r="CD62" s="696">
        <f t="shared" ref="CD62:CG62" si="554">CD60-CD61</f>
        <v>3.9913329676146914E-2</v>
      </c>
      <c r="CE62" s="696">
        <f t="shared" si="554"/>
        <v>4.0253738164019781E-2</v>
      </c>
      <c r="CF62" s="697">
        <f t="shared" si="554"/>
        <v>4.0344361029967857E-2</v>
      </c>
      <c r="CG62" s="732">
        <f t="shared" si="554"/>
        <v>4.0164597630630183E-2</v>
      </c>
      <c r="CH62" s="665"/>
      <c r="CI62" s="717">
        <f>CI60-CI61</f>
        <v>4.0336711202143327E-2</v>
      </c>
      <c r="CJ62" s="696">
        <f t="shared" ref="CJ62:CM62" si="555">CJ60-CJ61</f>
        <v>4.0099123771472955E-2</v>
      </c>
      <c r="CK62" s="696">
        <f t="shared" si="555"/>
        <v>4.0442750029332952E-2</v>
      </c>
      <c r="CL62" s="697">
        <f t="shared" si="555"/>
        <v>4.0534408238376507E-2</v>
      </c>
      <c r="CM62" s="732">
        <f t="shared" si="555"/>
        <v>4.0354140008896477E-2</v>
      </c>
    </row>
    <row r="63" spans="1:91" s="25" customFormat="1" ht="11.25" hidden="1" outlineLevel="1" x14ac:dyDescent="0.2">
      <c r="A63" s="694" t="s">
        <v>8</v>
      </c>
      <c r="B63" s="665"/>
      <c r="C63" s="664"/>
      <c r="D63" s="665"/>
      <c r="E63" s="665"/>
      <c r="F63" s="668"/>
      <c r="G63" s="746"/>
      <c r="H63" s="665"/>
      <c r="I63" s="664"/>
      <c r="J63" s="665"/>
      <c r="K63" s="665"/>
      <c r="L63" s="668"/>
      <c r="M63" s="746"/>
      <c r="N63" s="665"/>
      <c r="O63" s="664"/>
      <c r="P63" s="665"/>
      <c r="Q63" s="665"/>
      <c r="R63" s="668"/>
      <c r="S63" s="746"/>
      <c r="T63" s="665"/>
      <c r="U63" s="665"/>
      <c r="V63" s="665"/>
      <c r="W63" s="665"/>
      <c r="X63" s="665"/>
      <c r="Y63" s="665"/>
      <c r="Z63" s="665"/>
      <c r="AA63" s="665"/>
      <c r="AB63" s="665"/>
      <c r="AC63" s="665"/>
      <c r="AD63" s="665"/>
      <c r="AE63" s="665"/>
      <c r="AF63" s="665"/>
      <c r="AG63" s="665"/>
      <c r="AH63" s="665"/>
      <c r="AI63" s="665"/>
      <c r="AJ63" s="665"/>
      <c r="AK63" s="665"/>
      <c r="AL63" s="665"/>
      <c r="AM63" s="665"/>
      <c r="AN63" s="665"/>
      <c r="AO63" s="665"/>
      <c r="AP63" s="665"/>
      <c r="AQ63" s="665"/>
      <c r="AR63" s="665"/>
      <c r="AS63" s="665"/>
      <c r="AT63" s="665"/>
      <c r="AU63" s="665"/>
      <c r="AV63" s="665"/>
      <c r="AW63" s="665"/>
      <c r="AX63" s="665"/>
      <c r="AY63" s="664"/>
      <c r="AZ63" s="665"/>
      <c r="BA63" s="665"/>
      <c r="BB63" s="668"/>
      <c r="BC63" s="746"/>
      <c r="BD63" s="665"/>
      <c r="BE63" s="718">
        <f>BE12+BE29+BE46</f>
        <v>235</v>
      </c>
      <c r="BF63" s="666">
        <f t="shared" ref="BF63:BH63" si="556">BF12+BF29+BF46</f>
        <v>222</v>
      </c>
      <c r="BG63" s="666">
        <f t="shared" si="556"/>
        <v>266</v>
      </c>
      <c r="BH63" s="667">
        <f t="shared" si="556"/>
        <v>263</v>
      </c>
      <c r="BI63" s="733">
        <f>SUM(BE63:BH63)</f>
        <v>986</v>
      </c>
      <c r="BJ63" s="665"/>
      <c r="BK63" s="718">
        <f>BK12+BK29+BK46</f>
        <v>276</v>
      </c>
      <c r="BL63" s="666">
        <f t="shared" ref="BL63:BN63" si="557">BL12+BL29+BL46</f>
        <v>251</v>
      </c>
      <c r="BM63" s="666">
        <f t="shared" si="557"/>
        <v>280</v>
      </c>
      <c r="BN63" s="667">
        <f t="shared" si="557"/>
        <v>282</v>
      </c>
      <c r="BO63" s="733">
        <f>SUM(BK63:BN63)</f>
        <v>1089</v>
      </c>
      <c r="BP63" s="665"/>
      <c r="BQ63" s="718">
        <f>BQ12+BQ29+BQ46</f>
        <v>308</v>
      </c>
      <c r="BR63" s="666">
        <f t="shared" ref="BR63:BT63" si="558">BR12+BR29+BR46</f>
        <v>288.87191002507905</v>
      </c>
      <c r="BS63" s="666">
        <f t="shared" si="558"/>
        <v>316.91418346031992</v>
      </c>
      <c r="BT63" s="667">
        <f t="shared" si="558"/>
        <v>312.19840460326384</v>
      </c>
      <c r="BU63" s="733">
        <f>SUM(BQ63:BT63)</f>
        <v>1225.9844980886628</v>
      </c>
      <c r="BV63" s="665"/>
      <c r="BW63" s="718">
        <f>BW12+BW29+BW46</f>
        <v>343.78508413943223</v>
      </c>
      <c r="BX63" s="666">
        <f t="shared" ref="BX63:BZ63" si="559">BX12+BX29+BX46</f>
        <v>313.91182504870039</v>
      </c>
      <c r="BY63" s="666">
        <f t="shared" si="559"/>
        <v>343.48816686840621</v>
      </c>
      <c r="BZ63" s="667">
        <f t="shared" si="559"/>
        <v>338.39866030193718</v>
      </c>
      <c r="CA63" s="733">
        <f>SUM(BW63:BZ63)</f>
        <v>1339.583736358476</v>
      </c>
      <c r="CB63" s="665"/>
      <c r="CC63" s="718">
        <f>CC12+CC29+CC46</f>
        <v>372.35491066369286</v>
      </c>
      <c r="CD63" s="666">
        <f t="shared" ref="CD63:CF63" si="560">CD12+CD29+CD46</f>
        <v>340.47615734331487</v>
      </c>
      <c r="CE63" s="666">
        <f t="shared" si="560"/>
        <v>372.7421441264097</v>
      </c>
      <c r="CF63" s="667">
        <f t="shared" si="560"/>
        <v>367.24322251610522</v>
      </c>
      <c r="CG63" s="733">
        <f>SUM(CC63:CF63)</f>
        <v>1452.8164346495228</v>
      </c>
      <c r="CH63" s="665"/>
      <c r="CI63" s="718">
        <f>CI12+CI29+CI46</f>
        <v>403.7930715125238</v>
      </c>
      <c r="CJ63" s="666">
        <f t="shared" ref="CJ63:CL63" si="561">CJ12+CJ29+CJ46</f>
        <v>369.72641884935462</v>
      </c>
      <c r="CK63" s="666">
        <f t="shared" si="561"/>
        <v>404.96392914929038</v>
      </c>
      <c r="CL63" s="667">
        <f t="shared" si="561"/>
        <v>399.01624491893148</v>
      </c>
      <c r="CM63" s="733">
        <f>SUM(CI63:CL63)</f>
        <v>1577.4996644301004</v>
      </c>
    </row>
    <row r="64" spans="1:91" s="25" customFormat="1" ht="11.25" hidden="1" outlineLevel="1" x14ac:dyDescent="0.2">
      <c r="A64" s="695" t="s">
        <v>5</v>
      </c>
      <c r="B64" s="665"/>
      <c r="C64" s="664"/>
      <c r="D64" s="665"/>
      <c r="E64" s="665"/>
      <c r="F64" s="668"/>
      <c r="G64" s="746"/>
      <c r="H64" s="665"/>
      <c r="I64" s="664"/>
      <c r="J64" s="665"/>
      <c r="K64" s="665"/>
      <c r="L64" s="668"/>
      <c r="M64" s="746"/>
      <c r="N64" s="665"/>
      <c r="O64" s="664"/>
      <c r="P64" s="665"/>
      <c r="Q64" s="665"/>
      <c r="R64" s="668"/>
      <c r="S64" s="746"/>
      <c r="T64" s="665"/>
      <c r="U64" s="665"/>
      <c r="V64" s="665"/>
      <c r="W64" s="665"/>
      <c r="X64" s="665"/>
      <c r="Y64" s="665"/>
      <c r="Z64" s="665"/>
      <c r="AA64" s="665"/>
      <c r="AB64" s="665"/>
      <c r="AC64" s="665"/>
      <c r="AD64" s="665"/>
      <c r="AE64" s="665"/>
      <c r="AF64" s="665"/>
      <c r="AG64" s="665"/>
      <c r="AH64" s="665"/>
      <c r="AI64" s="665"/>
      <c r="AJ64" s="665"/>
      <c r="AK64" s="665"/>
      <c r="AL64" s="665"/>
      <c r="AM64" s="665"/>
      <c r="AN64" s="665"/>
      <c r="AO64" s="665"/>
      <c r="AP64" s="665"/>
      <c r="AQ64" s="665"/>
      <c r="AR64" s="665"/>
      <c r="AS64" s="665"/>
      <c r="AT64" s="665"/>
      <c r="AU64" s="665"/>
      <c r="AV64" s="665"/>
      <c r="AW64" s="665"/>
      <c r="AX64" s="665"/>
      <c r="AY64" s="664"/>
      <c r="AZ64" s="665"/>
      <c r="BA64" s="665"/>
      <c r="BB64" s="668"/>
      <c r="BC64" s="746"/>
      <c r="BD64" s="665"/>
      <c r="BE64" s="664"/>
      <c r="BF64" s="665"/>
      <c r="BG64" s="665"/>
      <c r="BH64" s="668"/>
      <c r="BI64" s="746"/>
      <c r="BJ64" s="665"/>
      <c r="BK64" s="717">
        <f>BK63/BE63-1</f>
        <v>0.1744680851063829</v>
      </c>
      <c r="BL64" s="696">
        <f>BL63/BF63-1</f>
        <v>0.13063063063063063</v>
      </c>
      <c r="BM64" s="696">
        <f>BM63/BG63-1</f>
        <v>5.2631578947368363E-2</v>
      </c>
      <c r="BN64" s="697">
        <f>BN63/BH63-1</f>
        <v>7.2243346007604625E-2</v>
      </c>
      <c r="BO64" s="732">
        <f>BO63/BI63-1</f>
        <v>0.10446247464503045</v>
      </c>
      <c r="BP64" s="665"/>
      <c r="BQ64" s="717">
        <f>BQ63/BK63-1</f>
        <v>0.11594202898550732</v>
      </c>
      <c r="BR64" s="696">
        <f>BR63/BL63-1</f>
        <v>0.15088410368557392</v>
      </c>
      <c r="BS64" s="696">
        <f>BS63/BM63-1</f>
        <v>0.13183636950114264</v>
      </c>
      <c r="BT64" s="697">
        <f>BT63/BN63-1</f>
        <v>0.10708654114632576</v>
      </c>
      <c r="BU64" s="732">
        <f>BU63/BO63-1</f>
        <v>0.12578925444321643</v>
      </c>
      <c r="BV64" s="665"/>
      <c r="BW64" s="717">
        <f>BW63/BQ63-1</f>
        <v>0.11618533811503973</v>
      </c>
      <c r="BX64" s="696">
        <f>BX63/BR63-1</f>
        <v>8.6681723471996541E-2</v>
      </c>
      <c r="BY64" s="696">
        <f>BY63/BS63-1</f>
        <v>8.3852300701503735E-2</v>
      </c>
      <c r="BZ64" s="697">
        <f>BZ63/BT63-1</f>
        <v>8.3921811618378195E-2</v>
      </c>
      <c r="CA64" s="732">
        <f>CA63/BU63-1</f>
        <v>9.2659604136036799E-2</v>
      </c>
      <c r="CB64" s="665"/>
      <c r="CC64" s="717">
        <f>CC63/BW63-1</f>
        <v>8.3103740802999093E-2</v>
      </c>
      <c r="CD64" s="696">
        <f>CD63/BX63-1</f>
        <v>8.4623547680923616E-2</v>
      </c>
      <c r="CE64" s="696">
        <f>CE63/BY63-1</f>
        <v>8.5167350959169941E-2</v>
      </c>
      <c r="CF64" s="697">
        <f>CF63/BZ63-1</f>
        <v>8.5238405460681843E-2</v>
      </c>
      <c r="CG64" s="732">
        <f>CG63/CA63-1</f>
        <v>8.4528271893520079E-2</v>
      </c>
      <c r="CH64" s="665"/>
      <c r="CI64" s="717">
        <f>CI63/CC63-1</f>
        <v>8.4430633109672026E-2</v>
      </c>
      <c r="CJ64" s="696">
        <f>CJ63/CD63-1</f>
        <v>8.5909867328964218E-2</v>
      </c>
      <c r="CK64" s="696">
        <f>CK63/CE63-1</f>
        <v>8.6445242456815397E-2</v>
      </c>
      <c r="CL64" s="697">
        <f>CL63/CF63-1</f>
        <v>8.6517654934892274E-2</v>
      </c>
      <c r="CM64" s="732">
        <f>CM63/CG63-1</f>
        <v>8.582173687390604E-2</v>
      </c>
    </row>
    <row r="65" spans="1:91" s="25" customFormat="1" ht="11.25" hidden="1" outlineLevel="1" x14ac:dyDescent="0.2">
      <c r="A65" s="695" t="s">
        <v>9</v>
      </c>
      <c r="B65" s="665"/>
      <c r="C65" s="664"/>
      <c r="D65" s="665"/>
      <c r="E65" s="665"/>
      <c r="F65" s="668"/>
      <c r="G65" s="746"/>
      <c r="H65" s="665"/>
      <c r="I65" s="664"/>
      <c r="J65" s="665"/>
      <c r="K65" s="665"/>
      <c r="L65" s="668"/>
      <c r="M65" s="746"/>
      <c r="N65" s="665"/>
      <c r="O65" s="664"/>
      <c r="P65" s="665"/>
      <c r="Q65" s="665"/>
      <c r="R65" s="668"/>
      <c r="S65" s="746"/>
      <c r="T65" s="665"/>
      <c r="U65" s="665"/>
      <c r="V65" s="665"/>
      <c r="W65" s="665"/>
      <c r="X65" s="665"/>
      <c r="Y65" s="665"/>
      <c r="Z65" s="665"/>
      <c r="AA65" s="665"/>
      <c r="AB65" s="665"/>
      <c r="AC65" s="665"/>
      <c r="AD65" s="665"/>
      <c r="AE65" s="665"/>
      <c r="AF65" s="665"/>
      <c r="AG65" s="665"/>
      <c r="AH65" s="665"/>
      <c r="AI65" s="665"/>
      <c r="AJ65" s="665"/>
      <c r="AK65" s="665"/>
      <c r="AL65" s="665"/>
      <c r="AM65" s="665"/>
      <c r="AN65" s="665"/>
      <c r="AO65" s="665"/>
      <c r="AP65" s="665"/>
      <c r="AQ65" s="665"/>
      <c r="AR65" s="665"/>
      <c r="AS65" s="665"/>
      <c r="AT65" s="665"/>
      <c r="AU65" s="665"/>
      <c r="AV65" s="665"/>
      <c r="AW65" s="665"/>
      <c r="AX65" s="665"/>
      <c r="AY65" s="664"/>
      <c r="AZ65" s="665"/>
      <c r="BA65" s="665"/>
      <c r="BB65" s="668"/>
      <c r="BC65" s="746"/>
      <c r="BD65" s="665"/>
      <c r="BE65" s="664"/>
      <c r="BF65" s="665"/>
      <c r="BG65" s="665"/>
      <c r="BH65" s="668"/>
      <c r="BI65" s="746"/>
      <c r="BJ65" s="665"/>
      <c r="BK65" s="717">
        <f>(BK14*BE12+BK31*BE29+BK48*BE46)/BE63</f>
        <v>-1.7472340425531876E-2</v>
      </c>
      <c r="BL65" s="696">
        <f>(BL14*BF12+BL31*BF29+BL48*BF46)/BF63</f>
        <v>-3.2432432432432476E-2</v>
      </c>
      <c r="BM65" s="696">
        <f>(BM14*BG12+BM31*BG29+BM48*BG46)/BG63</f>
        <v>-3.3932330827067723E-2</v>
      </c>
      <c r="BN65" s="697">
        <f>(BN14*BH12+BN31*BH29+BN48*BH46)/BH63</f>
        <v>-8.9353612167299718E-3</v>
      </c>
      <c r="BO65" s="732">
        <f>SUMPRODUCT(BK65:BN65,BE63:BH63)/BI63</f>
        <v>-2.3004056795131844E-2</v>
      </c>
      <c r="BP65" s="665"/>
      <c r="BQ65" s="717">
        <f>(BQ14*BK12+BQ31*BK29+BQ48*BK46)/BK63</f>
        <v>3.056159420289857E-2</v>
      </c>
      <c r="BR65" s="696">
        <f>(BR14*BL12+BR31*BL29+BR48*BL46)/BL63</f>
        <v>6.921079691266549E-2</v>
      </c>
      <c r="BS65" s="696">
        <f>(BS14*BM12+BS31*BM29+BS48*BM46)/BM63</f>
        <v>5.1836369501142378E-2</v>
      </c>
      <c r="BT65" s="697">
        <f>(BT14*BN12+BT31*BN29+BT48*BN46)/BN63</f>
        <v>2.251207306121928E-2</v>
      </c>
      <c r="BU65" s="732">
        <f>SUMPRODUCT(BQ65:BT65,BK63:BN63)/BO63</f>
        <v>4.285537014569582E-2</v>
      </c>
      <c r="BV65" s="665"/>
      <c r="BW65" s="717">
        <f>(BW14*BQ12+BW31*BQ29+BW48*BQ46)/BQ63</f>
        <v>3.4399623829325376E-2</v>
      </c>
      <c r="BX65" s="696">
        <f>(BX14*BR12+BX31*BR29+BX48*BR46)/BR63</f>
        <v>3.3765383868470385E-3</v>
      </c>
      <c r="BY65" s="696">
        <f>(BY14*BS12+BY31*BS29+BY48*BS46)/BS63</f>
        <v>0</v>
      </c>
      <c r="BZ65" s="697">
        <f>(BZ14*BT12+BZ31*BT29+BZ48*BT46)/BT63</f>
        <v>0</v>
      </c>
      <c r="CA65" s="732">
        <f>SUMPRODUCT(BW65:BZ65,BQ63:BT63)/BU63</f>
        <v>9.4376978261571359E-3</v>
      </c>
      <c r="CB65" s="665"/>
      <c r="CC65" s="717">
        <f>(CC14*BW12+CC31*BW29+CC48*BW46)/BW63</f>
        <v>0</v>
      </c>
      <c r="CD65" s="696">
        <f>(CD14*BX12+CD31*BX29+CD48*BX46)/BX63</f>
        <v>0</v>
      </c>
      <c r="CE65" s="696">
        <f>(CE14*BY12+CE31*BY29+CE48*BY46)/BY63</f>
        <v>0</v>
      </c>
      <c r="CF65" s="697">
        <f>(CF14*BZ12+CF31*BZ29+CF48*BZ46)/BZ63</f>
        <v>0</v>
      </c>
      <c r="CG65" s="732">
        <f>SUMPRODUCT(CC65:CF65,BW63:BZ63)/CA63</f>
        <v>0</v>
      </c>
      <c r="CH65" s="665"/>
      <c r="CI65" s="717">
        <f>(CI14*CC12+CI31*CC29+CI48*CC46)/CC63</f>
        <v>0</v>
      </c>
      <c r="CJ65" s="696">
        <f>(CJ14*CD12+CJ31*CD29+CJ48*CD46)/CD63</f>
        <v>0</v>
      </c>
      <c r="CK65" s="696">
        <f>(CK14*CE12+CK31*CE29+CK48*CE46)/CE63</f>
        <v>0</v>
      </c>
      <c r="CL65" s="697">
        <f>(CL14*CF12+CL31*CF29+CL48*CF46)/CF63</f>
        <v>0</v>
      </c>
      <c r="CM65" s="732">
        <f>SUMPRODUCT(CI65:CL65,CC63:CF63)/CG63</f>
        <v>0</v>
      </c>
    </row>
    <row r="66" spans="1:91" s="25" customFormat="1" ht="11.25" hidden="1" outlineLevel="1" x14ac:dyDescent="0.2">
      <c r="A66" s="695" t="s">
        <v>10</v>
      </c>
      <c r="B66" s="665"/>
      <c r="C66" s="664"/>
      <c r="D66" s="665"/>
      <c r="E66" s="665"/>
      <c r="F66" s="668"/>
      <c r="G66" s="746"/>
      <c r="H66" s="665"/>
      <c r="I66" s="664"/>
      <c r="J66" s="665"/>
      <c r="K66" s="665"/>
      <c r="L66" s="668"/>
      <c r="M66" s="746"/>
      <c r="N66" s="665"/>
      <c r="O66" s="664"/>
      <c r="P66" s="665"/>
      <c r="Q66" s="665"/>
      <c r="R66" s="668"/>
      <c r="S66" s="746"/>
      <c r="T66" s="665"/>
      <c r="U66" s="665"/>
      <c r="V66" s="665"/>
      <c r="W66" s="665"/>
      <c r="X66" s="665"/>
      <c r="Y66" s="665"/>
      <c r="Z66" s="665"/>
      <c r="AA66" s="665"/>
      <c r="AB66" s="665"/>
      <c r="AC66" s="665"/>
      <c r="AD66" s="665"/>
      <c r="AE66" s="665"/>
      <c r="AF66" s="665"/>
      <c r="AG66" s="665"/>
      <c r="AH66" s="665"/>
      <c r="AI66" s="665"/>
      <c r="AJ66" s="665"/>
      <c r="AK66" s="665"/>
      <c r="AL66" s="665"/>
      <c r="AM66" s="665"/>
      <c r="AN66" s="665"/>
      <c r="AO66" s="665"/>
      <c r="AP66" s="665"/>
      <c r="AQ66" s="665"/>
      <c r="AR66" s="665"/>
      <c r="AS66" s="665"/>
      <c r="AT66" s="665"/>
      <c r="AU66" s="665"/>
      <c r="AV66" s="665"/>
      <c r="AW66" s="665"/>
      <c r="AX66" s="665"/>
      <c r="AY66" s="664"/>
      <c r="AZ66" s="665"/>
      <c r="BA66" s="665"/>
      <c r="BB66" s="668"/>
      <c r="BC66" s="746"/>
      <c r="BD66" s="665"/>
      <c r="BE66" s="664"/>
      <c r="BF66" s="665"/>
      <c r="BG66" s="665"/>
      <c r="BH66" s="668"/>
      <c r="BI66" s="746"/>
      <c r="BJ66" s="665"/>
      <c r="BK66" s="717">
        <f>BK64-BK65</f>
        <v>0.19194042553191476</v>
      </c>
      <c r="BL66" s="696">
        <f>BL64-BL65</f>
        <v>0.16306306306306312</v>
      </c>
      <c r="BM66" s="696">
        <f>BM64-BM65</f>
        <v>8.6563909774436093E-2</v>
      </c>
      <c r="BN66" s="697">
        <f>BN64-BN65</f>
        <v>8.1178707224334595E-2</v>
      </c>
      <c r="BO66" s="732">
        <f>BO64-BO65</f>
        <v>0.12746653144016229</v>
      </c>
      <c r="BP66" s="665"/>
      <c r="BQ66" s="717">
        <f>BQ64-BQ65</f>
        <v>8.5380434782608747E-2</v>
      </c>
      <c r="BR66" s="696">
        <f>BR64-BR65</f>
        <v>8.1673306772908433E-2</v>
      </c>
      <c r="BS66" s="696">
        <f>BS64-BS65</f>
        <v>8.0000000000000265E-2</v>
      </c>
      <c r="BT66" s="697">
        <f>BT64-BT65</f>
        <v>8.4574468085106491E-2</v>
      </c>
      <c r="BU66" s="732">
        <f>BU64-BU65</f>
        <v>8.2933884297520605E-2</v>
      </c>
      <c r="BV66" s="665"/>
      <c r="BW66" s="717">
        <f>BW64-BW65</f>
        <v>8.178571428571435E-2</v>
      </c>
      <c r="BX66" s="696">
        <f>BX64-BX65</f>
        <v>8.3305185085149502E-2</v>
      </c>
      <c r="BY66" s="696">
        <f>BY64-BY65</f>
        <v>8.3852300701503735E-2</v>
      </c>
      <c r="BZ66" s="697">
        <f>BZ64-BZ65</f>
        <v>8.3921811618378195E-2</v>
      </c>
      <c r="CA66" s="732">
        <f>CA64-CA65</f>
        <v>8.3221906309879662E-2</v>
      </c>
      <c r="CB66" s="665"/>
      <c r="CC66" s="717">
        <f>CC64-CC65</f>
        <v>8.3103740802999093E-2</v>
      </c>
      <c r="CD66" s="696">
        <f>CD64-CD65</f>
        <v>8.4623547680923616E-2</v>
      </c>
      <c r="CE66" s="696">
        <f>CE64-CE65</f>
        <v>8.5167350959169941E-2</v>
      </c>
      <c r="CF66" s="697">
        <f>CF64-CF65</f>
        <v>8.5238405460681843E-2</v>
      </c>
      <c r="CG66" s="732">
        <f>CG64-CG65</f>
        <v>8.4528271893520079E-2</v>
      </c>
      <c r="CH66" s="665"/>
      <c r="CI66" s="717">
        <f>CI64-CI65</f>
        <v>8.4430633109672026E-2</v>
      </c>
      <c r="CJ66" s="696">
        <f>CJ64-CJ65</f>
        <v>8.5909867328964218E-2</v>
      </c>
      <c r="CK66" s="696">
        <f>CK64-CK65</f>
        <v>8.6445242456815397E-2</v>
      </c>
      <c r="CL66" s="697">
        <f>CL64-CL65</f>
        <v>8.6517654934892274E-2</v>
      </c>
      <c r="CM66" s="732">
        <f>CM64-CM65</f>
        <v>8.582173687390604E-2</v>
      </c>
    </row>
    <row r="67" spans="1:91" s="25" customFormat="1" ht="11.25" hidden="1" outlineLevel="1" x14ac:dyDescent="0.2">
      <c r="A67" s="695" t="s">
        <v>6</v>
      </c>
      <c r="B67" s="665"/>
      <c r="C67" s="664"/>
      <c r="D67" s="665"/>
      <c r="E67" s="665"/>
      <c r="F67" s="668"/>
      <c r="G67" s="746"/>
      <c r="H67" s="665"/>
      <c r="I67" s="664"/>
      <c r="J67" s="665"/>
      <c r="K67" s="665"/>
      <c r="L67" s="668"/>
      <c r="M67" s="746"/>
      <c r="N67" s="665"/>
      <c r="O67" s="664"/>
      <c r="P67" s="665"/>
      <c r="Q67" s="665"/>
      <c r="R67" s="668"/>
      <c r="S67" s="746"/>
      <c r="T67" s="665"/>
      <c r="U67" s="665"/>
      <c r="V67" s="665"/>
      <c r="W67" s="665"/>
      <c r="X67" s="665"/>
      <c r="Y67" s="665"/>
      <c r="Z67" s="665"/>
      <c r="AA67" s="665"/>
      <c r="AB67" s="665"/>
      <c r="AC67" s="665"/>
      <c r="AD67" s="665"/>
      <c r="AE67" s="665"/>
      <c r="AF67" s="665"/>
      <c r="AG67" s="665"/>
      <c r="AH67" s="665"/>
      <c r="AI67" s="665"/>
      <c r="AJ67" s="665"/>
      <c r="AK67" s="665"/>
      <c r="AL67" s="665"/>
      <c r="AM67" s="665"/>
      <c r="AN67" s="665"/>
      <c r="AO67" s="665"/>
      <c r="AP67" s="665"/>
      <c r="AQ67" s="665"/>
      <c r="AR67" s="665"/>
      <c r="AS67" s="665"/>
      <c r="AT67" s="665"/>
      <c r="AU67" s="665"/>
      <c r="AV67" s="665"/>
      <c r="AW67" s="665"/>
      <c r="AX67" s="665"/>
      <c r="AY67" s="664"/>
      <c r="AZ67" s="665"/>
      <c r="BA67" s="665"/>
      <c r="BB67" s="668"/>
      <c r="BC67" s="746"/>
      <c r="BD67" s="665"/>
      <c r="BE67" s="664"/>
      <c r="BF67" s="665"/>
      <c r="BG67" s="665"/>
      <c r="BH67" s="668"/>
      <c r="BI67" s="746"/>
      <c r="BJ67" s="665"/>
      <c r="BK67" s="717">
        <f>(BK16*BE12+BK33*BE29+BK50*BE46)/BE63</f>
        <v>2.1276595744680851E-2</v>
      </c>
      <c r="BL67" s="696">
        <f t="shared" ref="BL67:BN67" si="562">(BL16*BF12+BL33*BF29+BL50*BF46)/BF63</f>
        <v>2.2522522522522521E-2</v>
      </c>
      <c r="BM67" s="696">
        <f t="shared" si="562"/>
        <v>0</v>
      </c>
      <c r="BN67" s="697">
        <f t="shared" si="562"/>
        <v>0</v>
      </c>
      <c r="BO67" s="732">
        <f>SUMPRODUCT(BK67:BN67,BE63:BH63)/BI63</f>
        <v>1.0141987829614604E-2</v>
      </c>
      <c r="BP67" s="665"/>
      <c r="BQ67" s="717">
        <f>(BQ16*BK12+BQ33*BK29+BQ50*BK46)/BK63</f>
        <v>0</v>
      </c>
      <c r="BR67" s="696">
        <f t="shared" ref="BR67" si="563">(BR16*BL12+BR33*BL29+BR50*BL46)/BL63</f>
        <v>0</v>
      </c>
      <c r="BS67" s="696">
        <f t="shared" ref="BS67" si="564">(BS16*BM12+BS33*BM29+BS50*BM46)/BM63</f>
        <v>0</v>
      </c>
      <c r="BT67" s="697">
        <f t="shared" ref="BT67" si="565">(BT16*BN12+BT33*BN29+BT50*BN46)/BN63</f>
        <v>0</v>
      </c>
      <c r="BU67" s="732">
        <f>SUMPRODUCT(BQ67:BT67,BK63:BN63)/BO63</f>
        <v>0</v>
      </c>
      <c r="BV67" s="665"/>
      <c r="BW67" s="717">
        <f>(BW16*BQ12+BW33*BQ29+BW50*BQ46)/BQ63</f>
        <v>0</v>
      </c>
      <c r="BX67" s="696">
        <f t="shared" ref="BX67" si="566">(BX16*BR12+BX33*BR29+BX50*BR46)/BR63</f>
        <v>0</v>
      </c>
      <c r="BY67" s="696">
        <f t="shared" ref="BY67" si="567">(BY16*BS12+BY33*BS29+BY50*BS46)/BS63</f>
        <v>0</v>
      </c>
      <c r="BZ67" s="697">
        <f t="shared" ref="BZ67" si="568">(BZ16*BT12+BZ33*BT29+BZ50*BT46)/BT63</f>
        <v>0</v>
      </c>
      <c r="CA67" s="732">
        <f>SUMPRODUCT(BW67:BZ67,BQ63:BT63)/BU63</f>
        <v>0</v>
      </c>
      <c r="CB67" s="665"/>
      <c r="CC67" s="717">
        <f>(CC16*BW12+CC33*BW29+CC50*BW46)/BW63</f>
        <v>0</v>
      </c>
      <c r="CD67" s="696">
        <f t="shared" ref="CD67" si="569">(CD16*BX12+CD33*BX29+CD50*BX46)/BX63</f>
        <v>0</v>
      </c>
      <c r="CE67" s="696">
        <f t="shared" ref="CE67" si="570">(CE16*BY12+CE33*BY29+CE50*BY46)/BY63</f>
        <v>0</v>
      </c>
      <c r="CF67" s="697">
        <f t="shared" ref="CF67" si="571">(CF16*BZ12+CF33*BZ29+CF50*BZ46)/BZ63</f>
        <v>0</v>
      </c>
      <c r="CG67" s="732">
        <f>SUMPRODUCT(CC67:CF67,BW63:BZ63)/CA63</f>
        <v>0</v>
      </c>
      <c r="CH67" s="665"/>
      <c r="CI67" s="717">
        <f>(CI16*CC12+CI33*CC29+CI50*CC46)/CC63</f>
        <v>0</v>
      </c>
      <c r="CJ67" s="696">
        <f t="shared" ref="CJ67" si="572">(CJ16*CD12+CJ33*CD29+CJ50*CD46)/CD63</f>
        <v>0</v>
      </c>
      <c r="CK67" s="696">
        <f t="shared" ref="CK67" si="573">(CK16*CE12+CK33*CE29+CK50*CE46)/CE63</f>
        <v>0</v>
      </c>
      <c r="CL67" s="697">
        <f t="shared" ref="CL67" si="574">(CL16*CF12+CL33*CF29+CL50*CF46)/CF63</f>
        <v>0</v>
      </c>
      <c r="CM67" s="732">
        <f>SUMPRODUCT(CI67:CL67,CC63:CF63)/CG63</f>
        <v>0</v>
      </c>
    </row>
    <row r="68" spans="1:91" s="25" customFormat="1" ht="11.25" hidden="1" outlineLevel="1" x14ac:dyDescent="0.2">
      <c r="A68" s="695" t="s">
        <v>7</v>
      </c>
      <c r="B68" s="665"/>
      <c r="C68" s="664"/>
      <c r="D68" s="665"/>
      <c r="E68" s="665"/>
      <c r="F68" s="668"/>
      <c r="G68" s="746"/>
      <c r="H68" s="665"/>
      <c r="I68" s="664"/>
      <c r="J68" s="665"/>
      <c r="K68" s="665"/>
      <c r="L68" s="668"/>
      <c r="M68" s="746"/>
      <c r="N68" s="665"/>
      <c r="O68" s="664"/>
      <c r="P68" s="665"/>
      <c r="Q68" s="665"/>
      <c r="R68" s="668"/>
      <c r="S68" s="746"/>
      <c r="T68" s="665"/>
      <c r="U68" s="665"/>
      <c r="V68" s="665"/>
      <c r="W68" s="665"/>
      <c r="X68" s="665"/>
      <c r="Y68" s="665"/>
      <c r="Z68" s="665"/>
      <c r="AA68" s="665"/>
      <c r="AB68" s="665"/>
      <c r="AC68" s="665"/>
      <c r="AD68" s="665"/>
      <c r="AE68" s="665"/>
      <c r="AF68" s="665"/>
      <c r="AG68" s="665"/>
      <c r="AH68" s="665"/>
      <c r="AI68" s="665"/>
      <c r="AJ68" s="665"/>
      <c r="AK68" s="665"/>
      <c r="AL68" s="665"/>
      <c r="AM68" s="665"/>
      <c r="AN68" s="665"/>
      <c r="AO68" s="665"/>
      <c r="AP68" s="665"/>
      <c r="AQ68" s="665"/>
      <c r="AR68" s="665"/>
      <c r="AS68" s="665"/>
      <c r="AT68" s="665"/>
      <c r="AU68" s="665"/>
      <c r="AV68" s="665"/>
      <c r="AW68" s="665"/>
      <c r="AX68" s="665"/>
      <c r="AY68" s="664"/>
      <c r="AZ68" s="665"/>
      <c r="BA68" s="665"/>
      <c r="BB68" s="668"/>
      <c r="BC68" s="746"/>
      <c r="BD68" s="665"/>
      <c r="BE68" s="664"/>
      <c r="BF68" s="665"/>
      <c r="BG68" s="665"/>
      <c r="BH68" s="668"/>
      <c r="BI68" s="746"/>
      <c r="BJ68" s="665"/>
      <c r="BK68" s="717">
        <f>BK66-BK67</f>
        <v>0.17066382978723391</v>
      </c>
      <c r="BL68" s="696">
        <f t="shared" ref="BL68:BO68" si="575">BL66-BL67</f>
        <v>0.1405405405405406</v>
      </c>
      <c r="BM68" s="696">
        <f t="shared" si="575"/>
        <v>8.6563909774436093E-2</v>
      </c>
      <c r="BN68" s="697">
        <f t="shared" si="575"/>
        <v>8.1178707224334595E-2</v>
      </c>
      <c r="BO68" s="732">
        <f t="shared" si="575"/>
        <v>0.11732454361054769</v>
      </c>
      <c r="BP68" s="665"/>
      <c r="BQ68" s="717">
        <f>BQ66-BQ67</f>
        <v>8.5380434782608747E-2</v>
      </c>
      <c r="BR68" s="696">
        <f t="shared" ref="BR68:BU68" si="576">BR66-BR67</f>
        <v>8.1673306772908433E-2</v>
      </c>
      <c r="BS68" s="696">
        <f t="shared" si="576"/>
        <v>8.0000000000000265E-2</v>
      </c>
      <c r="BT68" s="697">
        <f t="shared" si="576"/>
        <v>8.4574468085106491E-2</v>
      </c>
      <c r="BU68" s="732">
        <f t="shared" si="576"/>
        <v>8.2933884297520605E-2</v>
      </c>
      <c r="BV68" s="665"/>
      <c r="BW68" s="717">
        <f>BW66-BW67</f>
        <v>8.178571428571435E-2</v>
      </c>
      <c r="BX68" s="696">
        <f t="shared" ref="BX68:CA68" si="577">BX66-BX67</f>
        <v>8.3305185085149502E-2</v>
      </c>
      <c r="BY68" s="696">
        <f t="shared" si="577"/>
        <v>8.3852300701503735E-2</v>
      </c>
      <c r="BZ68" s="697">
        <f t="shared" si="577"/>
        <v>8.3921811618378195E-2</v>
      </c>
      <c r="CA68" s="732">
        <f t="shared" si="577"/>
        <v>8.3221906309879662E-2</v>
      </c>
      <c r="CB68" s="665"/>
      <c r="CC68" s="717">
        <f>CC66-CC67</f>
        <v>8.3103740802999093E-2</v>
      </c>
      <c r="CD68" s="696">
        <f t="shared" ref="CD68:CG68" si="578">CD66-CD67</f>
        <v>8.4623547680923616E-2</v>
      </c>
      <c r="CE68" s="696">
        <f t="shared" si="578"/>
        <v>8.5167350959169941E-2</v>
      </c>
      <c r="CF68" s="697">
        <f t="shared" si="578"/>
        <v>8.5238405460681843E-2</v>
      </c>
      <c r="CG68" s="732">
        <f t="shared" si="578"/>
        <v>8.4528271893520079E-2</v>
      </c>
      <c r="CH68" s="665"/>
      <c r="CI68" s="717">
        <f>CI66-CI67</f>
        <v>8.4430633109672026E-2</v>
      </c>
      <c r="CJ68" s="696">
        <f t="shared" ref="CJ68:CM68" si="579">CJ66-CJ67</f>
        <v>8.5909867328964218E-2</v>
      </c>
      <c r="CK68" s="696">
        <f t="shared" si="579"/>
        <v>8.6445242456815397E-2</v>
      </c>
      <c r="CL68" s="697">
        <f t="shared" si="579"/>
        <v>8.6517654934892274E-2</v>
      </c>
      <c r="CM68" s="732">
        <f t="shared" si="579"/>
        <v>8.582173687390604E-2</v>
      </c>
    </row>
    <row r="69" spans="1:91" s="31" customFormat="1" ht="11.25" collapsed="1" x14ac:dyDescent="0.2">
      <c r="A69" s="709" t="s">
        <v>11</v>
      </c>
      <c r="B69" s="710"/>
      <c r="C69" s="754"/>
      <c r="D69" s="710"/>
      <c r="E69" s="710"/>
      <c r="F69" s="755"/>
      <c r="G69" s="753"/>
      <c r="H69" s="710"/>
      <c r="I69" s="754"/>
      <c r="J69" s="710"/>
      <c r="K69" s="710"/>
      <c r="L69" s="755"/>
      <c r="M69" s="753"/>
      <c r="N69" s="710"/>
      <c r="O69" s="754"/>
      <c r="P69" s="710"/>
      <c r="Q69" s="710"/>
      <c r="R69" s="755"/>
      <c r="S69" s="753"/>
      <c r="T69" s="710"/>
      <c r="U69" s="710"/>
      <c r="V69" s="710"/>
      <c r="W69" s="710"/>
      <c r="X69" s="710"/>
      <c r="Y69" s="710"/>
      <c r="Z69" s="710"/>
      <c r="AA69" s="710"/>
      <c r="AB69" s="710"/>
      <c r="AC69" s="710"/>
      <c r="AD69" s="710"/>
      <c r="AE69" s="710"/>
      <c r="AF69" s="710"/>
      <c r="AG69" s="710"/>
      <c r="AH69" s="710"/>
      <c r="AI69" s="710"/>
      <c r="AJ69" s="710"/>
      <c r="AK69" s="710"/>
      <c r="AL69" s="710"/>
      <c r="AM69" s="710"/>
      <c r="AN69" s="710"/>
      <c r="AO69" s="710"/>
      <c r="AP69" s="710"/>
      <c r="AQ69" s="710"/>
      <c r="AR69" s="710"/>
      <c r="AS69" s="710"/>
      <c r="AT69" s="710"/>
      <c r="AU69" s="710"/>
      <c r="AV69" s="710"/>
      <c r="AW69" s="710"/>
      <c r="AX69" s="710"/>
      <c r="AY69" s="754"/>
      <c r="AZ69" s="710"/>
      <c r="BA69" s="710"/>
      <c r="BB69" s="755"/>
      <c r="BC69" s="753"/>
      <c r="BD69" s="710"/>
      <c r="BE69" s="729">
        <f>BE59+BE63</f>
        <v>809</v>
      </c>
      <c r="BF69" s="711">
        <f t="shared" ref="BF69:BH69" si="580">BF59+BF63</f>
        <v>816</v>
      </c>
      <c r="BG69" s="711">
        <f t="shared" si="580"/>
        <v>854</v>
      </c>
      <c r="BH69" s="712">
        <f t="shared" si="580"/>
        <v>870</v>
      </c>
      <c r="BI69" s="740">
        <f>SUM(BE69:BH69)</f>
        <v>3349</v>
      </c>
      <c r="BJ69" s="710"/>
      <c r="BK69" s="729">
        <f>BK59+BK63</f>
        <v>891</v>
      </c>
      <c r="BL69" s="711">
        <f t="shared" ref="BL69:BN69" si="581">BL59+BL63</f>
        <v>862</v>
      </c>
      <c r="BM69" s="711">
        <f t="shared" si="581"/>
        <v>890</v>
      </c>
      <c r="BN69" s="712">
        <f t="shared" si="581"/>
        <v>897</v>
      </c>
      <c r="BO69" s="740">
        <f>SUM(BK69:BN69)</f>
        <v>3540</v>
      </c>
      <c r="BP69" s="710"/>
      <c r="BQ69" s="729">
        <f>BQ59+BQ63</f>
        <v>925</v>
      </c>
      <c r="BR69" s="711">
        <f t="shared" ref="BR69:BT69" si="582">BR59+BR63</f>
        <v>927.41091002507903</v>
      </c>
      <c r="BS69" s="711">
        <f t="shared" si="582"/>
        <v>952.61918346031996</v>
      </c>
      <c r="BT69" s="712">
        <f t="shared" si="582"/>
        <v>961.96840460326382</v>
      </c>
      <c r="BU69" s="740">
        <f>SUM(BQ69:BT69)</f>
        <v>3766.9984980886629</v>
      </c>
      <c r="BV69" s="710"/>
      <c r="BW69" s="729">
        <f>BW59+BW63</f>
        <v>985.43508413943221</v>
      </c>
      <c r="BX69" s="711">
        <f t="shared" ref="BX69:BZ69" si="583">BX59+BX63</f>
        <v>977.8192900487004</v>
      </c>
      <c r="BY69" s="711">
        <f t="shared" si="583"/>
        <v>1004.6633418684062</v>
      </c>
      <c r="BZ69" s="712">
        <f t="shared" si="583"/>
        <v>1014.2605603019372</v>
      </c>
      <c r="CA69" s="740">
        <f>SUM(BW69:BZ69)</f>
        <v>3982.1782763584761</v>
      </c>
      <c r="CB69" s="710"/>
      <c r="CC69" s="729">
        <f>CC59+CC63</f>
        <v>1039.7629106636928</v>
      </c>
      <c r="CD69" s="711">
        <f t="shared" ref="CD69:CF69" si="584">CD59+CD63</f>
        <v>1030.8823798683147</v>
      </c>
      <c r="CE69" s="711">
        <f t="shared" si="584"/>
        <v>1060.5320915014095</v>
      </c>
      <c r="CF69" s="712">
        <f t="shared" si="584"/>
        <v>1070.3723390161053</v>
      </c>
      <c r="CG69" s="740">
        <f>SUM(CC69:CF69)</f>
        <v>4201.5497210495223</v>
      </c>
      <c r="CH69" s="710"/>
      <c r="CI69" s="729">
        <f>CI59+CI63</f>
        <v>1098.1221152625237</v>
      </c>
      <c r="CJ69" s="711">
        <f t="shared" ref="CJ69:CL69" si="585">CJ59+CJ63</f>
        <v>1087.8173259439795</v>
      </c>
      <c r="CK69" s="711">
        <f t="shared" si="585"/>
        <v>1120.5699934386653</v>
      </c>
      <c r="CL69" s="712">
        <f t="shared" si="585"/>
        <v>1130.6462840714314</v>
      </c>
      <c r="CM69" s="740">
        <f>SUM(CI69:CL69)</f>
        <v>4437.1557187165999</v>
      </c>
    </row>
    <row r="70" spans="1:91" s="25" customFormat="1" ht="11.25" x14ac:dyDescent="0.2">
      <c r="A70" s="695" t="s">
        <v>5</v>
      </c>
      <c r="B70" s="665"/>
      <c r="C70" s="664"/>
      <c r="D70" s="665"/>
      <c r="E70" s="665"/>
      <c r="F70" s="668"/>
      <c r="G70" s="746"/>
      <c r="H70" s="665"/>
      <c r="I70" s="664"/>
      <c r="J70" s="665"/>
      <c r="K70" s="665"/>
      <c r="L70" s="668"/>
      <c r="M70" s="746"/>
      <c r="N70" s="665"/>
      <c r="O70" s="664"/>
      <c r="P70" s="665"/>
      <c r="Q70" s="665"/>
      <c r="R70" s="668"/>
      <c r="S70" s="746"/>
      <c r="T70" s="665"/>
      <c r="U70" s="665"/>
      <c r="V70" s="665"/>
      <c r="W70" s="665"/>
      <c r="X70" s="665"/>
      <c r="Y70" s="665"/>
      <c r="Z70" s="665"/>
      <c r="AA70" s="665"/>
      <c r="AB70" s="665"/>
      <c r="AC70" s="665"/>
      <c r="AD70" s="665"/>
      <c r="AE70" s="665"/>
      <c r="AF70" s="665"/>
      <c r="AG70" s="665"/>
      <c r="AH70" s="665"/>
      <c r="AI70" s="665"/>
      <c r="AJ70" s="665"/>
      <c r="AK70" s="665"/>
      <c r="AL70" s="665"/>
      <c r="AM70" s="665"/>
      <c r="AN70" s="665"/>
      <c r="AO70" s="665"/>
      <c r="AP70" s="665"/>
      <c r="AQ70" s="665"/>
      <c r="AR70" s="665"/>
      <c r="AS70" s="665"/>
      <c r="AT70" s="665"/>
      <c r="AU70" s="665"/>
      <c r="AV70" s="665"/>
      <c r="AW70" s="665"/>
      <c r="AX70" s="665"/>
      <c r="AY70" s="664"/>
      <c r="AZ70" s="665"/>
      <c r="BA70" s="665"/>
      <c r="BB70" s="668"/>
      <c r="BC70" s="746"/>
      <c r="BD70" s="665"/>
      <c r="BE70" s="664"/>
      <c r="BF70" s="665"/>
      <c r="BG70" s="665"/>
      <c r="BH70" s="668"/>
      <c r="BI70" s="746"/>
      <c r="BJ70" s="665"/>
      <c r="BK70" s="717">
        <f>BK69/BE69-1</f>
        <v>0.10135970333745359</v>
      </c>
      <c r="BL70" s="696">
        <f t="shared" ref="BL70:BO70" si="586">BL69/BF69-1</f>
        <v>5.6372549019607865E-2</v>
      </c>
      <c r="BM70" s="696">
        <f t="shared" si="586"/>
        <v>4.2154566744730726E-2</v>
      </c>
      <c r="BN70" s="697">
        <f t="shared" si="586"/>
        <v>3.1034482758620641E-2</v>
      </c>
      <c r="BO70" s="732">
        <f t="shared" si="586"/>
        <v>5.7031949835771867E-2</v>
      </c>
      <c r="BP70" s="665"/>
      <c r="BQ70" s="717">
        <f>BQ69/BK69-1</f>
        <v>3.8159371492704874E-2</v>
      </c>
      <c r="BR70" s="696">
        <f t="shared" ref="BR70" si="587">BR69/BL69-1</f>
        <v>7.5882726247191501E-2</v>
      </c>
      <c r="BS70" s="696">
        <f t="shared" ref="BS70" si="588">BS69/BM69-1</f>
        <v>7.0358633101483159E-2</v>
      </c>
      <c r="BT70" s="697">
        <f t="shared" ref="BT70" si="589">BT69/BN69-1</f>
        <v>7.2428544708209364E-2</v>
      </c>
      <c r="BU70" s="732">
        <f t="shared" ref="BU70" si="590">BU69/BO69-1</f>
        <v>6.4123869516571341E-2</v>
      </c>
      <c r="BV70" s="665"/>
      <c r="BW70" s="717">
        <f>BW69/BQ69-1</f>
        <v>6.5335226096683519E-2</v>
      </c>
      <c r="BX70" s="696">
        <f t="shared" ref="BX70" si="591">BX69/BR69-1</f>
        <v>5.4353878608413453E-2</v>
      </c>
      <c r="BY70" s="696">
        <f t="shared" ref="BY70" si="592">BY69/BS69-1</f>
        <v>5.463270036095591E-2</v>
      </c>
      <c r="BZ70" s="697">
        <f t="shared" ref="BZ70" si="593">BZ69/BT69-1</f>
        <v>5.435953556108708E-2</v>
      </c>
      <c r="CA70" s="732">
        <f t="shared" ref="CA70" si="594">CA69/BU69-1</f>
        <v>5.7122342464164255E-2</v>
      </c>
      <c r="CB70" s="665"/>
      <c r="CC70" s="717">
        <f>CC69/BW69-1</f>
        <v>5.5130802016963187E-2</v>
      </c>
      <c r="CD70" s="696">
        <f t="shared" ref="CD70" si="595">CD69/BX69-1</f>
        <v>5.4266765198476952E-2</v>
      </c>
      <c r="CE70" s="696">
        <f t="shared" ref="CE70" si="596">CE69/BY69-1</f>
        <v>5.5609423878353326E-2</v>
      </c>
      <c r="CF70" s="697">
        <f t="shared" ref="CF70" si="597">CF69/BZ69-1</f>
        <v>5.5322843961776558E-2</v>
      </c>
      <c r="CG70" s="732">
        <f t="shared" ref="CG70" si="598">CG69/CA69-1</f>
        <v>5.5088303302094133E-2</v>
      </c>
      <c r="CH70" s="665"/>
      <c r="CI70" s="717">
        <f>CI69/CC69-1</f>
        <v>5.6127415202355646E-2</v>
      </c>
      <c r="CJ70" s="696">
        <f t="shared" ref="CJ70" si="599">CJ69/CD69-1</f>
        <v>5.5229332839055401E-2</v>
      </c>
      <c r="CK70" s="696">
        <f t="shared" ref="CK70" si="600">CK69/CE69-1</f>
        <v>5.6611112872840375E-2</v>
      </c>
      <c r="CL70" s="697">
        <f t="shared" ref="CL70" si="601">CL69/CF69-1</f>
        <v>5.6311194579944379E-2</v>
      </c>
      <c r="CM70" s="732">
        <f t="shared" ref="CM70" si="602">CM69/CG69-1</f>
        <v>5.6075975130486899E-2</v>
      </c>
    </row>
    <row r="71" spans="1:91" s="25" customFormat="1" ht="11.25" x14ac:dyDescent="0.2">
      <c r="A71" s="695" t="s">
        <v>9</v>
      </c>
      <c r="B71" s="665"/>
      <c r="C71" s="664"/>
      <c r="D71" s="665"/>
      <c r="E71" s="665"/>
      <c r="F71" s="668"/>
      <c r="G71" s="746"/>
      <c r="H71" s="665"/>
      <c r="I71" s="664"/>
      <c r="J71" s="665"/>
      <c r="K71" s="665"/>
      <c r="L71" s="668"/>
      <c r="M71" s="746"/>
      <c r="N71" s="665"/>
      <c r="O71" s="664"/>
      <c r="P71" s="665"/>
      <c r="Q71" s="665"/>
      <c r="R71" s="668"/>
      <c r="S71" s="746"/>
      <c r="T71" s="665"/>
      <c r="U71" s="665"/>
      <c r="V71" s="665"/>
      <c r="W71" s="665"/>
      <c r="X71" s="665"/>
      <c r="Y71" s="665"/>
      <c r="Z71" s="665"/>
      <c r="AA71" s="665"/>
      <c r="AB71" s="665"/>
      <c r="AC71" s="665"/>
      <c r="AD71" s="665"/>
      <c r="AE71" s="665"/>
      <c r="AF71" s="665"/>
      <c r="AG71" s="665"/>
      <c r="AH71" s="665"/>
      <c r="AI71" s="665"/>
      <c r="AJ71" s="665"/>
      <c r="AK71" s="665"/>
      <c r="AL71" s="665"/>
      <c r="AM71" s="665"/>
      <c r="AN71" s="665"/>
      <c r="AO71" s="665"/>
      <c r="AP71" s="665"/>
      <c r="AQ71" s="665"/>
      <c r="AR71" s="665"/>
      <c r="AS71" s="665"/>
      <c r="AT71" s="665"/>
      <c r="AU71" s="665"/>
      <c r="AV71" s="665"/>
      <c r="AW71" s="665"/>
      <c r="AX71" s="665"/>
      <c r="AY71" s="664"/>
      <c r="AZ71" s="665"/>
      <c r="BA71" s="665"/>
      <c r="BB71" s="668"/>
      <c r="BC71" s="746"/>
      <c r="BD71" s="665"/>
      <c r="BE71" s="664"/>
      <c r="BF71" s="665"/>
      <c r="BG71" s="665"/>
      <c r="BH71" s="668"/>
      <c r="BI71" s="746"/>
      <c r="BJ71" s="665"/>
      <c r="BK71" s="717">
        <f>BK65*BE63/BE69</f>
        <v>-5.0754017305315096E-3</v>
      </c>
      <c r="BL71" s="696">
        <f>BL65*BF63/BF69</f>
        <v>-8.8235294117647179E-3</v>
      </c>
      <c r="BM71" s="696">
        <f>BM65*BG63/BG69</f>
        <v>-1.0569086651053881E-2</v>
      </c>
      <c r="BN71" s="697">
        <f>BN65*BH63/BH69</f>
        <v>-2.7011494252873365E-3</v>
      </c>
      <c r="BO71" s="732">
        <f>SUMPRODUCT(BK71:BN71,BE69:BH69)/BI69</f>
        <v>-6.7727679904449082E-3</v>
      </c>
      <c r="BP71" s="665"/>
      <c r="BQ71" s="717">
        <f>BQ65*BK63/BK69</f>
        <v>9.466891133557807E-3</v>
      </c>
      <c r="BR71" s="696">
        <f>BR65*BL63/BL69</f>
        <v>2.015302787132139E-2</v>
      </c>
      <c r="BS71" s="696">
        <f>BS65*BM63/BM69</f>
        <v>1.6308071303730184E-2</v>
      </c>
      <c r="BT71" s="697">
        <f>BT65*BN63/BN69</f>
        <v>7.0773741396475322E-3</v>
      </c>
      <c r="BU71" s="732">
        <f>SUMPRODUCT(BQ71:BT71,BK69:BN69)/BO69</f>
        <v>1.3183474036345408E-2</v>
      </c>
      <c r="BV71" s="665"/>
      <c r="BW71" s="717">
        <f>BW65*BQ63/BQ69</f>
        <v>1.1454145015602397E-2</v>
      </c>
      <c r="BX71" s="696">
        <f>BX65*BR63/BR69</f>
        <v>1.0517313119112724E-3</v>
      </c>
      <c r="BY71" s="696">
        <f>BY65*BS63/BS69</f>
        <v>0</v>
      </c>
      <c r="BZ71" s="697">
        <f>BZ65*BT63/BT69</f>
        <v>0</v>
      </c>
      <c r="CA71" s="732">
        <f>SUMPRODUCT(BW71:BZ71,BQ69:BT69)/BU69</f>
        <v>3.0715359293040493E-3</v>
      </c>
      <c r="CB71" s="665"/>
      <c r="CC71" s="717">
        <f>CC65*BW63/BW69</f>
        <v>0</v>
      </c>
      <c r="CD71" s="696">
        <f>CD65*BX63/BX69</f>
        <v>0</v>
      </c>
      <c r="CE71" s="696">
        <f>CE65*BY63/BY69</f>
        <v>0</v>
      </c>
      <c r="CF71" s="697">
        <f>CF65*BZ63/BZ69</f>
        <v>0</v>
      </c>
      <c r="CG71" s="732">
        <f>SUMPRODUCT(CC71:CF71,BW69:BZ69)/CA69</f>
        <v>0</v>
      </c>
      <c r="CH71" s="665"/>
      <c r="CI71" s="717">
        <f>CI65*CC63/CC69</f>
        <v>0</v>
      </c>
      <c r="CJ71" s="696">
        <f>CJ65*CD63/CD69</f>
        <v>0</v>
      </c>
      <c r="CK71" s="696">
        <f>CK65*CE63/CE69</f>
        <v>0</v>
      </c>
      <c r="CL71" s="697">
        <f>CL65*CF63/CF69</f>
        <v>0</v>
      </c>
      <c r="CM71" s="732">
        <f>SUMPRODUCT(CI71:CL71,CC69:CF69)/CG69</f>
        <v>0</v>
      </c>
    </row>
    <row r="72" spans="1:91" s="25" customFormat="1" ht="11.25" x14ac:dyDescent="0.2">
      <c r="A72" s="695" t="s">
        <v>10</v>
      </c>
      <c r="B72" s="665"/>
      <c r="C72" s="664"/>
      <c r="D72" s="665"/>
      <c r="E72" s="665"/>
      <c r="F72" s="668"/>
      <c r="G72" s="746"/>
      <c r="H72" s="665"/>
      <c r="I72" s="664"/>
      <c r="J72" s="665"/>
      <c r="K72" s="665"/>
      <c r="L72" s="668"/>
      <c r="M72" s="746"/>
      <c r="N72" s="665"/>
      <c r="O72" s="664"/>
      <c r="P72" s="665"/>
      <c r="Q72" s="665"/>
      <c r="R72" s="668"/>
      <c r="S72" s="746"/>
      <c r="T72" s="665"/>
      <c r="U72" s="665"/>
      <c r="V72" s="665"/>
      <c r="W72" s="665"/>
      <c r="X72" s="665"/>
      <c r="Y72" s="665"/>
      <c r="Z72" s="665"/>
      <c r="AA72" s="665"/>
      <c r="AB72" s="665"/>
      <c r="AC72" s="665"/>
      <c r="AD72" s="665"/>
      <c r="AE72" s="665"/>
      <c r="AF72" s="665"/>
      <c r="AG72" s="665"/>
      <c r="AH72" s="665"/>
      <c r="AI72" s="665"/>
      <c r="AJ72" s="665"/>
      <c r="AK72" s="665"/>
      <c r="AL72" s="665"/>
      <c r="AM72" s="665"/>
      <c r="AN72" s="665"/>
      <c r="AO72" s="665"/>
      <c r="AP72" s="665"/>
      <c r="AQ72" s="665"/>
      <c r="AR72" s="665"/>
      <c r="AS72" s="665"/>
      <c r="AT72" s="665"/>
      <c r="AU72" s="665"/>
      <c r="AV72" s="665"/>
      <c r="AW72" s="665"/>
      <c r="AX72" s="665"/>
      <c r="AY72" s="664"/>
      <c r="AZ72" s="665"/>
      <c r="BA72" s="665"/>
      <c r="BB72" s="668"/>
      <c r="BC72" s="746"/>
      <c r="BD72" s="665"/>
      <c r="BE72" s="664"/>
      <c r="BF72" s="665"/>
      <c r="BG72" s="665"/>
      <c r="BH72" s="668"/>
      <c r="BI72" s="746"/>
      <c r="BJ72" s="665"/>
      <c r="BK72" s="717">
        <f>BK70-BK71</f>
        <v>0.10643510506798509</v>
      </c>
      <c r="BL72" s="696">
        <f t="shared" ref="BL72:BO72" si="603">BL70-BL71</f>
        <v>6.5196078431372581E-2</v>
      </c>
      <c r="BM72" s="696">
        <f t="shared" si="603"/>
        <v>5.2723653395784609E-2</v>
      </c>
      <c r="BN72" s="697">
        <f t="shared" si="603"/>
        <v>3.3735632183907974E-2</v>
      </c>
      <c r="BO72" s="732">
        <f t="shared" si="603"/>
        <v>6.3804717826216772E-2</v>
      </c>
      <c r="BP72" s="665"/>
      <c r="BQ72" s="717">
        <f>BQ70-BQ71</f>
        <v>2.8692480359147066E-2</v>
      </c>
      <c r="BR72" s="696">
        <f t="shared" ref="BR72:BU72" si="604">BR70-BR71</f>
        <v>5.5729698375870107E-2</v>
      </c>
      <c r="BS72" s="696">
        <f t="shared" si="604"/>
        <v>5.4050561797752972E-2</v>
      </c>
      <c r="BT72" s="697">
        <f t="shared" si="604"/>
        <v>6.5351170568561837E-2</v>
      </c>
      <c r="BU72" s="732">
        <f t="shared" si="604"/>
        <v>5.0940395480225935E-2</v>
      </c>
      <c r="BV72" s="665"/>
      <c r="BW72" s="717">
        <f>BW70-BW71</f>
        <v>5.3881081081081125E-2</v>
      </c>
      <c r="BX72" s="696">
        <f t="shared" ref="BX72:CA72" si="605">BX70-BX71</f>
        <v>5.3302147296502178E-2</v>
      </c>
      <c r="BY72" s="696">
        <f t="shared" si="605"/>
        <v>5.463270036095591E-2</v>
      </c>
      <c r="BZ72" s="697">
        <f t="shared" si="605"/>
        <v>5.435953556108708E-2</v>
      </c>
      <c r="CA72" s="732">
        <f t="shared" si="605"/>
        <v>5.4050806534860205E-2</v>
      </c>
      <c r="CB72" s="665"/>
      <c r="CC72" s="717">
        <f>CC70-CC71</f>
        <v>5.5130802016963187E-2</v>
      </c>
      <c r="CD72" s="696">
        <f t="shared" ref="CD72:CG72" si="606">CD70-CD71</f>
        <v>5.4266765198476952E-2</v>
      </c>
      <c r="CE72" s="696">
        <f t="shared" si="606"/>
        <v>5.5609423878353326E-2</v>
      </c>
      <c r="CF72" s="697">
        <f t="shared" si="606"/>
        <v>5.5322843961776558E-2</v>
      </c>
      <c r="CG72" s="732">
        <f t="shared" si="606"/>
        <v>5.5088303302094133E-2</v>
      </c>
      <c r="CH72" s="665"/>
      <c r="CI72" s="717">
        <f>CI70-CI71</f>
        <v>5.6127415202355646E-2</v>
      </c>
      <c r="CJ72" s="696">
        <f t="shared" ref="CJ72:CM72" si="607">CJ70-CJ71</f>
        <v>5.5229332839055401E-2</v>
      </c>
      <c r="CK72" s="696">
        <f t="shared" si="607"/>
        <v>5.6611112872840375E-2</v>
      </c>
      <c r="CL72" s="697">
        <f t="shared" si="607"/>
        <v>5.6311194579944379E-2</v>
      </c>
      <c r="CM72" s="732">
        <f t="shared" si="607"/>
        <v>5.6075975130486899E-2</v>
      </c>
    </row>
    <row r="73" spans="1:91" s="25" customFormat="1" ht="11.25" x14ac:dyDescent="0.2">
      <c r="A73" s="695" t="s">
        <v>6</v>
      </c>
      <c r="B73" s="665"/>
      <c r="C73" s="664"/>
      <c r="D73" s="665"/>
      <c r="E73" s="665"/>
      <c r="F73" s="668"/>
      <c r="G73" s="746"/>
      <c r="H73" s="665"/>
      <c r="I73" s="664"/>
      <c r="J73" s="665"/>
      <c r="K73" s="665"/>
      <c r="L73" s="668"/>
      <c r="M73" s="746"/>
      <c r="N73" s="665"/>
      <c r="O73" s="664"/>
      <c r="P73" s="665"/>
      <c r="Q73" s="665"/>
      <c r="R73" s="668"/>
      <c r="S73" s="746"/>
      <c r="T73" s="665"/>
      <c r="U73" s="665"/>
      <c r="V73" s="665"/>
      <c r="W73" s="665"/>
      <c r="X73" s="665"/>
      <c r="Y73" s="665"/>
      <c r="Z73" s="665"/>
      <c r="AA73" s="665"/>
      <c r="AB73" s="665"/>
      <c r="AC73" s="665"/>
      <c r="AD73" s="665"/>
      <c r="AE73" s="665"/>
      <c r="AF73" s="665"/>
      <c r="AG73" s="665"/>
      <c r="AH73" s="665"/>
      <c r="AI73" s="665"/>
      <c r="AJ73" s="665"/>
      <c r="AK73" s="665"/>
      <c r="AL73" s="665"/>
      <c r="AM73" s="665"/>
      <c r="AN73" s="665"/>
      <c r="AO73" s="665"/>
      <c r="AP73" s="665"/>
      <c r="AQ73" s="665"/>
      <c r="AR73" s="665"/>
      <c r="AS73" s="665"/>
      <c r="AT73" s="665"/>
      <c r="AU73" s="665"/>
      <c r="AV73" s="665"/>
      <c r="AW73" s="665"/>
      <c r="AX73" s="665"/>
      <c r="AY73" s="664"/>
      <c r="AZ73" s="665"/>
      <c r="BA73" s="665"/>
      <c r="BB73" s="668"/>
      <c r="BC73" s="746"/>
      <c r="BD73" s="665"/>
      <c r="BE73" s="664"/>
      <c r="BF73" s="665"/>
      <c r="BG73" s="665"/>
      <c r="BH73" s="668"/>
      <c r="BI73" s="746"/>
      <c r="BJ73" s="665"/>
      <c r="BK73" s="717">
        <f>(BK61*BE59+BK67*BE63)/BE69</f>
        <v>2.7812113720642771E-2</v>
      </c>
      <c r="BL73" s="696">
        <f t="shared" ref="BL73:BN73" si="608">(BL61*BF59+BL67*BF63)/BF69</f>
        <v>1.2561274509803922E-2</v>
      </c>
      <c r="BM73" s="696">
        <f t="shared" si="608"/>
        <v>0</v>
      </c>
      <c r="BN73" s="697">
        <f t="shared" si="608"/>
        <v>0</v>
      </c>
      <c r="BO73" s="732">
        <f>SUMPRODUCT(BK73:BN73,BE69:BH69)/BI69</f>
        <v>9.7790385189608833E-3</v>
      </c>
      <c r="BP73" s="665"/>
      <c r="BQ73" s="717">
        <f>(BQ61*BK59+BQ67*BK63)/BK69</f>
        <v>0</v>
      </c>
      <c r="BR73" s="696">
        <f t="shared" ref="BR73" si="609">(BR61*BL59+BR67*BL63)/BL69</f>
        <v>0</v>
      </c>
      <c r="BS73" s="696">
        <f t="shared" ref="BS73" si="610">(BS61*BM59+BS67*BM63)/BM69</f>
        <v>0</v>
      </c>
      <c r="BT73" s="697">
        <f t="shared" ref="BT73" si="611">(BT61*BN59+BT67*BN63)/BN69</f>
        <v>0</v>
      </c>
      <c r="BU73" s="732">
        <f>SUMPRODUCT(BQ73:BT73,BK69:BN69)/BO69</f>
        <v>0</v>
      </c>
      <c r="BV73" s="665"/>
      <c r="BW73" s="717">
        <f>(BW61*BQ59+BW67*BQ63)/BQ69</f>
        <v>0</v>
      </c>
      <c r="BX73" s="696">
        <f t="shared" ref="BX73" si="612">(BX61*BR59+BX67*BR63)/BR69</f>
        <v>0</v>
      </c>
      <c r="BY73" s="696">
        <f t="shared" ref="BY73" si="613">(BY61*BS59+BY67*BS63)/BS69</f>
        <v>0</v>
      </c>
      <c r="BZ73" s="697">
        <f t="shared" ref="BZ73" si="614">(BZ61*BT59+BZ67*BT63)/BT69</f>
        <v>0</v>
      </c>
      <c r="CA73" s="732">
        <f>SUMPRODUCT(BW73:BZ73,BQ69:BT69)/BU69</f>
        <v>0</v>
      </c>
      <c r="CB73" s="665"/>
      <c r="CC73" s="717">
        <f>(CC61*BW59+CC67*BW63)/BW69</f>
        <v>0</v>
      </c>
      <c r="CD73" s="696">
        <f t="shared" ref="CD73" si="615">(CD61*BX59+CD67*BX63)/BX69</f>
        <v>0</v>
      </c>
      <c r="CE73" s="696">
        <f t="shared" ref="CE73" si="616">(CE61*BY59+CE67*BY63)/BY69</f>
        <v>0</v>
      </c>
      <c r="CF73" s="697">
        <f t="shared" ref="CF73" si="617">(CF61*BZ59+CF67*BZ63)/BZ69</f>
        <v>0</v>
      </c>
      <c r="CG73" s="732">
        <f>SUMPRODUCT(CC73:CF73,BW69:BZ69)/CA69</f>
        <v>0</v>
      </c>
      <c r="CH73" s="665"/>
      <c r="CI73" s="717">
        <f>(CI61*CC59+CI67*CC63)/CC69</f>
        <v>0</v>
      </c>
      <c r="CJ73" s="696">
        <f t="shared" ref="CJ73" si="618">(CJ61*CD59+CJ67*CD63)/CD69</f>
        <v>0</v>
      </c>
      <c r="CK73" s="696">
        <f t="shared" ref="CK73" si="619">(CK61*CE59+CK67*CE63)/CE69</f>
        <v>0</v>
      </c>
      <c r="CL73" s="697">
        <f t="shared" ref="CL73" si="620">(CL61*CF59+CL67*CF63)/CF69</f>
        <v>0</v>
      </c>
      <c r="CM73" s="732">
        <f>SUMPRODUCT(CI73:CL73,CC69:CF69)/CG69</f>
        <v>0</v>
      </c>
    </row>
    <row r="74" spans="1:91" s="25" customFormat="1" ht="11.25" x14ac:dyDescent="0.2">
      <c r="A74" s="713" t="s">
        <v>7</v>
      </c>
      <c r="B74" s="656"/>
      <c r="C74" s="751"/>
      <c r="D74" s="656"/>
      <c r="E74" s="656"/>
      <c r="F74" s="752"/>
      <c r="G74" s="747"/>
      <c r="H74" s="656"/>
      <c r="I74" s="751"/>
      <c r="J74" s="656"/>
      <c r="K74" s="656"/>
      <c r="L74" s="752"/>
      <c r="M74" s="747"/>
      <c r="N74" s="656"/>
      <c r="O74" s="751"/>
      <c r="P74" s="656"/>
      <c r="Q74" s="656"/>
      <c r="R74" s="752"/>
      <c r="S74" s="747"/>
      <c r="T74" s="656"/>
      <c r="U74" s="656"/>
      <c r="V74" s="656"/>
      <c r="W74" s="656"/>
      <c r="X74" s="656"/>
      <c r="Y74" s="656"/>
      <c r="Z74" s="656"/>
      <c r="AA74" s="656"/>
      <c r="AB74" s="656"/>
      <c r="AC74" s="656"/>
      <c r="AD74" s="656"/>
      <c r="AE74" s="656"/>
      <c r="AF74" s="656"/>
      <c r="AG74" s="656"/>
      <c r="AH74" s="656"/>
      <c r="AI74" s="656"/>
      <c r="AJ74" s="656"/>
      <c r="AK74" s="656"/>
      <c r="AL74" s="656"/>
      <c r="AM74" s="656"/>
      <c r="AN74" s="656"/>
      <c r="AO74" s="656"/>
      <c r="AP74" s="656"/>
      <c r="AQ74" s="656"/>
      <c r="AR74" s="656"/>
      <c r="AS74" s="656"/>
      <c r="AT74" s="656"/>
      <c r="AU74" s="656"/>
      <c r="AV74" s="656"/>
      <c r="AW74" s="656"/>
      <c r="AX74" s="656"/>
      <c r="AY74" s="751"/>
      <c r="AZ74" s="656"/>
      <c r="BA74" s="656"/>
      <c r="BB74" s="752"/>
      <c r="BC74" s="747"/>
      <c r="BD74" s="656"/>
      <c r="BE74" s="751"/>
      <c r="BF74" s="656"/>
      <c r="BG74" s="656"/>
      <c r="BH74" s="752"/>
      <c r="BI74" s="747"/>
      <c r="BJ74" s="656"/>
      <c r="BK74" s="730">
        <f>BK72-BK73</f>
        <v>7.8622991347342325E-2</v>
      </c>
      <c r="BL74" s="714">
        <f t="shared" ref="BL74:BO74" si="621">BL72-BL73</f>
        <v>5.2634803921568662E-2</v>
      </c>
      <c r="BM74" s="714">
        <f t="shared" si="621"/>
        <v>5.2723653395784609E-2</v>
      </c>
      <c r="BN74" s="715">
        <f t="shared" si="621"/>
        <v>3.3735632183907974E-2</v>
      </c>
      <c r="BO74" s="741">
        <f t="shared" si="621"/>
        <v>5.4025679307255887E-2</v>
      </c>
      <c r="BP74" s="656"/>
      <c r="BQ74" s="730">
        <f>BQ72-BQ73</f>
        <v>2.8692480359147066E-2</v>
      </c>
      <c r="BR74" s="714">
        <f t="shared" ref="BR74:BU74" si="622">BR72-BR73</f>
        <v>5.5729698375870107E-2</v>
      </c>
      <c r="BS74" s="714">
        <f t="shared" si="622"/>
        <v>5.4050561797752972E-2</v>
      </c>
      <c r="BT74" s="715">
        <f t="shared" si="622"/>
        <v>6.5351170568561837E-2</v>
      </c>
      <c r="BU74" s="741">
        <f t="shared" si="622"/>
        <v>5.0940395480225935E-2</v>
      </c>
      <c r="BV74" s="656"/>
      <c r="BW74" s="730">
        <f>BW72-BW73</f>
        <v>5.3881081081081125E-2</v>
      </c>
      <c r="BX74" s="714">
        <f t="shared" ref="BX74:CA74" si="623">BX72-BX73</f>
        <v>5.3302147296502178E-2</v>
      </c>
      <c r="BY74" s="714">
        <f t="shared" si="623"/>
        <v>5.463270036095591E-2</v>
      </c>
      <c r="BZ74" s="715">
        <f t="shared" si="623"/>
        <v>5.435953556108708E-2</v>
      </c>
      <c r="CA74" s="741">
        <f t="shared" si="623"/>
        <v>5.4050806534860205E-2</v>
      </c>
      <c r="CB74" s="656"/>
      <c r="CC74" s="730">
        <f>CC72-CC73</f>
        <v>5.5130802016963187E-2</v>
      </c>
      <c r="CD74" s="714">
        <f t="shared" ref="CD74:CG74" si="624">CD72-CD73</f>
        <v>5.4266765198476952E-2</v>
      </c>
      <c r="CE74" s="714">
        <f t="shared" si="624"/>
        <v>5.5609423878353326E-2</v>
      </c>
      <c r="CF74" s="715">
        <f t="shared" si="624"/>
        <v>5.5322843961776558E-2</v>
      </c>
      <c r="CG74" s="741">
        <f t="shared" si="624"/>
        <v>5.5088303302094133E-2</v>
      </c>
      <c r="CH74" s="656"/>
      <c r="CI74" s="730">
        <f>CI72-CI73</f>
        <v>5.6127415202355646E-2</v>
      </c>
      <c r="CJ74" s="714">
        <f t="shared" ref="CJ74:CM74" si="625">CJ72-CJ73</f>
        <v>5.5229332839055401E-2</v>
      </c>
      <c r="CK74" s="714">
        <f t="shared" si="625"/>
        <v>5.6611112872840375E-2</v>
      </c>
      <c r="CL74" s="715">
        <f t="shared" si="625"/>
        <v>5.6311194579944379E-2</v>
      </c>
      <c r="CM74" s="741">
        <f t="shared" si="625"/>
        <v>5.6075975130486899E-2</v>
      </c>
    </row>
    <row r="77" spans="1:91" x14ac:dyDescent="0.2">
      <c r="BQ77" s="759"/>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CW162"/>
  <sheetViews>
    <sheetView showGridLines="0" workbookViewId="0">
      <pane xSplit="2" ySplit="6" topLeftCell="C7" activePane="bottomRight" state="frozen"/>
      <selection pane="topRight" activeCell="C1" sqref="C1"/>
      <selection pane="bottomLeft" activeCell="A7" sqref="A7"/>
      <selection pane="bottomRight"/>
    </sheetView>
  </sheetViews>
  <sheetFormatPr defaultRowHeight="12.75" outlineLevelRow="1" outlineLevelCol="1" x14ac:dyDescent="0.2"/>
  <cols>
    <col min="1" max="1" width="25.7109375" style="500" customWidth="1"/>
    <col min="2" max="2" width="0.85546875" style="11" customWidth="1"/>
    <col min="3" max="7" width="8.28515625" style="3" hidden="1" customWidth="1" outlineLevel="1"/>
    <col min="8" max="8" width="0.85546875" style="11" hidden="1" customWidth="1" outlineLevel="1"/>
    <col min="9" max="13" width="8.28515625" style="3" hidden="1" customWidth="1" outlineLevel="1"/>
    <col min="14" max="14" width="0.85546875" style="11" hidden="1" customWidth="1" outlineLevel="1"/>
    <col min="15" max="19" width="8.28515625" style="3" hidden="1" customWidth="1" outlineLevel="1"/>
    <col min="20" max="20" width="0.85546875" style="11" hidden="1" customWidth="1" outlineLevel="1"/>
    <col min="21" max="25" width="8.28515625" style="3" hidden="1" customWidth="1" outlineLevel="1"/>
    <col min="26" max="26" width="0.85546875" style="11" hidden="1" customWidth="1" outlineLevel="1"/>
    <col min="27" max="31" width="8.28515625" style="3" hidden="1" customWidth="1" outlineLevel="1"/>
    <col min="32" max="32" width="0.85546875" style="11" hidden="1" customWidth="1" outlineLevel="1"/>
    <col min="33" max="37" width="8.28515625" style="3" hidden="1" customWidth="1" outlineLevel="1"/>
    <col min="38" max="38" width="0.85546875" style="11" hidden="1" customWidth="1" outlineLevel="1"/>
    <col min="39" max="43" width="8.28515625" style="3" hidden="1" customWidth="1" outlineLevel="1"/>
    <col min="44" max="44" width="0.85546875" style="11" hidden="1" customWidth="1" outlineLevel="1"/>
    <col min="45" max="49" width="8.28515625" style="3" hidden="1" customWidth="1" outlineLevel="1"/>
    <col min="50" max="50" width="0.85546875" style="11" hidden="1" customWidth="1" outlineLevel="1"/>
    <col min="51" max="54" width="8.28515625" style="3" hidden="1" customWidth="1" outlineLevel="1"/>
    <col min="55" max="55" width="8.28515625" style="3" customWidth="1" collapsed="1"/>
    <col min="56" max="56" width="0.85546875" style="11" customWidth="1"/>
    <col min="57" max="60" width="8.28515625" style="3" hidden="1" customWidth="1" outlineLevel="1"/>
    <col min="61" max="61" width="8.28515625" style="3" customWidth="1" collapsed="1"/>
    <col min="62" max="62" width="0.85546875" style="11" customWidth="1"/>
    <col min="63" max="66" width="8.28515625" style="3" hidden="1" customWidth="1" outlineLevel="1"/>
    <col min="67" max="67" width="8.28515625" style="3" customWidth="1" collapsed="1"/>
    <col min="68" max="68" width="0.85546875" style="11" customWidth="1"/>
    <col min="69" max="72" width="8.28515625" style="3" hidden="1" customWidth="1" outlineLevel="1"/>
    <col min="73" max="73" width="8.28515625" style="3" customWidth="1" collapsed="1"/>
    <col min="74" max="74" width="0.85546875" style="3" customWidth="1"/>
    <col min="75" max="78" width="8.28515625" style="3" hidden="1" customWidth="1" outlineLevel="1"/>
    <col min="79" max="79" width="8.28515625" style="3" customWidth="1" collapsed="1"/>
    <col min="80" max="80" width="0.85546875" style="3" customWidth="1"/>
    <col min="81" max="84" width="8.28515625" style="3" hidden="1" customWidth="1" outlineLevel="1"/>
    <col min="85" max="85" width="8.28515625" style="3" customWidth="1" collapsed="1"/>
    <col min="86" max="86" width="0.85546875" style="3" customWidth="1"/>
    <col min="87" max="90" width="8.28515625" style="3" hidden="1" customWidth="1" outlineLevel="1"/>
    <col min="91" max="91" width="8.28515625" style="3" customWidth="1" collapsed="1"/>
    <col min="92" max="94" width="9.140625" style="3" customWidth="1"/>
    <col min="95" max="95" width="23.7109375" hidden="1" customWidth="1" outlineLevel="1"/>
    <col min="96" max="100" width="9.140625" hidden="1" customWidth="1" outlineLevel="1"/>
    <col min="101" max="101" width="9.140625" style="3" collapsed="1"/>
    <col min="102" max="256" width="9.140625" style="3"/>
    <col min="257" max="257" width="25.7109375" style="3" customWidth="1"/>
    <col min="258" max="258" width="0.85546875" style="3" customWidth="1"/>
    <col min="259" max="263" width="8.28515625" style="3" customWidth="1"/>
    <col min="264" max="264" width="0.85546875" style="3" customWidth="1"/>
    <col min="265" max="269" width="8.28515625" style="3" customWidth="1"/>
    <col min="270" max="270" width="0.85546875" style="3" customWidth="1"/>
    <col min="271" max="275" width="8.28515625" style="3" customWidth="1"/>
    <col min="276" max="276" width="0.85546875" style="3" customWidth="1"/>
    <col min="277" max="281" width="8.28515625" style="3" customWidth="1"/>
    <col min="282" max="282" width="0.85546875" style="3" customWidth="1"/>
    <col min="283" max="287" width="8.28515625" style="3" customWidth="1"/>
    <col min="288" max="288" width="0.85546875" style="3" customWidth="1"/>
    <col min="289" max="293" width="8.28515625" style="3" customWidth="1"/>
    <col min="294" max="294" width="0.85546875" style="3" customWidth="1"/>
    <col min="295" max="299" width="8.28515625" style="3" customWidth="1"/>
    <col min="300" max="300" width="0.85546875" style="3" customWidth="1"/>
    <col min="301" max="305" width="8.28515625" style="3" customWidth="1"/>
    <col min="306" max="306" width="0.85546875" style="3" customWidth="1"/>
    <col min="307" max="311" width="8.28515625" style="3" customWidth="1"/>
    <col min="312" max="312" width="0.85546875" style="3" customWidth="1"/>
    <col min="313" max="317" width="8.28515625" style="3" customWidth="1"/>
    <col min="318" max="318" width="0.85546875" style="3" customWidth="1"/>
    <col min="319" max="323" width="8.28515625" style="3" customWidth="1"/>
    <col min="324" max="324" width="0.85546875" style="3" customWidth="1"/>
    <col min="325" max="329" width="8.28515625" style="3" customWidth="1"/>
    <col min="330" max="330" width="0.85546875" style="3" customWidth="1"/>
    <col min="331" max="335" width="8.28515625" style="3" customWidth="1"/>
    <col min="336" max="336" width="0.85546875" style="3" customWidth="1"/>
    <col min="337" max="341" width="8.28515625" style="3" customWidth="1"/>
    <col min="342" max="342" width="0.85546875" style="3" customWidth="1"/>
    <col min="343" max="347" width="8.28515625" style="3" customWidth="1"/>
    <col min="348" max="350" width="9.140625" style="3" customWidth="1"/>
    <col min="351" max="351" width="23.7109375" style="3" customWidth="1"/>
    <col min="352" max="356" width="9.140625" style="3" customWidth="1"/>
    <col min="357" max="512" width="9.140625" style="3"/>
    <col min="513" max="513" width="25.7109375" style="3" customWidth="1"/>
    <col min="514" max="514" width="0.85546875" style="3" customWidth="1"/>
    <col min="515" max="519" width="8.28515625" style="3" customWidth="1"/>
    <col min="520" max="520" width="0.85546875" style="3" customWidth="1"/>
    <col min="521" max="525" width="8.28515625" style="3" customWidth="1"/>
    <col min="526" max="526" width="0.85546875" style="3" customWidth="1"/>
    <col min="527" max="531" width="8.28515625" style="3" customWidth="1"/>
    <col min="532" max="532" width="0.85546875" style="3" customWidth="1"/>
    <col min="533" max="537" width="8.28515625" style="3" customWidth="1"/>
    <col min="538" max="538" width="0.85546875" style="3" customWidth="1"/>
    <col min="539" max="543" width="8.28515625" style="3" customWidth="1"/>
    <col min="544" max="544" width="0.85546875" style="3" customWidth="1"/>
    <col min="545" max="549" width="8.28515625" style="3" customWidth="1"/>
    <col min="550" max="550" width="0.85546875" style="3" customWidth="1"/>
    <col min="551" max="555" width="8.28515625" style="3" customWidth="1"/>
    <col min="556" max="556" width="0.85546875" style="3" customWidth="1"/>
    <col min="557" max="561" width="8.28515625" style="3" customWidth="1"/>
    <col min="562" max="562" width="0.85546875" style="3" customWidth="1"/>
    <col min="563" max="567" width="8.28515625" style="3" customWidth="1"/>
    <col min="568" max="568" width="0.85546875" style="3" customWidth="1"/>
    <col min="569" max="573" width="8.28515625" style="3" customWidth="1"/>
    <col min="574" max="574" width="0.85546875" style="3" customWidth="1"/>
    <col min="575" max="579" width="8.28515625" style="3" customWidth="1"/>
    <col min="580" max="580" width="0.85546875" style="3" customWidth="1"/>
    <col min="581" max="585" width="8.28515625" style="3" customWidth="1"/>
    <col min="586" max="586" width="0.85546875" style="3" customWidth="1"/>
    <col min="587" max="591" width="8.28515625" style="3" customWidth="1"/>
    <col min="592" max="592" width="0.85546875" style="3" customWidth="1"/>
    <col min="593" max="597" width="8.28515625" style="3" customWidth="1"/>
    <col min="598" max="598" width="0.85546875" style="3" customWidth="1"/>
    <col min="599" max="603" width="8.28515625" style="3" customWidth="1"/>
    <col min="604" max="606" width="9.140625" style="3" customWidth="1"/>
    <col min="607" max="607" width="23.7109375" style="3" customWidth="1"/>
    <col min="608" max="612" width="9.140625" style="3" customWidth="1"/>
    <col min="613" max="768" width="9.140625" style="3"/>
    <col min="769" max="769" width="25.7109375" style="3" customWidth="1"/>
    <col min="770" max="770" width="0.85546875" style="3" customWidth="1"/>
    <col min="771" max="775" width="8.28515625" style="3" customWidth="1"/>
    <col min="776" max="776" width="0.85546875" style="3" customWidth="1"/>
    <col min="777" max="781" width="8.28515625" style="3" customWidth="1"/>
    <col min="782" max="782" width="0.85546875" style="3" customWidth="1"/>
    <col min="783" max="787" width="8.28515625" style="3" customWidth="1"/>
    <col min="788" max="788" width="0.85546875" style="3" customWidth="1"/>
    <col min="789" max="793" width="8.28515625" style="3" customWidth="1"/>
    <col min="794" max="794" width="0.85546875" style="3" customWidth="1"/>
    <col min="795" max="799" width="8.28515625" style="3" customWidth="1"/>
    <col min="800" max="800" width="0.85546875" style="3" customWidth="1"/>
    <col min="801" max="805" width="8.28515625" style="3" customWidth="1"/>
    <col min="806" max="806" width="0.85546875" style="3" customWidth="1"/>
    <col min="807" max="811" width="8.28515625" style="3" customWidth="1"/>
    <col min="812" max="812" width="0.85546875" style="3" customWidth="1"/>
    <col min="813" max="817" width="8.28515625" style="3" customWidth="1"/>
    <col min="818" max="818" width="0.85546875" style="3" customWidth="1"/>
    <col min="819" max="823" width="8.28515625" style="3" customWidth="1"/>
    <col min="824" max="824" width="0.85546875" style="3" customWidth="1"/>
    <col min="825" max="829" width="8.28515625" style="3" customWidth="1"/>
    <col min="830" max="830" width="0.85546875" style="3" customWidth="1"/>
    <col min="831" max="835" width="8.28515625" style="3" customWidth="1"/>
    <col min="836" max="836" width="0.85546875" style="3" customWidth="1"/>
    <col min="837" max="841" width="8.28515625" style="3" customWidth="1"/>
    <col min="842" max="842" width="0.85546875" style="3" customWidth="1"/>
    <col min="843" max="847" width="8.28515625" style="3" customWidth="1"/>
    <col min="848" max="848" width="0.85546875" style="3" customWidth="1"/>
    <col min="849" max="853" width="8.28515625" style="3" customWidth="1"/>
    <col min="854" max="854" width="0.85546875" style="3" customWidth="1"/>
    <col min="855" max="859" width="8.28515625" style="3" customWidth="1"/>
    <col min="860" max="862" width="9.140625" style="3" customWidth="1"/>
    <col min="863" max="863" width="23.7109375" style="3" customWidth="1"/>
    <col min="864" max="868" width="9.140625" style="3" customWidth="1"/>
    <col min="869" max="1024" width="9.140625" style="3"/>
    <col min="1025" max="1025" width="25.7109375" style="3" customWidth="1"/>
    <col min="1026" max="1026" width="0.85546875" style="3" customWidth="1"/>
    <col min="1027" max="1031" width="8.28515625" style="3" customWidth="1"/>
    <col min="1032" max="1032" width="0.85546875" style="3" customWidth="1"/>
    <col min="1033" max="1037" width="8.28515625" style="3" customWidth="1"/>
    <col min="1038" max="1038" width="0.85546875" style="3" customWidth="1"/>
    <col min="1039" max="1043" width="8.28515625" style="3" customWidth="1"/>
    <col min="1044" max="1044" width="0.85546875" style="3" customWidth="1"/>
    <col min="1045" max="1049" width="8.28515625" style="3" customWidth="1"/>
    <col min="1050" max="1050" width="0.85546875" style="3" customWidth="1"/>
    <col min="1051" max="1055" width="8.28515625" style="3" customWidth="1"/>
    <col min="1056" max="1056" width="0.85546875" style="3" customWidth="1"/>
    <col min="1057" max="1061" width="8.28515625" style="3" customWidth="1"/>
    <col min="1062" max="1062" width="0.85546875" style="3" customWidth="1"/>
    <col min="1063" max="1067" width="8.28515625" style="3" customWidth="1"/>
    <col min="1068" max="1068" width="0.85546875" style="3" customWidth="1"/>
    <col min="1069" max="1073" width="8.28515625" style="3" customWidth="1"/>
    <col min="1074" max="1074" width="0.85546875" style="3" customWidth="1"/>
    <col min="1075" max="1079" width="8.28515625" style="3" customWidth="1"/>
    <col min="1080" max="1080" width="0.85546875" style="3" customWidth="1"/>
    <col min="1081" max="1085" width="8.28515625" style="3" customWidth="1"/>
    <col min="1086" max="1086" width="0.85546875" style="3" customWidth="1"/>
    <col min="1087" max="1091" width="8.28515625" style="3" customWidth="1"/>
    <col min="1092" max="1092" width="0.85546875" style="3" customWidth="1"/>
    <col min="1093" max="1097" width="8.28515625" style="3" customWidth="1"/>
    <col min="1098" max="1098" width="0.85546875" style="3" customWidth="1"/>
    <col min="1099" max="1103" width="8.28515625" style="3" customWidth="1"/>
    <col min="1104" max="1104" width="0.85546875" style="3" customWidth="1"/>
    <col min="1105" max="1109" width="8.28515625" style="3" customWidth="1"/>
    <col min="1110" max="1110" width="0.85546875" style="3" customWidth="1"/>
    <col min="1111" max="1115" width="8.28515625" style="3" customWidth="1"/>
    <col min="1116" max="1118" width="9.140625" style="3" customWidth="1"/>
    <col min="1119" max="1119" width="23.7109375" style="3" customWidth="1"/>
    <col min="1120" max="1124" width="9.140625" style="3" customWidth="1"/>
    <col min="1125" max="1280" width="9.140625" style="3"/>
    <col min="1281" max="1281" width="25.7109375" style="3" customWidth="1"/>
    <col min="1282" max="1282" width="0.85546875" style="3" customWidth="1"/>
    <col min="1283" max="1287" width="8.28515625" style="3" customWidth="1"/>
    <col min="1288" max="1288" width="0.85546875" style="3" customWidth="1"/>
    <col min="1289" max="1293" width="8.28515625" style="3" customWidth="1"/>
    <col min="1294" max="1294" width="0.85546875" style="3" customWidth="1"/>
    <col min="1295" max="1299" width="8.28515625" style="3" customWidth="1"/>
    <col min="1300" max="1300" width="0.85546875" style="3" customWidth="1"/>
    <col min="1301" max="1305" width="8.28515625" style="3" customWidth="1"/>
    <col min="1306" max="1306" width="0.85546875" style="3" customWidth="1"/>
    <col min="1307" max="1311" width="8.28515625" style="3" customWidth="1"/>
    <col min="1312" max="1312" width="0.85546875" style="3" customWidth="1"/>
    <col min="1313" max="1317" width="8.28515625" style="3" customWidth="1"/>
    <col min="1318" max="1318" width="0.85546875" style="3" customWidth="1"/>
    <col min="1319" max="1323" width="8.28515625" style="3" customWidth="1"/>
    <col min="1324" max="1324" width="0.85546875" style="3" customWidth="1"/>
    <col min="1325" max="1329" width="8.28515625" style="3" customWidth="1"/>
    <col min="1330" max="1330" width="0.85546875" style="3" customWidth="1"/>
    <col min="1331" max="1335" width="8.28515625" style="3" customWidth="1"/>
    <col min="1336" max="1336" width="0.85546875" style="3" customWidth="1"/>
    <col min="1337" max="1341" width="8.28515625" style="3" customWidth="1"/>
    <col min="1342" max="1342" width="0.85546875" style="3" customWidth="1"/>
    <col min="1343" max="1347" width="8.28515625" style="3" customWidth="1"/>
    <col min="1348" max="1348" width="0.85546875" style="3" customWidth="1"/>
    <col min="1349" max="1353" width="8.28515625" style="3" customWidth="1"/>
    <col min="1354" max="1354" width="0.85546875" style="3" customWidth="1"/>
    <col min="1355" max="1359" width="8.28515625" style="3" customWidth="1"/>
    <col min="1360" max="1360" width="0.85546875" style="3" customWidth="1"/>
    <col min="1361" max="1365" width="8.28515625" style="3" customWidth="1"/>
    <col min="1366" max="1366" width="0.85546875" style="3" customWidth="1"/>
    <col min="1367" max="1371" width="8.28515625" style="3" customWidth="1"/>
    <col min="1372" max="1374" width="9.140625" style="3" customWidth="1"/>
    <col min="1375" max="1375" width="23.7109375" style="3" customWidth="1"/>
    <col min="1376" max="1380" width="9.140625" style="3" customWidth="1"/>
    <col min="1381" max="1536" width="9.140625" style="3"/>
    <col min="1537" max="1537" width="25.7109375" style="3" customWidth="1"/>
    <col min="1538" max="1538" width="0.85546875" style="3" customWidth="1"/>
    <col min="1539" max="1543" width="8.28515625" style="3" customWidth="1"/>
    <col min="1544" max="1544" width="0.85546875" style="3" customWidth="1"/>
    <col min="1545" max="1549" width="8.28515625" style="3" customWidth="1"/>
    <col min="1550" max="1550" width="0.85546875" style="3" customWidth="1"/>
    <col min="1551" max="1555" width="8.28515625" style="3" customWidth="1"/>
    <col min="1556" max="1556" width="0.85546875" style="3" customWidth="1"/>
    <col min="1557" max="1561" width="8.28515625" style="3" customWidth="1"/>
    <col min="1562" max="1562" width="0.85546875" style="3" customWidth="1"/>
    <col min="1563" max="1567" width="8.28515625" style="3" customWidth="1"/>
    <col min="1568" max="1568" width="0.85546875" style="3" customWidth="1"/>
    <col min="1569" max="1573" width="8.28515625" style="3" customWidth="1"/>
    <col min="1574" max="1574" width="0.85546875" style="3" customWidth="1"/>
    <col min="1575" max="1579" width="8.28515625" style="3" customWidth="1"/>
    <col min="1580" max="1580" width="0.85546875" style="3" customWidth="1"/>
    <col min="1581" max="1585" width="8.28515625" style="3" customWidth="1"/>
    <col min="1586" max="1586" width="0.85546875" style="3" customWidth="1"/>
    <col min="1587" max="1591" width="8.28515625" style="3" customWidth="1"/>
    <col min="1592" max="1592" width="0.85546875" style="3" customWidth="1"/>
    <col min="1593" max="1597" width="8.28515625" style="3" customWidth="1"/>
    <col min="1598" max="1598" width="0.85546875" style="3" customWidth="1"/>
    <col min="1599" max="1603" width="8.28515625" style="3" customWidth="1"/>
    <col min="1604" max="1604" width="0.85546875" style="3" customWidth="1"/>
    <col min="1605" max="1609" width="8.28515625" style="3" customWidth="1"/>
    <col min="1610" max="1610" width="0.85546875" style="3" customWidth="1"/>
    <col min="1611" max="1615" width="8.28515625" style="3" customWidth="1"/>
    <col min="1616" max="1616" width="0.85546875" style="3" customWidth="1"/>
    <col min="1617" max="1621" width="8.28515625" style="3" customWidth="1"/>
    <col min="1622" max="1622" width="0.85546875" style="3" customWidth="1"/>
    <col min="1623" max="1627" width="8.28515625" style="3" customWidth="1"/>
    <col min="1628" max="1630" width="9.140625" style="3" customWidth="1"/>
    <col min="1631" max="1631" width="23.7109375" style="3" customWidth="1"/>
    <col min="1632" max="1636" width="9.140625" style="3" customWidth="1"/>
    <col min="1637" max="1792" width="9.140625" style="3"/>
    <col min="1793" max="1793" width="25.7109375" style="3" customWidth="1"/>
    <col min="1794" max="1794" width="0.85546875" style="3" customWidth="1"/>
    <col min="1795" max="1799" width="8.28515625" style="3" customWidth="1"/>
    <col min="1800" max="1800" width="0.85546875" style="3" customWidth="1"/>
    <col min="1801" max="1805" width="8.28515625" style="3" customWidth="1"/>
    <col min="1806" max="1806" width="0.85546875" style="3" customWidth="1"/>
    <col min="1807" max="1811" width="8.28515625" style="3" customWidth="1"/>
    <col min="1812" max="1812" width="0.85546875" style="3" customWidth="1"/>
    <col min="1813" max="1817" width="8.28515625" style="3" customWidth="1"/>
    <col min="1818" max="1818" width="0.85546875" style="3" customWidth="1"/>
    <col min="1819" max="1823" width="8.28515625" style="3" customWidth="1"/>
    <col min="1824" max="1824" width="0.85546875" style="3" customWidth="1"/>
    <col min="1825" max="1829" width="8.28515625" style="3" customWidth="1"/>
    <col min="1830" max="1830" width="0.85546875" style="3" customWidth="1"/>
    <col min="1831" max="1835" width="8.28515625" style="3" customWidth="1"/>
    <col min="1836" max="1836" width="0.85546875" style="3" customWidth="1"/>
    <col min="1837" max="1841" width="8.28515625" style="3" customWidth="1"/>
    <col min="1842" max="1842" width="0.85546875" style="3" customWidth="1"/>
    <col min="1843" max="1847" width="8.28515625" style="3" customWidth="1"/>
    <col min="1848" max="1848" width="0.85546875" style="3" customWidth="1"/>
    <col min="1849" max="1853" width="8.28515625" style="3" customWidth="1"/>
    <col min="1854" max="1854" width="0.85546875" style="3" customWidth="1"/>
    <col min="1855" max="1859" width="8.28515625" style="3" customWidth="1"/>
    <col min="1860" max="1860" width="0.85546875" style="3" customWidth="1"/>
    <col min="1861" max="1865" width="8.28515625" style="3" customWidth="1"/>
    <col min="1866" max="1866" width="0.85546875" style="3" customWidth="1"/>
    <col min="1867" max="1871" width="8.28515625" style="3" customWidth="1"/>
    <col min="1872" max="1872" width="0.85546875" style="3" customWidth="1"/>
    <col min="1873" max="1877" width="8.28515625" style="3" customWidth="1"/>
    <col min="1878" max="1878" width="0.85546875" style="3" customWidth="1"/>
    <col min="1879" max="1883" width="8.28515625" style="3" customWidth="1"/>
    <col min="1884" max="1886" width="9.140625" style="3" customWidth="1"/>
    <col min="1887" max="1887" width="23.7109375" style="3" customWidth="1"/>
    <col min="1888" max="1892" width="9.140625" style="3" customWidth="1"/>
    <col min="1893" max="2048" width="9.140625" style="3"/>
    <col min="2049" max="2049" width="25.7109375" style="3" customWidth="1"/>
    <col min="2050" max="2050" width="0.85546875" style="3" customWidth="1"/>
    <col min="2051" max="2055" width="8.28515625" style="3" customWidth="1"/>
    <col min="2056" max="2056" width="0.85546875" style="3" customWidth="1"/>
    <col min="2057" max="2061" width="8.28515625" style="3" customWidth="1"/>
    <col min="2062" max="2062" width="0.85546875" style="3" customWidth="1"/>
    <col min="2063" max="2067" width="8.28515625" style="3" customWidth="1"/>
    <col min="2068" max="2068" width="0.85546875" style="3" customWidth="1"/>
    <col min="2069" max="2073" width="8.28515625" style="3" customWidth="1"/>
    <col min="2074" max="2074" width="0.85546875" style="3" customWidth="1"/>
    <col min="2075" max="2079" width="8.28515625" style="3" customWidth="1"/>
    <col min="2080" max="2080" width="0.85546875" style="3" customWidth="1"/>
    <col min="2081" max="2085" width="8.28515625" style="3" customWidth="1"/>
    <col min="2086" max="2086" width="0.85546875" style="3" customWidth="1"/>
    <col min="2087" max="2091" width="8.28515625" style="3" customWidth="1"/>
    <col min="2092" max="2092" width="0.85546875" style="3" customWidth="1"/>
    <col min="2093" max="2097" width="8.28515625" style="3" customWidth="1"/>
    <col min="2098" max="2098" width="0.85546875" style="3" customWidth="1"/>
    <col min="2099" max="2103" width="8.28515625" style="3" customWidth="1"/>
    <col min="2104" max="2104" width="0.85546875" style="3" customWidth="1"/>
    <col min="2105" max="2109" width="8.28515625" style="3" customWidth="1"/>
    <col min="2110" max="2110" width="0.85546875" style="3" customWidth="1"/>
    <col min="2111" max="2115" width="8.28515625" style="3" customWidth="1"/>
    <col min="2116" max="2116" width="0.85546875" style="3" customWidth="1"/>
    <col min="2117" max="2121" width="8.28515625" style="3" customWidth="1"/>
    <col min="2122" max="2122" width="0.85546875" style="3" customWidth="1"/>
    <col min="2123" max="2127" width="8.28515625" style="3" customWidth="1"/>
    <col min="2128" max="2128" width="0.85546875" style="3" customWidth="1"/>
    <col min="2129" max="2133" width="8.28515625" style="3" customWidth="1"/>
    <col min="2134" max="2134" width="0.85546875" style="3" customWidth="1"/>
    <col min="2135" max="2139" width="8.28515625" style="3" customWidth="1"/>
    <col min="2140" max="2142" width="9.140625" style="3" customWidth="1"/>
    <col min="2143" max="2143" width="23.7109375" style="3" customWidth="1"/>
    <col min="2144" max="2148" width="9.140625" style="3" customWidth="1"/>
    <col min="2149" max="2304" width="9.140625" style="3"/>
    <col min="2305" max="2305" width="25.7109375" style="3" customWidth="1"/>
    <col min="2306" max="2306" width="0.85546875" style="3" customWidth="1"/>
    <col min="2307" max="2311" width="8.28515625" style="3" customWidth="1"/>
    <col min="2312" max="2312" width="0.85546875" style="3" customWidth="1"/>
    <col min="2313" max="2317" width="8.28515625" style="3" customWidth="1"/>
    <col min="2318" max="2318" width="0.85546875" style="3" customWidth="1"/>
    <col min="2319" max="2323" width="8.28515625" style="3" customWidth="1"/>
    <col min="2324" max="2324" width="0.85546875" style="3" customWidth="1"/>
    <col min="2325" max="2329" width="8.28515625" style="3" customWidth="1"/>
    <col min="2330" max="2330" width="0.85546875" style="3" customWidth="1"/>
    <col min="2331" max="2335" width="8.28515625" style="3" customWidth="1"/>
    <col min="2336" max="2336" width="0.85546875" style="3" customWidth="1"/>
    <col min="2337" max="2341" width="8.28515625" style="3" customWidth="1"/>
    <col min="2342" max="2342" width="0.85546875" style="3" customWidth="1"/>
    <col min="2343" max="2347" width="8.28515625" style="3" customWidth="1"/>
    <col min="2348" max="2348" width="0.85546875" style="3" customWidth="1"/>
    <col min="2349" max="2353" width="8.28515625" style="3" customWidth="1"/>
    <col min="2354" max="2354" width="0.85546875" style="3" customWidth="1"/>
    <col min="2355" max="2359" width="8.28515625" style="3" customWidth="1"/>
    <col min="2360" max="2360" width="0.85546875" style="3" customWidth="1"/>
    <col min="2361" max="2365" width="8.28515625" style="3" customWidth="1"/>
    <col min="2366" max="2366" width="0.85546875" style="3" customWidth="1"/>
    <col min="2367" max="2371" width="8.28515625" style="3" customWidth="1"/>
    <col min="2372" max="2372" width="0.85546875" style="3" customWidth="1"/>
    <col min="2373" max="2377" width="8.28515625" style="3" customWidth="1"/>
    <col min="2378" max="2378" width="0.85546875" style="3" customWidth="1"/>
    <col min="2379" max="2383" width="8.28515625" style="3" customWidth="1"/>
    <col min="2384" max="2384" width="0.85546875" style="3" customWidth="1"/>
    <col min="2385" max="2389" width="8.28515625" style="3" customWidth="1"/>
    <col min="2390" max="2390" width="0.85546875" style="3" customWidth="1"/>
    <col min="2391" max="2395" width="8.28515625" style="3" customWidth="1"/>
    <col min="2396" max="2398" width="9.140625" style="3" customWidth="1"/>
    <col min="2399" max="2399" width="23.7109375" style="3" customWidth="1"/>
    <col min="2400" max="2404" width="9.140625" style="3" customWidth="1"/>
    <col min="2405" max="2560" width="9.140625" style="3"/>
    <col min="2561" max="2561" width="25.7109375" style="3" customWidth="1"/>
    <col min="2562" max="2562" width="0.85546875" style="3" customWidth="1"/>
    <col min="2563" max="2567" width="8.28515625" style="3" customWidth="1"/>
    <col min="2568" max="2568" width="0.85546875" style="3" customWidth="1"/>
    <col min="2569" max="2573" width="8.28515625" style="3" customWidth="1"/>
    <col min="2574" max="2574" width="0.85546875" style="3" customWidth="1"/>
    <col min="2575" max="2579" width="8.28515625" style="3" customWidth="1"/>
    <col min="2580" max="2580" width="0.85546875" style="3" customWidth="1"/>
    <col min="2581" max="2585" width="8.28515625" style="3" customWidth="1"/>
    <col min="2586" max="2586" width="0.85546875" style="3" customWidth="1"/>
    <col min="2587" max="2591" width="8.28515625" style="3" customWidth="1"/>
    <col min="2592" max="2592" width="0.85546875" style="3" customWidth="1"/>
    <col min="2593" max="2597" width="8.28515625" style="3" customWidth="1"/>
    <col min="2598" max="2598" width="0.85546875" style="3" customWidth="1"/>
    <col min="2599" max="2603" width="8.28515625" style="3" customWidth="1"/>
    <col min="2604" max="2604" width="0.85546875" style="3" customWidth="1"/>
    <col min="2605" max="2609" width="8.28515625" style="3" customWidth="1"/>
    <col min="2610" max="2610" width="0.85546875" style="3" customWidth="1"/>
    <col min="2611" max="2615" width="8.28515625" style="3" customWidth="1"/>
    <col min="2616" max="2616" width="0.85546875" style="3" customWidth="1"/>
    <col min="2617" max="2621" width="8.28515625" style="3" customWidth="1"/>
    <col min="2622" max="2622" width="0.85546875" style="3" customWidth="1"/>
    <col min="2623" max="2627" width="8.28515625" style="3" customWidth="1"/>
    <col min="2628" max="2628" width="0.85546875" style="3" customWidth="1"/>
    <col min="2629" max="2633" width="8.28515625" style="3" customWidth="1"/>
    <col min="2634" max="2634" width="0.85546875" style="3" customWidth="1"/>
    <col min="2635" max="2639" width="8.28515625" style="3" customWidth="1"/>
    <col min="2640" max="2640" width="0.85546875" style="3" customWidth="1"/>
    <col min="2641" max="2645" width="8.28515625" style="3" customWidth="1"/>
    <col min="2646" max="2646" width="0.85546875" style="3" customWidth="1"/>
    <col min="2647" max="2651" width="8.28515625" style="3" customWidth="1"/>
    <col min="2652" max="2654" width="9.140625" style="3" customWidth="1"/>
    <col min="2655" max="2655" width="23.7109375" style="3" customWidth="1"/>
    <col min="2656" max="2660" width="9.140625" style="3" customWidth="1"/>
    <col min="2661" max="2816" width="9.140625" style="3"/>
    <col min="2817" max="2817" width="25.7109375" style="3" customWidth="1"/>
    <col min="2818" max="2818" width="0.85546875" style="3" customWidth="1"/>
    <col min="2819" max="2823" width="8.28515625" style="3" customWidth="1"/>
    <col min="2824" max="2824" width="0.85546875" style="3" customWidth="1"/>
    <col min="2825" max="2829" width="8.28515625" style="3" customWidth="1"/>
    <col min="2830" max="2830" width="0.85546875" style="3" customWidth="1"/>
    <col min="2831" max="2835" width="8.28515625" style="3" customWidth="1"/>
    <col min="2836" max="2836" width="0.85546875" style="3" customWidth="1"/>
    <col min="2837" max="2841" width="8.28515625" style="3" customWidth="1"/>
    <col min="2842" max="2842" width="0.85546875" style="3" customWidth="1"/>
    <col min="2843" max="2847" width="8.28515625" style="3" customWidth="1"/>
    <col min="2848" max="2848" width="0.85546875" style="3" customWidth="1"/>
    <col min="2849" max="2853" width="8.28515625" style="3" customWidth="1"/>
    <col min="2854" max="2854" width="0.85546875" style="3" customWidth="1"/>
    <col min="2855" max="2859" width="8.28515625" style="3" customWidth="1"/>
    <col min="2860" max="2860" width="0.85546875" style="3" customWidth="1"/>
    <col min="2861" max="2865" width="8.28515625" style="3" customWidth="1"/>
    <col min="2866" max="2866" width="0.85546875" style="3" customWidth="1"/>
    <col min="2867" max="2871" width="8.28515625" style="3" customWidth="1"/>
    <col min="2872" max="2872" width="0.85546875" style="3" customWidth="1"/>
    <col min="2873" max="2877" width="8.28515625" style="3" customWidth="1"/>
    <col min="2878" max="2878" width="0.85546875" style="3" customWidth="1"/>
    <col min="2879" max="2883" width="8.28515625" style="3" customWidth="1"/>
    <col min="2884" max="2884" width="0.85546875" style="3" customWidth="1"/>
    <col min="2885" max="2889" width="8.28515625" style="3" customWidth="1"/>
    <col min="2890" max="2890" width="0.85546875" style="3" customWidth="1"/>
    <col min="2891" max="2895" width="8.28515625" style="3" customWidth="1"/>
    <col min="2896" max="2896" width="0.85546875" style="3" customWidth="1"/>
    <col min="2897" max="2901" width="8.28515625" style="3" customWidth="1"/>
    <col min="2902" max="2902" width="0.85546875" style="3" customWidth="1"/>
    <col min="2903" max="2907" width="8.28515625" style="3" customWidth="1"/>
    <col min="2908" max="2910" width="9.140625" style="3" customWidth="1"/>
    <col min="2911" max="2911" width="23.7109375" style="3" customWidth="1"/>
    <col min="2912" max="2916" width="9.140625" style="3" customWidth="1"/>
    <col min="2917" max="3072" width="9.140625" style="3"/>
    <col min="3073" max="3073" width="25.7109375" style="3" customWidth="1"/>
    <col min="3074" max="3074" width="0.85546875" style="3" customWidth="1"/>
    <col min="3075" max="3079" width="8.28515625" style="3" customWidth="1"/>
    <col min="3080" max="3080" width="0.85546875" style="3" customWidth="1"/>
    <col min="3081" max="3085" width="8.28515625" style="3" customWidth="1"/>
    <col min="3086" max="3086" width="0.85546875" style="3" customWidth="1"/>
    <col min="3087" max="3091" width="8.28515625" style="3" customWidth="1"/>
    <col min="3092" max="3092" width="0.85546875" style="3" customWidth="1"/>
    <col min="3093" max="3097" width="8.28515625" style="3" customWidth="1"/>
    <col min="3098" max="3098" width="0.85546875" style="3" customWidth="1"/>
    <col min="3099" max="3103" width="8.28515625" style="3" customWidth="1"/>
    <col min="3104" max="3104" width="0.85546875" style="3" customWidth="1"/>
    <col min="3105" max="3109" width="8.28515625" style="3" customWidth="1"/>
    <col min="3110" max="3110" width="0.85546875" style="3" customWidth="1"/>
    <col min="3111" max="3115" width="8.28515625" style="3" customWidth="1"/>
    <col min="3116" max="3116" width="0.85546875" style="3" customWidth="1"/>
    <col min="3117" max="3121" width="8.28515625" style="3" customWidth="1"/>
    <col min="3122" max="3122" width="0.85546875" style="3" customWidth="1"/>
    <col min="3123" max="3127" width="8.28515625" style="3" customWidth="1"/>
    <col min="3128" max="3128" width="0.85546875" style="3" customWidth="1"/>
    <col min="3129" max="3133" width="8.28515625" style="3" customWidth="1"/>
    <col min="3134" max="3134" width="0.85546875" style="3" customWidth="1"/>
    <col min="3135" max="3139" width="8.28515625" style="3" customWidth="1"/>
    <col min="3140" max="3140" width="0.85546875" style="3" customWidth="1"/>
    <col min="3141" max="3145" width="8.28515625" style="3" customWidth="1"/>
    <col min="3146" max="3146" width="0.85546875" style="3" customWidth="1"/>
    <col min="3147" max="3151" width="8.28515625" style="3" customWidth="1"/>
    <col min="3152" max="3152" width="0.85546875" style="3" customWidth="1"/>
    <col min="3153" max="3157" width="8.28515625" style="3" customWidth="1"/>
    <col min="3158" max="3158" width="0.85546875" style="3" customWidth="1"/>
    <col min="3159" max="3163" width="8.28515625" style="3" customWidth="1"/>
    <col min="3164" max="3166" width="9.140625" style="3" customWidth="1"/>
    <col min="3167" max="3167" width="23.7109375" style="3" customWidth="1"/>
    <col min="3168" max="3172" width="9.140625" style="3" customWidth="1"/>
    <col min="3173" max="3328" width="9.140625" style="3"/>
    <col min="3329" max="3329" width="25.7109375" style="3" customWidth="1"/>
    <col min="3330" max="3330" width="0.85546875" style="3" customWidth="1"/>
    <col min="3331" max="3335" width="8.28515625" style="3" customWidth="1"/>
    <col min="3336" max="3336" width="0.85546875" style="3" customWidth="1"/>
    <col min="3337" max="3341" width="8.28515625" style="3" customWidth="1"/>
    <col min="3342" max="3342" width="0.85546875" style="3" customWidth="1"/>
    <col min="3343" max="3347" width="8.28515625" style="3" customWidth="1"/>
    <col min="3348" max="3348" width="0.85546875" style="3" customWidth="1"/>
    <col min="3349" max="3353" width="8.28515625" style="3" customWidth="1"/>
    <col min="3354" max="3354" width="0.85546875" style="3" customWidth="1"/>
    <col min="3355" max="3359" width="8.28515625" style="3" customWidth="1"/>
    <col min="3360" max="3360" width="0.85546875" style="3" customWidth="1"/>
    <col min="3361" max="3365" width="8.28515625" style="3" customWidth="1"/>
    <col min="3366" max="3366" width="0.85546875" style="3" customWidth="1"/>
    <col min="3367" max="3371" width="8.28515625" style="3" customWidth="1"/>
    <col min="3372" max="3372" width="0.85546875" style="3" customWidth="1"/>
    <col min="3373" max="3377" width="8.28515625" style="3" customWidth="1"/>
    <col min="3378" max="3378" width="0.85546875" style="3" customWidth="1"/>
    <col min="3379" max="3383" width="8.28515625" style="3" customWidth="1"/>
    <col min="3384" max="3384" width="0.85546875" style="3" customWidth="1"/>
    <col min="3385" max="3389" width="8.28515625" style="3" customWidth="1"/>
    <col min="3390" max="3390" width="0.85546875" style="3" customWidth="1"/>
    <col min="3391" max="3395" width="8.28515625" style="3" customWidth="1"/>
    <col min="3396" max="3396" width="0.85546875" style="3" customWidth="1"/>
    <col min="3397" max="3401" width="8.28515625" style="3" customWidth="1"/>
    <col min="3402" max="3402" width="0.85546875" style="3" customWidth="1"/>
    <col min="3403" max="3407" width="8.28515625" style="3" customWidth="1"/>
    <col min="3408" max="3408" width="0.85546875" style="3" customWidth="1"/>
    <col min="3409" max="3413" width="8.28515625" style="3" customWidth="1"/>
    <col min="3414" max="3414" width="0.85546875" style="3" customWidth="1"/>
    <col min="3415" max="3419" width="8.28515625" style="3" customWidth="1"/>
    <col min="3420" max="3422" width="9.140625" style="3" customWidth="1"/>
    <col min="3423" max="3423" width="23.7109375" style="3" customWidth="1"/>
    <col min="3424" max="3428" width="9.140625" style="3" customWidth="1"/>
    <col min="3429" max="3584" width="9.140625" style="3"/>
    <col min="3585" max="3585" width="25.7109375" style="3" customWidth="1"/>
    <col min="3586" max="3586" width="0.85546875" style="3" customWidth="1"/>
    <col min="3587" max="3591" width="8.28515625" style="3" customWidth="1"/>
    <col min="3592" max="3592" width="0.85546875" style="3" customWidth="1"/>
    <col min="3593" max="3597" width="8.28515625" style="3" customWidth="1"/>
    <col min="3598" max="3598" width="0.85546875" style="3" customWidth="1"/>
    <col min="3599" max="3603" width="8.28515625" style="3" customWidth="1"/>
    <col min="3604" max="3604" width="0.85546875" style="3" customWidth="1"/>
    <col min="3605" max="3609" width="8.28515625" style="3" customWidth="1"/>
    <col min="3610" max="3610" width="0.85546875" style="3" customWidth="1"/>
    <col min="3611" max="3615" width="8.28515625" style="3" customWidth="1"/>
    <col min="3616" max="3616" width="0.85546875" style="3" customWidth="1"/>
    <col min="3617" max="3621" width="8.28515625" style="3" customWidth="1"/>
    <col min="3622" max="3622" width="0.85546875" style="3" customWidth="1"/>
    <col min="3623" max="3627" width="8.28515625" style="3" customWidth="1"/>
    <col min="3628" max="3628" width="0.85546875" style="3" customWidth="1"/>
    <col min="3629" max="3633" width="8.28515625" style="3" customWidth="1"/>
    <col min="3634" max="3634" width="0.85546875" style="3" customWidth="1"/>
    <col min="3635" max="3639" width="8.28515625" style="3" customWidth="1"/>
    <col min="3640" max="3640" width="0.85546875" style="3" customWidth="1"/>
    <col min="3641" max="3645" width="8.28515625" style="3" customWidth="1"/>
    <col min="3646" max="3646" width="0.85546875" style="3" customWidth="1"/>
    <col min="3647" max="3651" width="8.28515625" style="3" customWidth="1"/>
    <col min="3652" max="3652" width="0.85546875" style="3" customWidth="1"/>
    <col min="3653" max="3657" width="8.28515625" style="3" customWidth="1"/>
    <col min="3658" max="3658" width="0.85546875" style="3" customWidth="1"/>
    <col min="3659" max="3663" width="8.28515625" style="3" customWidth="1"/>
    <col min="3664" max="3664" width="0.85546875" style="3" customWidth="1"/>
    <col min="3665" max="3669" width="8.28515625" style="3" customWidth="1"/>
    <col min="3670" max="3670" width="0.85546875" style="3" customWidth="1"/>
    <col min="3671" max="3675" width="8.28515625" style="3" customWidth="1"/>
    <col min="3676" max="3678" width="9.140625" style="3" customWidth="1"/>
    <col min="3679" max="3679" width="23.7109375" style="3" customWidth="1"/>
    <col min="3680" max="3684" width="9.140625" style="3" customWidth="1"/>
    <col min="3685" max="3840" width="9.140625" style="3"/>
    <col min="3841" max="3841" width="25.7109375" style="3" customWidth="1"/>
    <col min="3842" max="3842" width="0.85546875" style="3" customWidth="1"/>
    <col min="3843" max="3847" width="8.28515625" style="3" customWidth="1"/>
    <col min="3848" max="3848" width="0.85546875" style="3" customWidth="1"/>
    <col min="3849" max="3853" width="8.28515625" style="3" customWidth="1"/>
    <col min="3854" max="3854" width="0.85546875" style="3" customWidth="1"/>
    <col min="3855" max="3859" width="8.28515625" style="3" customWidth="1"/>
    <col min="3860" max="3860" width="0.85546875" style="3" customWidth="1"/>
    <col min="3861" max="3865" width="8.28515625" style="3" customWidth="1"/>
    <col min="3866" max="3866" width="0.85546875" style="3" customWidth="1"/>
    <col min="3867" max="3871" width="8.28515625" style="3" customWidth="1"/>
    <col min="3872" max="3872" width="0.85546875" style="3" customWidth="1"/>
    <col min="3873" max="3877" width="8.28515625" style="3" customWidth="1"/>
    <col min="3878" max="3878" width="0.85546875" style="3" customWidth="1"/>
    <col min="3879" max="3883" width="8.28515625" style="3" customWidth="1"/>
    <col min="3884" max="3884" width="0.85546875" style="3" customWidth="1"/>
    <col min="3885" max="3889" width="8.28515625" style="3" customWidth="1"/>
    <col min="3890" max="3890" width="0.85546875" style="3" customWidth="1"/>
    <col min="3891" max="3895" width="8.28515625" style="3" customWidth="1"/>
    <col min="3896" max="3896" width="0.85546875" style="3" customWidth="1"/>
    <col min="3897" max="3901" width="8.28515625" style="3" customWidth="1"/>
    <col min="3902" max="3902" width="0.85546875" style="3" customWidth="1"/>
    <col min="3903" max="3907" width="8.28515625" style="3" customWidth="1"/>
    <col min="3908" max="3908" width="0.85546875" style="3" customWidth="1"/>
    <col min="3909" max="3913" width="8.28515625" style="3" customWidth="1"/>
    <col min="3914" max="3914" width="0.85546875" style="3" customWidth="1"/>
    <col min="3915" max="3919" width="8.28515625" style="3" customWidth="1"/>
    <col min="3920" max="3920" width="0.85546875" style="3" customWidth="1"/>
    <col min="3921" max="3925" width="8.28515625" style="3" customWidth="1"/>
    <col min="3926" max="3926" width="0.85546875" style="3" customWidth="1"/>
    <col min="3927" max="3931" width="8.28515625" style="3" customWidth="1"/>
    <col min="3932" max="3934" width="9.140625" style="3" customWidth="1"/>
    <col min="3935" max="3935" width="23.7109375" style="3" customWidth="1"/>
    <col min="3936" max="3940" width="9.140625" style="3" customWidth="1"/>
    <col min="3941" max="4096" width="9.140625" style="3"/>
    <col min="4097" max="4097" width="25.7109375" style="3" customWidth="1"/>
    <col min="4098" max="4098" width="0.85546875" style="3" customWidth="1"/>
    <col min="4099" max="4103" width="8.28515625" style="3" customWidth="1"/>
    <col min="4104" max="4104" width="0.85546875" style="3" customWidth="1"/>
    <col min="4105" max="4109" width="8.28515625" style="3" customWidth="1"/>
    <col min="4110" max="4110" width="0.85546875" style="3" customWidth="1"/>
    <col min="4111" max="4115" width="8.28515625" style="3" customWidth="1"/>
    <col min="4116" max="4116" width="0.85546875" style="3" customWidth="1"/>
    <col min="4117" max="4121" width="8.28515625" style="3" customWidth="1"/>
    <col min="4122" max="4122" width="0.85546875" style="3" customWidth="1"/>
    <col min="4123" max="4127" width="8.28515625" style="3" customWidth="1"/>
    <col min="4128" max="4128" width="0.85546875" style="3" customWidth="1"/>
    <col min="4129" max="4133" width="8.28515625" style="3" customWidth="1"/>
    <col min="4134" max="4134" width="0.85546875" style="3" customWidth="1"/>
    <col min="4135" max="4139" width="8.28515625" style="3" customWidth="1"/>
    <col min="4140" max="4140" width="0.85546875" style="3" customWidth="1"/>
    <col min="4141" max="4145" width="8.28515625" style="3" customWidth="1"/>
    <col min="4146" max="4146" width="0.85546875" style="3" customWidth="1"/>
    <col min="4147" max="4151" width="8.28515625" style="3" customWidth="1"/>
    <col min="4152" max="4152" width="0.85546875" style="3" customWidth="1"/>
    <col min="4153" max="4157" width="8.28515625" style="3" customWidth="1"/>
    <col min="4158" max="4158" width="0.85546875" style="3" customWidth="1"/>
    <col min="4159" max="4163" width="8.28515625" style="3" customWidth="1"/>
    <col min="4164" max="4164" width="0.85546875" style="3" customWidth="1"/>
    <col min="4165" max="4169" width="8.28515625" style="3" customWidth="1"/>
    <col min="4170" max="4170" width="0.85546875" style="3" customWidth="1"/>
    <col min="4171" max="4175" width="8.28515625" style="3" customWidth="1"/>
    <col min="4176" max="4176" width="0.85546875" style="3" customWidth="1"/>
    <col min="4177" max="4181" width="8.28515625" style="3" customWidth="1"/>
    <col min="4182" max="4182" width="0.85546875" style="3" customWidth="1"/>
    <col min="4183" max="4187" width="8.28515625" style="3" customWidth="1"/>
    <col min="4188" max="4190" width="9.140625" style="3" customWidth="1"/>
    <col min="4191" max="4191" width="23.7109375" style="3" customWidth="1"/>
    <col min="4192" max="4196" width="9.140625" style="3" customWidth="1"/>
    <col min="4197" max="4352" width="9.140625" style="3"/>
    <col min="4353" max="4353" width="25.7109375" style="3" customWidth="1"/>
    <col min="4354" max="4354" width="0.85546875" style="3" customWidth="1"/>
    <col min="4355" max="4359" width="8.28515625" style="3" customWidth="1"/>
    <col min="4360" max="4360" width="0.85546875" style="3" customWidth="1"/>
    <col min="4361" max="4365" width="8.28515625" style="3" customWidth="1"/>
    <col min="4366" max="4366" width="0.85546875" style="3" customWidth="1"/>
    <col min="4367" max="4371" width="8.28515625" style="3" customWidth="1"/>
    <col min="4372" max="4372" width="0.85546875" style="3" customWidth="1"/>
    <col min="4373" max="4377" width="8.28515625" style="3" customWidth="1"/>
    <col min="4378" max="4378" width="0.85546875" style="3" customWidth="1"/>
    <col min="4379" max="4383" width="8.28515625" style="3" customWidth="1"/>
    <col min="4384" max="4384" width="0.85546875" style="3" customWidth="1"/>
    <col min="4385" max="4389" width="8.28515625" style="3" customWidth="1"/>
    <col min="4390" max="4390" width="0.85546875" style="3" customWidth="1"/>
    <col min="4391" max="4395" width="8.28515625" style="3" customWidth="1"/>
    <col min="4396" max="4396" width="0.85546875" style="3" customWidth="1"/>
    <col min="4397" max="4401" width="8.28515625" style="3" customWidth="1"/>
    <col min="4402" max="4402" width="0.85546875" style="3" customWidth="1"/>
    <col min="4403" max="4407" width="8.28515625" style="3" customWidth="1"/>
    <col min="4408" max="4408" width="0.85546875" style="3" customWidth="1"/>
    <col min="4409" max="4413" width="8.28515625" style="3" customWidth="1"/>
    <col min="4414" max="4414" width="0.85546875" style="3" customWidth="1"/>
    <col min="4415" max="4419" width="8.28515625" style="3" customWidth="1"/>
    <col min="4420" max="4420" width="0.85546875" style="3" customWidth="1"/>
    <col min="4421" max="4425" width="8.28515625" style="3" customWidth="1"/>
    <col min="4426" max="4426" width="0.85546875" style="3" customWidth="1"/>
    <col min="4427" max="4431" width="8.28515625" style="3" customWidth="1"/>
    <col min="4432" max="4432" width="0.85546875" style="3" customWidth="1"/>
    <col min="4433" max="4437" width="8.28515625" style="3" customWidth="1"/>
    <col min="4438" max="4438" width="0.85546875" style="3" customWidth="1"/>
    <col min="4439" max="4443" width="8.28515625" style="3" customWidth="1"/>
    <col min="4444" max="4446" width="9.140625" style="3" customWidth="1"/>
    <col min="4447" max="4447" width="23.7109375" style="3" customWidth="1"/>
    <col min="4448" max="4452" width="9.140625" style="3" customWidth="1"/>
    <col min="4453" max="4608" width="9.140625" style="3"/>
    <col min="4609" max="4609" width="25.7109375" style="3" customWidth="1"/>
    <col min="4610" max="4610" width="0.85546875" style="3" customWidth="1"/>
    <col min="4611" max="4615" width="8.28515625" style="3" customWidth="1"/>
    <col min="4616" max="4616" width="0.85546875" style="3" customWidth="1"/>
    <col min="4617" max="4621" width="8.28515625" style="3" customWidth="1"/>
    <col min="4622" max="4622" width="0.85546875" style="3" customWidth="1"/>
    <col min="4623" max="4627" width="8.28515625" style="3" customWidth="1"/>
    <col min="4628" max="4628" width="0.85546875" style="3" customWidth="1"/>
    <col min="4629" max="4633" width="8.28515625" style="3" customWidth="1"/>
    <col min="4634" max="4634" width="0.85546875" style="3" customWidth="1"/>
    <col min="4635" max="4639" width="8.28515625" style="3" customWidth="1"/>
    <col min="4640" max="4640" width="0.85546875" style="3" customWidth="1"/>
    <col min="4641" max="4645" width="8.28515625" style="3" customWidth="1"/>
    <col min="4646" max="4646" width="0.85546875" style="3" customWidth="1"/>
    <col min="4647" max="4651" width="8.28515625" style="3" customWidth="1"/>
    <col min="4652" max="4652" width="0.85546875" style="3" customWidth="1"/>
    <col min="4653" max="4657" width="8.28515625" style="3" customWidth="1"/>
    <col min="4658" max="4658" width="0.85546875" style="3" customWidth="1"/>
    <col min="4659" max="4663" width="8.28515625" style="3" customWidth="1"/>
    <col min="4664" max="4664" width="0.85546875" style="3" customWidth="1"/>
    <col min="4665" max="4669" width="8.28515625" style="3" customWidth="1"/>
    <col min="4670" max="4670" width="0.85546875" style="3" customWidth="1"/>
    <col min="4671" max="4675" width="8.28515625" style="3" customWidth="1"/>
    <col min="4676" max="4676" width="0.85546875" style="3" customWidth="1"/>
    <col min="4677" max="4681" width="8.28515625" style="3" customWidth="1"/>
    <col min="4682" max="4682" width="0.85546875" style="3" customWidth="1"/>
    <col min="4683" max="4687" width="8.28515625" style="3" customWidth="1"/>
    <col min="4688" max="4688" width="0.85546875" style="3" customWidth="1"/>
    <col min="4689" max="4693" width="8.28515625" style="3" customWidth="1"/>
    <col min="4694" max="4694" width="0.85546875" style="3" customWidth="1"/>
    <col min="4695" max="4699" width="8.28515625" style="3" customWidth="1"/>
    <col min="4700" max="4702" width="9.140625" style="3" customWidth="1"/>
    <col min="4703" max="4703" width="23.7109375" style="3" customWidth="1"/>
    <col min="4704" max="4708" width="9.140625" style="3" customWidth="1"/>
    <col min="4709" max="4864" width="9.140625" style="3"/>
    <col min="4865" max="4865" width="25.7109375" style="3" customWidth="1"/>
    <col min="4866" max="4866" width="0.85546875" style="3" customWidth="1"/>
    <col min="4867" max="4871" width="8.28515625" style="3" customWidth="1"/>
    <col min="4872" max="4872" width="0.85546875" style="3" customWidth="1"/>
    <col min="4873" max="4877" width="8.28515625" style="3" customWidth="1"/>
    <col min="4878" max="4878" width="0.85546875" style="3" customWidth="1"/>
    <col min="4879" max="4883" width="8.28515625" style="3" customWidth="1"/>
    <col min="4884" max="4884" width="0.85546875" style="3" customWidth="1"/>
    <col min="4885" max="4889" width="8.28515625" style="3" customWidth="1"/>
    <col min="4890" max="4890" width="0.85546875" style="3" customWidth="1"/>
    <col min="4891" max="4895" width="8.28515625" style="3" customWidth="1"/>
    <col min="4896" max="4896" width="0.85546875" style="3" customWidth="1"/>
    <col min="4897" max="4901" width="8.28515625" style="3" customWidth="1"/>
    <col min="4902" max="4902" width="0.85546875" style="3" customWidth="1"/>
    <col min="4903" max="4907" width="8.28515625" style="3" customWidth="1"/>
    <col min="4908" max="4908" width="0.85546875" style="3" customWidth="1"/>
    <col min="4909" max="4913" width="8.28515625" style="3" customWidth="1"/>
    <col min="4914" max="4914" width="0.85546875" style="3" customWidth="1"/>
    <col min="4915" max="4919" width="8.28515625" style="3" customWidth="1"/>
    <col min="4920" max="4920" width="0.85546875" style="3" customWidth="1"/>
    <col min="4921" max="4925" width="8.28515625" style="3" customWidth="1"/>
    <col min="4926" max="4926" width="0.85546875" style="3" customWidth="1"/>
    <col min="4927" max="4931" width="8.28515625" style="3" customWidth="1"/>
    <col min="4932" max="4932" width="0.85546875" style="3" customWidth="1"/>
    <col min="4933" max="4937" width="8.28515625" style="3" customWidth="1"/>
    <col min="4938" max="4938" width="0.85546875" style="3" customWidth="1"/>
    <col min="4939" max="4943" width="8.28515625" style="3" customWidth="1"/>
    <col min="4944" max="4944" width="0.85546875" style="3" customWidth="1"/>
    <col min="4945" max="4949" width="8.28515625" style="3" customWidth="1"/>
    <col min="4950" max="4950" width="0.85546875" style="3" customWidth="1"/>
    <col min="4951" max="4955" width="8.28515625" style="3" customWidth="1"/>
    <col min="4956" max="4958" width="9.140625" style="3" customWidth="1"/>
    <col min="4959" max="4959" width="23.7109375" style="3" customWidth="1"/>
    <col min="4960" max="4964" width="9.140625" style="3" customWidth="1"/>
    <col min="4965" max="5120" width="9.140625" style="3"/>
    <col min="5121" max="5121" width="25.7109375" style="3" customWidth="1"/>
    <col min="5122" max="5122" width="0.85546875" style="3" customWidth="1"/>
    <col min="5123" max="5127" width="8.28515625" style="3" customWidth="1"/>
    <col min="5128" max="5128" width="0.85546875" style="3" customWidth="1"/>
    <col min="5129" max="5133" width="8.28515625" style="3" customWidth="1"/>
    <col min="5134" max="5134" width="0.85546875" style="3" customWidth="1"/>
    <col min="5135" max="5139" width="8.28515625" style="3" customWidth="1"/>
    <col min="5140" max="5140" width="0.85546875" style="3" customWidth="1"/>
    <col min="5141" max="5145" width="8.28515625" style="3" customWidth="1"/>
    <col min="5146" max="5146" width="0.85546875" style="3" customWidth="1"/>
    <col min="5147" max="5151" width="8.28515625" style="3" customWidth="1"/>
    <col min="5152" max="5152" width="0.85546875" style="3" customWidth="1"/>
    <col min="5153" max="5157" width="8.28515625" style="3" customWidth="1"/>
    <col min="5158" max="5158" width="0.85546875" style="3" customWidth="1"/>
    <col min="5159" max="5163" width="8.28515625" style="3" customWidth="1"/>
    <col min="5164" max="5164" width="0.85546875" style="3" customWidth="1"/>
    <col min="5165" max="5169" width="8.28515625" style="3" customWidth="1"/>
    <col min="5170" max="5170" width="0.85546875" style="3" customWidth="1"/>
    <col min="5171" max="5175" width="8.28515625" style="3" customWidth="1"/>
    <col min="5176" max="5176" width="0.85546875" style="3" customWidth="1"/>
    <col min="5177" max="5181" width="8.28515625" style="3" customWidth="1"/>
    <col min="5182" max="5182" width="0.85546875" style="3" customWidth="1"/>
    <col min="5183" max="5187" width="8.28515625" style="3" customWidth="1"/>
    <col min="5188" max="5188" width="0.85546875" style="3" customWidth="1"/>
    <col min="5189" max="5193" width="8.28515625" style="3" customWidth="1"/>
    <col min="5194" max="5194" width="0.85546875" style="3" customWidth="1"/>
    <col min="5195" max="5199" width="8.28515625" style="3" customWidth="1"/>
    <col min="5200" max="5200" width="0.85546875" style="3" customWidth="1"/>
    <col min="5201" max="5205" width="8.28515625" style="3" customWidth="1"/>
    <col min="5206" max="5206" width="0.85546875" style="3" customWidth="1"/>
    <col min="5207" max="5211" width="8.28515625" style="3" customWidth="1"/>
    <col min="5212" max="5214" width="9.140625" style="3" customWidth="1"/>
    <col min="5215" max="5215" width="23.7109375" style="3" customWidth="1"/>
    <col min="5216" max="5220" width="9.140625" style="3" customWidth="1"/>
    <col min="5221" max="5376" width="9.140625" style="3"/>
    <col min="5377" max="5377" width="25.7109375" style="3" customWidth="1"/>
    <col min="5378" max="5378" width="0.85546875" style="3" customWidth="1"/>
    <col min="5379" max="5383" width="8.28515625" style="3" customWidth="1"/>
    <col min="5384" max="5384" width="0.85546875" style="3" customWidth="1"/>
    <col min="5385" max="5389" width="8.28515625" style="3" customWidth="1"/>
    <col min="5390" max="5390" width="0.85546875" style="3" customWidth="1"/>
    <col min="5391" max="5395" width="8.28515625" style="3" customWidth="1"/>
    <col min="5396" max="5396" width="0.85546875" style="3" customWidth="1"/>
    <col min="5397" max="5401" width="8.28515625" style="3" customWidth="1"/>
    <col min="5402" max="5402" width="0.85546875" style="3" customWidth="1"/>
    <col min="5403" max="5407" width="8.28515625" style="3" customWidth="1"/>
    <col min="5408" max="5408" width="0.85546875" style="3" customWidth="1"/>
    <col min="5409" max="5413" width="8.28515625" style="3" customWidth="1"/>
    <col min="5414" max="5414" width="0.85546875" style="3" customWidth="1"/>
    <col min="5415" max="5419" width="8.28515625" style="3" customWidth="1"/>
    <col min="5420" max="5420" width="0.85546875" style="3" customWidth="1"/>
    <col min="5421" max="5425" width="8.28515625" style="3" customWidth="1"/>
    <col min="5426" max="5426" width="0.85546875" style="3" customWidth="1"/>
    <col min="5427" max="5431" width="8.28515625" style="3" customWidth="1"/>
    <col min="5432" max="5432" width="0.85546875" style="3" customWidth="1"/>
    <col min="5433" max="5437" width="8.28515625" style="3" customWidth="1"/>
    <col min="5438" max="5438" width="0.85546875" style="3" customWidth="1"/>
    <col min="5439" max="5443" width="8.28515625" style="3" customWidth="1"/>
    <col min="5444" max="5444" width="0.85546875" style="3" customWidth="1"/>
    <col min="5445" max="5449" width="8.28515625" style="3" customWidth="1"/>
    <col min="5450" max="5450" width="0.85546875" style="3" customWidth="1"/>
    <col min="5451" max="5455" width="8.28515625" style="3" customWidth="1"/>
    <col min="5456" max="5456" width="0.85546875" style="3" customWidth="1"/>
    <col min="5457" max="5461" width="8.28515625" style="3" customWidth="1"/>
    <col min="5462" max="5462" width="0.85546875" style="3" customWidth="1"/>
    <col min="5463" max="5467" width="8.28515625" style="3" customWidth="1"/>
    <col min="5468" max="5470" width="9.140625" style="3" customWidth="1"/>
    <col min="5471" max="5471" width="23.7109375" style="3" customWidth="1"/>
    <col min="5472" max="5476" width="9.140625" style="3" customWidth="1"/>
    <col min="5477" max="5632" width="9.140625" style="3"/>
    <col min="5633" max="5633" width="25.7109375" style="3" customWidth="1"/>
    <col min="5634" max="5634" width="0.85546875" style="3" customWidth="1"/>
    <col min="5635" max="5639" width="8.28515625" style="3" customWidth="1"/>
    <col min="5640" max="5640" width="0.85546875" style="3" customWidth="1"/>
    <col min="5641" max="5645" width="8.28515625" style="3" customWidth="1"/>
    <col min="5646" max="5646" width="0.85546875" style="3" customWidth="1"/>
    <col min="5647" max="5651" width="8.28515625" style="3" customWidth="1"/>
    <col min="5652" max="5652" width="0.85546875" style="3" customWidth="1"/>
    <col min="5653" max="5657" width="8.28515625" style="3" customWidth="1"/>
    <col min="5658" max="5658" width="0.85546875" style="3" customWidth="1"/>
    <col min="5659" max="5663" width="8.28515625" style="3" customWidth="1"/>
    <col min="5664" max="5664" width="0.85546875" style="3" customWidth="1"/>
    <col min="5665" max="5669" width="8.28515625" style="3" customWidth="1"/>
    <col min="5670" max="5670" width="0.85546875" style="3" customWidth="1"/>
    <col min="5671" max="5675" width="8.28515625" style="3" customWidth="1"/>
    <col min="5676" max="5676" width="0.85546875" style="3" customWidth="1"/>
    <col min="5677" max="5681" width="8.28515625" style="3" customWidth="1"/>
    <col min="5682" max="5682" width="0.85546875" style="3" customWidth="1"/>
    <col min="5683" max="5687" width="8.28515625" style="3" customWidth="1"/>
    <col min="5688" max="5688" width="0.85546875" style="3" customWidth="1"/>
    <col min="5689" max="5693" width="8.28515625" style="3" customWidth="1"/>
    <col min="5694" max="5694" width="0.85546875" style="3" customWidth="1"/>
    <col min="5695" max="5699" width="8.28515625" style="3" customWidth="1"/>
    <col min="5700" max="5700" width="0.85546875" style="3" customWidth="1"/>
    <col min="5701" max="5705" width="8.28515625" style="3" customWidth="1"/>
    <col min="5706" max="5706" width="0.85546875" style="3" customWidth="1"/>
    <col min="5707" max="5711" width="8.28515625" style="3" customWidth="1"/>
    <col min="5712" max="5712" width="0.85546875" style="3" customWidth="1"/>
    <col min="5713" max="5717" width="8.28515625" style="3" customWidth="1"/>
    <col min="5718" max="5718" width="0.85546875" style="3" customWidth="1"/>
    <col min="5719" max="5723" width="8.28515625" style="3" customWidth="1"/>
    <col min="5724" max="5726" width="9.140625" style="3" customWidth="1"/>
    <col min="5727" max="5727" width="23.7109375" style="3" customWidth="1"/>
    <col min="5728" max="5732" width="9.140625" style="3" customWidth="1"/>
    <col min="5733" max="5888" width="9.140625" style="3"/>
    <col min="5889" max="5889" width="25.7109375" style="3" customWidth="1"/>
    <col min="5890" max="5890" width="0.85546875" style="3" customWidth="1"/>
    <col min="5891" max="5895" width="8.28515625" style="3" customWidth="1"/>
    <col min="5896" max="5896" width="0.85546875" style="3" customWidth="1"/>
    <col min="5897" max="5901" width="8.28515625" style="3" customWidth="1"/>
    <col min="5902" max="5902" width="0.85546875" style="3" customWidth="1"/>
    <col min="5903" max="5907" width="8.28515625" style="3" customWidth="1"/>
    <col min="5908" max="5908" width="0.85546875" style="3" customWidth="1"/>
    <col min="5909" max="5913" width="8.28515625" style="3" customWidth="1"/>
    <col min="5914" max="5914" width="0.85546875" style="3" customWidth="1"/>
    <col min="5915" max="5919" width="8.28515625" style="3" customWidth="1"/>
    <col min="5920" max="5920" width="0.85546875" style="3" customWidth="1"/>
    <col min="5921" max="5925" width="8.28515625" style="3" customWidth="1"/>
    <col min="5926" max="5926" width="0.85546875" style="3" customWidth="1"/>
    <col min="5927" max="5931" width="8.28515625" style="3" customWidth="1"/>
    <col min="5932" max="5932" width="0.85546875" style="3" customWidth="1"/>
    <col min="5933" max="5937" width="8.28515625" style="3" customWidth="1"/>
    <col min="5938" max="5938" width="0.85546875" style="3" customWidth="1"/>
    <col min="5939" max="5943" width="8.28515625" style="3" customWidth="1"/>
    <col min="5944" max="5944" width="0.85546875" style="3" customWidth="1"/>
    <col min="5945" max="5949" width="8.28515625" style="3" customWidth="1"/>
    <col min="5950" max="5950" width="0.85546875" style="3" customWidth="1"/>
    <col min="5951" max="5955" width="8.28515625" style="3" customWidth="1"/>
    <col min="5956" max="5956" width="0.85546875" style="3" customWidth="1"/>
    <col min="5957" max="5961" width="8.28515625" style="3" customWidth="1"/>
    <col min="5962" max="5962" width="0.85546875" style="3" customWidth="1"/>
    <col min="5963" max="5967" width="8.28515625" style="3" customWidth="1"/>
    <col min="5968" max="5968" width="0.85546875" style="3" customWidth="1"/>
    <col min="5969" max="5973" width="8.28515625" style="3" customWidth="1"/>
    <col min="5974" max="5974" width="0.85546875" style="3" customWidth="1"/>
    <col min="5975" max="5979" width="8.28515625" style="3" customWidth="1"/>
    <col min="5980" max="5982" width="9.140625" style="3" customWidth="1"/>
    <col min="5983" max="5983" width="23.7109375" style="3" customWidth="1"/>
    <col min="5984" max="5988" width="9.140625" style="3" customWidth="1"/>
    <col min="5989" max="6144" width="9.140625" style="3"/>
    <col min="6145" max="6145" width="25.7109375" style="3" customWidth="1"/>
    <col min="6146" max="6146" width="0.85546875" style="3" customWidth="1"/>
    <col min="6147" max="6151" width="8.28515625" style="3" customWidth="1"/>
    <col min="6152" max="6152" width="0.85546875" style="3" customWidth="1"/>
    <col min="6153" max="6157" width="8.28515625" style="3" customWidth="1"/>
    <col min="6158" max="6158" width="0.85546875" style="3" customWidth="1"/>
    <col min="6159" max="6163" width="8.28515625" style="3" customWidth="1"/>
    <col min="6164" max="6164" width="0.85546875" style="3" customWidth="1"/>
    <col min="6165" max="6169" width="8.28515625" style="3" customWidth="1"/>
    <col min="6170" max="6170" width="0.85546875" style="3" customWidth="1"/>
    <col min="6171" max="6175" width="8.28515625" style="3" customWidth="1"/>
    <col min="6176" max="6176" width="0.85546875" style="3" customWidth="1"/>
    <col min="6177" max="6181" width="8.28515625" style="3" customWidth="1"/>
    <col min="6182" max="6182" width="0.85546875" style="3" customWidth="1"/>
    <col min="6183" max="6187" width="8.28515625" style="3" customWidth="1"/>
    <col min="6188" max="6188" width="0.85546875" style="3" customWidth="1"/>
    <col min="6189" max="6193" width="8.28515625" style="3" customWidth="1"/>
    <col min="6194" max="6194" width="0.85546875" style="3" customWidth="1"/>
    <col min="6195" max="6199" width="8.28515625" style="3" customWidth="1"/>
    <col min="6200" max="6200" width="0.85546875" style="3" customWidth="1"/>
    <col min="6201" max="6205" width="8.28515625" style="3" customWidth="1"/>
    <col min="6206" max="6206" width="0.85546875" style="3" customWidth="1"/>
    <col min="6207" max="6211" width="8.28515625" style="3" customWidth="1"/>
    <col min="6212" max="6212" width="0.85546875" style="3" customWidth="1"/>
    <col min="6213" max="6217" width="8.28515625" style="3" customWidth="1"/>
    <col min="6218" max="6218" width="0.85546875" style="3" customWidth="1"/>
    <col min="6219" max="6223" width="8.28515625" style="3" customWidth="1"/>
    <col min="6224" max="6224" width="0.85546875" style="3" customWidth="1"/>
    <col min="6225" max="6229" width="8.28515625" style="3" customWidth="1"/>
    <col min="6230" max="6230" width="0.85546875" style="3" customWidth="1"/>
    <col min="6231" max="6235" width="8.28515625" style="3" customWidth="1"/>
    <col min="6236" max="6238" width="9.140625" style="3" customWidth="1"/>
    <col min="6239" max="6239" width="23.7109375" style="3" customWidth="1"/>
    <col min="6240" max="6244" width="9.140625" style="3" customWidth="1"/>
    <col min="6245" max="6400" width="9.140625" style="3"/>
    <col min="6401" max="6401" width="25.7109375" style="3" customWidth="1"/>
    <col min="6402" max="6402" width="0.85546875" style="3" customWidth="1"/>
    <col min="6403" max="6407" width="8.28515625" style="3" customWidth="1"/>
    <col min="6408" max="6408" width="0.85546875" style="3" customWidth="1"/>
    <col min="6409" max="6413" width="8.28515625" style="3" customWidth="1"/>
    <col min="6414" max="6414" width="0.85546875" style="3" customWidth="1"/>
    <col min="6415" max="6419" width="8.28515625" style="3" customWidth="1"/>
    <col min="6420" max="6420" width="0.85546875" style="3" customWidth="1"/>
    <col min="6421" max="6425" width="8.28515625" style="3" customWidth="1"/>
    <col min="6426" max="6426" width="0.85546875" style="3" customWidth="1"/>
    <col min="6427" max="6431" width="8.28515625" style="3" customWidth="1"/>
    <col min="6432" max="6432" width="0.85546875" style="3" customWidth="1"/>
    <col min="6433" max="6437" width="8.28515625" style="3" customWidth="1"/>
    <col min="6438" max="6438" width="0.85546875" style="3" customWidth="1"/>
    <col min="6439" max="6443" width="8.28515625" style="3" customWidth="1"/>
    <col min="6444" max="6444" width="0.85546875" style="3" customWidth="1"/>
    <col min="6445" max="6449" width="8.28515625" style="3" customWidth="1"/>
    <col min="6450" max="6450" width="0.85546875" style="3" customWidth="1"/>
    <col min="6451" max="6455" width="8.28515625" style="3" customWidth="1"/>
    <col min="6456" max="6456" width="0.85546875" style="3" customWidth="1"/>
    <col min="6457" max="6461" width="8.28515625" style="3" customWidth="1"/>
    <col min="6462" max="6462" width="0.85546875" style="3" customWidth="1"/>
    <col min="6463" max="6467" width="8.28515625" style="3" customWidth="1"/>
    <col min="6468" max="6468" width="0.85546875" style="3" customWidth="1"/>
    <col min="6469" max="6473" width="8.28515625" style="3" customWidth="1"/>
    <col min="6474" max="6474" width="0.85546875" style="3" customWidth="1"/>
    <col min="6475" max="6479" width="8.28515625" style="3" customWidth="1"/>
    <col min="6480" max="6480" width="0.85546875" style="3" customWidth="1"/>
    <col min="6481" max="6485" width="8.28515625" style="3" customWidth="1"/>
    <col min="6486" max="6486" width="0.85546875" style="3" customWidth="1"/>
    <col min="6487" max="6491" width="8.28515625" style="3" customWidth="1"/>
    <col min="6492" max="6494" width="9.140625" style="3" customWidth="1"/>
    <col min="6495" max="6495" width="23.7109375" style="3" customWidth="1"/>
    <col min="6496" max="6500" width="9.140625" style="3" customWidth="1"/>
    <col min="6501" max="6656" width="9.140625" style="3"/>
    <col min="6657" max="6657" width="25.7109375" style="3" customWidth="1"/>
    <col min="6658" max="6658" width="0.85546875" style="3" customWidth="1"/>
    <col min="6659" max="6663" width="8.28515625" style="3" customWidth="1"/>
    <col min="6664" max="6664" width="0.85546875" style="3" customWidth="1"/>
    <col min="6665" max="6669" width="8.28515625" style="3" customWidth="1"/>
    <col min="6670" max="6670" width="0.85546875" style="3" customWidth="1"/>
    <col min="6671" max="6675" width="8.28515625" style="3" customWidth="1"/>
    <col min="6676" max="6676" width="0.85546875" style="3" customWidth="1"/>
    <col min="6677" max="6681" width="8.28515625" style="3" customWidth="1"/>
    <col min="6682" max="6682" width="0.85546875" style="3" customWidth="1"/>
    <col min="6683" max="6687" width="8.28515625" style="3" customWidth="1"/>
    <col min="6688" max="6688" width="0.85546875" style="3" customWidth="1"/>
    <col min="6689" max="6693" width="8.28515625" style="3" customWidth="1"/>
    <col min="6694" max="6694" width="0.85546875" style="3" customWidth="1"/>
    <col min="6695" max="6699" width="8.28515625" style="3" customWidth="1"/>
    <col min="6700" max="6700" width="0.85546875" style="3" customWidth="1"/>
    <col min="6701" max="6705" width="8.28515625" style="3" customWidth="1"/>
    <col min="6706" max="6706" width="0.85546875" style="3" customWidth="1"/>
    <col min="6707" max="6711" width="8.28515625" style="3" customWidth="1"/>
    <col min="6712" max="6712" width="0.85546875" style="3" customWidth="1"/>
    <col min="6713" max="6717" width="8.28515625" style="3" customWidth="1"/>
    <col min="6718" max="6718" width="0.85546875" style="3" customWidth="1"/>
    <col min="6719" max="6723" width="8.28515625" style="3" customWidth="1"/>
    <col min="6724" max="6724" width="0.85546875" style="3" customWidth="1"/>
    <col min="6725" max="6729" width="8.28515625" style="3" customWidth="1"/>
    <col min="6730" max="6730" width="0.85546875" style="3" customWidth="1"/>
    <col min="6731" max="6735" width="8.28515625" style="3" customWidth="1"/>
    <col min="6736" max="6736" width="0.85546875" style="3" customWidth="1"/>
    <col min="6737" max="6741" width="8.28515625" style="3" customWidth="1"/>
    <col min="6742" max="6742" width="0.85546875" style="3" customWidth="1"/>
    <col min="6743" max="6747" width="8.28515625" style="3" customWidth="1"/>
    <col min="6748" max="6750" width="9.140625" style="3" customWidth="1"/>
    <col min="6751" max="6751" width="23.7109375" style="3" customWidth="1"/>
    <col min="6752" max="6756" width="9.140625" style="3" customWidth="1"/>
    <col min="6757" max="6912" width="9.140625" style="3"/>
    <col min="6913" max="6913" width="25.7109375" style="3" customWidth="1"/>
    <col min="6914" max="6914" width="0.85546875" style="3" customWidth="1"/>
    <col min="6915" max="6919" width="8.28515625" style="3" customWidth="1"/>
    <col min="6920" max="6920" width="0.85546875" style="3" customWidth="1"/>
    <col min="6921" max="6925" width="8.28515625" style="3" customWidth="1"/>
    <col min="6926" max="6926" width="0.85546875" style="3" customWidth="1"/>
    <col min="6927" max="6931" width="8.28515625" style="3" customWidth="1"/>
    <col min="6932" max="6932" width="0.85546875" style="3" customWidth="1"/>
    <col min="6933" max="6937" width="8.28515625" style="3" customWidth="1"/>
    <col min="6938" max="6938" width="0.85546875" style="3" customWidth="1"/>
    <col min="6939" max="6943" width="8.28515625" style="3" customWidth="1"/>
    <col min="6944" max="6944" width="0.85546875" style="3" customWidth="1"/>
    <col min="6945" max="6949" width="8.28515625" style="3" customWidth="1"/>
    <col min="6950" max="6950" width="0.85546875" style="3" customWidth="1"/>
    <col min="6951" max="6955" width="8.28515625" style="3" customWidth="1"/>
    <col min="6956" max="6956" width="0.85546875" style="3" customWidth="1"/>
    <col min="6957" max="6961" width="8.28515625" style="3" customWidth="1"/>
    <col min="6962" max="6962" width="0.85546875" style="3" customWidth="1"/>
    <col min="6963" max="6967" width="8.28515625" style="3" customWidth="1"/>
    <col min="6968" max="6968" width="0.85546875" style="3" customWidth="1"/>
    <col min="6969" max="6973" width="8.28515625" style="3" customWidth="1"/>
    <col min="6974" max="6974" width="0.85546875" style="3" customWidth="1"/>
    <col min="6975" max="6979" width="8.28515625" style="3" customWidth="1"/>
    <col min="6980" max="6980" width="0.85546875" style="3" customWidth="1"/>
    <col min="6981" max="6985" width="8.28515625" style="3" customWidth="1"/>
    <col min="6986" max="6986" width="0.85546875" style="3" customWidth="1"/>
    <col min="6987" max="6991" width="8.28515625" style="3" customWidth="1"/>
    <col min="6992" max="6992" width="0.85546875" style="3" customWidth="1"/>
    <col min="6993" max="6997" width="8.28515625" style="3" customWidth="1"/>
    <col min="6998" max="6998" width="0.85546875" style="3" customWidth="1"/>
    <col min="6999" max="7003" width="8.28515625" style="3" customWidth="1"/>
    <col min="7004" max="7006" width="9.140625" style="3" customWidth="1"/>
    <col min="7007" max="7007" width="23.7109375" style="3" customWidth="1"/>
    <col min="7008" max="7012" width="9.140625" style="3" customWidth="1"/>
    <col min="7013" max="7168" width="9.140625" style="3"/>
    <col min="7169" max="7169" width="25.7109375" style="3" customWidth="1"/>
    <col min="7170" max="7170" width="0.85546875" style="3" customWidth="1"/>
    <col min="7171" max="7175" width="8.28515625" style="3" customWidth="1"/>
    <col min="7176" max="7176" width="0.85546875" style="3" customWidth="1"/>
    <col min="7177" max="7181" width="8.28515625" style="3" customWidth="1"/>
    <col min="7182" max="7182" width="0.85546875" style="3" customWidth="1"/>
    <col min="7183" max="7187" width="8.28515625" style="3" customWidth="1"/>
    <col min="7188" max="7188" width="0.85546875" style="3" customWidth="1"/>
    <col min="7189" max="7193" width="8.28515625" style="3" customWidth="1"/>
    <col min="7194" max="7194" width="0.85546875" style="3" customWidth="1"/>
    <col min="7195" max="7199" width="8.28515625" style="3" customWidth="1"/>
    <col min="7200" max="7200" width="0.85546875" style="3" customWidth="1"/>
    <col min="7201" max="7205" width="8.28515625" style="3" customWidth="1"/>
    <col min="7206" max="7206" width="0.85546875" style="3" customWidth="1"/>
    <col min="7207" max="7211" width="8.28515625" style="3" customWidth="1"/>
    <col min="7212" max="7212" width="0.85546875" style="3" customWidth="1"/>
    <col min="7213" max="7217" width="8.28515625" style="3" customWidth="1"/>
    <col min="7218" max="7218" width="0.85546875" style="3" customWidth="1"/>
    <col min="7219" max="7223" width="8.28515625" style="3" customWidth="1"/>
    <col min="7224" max="7224" width="0.85546875" style="3" customWidth="1"/>
    <col min="7225" max="7229" width="8.28515625" style="3" customWidth="1"/>
    <col min="7230" max="7230" width="0.85546875" style="3" customWidth="1"/>
    <col min="7231" max="7235" width="8.28515625" style="3" customWidth="1"/>
    <col min="7236" max="7236" width="0.85546875" style="3" customWidth="1"/>
    <col min="7237" max="7241" width="8.28515625" style="3" customWidth="1"/>
    <col min="7242" max="7242" width="0.85546875" style="3" customWidth="1"/>
    <col min="7243" max="7247" width="8.28515625" style="3" customWidth="1"/>
    <col min="7248" max="7248" width="0.85546875" style="3" customWidth="1"/>
    <col min="7249" max="7253" width="8.28515625" style="3" customWidth="1"/>
    <col min="7254" max="7254" width="0.85546875" style="3" customWidth="1"/>
    <col min="7255" max="7259" width="8.28515625" style="3" customWidth="1"/>
    <col min="7260" max="7262" width="9.140625" style="3" customWidth="1"/>
    <col min="7263" max="7263" width="23.7109375" style="3" customWidth="1"/>
    <col min="7264" max="7268" width="9.140625" style="3" customWidth="1"/>
    <col min="7269" max="7424" width="9.140625" style="3"/>
    <col min="7425" max="7425" width="25.7109375" style="3" customWidth="1"/>
    <col min="7426" max="7426" width="0.85546875" style="3" customWidth="1"/>
    <col min="7427" max="7431" width="8.28515625" style="3" customWidth="1"/>
    <col min="7432" max="7432" width="0.85546875" style="3" customWidth="1"/>
    <col min="7433" max="7437" width="8.28515625" style="3" customWidth="1"/>
    <col min="7438" max="7438" width="0.85546875" style="3" customWidth="1"/>
    <col min="7439" max="7443" width="8.28515625" style="3" customWidth="1"/>
    <col min="7444" max="7444" width="0.85546875" style="3" customWidth="1"/>
    <col min="7445" max="7449" width="8.28515625" style="3" customWidth="1"/>
    <col min="7450" max="7450" width="0.85546875" style="3" customWidth="1"/>
    <col min="7451" max="7455" width="8.28515625" style="3" customWidth="1"/>
    <col min="7456" max="7456" width="0.85546875" style="3" customWidth="1"/>
    <col min="7457" max="7461" width="8.28515625" style="3" customWidth="1"/>
    <col min="7462" max="7462" width="0.85546875" style="3" customWidth="1"/>
    <col min="7463" max="7467" width="8.28515625" style="3" customWidth="1"/>
    <col min="7468" max="7468" width="0.85546875" style="3" customWidth="1"/>
    <col min="7469" max="7473" width="8.28515625" style="3" customWidth="1"/>
    <col min="7474" max="7474" width="0.85546875" style="3" customWidth="1"/>
    <col min="7475" max="7479" width="8.28515625" style="3" customWidth="1"/>
    <col min="7480" max="7480" width="0.85546875" style="3" customWidth="1"/>
    <col min="7481" max="7485" width="8.28515625" style="3" customWidth="1"/>
    <col min="7486" max="7486" width="0.85546875" style="3" customWidth="1"/>
    <col min="7487" max="7491" width="8.28515625" style="3" customWidth="1"/>
    <col min="7492" max="7492" width="0.85546875" style="3" customWidth="1"/>
    <col min="7493" max="7497" width="8.28515625" style="3" customWidth="1"/>
    <col min="7498" max="7498" width="0.85546875" style="3" customWidth="1"/>
    <col min="7499" max="7503" width="8.28515625" style="3" customWidth="1"/>
    <col min="7504" max="7504" width="0.85546875" style="3" customWidth="1"/>
    <col min="7505" max="7509" width="8.28515625" style="3" customWidth="1"/>
    <col min="7510" max="7510" width="0.85546875" style="3" customWidth="1"/>
    <col min="7511" max="7515" width="8.28515625" style="3" customWidth="1"/>
    <col min="7516" max="7518" width="9.140625" style="3" customWidth="1"/>
    <col min="7519" max="7519" width="23.7109375" style="3" customWidth="1"/>
    <col min="7520" max="7524" width="9.140625" style="3" customWidth="1"/>
    <col min="7525" max="7680" width="9.140625" style="3"/>
    <col min="7681" max="7681" width="25.7109375" style="3" customWidth="1"/>
    <col min="7682" max="7682" width="0.85546875" style="3" customWidth="1"/>
    <col min="7683" max="7687" width="8.28515625" style="3" customWidth="1"/>
    <col min="7688" max="7688" width="0.85546875" style="3" customWidth="1"/>
    <col min="7689" max="7693" width="8.28515625" style="3" customWidth="1"/>
    <col min="7694" max="7694" width="0.85546875" style="3" customWidth="1"/>
    <col min="7695" max="7699" width="8.28515625" style="3" customWidth="1"/>
    <col min="7700" max="7700" width="0.85546875" style="3" customWidth="1"/>
    <col min="7701" max="7705" width="8.28515625" style="3" customWidth="1"/>
    <col min="7706" max="7706" width="0.85546875" style="3" customWidth="1"/>
    <col min="7707" max="7711" width="8.28515625" style="3" customWidth="1"/>
    <col min="7712" max="7712" width="0.85546875" style="3" customWidth="1"/>
    <col min="7713" max="7717" width="8.28515625" style="3" customWidth="1"/>
    <col min="7718" max="7718" width="0.85546875" style="3" customWidth="1"/>
    <col min="7719" max="7723" width="8.28515625" style="3" customWidth="1"/>
    <col min="7724" max="7724" width="0.85546875" style="3" customWidth="1"/>
    <col min="7725" max="7729" width="8.28515625" style="3" customWidth="1"/>
    <col min="7730" max="7730" width="0.85546875" style="3" customWidth="1"/>
    <col min="7731" max="7735" width="8.28515625" style="3" customWidth="1"/>
    <col min="7736" max="7736" width="0.85546875" style="3" customWidth="1"/>
    <col min="7737" max="7741" width="8.28515625" style="3" customWidth="1"/>
    <col min="7742" max="7742" width="0.85546875" style="3" customWidth="1"/>
    <col min="7743" max="7747" width="8.28515625" style="3" customWidth="1"/>
    <col min="7748" max="7748" width="0.85546875" style="3" customWidth="1"/>
    <col min="7749" max="7753" width="8.28515625" style="3" customWidth="1"/>
    <col min="7754" max="7754" width="0.85546875" style="3" customWidth="1"/>
    <col min="7755" max="7759" width="8.28515625" style="3" customWidth="1"/>
    <col min="7760" max="7760" width="0.85546875" style="3" customWidth="1"/>
    <col min="7761" max="7765" width="8.28515625" style="3" customWidth="1"/>
    <col min="7766" max="7766" width="0.85546875" style="3" customWidth="1"/>
    <col min="7767" max="7771" width="8.28515625" style="3" customWidth="1"/>
    <col min="7772" max="7774" width="9.140625" style="3" customWidth="1"/>
    <col min="7775" max="7775" width="23.7109375" style="3" customWidth="1"/>
    <col min="7776" max="7780" width="9.140625" style="3" customWidth="1"/>
    <col min="7781" max="7936" width="9.140625" style="3"/>
    <col min="7937" max="7937" width="25.7109375" style="3" customWidth="1"/>
    <col min="7938" max="7938" width="0.85546875" style="3" customWidth="1"/>
    <col min="7939" max="7943" width="8.28515625" style="3" customWidth="1"/>
    <col min="7944" max="7944" width="0.85546875" style="3" customWidth="1"/>
    <col min="7945" max="7949" width="8.28515625" style="3" customWidth="1"/>
    <col min="7950" max="7950" width="0.85546875" style="3" customWidth="1"/>
    <col min="7951" max="7955" width="8.28515625" style="3" customWidth="1"/>
    <col min="7956" max="7956" width="0.85546875" style="3" customWidth="1"/>
    <col min="7957" max="7961" width="8.28515625" style="3" customWidth="1"/>
    <col min="7962" max="7962" width="0.85546875" style="3" customWidth="1"/>
    <col min="7963" max="7967" width="8.28515625" style="3" customWidth="1"/>
    <col min="7968" max="7968" width="0.85546875" style="3" customWidth="1"/>
    <col min="7969" max="7973" width="8.28515625" style="3" customWidth="1"/>
    <col min="7974" max="7974" width="0.85546875" style="3" customWidth="1"/>
    <col min="7975" max="7979" width="8.28515625" style="3" customWidth="1"/>
    <col min="7980" max="7980" width="0.85546875" style="3" customWidth="1"/>
    <col min="7981" max="7985" width="8.28515625" style="3" customWidth="1"/>
    <col min="7986" max="7986" width="0.85546875" style="3" customWidth="1"/>
    <col min="7987" max="7991" width="8.28515625" style="3" customWidth="1"/>
    <col min="7992" max="7992" width="0.85546875" style="3" customWidth="1"/>
    <col min="7993" max="7997" width="8.28515625" style="3" customWidth="1"/>
    <col min="7998" max="7998" width="0.85546875" style="3" customWidth="1"/>
    <col min="7999" max="8003" width="8.28515625" style="3" customWidth="1"/>
    <col min="8004" max="8004" width="0.85546875" style="3" customWidth="1"/>
    <col min="8005" max="8009" width="8.28515625" style="3" customWidth="1"/>
    <col min="8010" max="8010" width="0.85546875" style="3" customWidth="1"/>
    <col min="8011" max="8015" width="8.28515625" style="3" customWidth="1"/>
    <col min="8016" max="8016" width="0.85546875" style="3" customWidth="1"/>
    <col min="8017" max="8021" width="8.28515625" style="3" customWidth="1"/>
    <col min="8022" max="8022" width="0.85546875" style="3" customWidth="1"/>
    <col min="8023" max="8027" width="8.28515625" style="3" customWidth="1"/>
    <col min="8028" max="8030" width="9.140625" style="3" customWidth="1"/>
    <col min="8031" max="8031" width="23.7109375" style="3" customWidth="1"/>
    <col min="8032" max="8036" width="9.140625" style="3" customWidth="1"/>
    <col min="8037" max="8192" width="9.140625" style="3"/>
    <col min="8193" max="8193" width="25.7109375" style="3" customWidth="1"/>
    <col min="8194" max="8194" width="0.85546875" style="3" customWidth="1"/>
    <col min="8195" max="8199" width="8.28515625" style="3" customWidth="1"/>
    <col min="8200" max="8200" width="0.85546875" style="3" customWidth="1"/>
    <col min="8201" max="8205" width="8.28515625" style="3" customWidth="1"/>
    <col min="8206" max="8206" width="0.85546875" style="3" customWidth="1"/>
    <col min="8207" max="8211" width="8.28515625" style="3" customWidth="1"/>
    <col min="8212" max="8212" width="0.85546875" style="3" customWidth="1"/>
    <col min="8213" max="8217" width="8.28515625" style="3" customWidth="1"/>
    <col min="8218" max="8218" width="0.85546875" style="3" customWidth="1"/>
    <col min="8219" max="8223" width="8.28515625" style="3" customWidth="1"/>
    <col min="8224" max="8224" width="0.85546875" style="3" customWidth="1"/>
    <col min="8225" max="8229" width="8.28515625" style="3" customWidth="1"/>
    <col min="8230" max="8230" width="0.85546875" style="3" customWidth="1"/>
    <col min="8231" max="8235" width="8.28515625" style="3" customWidth="1"/>
    <col min="8236" max="8236" width="0.85546875" style="3" customWidth="1"/>
    <col min="8237" max="8241" width="8.28515625" style="3" customWidth="1"/>
    <col min="8242" max="8242" width="0.85546875" style="3" customWidth="1"/>
    <col min="8243" max="8247" width="8.28515625" style="3" customWidth="1"/>
    <col min="8248" max="8248" width="0.85546875" style="3" customWidth="1"/>
    <col min="8249" max="8253" width="8.28515625" style="3" customWidth="1"/>
    <col min="8254" max="8254" width="0.85546875" style="3" customWidth="1"/>
    <col min="8255" max="8259" width="8.28515625" style="3" customWidth="1"/>
    <col min="8260" max="8260" width="0.85546875" style="3" customWidth="1"/>
    <col min="8261" max="8265" width="8.28515625" style="3" customWidth="1"/>
    <col min="8266" max="8266" width="0.85546875" style="3" customWidth="1"/>
    <col min="8267" max="8271" width="8.28515625" style="3" customWidth="1"/>
    <col min="8272" max="8272" width="0.85546875" style="3" customWidth="1"/>
    <col min="8273" max="8277" width="8.28515625" style="3" customWidth="1"/>
    <col min="8278" max="8278" width="0.85546875" style="3" customWidth="1"/>
    <col min="8279" max="8283" width="8.28515625" style="3" customWidth="1"/>
    <col min="8284" max="8286" width="9.140625" style="3" customWidth="1"/>
    <col min="8287" max="8287" width="23.7109375" style="3" customWidth="1"/>
    <col min="8288" max="8292" width="9.140625" style="3" customWidth="1"/>
    <col min="8293" max="8448" width="9.140625" style="3"/>
    <col min="8449" max="8449" width="25.7109375" style="3" customWidth="1"/>
    <col min="8450" max="8450" width="0.85546875" style="3" customWidth="1"/>
    <col min="8451" max="8455" width="8.28515625" style="3" customWidth="1"/>
    <col min="8456" max="8456" width="0.85546875" style="3" customWidth="1"/>
    <col min="8457" max="8461" width="8.28515625" style="3" customWidth="1"/>
    <col min="8462" max="8462" width="0.85546875" style="3" customWidth="1"/>
    <col min="8463" max="8467" width="8.28515625" style="3" customWidth="1"/>
    <col min="8468" max="8468" width="0.85546875" style="3" customWidth="1"/>
    <col min="8469" max="8473" width="8.28515625" style="3" customWidth="1"/>
    <col min="8474" max="8474" width="0.85546875" style="3" customWidth="1"/>
    <col min="8475" max="8479" width="8.28515625" style="3" customWidth="1"/>
    <col min="8480" max="8480" width="0.85546875" style="3" customWidth="1"/>
    <col min="8481" max="8485" width="8.28515625" style="3" customWidth="1"/>
    <col min="8486" max="8486" width="0.85546875" style="3" customWidth="1"/>
    <col min="8487" max="8491" width="8.28515625" style="3" customWidth="1"/>
    <col min="8492" max="8492" width="0.85546875" style="3" customWidth="1"/>
    <col min="8493" max="8497" width="8.28515625" style="3" customWidth="1"/>
    <col min="8498" max="8498" width="0.85546875" style="3" customWidth="1"/>
    <col min="8499" max="8503" width="8.28515625" style="3" customWidth="1"/>
    <col min="8504" max="8504" width="0.85546875" style="3" customWidth="1"/>
    <col min="8505" max="8509" width="8.28515625" style="3" customWidth="1"/>
    <col min="8510" max="8510" width="0.85546875" style="3" customWidth="1"/>
    <col min="8511" max="8515" width="8.28515625" style="3" customWidth="1"/>
    <col min="8516" max="8516" width="0.85546875" style="3" customWidth="1"/>
    <col min="8517" max="8521" width="8.28515625" style="3" customWidth="1"/>
    <col min="8522" max="8522" width="0.85546875" style="3" customWidth="1"/>
    <col min="8523" max="8527" width="8.28515625" style="3" customWidth="1"/>
    <col min="8528" max="8528" width="0.85546875" style="3" customWidth="1"/>
    <col min="8529" max="8533" width="8.28515625" style="3" customWidth="1"/>
    <col min="8534" max="8534" width="0.85546875" style="3" customWidth="1"/>
    <col min="8535" max="8539" width="8.28515625" style="3" customWidth="1"/>
    <col min="8540" max="8542" width="9.140625" style="3" customWidth="1"/>
    <col min="8543" max="8543" width="23.7109375" style="3" customWidth="1"/>
    <col min="8544" max="8548" width="9.140625" style="3" customWidth="1"/>
    <col min="8549" max="8704" width="9.140625" style="3"/>
    <col min="8705" max="8705" width="25.7109375" style="3" customWidth="1"/>
    <col min="8706" max="8706" width="0.85546875" style="3" customWidth="1"/>
    <col min="8707" max="8711" width="8.28515625" style="3" customWidth="1"/>
    <col min="8712" max="8712" width="0.85546875" style="3" customWidth="1"/>
    <col min="8713" max="8717" width="8.28515625" style="3" customWidth="1"/>
    <col min="8718" max="8718" width="0.85546875" style="3" customWidth="1"/>
    <col min="8719" max="8723" width="8.28515625" style="3" customWidth="1"/>
    <col min="8724" max="8724" width="0.85546875" style="3" customWidth="1"/>
    <col min="8725" max="8729" width="8.28515625" style="3" customWidth="1"/>
    <col min="8730" max="8730" width="0.85546875" style="3" customWidth="1"/>
    <col min="8731" max="8735" width="8.28515625" style="3" customWidth="1"/>
    <col min="8736" max="8736" width="0.85546875" style="3" customWidth="1"/>
    <col min="8737" max="8741" width="8.28515625" style="3" customWidth="1"/>
    <col min="8742" max="8742" width="0.85546875" style="3" customWidth="1"/>
    <col min="8743" max="8747" width="8.28515625" style="3" customWidth="1"/>
    <col min="8748" max="8748" width="0.85546875" style="3" customWidth="1"/>
    <col min="8749" max="8753" width="8.28515625" style="3" customWidth="1"/>
    <col min="8754" max="8754" width="0.85546875" style="3" customWidth="1"/>
    <col min="8755" max="8759" width="8.28515625" style="3" customWidth="1"/>
    <col min="8760" max="8760" width="0.85546875" style="3" customWidth="1"/>
    <col min="8761" max="8765" width="8.28515625" style="3" customWidth="1"/>
    <col min="8766" max="8766" width="0.85546875" style="3" customWidth="1"/>
    <col min="8767" max="8771" width="8.28515625" style="3" customWidth="1"/>
    <col min="8772" max="8772" width="0.85546875" style="3" customWidth="1"/>
    <col min="8773" max="8777" width="8.28515625" style="3" customWidth="1"/>
    <col min="8778" max="8778" width="0.85546875" style="3" customWidth="1"/>
    <col min="8779" max="8783" width="8.28515625" style="3" customWidth="1"/>
    <col min="8784" max="8784" width="0.85546875" style="3" customWidth="1"/>
    <col min="8785" max="8789" width="8.28515625" style="3" customWidth="1"/>
    <col min="8790" max="8790" width="0.85546875" style="3" customWidth="1"/>
    <col min="8791" max="8795" width="8.28515625" style="3" customWidth="1"/>
    <col min="8796" max="8798" width="9.140625" style="3" customWidth="1"/>
    <col min="8799" max="8799" width="23.7109375" style="3" customWidth="1"/>
    <col min="8800" max="8804" width="9.140625" style="3" customWidth="1"/>
    <col min="8805" max="8960" width="9.140625" style="3"/>
    <col min="8961" max="8961" width="25.7109375" style="3" customWidth="1"/>
    <col min="8962" max="8962" width="0.85546875" style="3" customWidth="1"/>
    <col min="8963" max="8967" width="8.28515625" style="3" customWidth="1"/>
    <col min="8968" max="8968" width="0.85546875" style="3" customWidth="1"/>
    <col min="8969" max="8973" width="8.28515625" style="3" customWidth="1"/>
    <col min="8974" max="8974" width="0.85546875" style="3" customWidth="1"/>
    <col min="8975" max="8979" width="8.28515625" style="3" customWidth="1"/>
    <col min="8980" max="8980" width="0.85546875" style="3" customWidth="1"/>
    <col min="8981" max="8985" width="8.28515625" style="3" customWidth="1"/>
    <col min="8986" max="8986" width="0.85546875" style="3" customWidth="1"/>
    <col min="8987" max="8991" width="8.28515625" style="3" customWidth="1"/>
    <col min="8992" max="8992" width="0.85546875" style="3" customWidth="1"/>
    <col min="8993" max="8997" width="8.28515625" style="3" customWidth="1"/>
    <col min="8998" max="8998" width="0.85546875" style="3" customWidth="1"/>
    <col min="8999" max="9003" width="8.28515625" style="3" customWidth="1"/>
    <col min="9004" max="9004" width="0.85546875" style="3" customWidth="1"/>
    <col min="9005" max="9009" width="8.28515625" style="3" customWidth="1"/>
    <col min="9010" max="9010" width="0.85546875" style="3" customWidth="1"/>
    <col min="9011" max="9015" width="8.28515625" style="3" customWidth="1"/>
    <col min="9016" max="9016" width="0.85546875" style="3" customWidth="1"/>
    <col min="9017" max="9021" width="8.28515625" style="3" customWidth="1"/>
    <col min="9022" max="9022" width="0.85546875" style="3" customWidth="1"/>
    <col min="9023" max="9027" width="8.28515625" style="3" customWidth="1"/>
    <col min="9028" max="9028" width="0.85546875" style="3" customWidth="1"/>
    <col min="9029" max="9033" width="8.28515625" style="3" customWidth="1"/>
    <col min="9034" max="9034" width="0.85546875" style="3" customWidth="1"/>
    <col min="9035" max="9039" width="8.28515625" style="3" customWidth="1"/>
    <col min="9040" max="9040" width="0.85546875" style="3" customWidth="1"/>
    <col min="9041" max="9045" width="8.28515625" style="3" customWidth="1"/>
    <col min="9046" max="9046" width="0.85546875" style="3" customWidth="1"/>
    <col min="9047" max="9051" width="8.28515625" style="3" customWidth="1"/>
    <col min="9052" max="9054" width="9.140625" style="3" customWidth="1"/>
    <col min="9055" max="9055" width="23.7109375" style="3" customWidth="1"/>
    <col min="9056" max="9060" width="9.140625" style="3" customWidth="1"/>
    <col min="9061" max="9216" width="9.140625" style="3"/>
    <col min="9217" max="9217" width="25.7109375" style="3" customWidth="1"/>
    <col min="9218" max="9218" width="0.85546875" style="3" customWidth="1"/>
    <col min="9219" max="9223" width="8.28515625" style="3" customWidth="1"/>
    <col min="9224" max="9224" width="0.85546875" style="3" customWidth="1"/>
    <col min="9225" max="9229" width="8.28515625" style="3" customWidth="1"/>
    <col min="9230" max="9230" width="0.85546875" style="3" customWidth="1"/>
    <col min="9231" max="9235" width="8.28515625" style="3" customWidth="1"/>
    <col min="9236" max="9236" width="0.85546875" style="3" customWidth="1"/>
    <col min="9237" max="9241" width="8.28515625" style="3" customWidth="1"/>
    <col min="9242" max="9242" width="0.85546875" style="3" customWidth="1"/>
    <col min="9243" max="9247" width="8.28515625" style="3" customWidth="1"/>
    <col min="9248" max="9248" width="0.85546875" style="3" customWidth="1"/>
    <col min="9249" max="9253" width="8.28515625" style="3" customWidth="1"/>
    <col min="9254" max="9254" width="0.85546875" style="3" customWidth="1"/>
    <col min="9255" max="9259" width="8.28515625" style="3" customWidth="1"/>
    <col min="9260" max="9260" width="0.85546875" style="3" customWidth="1"/>
    <col min="9261" max="9265" width="8.28515625" style="3" customWidth="1"/>
    <col min="9266" max="9266" width="0.85546875" style="3" customWidth="1"/>
    <col min="9267" max="9271" width="8.28515625" style="3" customWidth="1"/>
    <col min="9272" max="9272" width="0.85546875" style="3" customWidth="1"/>
    <col min="9273" max="9277" width="8.28515625" style="3" customWidth="1"/>
    <col min="9278" max="9278" width="0.85546875" style="3" customWidth="1"/>
    <col min="9279" max="9283" width="8.28515625" style="3" customWidth="1"/>
    <col min="9284" max="9284" width="0.85546875" style="3" customWidth="1"/>
    <col min="9285" max="9289" width="8.28515625" style="3" customWidth="1"/>
    <col min="9290" max="9290" width="0.85546875" style="3" customWidth="1"/>
    <col min="9291" max="9295" width="8.28515625" style="3" customWidth="1"/>
    <col min="9296" max="9296" width="0.85546875" style="3" customWidth="1"/>
    <col min="9297" max="9301" width="8.28515625" style="3" customWidth="1"/>
    <col min="9302" max="9302" width="0.85546875" style="3" customWidth="1"/>
    <col min="9303" max="9307" width="8.28515625" style="3" customWidth="1"/>
    <col min="9308" max="9310" width="9.140625" style="3" customWidth="1"/>
    <col min="9311" max="9311" width="23.7109375" style="3" customWidth="1"/>
    <col min="9312" max="9316" width="9.140625" style="3" customWidth="1"/>
    <col min="9317" max="9472" width="9.140625" style="3"/>
    <col min="9473" max="9473" width="25.7109375" style="3" customWidth="1"/>
    <col min="9474" max="9474" width="0.85546875" style="3" customWidth="1"/>
    <col min="9475" max="9479" width="8.28515625" style="3" customWidth="1"/>
    <col min="9480" max="9480" width="0.85546875" style="3" customWidth="1"/>
    <col min="9481" max="9485" width="8.28515625" style="3" customWidth="1"/>
    <col min="9486" max="9486" width="0.85546875" style="3" customWidth="1"/>
    <col min="9487" max="9491" width="8.28515625" style="3" customWidth="1"/>
    <col min="9492" max="9492" width="0.85546875" style="3" customWidth="1"/>
    <col min="9493" max="9497" width="8.28515625" style="3" customWidth="1"/>
    <col min="9498" max="9498" width="0.85546875" style="3" customWidth="1"/>
    <col min="9499" max="9503" width="8.28515625" style="3" customWidth="1"/>
    <col min="9504" max="9504" width="0.85546875" style="3" customWidth="1"/>
    <col min="9505" max="9509" width="8.28515625" style="3" customWidth="1"/>
    <col min="9510" max="9510" width="0.85546875" style="3" customWidth="1"/>
    <col min="9511" max="9515" width="8.28515625" style="3" customWidth="1"/>
    <col min="9516" max="9516" width="0.85546875" style="3" customWidth="1"/>
    <col min="9517" max="9521" width="8.28515625" style="3" customWidth="1"/>
    <col min="9522" max="9522" width="0.85546875" style="3" customWidth="1"/>
    <col min="9523" max="9527" width="8.28515625" style="3" customWidth="1"/>
    <col min="9528" max="9528" width="0.85546875" style="3" customWidth="1"/>
    <col min="9529" max="9533" width="8.28515625" style="3" customWidth="1"/>
    <col min="9534" max="9534" width="0.85546875" style="3" customWidth="1"/>
    <col min="9535" max="9539" width="8.28515625" style="3" customWidth="1"/>
    <col min="9540" max="9540" width="0.85546875" style="3" customWidth="1"/>
    <col min="9541" max="9545" width="8.28515625" style="3" customWidth="1"/>
    <col min="9546" max="9546" width="0.85546875" style="3" customWidth="1"/>
    <col min="9547" max="9551" width="8.28515625" style="3" customWidth="1"/>
    <col min="9552" max="9552" width="0.85546875" style="3" customWidth="1"/>
    <col min="9553" max="9557" width="8.28515625" style="3" customWidth="1"/>
    <col min="9558" max="9558" width="0.85546875" style="3" customWidth="1"/>
    <col min="9559" max="9563" width="8.28515625" style="3" customWidth="1"/>
    <col min="9564" max="9566" width="9.140625" style="3" customWidth="1"/>
    <col min="9567" max="9567" width="23.7109375" style="3" customWidth="1"/>
    <col min="9568" max="9572" width="9.140625" style="3" customWidth="1"/>
    <col min="9573" max="9728" width="9.140625" style="3"/>
    <col min="9729" max="9729" width="25.7109375" style="3" customWidth="1"/>
    <col min="9730" max="9730" width="0.85546875" style="3" customWidth="1"/>
    <col min="9731" max="9735" width="8.28515625" style="3" customWidth="1"/>
    <col min="9736" max="9736" width="0.85546875" style="3" customWidth="1"/>
    <col min="9737" max="9741" width="8.28515625" style="3" customWidth="1"/>
    <col min="9742" max="9742" width="0.85546875" style="3" customWidth="1"/>
    <col min="9743" max="9747" width="8.28515625" style="3" customWidth="1"/>
    <col min="9748" max="9748" width="0.85546875" style="3" customWidth="1"/>
    <col min="9749" max="9753" width="8.28515625" style="3" customWidth="1"/>
    <col min="9754" max="9754" width="0.85546875" style="3" customWidth="1"/>
    <col min="9755" max="9759" width="8.28515625" style="3" customWidth="1"/>
    <col min="9760" max="9760" width="0.85546875" style="3" customWidth="1"/>
    <col min="9761" max="9765" width="8.28515625" style="3" customWidth="1"/>
    <col min="9766" max="9766" width="0.85546875" style="3" customWidth="1"/>
    <col min="9767" max="9771" width="8.28515625" style="3" customWidth="1"/>
    <col min="9772" max="9772" width="0.85546875" style="3" customWidth="1"/>
    <col min="9773" max="9777" width="8.28515625" style="3" customWidth="1"/>
    <col min="9778" max="9778" width="0.85546875" style="3" customWidth="1"/>
    <col min="9779" max="9783" width="8.28515625" style="3" customWidth="1"/>
    <col min="9784" max="9784" width="0.85546875" style="3" customWidth="1"/>
    <col min="9785" max="9789" width="8.28515625" style="3" customWidth="1"/>
    <col min="9790" max="9790" width="0.85546875" style="3" customWidth="1"/>
    <col min="9791" max="9795" width="8.28515625" style="3" customWidth="1"/>
    <col min="9796" max="9796" width="0.85546875" style="3" customWidth="1"/>
    <col min="9797" max="9801" width="8.28515625" style="3" customWidth="1"/>
    <col min="9802" max="9802" width="0.85546875" style="3" customWidth="1"/>
    <col min="9803" max="9807" width="8.28515625" style="3" customWidth="1"/>
    <col min="9808" max="9808" width="0.85546875" style="3" customWidth="1"/>
    <col min="9809" max="9813" width="8.28515625" style="3" customWidth="1"/>
    <col min="9814" max="9814" width="0.85546875" style="3" customWidth="1"/>
    <col min="9815" max="9819" width="8.28515625" style="3" customWidth="1"/>
    <col min="9820" max="9822" width="9.140625" style="3" customWidth="1"/>
    <col min="9823" max="9823" width="23.7109375" style="3" customWidth="1"/>
    <col min="9824" max="9828" width="9.140625" style="3" customWidth="1"/>
    <col min="9829" max="9984" width="9.140625" style="3"/>
    <col min="9985" max="9985" width="25.7109375" style="3" customWidth="1"/>
    <col min="9986" max="9986" width="0.85546875" style="3" customWidth="1"/>
    <col min="9987" max="9991" width="8.28515625" style="3" customWidth="1"/>
    <col min="9992" max="9992" width="0.85546875" style="3" customWidth="1"/>
    <col min="9993" max="9997" width="8.28515625" style="3" customWidth="1"/>
    <col min="9998" max="9998" width="0.85546875" style="3" customWidth="1"/>
    <col min="9999" max="10003" width="8.28515625" style="3" customWidth="1"/>
    <col min="10004" max="10004" width="0.85546875" style="3" customWidth="1"/>
    <col min="10005" max="10009" width="8.28515625" style="3" customWidth="1"/>
    <col min="10010" max="10010" width="0.85546875" style="3" customWidth="1"/>
    <col min="10011" max="10015" width="8.28515625" style="3" customWidth="1"/>
    <col min="10016" max="10016" width="0.85546875" style="3" customWidth="1"/>
    <col min="10017" max="10021" width="8.28515625" style="3" customWidth="1"/>
    <col min="10022" max="10022" width="0.85546875" style="3" customWidth="1"/>
    <col min="10023" max="10027" width="8.28515625" style="3" customWidth="1"/>
    <col min="10028" max="10028" width="0.85546875" style="3" customWidth="1"/>
    <col min="10029" max="10033" width="8.28515625" style="3" customWidth="1"/>
    <col min="10034" max="10034" width="0.85546875" style="3" customWidth="1"/>
    <col min="10035" max="10039" width="8.28515625" style="3" customWidth="1"/>
    <col min="10040" max="10040" width="0.85546875" style="3" customWidth="1"/>
    <col min="10041" max="10045" width="8.28515625" style="3" customWidth="1"/>
    <col min="10046" max="10046" width="0.85546875" style="3" customWidth="1"/>
    <col min="10047" max="10051" width="8.28515625" style="3" customWidth="1"/>
    <col min="10052" max="10052" width="0.85546875" style="3" customWidth="1"/>
    <col min="10053" max="10057" width="8.28515625" style="3" customWidth="1"/>
    <col min="10058" max="10058" width="0.85546875" style="3" customWidth="1"/>
    <col min="10059" max="10063" width="8.28515625" style="3" customWidth="1"/>
    <col min="10064" max="10064" width="0.85546875" style="3" customWidth="1"/>
    <col min="10065" max="10069" width="8.28515625" style="3" customWidth="1"/>
    <col min="10070" max="10070" width="0.85546875" style="3" customWidth="1"/>
    <col min="10071" max="10075" width="8.28515625" style="3" customWidth="1"/>
    <col min="10076" max="10078" width="9.140625" style="3" customWidth="1"/>
    <col min="10079" max="10079" width="23.7109375" style="3" customWidth="1"/>
    <col min="10080" max="10084" width="9.140625" style="3" customWidth="1"/>
    <col min="10085" max="10240" width="9.140625" style="3"/>
    <col min="10241" max="10241" width="25.7109375" style="3" customWidth="1"/>
    <col min="10242" max="10242" width="0.85546875" style="3" customWidth="1"/>
    <col min="10243" max="10247" width="8.28515625" style="3" customWidth="1"/>
    <col min="10248" max="10248" width="0.85546875" style="3" customWidth="1"/>
    <col min="10249" max="10253" width="8.28515625" style="3" customWidth="1"/>
    <col min="10254" max="10254" width="0.85546875" style="3" customWidth="1"/>
    <col min="10255" max="10259" width="8.28515625" style="3" customWidth="1"/>
    <col min="10260" max="10260" width="0.85546875" style="3" customWidth="1"/>
    <col min="10261" max="10265" width="8.28515625" style="3" customWidth="1"/>
    <col min="10266" max="10266" width="0.85546875" style="3" customWidth="1"/>
    <col min="10267" max="10271" width="8.28515625" style="3" customWidth="1"/>
    <col min="10272" max="10272" width="0.85546875" style="3" customWidth="1"/>
    <col min="10273" max="10277" width="8.28515625" style="3" customWidth="1"/>
    <col min="10278" max="10278" width="0.85546875" style="3" customWidth="1"/>
    <col min="10279" max="10283" width="8.28515625" style="3" customWidth="1"/>
    <col min="10284" max="10284" width="0.85546875" style="3" customWidth="1"/>
    <col min="10285" max="10289" width="8.28515625" style="3" customWidth="1"/>
    <col min="10290" max="10290" width="0.85546875" style="3" customWidth="1"/>
    <col min="10291" max="10295" width="8.28515625" style="3" customWidth="1"/>
    <col min="10296" max="10296" width="0.85546875" style="3" customWidth="1"/>
    <col min="10297" max="10301" width="8.28515625" style="3" customWidth="1"/>
    <col min="10302" max="10302" width="0.85546875" style="3" customWidth="1"/>
    <col min="10303" max="10307" width="8.28515625" style="3" customWidth="1"/>
    <col min="10308" max="10308" width="0.85546875" style="3" customWidth="1"/>
    <col min="10309" max="10313" width="8.28515625" style="3" customWidth="1"/>
    <col min="10314" max="10314" width="0.85546875" style="3" customWidth="1"/>
    <col min="10315" max="10319" width="8.28515625" style="3" customWidth="1"/>
    <col min="10320" max="10320" width="0.85546875" style="3" customWidth="1"/>
    <col min="10321" max="10325" width="8.28515625" style="3" customWidth="1"/>
    <col min="10326" max="10326" width="0.85546875" style="3" customWidth="1"/>
    <col min="10327" max="10331" width="8.28515625" style="3" customWidth="1"/>
    <col min="10332" max="10334" width="9.140625" style="3" customWidth="1"/>
    <col min="10335" max="10335" width="23.7109375" style="3" customWidth="1"/>
    <col min="10336" max="10340" width="9.140625" style="3" customWidth="1"/>
    <col min="10341" max="10496" width="9.140625" style="3"/>
    <col min="10497" max="10497" width="25.7109375" style="3" customWidth="1"/>
    <col min="10498" max="10498" width="0.85546875" style="3" customWidth="1"/>
    <col min="10499" max="10503" width="8.28515625" style="3" customWidth="1"/>
    <col min="10504" max="10504" width="0.85546875" style="3" customWidth="1"/>
    <col min="10505" max="10509" width="8.28515625" style="3" customWidth="1"/>
    <col min="10510" max="10510" width="0.85546875" style="3" customWidth="1"/>
    <col min="10511" max="10515" width="8.28515625" style="3" customWidth="1"/>
    <col min="10516" max="10516" width="0.85546875" style="3" customWidth="1"/>
    <col min="10517" max="10521" width="8.28515625" style="3" customWidth="1"/>
    <col min="10522" max="10522" width="0.85546875" style="3" customWidth="1"/>
    <col min="10523" max="10527" width="8.28515625" style="3" customWidth="1"/>
    <col min="10528" max="10528" width="0.85546875" style="3" customWidth="1"/>
    <col min="10529" max="10533" width="8.28515625" style="3" customWidth="1"/>
    <col min="10534" max="10534" width="0.85546875" style="3" customWidth="1"/>
    <col min="10535" max="10539" width="8.28515625" style="3" customWidth="1"/>
    <col min="10540" max="10540" width="0.85546875" style="3" customWidth="1"/>
    <col min="10541" max="10545" width="8.28515625" style="3" customWidth="1"/>
    <col min="10546" max="10546" width="0.85546875" style="3" customWidth="1"/>
    <col min="10547" max="10551" width="8.28515625" style="3" customWidth="1"/>
    <col min="10552" max="10552" width="0.85546875" style="3" customWidth="1"/>
    <col min="10553" max="10557" width="8.28515625" style="3" customWidth="1"/>
    <col min="10558" max="10558" width="0.85546875" style="3" customWidth="1"/>
    <col min="10559" max="10563" width="8.28515625" style="3" customWidth="1"/>
    <col min="10564" max="10564" width="0.85546875" style="3" customWidth="1"/>
    <col min="10565" max="10569" width="8.28515625" style="3" customWidth="1"/>
    <col min="10570" max="10570" width="0.85546875" style="3" customWidth="1"/>
    <col min="10571" max="10575" width="8.28515625" style="3" customWidth="1"/>
    <col min="10576" max="10576" width="0.85546875" style="3" customWidth="1"/>
    <col min="10577" max="10581" width="8.28515625" style="3" customWidth="1"/>
    <col min="10582" max="10582" width="0.85546875" style="3" customWidth="1"/>
    <col min="10583" max="10587" width="8.28515625" style="3" customWidth="1"/>
    <col min="10588" max="10590" width="9.140625" style="3" customWidth="1"/>
    <col min="10591" max="10591" width="23.7109375" style="3" customWidth="1"/>
    <col min="10592" max="10596" width="9.140625" style="3" customWidth="1"/>
    <col min="10597" max="10752" width="9.140625" style="3"/>
    <col min="10753" max="10753" width="25.7109375" style="3" customWidth="1"/>
    <col min="10754" max="10754" width="0.85546875" style="3" customWidth="1"/>
    <col min="10755" max="10759" width="8.28515625" style="3" customWidth="1"/>
    <col min="10760" max="10760" width="0.85546875" style="3" customWidth="1"/>
    <col min="10761" max="10765" width="8.28515625" style="3" customWidth="1"/>
    <col min="10766" max="10766" width="0.85546875" style="3" customWidth="1"/>
    <col min="10767" max="10771" width="8.28515625" style="3" customWidth="1"/>
    <col min="10772" max="10772" width="0.85546875" style="3" customWidth="1"/>
    <col min="10773" max="10777" width="8.28515625" style="3" customWidth="1"/>
    <col min="10778" max="10778" width="0.85546875" style="3" customWidth="1"/>
    <col min="10779" max="10783" width="8.28515625" style="3" customWidth="1"/>
    <col min="10784" max="10784" width="0.85546875" style="3" customWidth="1"/>
    <col min="10785" max="10789" width="8.28515625" style="3" customWidth="1"/>
    <col min="10790" max="10790" width="0.85546875" style="3" customWidth="1"/>
    <col min="10791" max="10795" width="8.28515625" style="3" customWidth="1"/>
    <col min="10796" max="10796" width="0.85546875" style="3" customWidth="1"/>
    <col min="10797" max="10801" width="8.28515625" style="3" customWidth="1"/>
    <col min="10802" max="10802" width="0.85546875" style="3" customWidth="1"/>
    <col min="10803" max="10807" width="8.28515625" style="3" customWidth="1"/>
    <col min="10808" max="10808" width="0.85546875" style="3" customWidth="1"/>
    <col min="10809" max="10813" width="8.28515625" style="3" customWidth="1"/>
    <col min="10814" max="10814" width="0.85546875" style="3" customWidth="1"/>
    <col min="10815" max="10819" width="8.28515625" style="3" customWidth="1"/>
    <col min="10820" max="10820" width="0.85546875" style="3" customWidth="1"/>
    <col min="10821" max="10825" width="8.28515625" style="3" customWidth="1"/>
    <col min="10826" max="10826" width="0.85546875" style="3" customWidth="1"/>
    <col min="10827" max="10831" width="8.28515625" style="3" customWidth="1"/>
    <col min="10832" max="10832" width="0.85546875" style="3" customWidth="1"/>
    <col min="10833" max="10837" width="8.28515625" style="3" customWidth="1"/>
    <col min="10838" max="10838" width="0.85546875" style="3" customWidth="1"/>
    <col min="10839" max="10843" width="8.28515625" style="3" customWidth="1"/>
    <col min="10844" max="10846" width="9.140625" style="3" customWidth="1"/>
    <col min="10847" max="10847" width="23.7109375" style="3" customWidth="1"/>
    <col min="10848" max="10852" width="9.140625" style="3" customWidth="1"/>
    <col min="10853" max="11008" width="9.140625" style="3"/>
    <col min="11009" max="11009" width="25.7109375" style="3" customWidth="1"/>
    <col min="11010" max="11010" width="0.85546875" style="3" customWidth="1"/>
    <col min="11011" max="11015" width="8.28515625" style="3" customWidth="1"/>
    <col min="11016" max="11016" width="0.85546875" style="3" customWidth="1"/>
    <col min="11017" max="11021" width="8.28515625" style="3" customWidth="1"/>
    <col min="11022" max="11022" width="0.85546875" style="3" customWidth="1"/>
    <col min="11023" max="11027" width="8.28515625" style="3" customWidth="1"/>
    <col min="11028" max="11028" width="0.85546875" style="3" customWidth="1"/>
    <col min="11029" max="11033" width="8.28515625" style="3" customWidth="1"/>
    <col min="11034" max="11034" width="0.85546875" style="3" customWidth="1"/>
    <col min="11035" max="11039" width="8.28515625" style="3" customWidth="1"/>
    <col min="11040" max="11040" width="0.85546875" style="3" customWidth="1"/>
    <col min="11041" max="11045" width="8.28515625" style="3" customWidth="1"/>
    <col min="11046" max="11046" width="0.85546875" style="3" customWidth="1"/>
    <col min="11047" max="11051" width="8.28515625" style="3" customWidth="1"/>
    <col min="11052" max="11052" width="0.85546875" style="3" customWidth="1"/>
    <col min="11053" max="11057" width="8.28515625" style="3" customWidth="1"/>
    <col min="11058" max="11058" width="0.85546875" style="3" customWidth="1"/>
    <col min="11059" max="11063" width="8.28515625" style="3" customWidth="1"/>
    <col min="11064" max="11064" width="0.85546875" style="3" customWidth="1"/>
    <col min="11065" max="11069" width="8.28515625" style="3" customWidth="1"/>
    <col min="11070" max="11070" width="0.85546875" style="3" customWidth="1"/>
    <col min="11071" max="11075" width="8.28515625" style="3" customWidth="1"/>
    <col min="11076" max="11076" width="0.85546875" style="3" customWidth="1"/>
    <col min="11077" max="11081" width="8.28515625" style="3" customWidth="1"/>
    <col min="11082" max="11082" width="0.85546875" style="3" customWidth="1"/>
    <col min="11083" max="11087" width="8.28515625" style="3" customWidth="1"/>
    <col min="11088" max="11088" width="0.85546875" style="3" customWidth="1"/>
    <col min="11089" max="11093" width="8.28515625" style="3" customWidth="1"/>
    <col min="11094" max="11094" width="0.85546875" style="3" customWidth="1"/>
    <col min="11095" max="11099" width="8.28515625" style="3" customWidth="1"/>
    <col min="11100" max="11102" width="9.140625" style="3" customWidth="1"/>
    <col min="11103" max="11103" width="23.7109375" style="3" customWidth="1"/>
    <col min="11104" max="11108" width="9.140625" style="3" customWidth="1"/>
    <col min="11109" max="11264" width="9.140625" style="3"/>
    <col min="11265" max="11265" width="25.7109375" style="3" customWidth="1"/>
    <col min="11266" max="11266" width="0.85546875" style="3" customWidth="1"/>
    <col min="11267" max="11271" width="8.28515625" style="3" customWidth="1"/>
    <col min="11272" max="11272" width="0.85546875" style="3" customWidth="1"/>
    <col min="11273" max="11277" width="8.28515625" style="3" customWidth="1"/>
    <col min="11278" max="11278" width="0.85546875" style="3" customWidth="1"/>
    <col min="11279" max="11283" width="8.28515625" style="3" customWidth="1"/>
    <col min="11284" max="11284" width="0.85546875" style="3" customWidth="1"/>
    <col min="11285" max="11289" width="8.28515625" style="3" customWidth="1"/>
    <col min="11290" max="11290" width="0.85546875" style="3" customWidth="1"/>
    <col min="11291" max="11295" width="8.28515625" style="3" customWidth="1"/>
    <col min="11296" max="11296" width="0.85546875" style="3" customWidth="1"/>
    <col min="11297" max="11301" width="8.28515625" style="3" customWidth="1"/>
    <col min="11302" max="11302" width="0.85546875" style="3" customWidth="1"/>
    <col min="11303" max="11307" width="8.28515625" style="3" customWidth="1"/>
    <col min="11308" max="11308" width="0.85546875" style="3" customWidth="1"/>
    <col min="11309" max="11313" width="8.28515625" style="3" customWidth="1"/>
    <col min="11314" max="11314" width="0.85546875" style="3" customWidth="1"/>
    <col min="11315" max="11319" width="8.28515625" style="3" customWidth="1"/>
    <col min="11320" max="11320" width="0.85546875" style="3" customWidth="1"/>
    <col min="11321" max="11325" width="8.28515625" style="3" customWidth="1"/>
    <col min="11326" max="11326" width="0.85546875" style="3" customWidth="1"/>
    <col min="11327" max="11331" width="8.28515625" style="3" customWidth="1"/>
    <col min="11332" max="11332" width="0.85546875" style="3" customWidth="1"/>
    <col min="11333" max="11337" width="8.28515625" style="3" customWidth="1"/>
    <col min="11338" max="11338" width="0.85546875" style="3" customWidth="1"/>
    <col min="11339" max="11343" width="8.28515625" style="3" customWidth="1"/>
    <col min="11344" max="11344" width="0.85546875" style="3" customWidth="1"/>
    <col min="11345" max="11349" width="8.28515625" style="3" customWidth="1"/>
    <col min="11350" max="11350" width="0.85546875" style="3" customWidth="1"/>
    <col min="11351" max="11355" width="8.28515625" style="3" customWidth="1"/>
    <col min="11356" max="11358" width="9.140625" style="3" customWidth="1"/>
    <col min="11359" max="11359" width="23.7109375" style="3" customWidth="1"/>
    <col min="11360" max="11364" width="9.140625" style="3" customWidth="1"/>
    <col min="11365" max="11520" width="9.140625" style="3"/>
    <col min="11521" max="11521" width="25.7109375" style="3" customWidth="1"/>
    <col min="11522" max="11522" width="0.85546875" style="3" customWidth="1"/>
    <col min="11523" max="11527" width="8.28515625" style="3" customWidth="1"/>
    <col min="11528" max="11528" width="0.85546875" style="3" customWidth="1"/>
    <col min="11529" max="11533" width="8.28515625" style="3" customWidth="1"/>
    <col min="11534" max="11534" width="0.85546875" style="3" customWidth="1"/>
    <col min="11535" max="11539" width="8.28515625" style="3" customWidth="1"/>
    <col min="11540" max="11540" width="0.85546875" style="3" customWidth="1"/>
    <col min="11541" max="11545" width="8.28515625" style="3" customWidth="1"/>
    <col min="11546" max="11546" width="0.85546875" style="3" customWidth="1"/>
    <col min="11547" max="11551" width="8.28515625" style="3" customWidth="1"/>
    <col min="11552" max="11552" width="0.85546875" style="3" customWidth="1"/>
    <col min="11553" max="11557" width="8.28515625" style="3" customWidth="1"/>
    <col min="11558" max="11558" width="0.85546875" style="3" customWidth="1"/>
    <col min="11559" max="11563" width="8.28515625" style="3" customWidth="1"/>
    <col min="11564" max="11564" width="0.85546875" style="3" customWidth="1"/>
    <col min="11565" max="11569" width="8.28515625" style="3" customWidth="1"/>
    <col min="11570" max="11570" width="0.85546875" style="3" customWidth="1"/>
    <col min="11571" max="11575" width="8.28515625" style="3" customWidth="1"/>
    <col min="11576" max="11576" width="0.85546875" style="3" customWidth="1"/>
    <col min="11577" max="11581" width="8.28515625" style="3" customWidth="1"/>
    <col min="11582" max="11582" width="0.85546875" style="3" customWidth="1"/>
    <col min="11583" max="11587" width="8.28515625" style="3" customWidth="1"/>
    <col min="11588" max="11588" width="0.85546875" style="3" customWidth="1"/>
    <col min="11589" max="11593" width="8.28515625" style="3" customWidth="1"/>
    <col min="11594" max="11594" width="0.85546875" style="3" customWidth="1"/>
    <col min="11595" max="11599" width="8.28515625" style="3" customWidth="1"/>
    <col min="11600" max="11600" width="0.85546875" style="3" customWidth="1"/>
    <col min="11601" max="11605" width="8.28515625" style="3" customWidth="1"/>
    <col min="11606" max="11606" width="0.85546875" style="3" customWidth="1"/>
    <col min="11607" max="11611" width="8.28515625" style="3" customWidth="1"/>
    <col min="11612" max="11614" width="9.140625" style="3" customWidth="1"/>
    <col min="11615" max="11615" width="23.7109375" style="3" customWidth="1"/>
    <col min="11616" max="11620" width="9.140625" style="3" customWidth="1"/>
    <col min="11621" max="11776" width="9.140625" style="3"/>
    <col min="11777" max="11777" width="25.7109375" style="3" customWidth="1"/>
    <col min="11778" max="11778" width="0.85546875" style="3" customWidth="1"/>
    <col min="11779" max="11783" width="8.28515625" style="3" customWidth="1"/>
    <col min="11784" max="11784" width="0.85546875" style="3" customWidth="1"/>
    <col min="11785" max="11789" width="8.28515625" style="3" customWidth="1"/>
    <col min="11790" max="11790" width="0.85546875" style="3" customWidth="1"/>
    <col min="11791" max="11795" width="8.28515625" style="3" customWidth="1"/>
    <col min="11796" max="11796" width="0.85546875" style="3" customWidth="1"/>
    <col min="11797" max="11801" width="8.28515625" style="3" customWidth="1"/>
    <col min="11802" max="11802" width="0.85546875" style="3" customWidth="1"/>
    <col min="11803" max="11807" width="8.28515625" style="3" customWidth="1"/>
    <col min="11808" max="11808" width="0.85546875" style="3" customWidth="1"/>
    <col min="11809" max="11813" width="8.28515625" style="3" customWidth="1"/>
    <col min="11814" max="11814" width="0.85546875" style="3" customWidth="1"/>
    <col min="11815" max="11819" width="8.28515625" style="3" customWidth="1"/>
    <col min="11820" max="11820" width="0.85546875" style="3" customWidth="1"/>
    <col min="11821" max="11825" width="8.28515625" style="3" customWidth="1"/>
    <col min="11826" max="11826" width="0.85546875" style="3" customWidth="1"/>
    <col min="11827" max="11831" width="8.28515625" style="3" customWidth="1"/>
    <col min="11832" max="11832" width="0.85546875" style="3" customWidth="1"/>
    <col min="11833" max="11837" width="8.28515625" style="3" customWidth="1"/>
    <col min="11838" max="11838" width="0.85546875" style="3" customWidth="1"/>
    <col min="11839" max="11843" width="8.28515625" style="3" customWidth="1"/>
    <col min="11844" max="11844" width="0.85546875" style="3" customWidth="1"/>
    <col min="11845" max="11849" width="8.28515625" style="3" customWidth="1"/>
    <col min="11850" max="11850" width="0.85546875" style="3" customWidth="1"/>
    <col min="11851" max="11855" width="8.28515625" style="3" customWidth="1"/>
    <col min="11856" max="11856" width="0.85546875" style="3" customWidth="1"/>
    <col min="11857" max="11861" width="8.28515625" style="3" customWidth="1"/>
    <col min="11862" max="11862" width="0.85546875" style="3" customWidth="1"/>
    <col min="11863" max="11867" width="8.28515625" style="3" customWidth="1"/>
    <col min="11868" max="11870" width="9.140625" style="3" customWidth="1"/>
    <col min="11871" max="11871" width="23.7109375" style="3" customWidth="1"/>
    <col min="11872" max="11876" width="9.140625" style="3" customWidth="1"/>
    <col min="11877" max="12032" width="9.140625" style="3"/>
    <col min="12033" max="12033" width="25.7109375" style="3" customWidth="1"/>
    <col min="12034" max="12034" width="0.85546875" style="3" customWidth="1"/>
    <col min="12035" max="12039" width="8.28515625" style="3" customWidth="1"/>
    <col min="12040" max="12040" width="0.85546875" style="3" customWidth="1"/>
    <col min="12041" max="12045" width="8.28515625" style="3" customWidth="1"/>
    <col min="12046" max="12046" width="0.85546875" style="3" customWidth="1"/>
    <col min="12047" max="12051" width="8.28515625" style="3" customWidth="1"/>
    <col min="12052" max="12052" width="0.85546875" style="3" customWidth="1"/>
    <col min="12053" max="12057" width="8.28515625" style="3" customWidth="1"/>
    <col min="12058" max="12058" width="0.85546875" style="3" customWidth="1"/>
    <col min="12059" max="12063" width="8.28515625" style="3" customWidth="1"/>
    <col min="12064" max="12064" width="0.85546875" style="3" customWidth="1"/>
    <col min="12065" max="12069" width="8.28515625" style="3" customWidth="1"/>
    <col min="12070" max="12070" width="0.85546875" style="3" customWidth="1"/>
    <col min="12071" max="12075" width="8.28515625" style="3" customWidth="1"/>
    <col min="12076" max="12076" width="0.85546875" style="3" customWidth="1"/>
    <col min="12077" max="12081" width="8.28515625" style="3" customWidth="1"/>
    <col min="12082" max="12082" width="0.85546875" style="3" customWidth="1"/>
    <col min="12083" max="12087" width="8.28515625" style="3" customWidth="1"/>
    <col min="12088" max="12088" width="0.85546875" style="3" customWidth="1"/>
    <col min="12089" max="12093" width="8.28515625" style="3" customWidth="1"/>
    <col min="12094" max="12094" width="0.85546875" style="3" customWidth="1"/>
    <col min="12095" max="12099" width="8.28515625" style="3" customWidth="1"/>
    <col min="12100" max="12100" width="0.85546875" style="3" customWidth="1"/>
    <col min="12101" max="12105" width="8.28515625" style="3" customWidth="1"/>
    <col min="12106" max="12106" width="0.85546875" style="3" customWidth="1"/>
    <col min="12107" max="12111" width="8.28515625" style="3" customWidth="1"/>
    <col min="12112" max="12112" width="0.85546875" style="3" customWidth="1"/>
    <col min="12113" max="12117" width="8.28515625" style="3" customWidth="1"/>
    <col min="12118" max="12118" width="0.85546875" style="3" customWidth="1"/>
    <col min="12119" max="12123" width="8.28515625" style="3" customWidth="1"/>
    <col min="12124" max="12126" width="9.140625" style="3" customWidth="1"/>
    <col min="12127" max="12127" width="23.7109375" style="3" customWidth="1"/>
    <col min="12128" max="12132" width="9.140625" style="3" customWidth="1"/>
    <col min="12133" max="12288" width="9.140625" style="3"/>
    <col min="12289" max="12289" width="25.7109375" style="3" customWidth="1"/>
    <col min="12290" max="12290" width="0.85546875" style="3" customWidth="1"/>
    <col min="12291" max="12295" width="8.28515625" style="3" customWidth="1"/>
    <col min="12296" max="12296" width="0.85546875" style="3" customWidth="1"/>
    <col min="12297" max="12301" width="8.28515625" style="3" customWidth="1"/>
    <col min="12302" max="12302" width="0.85546875" style="3" customWidth="1"/>
    <col min="12303" max="12307" width="8.28515625" style="3" customWidth="1"/>
    <col min="12308" max="12308" width="0.85546875" style="3" customWidth="1"/>
    <col min="12309" max="12313" width="8.28515625" style="3" customWidth="1"/>
    <col min="12314" max="12314" width="0.85546875" style="3" customWidth="1"/>
    <col min="12315" max="12319" width="8.28515625" style="3" customWidth="1"/>
    <col min="12320" max="12320" width="0.85546875" style="3" customWidth="1"/>
    <col min="12321" max="12325" width="8.28515625" style="3" customWidth="1"/>
    <col min="12326" max="12326" width="0.85546875" style="3" customWidth="1"/>
    <col min="12327" max="12331" width="8.28515625" style="3" customWidth="1"/>
    <col min="12332" max="12332" width="0.85546875" style="3" customWidth="1"/>
    <col min="12333" max="12337" width="8.28515625" style="3" customWidth="1"/>
    <col min="12338" max="12338" width="0.85546875" style="3" customWidth="1"/>
    <col min="12339" max="12343" width="8.28515625" style="3" customWidth="1"/>
    <col min="12344" max="12344" width="0.85546875" style="3" customWidth="1"/>
    <col min="12345" max="12349" width="8.28515625" style="3" customWidth="1"/>
    <col min="12350" max="12350" width="0.85546875" style="3" customWidth="1"/>
    <col min="12351" max="12355" width="8.28515625" style="3" customWidth="1"/>
    <col min="12356" max="12356" width="0.85546875" style="3" customWidth="1"/>
    <col min="12357" max="12361" width="8.28515625" style="3" customWidth="1"/>
    <col min="12362" max="12362" width="0.85546875" style="3" customWidth="1"/>
    <col min="12363" max="12367" width="8.28515625" style="3" customWidth="1"/>
    <col min="12368" max="12368" width="0.85546875" style="3" customWidth="1"/>
    <col min="12369" max="12373" width="8.28515625" style="3" customWidth="1"/>
    <col min="12374" max="12374" width="0.85546875" style="3" customWidth="1"/>
    <col min="12375" max="12379" width="8.28515625" style="3" customWidth="1"/>
    <col min="12380" max="12382" width="9.140625" style="3" customWidth="1"/>
    <col min="12383" max="12383" width="23.7109375" style="3" customWidth="1"/>
    <col min="12384" max="12388" width="9.140625" style="3" customWidth="1"/>
    <col min="12389" max="12544" width="9.140625" style="3"/>
    <col min="12545" max="12545" width="25.7109375" style="3" customWidth="1"/>
    <col min="12546" max="12546" width="0.85546875" style="3" customWidth="1"/>
    <col min="12547" max="12551" width="8.28515625" style="3" customWidth="1"/>
    <col min="12552" max="12552" width="0.85546875" style="3" customWidth="1"/>
    <col min="12553" max="12557" width="8.28515625" style="3" customWidth="1"/>
    <col min="12558" max="12558" width="0.85546875" style="3" customWidth="1"/>
    <col min="12559" max="12563" width="8.28515625" style="3" customWidth="1"/>
    <col min="12564" max="12564" width="0.85546875" style="3" customWidth="1"/>
    <col min="12565" max="12569" width="8.28515625" style="3" customWidth="1"/>
    <col min="12570" max="12570" width="0.85546875" style="3" customWidth="1"/>
    <col min="12571" max="12575" width="8.28515625" style="3" customWidth="1"/>
    <col min="12576" max="12576" width="0.85546875" style="3" customWidth="1"/>
    <col min="12577" max="12581" width="8.28515625" style="3" customWidth="1"/>
    <col min="12582" max="12582" width="0.85546875" style="3" customWidth="1"/>
    <col min="12583" max="12587" width="8.28515625" style="3" customWidth="1"/>
    <col min="12588" max="12588" width="0.85546875" style="3" customWidth="1"/>
    <col min="12589" max="12593" width="8.28515625" style="3" customWidth="1"/>
    <col min="12594" max="12594" width="0.85546875" style="3" customWidth="1"/>
    <col min="12595" max="12599" width="8.28515625" style="3" customWidth="1"/>
    <col min="12600" max="12600" width="0.85546875" style="3" customWidth="1"/>
    <col min="12601" max="12605" width="8.28515625" style="3" customWidth="1"/>
    <col min="12606" max="12606" width="0.85546875" style="3" customWidth="1"/>
    <col min="12607" max="12611" width="8.28515625" style="3" customWidth="1"/>
    <col min="12612" max="12612" width="0.85546875" style="3" customWidth="1"/>
    <col min="12613" max="12617" width="8.28515625" style="3" customWidth="1"/>
    <col min="12618" max="12618" width="0.85546875" style="3" customWidth="1"/>
    <col min="12619" max="12623" width="8.28515625" style="3" customWidth="1"/>
    <col min="12624" max="12624" width="0.85546875" style="3" customWidth="1"/>
    <col min="12625" max="12629" width="8.28515625" style="3" customWidth="1"/>
    <col min="12630" max="12630" width="0.85546875" style="3" customWidth="1"/>
    <col min="12631" max="12635" width="8.28515625" style="3" customWidth="1"/>
    <col min="12636" max="12638" width="9.140625" style="3" customWidth="1"/>
    <col min="12639" max="12639" width="23.7109375" style="3" customWidth="1"/>
    <col min="12640" max="12644" width="9.140625" style="3" customWidth="1"/>
    <col min="12645" max="12800" width="9.140625" style="3"/>
    <col min="12801" max="12801" width="25.7109375" style="3" customWidth="1"/>
    <col min="12802" max="12802" width="0.85546875" style="3" customWidth="1"/>
    <col min="12803" max="12807" width="8.28515625" style="3" customWidth="1"/>
    <col min="12808" max="12808" width="0.85546875" style="3" customWidth="1"/>
    <col min="12809" max="12813" width="8.28515625" style="3" customWidth="1"/>
    <col min="12814" max="12814" width="0.85546875" style="3" customWidth="1"/>
    <col min="12815" max="12819" width="8.28515625" style="3" customWidth="1"/>
    <col min="12820" max="12820" width="0.85546875" style="3" customWidth="1"/>
    <col min="12821" max="12825" width="8.28515625" style="3" customWidth="1"/>
    <col min="12826" max="12826" width="0.85546875" style="3" customWidth="1"/>
    <col min="12827" max="12831" width="8.28515625" style="3" customWidth="1"/>
    <col min="12832" max="12832" width="0.85546875" style="3" customWidth="1"/>
    <col min="12833" max="12837" width="8.28515625" style="3" customWidth="1"/>
    <col min="12838" max="12838" width="0.85546875" style="3" customWidth="1"/>
    <col min="12839" max="12843" width="8.28515625" style="3" customWidth="1"/>
    <col min="12844" max="12844" width="0.85546875" style="3" customWidth="1"/>
    <col min="12845" max="12849" width="8.28515625" style="3" customWidth="1"/>
    <col min="12850" max="12850" width="0.85546875" style="3" customWidth="1"/>
    <col min="12851" max="12855" width="8.28515625" style="3" customWidth="1"/>
    <col min="12856" max="12856" width="0.85546875" style="3" customWidth="1"/>
    <col min="12857" max="12861" width="8.28515625" style="3" customWidth="1"/>
    <col min="12862" max="12862" width="0.85546875" style="3" customWidth="1"/>
    <col min="12863" max="12867" width="8.28515625" style="3" customWidth="1"/>
    <col min="12868" max="12868" width="0.85546875" style="3" customWidth="1"/>
    <col min="12869" max="12873" width="8.28515625" style="3" customWidth="1"/>
    <col min="12874" max="12874" width="0.85546875" style="3" customWidth="1"/>
    <col min="12875" max="12879" width="8.28515625" style="3" customWidth="1"/>
    <col min="12880" max="12880" width="0.85546875" style="3" customWidth="1"/>
    <col min="12881" max="12885" width="8.28515625" style="3" customWidth="1"/>
    <col min="12886" max="12886" width="0.85546875" style="3" customWidth="1"/>
    <col min="12887" max="12891" width="8.28515625" style="3" customWidth="1"/>
    <col min="12892" max="12894" width="9.140625" style="3" customWidth="1"/>
    <col min="12895" max="12895" width="23.7109375" style="3" customWidth="1"/>
    <col min="12896" max="12900" width="9.140625" style="3" customWidth="1"/>
    <col min="12901" max="13056" width="9.140625" style="3"/>
    <col min="13057" max="13057" width="25.7109375" style="3" customWidth="1"/>
    <col min="13058" max="13058" width="0.85546875" style="3" customWidth="1"/>
    <col min="13059" max="13063" width="8.28515625" style="3" customWidth="1"/>
    <col min="13064" max="13064" width="0.85546875" style="3" customWidth="1"/>
    <col min="13065" max="13069" width="8.28515625" style="3" customWidth="1"/>
    <col min="13070" max="13070" width="0.85546875" style="3" customWidth="1"/>
    <col min="13071" max="13075" width="8.28515625" style="3" customWidth="1"/>
    <col min="13076" max="13076" width="0.85546875" style="3" customWidth="1"/>
    <col min="13077" max="13081" width="8.28515625" style="3" customWidth="1"/>
    <col min="13082" max="13082" width="0.85546875" style="3" customWidth="1"/>
    <col min="13083" max="13087" width="8.28515625" style="3" customWidth="1"/>
    <col min="13088" max="13088" width="0.85546875" style="3" customWidth="1"/>
    <col min="13089" max="13093" width="8.28515625" style="3" customWidth="1"/>
    <col min="13094" max="13094" width="0.85546875" style="3" customWidth="1"/>
    <col min="13095" max="13099" width="8.28515625" style="3" customWidth="1"/>
    <col min="13100" max="13100" width="0.85546875" style="3" customWidth="1"/>
    <col min="13101" max="13105" width="8.28515625" style="3" customWidth="1"/>
    <col min="13106" max="13106" width="0.85546875" style="3" customWidth="1"/>
    <col min="13107" max="13111" width="8.28515625" style="3" customWidth="1"/>
    <col min="13112" max="13112" width="0.85546875" style="3" customWidth="1"/>
    <col min="13113" max="13117" width="8.28515625" style="3" customWidth="1"/>
    <col min="13118" max="13118" width="0.85546875" style="3" customWidth="1"/>
    <col min="13119" max="13123" width="8.28515625" style="3" customWidth="1"/>
    <col min="13124" max="13124" width="0.85546875" style="3" customWidth="1"/>
    <col min="13125" max="13129" width="8.28515625" style="3" customWidth="1"/>
    <col min="13130" max="13130" width="0.85546875" style="3" customWidth="1"/>
    <col min="13131" max="13135" width="8.28515625" style="3" customWidth="1"/>
    <col min="13136" max="13136" width="0.85546875" style="3" customWidth="1"/>
    <col min="13137" max="13141" width="8.28515625" style="3" customWidth="1"/>
    <col min="13142" max="13142" width="0.85546875" style="3" customWidth="1"/>
    <col min="13143" max="13147" width="8.28515625" style="3" customWidth="1"/>
    <col min="13148" max="13150" width="9.140625" style="3" customWidth="1"/>
    <col min="13151" max="13151" width="23.7109375" style="3" customWidth="1"/>
    <col min="13152" max="13156" width="9.140625" style="3" customWidth="1"/>
    <col min="13157" max="13312" width="9.140625" style="3"/>
    <col min="13313" max="13313" width="25.7109375" style="3" customWidth="1"/>
    <col min="13314" max="13314" width="0.85546875" style="3" customWidth="1"/>
    <col min="13315" max="13319" width="8.28515625" style="3" customWidth="1"/>
    <col min="13320" max="13320" width="0.85546875" style="3" customWidth="1"/>
    <col min="13321" max="13325" width="8.28515625" style="3" customWidth="1"/>
    <col min="13326" max="13326" width="0.85546875" style="3" customWidth="1"/>
    <col min="13327" max="13331" width="8.28515625" style="3" customWidth="1"/>
    <col min="13332" max="13332" width="0.85546875" style="3" customWidth="1"/>
    <col min="13333" max="13337" width="8.28515625" style="3" customWidth="1"/>
    <col min="13338" max="13338" width="0.85546875" style="3" customWidth="1"/>
    <col min="13339" max="13343" width="8.28515625" style="3" customWidth="1"/>
    <col min="13344" max="13344" width="0.85546875" style="3" customWidth="1"/>
    <col min="13345" max="13349" width="8.28515625" style="3" customWidth="1"/>
    <col min="13350" max="13350" width="0.85546875" style="3" customWidth="1"/>
    <col min="13351" max="13355" width="8.28515625" style="3" customWidth="1"/>
    <col min="13356" max="13356" width="0.85546875" style="3" customWidth="1"/>
    <col min="13357" max="13361" width="8.28515625" style="3" customWidth="1"/>
    <col min="13362" max="13362" width="0.85546875" style="3" customWidth="1"/>
    <col min="13363" max="13367" width="8.28515625" style="3" customWidth="1"/>
    <col min="13368" max="13368" width="0.85546875" style="3" customWidth="1"/>
    <col min="13369" max="13373" width="8.28515625" style="3" customWidth="1"/>
    <col min="13374" max="13374" width="0.85546875" style="3" customWidth="1"/>
    <col min="13375" max="13379" width="8.28515625" style="3" customWidth="1"/>
    <col min="13380" max="13380" width="0.85546875" style="3" customWidth="1"/>
    <col min="13381" max="13385" width="8.28515625" style="3" customWidth="1"/>
    <col min="13386" max="13386" width="0.85546875" style="3" customWidth="1"/>
    <col min="13387" max="13391" width="8.28515625" style="3" customWidth="1"/>
    <col min="13392" max="13392" width="0.85546875" style="3" customWidth="1"/>
    <col min="13393" max="13397" width="8.28515625" style="3" customWidth="1"/>
    <col min="13398" max="13398" width="0.85546875" style="3" customWidth="1"/>
    <col min="13399" max="13403" width="8.28515625" style="3" customWidth="1"/>
    <col min="13404" max="13406" width="9.140625" style="3" customWidth="1"/>
    <col min="13407" max="13407" width="23.7109375" style="3" customWidth="1"/>
    <col min="13408" max="13412" width="9.140625" style="3" customWidth="1"/>
    <col min="13413" max="13568" width="9.140625" style="3"/>
    <col min="13569" max="13569" width="25.7109375" style="3" customWidth="1"/>
    <col min="13570" max="13570" width="0.85546875" style="3" customWidth="1"/>
    <col min="13571" max="13575" width="8.28515625" style="3" customWidth="1"/>
    <col min="13576" max="13576" width="0.85546875" style="3" customWidth="1"/>
    <col min="13577" max="13581" width="8.28515625" style="3" customWidth="1"/>
    <col min="13582" max="13582" width="0.85546875" style="3" customWidth="1"/>
    <col min="13583" max="13587" width="8.28515625" style="3" customWidth="1"/>
    <col min="13588" max="13588" width="0.85546875" style="3" customWidth="1"/>
    <col min="13589" max="13593" width="8.28515625" style="3" customWidth="1"/>
    <col min="13594" max="13594" width="0.85546875" style="3" customWidth="1"/>
    <col min="13595" max="13599" width="8.28515625" style="3" customWidth="1"/>
    <col min="13600" max="13600" width="0.85546875" style="3" customWidth="1"/>
    <col min="13601" max="13605" width="8.28515625" style="3" customWidth="1"/>
    <col min="13606" max="13606" width="0.85546875" style="3" customWidth="1"/>
    <col min="13607" max="13611" width="8.28515625" style="3" customWidth="1"/>
    <col min="13612" max="13612" width="0.85546875" style="3" customWidth="1"/>
    <col min="13613" max="13617" width="8.28515625" style="3" customWidth="1"/>
    <col min="13618" max="13618" width="0.85546875" style="3" customWidth="1"/>
    <col min="13619" max="13623" width="8.28515625" style="3" customWidth="1"/>
    <col min="13624" max="13624" width="0.85546875" style="3" customWidth="1"/>
    <col min="13625" max="13629" width="8.28515625" style="3" customWidth="1"/>
    <col min="13630" max="13630" width="0.85546875" style="3" customWidth="1"/>
    <col min="13631" max="13635" width="8.28515625" style="3" customWidth="1"/>
    <col min="13636" max="13636" width="0.85546875" style="3" customWidth="1"/>
    <col min="13637" max="13641" width="8.28515625" style="3" customWidth="1"/>
    <col min="13642" max="13642" width="0.85546875" style="3" customWidth="1"/>
    <col min="13643" max="13647" width="8.28515625" style="3" customWidth="1"/>
    <col min="13648" max="13648" width="0.85546875" style="3" customWidth="1"/>
    <col min="13649" max="13653" width="8.28515625" style="3" customWidth="1"/>
    <col min="13654" max="13654" width="0.85546875" style="3" customWidth="1"/>
    <col min="13655" max="13659" width="8.28515625" style="3" customWidth="1"/>
    <col min="13660" max="13662" width="9.140625" style="3" customWidth="1"/>
    <col min="13663" max="13663" width="23.7109375" style="3" customWidth="1"/>
    <col min="13664" max="13668" width="9.140625" style="3" customWidth="1"/>
    <col min="13669" max="13824" width="9.140625" style="3"/>
    <col min="13825" max="13825" width="25.7109375" style="3" customWidth="1"/>
    <col min="13826" max="13826" width="0.85546875" style="3" customWidth="1"/>
    <col min="13827" max="13831" width="8.28515625" style="3" customWidth="1"/>
    <col min="13832" max="13832" width="0.85546875" style="3" customWidth="1"/>
    <col min="13833" max="13837" width="8.28515625" style="3" customWidth="1"/>
    <col min="13838" max="13838" width="0.85546875" style="3" customWidth="1"/>
    <col min="13839" max="13843" width="8.28515625" style="3" customWidth="1"/>
    <col min="13844" max="13844" width="0.85546875" style="3" customWidth="1"/>
    <col min="13845" max="13849" width="8.28515625" style="3" customWidth="1"/>
    <col min="13850" max="13850" width="0.85546875" style="3" customWidth="1"/>
    <col min="13851" max="13855" width="8.28515625" style="3" customWidth="1"/>
    <col min="13856" max="13856" width="0.85546875" style="3" customWidth="1"/>
    <col min="13857" max="13861" width="8.28515625" style="3" customWidth="1"/>
    <col min="13862" max="13862" width="0.85546875" style="3" customWidth="1"/>
    <col min="13863" max="13867" width="8.28515625" style="3" customWidth="1"/>
    <col min="13868" max="13868" width="0.85546875" style="3" customWidth="1"/>
    <col min="13869" max="13873" width="8.28515625" style="3" customWidth="1"/>
    <col min="13874" max="13874" width="0.85546875" style="3" customWidth="1"/>
    <col min="13875" max="13879" width="8.28515625" style="3" customWidth="1"/>
    <col min="13880" max="13880" width="0.85546875" style="3" customWidth="1"/>
    <col min="13881" max="13885" width="8.28515625" style="3" customWidth="1"/>
    <col min="13886" max="13886" width="0.85546875" style="3" customWidth="1"/>
    <col min="13887" max="13891" width="8.28515625" style="3" customWidth="1"/>
    <col min="13892" max="13892" width="0.85546875" style="3" customWidth="1"/>
    <col min="13893" max="13897" width="8.28515625" style="3" customWidth="1"/>
    <col min="13898" max="13898" width="0.85546875" style="3" customWidth="1"/>
    <col min="13899" max="13903" width="8.28515625" style="3" customWidth="1"/>
    <col min="13904" max="13904" width="0.85546875" style="3" customWidth="1"/>
    <col min="13905" max="13909" width="8.28515625" style="3" customWidth="1"/>
    <col min="13910" max="13910" width="0.85546875" style="3" customWidth="1"/>
    <col min="13911" max="13915" width="8.28515625" style="3" customWidth="1"/>
    <col min="13916" max="13918" width="9.140625" style="3" customWidth="1"/>
    <col min="13919" max="13919" width="23.7109375" style="3" customWidth="1"/>
    <col min="13920" max="13924" width="9.140625" style="3" customWidth="1"/>
    <col min="13925" max="14080" width="9.140625" style="3"/>
    <col min="14081" max="14081" width="25.7109375" style="3" customWidth="1"/>
    <col min="14082" max="14082" width="0.85546875" style="3" customWidth="1"/>
    <col min="14083" max="14087" width="8.28515625" style="3" customWidth="1"/>
    <col min="14088" max="14088" width="0.85546875" style="3" customWidth="1"/>
    <col min="14089" max="14093" width="8.28515625" style="3" customWidth="1"/>
    <col min="14094" max="14094" width="0.85546875" style="3" customWidth="1"/>
    <col min="14095" max="14099" width="8.28515625" style="3" customWidth="1"/>
    <col min="14100" max="14100" width="0.85546875" style="3" customWidth="1"/>
    <col min="14101" max="14105" width="8.28515625" style="3" customWidth="1"/>
    <col min="14106" max="14106" width="0.85546875" style="3" customWidth="1"/>
    <col min="14107" max="14111" width="8.28515625" style="3" customWidth="1"/>
    <col min="14112" max="14112" width="0.85546875" style="3" customWidth="1"/>
    <col min="14113" max="14117" width="8.28515625" style="3" customWidth="1"/>
    <col min="14118" max="14118" width="0.85546875" style="3" customWidth="1"/>
    <col min="14119" max="14123" width="8.28515625" style="3" customWidth="1"/>
    <col min="14124" max="14124" width="0.85546875" style="3" customWidth="1"/>
    <col min="14125" max="14129" width="8.28515625" style="3" customWidth="1"/>
    <col min="14130" max="14130" width="0.85546875" style="3" customWidth="1"/>
    <col min="14131" max="14135" width="8.28515625" style="3" customWidth="1"/>
    <col min="14136" max="14136" width="0.85546875" style="3" customWidth="1"/>
    <col min="14137" max="14141" width="8.28515625" style="3" customWidth="1"/>
    <col min="14142" max="14142" width="0.85546875" style="3" customWidth="1"/>
    <col min="14143" max="14147" width="8.28515625" style="3" customWidth="1"/>
    <col min="14148" max="14148" width="0.85546875" style="3" customWidth="1"/>
    <col min="14149" max="14153" width="8.28515625" style="3" customWidth="1"/>
    <col min="14154" max="14154" width="0.85546875" style="3" customWidth="1"/>
    <col min="14155" max="14159" width="8.28515625" style="3" customWidth="1"/>
    <col min="14160" max="14160" width="0.85546875" style="3" customWidth="1"/>
    <col min="14161" max="14165" width="8.28515625" style="3" customWidth="1"/>
    <col min="14166" max="14166" width="0.85546875" style="3" customWidth="1"/>
    <col min="14167" max="14171" width="8.28515625" style="3" customWidth="1"/>
    <col min="14172" max="14174" width="9.140625" style="3" customWidth="1"/>
    <col min="14175" max="14175" width="23.7109375" style="3" customWidth="1"/>
    <col min="14176" max="14180" width="9.140625" style="3" customWidth="1"/>
    <col min="14181" max="14336" width="9.140625" style="3"/>
    <col min="14337" max="14337" width="25.7109375" style="3" customWidth="1"/>
    <col min="14338" max="14338" width="0.85546875" style="3" customWidth="1"/>
    <col min="14339" max="14343" width="8.28515625" style="3" customWidth="1"/>
    <col min="14344" max="14344" width="0.85546875" style="3" customWidth="1"/>
    <col min="14345" max="14349" width="8.28515625" style="3" customWidth="1"/>
    <col min="14350" max="14350" width="0.85546875" style="3" customWidth="1"/>
    <col min="14351" max="14355" width="8.28515625" style="3" customWidth="1"/>
    <col min="14356" max="14356" width="0.85546875" style="3" customWidth="1"/>
    <col min="14357" max="14361" width="8.28515625" style="3" customWidth="1"/>
    <col min="14362" max="14362" width="0.85546875" style="3" customWidth="1"/>
    <col min="14363" max="14367" width="8.28515625" style="3" customWidth="1"/>
    <col min="14368" max="14368" width="0.85546875" style="3" customWidth="1"/>
    <col min="14369" max="14373" width="8.28515625" style="3" customWidth="1"/>
    <col min="14374" max="14374" width="0.85546875" style="3" customWidth="1"/>
    <col min="14375" max="14379" width="8.28515625" style="3" customWidth="1"/>
    <col min="14380" max="14380" width="0.85546875" style="3" customWidth="1"/>
    <col min="14381" max="14385" width="8.28515625" style="3" customWidth="1"/>
    <col min="14386" max="14386" width="0.85546875" style="3" customWidth="1"/>
    <col min="14387" max="14391" width="8.28515625" style="3" customWidth="1"/>
    <col min="14392" max="14392" width="0.85546875" style="3" customWidth="1"/>
    <col min="14393" max="14397" width="8.28515625" style="3" customWidth="1"/>
    <col min="14398" max="14398" width="0.85546875" style="3" customWidth="1"/>
    <col min="14399" max="14403" width="8.28515625" style="3" customWidth="1"/>
    <col min="14404" max="14404" width="0.85546875" style="3" customWidth="1"/>
    <col min="14405" max="14409" width="8.28515625" style="3" customWidth="1"/>
    <col min="14410" max="14410" width="0.85546875" style="3" customWidth="1"/>
    <col min="14411" max="14415" width="8.28515625" style="3" customWidth="1"/>
    <col min="14416" max="14416" width="0.85546875" style="3" customWidth="1"/>
    <col min="14417" max="14421" width="8.28515625" style="3" customWidth="1"/>
    <col min="14422" max="14422" width="0.85546875" style="3" customWidth="1"/>
    <col min="14423" max="14427" width="8.28515625" style="3" customWidth="1"/>
    <col min="14428" max="14430" width="9.140625" style="3" customWidth="1"/>
    <col min="14431" max="14431" width="23.7109375" style="3" customWidth="1"/>
    <col min="14432" max="14436" width="9.140625" style="3" customWidth="1"/>
    <col min="14437" max="14592" width="9.140625" style="3"/>
    <col min="14593" max="14593" width="25.7109375" style="3" customWidth="1"/>
    <col min="14594" max="14594" width="0.85546875" style="3" customWidth="1"/>
    <col min="14595" max="14599" width="8.28515625" style="3" customWidth="1"/>
    <col min="14600" max="14600" width="0.85546875" style="3" customWidth="1"/>
    <col min="14601" max="14605" width="8.28515625" style="3" customWidth="1"/>
    <col min="14606" max="14606" width="0.85546875" style="3" customWidth="1"/>
    <col min="14607" max="14611" width="8.28515625" style="3" customWidth="1"/>
    <col min="14612" max="14612" width="0.85546875" style="3" customWidth="1"/>
    <col min="14613" max="14617" width="8.28515625" style="3" customWidth="1"/>
    <col min="14618" max="14618" width="0.85546875" style="3" customWidth="1"/>
    <col min="14619" max="14623" width="8.28515625" style="3" customWidth="1"/>
    <col min="14624" max="14624" width="0.85546875" style="3" customWidth="1"/>
    <col min="14625" max="14629" width="8.28515625" style="3" customWidth="1"/>
    <col min="14630" max="14630" width="0.85546875" style="3" customWidth="1"/>
    <col min="14631" max="14635" width="8.28515625" style="3" customWidth="1"/>
    <col min="14636" max="14636" width="0.85546875" style="3" customWidth="1"/>
    <col min="14637" max="14641" width="8.28515625" style="3" customWidth="1"/>
    <col min="14642" max="14642" width="0.85546875" style="3" customWidth="1"/>
    <col min="14643" max="14647" width="8.28515625" style="3" customWidth="1"/>
    <col min="14648" max="14648" width="0.85546875" style="3" customWidth="1"/>
    <col min="14649" max="14653" width="8.28515625" style="3" customWidth="1"/>
    <col min="14654" max="14654" width="0.85546875" style="3" customWidth="1"/>
    <col min="14655" max="14659" width="8.28515625" style="3" customWidth="1"/>
    <col min="14660" max="14660" width="0.85546875" style="3" customWidth="1"/>
    <col min="14661" max="14665" width="8.28515625" style="3" customWidth="1"/>
    <col min="14666" max="14666" width="0.85546875" style="3" customWidth="1"/>
    <col min="14667" max="14671" width="8.28515625" style="3" customWidth="1"/>
    <col min="14672" max="14672" width="0.85546875" style="3" customWidth="1"/>
    <col min="14673" max="14677" width="8.28515625" style="3" customWidth="1"/>
    <col min="14678" max="14678" width="0.85546875" style="3" customWidth="1"/>
    <col min="14679" max="14683" width="8.28515625" style="3" customWidth="1"/>
    <col min="14684" max="14686" width="9.140625" style="3" customWidth="1"/>
    <col min="14687" max="14687" width="23.7109375" style="3" customWidth="1"/>
    <col min="14688" max="14692" width="9.140625" style="3" customWidth="1"/>
    <col min="14693" max="14848" width="9.140625" style="3"/>
    <col min="14849" max="14849" width="25.7109375" style="3" customWidth="1"/>
    <col min="14850" max="14850" width="0.85546875" style="3" customWidth="1"/>
    <col min="14851" max="14855" width="8.28515625" style="3" customWidth="1"/>
    <col min="14856" max="14856" width="0.85546875" style="3" customWidth="1"/>
    <col min="14857" max="14861" width="8.28515625" style="3" customWidth="1"/>
    <col min="14862" max="14862" width="0.85546875" style="3" customWidth="1"/>
    <col min="14863" max="14867" width="8.28515625" style="3" customWidth="1"/>
    <col min="14868" max="14868" width="0.85546875" style="3" customWidth="1"/>
    <col min="14869" max="14873" width="8.28515625" style="3" customWidth="1"/>
    <col min="14874" max="14874" width="0.85546875" style="3" customWidth="1"/>
    <col min="14875" max="14879" width="8.28515625" style="3" customWidth="1"/>
    <col min="14880" max="14880" width="0.85546875" style="3" customWidth="1"/>
    <col min="14881" max="14885" width="8.28515625" style="3" customWidth="1"/>
    <col min="14886" max="14886" width="0.85546875" style="3" customWidth="1"/>
    <col min="14887" max="14891" width="8.28515625" style="3" customWidth="1"/>
    <col min="14892" max="14892" width="0.85546875" style="3" customWidth="1"/>
    <col min="14893" max="14897" width="8.28515625" style="3" customWidth="1"/>
    <col min="14898" max="14898" width="0.85546875" style="3" customWidth="1"/>
    <col min="14899" max="14903" width="8.28515625" style="3" customWidth="1"/>
    <col min="14904" max="14904" width="0.85546875" style="3" customWidth="1"/>
    <col min="14905" max="14909" width="8.28515625" style="3" customWidth="1"/>
    <col min="14910" max="14910" width="0.85546875" style="3" customWidth="1"/>
    <col min="14911" max="14915" width="8.28515625" style="3" customWidth="1"/>
    <col min="14916" max="14916" width="0.85546875" style="3" customWidth="1"/>
    <col min="14917" max="14921" width="8.28515625" style="3" customWidth="1"/>
    <col min="14922" max="14922" width="0.85546875" style="3" customWidth="1"/>
    <col min="14923" max="14927" width="8.28515625" style="3" customWidth="1"/>
    <col min="14928" max="14928" width="0.85546875" style="3" customWidth="1"/>
    <col min="14929" max="14933" width="8.28515625" style="3" customWidth="1"/>
    <col min="14934" max="14934" width="0.85546875" style="3" customWidth="1"/>
    <col min="14935" max="14939" width="8.28515625" style="3" customWidth="1"/>
    <col min="14940" max="14942" width="9.140625" style="3" customWidth="1"/>
    <col min="14943" max="14943" width="23.7109375" style="3" customWidth="1"/>
    <col min="14944" max="14948" width="9.140625" style="3" customWidth="1"/>
    <col min="14949" max="15104" width="9.140625" style="3"/>
    <col min="15105" max="15105" width="25.7109375" style="3" customWidth="1"/>
    <col min="15106" max="15106" width="0.85546875" style="3" customWidth="1"/>
    <col min="15107" max="15111" width="8.28515625" style="3" customWidth="1"/>
    <col min="15112" max="15112" width="0.85546875" style="3" customWidth="1"/>
    <col min="15113" max="15117" width="8.28515625" style="3" customWidth="1"/>
    <col min="15118" max="15118" width="0.85546875" style="3" customWidth="1"/>
    <col min="15119" max="15123" width="8.28515625" style="3" customWidth="1"/>
    <col min="15124" max="15124" width="0.85546875" style="3" customWidth="1"/>
    <col min="15125" max="15129" width="8.28515625" style="3" customWidth="1"/>
    <col min="15130" max="15130" width="0.85546875" style="3" customWidth="1"/>
    <col min="15131" max="15135" width="8.28515625" style="3" customWidth="1"/>
    <col min="15136" max="15136" width="0.85546875" style="3" customWidth="1"/>
    <col min="15137" max="15141" width="8.28515625" style="3" customWidth="1"/>
    <col min="15142" max="15142" width="0.85546875" style="3" customWidth="1"/>
    <col min="15143" max="15147" width="8.28515625" style="3" customWidth="1"/>
    <col min="15148" max="15148" width="0.85546875" style="3" customWidth="1"/>
    <col min="15149" max="15153" width="8.28515625" style="3" customWidth="1"/>
    <col min="15154" max="15154" width="0.85546875" style="3" customWidth="1"/>
    <col min="15155" max="15159" width="8.28515625" style="3" customWidth="1"/>
    <col min="15160" max="15160" width="0.85546875" style="3" customWidth="1"/>
    <col min="15161" max="15165" width="8.28515625" style="3" customWidth="1"/>
    <col min="15166" max="15166" width="0.85546875" style="3" customWidth="1"/>
    <col min="15167" max="15171" width="8.28515625" style="3" customWidth="1"/>
    <col min="15172" max="15172" width="0.85546875" style="3" customWidth="1"/>
    <col min="15173" max="15177" width="8.28515625" style="3" customWidth="1"/>
    <col min="15178" max="15178" width="0.85546875" style="3" customWidth="1"/>
    <col min="15179" max="15183" width="8.28515625" style="3" customWidth="1"/>
    <col min="15184" max="15184" width="0.85546875" style="3" customWidth="1"/>
    <col min="15185" max="15189" width="8.28515625" style="3" customWidth="1"/>
    <col min="15190" max="15190" width="0.85546875" style="3" customWidth="1"/>
    <col min="15191" max="15195" width="8.28515625" style="3" customWidth="1"/>
    <col min="15196" max="15198" width="9.140625" style="3" customWidth="1"/>
    <col min="15199" max="15199" width="23.7109375" style="3" customWidth="1"/>
    <col min="15200" max="15204" width="9.140625" style="3" customWidth="1"/>
    <col min="15205" max="15360" width="9.140625" style="3"/>
    <col min="15361" max="15361" width="25.7109375" style="3" customWidth="1"/>
    <col min="15362" max="15362" width="0.85546875" style="3" customWidth="1"/>
    <col min="15363" max="15367" width="8.28515625" style="3" customWidth="1"/>
    <col min="15368" max="15368" width="0.85546875" style="3" customWidth="1"/>
    <col min="15369" max="15373" width="8.28515625" style="3" customWidth="1"/>
    <col min="15374" max="15374" width="0.85546875" style="3" customWidth="1"/>
    <col min="15375" max="15379" width="8.28515625" style="3" customWidth="1"/>
    <col min="15380" max="15380" width="0.85546875" style="3" customWidth="1"/>
    <col min="15381" max="15385" width="8.28515625" style="3" customWidth="1"/>
    <col min="15386" max="15386" width="0.85546875" style="3" customWidth="1"/>
    <col min="15387" max="15391" width="8.28515625" style="3" customWidth="1"/>
    <col min="15392" max="15392" width="0.85546875" style="3" customWidth="1"/>
    <col min="15393" max="15397" width="8.28515625" style="3" customWidth="1"/>
    <col min="15398" max="15398" width="0.85546875" style="3" customWidth="1"/>
    <col min="15399" max="15403" width="8.28515625" style="3" customWidth="1"/>
    <col min="15404" max="15404" width="0.85546875" style="3" customWidth="1"/>
    <col min="15405" max="15409" width="8.28515625" style="3" customWidth="1"/>
    <col min="15410" max="15410" width="0.85546875" style="3" customWidth="1"/>
    <col min="15411" max="15415" width="8.28515625" style="3" customWidth="1"/>
    <col min="15416" max="15416" width="0.85546875" style="3" customWidth="1"/>
    <col min="15417" max="15421" width="8.28515625" style="3" customWidth="1"/>
    <col min="15422" max="15422" width="0.85546875" style="3" customWidth="1"/>
    <col min="15423" max="15427" width="8.28515625" style="3" customWidth="1"/>
    <col min="15428" max="15428" width="0.85546875" style="3" customWidth="1"/>
    <col min="15429" max="15433" width="8.28515625" style="3" customWidth="1"/>
    <col min="15434" max="15434" width="0.85546875" style="3" customWidth="1"/>
    <col min="15435" max="15439" width="8.28515625" style="3" customWidth="1"/>
    <col min="15440" max="15440" width="0.85546875" style="3" customWidth="1"/>
    <col min="15441" max="15445" width="8.28515625" style="3" customWidth="1"/>
    <col min="15446" max="15446" width="0.85546875" style="3" customWidth="1"/>
    <col min="15447" max="15451" width="8.28515625" style="3" customWidth="1"/>
    <col min="15452" max="15454" width="9.140625" style="3" customWidth="1"/>
    <col min="15455" max="15455" width="23.7109375" style="3" customWidth="1"/>
    <col min="15456" max="15460" width="9.140625" style="3" customWidth="1"/>
    <col min="15461" max="15616" width="9.140625" style="3"/>
    <col min="15617" max="15617" width="25.7109375" style="3" customWidth="1"/>
    <col min="15618" max="15618" width="0.85546875" style="3" customWidth="1"/>
    <col min="15619" max="15623" width="8.28515625" style="3" customWidth="1"/>
    <col min="15624" max="15624" width="0.85546875" style="3" customWidth="1"/>
    <col min="15625" max="15629" width="8.28515625" style="3" customWidth="1"/>
    <col min="15630" max="15630" width="0.85546875" style="3" customWidth="1"/>
    <col min="15631" max="15635" width="8.28515625" style="3" customWidth="1"/>
    <col min="15636" max="15636" width="0.85546875" style="3" customWidth="1"/>
    <col min="15637" max="15641" width="8.28515625" style="3" customWidth="1"/>
    <col min="15642" max="15642" width="0.85546875" style="3" customWidth="1"/>
    <col min="15643" max="15647" width="8.28515625" style="3" customWidth="1"/>
    <col min="15648" max="15648" width="0.85546875" style="3" customWidth="1"/>
    <col min="15649" max="15653" width="8.28515625" style="3" customWidth="1"/>
    <col min="15654" max="15654" width="0.85546875" style="3" customWidth="1"/>
    <col min="15655" max="15659" width="8.28515625" style="3" customWidth="1"/>
    <col min="15660" max="15660" width="0.85546875" style="3" customWidth="1"/>
    <col min="15661" max="15665" width="8.28515625" style="3" customWidth="1"/>
    <col min="15666" max="15666" width="0.85546875" style="3" customWidth="1"/>
    <col min="15667" max="15671" width="8.28515625" style="3" customWidth="1"/>
    <col min="15672" max="15672" width="0.85546875" style="3" customWidth="1"/>
    <col min="15673" max="15677" width="8.28515625" style="3" customWidth="1"/>
    <col min="15678" max="15678" width="0.85546875" style="3" customWidth="1"/>
    <col min="15679" max="15683" width="8.28515625" style="3" customWidth="1"/>
    <col min="15684" max="15684" width="0.85546875" style="3" customWidth="1"/>
    <col min="15685" max="15689" width="8.28515625" style="3" customWidth="1"/>
    <col min="15690" max="15690" width="0.85546875" style="3" customWidth="1"/>
    <col min="15691" max="15695" width="8.28515625" style="3" customWidth="1"/>
    <col min="15696" max="15696" width="0.85546875" style="3" customWidth="1"/>
    <col min="15697" max="15701" width="8.28515625" style="3" customWidth="1"/>
    <col min="15702" max="15702" width="0.85546875" style="3" customWidth="1"/>
    <col min="15703" max="15707" width="8.28515625" style="3" customWidth="1"/>
    <col min="15708" max="15710" width="9.140625" style="3" customWidth="1"/>
    <col min="15711" max="15711" width="23.7109375" style="3" customWidth="1"/>
    <col min="15712" max="15716" width="9.140625" style="3" customWidth="1"/>
    <col min="15717" max="15872" width="9.140625" style="3"/>
    <col min="15873" max="15873" width="25.7109375" style="3" customWidth="1"/>
    <col min="15874" max="15874" width="0.85546875" style="3" customWidth="1"/>
    <col min="15875" max="15879" width="8.28515625" style="3" customWidth="1"/>
    <col min="15880" max="15880" width="0.85546875" style="3" customWidth="1"/>
    <col min="15881" max="15885" width="8.28515625" style="3" customWidth="1"/>
    <col min="15886" max="15886" width="0.85546875" style="3" customWidth="1"/>
    <col min="15887" max="15891" width="8.28515625" style="3" customWidth="1"/>
    <col min="15892" max="15892" width="0.85546875" style="3" customWidth="1"/>
    <col min="15893" max="15897" width="8.28515625" style="3" customWidth="1"/>
    <col min="15898" max="15898" width="0.85546875" style="3" customWidth="1"/>
    <col min="15899" max="15903" width="8.28515625" style="3" customWidth="1"/>
    <col min="15904" max="15904" width="0.85546875" style="3" customWidth="1"/>
    <col min="15905" max="15909" width="8.28515625" style="3" customWidth="1"/>
    <col min="15910" max="15910" width="0.85546875" style="3" customWidth="1"/>
    <col min="15911" max="15915" width="8.28515625" style="3" customWidth="1"/>
    <col min="15916" max="15916" width="0.85546875" style="3" customWidth="1"/>
    <col min="15917" max="15921" width="8.28515625" style="3" customWidth="1"/>
    <col min="15922" max="15922" width="0.85546875" style="3" customWidth="1"/>
    <col min="15923" max="15927" width="8.28515625" style="3" customWidth="1"/>
    <col min="15928" max="15928" width="0.85546875" style="3" customWidth="1"/>
    <col min="15929" max="15933" width="8.28515625" style="3" customWidth="1"/>
    <col min="15934" max="15934" width="0.85546875" style="3" customWidth="1"/>
    <col min="15935" max="15939" width="8.28515625" style="3" customWidth="1"/>
    <col min="15940" max="15940" width="0.85546875" style="3" customWidth="1"/>
    <col min="15941" max="15945" width="8.28515625" style="3" customWidth="1"/>
    <col min="15946" max="15946" width="0.85546875" style="3" customWidth="1"/>
    <col min="15947" max="15951" width="8.28515625" style="3" customWidth="1"/>
    <col min="15952" max="15952" width="0.85546875" style="3" customWidth="1"/>
    <col min="15953" max="15957" width="8.28515625" style="3" customWidth="1"/>
    <col min="15958" max="15958" width="0.85546875" style="3" customWidth="1"/>
    <col min="15959" max="15963" width="8.28515625" style="3" customWidth="1"/>
    <col min="15964" max="15966" width="9.140625" style="3" customWidth="1"/>
    <col min="15967" max="15967" width="23.7109375" style="3" customWidth="1"/>
    <col min="15968" max="15972" width="9.140625" style="3" customWidth="1"/>
    <col min="15973" max="16128" width="9.140625" style="3"/>
    <col min="16129" max="16129" width="25.7109375" style="3" customWidth="1"/>
    <col min="16130" max="16130" width="0.85546875" style="3" customWidth="1"/>
    <col min="16131" max="16135" width="8.28515625" style="3" customWidth="1"/>
    <col min="16136" max="16136" width="0.85546875" style="3" customWidth="1"/>
    <col min="16137" max="16141" width="8.28515625" style="3" customWidth="1"/>
    <col min="16142" max="16142" width="0.85546875" style="3" customWidth="1"/>
    <col min="16143" max="16147" width="8.28515625" style="3" customWidth="1"/>
    <col min="16148" max="16148" width="0.85546875" style="3" customWidth="1"/>
    <col min="16149" max="16153" width="8.28515625" style="3" customWidth="1"/>
    <col min="16154" max="16154" width="0.85546875" style="3" customWidth="1"/>
    <col min="16155" max="16159" width="8.28515625" style="3" customWidth="1"/>
    <col min="16160" max="16160" width="0.85546875" style="3" customWidth="1"/>
    <col min="16161" max="16165" width="8.28515625" style="3" customWidth="1"/>
    <col min="16166" max="16166" width="0.85546875" style="3" customWidth="1"/>
    <col min="16167" max="16171" width="8.28515625" style="3" customWidth="1"/>
    <col min="16172" max="16172" width="0.85546875" style="3" customWidth="1"/>
    <col min="16173" max="16177" width="8.28515625" style="3" customWidth="1"/>
    <col min="16178" max="16178" width="0.85546875" style="3" customWidth="1"/>
    <col min="16179" max="16183" width="8.28515625" style="3" customWidth="1"/>
    <col min="16184" max="16184" width="0.85546875" style="3" customWidth="1"/>
    <col min="16185" max="16189" width="8.28515625" style="3" customWidth="1"/>
    <col min="16190" max="16190" width="0.85546875" style="3" customWidth="1"/>
    <col min="16191" max="16195" width="8.28515625" style="3" customWidth="1"/>
    <col min="16196" max="16196" width="0.85546875" style="3" customWidth="1"/>
    <col min="16197" max="16201" width="8.28515625" style="3" customWidth="1"/>
    <col min="16202" max="16202" width="0.85546875" style="3" customWidth="1"/>
    <col min="16203" max="16207" width="8.28515625" style="3" customWidth="1"/>
    <col min="16208" max="16208" width="0.85546875" style="3" customWidth="1"/>
    <col min="16209" max="16213" width="8.28515625" style="3" customWidth="1"/>
    <col min="16214" max="16214" width="0.85546875" style="3" customWidth="1"/>
    <col min="16215" max="16219" width="8.28515625" style="3" customWidth="1"/>
    <col min="16220" max="16222" width="9.140625" style="3" customWidth="1"/>
    <col min="16223" max="16223" width="23.7109375" style="3" customWidth="1"/>
    <col min="16224" max="16228" width="9.140625" style="3" customWidth="1"/>
    <col min="16229" max="16384" width="9.140625" style="3"/>
  </cols>
  <sheetData>
    <row r="1" spans="1:100" x14ac:dyDescent="0.2">
      <c r="A1" s="2" t="str">
        <f>IS!A1</f>
        <v>Becton Dickinson</v>
      </c>
      <c r="B1" s="54"/>
      <c r="BV1" s="11"/>
      <c r="CB1" s="11"/>
      <c r="CH1" s="11"/>
    </row>
    <row r="2" spans="1:100" x14ac:dyDescent="0.2">
      <c r="A2" s="4" t="s">
        <v>113</v>
      </c>
      <c r="B2" s="351"/>
      <c r="C2" s="351"/>
      <c r="D2" s="351"/>
      <c r="E2" s="351"/>
      <c r="F2" s="351"/>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352"/>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row>
    <row r="3" spans="1:100" x14ac:dyDescent="0.2">
      <c r="A3" s="8" t="s">
        <v>0</v>
      </c>
      <c r="B3" s="354"/>
      <c r="C3" s="11"/>
      <c r="D3" s="11"/>
      <c r="E3" s="11"/>
      <c r="F3" s="11"/>
      <c r="G3" s="11"/>
      <c r="I3" s="11"/>
      <c r="J3" s="11"/>
      <c r="K3" s="11"/>
      <c r="L3" s="11"/>
      <c r="M3" s="11"/>
      <c r="O3" s="11"/>
      <c r="P3" s="11"/>
      <c r="Q3" s="11"/>
      <c r="R3" s="11"/>
      <c r="S3" s="11"/>
      <c r="U3" s="11"/>
      <c r="V3" s="11"/>
      <c r="W3" s="11"/>
      <c r="X3" s="11"/>
      <c r="Y3" s="11"/>
      <c r="AA3" s="11"/>
      <c r="AB3" s="11"/>
      <c r="AC3" s="11"/>
      <c r="AD3" s="11"/>
      <c r="AE3" s="11"/>
      <c r="AG3" s="11"/>
      <c r="AH3" s="11"/>
      <c r="AI3" s="11"/>
      <c r="AJ3" s="11"/>
      <c r="BV3" s="11"/>
      <c r="CB3" s="11"/>
      <c r="CH3" s="11"/>
    </row>
    <row r="4" spans="1:100" x14ac:dyDescent="0.2">
      <c r="A4" s="8" t="s">
        <v>1</v>
      </c>
      <c r="B4" s="354"/>
      <c r="C4" s="11"/>
      <c r="D4" s="11"/>
      <c r="E4" s="11"/>
      <c r="F4" s="11"/>
      <c r="G4" s="11"/>
      <c r="I4" s="11"/>
      <c r="J4" s="11"/>
      <c r="K4" s="11"/>
      <c r="L4" s="11"/>
      <c r="M4" s="11"/>
      <c r="O4" s="11"/>
      <c r="P4" s="11"/>
      <c r="Q4" s="11"/>
      <c r="R4" s="11"/>
      <c r="S4" s="11"/>
      <c r="U4" s="11"/>
      <c r="V4" s="11"/>
      <c r="W4" s="11"/>
      <c r="X4" s="11"/>
      <c r="Y4" s="11"/>
      <c r="AA4" s="11"/>
      <c r="AB4" s="11"/>
      <c r="AC4" s="11"/>
      <c r="AD4" s="11"/>
      <c r="AE4" s="11"/>
      <c r="AG4" s="11"/>
      <c r="AH4" s="11"/>
      <c r="AI4" s="11"/>
      <c r="AJ4" s="11"/>
      <c r="AK4" s="11"/>
      <c r="BV4" s="11"/>
      <c r="CB4" s="11"/>
      <c r="CH4" s="11"/>
    </row>
    <row r="5" spans="1:100" ht="11.25" customHeight="1" x14ac:dyDescent="0.2">
      <c r="A5" s="10"/>
      <c r="B5" s="16"/>
      <c r="C5" s="12">
        <f>IS!C5</f>
        <v>2007</v>
      </c>
      <c r="D5" s="13"/>
      <c r="E5" s="13"/>
      <c r="F5" s="13"/>
      <c r="G5" s="14">
        <f>IS!G5</f>
        <v>2007</v>
      </c>
      <c r="H5" s="15"/>
      <c r="I5" s="12">
        <f>IS!I5</f>
        <v>2008</v>
      </c>
      <c r="J5" s="13"/>
      <c r="K5" s="13"/>
      <c r="L5" s="13"/>
      <c r="M5" s="14">
        <f>IS!M5</f>
        <v>2008</v>
      </c>
      <c r="N5" s="16"/>
      <c r="O5" s="12">
        <f>IS!O5</f>
        <v>2009</v>
      </c>
      <c r="P5" s="13"/>
      <c r="Q5" s="13"/>
      <c r="R5" s="13"/>
      <c r="S5" s="14">
        <f>IS!S5</f>
        <v>2009</v>
      </c>
      <c r="T5" s="16"/>
      <c r="U5" s="12">
        <f>IS!U5</f>
        <v>2010</v>
      </c>
      <c r="V5" s="13"/>
      <c r="W5" s="13"/>
      <c r="X5" s="13"/>
      <c r="Y5" s="14">
        <f>IS!Y5</f>
        <v>2010</v>
      </c>
      <c r="Z5" s="16"/>
      <c r="AA5" s="12">
        <f>IS!AA5</f>
        <v>2011</v>
      </c>
      <c r="AB5" s="13"/>
      <c r="AC5" s="13"/>
      <c r="AD5" s="13"/>
      <c r="AE5" s="14">
        <f>IS!AE5</f>
        <v>2011</v>
      </c>
      <c r="AF5" s="16"/>
      <c r="AG5" s="12">
        <f>IS!AG5</f>
        <v>2012</v>
      </c>
      <c r="AH5" s="13"/>
      <c r="AI5" s="13"/>
      <c r="AJ5" s="13"/>
      <c r="AK5" s="14">
        <f>IS!AK5</f>
        <v>2012</v>
      </c>
      <c r="AL5" s="16"/>
      <c r="AM5" s="12">
        <f>IS!AM5</f>
        <v>2013</v>
      </c>
      <c r="AN5" s="13"/>
      <c r="AO5" s="13"/>
      <c r="AP5" s="13"/>
      <c r="AQ5" s="14">
        <f>IS!AQ5</f>
        <v>2013</v>
      </c>
      <c r="AR5" s="16"/>
      <c r="AS5" s="12">
        <f>IS!AS5</f>
        <v>2014</v>
      </c>
      <c r="AT5" s="13"/>
      <c r="AU5" s="13"/>
      <c r="AV5" s="13"/>
      <c r="AW5" s="14">
        <f>IS!AW5</f>
        <v>2014</v>
      </c>
      <c r="AX5" s="16"/>
      <c r="AY5" s="12">
        <f>IS!AY5</f>
        <v>2015</v>
      </c>
      <c r="AZ5" s="13"/>
      <c r="BA5" s="13"/>
      <c r="BB5" s="13"/>
      <c r="BC5" s="14">
        <f>IS!BC5</f>
        <v>2015</v>
      </c>
      <c r="BD5" s="16"/>
      <c r="BE5" s="12">
        <f>IS!BE5</f>
        <v>2016</v>
      </c>
      <c r="BF5" s="13"/>
      <c r="BG5" s="13"/>
      <c r="BH5" s="13"/>
      <c r="BI5" s="14">
        <f>IS!BI5</f>
        <v>2016</v>
      </c>
      <c r="BJ5" s="16"/>
      <c r="BK5" s="12">
        <f>IS!BK5</f>
        <v>2017</v>
      </c>
      <c r="BL5" s="13"/>
      <c r="BM5" s="13"/>
      <c r="BN5" s="13"/>
      <c r="BO5" s="14">
        <f>IS!BO5</f>
        <v>2017</v>
      </c>
      <c r="BP5" s="16"/>
      <c r="BQ5" s="17">
        <f>IS!BQ5</f>
        <v>2018</v>
      </c>
      <c r="BR5" s="13"/>
      <c r="BS5" s="13"/>
      <c r="BT5" s="13"/>
      <c r="BU5" s="18">
        <f>IS!BU5</f>
        <v>2018</v>
      </c>
      <c r="BV5" s="16"/>
      <c r="BW5" s="17">
        <f>IS!BW5</f>
        <v>2019</v>
      </c>
      <c r="BX5" s="13"/>
      <c r="BY5" s="13"/>
      <c r="BZ5" s="13"/>
      <c r="CA5" s="18">
        <f>IS!CA5</f>
        <v>2019</v>
      </c>
      <c r="CB5" s="16"/>
      <c r="CC5" s="17">
        <f>IS!CC5</f>
        <v>2020</v>
      </c>
      <c r="CD5" s="13"/>
      <c r="CE5" s="13"/>
      <c r="CF5" s="13"/>
      <c r="CG5" s="18">
        <f>IS!CG5</f>
        <v>2020</v>
      </c>
      <c r="CH5" s="16"/>
      <c r="CI5" s="17">
        <f>IS!CI5</f>
        <v>2021</v>
      </c>
      <c r="CJ5" s="13"/>
      <c r="CK5" s="13"/>
      <c r="CL5" s="13"/>
      <c r="CM5" s="18">
        <f>IS!CM5</f>
        <v>2021</v>
      </c>
    </row>
    <row r="6" spans="1:100" x14ac:dyDescent="0.2">
      <c r="A6" s="10"/>
      <c r="B6" s="16"/>
      <c r="C6" s="19">
        <f>IS!C6</f>
        <v>39082</v>
      </c>
      <c r="D6" s="19">
        <f>IS!D6</f>
        <v>39172</v>
      </c>
      <c r="E6" s="19">
        <f>IS!E6</f>
        <v>39263</v>
      </c>
      <c r="F6" s="19">
        <f>IS!F6</f>
        <v>39355</v>
      </c>
      <c r="G6" s="15"/>
      <c r="H6" s="15"/>
      <c r="I6" s="19">
        <f>IS!I6</f>
        <v>39447</v>
      </c>
      <c r="J6" s="19">
        <f>IS!J6</f>
        <v>39538</v>
      </c>
      <c r="K6" s="19">
        <f>IS!K6</f>
        <v>39629</v>
      </c>
      <c r="L6" s="19">
        <f>IS!L6</f>
        <v>39721</v>
      </c>
      <c r="M6" s="15"/>
      <c r="N6" s="16"/>
      <c r="O6" s="19">
        <f>IS!O6</f>
        <v>39813</v>
      </c>
      <c r="P6" s="19">
        <f>IS!P6</f>
        <v>39903</v>
      </c>
      <c r="Q6" s="19">
        <f>IS!Q6</f>
        <v>39994</v>
      </c>
      <c r="R6" s="19">
        <f>IS!R6</f>
        <v>40086</v>
      </c>
      <c r="S6" s="15"/>
      <c r="T6" s="16"/>
      <c r="U6" s="19">
        <f>IS!U6</f>
        <v>40178</v>
      </c>
      <c r="V6" s="19">
        <f>IS!V6</f>
        <v>40268</v>
      </c>
      <c r="W6" s="19">
        <f>IS!W6</f>
        <v>40359</v>
      </c>
      <c r="X6" s="19">
        <f>IS!X6</f>
        <v>40451</v>
      </c>
      <c r="Y6" s="15"/>
      <c r="Z6" s="16"/>
      <c r="AA6" s="19">
        <f>IS!AA6</f>
        <v>40543</v>
      </c>
      <c r="AB6" s="19">
        <f>IS!AB6</f>
        <v>40633</v>
      </c>
      <c r="AC6" s="19">
        <f>IS!AC6</f>
        <v>40724</v>
      </c>
      <c r="AD6" s="19">
        <f>IS!AD6</f>
        <v>40816</v>
      </c>
      <c r="AE6" s="15"/>
      <c r="AF6" s="16"/>
      <c r="AG6" s="19">
        <f>IS!AG6</f>
        <v>40908</v>
      </c>
      <c r="AH6" s="19">
        <f>IS!AH6</f>
        <v>40999</v>
      </c>
      <c r="AI6" s="19">
        <f>IS!AI6</f>
        <v>41090</v>
      </c>
      <c r="AJ6" s="19">
        <f>IS!AJ6</f>
        <v>41182</v>
      </c>
      <c r="AK6" s="15"/>
      <c r="AL6" s="16"/>
      <c r="AM6" s="19">
        <f>IS!AM6</f>
        <v>41274</v>
      </c>
      <c r="AN6" s="19">
        <f>IS!AN6</f>
        <v>41364</v>
      </c>
      <c r="AO6" s="19">
        <f>IS!AO6</f>
        <v>41455</v>
      </c>
      <c r="AP6" s="19">
        <f>IS!AP6</f>
        <v>41547</v>
      </c>
      <c r="AQ6" s="15"/>
      <c r="AR6" s="16"/>
      <c r="AS6" s="19">
        <f>IS!AS6</f>
        <v>41639</v>
      </c>
      <c r="AT6" s="19">
        <f>IS!AT6</f>
        <v>41729</v>
      </c>
      <c r="AU6" s="19">
        <f>IS!AU6</f>
        <v>41820</v>
      </c>
      <c r="AV6" s="19">
        <f>IS!AV6</f>
        <v>41912</v>
      </c>
      <c r="AW6" s="15"/>
      <c r="AX6" s="16"/>
      <c r="AY6" s="20">
        <f>IS!AY6</f>
        <v>42004</v>
      </c>
      <c r="AZ6" s="20">
        <f>IS!AZ6</f>
        <v>42094</v>
      </c>
      <c r="BA6" s="20">
        <f>IS!BA6</f>
        <v>42185</v>
      </c>
      <c r="BB6" s="20">
        <f>IS!BB6</f>
        <v>42277</v>
      </c>
      <c r="BC6" s="15"/>
      <c r="BD6" s="16"/>
      <c r="BE6" s="20">
        <f>IS!BE6</f>
        <v>42369</v>
      </c>
      <c r="BF6" s="20">
        <f>IS!BF6</f>
        <v>42460</v>
      </c>
      <c r="BG6" s="20">
        <f>IS!BG6</f>
        <v>42551</v>
      </c>
      <c r="BH6" s="20">
        <f>IS!BH6</f>
        <v>42643</v>
      </c>
      <c r="BI6" s="15"/>
      <c r="BJ6" s="16"/>
      <c r="BK6" s="20">
        <f>IS!BK6</f>
        <v>42735</v>
      </c>
      <c r="BL6" s="20">
        <f>IS!BL6</f>
        <v>42825</v>
      </c>
      <c r="BM6" s="20">
        <f>IS!BM6</f>
        <v>42916</v>
      </c>
      <c r="BN6" s="20">
        <f>IS!BN6</f>
        <v>43008</v>
      </c>
      <c r="BO6" s="15"/>
      <c r="BP6" s="16"/>
      <c r="BQ6" s="20">
        <f>IS!BQ6</f>
        <v>43100</v>
      </c>
      <c r="BR6" s="21">
        <f>IS!BR6</f>
        <v>43190</v>
      </c>
      <c r="BS6" s="21">
        <f>IS!BS6</f>
        <v>43281</v>
      </c>
      <c r="BT6" s="21">
        <f>IS!BT6</f>
        <v>43373</v>
      </c>
      <c r="BU6" s="15"/>
      <c r="BV6" s="16"/>
      <c r="BW6" s="21">
        <f>IS!BW6</f>
        <v>43465</v>
      </c>
      <c r="BX6" s="21">
        <f>IS!BX6</f>
        <v>43555</v>
      </c>
      <c r="BY6" s="21">
        <f>IS!BY6</f>
        <v>43646</v>
      </c>
      <c r="BZ6" s="21">
        <f>IS!BZ6</f>
        <v>43738</v>
      </c>
      <c r="CA6" s="15"/>
      <c r="CB6" s="16"/>
      <c r="CC6" s="21">
        <f>IS!CC6</f>
        <v>43830</v>
      </c>
      <c r="CD6" s="21">
        <f>IS!CD6</f>
        <v>43921</v>
      </c>
      <c r="CE6" s="21">
        <f>IS!CE6</f>
        <v>44012</v>
      </c>
      <c r="CF6" s="21">
        <f>IS!CF6</f>
        <v>44104</v>
      </c>
      <c r="CG6" s="15"/>
      <c r="CH6" s="16"/>
      <c r="CI6" s="21">
        <f>IS!CI6</f>
        <v>44196</v>
      </c>
      <c r="CJ6" s="21">
        <f>IS!CJ6</f>
        <v>44286</v>
      </c>
      <c r="CK6" s="21">
        <f>IS!CK6</f>
        <v>44377</v>
      </c>
      <c r="CL6" s="21">
        <f>IS!CL6</f>
        <v>44469</v>
      </c>
      <c r="CM6" s="15"/>
    </row>
    <row r="7" spans="1:100" s="11" customFormat="1" x14ac:dyDescent="0.2">
      <c r="A7" s="355" t="s">
        <v>114</v>
      </c>
      <c r="B7" s="356"/>
      <c r="C7" s="135"/>
      <c r="D7" s="134"/>
      <c r="E7" s="134"/>
      <c r="F7" s="136"/>
      <c r="G7" s="137"/>
      <c r="H7" s="134"/>
      <c r="I7" s="135"/>
      <c r="J7" s="134"/>
      <c r="K7" s="134"/>
      <c r="L7" s="136"/>
      <c r="M7" s="137"/>
      <c r="N7" s="134"/>
      <c r="O7" s="357"/>
      <c r="P7" s="134"/>
      <c r="Q7" s="134"/>
      <c r="R7" s="136"/>
      <c r="S7" s="137"/>
      <c r="T7" s="134"/>
      <c r="U7" s="135"/>
      <c r="V7" s="134"/>
      <c r="W7" s="134"/>
      <c r="X7" s="136"/>
      <c r="Y7" s="137"/>
      <c r="Z7" s="134"/>
      <c r="AA7" s="135"/>
      <c r="AB7" s="134"/>
      <c r="AC7" s="134"/>
      <c r="AD7" s="136"/>
      <c r="AE7" s="137"/>
      <c r="AF7" s="134"/>
      <c r="AG7" s="135"/>
      <c r="AH7" s="134"/>
      <c r="AI7" s="134"/>
      <c r="AJ7" s="136"/>
      <c r="AK7" s="137"/>
      <c r="AL7" s="134"/>
      <c r="AM7" s="135"/>
      <c r="AN7" s="134"/>
      <c r="AO7" s="134"/>
      <c r="AP7" s="136"/>
      <c r="AQ7" s="137"/>
      <c r="AR7" s="134"/>
      <c r="AS7" s="135"/>
      <c r="AT7" s="134"/>
      <c r="AU7" s="134"/>
      <c r="AV7" s="136"/>
      <c r="AW7" s="137"/>
      <c r="AX7" s="134"/>
      <c r="AY7" s="135"/>
      <c r="AZ7" s="358"/>
      <c r="BA7" s="134"/>
      <c r="BB7" s="136"/>
      <c r="BC7" s="137"/>
      <c r="BD7" s="134"/>
      <c r="BE7" s="135"/>
      <c r="BF7" s="134"/>
      <c r="BG7" s="134"/>
      <c r="BH7" s="136"/>
      <c r="BI7" s="137"/>
      <c r="BJ7" s="134"/>
      <c r="BK7" s="135"/>
      <c r="BL7" s="134"/>
      <c r="BM7" s="134"/>
      <c r="BN7" s="136"/>
      <c r="BO7" s="137"/>
      <c r="BP7" s="134"/>
      <c r="BQ7" s="135"/>
      <c r="BR7" s="134"/>
      <c r="BS7" s="134"/>
      <c r="BT7" s="136"/>
      <c r="BU7" s="137"/>
      <c r="BV7" s="134"/>
      <c r="BW7" s="135"/>
      <c r="BX7" s="134"/>
      <c r="BY7" s="134"/>
      <c r="BZ7" s="136"/>
      <c r="CA7" s="137"/>
      <c r="CB7" s="134"/>
      <c r="CC7" s="135"/>
      <c r="CD7" s="134"/>
      <c r="CE7" s="134"/>
      <c r="CF7" s="136"/>
      <c r="CG7" s="137"/>
      <c r="CH7" s="134"/>
      <c r="CI7" s="135"/>
      <c r="CJ7" s="134"/>
      <c r="CK7" s="134"/>
      <c r="CL7" s="136"/>
      <c r="CM7" s="137"/>
      <c r="CQ7"/>
      <c r="CR7"/>
      <c r="CS7"/>
      <c r="CT7"/>
      <c r="CU7"/>
      <c r="CV7"/>
    </row>
    <row r="8" spans="1:100" s="61" customFormat="1" x14ac:dyDescent="0.2">
      <c r="A8" s="189" t="s">
        <v>115</v>
      </c>
      <c r="B8" s="92"/>
      <c r="C8" s="104">
        <v>533.42499999999995</v>
      </c>
      <c r="D8" s="105">
        <v>409.65499999999997</v>
      </c>
      <c r="E8" s="105">
        <v>444.16399999999999</v>
      </c>
      <c r="F8" s="106">
        <v>511.48200000000003</v>
      </c>
      <c r="G8" s="93">
        <f>F8</f>
        <v>511.48200000000003</v>
      </c>
      <c r="H8" s="92"/>
      <c r="I8" s="104">
        <v>750.76199999999994</v>
      </c>
      <c r="J8" s="105">
        <v>560.99900000000002</v>
      </c>
      <c r="K8" s="105">
        <v>735.90800000000002</v>
      </c>
      <c r="L8" s="106">
        <v>830.47699999999998</v>
      </c>
      <c r="M8" s="93">
        <f>L8</f>
        <v>830.47699999999998</v>
      </c>
      <c r="N8" s="92"/>
      <c r="O8" s="104">
        <v>597.61900000000003</v>
      </c>
      <c r="P8" s="105">
        <v>542.71199999999999</v>
      </c>
      <c r="Q8" s="105">
        <v>1331.6010000000001</v>
      </c>
      <c r="R8" s="106">
        <v>1394.2439999999999</v>
      </c>
      <c r="S8" s="93">
        <f>R8</f>
        <v>1394.2439999999999</v>
      </c>
      <c r="T8" s="92"/>
      <c r="U8" s="104">
        <v>1182.306</v>
      </c>
      <c r="V8" s="105">
        <v>830.68799999999999</v>
      </c>
      <c r="W8" s="105">
        <v>750.10599999999999</v>
      </c>
      <c r="X8" s="106">
        <v>1215.989</v>
      </c>
      <c r="Y8" s="93">
        <f>X8</f>
        <v>1215.989</v>
      </c>
      <c r="Z8" s="92"/>
      <c r="AA8" s="104">
        <v>1249.355</v>
      </c>
      <c r="AB8" s="105">
        <v>748.58799999999997</v>
      </c>
      <c r="AC8" s="105">
        <v>1158.037</v>
      </c>
      <c r="AD8" s="106">
        <v>1175.2819999999999</v>
      </c>
      <c r="AE8" s="93">
        <f>AD8</f>
        <v>1175.2819999999999</v>
      </c>
      <c r="AF8" s="92"/>
      <c r="AG8" s="104">
        <v>2196.2779999999998</v>
      </c>
      <c r="AH8" s="105">
        <v>1839.49</v>
      </c>
      <c r="AI8" s="105">
        <v>1658.7190000000001</v>
      </c>
      <c r="AJ8" s="106">
        <v>1671.165</v>
      </c>
      <c r="AK8" s="93">
        <f>AJ8</f>
        <v>1671.165</v>
      </c>
      <c r="AL8" s="92"/>
      <c r="AM8" s="104">
        <v>1917.472</v>
      </c>
      <c r="AN8" s="105">
        <v>2023.86</v>
      </c>
      <c r="AO8" s="105">
        <v>1962.086</v>
      </c>
      <c r="AP8" s="106">
        <v>1890</v>
      </c>
      <c r="AQ8" s="93">
        <f>AP8</f>
        <v>1890</v>
      </c>
      <c r="AR8" s="92"/>
      <c r="AS8" s="104">
        <v>1679</v>
      </c>
      <c r="AT8" s="105">
        <v>1731</v>
      </c>
      <c r="AU8" s="105">
        <v>1661</v>
      </c>
      <c r="AV8" s="106">
        <v>1861</v>
      </c>
      <c r="AW8" s="93">
        <f>AV8</f>
        <v>1861</v>
      </c>
      <c r="AX8" s="92"/>
      <c r="AY8" s="95">
        <v>8540</v>
      </c>
      <c r="AZ8" s="96">
        <v>1912</v>
      </c>
      <c r="BA8" s="96">
        <v>1559</v>
      </c>
      <c r="BB8" s="97">
        <v>1424</v>
      </c>
      <c r="BC8" s="93">
        <f>BB8</f>
        <v>1424</v>
      </c>
      <c r="BD8" s="92"/>
      <c r="BE8" s="95">
        <v>1583</v>
      </c>
      <c r="BF8" s="96">
        <v>1696</v>
      </c>
      <c r="BG8" s="96">
        <v>1686</v>
      </c>
      <c r="BH8" s="97">
        <v>1541</v>
      </c>
      <c r="BI8" s="93">
        <f t="shared" ref="BI8:BI16" si="0">BH8</f>
        <v>1541</v>
      </c>
      <c r="BJ8" s="92"/>
      <c r="BK8" s="95">
        <v>919</v>
      </c>
      <c r="BL8" s="96">
        <v>548</v>
      </c>
      <c r="BM8" s="96">
        <v>13852</v>
      </c>
      <c r="BN8" s="97">
        <v>14179</v>
      </c>
      <c r="BO8" s="93">
        <f>BN8</f>
        <v>14179</v>
      </c>
      <c r="BP8" s="92"/>
      <c r="BQ8" s="95">
        <f>1124</f>
        <v>1124</v>
      </c>
      <c r="BR8" s="89">
        <f>CFS!BR59</f>
        <v>888.41051424666239</v>
      </c>
      <c r="BS8" s="89">
        <f>CFS!BS59</f>
        <v>1194.1185865191819</v>
      </c>
      <c r="BT8" s="90">
        <f>CFS!BT59</f>
        <v>1580.9081226322344</v>
      </c>
      <c r="BU8" s="93">
        <f>BT8</f>
        <v>1580.9081226322344</v>
      </c>
      <c r="BV8" s="92"/>
      <c r="BW8" s="88">
        <f>CFS!BW59</f>
        <v>1761.5934360962801</v>
      </c>
      <c r="BX8" s="89">
        <f>CFS!BX59</f>
        <v>1956.9488484835695</v>
      </c>
      <c r="BY8" s="89">
        <f>CFS!BY59</f>
        <v>1735.1003949614735</v>
      </c>
      <c r="BZ8" s="90">
        <f>CFS!BZ59</f>
        <v>1946.0819218001975</v>
      </c>
      <c r="CA8" s="93">
        <f>BZ8</f>
        <v>1946.0819218001975</v>
      </c>
      <c r="CB8" s="92"/>
      <c r="CC8" s="88">
        <f>CFS!CC59</f>
        <v>1826.7915273869864</v>
      </c>
      <c r="CD8" s="89">
        <f>CFS!CD59</f>
        <v>1158.2408479577787</v>
      </c>
      <c r="CE8" s="89">
        <f>CFS!CE59</f>
        <v>1436.0357950365105</v>
      </c>
      <c r="CF8" s="90">
        <f>CFS!CF59</f>
        <v>1337.9886773718799</v>
      </c>
      <c r="CG8" s="93">
        <f>CF8</f>
        <v>1337.9886773718799</v>
      </c>
      <c r="CH8" s="92"/>
      <c r="CI8" s="88">
        <f>CFS!CI59</f>
        <v>2122.7586613327758</v>
      </c>
      <c r="CJ8" s="89">
        <f>CFS!CJ59</f>
        <v>2734.0350569293328</v>
      </c>
      <c r="CK8" s="89">
        <f>CFS!CK59</f>
        <v>2938.5251522561066</v>
      </c>
      <c r="CL8" s="90">
        <f>CFS!CL59</f>
        <v>4060.4401161922087</v>
      </c>
      <c r="CM8" s="93">
        <f>CL8</f>
        <v>4060.4401161922087</v>
      </c>
      <c r="CQ8"/>
      <c r="CR8"/>
      <c r="CS8"/>
      <c r="CT8"/>
      <c r="CU8"/>
      <c r="CV8"/>
    </row>
    <row r="9" spans="1:100" s="61" customFormat="1" x14ac:dyDescent="0.2">
      <c r="A9" s="189" t="s">
        <v>116</v>
      </c>
      <c r="B9" s="92"/>
      <c r="C9" s="104">
        <v>109.928</v>
      </c>
      <c r="D9" s="105">
        <v>170.357</v>
      </c>
      <c r="E9" s="105">
        <v>132.31399999999999</v>
      </c>
      <c r="F9" s="106">
        <v>158.04</v>
      </c>
      <c r="G9" s="93">
        <f t="shared" ref="G9:G16" si="1">F9</f>
        <v>158.04</v>
      </c>
      <c r="H9" s="92"/>
      <c r="I9" s="104">
        <v>168.875</v>
      </c>
      <c r="J9" s="105">
        <v>200.35599999999999</v>
      </c>
      <c r="K9" s="105">
        <v>232.494</v>
      </c>
      <c r="L9" s="106">
        <v>199.94200000000001</v>
      </c>
      <c r="M9" s="93">
        <f t="shared" ref="M9:M16" si="2">L9</f>
        <v>199.94200000000001</v>
      </c>
      <c r="N9" s="92"/>
      <c r="O9" s="104">
        <v>179.16399999999999</v>
      </c>
      <c r="P9" s="105">
        <v>187.477</v>
      </c>
      <c r="Q9" s="105">
        <v>420.35899999999998</v>
      </c>
      <c r="R9" s="106">
        <v>551.56100000000004</v>
      </c>
      <c r="S9" s="93">
        <f t="shared" ref="S9:S16" si="3">R9</f>
        <v>551.56100000000004</v>
      </c>
      <c r="T9" s="92"/>
      <c r="U9" s="104">
        <v>276.10700000000003</v>
      </c>
      <c r="V9" s="105">
        <v>427.41399999999999</v>
      </c>
      <c r="W9" s="105">
        <v>695.13</v>
      </c>
      <c r="X9" s="106">
        <v>528.20600000000002</v>
      </c>
      <c r="Y9" s="93">
        <f t="shared" ref="Y9:Y16" si="4">X9</f>
        <v>528.20600000000002</v>
      </c>
      <c r="Z9" s="92"/>
      <c r="AA9" s="104">
        <v>997.80700000000002</v>
      </c>
      <c r="AB9" s="105">
        <v>1109.8320000000001</v>
      </c>
      <c r="AC9" s="105">
        <v>763.28899999999999</v>
      </c>
      <c r="AD9" s="106">
        <v>388.03100000000001</v>
      </c>
      <c r="AE9" s="93">
        <f t="shared" ref="AE9:AE16" si="5">AD9</f>
        <v>388.03100000000001</v>
      </c>
      <c r="AF9" s="92"/>
      <c r="AG9" s="104">
        <v>497.41300000000001</v>
      </c>
      <c r="AH9" s="105">
        <v>272.56900000000002</v>
      </c>
      <c r="AI9" s="105">
        <v>529.73500000000001</v>
      </c>
      <c r="AJ9" s="106">
        <v>509.56599999999997</v>
      </c>
      <c r="AK9" s="93">
        <f t="shared" ref="AK9:AK16" si="6">AJ9</f>
        <v>509.56599999999997</v>
      </c>
      <c r="AL9" s="92"/>
      <c r="AM9" s="104">
        <v>594.64</v>
      </c>
      <c r="AN9" s="105">
        <v>396.84500000000003</v>
      </c>
      <c r="AO9" s="105">
        <v>337.11799999999999</v>
      </c>
      <c r="AP9" s="106">
        <v>718</v>
      </c>
      <c r="AQ9" s="93">
        <f>AP9</f>
        <v>718</v>
      </c>
      <c r="AR9" s="92"/>
      <c r="AS9" s="104">
        <v>834</v>
      </c>
      <c r="AT9" s="105">
        <v>895</v>
      </c>
      <c r="AU9" s="105">
        <v>978</v>
      </c>
      <c r="AV9" s="106">
        <v>884</v>
      </c>
      <c r="AW9" s="93">
        <f>AV9</f>
        <v>884</v>
      </c>
      <c r="AX9" s="92"/>
      <c r="AY9" s="95">
        <v>244</v>
      </c>
      <c r="AZ9" s="96">
        <v>40</v>
      </c>
      <c r="BA9" s="96">
        <v>29</v>
      </c>
      <c r="BB9" s="97">
        <v>19.5</v>
      </c>
      <c r="BC9" s="93">
        <f>BB9</f>
        <v>19.5</v>
      </c>
      <c r="BD9" s="92"/>
      <c r="BE9" s="95">
        <v>10</v>
      </c>
      <c r="BF9" s="96">
        <v>15</v>
      </c>
      <c r="BG9" s="96">
        <v>15</v>
      </c>
      <c r="BH9" s="97">
        <v>27</v>
      </c>
      <c r="BI9" s="93">
        <f t="shared" si="0"/>
        <v>27</v>
      </c>
      <c r="BJ9" s="92"/>
      <c r="BK9" s="95">
        <v>18</v>
      </c>
      <c r="BL9" s="96">
        <v>8</v>
      </c>
      <c r="BM9" s="96">
        <f>17-1</f>
        <v>16</v>
      </c>
      <c r="BN9" s="97">
        <v>21</v>
      </c>
      <c r="BO9" s="93">
        <f>BN9</f>
        <v>21</v>
      </c>
      <c r="BP9" s="92"/>
      <c r="BQ9" s="95">
        <v>84</v>
      </c>
      <c r="BR9" s="89">
        <f>BQ9-CFS!BR32</f>
        <v>84</v>
      </c>
      <c r="BS9" s="89">
        <f>BR9-CFS!BS32</f>
        <v>84</v>
      </c>
      <c r="BT9" s="90">
        <f>BS9-CFS!BT32</f>
        <v>84</v>
      </c>
      <c r="BU9" s="93">
        <f>BT9</f>
        <v>84</v>
      </c>
      <c r="BV9" s="92"/>
      <c r="BW9" s="88">
        <f>BT9-CFS!BW32</f>
        <v>84</v>
      </c>
      <c r="BX9" s="89">
        <f>BW9-CFS!BX32</f>
        <v>84</v>
      </c>
      <c r="BY9" s="89">
        <f>BX9-CFS!BY32</f>
        <v>84</v>
      </c>
      <c r="BZ9" s="90">
        <f>BY9-CFS!BZ32</f>
        <v>84</v>
      </c>
      <c r="CA9" s="93">
        <f>BZ9</f>
        <v>84</v>
      </c>
      <c r="CB9" s="92"/>
      <c r="CC9" s="88">
        <f>BZ9-CFS!CC32</f>
        <v>84</v>
      </c>
      <c r="CD9" s="89">
        <f>CC9-CFS!CD32</f>
        <v>84</v>
      </c>
      <c r="CE9" s="89">
        <f>CD9-CFS!CE32</f>
        <v>84</v>
      </c>
      <c r="CF9" s="90">
        <f>CE9-CFS!CF32</f>
        <v>84</v>
      </c>
      <c r="CG9" s="93">
        <f>CF9</f>
        <v>84</v>
      </c>
      <c r="CH9" s="92"/>
      <c r="CI9" s="88">
        <f>CF9-CFS!CI32</f>
        <v>84</v>
      </c>
      <c r="CJ9" s="89">
        <f>CI9-CFS!CJ32</f>
        <v>84</v>
      </c>
      <c r="CK9" s="89">
        <f>CJ9-CFS!CK32</f>
        <v>84</v>
      </c>
      <c r="CL9" s="90">
        <f>CK9-CFS!CL32</f>
        <v>84</v>
      </c>
      <c r="CM9" s="93">
        <f>CL9</f>
        <v>84</v>
      </c>
      <c r="CQ9"/>
      <c r="CR9"/>
      <c r="CS9"/>
      <c r="CT9"/>
      <c r="CU9"/>
      <c r="CV9"/>
    </row>
    <row r="10" spans="1:100" s="61" customFormat="1" x14ac:dyDescent="0.2">
      <c r="A10" s="189" t="s">
        <v>117</v>
      </c>
      <c r="B10" s="92"/>
      <c r="C10" s="104">
        <v>928.72500000000002</v>
      </c>
      <c r="D10" s="105">
        <v>974.07399999999996</v>
      </c>
      <c r="E10" s="105">
        <v>1034.047</v>
      </c>
      <c r="F10" s="106">
        <v>1083.152</v>
      </c>
      <c r="G10" s="93">
        <f t="shared" si="1"/>
        <v>1083.152</v>
      </c>
      <c r="H10" s="92"/>
      <c r="I10" s="104">
        <v>1020.751</v>
      </c>
      <c r="J10" s="105">
        <v>1168.1189999999999</v>
      </c>
      <c r="K10" s="105">
        <v>1175.2560000000001</v>
      </c>
      <c r="L10" s="106">
        <v>1079.0509999999999</v>
      </c>
      <c r="M10" s="93">
        <f t="shared" si="2"/>
        <v>1079.0509999999999</v>
      </c>
      <c r="N10" s="92"/>
      <c r="O10" s="104">
        <v>1072.01</v>
      </c>
      <c r="P10" s="105">
        <v>1062.106</v>
      </c>
      <c r="Q10" s="105">
        <v>1144.944</v>
      </c>
      <c r="R10" s="106">
        <v>1168.662</v>
      </c>
      <c r="S10" s="93">
        <f t="shared" si="3"/>
        <v>1168.662</v>
      </c>
      <c r="T10" s="92"/>
      <c r="U10" s="104">
        <v>1075.2629999999999</v>
      </c>
      <c r="V10" s="105">
        <v>1142.155</v>
      </c>
      <c r="W10" s="105">
        <v>1090.0930000000001</v>
      </c>
      <c r="X10" s="106">
        <v>1205.377</v>
      </c>
      <c r="Y10" s="93">
        <f t="shared" si="4"/>
        <v>1205.377</v>
      </c>
      <c r="Z10" s="92"/>
      <c r="AA10" s="104">
        <v>1093.19</v>
      </c>
      <c r="AB10" s="105">
        <v>1209.7</v>
      </c>
      <c r="AC10" s="105">
        <v>1250.1949999999999</v>
      </c>
      <c r="AD10" s="106">
        <v>1228.6369999999999</v>
      </c>
      <c r="AE10" s="93">
        <f t="shared" si="5"/>
        <v>1228.6369999999999</v>
      </c>
      <c r="AF10" s="92"/>
      <c r="AG10" s="104">
        <v>1139.0809999999999</v>
      </c>
      <c r="AH10" s="105">
        <v>1237.8499999999999</v>
      </c>
      <c r="AI10" s="105">
        <v>1160.3440000000001</v>
      </c>
      <c r="AJ10" s="106">
        <v>1249.549</v>
      </c>
      <c r="AK10" s="93">
        <f t="shared" si="6"/>
        <v>1249.549</v>
      </c>
      <c r="AL10" s="92"/>
      <c r="AM10" s="104">
        <v>1167.722</v>
      </c>
      <c r="AN10" s="105">
        <v>1220.0139999999999</v>
      </c>
      <c r="AO10" s="105">
        <v>1254.595</v>
      </c>
      <c r="AP10" s="106">
        <v>1240</v>
      </c>
      <c r="AQ10" s="93">
        <f>AP10</f>
        <v>1240</v>
      </c>
      <c r="AR10" s="92"/>
      <c r="AS10" s="104">
        <v>1113</v>
      </c>
      <c r="AT10" s="105">
        <v>1130</v>
      </c>
      <c r="AU10" s="105">
        <v>1204</v>
      </c>
      <c r="AV10" s="106">
        <v>1187</v>
      </c>
      <c r="AW10" s="93">
        <f>AV10</f>
        <v>1187</v>
      </c>
      <c r="AX10" s="92"/>
      <c r="AY10" s="95">
        <v>1031</v>
      </c>
      <c r="AZ10" s="96">
        <v>1572</v>
      </c>
      <c r="BA10" s="96">
        <v>1645</v>
      </c>
      <c r="BB10" s="97">
        <v>1618</v>
      </c>
      <c r="BC10" s="93">
        <f>BB10</f>
        <v>1618</v>
      </c>
      <c r="BD10" s="92"/>
      <c r="BE10" s="95">
        <v>1513</v>
      </c>
      <c r="BF10" s="96">
        <v>1574</v>
      </c>
      <c r="BG10" s="96">
        <v>1618.5</v>
      </c>
      <c r="BH10" s="97">
        <v>1618</v>
      </c>
      <c r="BI10" s="93">
        <f t="shared" si="0"/>
        <v>1618</v>
      </c>
      <c r="BJ10" s="92"/>
      <c r="BK10" s="95">
        <v>1518</v>
      </c>
      <c r="BL10" s="96">
        <v>1569</v>
      </c>
      <c r="BM10" s="96">
        <v>1749</v>
      </c>
      <c r="BN10" s="97">
        <v>1744</v>
      </c>
      <c r="BO10" s="93">
        <f>BN10</f>
        <v>1744</v>
      </c>
      <c r="BP10" s="92"/>
      <c r="BQ10" s="95">
        <v>2000</v>
      </c>
      <c r="BR10" s="89">
        <f>IS!BR7*BR81/365*4</f>
        <v>2188.5638136986299</v>
      </c>
      <c r="BS10" s="89">
        <f>IS!BS7*BS81/365*4</f>
        <v>2261.9730410958909</v>
      </c>
      <c r="BT10" s="90">
        <f>IS!BT7*BT81/365*4</f>
        <v>2293.3579397260273</v>
      </c>
      <c r="BU10" s="93">
        <f>BT10</f>
        <v>2293.3579397260273</v>
      </c>
      <c r="BV10" s="92"/>
      <c r="BW10" s="88">
        <f>IS!BW7*BW81/365*4</f>
        <v>2271.3986245924043</v>
      </c>
      <c r="BX10" s="89">
        <f>IS!BX7*BX81/365*4</f>
        <v>2307.1456399850836</v>
      </c>
      <c r="BY10" s="89">
        <f>IS!BY7*BY81/365*4</f>
        <v>2381.8424973843103</v>
      </c>
      <c r="BZ10" s="90">
        <f>IS!BZ7*BZ81/365*4</f>
        <v>2414.6000984752795</v>
      </c>
      <c r="CA10" s="93">
        <f>BZ10</f>
        <v>2414.6000984752795</v>
      </c>
      <c r="CB10" s="92"/>
      <c r="CC10" s="88">
        <f>IS!CC7*CC81/365*4</f>
        <v>2442.5137166061745</v>
      </c>
      <c r="CD10" s="89">
        <f>IS!CD7*CD81/365*4</f>
        <v>2479.8389317499655</v>
      </c>
      <c r="CE10" s="89">
        <f>IS!CE7*CE81/365*4</f>
        <v>2561.3531641289201</v>
      </c>
      <c r="CF10" s="90">
        <f>IS!CF7*CF81/365*4</f>
        <v>2596.2660158854396</v>
      </c>
      <c r="CG10" s="93">
        <f>CF10</f>
        <v>2596.2660158854396</v>
      </c>
      <c r="CH10" s="92"/>
      <c r="CI10" s="88">
        <f>IS!CI7*CI81/365*4</f>
        <v>2626.171949946915</v>
      </c>
      <c r="CJ10" s="89">
        <f>IS!CJ7*CJ81/365*4</f>
        <v>2665.0778423405927</v>
      </c>
      <c r="CK10" s="89">
        <f>IS!CK7*CK81/365*4</f>
        <v>2754.019474161672</v>
      </c>
      <c r="CL10" s="90">
        <f>IS!CL7*CL81/365*4</f>
        <v>2791.213368450422</v>
      </c>
      <c r="CM10" s="93">
        <f>CL10</f>
        <v>2791.213368450422</v>
      </c>
      <c r="CQ10"/>
      <c r="CR10"/>
      <c r="CS10"/>
      <c r="CT10"/>
      <c r="CU10"/>
      <c r="CV10"/>
    </row>
    <row r="11" spans="1:100" s="61" customFormat="1" x14ac:dyDescent="0.2">
      <c r="A11" s="687" t="s">
        <v>118</v>
      </c>
      <c r="B11" s="92" t="s">
        <v>33</v>
      </c>
      <c r="C11" s="104"/>
      <c r="D11" s="105"/>
      <c r="E11" s="105"/>
      <c r="F11" s="106"/>
      <c r="G11" s="93"/>
      <c r="H11" s="92"/>
      <c r="I11" s="104"/>
      <c r="J11" s="105"/>
      <c r="K11" s="105"/>
      <c r="L11" s="106"/>
      <c r="M11" s="93"/>
      <c r="N11" s="92"/>
      <c r="O11" s="104"/>
      <c r="P11" s="105"/>
      <c r="Q11" s="105"/>
      <c r="R11" s="106"/>
      <c r="S11" s="93"/>
      <c r="T11" s="92"/>
      <c r="U11" s="104"/>
      <c r="V11" s="105"/>
      <c r="W11" s="105"/>
      <c r="X11" s="106"/>
      <c r="Y11" s="93"/>
      <c r="Z11" s="92"/>
      <c r="AA11" s="104"/>
      <c r="AB11" s="105"/>
      <c r="AC11" s="105"/>
      <c r="AD11" s="106"/>
      <c r="AE11" s="93"/>
      <c r="AF11" s="92"/>
      <c r="AG11" s="104"/>
      <c r="AH11" s="105"/>
      <c r="AI11" s="105"/>
      <c r="AJ11" s="106"/>
      <c r="AK11" s="93"/>
      <c r="AL11" s="92"/>
      <c r="AM11" s="104"/>
      <c r="AN11" s="105"/>
      <c r="AO11" s="105"/>
      <c r="AP11" s="106"/>
      <c r="AQ11" s="93"/>
      <c r="AR11" s="92"/>
      <c r="AS11" s="104"/>
      <c r="AT11" s="105"/>
      <c r="AU11" s="105"/>
      <c r="AV11" s="90"/>
      <c r="AW11" s="93"/>
      <c r="AX11" s="92"/>
      <c r="AY11" s="88"/>
      <c r="AZ11" s="96">
        <v>177</v>
      </c>
      <c r="BA11" s="96">
        <v>130</v>
      </c>
      <c r="BB11" s="97">
        <v>75</v>
      </c>
      <c r="BC11" s="93">
        <f>BB11</f>
        <v>75</v>
      </c>
      <c r="BD11" s="92"/>
      <c r="BE11" s="95">
        <v>36</v>
      </c>
      <c r="BF11" s="96">
        <v>311</v>
      </c>
      <c r="BG11" s="96">
        <v>345</v>
      </c>
      <c r="BH11" s="97">
        <v>339</v>
      </c>
      <c r="BI11" s="93">
        <f t="shared" si="0"/>
        <v>339</v>
      </c>
      <c r="BJ11" s="92"/>
      <c r="BK11" s="95">
        <v>346</v>
      </c>
      <c r="BL11" s="96">
        <v>355</v>
      </c>
      <c r="BM11" s="96">
        <v>35</v>
      </c>
      <c r="BN11" s="97">
        <v>16</v>
      </c>
      <c r="BO11" s="93">
        <f>BN11</f>
        <v>16</v>
      </c>
      <c r="BP11" s="92"/>
      <c r="BQ11" s="95">
        <v>0</v>
      </c>
      <c r="BR11" s="92">
        <f>BR95</f>
        <v>0</v>
      </c>
      <c r="BS11" s="92">
        <f>BS95</f>
        <v>0</v>
      </c>
      <c r="BT11" s="99">
        <f>BT95</f>
        <v>0</v>
      </c>
      <c r="BU11" s="93">
        <f>BT11</f>
        <v>0</v>
      </c>
      <c r="BV11" s="92"/>
      <c r="BW11" s="98">
        <f>BW95</f>
        <v>0</v>
      </c>
      <c r="BX11" s="92">
        <f>BX95</f>
        <v>0</v>
      </c>
      <c r="BY11" s="92">
        <f>BY95</f>
        <v>0</v>
      </c>
      <c r="BZ11" s="99">
        <f>BZ95</f>
        <v>0</v>
      </c>
      <c r="CA11" s="93">
        <f>BZ11</f>
        <v>0</v>
      </c>
      <c r="CB11" s="92"/>
      <c r="CC11" s="98">
        <f>CC95</f>
        <v>0</v>
      </c>
      <c r="CD11" s="92">
        <f>CD95</f>
        <v>0</v>
      </c>
      <c r="CE11" s="92">
        <f>CE95</f>
        <v>0</v>
      </c>
      <c r="CF11" s="99">
        <f>CF95</f>
        <v>0</v>
      </c>
      <c r="CG11" s="93">
        <f>CF11</f>
        <v>0</v>
      </c>
      <c r="CH11" s="92"/>
      <c r="CI11" s="98">
        <f>CI95</f>
        <v>0</v>
      </c>
      <c r="CJ11" s="92">
        <f>CJ95</f>
        <v>0</v>
      </c>
      <c r="CK11" s="92">
        <f>CK95</f>
        <v>0</v>
      </c>
      <c r="CL11" s="99">
        <f>CL95</f>
        <v>0</v>
      </c>
      <c r="CM11" s="93">
        <f>CL11</f>
        <v>0</v>
      </c>
      <c r="CQ11"/>
      <c r="CR11"/>
      <c r="CS11"/>
      <c r="CT11"/>
      <c r="CU11"/>
      <c r="CV11"/>
    </row>
    <row r="12" spans="1:100" s="61" customFormat="1" x14ac:dyDescent="0.2">
      <c r="A12" s="189" t="s">
        <v>119</v>
      </c>
      <c r="B12" s="92"/>
      <c r="C12" s="98">
        <f>SUM(C13:C15)</f>
        <v>926.59800000000007</v>
      </c>
      <c r="D12" s="92">
        <f>SUM(D13:D15)</f>
        <v>975.58199999999999</v>
      </c>
      <c r="E12" s="92">
        <f>SUM(E13:E15)</f>
        <v>1023.348</v>
      </c>
      <c r="F12" s="99">
        <f>SUM(F13:F15)</f>
        <v>1051.9590000000001</v>
      </c>
      <c r="G12" s="93">
        <f>SUM(G13:G15)</f>
        <v>1051.9590000000001</v>
      </c>
      <c r="H12" s="92"/>
      <c r="I12" s="98">
        <f>SUM(I13:I15)</f>
        <v>1079.9949999999999</v>
      </c>
      <c r="J12" s="92">
        <f t="shared" ref="J12:R12" si="7">SUM(J13:J15)</f>
        <v>1146.9010000000001</v>
      </c>
      <c r="K12" s="92">
        <f t="shared" si="7"/>
        <v>1144.412</v>
      </c>
      <c r="L12" s="99">
        <f t="shared" si="7"/>
        <v>1080.4259999999999</v>
      </c>
      <c r="M12" s="93">
        <f t="shared" si="7"/>
        <v>1080.4259999999999</v>
      </c>
      <c r="N12" s="92"/>
      <c r="O12" s="98">
        <f t="shared" si="7"/>
        <v>1170.0999999999999</v>
      </c>
      <c r="P12" s="92">
        <f t="shared" si="7"/>
        <v>1180.74</v>
      </c>
      <c r="Q12" s="92">
        <f t="shared" si="7"/>
        <v>1207.0070000000001</v>
      </c>
      <c r="R12" s="99">
        <f t="shared" si="7"/>
        <v>1156.7620000000002</v>
      </c>
      <c r="S12" s="93">
        <f>SUM(S13:S15)</f>
        <v>1156.7620000000002</v>
      </c>
      <c r="T12" s="92"/>
      <c r="U12" s="98">
        <f>SUM(U13:U15)</f>
        <v>1163.999</v>
      </c>
      <c r="V12" s="92">
        <f>SUM(V13:V15)</f>
        <v>1166.0439999999999</v>
      </c>
      <c r="W12" s="92">
        <f>SUM(W13:W15)</f>
        <v>1121.643</v>
      </c>
      <c r="X12" s="99">
        <f>SUM(X13:X15)</f>
        <v>1145.337</v>
      </c>
      <c r="Y12" s="93">
        <f>SUM(Y13:Y15)</f>
        <v>1145.337</v>
      </c>
      <c r="Z12" s="92"/>
      <c r="AA12" s="98">
        <f>SUM(AA13:AA15)</f>
        <v>1195.4770000000001</v>
      </c>
      <c r="AB12" s="92">
        <f>SUM(AB13:AB15)</f>
        <v>1276.931</v>
      </c>
      <c r="AC12" s="92">
        <f>SUM(AC13:AC15)</f>
        <v>1331.1030000000001</v>
      </c>
      <c r="AD12" s="99">
        <f>SUM(AD13:AD15)</f>
        <v>1244.9720000000002</v>
      </c>
      <c r="AE12" s="93">
        <f>SUM(AE13:AE15)</f>
        <v>1244.9720000000002</v>
      </c>
      <c r="AF12" s="92"/>
      <c r="AG12" s="98">
        <f>SUM(AG13:AG15)</f>
        <v>1261.73</v>
      </c>
      <c r="AH12" s="92">
        <f>SUM(AH13:AH15)</f>
        <v>1320.58</v>
      </c>
      <c r="AI12" s="92">
        <f>SUM(AI13:AI15)</f>
        <v>1239.1179999999999</v>
      </c>
      <c r="AJ12" s="99">
        <f>SUM(AJ13:AJ15)</f>
        <v>1240.6790000000001</v>
      </c>
      <c r="AK12" s="93">
        <f>SUM(AK13:AK15)</f>
        <v>1240.6790000000001</v>
      </c>
      <c r="AL12" s="92"/>
      <c r="AM12" s="98">
        <f>SUM(AM13:AM15)</f>
        <v>1359.8220000000001</v>
      </c>
      <c r="AN12" s="92">
        <f>SUM(AN13:AN15)</f>
        <v>1391.825</v>
      </c>
      <c r="AO12" s="92">
        <f>SUM(AO13:AO15)</f>
        <v>1409.1080000000002</v>
      </c>
      <c r="AP12" s="99">
        <f>SUM(AP13:AP15)</f>
        <v>1402</v>
      </c>
      <c r="AQ12" s="93">
        <f>AP12</f>
        <v>1402</v>
      </c>
      <c r="AR12" s="92"/>
      <c r="AS12" s="98">
        <f>SUM(AS13:AS15)</f>
        <v>1467</v>
      </c>
      <c r="AT12" s="92">
        <f>SUM(AT13:AT15)</f>
        <v>1512</v>
      </c>
      <c r="AU12" s="92">
        <f>SUM(AU13:AU15)</f>
        <v>1553</v>
      </c>
      <c r="AV12" s="106">
        <v>1495</v>
      </c>
      <c r="AW12" s="93">
        <f>AV12</f>
        <v>1495</v>
      </c>
      <c r="AX12" s="92"/>
      <c r="AY12" s="98">
        <f>SUM(AY13:AY15)</f>
        <v>1512</v>
      </c>
      <c r="AZ12" s="92">
        <f>SUM(AZ13:AZ15)</f>
        <v>2279</v>
      </c>
      <c r="BA12" s="92">
        <f>SUM(BA13:BA15)</f>
        <v>2019</v>
      </c>
      <c r="BB12" s="97">
        <v>1959</v>
      </c>
      <c r="BC12" s="93">
        <f>BB12</f>
        <v>1959</v>
      </c>
      <c r="BD12" s="92"/>
      <c r="BE12" s="95">
        <v>1985</v>
      </c>
      <c r="BF12" s="96">
        <v>1846</v>
      </c>
      <c r="BG12" s="96">
        <v>1835</v>
      </c>
      <c r="BH12" s="97">
        <v>1719</v>
      </c>
      <c r="BI12" s="93">
        <f t="shared" si="0"/>
        <v>1719</v>
      </c>
      <c r="BJ12" s="92"/>
      <c r="BK12" s="95">
        <v>1692</v>
      </c>
      <c r="BL12" s="96">
        <f>SUM(BL13:BL15)</f>
        <v>1747</v>
      </c>
      <c r="BM12" s="96">
        <v>1829</v>
      </c>
      <c r="BN12" s="97">
        <v>1818</v>
      </c>
      <c r="BO12" s="93">
        <f>BN12</f>
        <v>1818</v>
      </c>
      <c r="BP12" s="92"/>
      <c r="BQ12" s="95">
        <v>2967</v>
      </c>
      <c r="BR12" s="89">
        <f>IS!BR10*BR83/365*4</f>
        <v>2975.0789342465755</v>
      </c>
      <c r="BS12" s="89">
        <f>IS!BS10*BS83/365*4</f>
        <v>3018.3202767123298</v>
      </c>
      <c r="BT12" s="90">
        <f>IS!BT10*BT83/365*4</f>
        <v>3045.8660136986309</v>
      </c>
      <c r="BU12" s="93">
        <f>BT12</f>
        <v>3045.8660136986309</v>
      </c>
      <c r="BV12" s="92"/>
      <c r="BW12" s="88">
        <f>IS!BW10*BW83/365*4</f>
        <v>3019.6425085223618</v>
      </c>
      <c r="BX12" s="89">
        <f>IS!BX10*BX83/365*4</f>
        <v>3056.967972980236</v>
      </c>
      <c r="BY12" s="89">
        <f>IS!BY10*BY83/365*4</f>
        <v>3163.3845668385366</v>
      </c>
      <c r="BZ12" s="90">
        <f>IS!BZ10*BZ83/365*4</f>
        <v>3191.7995051720109</v>
      </c>
      <c r="CA12" s="93">
        <f>BZ12</f>
        <v>3191.7995051720109</v>
      </c>
      <c r="CB12" s="92"/>
      <c r="CC12" s="88">
        <f>IS!CC10*CC83/365*4</f>
        <v>3134.1933742557644</v>
      </c>
      <c r="CD12" s="89">
        <f>IS!CD10*CD83/365*4</f>
        <v>3171.4103399614619</v>
      </c>
      <c r="CE12" s="89">
        <f>IS!CE10*CE83/365*4</f>
        <v>3283.5502113861689</v>
      </c>
      <c r="CF12" s="90">
        <f>IS!CF10*CF83/365*4</f>
        <v>3312.3055860624982</v>
      </c>
      <c r="CG12" s="93">
        <f>CF12</f>
        <v>3312.3055860624982</v>
      </c>
      <c r="CH12" s="92"/>
      <c r="CI12" s="88">
        <f>IS!CI10*CI83/365*4</f>
        <v>3284.3153292417442</v>
      </c>
      <c r="CJ12" s="89">
        <f>IS!CJ10*CJ83/365*4</f>
        <v>3378.4658791783227</v>
      </c>
      <c r="CK12" s="89">
        <f>IS!CK10*CK83/365*4</f>
        <v>3407.4932149907536</v>
      </c>
      <c r="CL12" s="90">
        <f>IS!CL10*CL83/365*4</f>
        <v>3436.5418992361597</v>
      </c>
      <c r="CM12" s="93">
        <f>CL12</f>
        <v>3436.5418992361597</v>
      </c>
      <c r="CQ12"/>
      <c r="CR12"/>
      <c r="CS12"/>
      <c r="CT12"/>
      <c r="CU12"/>
      <c r="CV12"/>
    </row>
    <row r="13" spans="1:100" s="61" customFormat="1" hidden="1" outlineLevel="1" x14ac:dyDescent="0.2">
      <c r="A13" s="189" t="s">
        <v>120</v>
      </c>
      <c r="B13" s="92"/>
      <c r="C13" s="104">
        <v>123.187</v>
      </c>
      <c r="D13" s="105">
        <v>127.73099999999999</v>
      </c>
      <c r="E13" s="105">
        <v>134.81399999999999</v>
      </c>
      <c r="F13" s="106">
        <v>142.48400000000001</v>
      </c>
      <c r="G13" s="93">
        <f t="shared" si="1"/>
        <v>142.48400000000001</v>
      </c>
      <c r="H13" s="92"/>
      <c r="I13" s="104">
        <v>146.387</v>
      </c>
      <c r="J13" s="105">
        <v>151.60599999999999</v>
      </c>
      <c r="K13" s="105">
        <v>154.453</v>
      </c>
      <c r="L13" s="106">
        <v>162.726</v>
      </c>
      <c r="M13" s="93">
        <f t="shared" si="2"/>
        <v>162.726</v>
      </c>
      <c r="N13" s="92"/>
      <c r="O13" s="104">
        <v>167.977</v>
      </c>
      <c r="P13" s="105">
        <v>166.77099999999999</v>
      </c>
      <c r="Q13" s="105">
        <v>171.25800000000001</v>
      </c>
      <c r="R13" s="106">
        <v>171.44900000000001</v>
      </c>
      <c r="S13" s="93">
        <f t="shared" si="3"/>
        <v>171.44900000000001</v>
      </c>
      <c r="T13" s="92"/>
      <c r="U13" s="104">
        <v>162.28899999999999</v>
      </c>
      <c r="V13" s="105">
        <v>160.33699999999999</v>
      </c>
      <c r="W13" s="105">
        <v>158.084</v>
      </c>
      <c r="X13" s="106">
        <v>169.268</v>
      </c>
      <c r="Y13" s="93">
        <f t="shared" si="4"/>
        <v>169.268</v>
      </c>
      <c r="Z13" s="92"/>
      <c r="AA13" s="104">
        <v>172.15</v>
      </c>
      <c r="AB13" s="105">
        <v>171.72399999999999</v>
      </c>
      <c r="AC13" s="105">
        <v>176.11099999999999</v>
      </c>
      <c r="AD13" s="106">
        <v>176.95500000000001</v>
      </c>
      <c r="AE13" s="93">
        <f t="shared" si="5"/>
        <v>176.95500000000001</v>
      </c>
      <c r="AF13" s="92"/>
      <c r="AG13" s="104">
        <v>174.26599999999999</v>
      </c>
      <c r="AH13" s="105">
        <v>190.172</v>
      </c>
      <c r="AI13" s="105">
        <v>180.81399999999999</v>
      </c>
      <c r="AJ13" s="106">
        <v>200.51400000000001</v>
      </c>
      <c r="AK13" s="93">
        <f t="shared" si="6"/>
        <v>200.51400000000001</v>
      </c>
      <c r="AL13" s="92"/>
      <c r="AM13" s="104">
        <v>210.76400000000001</v>
      </c>
      <c r="AN13" s="105">
        <v>207.66499999999999</v>
      </c>
      <c r="AO13" s="105">
        <v>212.65899999999999</v>
      </c>
      <c r="AP13" s="106">
        <v>226</v>
      </c>
      <c r="AQ13" s="93"/>
      <c r="AR13" s="92"/>
      <c r="AS13" s="104">
        <v>229</v>
      </c>
      <c r="AT13" s="105">
        <v>221</v>
      </c>
      <c r="AU13" s="360">
        <v>230.5</v>
      </c>
      <c r="AV13" s="99"/>
      <c r="AW13" s="93"/>
      <c r="AX13" s="92"/>
      <c r="AY13" s="95">
        <v>227</v>
      </c>
      <c r="AZ13" s="96">
        <v>385</v>
      </c>
      <c r="BA13" s="96">
        <v>393</v>
      </c>
      <c r="BB13" s="97"/>
      <c r="BC13" s="93"/>
      <c r="BD13" s="92"/>
      <c r="BE13" s="98"/>
      <c r="BF13" s="96">
        <v>314</v>
      </c>
      <c r="BG13" s="96">
        <v>315</v>
      </c>
      <c r="BH13" s="97">
        <v>316</v>
      </c>
      <c r="BI13" s="93">
        <f t="shared" si="0"/>
        <v>316</v>
      </c>
      <c r="BJ13" s="92"/>
      <c r="BK13" s="98"/>
      <c r="BL13" s="96">
        <v>305</v>
      </c>
      <c r="BM13" s="96">
        <v>320</v>
      </c>
      <c r="BN13" s="99"/>
      <c r="BO13" s="93"/>
      <c r="BP13" s="92"/>
      <c r="BQ13" s="95">
        <v>520</v>
      </c>
      <c r="BR13" s="92"/>
      <c r="BS13" s="92"/>
      <c r="BT13" s="99"/>
      <c r="BU13" s="93"/>
      <c r="BV13" s="92"/>
      <c r="BW13" s="98"/>
      <c r="BX13" s="92"/>
      <c r="BY13" s="92"/>
      <c r="BZ13" s="99"/>
      <c r="CA13" s="93"/>
      <c r="CB13" s="92"/>
      <c r="CC13" s="98"/>
      <c r="CD13" s="92"/>
      <c r="CE13" s="92"/>
      <c r="CF13" s="99"/>
      <c r="CG13" s="93"/>
      <c r="CH13" s="92"/>
      <c r="CI13" s="98"/>
      <c r="CJ13" s="92"/>
      <c r="CK13" s="92"/>
      <c r="CL13" s="99"/>
      <c r="CM13" s="93"/>
      <c r="CQ13"/>
      <c r="CR13"/>
      <c r="CS13"/>
      <c r="CT13"/>
      <c r="CU13"/>
      <c r="CV13"/>
    </row>
    <row r="14" spans="1:100" s="61" customFormat="1" hidden="1" outlineLevel="1" x14ac:dyDescent="0.2">
      <c r="A14" s="189" t="s">
        <v>121</v>
      </c>
      <c r="B14" s="92"/>
      <c r="C14" s="104">
        <v>180.91800000000001</v>
      </c>
      <c r="D14" s="105">
        <v>194.83600000000001</v>
      </c>
      <c r="E14" s="105">
        <v>196.83600000000001</v>
      </c>
      <c r="F14" s="106">
        <v>195.155</v>
      </c>
      <c r="G14" s="93">
        <f t="shared" si="1"/>
        <v>195.155</v>
      </c>
      <c r="H14" s="92"/>
      <c r="I14" s="104">
        <v>203.649</v>
      </c>
      <c r="J14" s="105">
        <v>211.82900000000001</v>
      </c>
      <c r="K14" s="105">
        <v>213.422</v>
      </c>
      <c r="L14" s="106">
        <v>203.92599999999999</v>
      </c>
      <c r="M14" s="93">
        <f t="shared" si="2"/>
        <v>203.92599999999999</v>
      </c>
      <c r="N14" s="92"/>
      <c r="O14" s="104">
        <v>224.227</v>
      </c>
      <c r="P14" s="105">
        <v>225.20400000000001</v>
      </c>
      <c r="Q14" s="105">
        <v>224.81800000000001</v>
      </c>
      <c r="R14" s="106">
        <v>223.09399999999999</v>
      </c>
      <c r="S14" s="93">
        <f t="shared" si="3"/>
        <v>223.09399999999999</v>
      </c>
      <c r="T14" s="92"/>
      <c r="U14" s="104">
        <v>221.84899999999999</v>
      </c>
      <c r="V14" s="105">
        <v>233.15700000000001</v>
      </c>
      <c r="W14" s="105">
        <v>215.90899999999999</v>
      </c>
      <c r="X14" s="106">
        <v>225.87799999999999</v>
      </c>
      <c r="Y14" s="93">
        <f t="shared" si="4"/>
        <v>225.87799999999999</v>
      </c>
      <c r="Z14" s="92"/>
      <c r="AA14" s="104">
        <v>230.24199999999999</v>
      </c>
      <c r="AB14" s="105">
        <v>252.36500000000001</v>
      </c>
      <c r="AC14" s="105">
        <v>256.899</v>
      </c>
      <c r="AD14" s="106">
        <v>233.53800000000001</v>
      </c>
      <c r="AE14" s="93">
        <f t="shared" si="5"/>
        <v>233.53800000000001</v>
      </c>
      <c r="AF14" s="92"/>
      <c r="AG14" s="104">
        <v>245.47200000000001</v>
      </c>
      <c r="AH14" s="105">
        <v>269.79399999999998</v>
      </c>
      <c r="AI14" s="105">
        <v>260.142</v>
      </c>
      <c r="AJ14" s="106">
        <v>247.21700000000001</v>
      </c>
      <c r="AK14" s="93">
        <f t="shared" si="6"/>
        <v>247.21700000000001</v>
      </c>
      <c r="AL14" s="92"/>
      <c r="AM14" s="104">
        <v>262.62700000000001</v>
      </c>
      <c r="AN14" s="105">
        <v>280.98700000000002</v>
      </c>
      <c r="AO14" s="105">
        <v>282.99400000000003</v>
      </c>
      <c r="AP14" s="106">
        <v>258</v>
      </c>
      <c r="AQ14" s="93"/>
      <c r="AR14" s="92"/>
      <c r="AS14" s="104">
        <v>272</v>
      </c>
      <c r="AT14" s="105">
        <v>294</v>
      </c>
      <c r="AU14" s="360">
        <v>301.5</v>
      </c>
      <c r="AV14" s="99"/>
      <c r="AW14" s="93"/>
      <c r="AX14" s="92"/>
      <c r="AY14" s="95">
        <v>272</v>
      </c>
      <c r="AZ14" s="96">
        <v>304</v>
      </c>
      <c r="BA14" s="96">
        <v>300</v>
      </c>
      <c r="BB14" s="97"/>
      <c r="BC14" s="93"/>
      <c r="BD14" s="92"/>
      <c r="BE14" s="98"/>
      <c r="BF14" s="96">
        <v>302</v>
      </c>
      <c r="BG14" s="96">
        <v>303</v>
      </c>
      <c r="BH14" s="97">
        <v>274</v>
      </c>
      <c r="BI14" s="93">
        <f t="shared" si="0"/>
        <v>274</v>
      </c>
      <c r="BJ14" s="92"/>
      <c r="BK14" s="98"/>
      <c r="BL14" s="96">
        <v>292</v>
      </c>
      <c r="BM14" s="96">
        <v>293</v>
      </c>
      <c r="BN14" s="99"/>
      <c r="BO14" s="93"/>
      <c r="BP14" s="92"/>
      <c r="BQ14" s="95">
        <v>424</v>
      </c>
      <c r="BR14" s="92"/>
      <c r="BS14" s="92"/>
      <c r="BT14" s="99"/>
      <c r="BU14" s="93"/>
      <c r="BV14" s="92"/>
      <c r="BW14" s="98"/>
      <c r="BX14" s="92"/>
      <c r="BY14" s="92"/>
      <c r="BZ14" s="99"/>
      <c r="CA14" s="93"/>
      <c r="CB14" s="92"/>
      <c r="CC14" s="98"/>
      <c r="CD14" s="92"/>
      <c r="CE14" s="92"/>
      <c r="CF14" s="99"/>
      <c r="CG14" s="93"/>
      <c r="CH14" s="92"/>
      <c r="CI14" s="98"/>
      <c r="CJ14" s="92"/>
      <c r="CK14" s="92"/>
      <c r="CL14" s="99"/>
      <c r="CM14" s="93"/>
      <c r="CQ14"/>
      <c r="CR14"/>
      <c r="CS14"/>
      <c r="CT14"/>
      <c r="CU14"/>
      <c r="CV14"/>
    </row>
    <row r="15" spans="1:100" s="61" customFormat="1" hidden="1" outlineLevel="1" x14ac:dyDescent="0.2">
      <c r="A15" s="189" t="s">
        <v>122</v>
      </c>
      <c r="B15" s="92"/>
      <c r="C15" s="104">
        <v>622.49300000000005</v>
      </c>
      <c r="D15" s="105">
        <v>653.01499999999999</v>
      </c>
      <c r="E15" s="105">
        <v>691.69799999999998</v>
      </c>
      <c r="F15" s="106">
        <v>714.32</v>
      </c>
      <c r="G15" s="93">
        <f t="shared" si="1"/>
        <v>714.32</v>
      </c>
      <c r="H15" s="92"/>
      <c r="I15" s="104">
        <v>729.95899999999995</v>
      </c>
      <c r="J15" s="105">
        <v>783.46600000000001</v>
      </c>
      <c r="K15" s="105">
        <v>776.53700000000003</v>
      </c>
      <c r="L15" s="106">
        <v>713.774</v>
      </c>
      <c r="M15" s="93">
        <f t="shared" si="2"/>
        <v>713.774</v>
      </c>
      <c r="N15" s="92"/>
      <c r="O15" s="104">
        <v>777.89599999999996</v>
      </c>
      <c r="P15" s="105">
        <v>788.76499999999999</v>
      </c>
      <c r="Q15" s="105">
        <v>810.93100000000004</v>
      </c>
      <c r="R15" s="106">
        <v>762.21900000000005</v>
      </c>
      <c r="S15" s="93">
        <f t="shared" si="3"/>
        <v>762.21900000000005</v>
      </c>
      <c r="T15" s="92"/>
      <c r="U15" s="104">
        <v>779.86099999999999</v>
      </c>
      <c r="V15" s="105">
        <v>772.55</v>
      </c>
      <c r="W15" s="105">
        <v>747.65</v>
      </c>
      <c r="X15" s="106">
        <v>750.19100000000003</v>
      </c>
      <c r="Y15" s="93">
        <f t="shared" si="4"/>
        <v>750.19100000000003</v>
      </c>
      <c r="Z15" s="92"/>
      <c r="AA15" s="104">
        <v>793.08500000000004</v>
      </c>
      <c r="AB15" s="105">
        <v>852.84199999999998</v>
      </c>
      <c r="AC15" s="105">
        <v>898.09299999999996</v>
      </c>
      <c r="AD15" s="106">
        <v>834.47900000000004</v>
      </c>
      <c r="AE15" s="93">
        <f t="shared" si="5"/>
        <v>834.47900000000004</v>
      </c>
      <c r="AF15" s="92"/>
      <c r="AG15" s="104">
        <v>841.99199999999996</v>
      </c>
      <c r="AH15" s="105">
        <v>860.61400000000003</v>
      </c>
      <c r="AI15" s="105">
        <v>798.16200000000003</v>
      </c>
      <c r="AJ15" s="106">
        <v>792.94799999999998</v>
      </c>
      <c r="AK15" s="93">
        <f t="shared" si="6"/>
        <v>792.94799999999998</v>
      </c>
      <c r="AL15" s="92"/>
      <c r="AM15" s="104">
        <v>886.43100000000004</v>
      </c>
      <c r="AN15" s="105">
        <v>903.173</v>
      </c>
      <c r="AO15" s="105">
        <v>913.45500000000004</v>
      </c>
      <c r="AP15" s="106">
        <v>918</v>
      </c>
      <c r="AQ15" s="93"/>
      <c r="AR15" s="92"/>
      <c r="AS15" s="104">
        <v>966</v>
      </c>
      <c r="AT15" s="105">
        <v>997</v>
      </c>
      <c r="AU15" s="360">
        <v>1021</v>
      </c>
      <c r="AV15" s="99"/>
      <c r="AW15" s="93"/>
      <c r="AX15" s="92"/>
      <c r="AY15" s="95">
        <v>1013</v>
      </c>
      <c r="AZ15" s="96">
        <v>1590</v>
      </c>
      <c r="BA15" s="96">
        <v>1326</v>
      </c>
      <c r="BB15" s="97"/>
      <c r="BC15" s="93"/>
      <c r="BD15" s="92"/>
      <c r="BE15" s="98"/>
      <c r="BF15" s="96">
        <v>1229</v>
      </c>
      <c r="BG15" s="96">
        <v>1218</v>
      </c>
      <c r="BH15" s="97">
        <v>1129</v>
      </c>
      <c r="BI15" s="93">
        <f t="shared" si="0"/>
        <v>1129</v>
      </c>
      <c r="BJ15" s="92"/>
      <c r="BK15" s="98"/>
      <c r="BL15" s="96">
        <v>1150</v>
      </c>
      <c r="BM15" s="96">
        <v>1216</v>
      </c>
      <c r="BN15" s="99"/>
      <c r="BO15" s="93"/>
      <c r="BP15" s="92"/>
      <c r="BQ15" s="95">
        <v>2022</v>
      </c>
      <c r="BR15" s="92"/>
      <c r="BS15" s="92"/>
      <c r="BT15" s="99"/>
      <c r="BU15" s="93"/>
      <c r="BV15" s="92"/>
      <c r="BW15" s="98"/>
      <c r="BX15" s="92"/>
      <c r="BY15" s="92"/>
      <c r="BZ15" s="99"/>
      <c r="CA15" s="93"/>
      <c r="CB15" s="92"/>
      <c r="CC15" s="98"/>
      <c r="CD15" s="92"/>
      <c r="CE15" s="92"/>
      <c r="CF15" s="99"/>
      <c r="CG15" s="93"/>
      <c r="CH15" s="92"/>
      <c r="CI15" s="98"/>
      <c r="CJ15" s="92"/>
      <c r="CK15" s="92"/>
      <c r="CL15" s="99"/>
      <c r="CM15" s="93"/>
      <c r="CQ15"/>
      <c r="CR15"/>
      <c r="CS15"/>
      <c r="CT15"/>
      <c r="CU15"/>
      <c r="CV15"/>
    </row>
    <row r="16" spans="1:100" s="61" customFormat="1" collapsed="1" x14ac:dyDescent="0.2">
      <c r="A16" s="189" t="s">
        <v>123</v>
      </c>
      <c r="B16" s="92"/>
      <c r="C16" s="104">
        <v>326.44600000000003</v>
      </c>
      <c r="D16" s="105">
        <v>320.93200000000002</v>
      </c>
      <c r="E16" s="105">
        <v>327.36099999999999</v>
      </c>
      <c r="F16" s="106">
        <v>325.93299999999999</v>
      </c>
      <c r="G16" s="93">
        <f t="shared" si="1"/>
        <v>325.93299999999999</v>
      </c>
      <c r="H16" s="92"/>
      <c r="I16" s="104">
        <v>324.68400000000003</v>
      </c>
      <c r="J16" s="105">
        <v>346.226</v>
      </c>
      <c r="K16" s="105">
        <v>360.40199999999999</v>
      </c>
      <c r="L16" s="106">
        <v>424.779</v>
      </c>
      <c r="M16" s="93">
        <f t="shared" si="2"/>
        <v>424.779</v>
      </c>
      <c r="N16" s="92"/>
      <c r="O16" s="104">
        <v>446.245</v>
      </c>
      <c r="P16" s="105">
        <v>434.762</v>
      </c>
      <c r="Q16" s="105">
        <f>356.77+30.856</f>
        <v>387.62599999999998</v>
      </c>
      <c r="R16" s="106">
        <v>375.72500000000002</v>
      </c>
      <c r="S16" s="93">
        <f t="shared" si="3"/>
        <v>375.72500000000002</v>
      </c>
      <c r="T16" s="92"/>
      <c r="U16" s="104">
        <v>359.21800000000002</v>
      </c>
      <c r="V16" s="105">
        <v>373.19200000000001</v>
      </c>
      <c r="W16" s="105">
        <f>385.383+80.706</f>
        <v>466.089</v>
      </c>
      <c r="X16" s="106">
        <v>410.34100000000001</v>
      </c>
      <c r="Y16" s="93">
        <f t="shared" si="4"/>
        <v>410.34100000000001</v>
      </c>
      <c r="Z16" s="92"/>
      <c r="AA16" s="104">
        <v>415.012</v>
      </c>
      <c r="AB16" s="105">
        <v>511.57900000000001</v>
      </c>
      <c r="AC16" s="105">
        <v>570.50900000000001</v>
      </c>
      <c r="AD16" s="106">
        <v>631.40899999999999</v>
      </c>
      <c r="AE16" s="93">
        <f t="shared" si="5"/>
        <v>631.40899999999999</v>
      </c>
      <c r="AF16" s="92"/>
      <c r="AG16" s="104">
        <v>599.64200000000005</v>
      </c>
      <c r="AH16" s="105">
        <v>630.096</v>
      </c>
      <c r="AI16" s="105">
        <f>565.208+131.591</f>
        <v>696.79899999999998</v>
      </c>
      <c r="AJ16" s="106">
        <f>515.255+135.857</f>
        <v>651.11199999999997</v>
      </c>
      <c r="AK16" s="93">
        <f t="shared" si="6"/>
        <v>651.11199999999997</v>
      </c>
      <c r="AL16" s="92"/>
      <c r="AM16" s="104">
        <v>437.81599999999997</v>
      </c>
      <c r="AN16" s="105">
        <v>467.45400000000001</v>
      </c>
      <c r="AO16" s="105">
        <v>471.60399999999998</v>
      </c>
      <c r="AP16" s="106">
        <v>623</v>
      </c>
      <c r="AQ16" s="93">
        <f>AP16</f>
        <v>623</v>
      </c>
      <c r="AR16" s="92"/>
      <c r="AS16" s="104">
        <v>650</v>
      </c>
      <c r="AT16" s="105">
        <v>678</v>
      </c>
      <c r="AU16" s="105">
        <v>649</v>
      </c>
      <c r="AV16" s="106">
        <v>704</v>
      </c>
      <c r="AW16" s="93">
        <f>AV16</f>
        <v>704</v>
      </c>
      <c r="AX16" s="92"/>
      <c r="AY16" s="95">
        <v>784</v>
      </c>
      <c r="AZ16" s="96">
        <v>1016</v>
      </c>
      <c r="BA16" s="96">
        <v>921</v>
      </c>
      <c r="BB16" s="97">
        <v>949.5</v>
      </c>
      <c r="BC16" s="93">
        <f>BB16</f>
        <v>949.5</v>
      </c>
      <c r="BD16" s="92"/>
      <c r="BE16" s="95">
        <v>514</v>
      </c>
      <c r="BF16" s="96">
        <f>618+551+1</f>
        <v>1170</v>
      </c>
      <c r="BG16" s="96">
        <f>625+409.5</f>
        <v>1034.5</v>
      </c>
      <c r="BH16" s="97">
        <f>642+480</f>
        <v>1122</v>
      </c>
      <c r="BI16" s="93">
        <f t="shared" si="0"/>
        <v>1122</v>
      </c>
      <c r="BJ16" s="92"/>
      <c r="BK16" s="95">
        <f>50+643</f>
        <v>693</v>
      </c>
      <c r="BL16" s="96">
        <v>664</v>
      </c>
      <c r="BM16" s="96">
        <v>731</v>
      </c>
      <c r="BN16" s="97">
        <f>856</f>
        <v>856</v>
      </c>
      <c r="BO16" s="93">
        <f>BN16</f>
        <v>856</v>
      </c>
      <c r="BP16" s="92"/>
      <c r="BQ16" s="95">
        <f>1255+113</f>
        <v>1368</v>
      </c>
      <c r="BR16" s="89">
        <f>BQ16*(IS!BR7/IS!BQ7)</f>
        <v>1847.9330415584413</v>
      </c>
      <c r="BS16" s="89">
        <f>BR16*(IS!BS7/IS!BR7)</f>
        <v>1909.9167662337666</v>
      </c>
      <c r="BT16" s="90">
        <f>BS16*(IS!BT7/IS!BS7)</f>
        <v>1936.4168805194806</v>
      </c>
      <c r="BU16" s="93">
        <f>BT16</f>
        <v>1936.4168805194806</v>
      </c>
      <c r="BV16" s="92"/>
      <c r="BW16" s="88">
        <f>BT16*(IS!BW7/IS!BT7)</f>
        <v>1919.7452219956522</v>
      </c>
      <c r="BX16" s="89">
        <f>BW16*(IS!BX7/IS!BW7)</f>
        <v>1948.058646099418</v>
      </c>
      <c r="BY16" s="89">
        <f>BX16*(IS!BY7/IS!BX7)</f>
        <v>2011.1295924545684</v>
      </c>
      <c r="BZ16" s="90">
        <f>BY16*(IS!BZ7/IS!BY7)</f>
        <v>2038.7887600965175</v>
      </c>
      <c r="CA16" s="93">
        <f>BZ16</f>
        <v>2038.7887600965175</v>
      </c>
      <c r="CB16" s="92"/>
      <c r="CC16" s="88">
        <f>BZ16*(IS!CC7/IS!BZ7)</f>
        <v>2022.1984085262163</v>
      </c>
      <c r="CD16" s="89">
        <f>CC16*(IS!CD7/IS!CC7)</f>
        <v>2051.1416237102317</v>
      </c>
      <c r="CE16" s="89">
        <f>CD16*(IS!CE7/IS!CD7)</f>
        <v>2118.5642425007491</v>
      </c>
      <c r="CF16" s="90">
        <f>CE16*(IS!CF7/IS!CE7)</f>
        <v>2147.4416032532422</v>
      </c>
      <c r="CG16" s="93">
        <f>CF16</f>
        <v>2147.4416032532422</v>
      </c>
      <c r="CH16" s="92"/>
      <c r="CI16" s="88">
        <f>CF16*(IS!CI7/IS!CF7)</f>
        <v>2130.726422836115</v>
      </c>
      <c r="CJ16" s="89">
        <f>CI16*(IS!CJ7/IS!CI7)</f>
        <v>2160.2705653206235</v>
      </c>
      <c r="CK16" s="89">
        <f>CJ16*(IS!CK7/IS!CJ7)</f>
        <v>2232.3652659714376</v>
      </c>
      <c r="CL16" s="90">
        <f>CK16*(IS!CL7/IS!CK7)</f>
        <v>2262.5140570367921</v>
      </c>
      <c r="CM16" s="93">
        <f>CL16</f>
        <v>2262.5140570367921</v>
      </c>
      <c r="CQ16"/>
      <c r="CR16"/>
      <c r="CS16"/>
      <c r="CT16"/>
      <c r="CU16"/>
      <c r="CV16"/>
    </row>
    <row r="17" spans="1:100" s="61" customFormat="1" x14ac:dyDescent="0.2">
      <c r="A17" s="271" t="s">
        <v>124</v>
      </c>
      <c r="B17" s="116"/>
      <c r="C17" s="118">
        <f>SUM(C8:C12)+C16</f>
        <v>2825.1219999999998</v>
      </c>
      <c r="D17" s="116">
        <f>SUM(D8:D12)+D16</f>
        <v>2850.5999999999995</v>
      </c>
      <c r="E17" s="116">
        <f>SUM(E8:E12)+E16</f>
        <v>2961.2339999999999</v>
      </c>
      <c r="F17" s="117">
        <f>SUM(F8:F12)+F16</f>
        <v>3130.5659999999998</v>
      </c>
      <c r="G17" s="315">
        <f>SUM(G8:G12)+G16</f>
        <v>3130.5659999999998</v>
      </c>
      <c r="H17" s="116"/>
      <c r="I17" s="118">
        <f>SUM(I8:I12)+I16</f>
        <v>3345.067</v>
      </c>
      <c r="J17" s="116">
        <f>SUM(J8:J12)+J16</f>
        <v>3422.6010000000001</v>
      </c>
      <c r="K17" s="116">
        <f>SUM(K8:K12)+K16</f>
        <v>3648.4720000000007</v>
      </c>
      <c r="L17" s="117">
        <f>SUM(L8:L12)+L16</f>
        <v>3614.6749999999997</v>
      </c>
      <c r="M17" s="315">
        <f>SUM(M8:M12)+M16</f>
        <v>3614.6749999999997</v>
      </c>
      <c r="N17" s="116"/>
      <c r="O17" s="118">
        <f>SUM(O8:O12)+O16</f>
        <v>3465.1379999999999</v>
      </c>
      <c r="P17" s="116">
        <f>SUM(P8:P12)+P16</f>
        <v>3407.797</v>
      </c>
      <c r="Q17" s="116">
        <f>SUM(Q8:Q12)+Q16</f>
        <v>4491.5370000000003</v>
      </c>
      <c r="R17" s="117">
        <f>SUM(R8:R12)+R16</f>
        <v>4646.9539999999997</v>
      </c>
      <c r="S17" s="315">
        <f>SUM(S8:S12)+S16</f>
        <v>4646.9539999999997</v>
      </c>
      <c r="T17" s="116"/>
      <c r="U17" s="118">
        <f>SUM(U8:U12)+U16</f>
        <v>4056.893</v>
      </c>
      <c r="V17" s="116">
        <f>SUM(V8:V12)+V16</f>
        <v>3939.4929999999995</v>
      </c>
      <c r="W17" s="116">
        <f>SUM(W8:W12)+W16</f>
        <v>4123.0609999999997</v>
      </c>
      <c r="X17" s="117">
        <f>SUM(X8:X12)+X16</f>
        <v>4505.25</v>
      </c>
      <c r="Y17" s="315">
        <f>SUM(Y8:Y12)+Y16</f>
        <v>4505.25</v>
      </c>
      <c r="Z17" s="116"/>
      <c r="AA17" s="118">
        <f>SUM(AA8:AA12)+AA16</f>
        <v>4950.8410000000003</v>
      </c>
      <c r="AB17" s="116">
        <f>SUM(AB8:AB12)+AB16</f>
        <v>4856.6299999999992</v>
      </c>
      <c r="AC17" s="116">
        <f>SUM(AC8:AC12)+AC16</f>
        <v>5073.1329999999998</v>
      </c>
      <c r="AD17" s="117">
        <f>SUM(AD8:AD12)+AD16</f>
        <v>4668.3310000000001</v>
      </c>
      <c r="AE17" s="315">
        <f>SUM(AE8:AE12)+AE16</f>
        <v>4668.3310000000001</v>
      </c>
      <c r="AF17" s="116"/>
      <c r="AG17" s="118">
        <f>SUM(AG8:AG12)+AG16</f>
        <v>5694.1440000000002</v>
      </c>
      <c r="AH17" s="116">
        <f>SUM(AH8:AH12)+AH16</f>
        <v>5300.5849999999991</v>
      </c>
      <c r="AI17" s="116">
        <f>SUM(AI8:AI12)+AI16</f>
        <v>5284.7150000000001</v>
      </c>
      <c r="AJ17" s="117">
        <f>SUM(AJ8:AJ12)+AJ16</f>
        <v>5322.0709999999999</v>
      </c>
      <c r="AK17" s="315">
        <f>SUM(AK8:AK12)+AK16</f>
        <v>5322.0709999999999</v>
      </c>
      <c r="AL17" s="116"/>
      <c r="AM17" s="118">
        <f>SUM(AM8:AM12)+AM16</f>
        <v>5477.4719999999998</v>
      </c>
      <c r="AN17" s="116">
        <f>SUM(AN8:AN12)+AN16</f>
        <v>5499.9979999999996</v>
      </c>
      <c r="AO17" s="116">
        <f>SUM(AO8:AO12)+AO16</f>
        <v>5434.5110000000004</v>
      </c>
      <c r="AP17" s="117">
        <f>SUM(AP8:AP12)+AP16</f>
        <v>5873</v>
      </c>
      <c r="AQ17" s="315">
        <f>SUM(AQ8:AQ12)+AQ16</f>
        <v>5873</v>
      </c>
      <c r="AR17" s="116"/>
      <c r="AS17" s="118">
        <f>SUM(AS8:AS12)+AS16</f>
        <v>5743</v>
      </c>
      <c r="AT17" s="116">
        <f>SUM(AT8:AT12)+AT16</f>
        <v>5946</v>
      </c>
      <c r="AU17" s="116">
        <f>SUM(AU8:AU12)+AU16</f>
        <v>6045</v>
      </c>
      <c r="AV17" s="117">
        <f>SUM(AV8:AV12)+AV16</f>
        <v>6131</v>
      </c>
      <c r="AW17" s="315">
        <f>SUM(AW8:AW12)+AW16</f>
        <v>6131</v>
      </c>
      <c r="AX17" s="116"/>
      <c r="AY17" s="118">
        <f>SUM(AY8:AY12)+AY16</f>
        <v>12111</v>
      </c>
      <c r="AZ17" s="116">
        <f>SUM(AZ8:AZ12)+AZ16</f>
        <v>6996</v>
      </c>
      <c r="BA17" s="116">
        <f>SUM(BA8:BA12)+BA16</f>
        <v>6303</v>
      </c>
      <c r="BB17" s="117">
        <f>SUM(BB8:BB12)+BB16</f>
        <v>6045</v>
      </c>
      <c r="BC17" s="315">
        <f>SUM(BC8:BC12)+BC16</f>
        <v>6045</v>
      </c>
      <c r="BD17" s="116"/>
      <c r="BE17" s="118">
        <f>SUM(BE8:BE12)+BE16</f>
        <v>5641</v>
      </c>
      <c r="BF17" s="116">
        <f>SUM(BF8:BF12)+BF16</f>
        <v>6612</v>
      </c>
      <c r="BG17" s="116">
        <f>SUM(BG8:BG12)+BG16</f>
        <v>6534</v>
      </c>
      <c r="BH17" s="117">
        <f>SUM(BH8:BH12)+BH16</f>
        <v>6366</v>
      </c>
      <c r="BI17" s="315">
        <f>SUM(BI8:BI12)+BI16</f>
        <v>6366</v>
      </c>
      <c r="BJ17" s="116"/>
      <c r="BK17" s="118">
        <f>SUM(BK8:BK12)+BK16</f>
        <v>5186</v>
      </c>
      <c r="BL17" s="116">
        <f>SUM(BL8:BL12)+BL16</f>
        <v>4891</v>
      </c>
      <c r="BM17" s="116">
        <f>SUM(BM8:BM12)+BM16</f>
        <v>18212</v>
      </c>
      <c r="BN17" s="117">
        <f>SUM(BN8:BN12)+BN16</f>
        <v>18634</v>
      </c>
      <c r="BO17" s="315">
        <f>SUM(BO8:BO12)+BO16</f>
        <v>18634</v>
      </c>
      <c r="BP17" s="116"/>
      <c r="BQ17" s="118">
        <f>SUM(BQ8:BQ12)+BQ16</f>
        <v>7543</v>
      </c>
      <c r="BR17" s="116">
        <f>SUM(BR8:BR12)+BR16</f>
        <v>7983.9863037503092</v>
      </c>
      <c r="BS17" s="116">
        <f>SUM(BS8:BS12)+BS16</f>
        <v>8468.3286705611681</v>
      </c>
      <c r="BT17" s="117">
        <f>SUM(BT8:BT12)+BT16</f>
        <v>8940.5489565763728</v>
      </c>
      <c r="BU17" s="315">
        <f>SUM(BU8:BU12)+BU16</f>
        <v>8940.5489565763728</v>
      </c>
      <c r="BV17" s="116"/>
      <c r="BW17" s="118">
        <f>SUM(BW8:BW12)+BW16</f>
        <v>9056.3797912066984</v>
      </c>
      <c r="BX17" s="116">
        <f>SUM(BX8:BX12)+BX16</f>
        <v>9353.1211075483079</v>
      </c>
      <c r="BY17" s="116">
        <f>SUM(BY8:BY12)+BY16</f>
        <v>9375.4570516388885</v>
      </c>
      <c r="BZ17" s="117">
        <f>SUM(BZ8:BZ12)+BZ16</f>
        <v>9675.2702855440057</v>
      </c>
      <c r="CA17" s="315">
        <f>SUM(CA8:CA12)+CA16</f>
        <v>9675.2702855440057</v>
      </c>
      <c r="CB17" s="116"/>
      <c r="CC17" s="118">
        <f>SUM(CC8:CC12)+CC16</f>
        <v>9509.6970267751403</v>
      </c>
      <c r="CD17" s="116">
        <f>SUM(CD8:CD12)+CD16</f>
        <v>8944.6317433794375</v>
      </c>
      <c r="CE17" s="116">
        <f>SUM(CE8:CE12)+CE16</f>
        <v>9483.5034130523491</v>
      </c>
      <c r="CF17" s="117">
        <f>SUM(CF8:CF12)+CF16</f>
        <v>9478.0018825730604</v>
      </c>
      <c r="CG17" s="315">
        <f>SUM(CG8:CG12)+CG16</f>
        <v>9478.0018825730604</v>
      </c>
      <c r="CH17" s="116"/>
      <c r="CI17" s="118">
        <f>SUM(CI8:CI12)+CI16</f>
        <v>10247.97236335755</v>
      </c>
      <c r="CJ17" s="116">
        <f>SUM(CJ8:CJ12)+CJ16</f>
        <v>11021.84934376887</v>
      </c>
      <c r="CK17" s="116">
        <f>SUM(CK8:CK12)+CK16</f>
        <v>11416.403107379969</v>
      </c>
      <c r="CL17" s="117">
        <f>SUM(CL8:CL12)+CL16</f>
        <v>12634.709440915583</v>
      </c>
      <c r="CM17" s="315">
        <f>SUM(CM8:CM12)+CM16</f>
        <v>12634.709440915583</v>
      </c>
      <c r="CQ17"/>
      <c r="CR17"/>
      <c r="CS17"/>
      <c r="CT17"/>
      <c r="CU17"/>
      <c r="CV17"/>
    </row>
    <row r="18" spans="1:100" s="61" customFormat="1" x14ac:dyDescent="0.2">
      <c r="A18" s="189"/>
      <c r="B18" s="92"/>
      <c r="C18" s="98"/>
      <c r="D18" s="92"/>
      <c r="E18" s="92"/>
      <c r="F18" s="99"/>
      <c r="G18" s="93"/>
      <c r="H18" s="92"/>
      <c r="I18" s="98"/>
      <c r="J18" s="92"/>
      <c r="K18" s="92"/>
      <c r="L18" s="99"/>
      <c r="M18" s="93"/>
      <c r="N18" s="92"/>
      <c r="O18" s="98"/>
      <c r="P18" s="92"/>
      <c r="Q18" s="92"/>
      <c r="R18" s="99"/>
      <c r="S18" s="93"/>
      <c r="T18" s="92"/>
      <c r="U18" s="98"/>
      <c r="V18" s="92"/>
      <c r="W18" s="92"/>
      <c r="X18" s="99"/>
      <c r="Y18" s="93"/>
      <c r="Z18" s="92"/>
      <c r="AA18" s="98"/>
      <c r="AB18" s="92"/>
      <c r="AC18" s="92"/>
      <c r="AD18" s="99"/>
      <c r="AE18" s="93"/>
      <c r="AF18" s="92"/>
      <c r="AG18" s="98"/>
      <c r="AH18" s="92"/>
      <c r="AI18" s="92"/>
      <c r="AJ18" s="99"/>
      <c r="AK18" s="93"/>
      <c r="AL18" s="92"/>
      <c r="AM18" s="98"/>
      <c r="AN18" s="92"/>
      <c r="AO18" s="92"/>
      <c r="AP18" s="99"/>
      <c r="AQ18" s="93"/>
      <c r="AR18" s="92"/>
      <c r="AS18" s="98"/>
      <c r="AT18" s="92"/>
      <c r="AU18" s="92"/>
      <c r="AV18" s="99"/>
      <c r="AW18" s="93"/>
      <c r="AX18" s="92"/>
      <c r="AY18" s="98"/>
      <c r="AZ18" s="92"/>
      <c r="BA18" s="92"/>
      <c r="BB18" s="99"/>
      <c r="BC18" s="93"/>
      <c r="BD18" s="92"/>
      <c r="BE18" s="98"/>
      <c r="BF18" s="92"/>
      <c r="BG18" s="92"/>
      <c r="BH18" s="99"/>
      <c r="BI18" s="93"/>
      <c r="BJ18" s="92"/>
      <c r="BK18" s="98"/>
      <c r="BL18" s="92"/>
      <c r="BM18" s="92"/>
      <c r="BN18" s="99"/>
      <c r="BO18" s="93"/>
      <c r="BP18" s="92"/>
      <c r="BQ18" s="98"/>
      <c r="BR18" s="92"/>
      <c r="BS18" s="92"/>
      <c r="BT18" s="99"/>
      <c r="BU18" s="93"/>
      <c r="BV18" s="92"/>
      <c r="BW18" s="98"/>
      <c r="BX18" s="92"/>
      <c r="BY18" s="92"/>
      <c r="BZ18" s="99"/>
      <c r="CA18" s="93"/>
      <c r="CB18" s="92"/>
      <c r="CC18" s="98"/>
      <c r="CD18" s="92"/>
      <c r="CE18" s="92"/>
      <c r="CF18" s="99"/>
      <c r="CG18" s="93"/>
      <c r="CH18" s="92"/>
      <c r="CI18" s="98"/>
      <c r="CJ18" s="92"/>
      <c r="CK18" s="92"/>
      <c r="CL18" s="99"/>
      <c r="CM18" s="93"/>
      <c r="CQ18"/>
      <c r="CR18"/>
      <c r="CS18"/>
      <c r="CT18"/>
      <c r="CU18"/>
      <c r="CV18"/>
    </row>
    <row r="19" spans="1:100" s="61" customFormat="1" x14ac:dyDescent="0.2">
      <c r="A19" s="189" t="s">
        <v>125</v>
      </c>
      <c r="B19" s="92"/>
      <c r="C19" s="104">
        <v>2206.13</v>
      </c>
      <c r="D19" s="105">
        <v>2266.2269999999999</v>
      </c>
      <c r="E19" s="105">
        <v>2334.848</v>
      </c>
      <c r="F19" s="106">
        <v>2497.3380000000002</v>
      </c>
      <c r="G19" s="93">
        <f t="shared" ref="G19:G26" si="8">F19</f>
        <v>2497.3380000000002</v>
      </c>
      <c r="H19" s="92"/>
      <c r="I19" s="104">
        <f>5468.174-2924.175</f>
        <v>2543.9989999999998</v>
      </c>
      <c r="J19" s="105">
        <v>2670.4349999999999</v>
      </c>
      <c r="K19" s="105">
        <f>5845.401-3104.176</f>
        <v>2741.2249999999999</v>
      </c>
      <c r="L19" s="106">
        <v>2744.4740000000002</v>
      </c>
      <c r="M19" s="93">
        <f t="shared" ref="M19:M26" si="9">L19</f>
        <v>2744.4740000000002</v>
      </c>
      <c r="N19" s="92"/>
      <c r="O19" s="104">
        <v>2694.8110000000001</v>
      </c>
      <c r="P19" s="105">
        <v>2663.0729999999999</v>
      </c>
      <c r="Q19" s="105">
        <v>2782.5010000000002</v>
      </c>
      <c r="R19" s="106">
        <v>2966.6289999999999</v>
      </c>
      <c r="S19" s="93">
        <f t="shared" ref="S19:S26" si="10">R19</f>
        <v>2966.6289999999999</v>
      </c>
      <c r="T19" s="92"/>
      <c r="U19" s="104">
        <v>2999.4259999999999</v>
      </c>
      <c r="V19" s="105">
        <v>2967.6770000000001</v>
      </c>
      <c r="W19" s="105">
        <v>2887.393</v>
      </c>
      <c r="X19" s="106">
        <v>3100.4920000000002</v>
      </c>
      <c r="Y19" s="93">
        <f t="shared" ref="Y19:Y26" si="11">X19</f>
        <v>3100.4920000000002</v>
      </c>
      <c r="Z19" s="92"/>
      <c r="AA19" s="104">
        <v>3081.855</v>
      </c>
      <c r="AB19" s="105">
        <v>3165.683</v>
      </c>
      <c r="AC19" s="105">
        <v>3217.123</v>
      </c>
      <c r="AD19" s="106">
        <v>3211.1970000000001</v>
      </c>
      <c r="AE19" s="93">
        <f t="shared" ref="AE19:AE26" si="12">AD19</f>
        <v>3211.1970000000001</v>
      </c>
      <c r="AF19" s="92"/>
      <c r="AG19" s="104">
        <v>3212.3119999999999</v>
      </c>
      <c r="AH19" s="105">
        <v>3274.1219999999998</v>
      </c>
      <c r="AI19" s="105">
        <v>3149.9749999999999</v>
      </c>
      <c r="AJ19" s="106">
        <v>3303.9279999999999</v>
      </c>
      <c r="AK19" s="93">
        <f t="shared" ref="AK19:AK26" si="13">AJ19</f>
        <v>3303.9279999999999</v>
      </c>
      <c r="AL19" s="92"/>
      <c r="AM19" s="104">
        <v>3316.7779999999998</v>
      </c>
      <c r="AN19" s="105">
        <v>3314.9639999999999</v>
      </c>
      <c r="AO19" s="105">
        <v>3351.6619999999998</v>
      </c>
      <c r="AP19" s="106">
        <v>3476</v>
      </c>
      <c r="AQ19" s="93">
        <f t="shared" ref="AQ19:AQ26" si="14">AP19</f>
        <v>3476</v>
      </c>
      <c r="AR19" s="92"/>
      <c r="AS19" s="104">
        <v>3495</v>
      </c>
      <c r="AT19" s="105">
        <v>3512</v>
      </c>
      <c r="AU19" s="105">
        <v>3551</v>
      </c>
      <c r="AV19" s="106">
        <f>3605-1</f>
        <v>3604</v>
      </c>
      <c r="AW19" s="93">
        <f t="shared" ref="AW19:AW26" si="15">AV19</f>
        <v>3604</v>
      </c>
      <c r="AX19" s="92"/>
      <c r="AY19" s="95">
        <v>3565</v>
      </c>
      <c r="AZ19" s="96">
        <v>3992</v>
      </c>
      <c r="BA19" s="96">
        <v>4047</v>
      </c>
      <c r="BB19" s="97">
        <v>4060</v>
      </c>
      <c r="BC19" s="93">
        <f t="shared" ref="BC19:BC26" si="16">BB19</f>
        <v>4060</v>
      </c>
      <c r="BD19" s="92"/>
      <c r="BE19" s="95">
        <v>3957</v>
      </c>
      <c r="BF19" s="96">
        <v>3779</v>
      </c>
      <c r="BG19" s="96">
        <v>3813</v>
      </c>
      <c r="BH19" s="97">
        <v>3901</v>
      </c>
      <c r="BI19" s="93">
        <f t="shared" ref="BI19:BI26" si="17">BH19</f>
        <v>3901</v>
      </c>
      <c r="BJ19" s="92"/>
      <c r="BK19" s="95">
        <v>3827</v>
      </c>
      <c r="BL19" s="96">
        <v>3940</v>
      </c>
      <c r="BM19" s="96">
        <f>8975-4565</f>
        <v>4410</v>
      </c>
      <c r="BN19" s="97">
        <v>4638</v>
      </c>
      <c r="BO19" s="93">
        <f t="shared" ref="BO19:BO26" si="18">BN19</f>
        <v>4638</v>
      </c>
      <c r="BP19" s="92"/>
      <c r="BQ19" s="95">
        <f>10109-4848</f>
        <v>5261</v>
      </c>
      <c r="BR19" s="92">
        <f>BR114</f>
        <v>5311.7068965517237</v>
      </c>
      <c r="BS19" s="92">
        <f>BS114</f>
        <v>5358.5344827586205</v>
      </c>
      <c r="BT19" s="99">
        <f>BT114</f>
        <v>5401.4827586206893</v>
      </c>
      <c r="BU19" s="93">
        <f t="shared" ref="BU19:BU26" si="19">BT19</f>
        <v>5401.4827586206893</v>
      </c>
      <c r="BV19" s="92"/>
      <c r="BW19" s="98">
        <f>BW114</f>
        <v>5425.5517241379303</v>
      </c>
      <c r="BX19" s="92">
        <f>BX114</f>
        <v>5445.9999999999991</v>
      </c>
      <c r="BY19" s="92">
        <f>BY114</f>
        <v>5462.8275862068958</v>
      </c>
      <c r="BZ19" s="99">
        <f>BZ114</f>
        <v>5476.0344827586196</v>
      </c>
      <c r="CA19" s="93">
        <f t="shared" ref="CA19:CA26" si="20">BZ19</f>
        <v>5476.0344827586196</v>
      </c>
      <c r="CB19" s="92"/>
      <c r="CC19" s="98">
        <f>CC114</f>
        <v>5485.6206896551712</v>
      </c>
      <c r="CD19" s="92">
        <f>CD114</f>
        <v>5491.5862068965507</v>
      </c>
      <c r="CE19" s="92">
        <f>CE114</f>
        <v>5493.9310344827572</v>
      </c>
      <c r="CF19" s="99">
        <f>CF114</f>
        <v>5492.6551724137917</v>
      </c>
      <c r="CG19" s="93">
        <f t="shared" ref="CG19:CG26" si="21">CF19</f>
        <v>5492.6551724137917</v>
      </c>
      <c r="CH19" s="92"/>
      <c r="CI19" s="98">
        <f>CI114</f>
        <v>5487.758620689654</v>
      </c>
      <c r="CJ19" s="92">
        <f>CJ114</f>
        <v>5479.2413793103433</v>
      </c>
      <c r="CK19" s="92">
        <f>CK114</f>
        <v>5467.1034482758605</v>
      </c>
      <c r="CL19" s="99">
        <f>CL114</f>
        <v>5451.3448275862056</v>
      </c>
      <c r="CM19" s="93">
        <f t="shared" ref="CM19:CM26" si="22">CL19</f>
        <v>5451.3448275862056</v>
      </c>
      <c r="CQ19"/>
      <c r="CR19"/>
      <c r="CS19"/>
      <c r="CT19"/>
      <c r="CU19"/>
      <c r="CV19"/>
    </row>
    <row r="20" spans="1:100" s="61" customFormat="1" x14ac:dyDescent="0.2">
      <c r="A20" s="687" t="s">
        <v>126</v>
      </c>
      <c r="B20" s="92" t="s">
        <v>33</v>
      </c>
      <c r="C20" s="104"/>
      <c r="D20" s="105"/>
      <c r="E20" s="105"/>
      <c r="F20" s="106"/>
      <c r="G20" s="93"/>
      <c r="H20" s="92"/>
      <c r="I20" s="104"/>
      <c r="J20" s="105"/>
      <c r="K20" s="105"/>
      <c r="L20" s="106"/>
      <c r="M20" s="93"/>
      <c r="N20" s="92"/>
      <c r="O20" s="104"/>
      <c r="P20" s="105"/>
      <c r="Q20" s="105"/>
      <c r="R20" s="106"/>
      <c r="S20" s="93"/>
      <c r="T20" s="92"/>
      <c r="U20" s="104"/>
      <c r="V20" s="105"/>
      <c r="W20" s="105"/>
      <c r="X20" s="106"/>
      <c r="Y20" s="93"/>
      <c r="Z20" s="92"/>
      <c r="AA20" s="104"/>
      <c r="AB20" s="105"/>
      <c r="AC20" s="105"/>
      <c r="AD20" s="106"/>
      <c r="AE20" s="93"/>
      <c r="AF20" s="92"/>
      <c r="AG20" s="104"/>
      <c r="AH20" s="105"/>
      <c r="AI20" s="105"/>
      <c r="AJ20" s="106"/>
      <c r="AK20" s="93"/>
      <c r="AL20" s="92"/>
      <c r="AM20" s="104"/>
      <c r="AN20" s="105"/>
      <c r="AO20" s="105"/>
      <c r="AP20" s="106"/>
      <c r="AQ20" s="93"/>
      <c r="AR20" s="92"/>
      <c r="AS20" s="104"/>
      <c r="AT20" s="105"/>
      <c r="AU20" s="105"/>
      <c r="AV20" s="99"/>
      <c r="AW20" s="93"/>
      <c r="AX20" s="92"/>
      <c r="AY20" s="88"/>
      <c r="AZ20" s="96">
        <v>1044</v>
      </c>
      <c r="BA20" s="96">
        <v>1082</v>
      </c>
      <c r="BB20" s="97">
        <v>1118</v>
      </c>
      <c r="BC20" s="93">
        <f t="shared" si="16"/>
        <v>1118</v>
      </c>
      <c r="BD20" s="92"/>
      <c r="BE20" s="95">
        <v>1132</v>
      </c>
      <c r="BF20" s="96">
        <v>826</v>
      </c>
      <c r="BG20" s="96">
        <v>785</v>
      </c>
      <c r="BH20" s="97">
        <v>796</v>
      </c>
      <c r="BI20" s="93">
        <f t="shared" si="17"/>
        <v>796</v>
      </c>
      <c r="BJ20" s="92"/>
      <c r="BK20" s="95">
        <v>816</v>
      </c>
      <c r="BL20" s="96">
        <v>817</v>
      </c>
      <c r="BM20" s="96">
        <v>43</v>
      </c>
      <c r="BN20" s="97">
        <v>38</v>
      </c>
      <c r="BO20" s="93">
        <f t="shared" si="18"/>
        <v>38</v>
      </c>
      <c r="BP20" s="92"/>
      <c r="BQ20" s="95">
        <v>0</v>
      </c>
      <c r="BR20" s="92">
        <f>BR99</f>
        <v>0</v>
      </c>
      <c r="BS20" s="92">
        <f>BS99</f>
        <v>0</v>
      </c>
      <c r="BT20" s="99">
        <f>BT99</f>
        <v>0</v>
      </c>
      <c r="BU20" s="93">
        <f t="shared" si="19"/>
        <v>0</v>
      </c>
      <c r="BV20" s="92"/>
      <c r="BW20" s="98">
        <f>BW99</f>
        <v>0</v>
      </c>
      <c r="BX20" s="92">
        <f>BX99</f>
        <v>0</v>
      </c>
      <c r="BY20" s="92">
        <f>BY99</f>
        <v>0</v>
      </c>
      <c r="BZ20" s="99">
        <f>BZ99</f>
        <v>0</v>
      </c>
      <c r="CA20" s="93">
        <f t="shared" si="20"/>
        <v>0</v>
      </c>
      <c r="CB20" s="92"/>
      <c r="CC20" s="98">
        <f>CC99</f>
        <v>0</v>
      </c>
      <c r="CD20" s="92">
        <f>CD99</f>
        <v>0</v>
      </c>
      <c r="CE20" s="92">
        <f>CE99</f>
        <v>0</v>
      </c>
      <c r="CF20" s="99">
        <f>CF99</f>
        <v>0</v>
      </c>
      <c r="CG20" s="93">
        <f t="shared" si="21"/>
        <v>0</v>
      </c>
      <c r="CH20" s="92"/>
      <c r="CI20" s="98">
        <f>CI99</f>
        <v>0</v>
      </c>
      <c r="CJ20" s="92">
        <f>CJ99</f>
        <v>0</v>
      </c>
      <c r="CK20" s="92">
        <f>CK99</f>
        <v>0</v>
      </c>
      <c r="CL20" s="99">
        <f>CL99</f>
        <v>0</v>
      </c>
      <c r="CM20" s="93">
        <f t="shared" si="22"/>
        <v>0</v>
      </c>
      <c r="CQ20"/>
      <c r="CR20"/>
      <c r="CS20"/>
      <c r="CT20"/>
      <c r="CU20"/>
      <c r="CV20"/>
    </row>
    <row r="21" spans="1:100" s="61" customFormat="1" x14ac:dyDescent="0.2">
      <c r="A21" s="189" t="s">
        <v>127</v>
      </c>
      <c r="B21" s="92"/>
      <c r="C21" s="104">
        <v>614.59</v>
      </c>
      <c r="D21" s="105">
        <v>615.89800000000002</v>
      </c>
      <c r="E21" s="105">
        <v>618.76099999999997</v>
      </c>
      <c r="F21" s="106">
        <v>621.41399999999999</v>
      </c>
      <c r="G21" s="93">
        <f t="shared" si="8"/>
        <v>621.41399999999999</v>
      </c>
      <c r="H21" s="92"/>
      <c r="I21" s="104">
        <v>621.58699999999999</v>
      </c>
      <c r="J21" s="105">
        <v>632.94000000000005</v>
      </c>
      <c r="K21" s="105">
        <v>652.05399999999997</v>
      </c>
      <c r="L21" s="106">
        <v>625.76800000000003</v>
      </c>
      <c r="M21" s="93">
        <f t="shared" si="9"/>
        <v>625.76800000000003</v>
      </c>
      <c r="N21" s="92"/>
      <c r="O21" s="104">
        <v>608.28499999999997</v>
      </c>
      <c r="P21" s="105">
        <v>597.471</v>
      </c>
      <c r="Q21" s="105">
        <v>610.78200000000004</v>
      </c>
      <c r="R21" s="106">
        <v>621.87199999999996</v>
      </c>
      <c r="S21" s="93">
        <f t="shared" si="10"/>
        <v>621.87199999999996</v>
      </c>
      <c r="T21" s="92"/>
      <c r="U21" s="104">
        <v>769.97500000000002</v>
      </c>
      <c r="V21" s="105">
        <v>764.05899999999997</v>
      </c>
      <c r="W21" s="105">
        <v>754.95100000000002</v>
      </c>
      <c r="X21" s="106">
        <v>763.96100000000001</v>
      </c>
      <c r="Y21" s="93">
        <f t="shared" si="11"/>
        <v>763.96100000000001</v>
      </c>
      <c r="Z21" s="92"/>
      <c r="AA21" s="104">
        <v>760.96199999999999</v>
      </c>
      <c r="AB21" s="105">
        <v>866.26</v>
      </c>
      <c r="AC21" s="105">
        <v>867.77800000000002</v>
      </c>
      <c r="AD21" s="106">
        <v>991.12099999999998</v>
      </c>
      <c r="AE21" s="93">
        <f t="shared" si="12"/>
        <v>991.12099999999998</v>
      </c>
      <c r="AF21" s="92"/>
      <c r="AG21" s="104">
        <v>992.73599999999999</v>
      </c>
      <c r="AH21" s="105">
        <v>1032.4929999999999</v>
      </c>
      <c r="AI21" s="105">
        <v>1016.576</v>
      </c>
      <c r="AJ21" s="106">
        <v>1076.077</v>
      </c>
      <c r="AK21" s="93">
        <f t="shared" si="13"/>
        <v>1076.077</v>
      </c>
      <c r="AL21" s="92"/>
      <c r="AM21" s="104">
        <v>1097.691</v>
      </c>
      <c r="AN21" s="105">
        <v>1099.682</v>
      </c>
      <c r="AO21" s="105">
        <v>1092.337</v>
      </c>
      <c r="AP21" s="106">
        <v>1109</v>
      </c>
      <c r="AQ21" s="93">
        <f t="shared" si="14"/>
        <v>1109</v>
      </c>
      <c r="AR21" s="92"/>
      <c r="AS21" s="104">
        <v>1106</v>
      </c>
      <c r="AT21" s="105">
        <v>1124</v>
      </c>
      <c r="AU21" s="105">
        <v>1116</v>
      </c>
      <c r="AV21" s="106">
        <v>1090</v>
      </c>
      <c r="AW21" s="93">
        <f t="shared" si="15"/>
        <v>1090</v>
      </c>
      <c r="AX21" s="92"/>
      <c r="AY21" s="95">
        <v>1140</v>
      </c>
      <c r="AZ21" s="96">
        <f>7663-1</f>
        <v>7662</v>
      </c>
      <c r="BA21" s="96">
        <v>7464</v>
      </c>
      <c r="BB21" s="97">
        <f>7537+1</f>
        <v>7538</v>
      </c>
      <c r="BC21" s="93">
        <f t="shared" si="16"/>
        <v>7538</v>
      </c>
      <c r="BD21" s="92"/>
      <c r="BE21" s="95">
        <v>7372</v>
      </c>
      <c r="BF21" s="96">
        <v>7448</v>
      </c>
      <c r="BG21" s="96">
        <v>7425</v>
      </c>
      <c r="BH21" s="97">
        <v>7419</v>
      </c>
      <c r="BI21" s="93">
        <f t="shared" si="17"/>
        <v>7419</v>
      </c>
      <c r="BJ21" s="92"/>
      <c r="BK21" s="95">
        <v>7363</v>
      </c>
      <c r="BL21" s="96">
        <v>7405</v>
      </c>
      <c r="BM21" s="96">
        <v>7513</v>
      </c>
      <c r="BN21" s="97">
        <v>7563</v>
      </c>
      <c r="BO21" s="93">
        <f t="shared" si="18"/>
        <v>7563</v>
      </c>
      <c r="BP21" s="92"/>
      <c r="BQ21" s="95">
        <v>22699</v>
      </c>
      <c r="BR21" s="92">
        <f>BQ21</f>
        <v>22699</v>
      </c>
      <c r="BS21" s="92">
        <f>BR21</f>
        <v>22699</v>
      </c>
      <c r="BT21" s="99">
        <f>BS21</f>
        <v>22699</v>
      </c>
      <c r="BU21" s="93">
        <f t="shared" si="19"/>
        <v>22699</v>
      </c>
      <c r="BV21" s="92"/>
      <c r="BW21" s="98">
        <f>BT21</f>
        <v>22699</v>
      </c>
      <c r="BX21" s="92">
        <f>BW21</f>
        <v>22699</v>
      </c>
      <c r="BY21" s="92">
        <f>BX21</f>
        <v>22699</v>
      </c>
      <c r="BZ21" s="99">
        <f>BY21</f>
        <v>22699</v>
      </c>
      <c r="CA21" s="93">
        <f t="shared" si="20"/>
        <v>22699</v>
      </c>
      <c r="CB21" s="92"/>
      <c r="CC21" s="98">
        <f>BZ21</f>
        <v>22699</v>
      </c>
      <c r="CD21" s="92">
        <f>CC21</f>
        <v>22699</v>
      </c>
      <c r="CE21" s="92">
        <f>CD21</f>
        <v>22699</v>
      </c>
      <c r="CF21" s="99">
        <f>CE21</f>
        <v>22699</v>
      </c>
      <c r="CG21" s="93">
        <f t="shared" si="21"/>
        <v>22699</v>
      </c>
      <c r="CH21" s="92"/>
      <c r="CI21" s="98">
        <f>CF21</f>
        <v>22699</v>
      </c>
      <c r="CJ21" s="92">
        <f>CI21</f>
        <v>22699</v>
      </c>
      <c r="CK21" s="92">
        <f>CJ21</f>
        <v>22699</v>
      </c>
      <c r="CL21" s="99">
        <f>CK21</f>
        <v>22699</v>
      </c>
      <c r="CM21" s="93">
        <f t="shared" si="22"/>
        <v>22699</v>
      </c>
      <c r="CQ21"/>
      <c r="CR21"/>
      <c r="CS21"/>
      <c r="CT21"/>
      <c r="CU21"/>
      <c r="CV21"/>
    </row>
    <row r="22" spans="1:100" s="61" customFormat="1" x14ac:dyDescent="0.2">
      <c r="A22" s="189" t="s">
        <v>128</v>
      </c>
      <c r="B22" s="92"/>
      <c r="C22" s="104"/>
      <c r="D22" s="105"/>
      <c r="E22" s="105"/>
      <c r="F22" s="106"/>
      <c r="G22" s="93"/>
      <c r="H22" s="92"/>
      <c r="I22" s="104"/>
      <c r="J22" s="105"/>
      <c r="K22" s="105"/>
      <c r="L22" s="106"/>
      <c r="M22" s="93"/>
      <c r="N22" s="92"/>
      <c r="O22" s="104"/>
      <c r="P22" s="105"/>
      <c r="Q22" s="105"/>
      <c r="R22" s="106"/>
      <c r="S22" s="93"/>
      <c r="T22" s="92"/>
      <c r="U22" s="104"/>
      <c r="V22" s="105"/>
      <c r="W22" s="105"/>
      <c r="X22" s="106"/>
      <c r="Y22" s="93"/>
      <c r="Z22" s="92"/>
      <c r="AA22" s="104"/>
      <c r="AB22" s="105"/>
      <c r="AC22" s="105"/>
      <c r="AD22" s="106"/>
      <c r="AE22" s="93"/>
      <c r="AF22" s="92"/>
      <c r="AG22" s="104"/>
      <c r="AH22" s="105"/>
      <c r="AI22" s="105"/>
      <c r="AJ22" s="106"/>
      <c r="AK22" s="93"/>
      <c r="AL22" s="92"/>
      <c r="AM22" s="104"/>
      <c r="AN22" s="105"/>
      <c r="AO22" s="105"/>
      <c r="AP22" s="106"/>
      <c r="AQ22" s="93"/>
      <c r="AR22" s="92"/>
      <c r="AS22" s="104"/>
      <c r="AT22" s="105"/>
      <c r="AU22" s="105"/>
      <c r="AV22" s="106"/>
      <c r="AW22" s="93"/>
      <c r="AX22" s="92"/>
      <c r="AY22" s="95"/>
      <c r="AZ22" s="96">
        <v>3562</v>
      </c>
      <c r="BA22" s="96">
        <v>3313</v>
      </c>
      <c r="BB22" s="97">
        <v>3250</v>
      </c>
      <c r="BC22" s="93">
        <f t="shared" si="16"/>
        <v>3250</v>
      </c>
      <c r="BD22" s="92"/>
      <c r="BE22" s="95">
        <v>3194</v>
      </c>
      <c r="BF22" s="96">
        <v>3128</v>
      </c>
      <c r="BG22" s="96">
        <v>3075</v>
      </c>
      <c r="BH22" s="97">
        <v>3022</v>
      </c>
      <c r="BI22" s="93">
        <f t="shared" si="17"/>
        <v>3022</v>
      </c>
      <c r="BJ22" s="92"/>
      <c r="BK22" s="95">
        <v>2965</v>
      </c>
      <c r="BL22" s="96">
        <v>2923</v>
      </c>
      <c r="BM22" s="96">
        <v>2867</v>
      </c>
      <c r="BN22" s="97">
        <v>2830</v>
      </c>
      <c r="BO22" s="93">
        <f t="shared" si="18"/>
        <v>2830</v>
      </c>
      <c r="BP22" s="92"/>
      <c r="BQ22" s="95">
        <v>3938</v>
      </c>
      <c r="BR22" s="92">
        <f>BR127</f>
        <v>3872.8714285714286</v>
      </c>
      <c r="BS22" s="92">
        <f>BS127</f>
        <v>3807.7428571428572</v>
      </c>
      <c r="BT22" s="99">
        <f>BT127</f>
        <v>3742.6142857142859</v>
      </c>
      <c r="BU22" s="93">
        <f t="shared" si="19"/>
        <v>3742.6142857142859</v>
      </c>
      <c r="BV22" s="92"/>
      <c r="BW22" s="98">
        <f>BW127</f>
        <v>3677.4857142857145</v>
      </c>
      <c r="BX22" s="92">
        <f>BX127</f>
        <v>3612.3571428571431</v>
      </c>
      <c r="BY22" s="92">
        <f>BY127</f>
        <v>3547.2285714285717</v>
      </c>
      <c r="BZ22" s="99">
        <f>BZ127</f>
        <v>3482.1000000000004</v>
      </c>
      <c r="CA22" s="93">
        <f t="shared" si="20"/>
        <v>3482.1000000000004</v>
      </c>
      <c r="CB22" s="92"/>
      <c r="CC22" s="98">
        <f>CC127</f>
        <v>3416.971428571429</v>
      </c>
      <c r="CD22" s="92">
        <f>CD127</f>
        <v>3351.8428571428576</v>
      </c>
      <c r="CE22" s="92">
        <f>CE127</f>
        <v>3286.7142857142862</v>
      </c>
      <c r="CF22" s="99">
        <f>CF127</f>
        <v>3221.5857142857149</v>
      </c>
      <c r="CG22" s="93">
        <f t="shared" si="21"/>
        <v>3221.5857142857149</v>
      </c>
      <c r="CH22" s="92"/>
      <c r="CI22" s="98">
        <f>CI127</f>
        <v>3156.4571428571435</v>
      </c>
      <c r="CJ22" s="92">
        <f>CJ127</f>
        <v>3091.3285714285721</v>
      </c>
      <c r="CK22" s="92">
        <f>CK127</f>
        <v>3026.2000000000007</v>
      </c>
      <c r="CL22" s="99">
        <f>CL127</f>
        <v>2961.0714285714294</v>
      </c>
      <c r="CM22" s="93">
        <f t="shared" si="22"/>
        <v>2961.0714285714294</v>
      </c>
      <c r="CQ22"/>
      <c r="CR22"/>
      <c r="CS22"/>
      <c r="CT22"/>
      <c r="CU22"/>
      <c r="CV22"/>
    </row>
    <row r="23" spans="1:100" s="61" customFormat="1" x14ac:dyDescent="0.2">
      <c r="A23" s="189" t="s">
        <v>129</v>
      </c>
      <c r="B23" s="92"/>
      <c r="C23" s="104">
        <v>377.66199999999998</v>
      </c>
      <c r="D23" s="105">
        <v>367.57</v>
      </c>
      <c r="E23" s="105">
        <v>370.34300000000002</v>
      </c>
      <c r="F23" s="106">
        <v>374.779</v>
      </c>
      <c r="G23" s="93">
        <f t="shared" si="8"/>
        <v>374.779</v>
      </c>
      <c r="H23" s="92"/>
      <c r="I23" s="104">
        <v>364.29399999999998</v>
      </c>
      <c r="J23" s="105">
        <v>364.05399999999997</v>
      </c>
      <c r="K23" s="105">
        <v>375.05900000000003</v>
      </c>
      <c r="L23" s="106">
        <v>348.53100000000001</v>
      </c>
      <c r="M23" s="93">
        <f t="shared" si="9"/>
        <v>348.53100000000001</v>
      </c>
      <c r="N23" s="92"/>
      <c r="O23" s="104">
        <v>321.19299999999998</v>
      </c>
      <c r="P23" s="105">
        <v>307.89100000000002</v>
      </c>
      <c r="Q23" s="105">
        <v>305.64100000000002</v>
      </c>
      <c r="R23" s="106">
        <v>309.99</v>
      </c>
      <c r="S23" s="93">
        <f t="shared" si="10"/>
        <v>309.99</v>
      </c>
      <c r="T23" s="92"/>
      <c r="U23" s="104">
        <v>301.43299999999999</v>
      </c>
      <c r="V23" s="105">
        <v>296.74400000000003</v>
      </c>
      <c r="W23" s="105">
        <v>308.608</v>
      </c>
      <c r="X23" s="106">
        <v>310.78300000000002</v>
      </c>
      <c r="Y23" s="93">
        <f t="shared" si="11"/>
        <v>310.78300000000002</v>
      </c>
      <c r="Z23" s="92"/>
      <c r="AA23" s="104">
        <v>302.25599999999997</v>
      </c>
      <c r="AB23" s="105">
        <v>411.50700000000001</v>
      </c>
      <c r="AC23" s="105">
        <v>400.76799999999997</v>
      </c>
      <c r="AD23" s="106">
        <v>380.899</v>
      </c>
      <c r="AE23" s="93">
        <f t="shared" si="12"/>
        <v>380.899</v>
      </c>
      <c r="AF23" s="92"/>
      <c r="AG23" s="104">
        <v>371.78</v>
      </c>
      <c r="AH23" s="105">
        <v>376.96899999999999</v>
      </c>
      <c r="AI23" s="105">
        <v>355.36500000000001</v>
      </c>
      <c r="AJ23" s="106">
        <v>511.67399999999998</v>
      </c>
      <c r="AK23" s="93">
        <f t="shared" si="13"/>
        <v>511.67399999999998</v>
      </c>
      <c r="AL23" s="92"/>
      <c r="AM23" s="104">
        <v>568.80799999999999</v>
      </c>
      <c r="AN23" s="105">
        <v>560.13</v>
      </c>
      <c r="AO23" s="105">
        <v>543.476</v>
      </c>
      <c r="AP23" s="106">
        <v>541</v>
      </c>
      <c r="AQ23" s="93">
        <f t="shared" si="14"/>
        <v>541</v>
      </c>
      <c r="AR23" s="92"/>
      <c r="AS23" s="104">
        <v>524</v>
      </c>
      <c r="AT23" s="105">
        <v>540</v>
      </c>
      <c r="AU23" s="105">
        <v>531</v>
      </c>
      <c r="AV23" s="106">
        <v>513</v>
      </c>
      <c r="AW23" s="93">
        <f t="shared" si="15"/>
        <v>513</v>
      </c>
      <c r="AX23" s="92"/>
      <c r="AY23" s="95">
        <v>496</v>
      </c>
      <c r="AZ23" s="96">
        <v>3028</v>
      </c>
      <c r="BA23" s="96">
        <v>2962</v>
      </c>
      <c r="BB23" s="97">
        <v>2977</v>
      </c>
      <c r="BC23" s="93">
        <f t="shared" si="16"/>
        <v>2977</v>
      </c>
      <c r="BD23" s="92"/>
      <c r="BE23" s="95">
        <v>2906</v>
      </c>
      <c r="BF23" s="96">
        <v>2721</v>
      </c>
      <c r="BG23" s="96">
        <v>2658</v>
      </c>
      <c r="BH23" s="97">
        <v>2655</v>
      </c>
      <c r="BI23" s="93">
        <f t="shared" si="17"/>
        <v>2655</v>
      </c>
      <c r="BJ23" s="92"/>
      <c r="BK23" s="95">
        <v>2580</v>
      </c>
      <c r="BL23" s="96">
        <v>2539</v>
      </c>
      <c r="BM23" s="96">
        <v>2533</v>
      </c>
      <c r="BN23" s="97">
        <v>2478</v>
      </c>
      <c r="BO23" s="93">
        <f t="shared" si="18"/>
        <v>2478</v>
      </c>
      <c r="BP23" s="92"/>
      <c r="BQ23" s="95">
        <v>14173</v>
      </c>
      <c r="BR23" s="92">
        <f>BR140</f>
        <v>13954.871428571429</v>
      </c>
      <c r="BS23" s="92">
        <f>BS140</f>
        <v>13736.742857142857</v>
      </c>
      <c r="BT23" s="99">
        <f>BT140</f>
        <v>13518.614285714286</v>
      </c>
      <c r="BU23" s="93">
        <f t="shared" si="19"/>
        <v>13518.614285714286</v>
      </c>
      <c r="BV23" s="92"/>
      <c r="BW23" s="98">
        <f>BW140</f>
        <v>13300.485714285714</v>
      </c>
      <c r="BX23" s="92">
        <f>BX140</f>
        <v>13082.357142857143</v>
      </c>
      <c r="BY23" s="92">
        <f>BY140</f>
        <v>12864.228571428572</v>
      </c>
      <c r="BZ23" s="99">
        <f>BZ140</f>
        <v>12646.1</v>
      </c>
      <c r="CA23" s="93">
        <f t="shared" si="20"/>
        <v>12646.1</v>
      </c>
      <c r="CB23" s="92"/>
      <c r="CC23" s="98">
        <f>CC140</f>
        <v>12427.971428571429</v>
      </c>
      <c r="CD23" s="92">
        <f>CD140</f>
        <v>12209.842857142858</v>
      </c>
      <c r="CE23" s="92">
        <f>CE140</f>
        <v>11991.714285714286</v>
      </c>
      <c r="CF23" s="99">
        <f>CF140</f>
        <v>11773.585714285715</v>
      </c>
      <c r="CG23" s="93">
        <f t="shared" si="21"/>
        <v>11773.585714285715</v>
      </c>
      <c r="CH23" s="92"/>
      <c r="CI23" s="98">
        <f>CI140</f>
        <v>11555.457142857143</v>
      </c>
      <c r="CJ23" s="92">
        <f>CJ140</f>
        <v>11337.328571428572</v>
      </c>
      <c r="CK23" s="92">
        <f>CK140</f>
        <v>11119.2</v>
      </c>
      <c r="CL23" s="99">
        <f>CL140</f>
        <v>10901.071428571429</v>
      </c>
      <c r="CM23" s="93">
        <f t="shared" si="22"/>
        <v>10901.071428571429</v>
      </c>
      <c r="CQ23"/>
      <c r="CR23"/>
      <c r="CS23"/>
      <c r="CT23"/>
      <c r="CU23"/>
      <c r="CV23"/>
    </row>
    <row r="24" spans="1:100" s="61" customFormat="1" x14ac:dyDescent="0.2">
      <c r="A24" s="189" t="s">
        <v>130</v>
      </c>
      <c r="B24" s="92"/>
      <c r="C24" s="104">
        <v>85.138999999999996</v>
      </c>
      <c r="D24" s="105">
        <v>82.733000000000004</v>
      </c>
      <c r="E24" s="105">
        <v>80.691999999999993</v>
      </c>
      <c r="F24" s="106">
        <v>95.938000000000002</v>
      </c>
      <c r="G24" s="93">
        <f t="shared" si="8"/>
        <v>95.938000000000002</v>
      </c>
      <c r="H24" s="92"/>
      <c r="I24" s="104">
        <v>93.867999999999995</v>
      </c>
      <c r="J24" s="105">
        <v>92.405000000000001</v>
      </c>
      <c r="K24" s="105">
        <v>89.224999999999994</v>
      </c>
      <c r="L24" s="106">
        <v>89.674999999999997</v>
      </c>
      <c r="M24" s="93">
        <f t="shared" si="9"/>
        <v>89.674999999999997</v>
      </c>
      <c r="N24" s="92"/>
      <c r="O24" s="104">
        <v>87.558000000000007</v>
      </c>
      <c r="P24" s="105">
        <v>103.143</v>
      </c>
      <c r="Q24" s="105">
        <v>99.066000000000003</v>
      </c>
      <c r="R24" s="106">
        <v>96.659000000000006</v>
      </c>
      <c r="S24" s="93">
        <f t="shared" si="10"/>
        <v>96.659000000000006</v>
      </c>
      <c r="T24" s="92"/>
      <c r="U24" s="104">
        <v>266.53100000000001</v>
      </c>
      <c r="V24" s="105">
        <v>266.62099999999998</v>
      </c>
      <c r="W24" s="105">
        <v>229.76599999999999</v>
      </c>
      <c r="X24" s="106">
        <v>227.857</v>
      </c>
      <c r="Y24" s="93">
        <f t="shared" si="11"/>
        <v>227.857</v>
      </c>
      <c r="Z24" s="92"/>
      <c r="AA24" s="104">
        <v>230.28700000000001</v>
      </c>
      <c r="AB24" s="105">
        <v>273.625</v>
      </c>
      <c r="AC24" s="105">
        <v>272.90600000000001</v>
      </c>
      <c r="AD24" s="106">
        <v>417.63600000000002</v>
      </c>
      <c r="AE24" s="93">
        <f t="shared" si="12"/>
        <v>417.63600000000002</v>
      </c>
      <c r="AF24" s="92"/>
      <c r="AG24" s="104">
        <v>415.238</v>
      </c>
      <c r="AH24" s="105">
        <v>427.04300000000001</v>
      </c>
      <c r="AI24" s="105">
        <v>412.435</v>
      </c>
      <c r="AJ24" s="106">
        <v>301.01</v>
      </c>
      <c r="AK24" s="93">
        <f t="shared" si="13"/>
        <v>301.01</v>
      </c>
      <c r="AL24" s="92"/>
      <c r="AM24" s="104">
        <v>304.07400000000001</v>
      </c>
      <c r="AN24" s="105">
        <v>304.20999999999998</v>
      </c>
      <c r="AO24" s="105">
        <v>297.67200000000003</v>
      </c>
      <c r="AP24" s="106">
        <v>293</v>
      </c>
      <c r="AQ24" s="93">
        <f t="shared" si="14"/>
        <v>293</v>
      </c>
      <c r="AR24" s="92"/>
      <c r="AS24" s="104">
        <v>285</v>
      </c>
      <c r="AT24" s="105">
        <v>281</v>
      </c>
      <c r="AU24" s="105">
        <v>264</v>
      </c>
      <c r="AV24" s="106">
        <v>247</v>
      </c>
      <c r="AW24" s="93">
        <f t="shared" si="15"/>
        <v>247</v>
      </c>
      <c r="AX24" s="92"/>
      <c r="AY24" s="95">
        <v>324</v>
      </c>
      <c r="AZ24" s="96">
        <v>967</v>
      </c>
      <c r="BA24" s="96">
        <v>849</v>
      </c>
      <c r="BB24" s="97">
        <v>797</v>
      </c>
      <c r="BC24" s="93">
        <f t="shared" si="16"/>
        <v>797</v>
      </c>
      <c r="BD24" s="92"/>
      <c r="BE24" s="95">
        <v>767</v>
      </c>
      <c r="BF24" s="96">
        <v>682</v>
      </c>
      <c r="BG24" s="96">
        <v>673</v>
      </c>
      <c r="BH24" s="97">
        <v>604</v>
      </c>
      <c r="BI24" s="93">
        <f t="shared" si="17"/>
        <v>604</v>
      </c>
      <c r="BJ24" s="92"/>
      <c r="BK24" s="95">
        <v>584</v>
      </c>
      <c r="BL24" s="96">
        <v>579</v>
      </c>
      <c r="BM24" s="96">
        <v>588</v>
      </c>
      <c r="BN24" s="97">
        <v>585</v>
      </c>
      <c r="BO24" s="93">
        <f t="shared" si="18"/>
        <v>585</v>
      </c>
      <c r="BP24" s="92"/>
      <c r="BQ24" s="95">
        <v>565</v>
      </c>
      <c r="BR24" s="92">
        <f>BR153</f>
        <v>553.01250000000005</v>
      </c>
      <c r="BS24" s="92">
        <f>BS153</f>
        <v>541.02499999999998</v>
      </c>
      <c r="BT24" s="99">
        <f>BT153</f>
        <v>529.03749999999991</v>
      </c>
      <c r="BU24" s="93">
        <f t="shared" si="19"/>
        <v>529.03749999999991</v>
      </c>
      <c r="BV24" s="92"/>
      <c r="BW24" s="98">
        <f>BW153</f>
        <v>517.04999999999995</v>
      </c>
      <c r="BX24" s="92">
        <f>BX153</f>
        <v>505.06249999999994</v>
      </c>
      <c r="BY24" s="92">
        <f>BY153</f>
        <v>493.07499999999993</v>
      </c>
      <c r="BZ24" s="99">
        <f>BZ153</f>
        <v>481.08749999999992</v>
      </c>
      <c r="CA24" s="93">
        <f t="shared" si="20"/>
        <v>481.08749999999992</v>
      </c>
      <c r="CB24" s="92"/>
      <c r="CC24" s="98">
        <f>CC153</f>
        <v>469.09999999999991</v>
      </c>
      <c r="CD24" s="92">
        <f>CD153</f>
        <v>457.1124999999999</v>
      </c>
      <c r="CE24" s="92">
        <f>CE153</f>
        <v>445.12499999999989</v>
      </c>
      <c r="CF24" s="99">
        <f>CF153</f>
        <v>433.13749999999993</v>
      </c>
      <c r="CG24" s="93">
        <f t="shared" si="21"/>
        <v>433.13749999999993</v>
      </c>
      <c r="CH24" s="92"/>
      <c r="CI24" s="98">
        <f>CI153</f>
        <v>421.15</v>
      </c>
      <c r="CJ24" s="92">
        <f>CJ153</f>
        <v>409.16250000000002</v>
      </c>
      <c r="CK24" s="92">
        <f>CK153</f>
        <v>397.17500000000007</v>
      </c>
      <c r="CL24" s="99">
        <f>CL153</f>
        <v>385.18750000000011</v>
      </c>
      <c r="CM24" s="93">
        <f t="shared" si="22"/>
        <v>385.18750000000011</v>
      </c>
      <c r="CQ24"/>
      <c r="CR24"/>
      <c r="CS24"/>
      <c r="CT24"/>
      <c r="CU24"/>
      <c r="CV24"/>
    </row>
    <row r="25" spans="1:100" s="61" customFormat="1" x14ac:dyDescent="0.2">
      <c r="A25" s="189" t="s">
        <v>131</v>
      </c>
      <c r="B25" s="92"/>
      <c r="C25" s="104">
        <v>179.839</v>
      </c>
      <c r="D25" s="105">
        <v>166.29300000000001</v>
      </c>
      <c r="E25" s="105">
        <v>155.81700000000001</v>
      </c>
      <c r="F25" s="106">
        <v>142.738</v>
      </c>
      <c r="G25" s="93">
        <f t="shared" si="8"/>
        <v>142.738</v>
      </c>
      <c r="H25" s="92"/>
      <c r="I25" s="104">
        <v>130.86799999999999</v>
      </c>
      <c r="J25" s="105">
        <v>138.572</v>
      </c>
      <c r="K25" s="105">
        <v>132.83699999999999</v>
      </c>
      <c r="L25" s="106">
        <v>133.48599999999999</v>
      </c>
      <c r="M25" s="93">
        <f t="shared" si="9"/>
        <v>133.48599999999999</v>
      </c>
      <c r="N25" s="92"/>
      <c r="O25" s="104">
        <v>146.02699999999999</v>
      </c>
      <c r="P25" s="105">
        <v>158.66399999999999</v>
      </c>
      <c r="Q25" s="105">
        <v>175.99100000000001</v>
      </c>
      <c r="R25" s="106">
        <v>197.22399999999999</v>
      </c>
      <c r="S25" s="93">
        <f t="shared" si="10"/>
        <v>197.22399999999999</v>
      </c>
      <c r="T25" s="92"/>
      <c r="U25" s="104">
        <v>214.292</v>
      </c>
      <c r="V25" s="105">
        <v>228.29</v>
      </c>
      <c r="W25" s="105">
        <v>241.22300000000001</v>
      </c>
      <c r="X25" s="106">
        <v>254.761</v>
      </c>
      <c r="Y25" s="93">
        <f t="shared" si="11"/>
        <v>254.761</v>
      </c>
      <c r="Z25" s="92"/>
      <c r="AA25" s="104">
        <v>264.41399999999999</v>
      </c>
      <c r="AB25" s="105">
        <v>279.03399999999999</v>
      </c>
      <c r="AC25" s="105">
        <v>297.41899999999998</v>
      </c>
      <c r="AD25" s="106">
        <v>316.63400000000001</v>
      </c>
      <c r="AE25" s="93">
        <f t="shared" si="12"/>
        <v>316.63400000000001</v>
      </c>
      <c r="AF25" s="92"/>
      <c r="AG25" s="104">
        <v>320.12099999999998</v>
      </c>
      <c r="AH25" s="105">
        <v>332.83</v>
      </c>
      <c r="AI25" s="105">
        <v>342.69499999999999</v>
      </c>
      <c r="AJ25" s="106">
        <v>346.18200000000002</v>
      </c>
      <c r="AK25" s="93">
        <f t="shared" si="13"/>
        <v>346.18200000000002</v>
      </c>
      <c r="AL25" s="92"/>
      <c r="AM25" s="104">
        <v>351.52699999999999</v>
      </c>
      <c r="AN25" s="105">
        <v>358.267</v>
      </c>
      <c r="AO25" s="105">
        <v>361.64400000000001</v>
      </c>
      <c r="AP25" s="106">
        <v>371</v>
      </c>
      <c r="AQ25" s="93">
        <f t="shared" si="14"/>
        <v>371</v>
      </c>
      <c r="AR25" s="92"/>
      <c r="AS25" s="104">
        <v>380</v>
      </c>
      <c r="AT25" s="105">
        <v>364</v>
      </c>
      <c r="AU25" s="105">
        <v>365</v>
      </c>
      <c r="AV25" s="106">
        <v>365</v>
      </c>
      <c r="AW25" s="93">
        <f t="shared" si="15"/>
        <v>365</v>
      </c>
      <c r="AX25" s="92"/>
      <c r="AY25" s="95">
        <v>361</v>
      </c>
      <c r="AZ25" s="96">
        <v>346</v>
      </c>
      <c r="BA25" s="96">
        <v>385</v>
      </c>
      <c r="BB25" s="97">
        <v>362</v>
      </c>
      <c r="BC25" s="93">
        <f t="shared" si="16"/>
        <v>362</v>
      </c>
      <c r="BD25" s="92"/>
      <c r="BE25" s="95">
        <v>350</v>
      </c>
      <c r="BF25" s="96">
        <v>346</v>
      </c>
      <c r="BG25" s="96">
        <v>340</v>
      </c>
      <c r="BH25" s="97">
        <v>70</v>
      </c>
      <c r="BI25" s="93">
        <f t="shared" si="17"/>
        <v>70</v>
      </c>
      <c r="BJ25" s="92"/>
      <c r="BK25" s="95">
        <v>68</v>
      </c>
      <c r="BL25" s="96">
        <v>77</v>
      </c>
      <c r="BM25" s="96">
        <v>61</v>
      </c>
      <c r="BN25" s="97">
        <v>0</v>
      </c>
      <c r="BO25" s="93">
        <f t="shared" si="18"/>
        <v>0</v>
      </c>
      <c r="BP25" s="92"/>
      <c r="BQ25" s="95">
        <v>0</v>
      </c>
      <c r="BR25" s="89">
        <f>BQ25-CFS!BR31-CFS!BR15</f>
        <v>15</v>
      </c>
      <c r="BS25" s="89">
        <f>BR25-CFS!BS31-CFS!BS15</f>
        <v>30</v>
      </c>
      <c r="BT25" s="90">
        <f>BS25-CFS!BT31-CFS!BT15</f>
        <v>45</v>
      </c>
      <c r="BU25" s="93">
        <f t="shared" si="19"/>
        <v>45</v>
      </c>
      <c r="BV25" s="92"/>
      <c r="BW25" s="88">
        <f>BT25-CFS!BW31-CFS!BW15</f>
        <v>60</v>
      </c>
      <c r="BX25" s="89">
        <f>BW25-CFS!BX31-CFS!BX15</f>
        <v>75</v>
      </c>
      <c r="BY25" s="89">
        <f>BX25-CFS!BY31-CFS!BY15</f>
        <v>90</v>
      </c>
      <c r="BZ25" s="90">
        <f>BY25-CFS!BZ31-CFS!BZ15</f>
        <v>105</v>
      </c>
      <c r="CA25" s="93">
        <f t="shared" si="20"/>
        <v>105</v>
      </c>
      <c r="CB25" s="92"/>
      <c r="CC25" s="88">
        <f>BZ25-CFS!CC31-CFS!CC15</f>
        <v>120</v>
      </c>
      <c r="CD25" s="89">
        <f>CC25-CFS!CD31-CFS!CD15</f>
        <v>135</v>
      </c>
      <c r="CE25" s="89">
        <f>CD25-CFS!CE31-CFS!CE15</f>
        <v>150</v>
      </c>
      <c r="CF25" s="90">
        <f>CE25-CFS!CF31-CFS!CF15</f>
        <v>165</v>
      </c>
      <c r="CG25" s="93">
        <f t="shared" si="21"/>
        <v>165</v>
      </c>
      <c r="CH25" s="92"/>
      <c r="CI25" s="88">
        <f>CF25-CFS!CI31-CFS!CI15</f>
        <v>180</v>
      </c>
      <c r="CJ25" s="89">
        <f>CI25-CFS!CJ31-CFS!CJ15</f>
        <v>195</v>
      </c>
      <c r="CK25" s="89">
        <f>CJ25-CFS!CK31-CFS!CK15</f>
        <v>210</v>
      </c>
      <c r="CL25" s="90">
        <f>CK25-CFS!CL31-CFS!CL15</f>
        <v>225</v>
      </c>
      <c r="CM25" s="93">
        <f t="shared" si="22"/>
        <v>225</v>
      </c>
      <c r="CQ25"/>
      <c r="CR25"/>
      <c r="CS25"/>
      <c r="CT25"/>
      <c r="CU25"/>
      <c r="CV25"/>
    </row>
    <row r="26" spans="1:100" s="61" customFormat="1" x14ac:dyDescent="0.2">
      <c r="A26" s="189" t="s">
        <v>132</v>
      </c>
      <c r="B26" s="92"/>
      <c r="C26" s="104">
        <v>522.05899999999997</v>
      </c>
      <c r="D26" s="105">
        <v>602.50099999999998</v>
      </c>
      <c r="E26" s="105">
        <v>601.15</v>
      </c>
      <c r="F26" s="106">
        <v>466.59199999999998</v>
      </c>
      <c r="G26" s="93">
        <f t="shared" si="8"/>
        <v>466.59199999999998</v>
      </c>
      <c r="H26" s="92"/>
      <c r="I26" s="104">
        <v>466.851</v>
      </c>
      <c r="J26" s="105">
        <v>480.24900000000002</v>
      </c>
      <c r="K26" s="105">
        <v>490.334</v>
      </c>
      <c r="L26" s="106">
        <v>356.334</v>
      </c>
      <c r="M26" s="93">
        <f t="shared" si="9"/>
        <v>356.334</v>
      </c>
      <c r="N26" s="92"/>
      <c r="O26" s="104">
        <v>337.68099999999998</v>
      </c>
      <c r="P26" s="105">
        <v>337.791</v>
      </c>
      <c r="Q26" s="105">
        <v>383.46899999999999</v>
      </c>
      <c r="R26" s="106">
        <v>465.29599999999999</v>
      </c>
      <c r="S26" s="93">
        <f t="shared" si="10"/>
        <v>465.29599999999999</v>
      </c>
      <c r="T26" s="92"/>
      <c r="U26" s="104">
        <v>485.726</v>
      </c>
      <c r="V26" s="105">
        <v>480.50799999999998</v>
      </c>
      <c r="W26" s="105">
        <v>486.67099999999999</v>
      </c>
      <c r="X26" s="106">
        <v>487.59</v>
      </c>
      <c r="Y26" s="93">
        <f t="shared" si="11"/>
        <v>487.59</v>
      </c>
      <c r="Z26" s="92"/>
      <c r="AA26" s="104">
        <v>480.65499999999997</v>
      </c>
      <c r="AB26" s="105">
        <v>491.48399999999998</v>
      </c>
      <c r="AC26" s="105">
        <v>491.69200000000001</v>
      </c>
      <c r="AD26" s="106">
        <v>444.61</v>
      </c>
      <c r="AE26" s="93">
        <f t="shared" si="12"/>
        <v>444.61</v>
      </c>
      <c r="AF26" s="92"/>
      <c r="AG26" s="104">
        <v>407.03199999999998</v>
      </c>
      <c r="AH26" s="105">
        <v>451.35</v>
      </c>
      <c r="AI26" s="105">
        <v>463.10300000000001</v>
      </c>
      <c r="AJ26" s="106">
        <v>499.96699999999998</v>
      </c>
      <c r="AK26" s="93">
        <f t="shared" si="13"/>
        <v>499.96699999999998</v>
      </c>
      <c r="AL26" s="92"/>
      <c r="AM26" s="104">
        <v>513.08699999999999</v>
      </c>
      <c r="AN26" s="105">
        <v>492.67200000000003</v>
      </c>
      <c r="AO26" s="105">
        <v>505.745</v>
      </c>
      <c r="AP26" s="106">
        <v>486</v>
      </c>
      <c r="AQ26" s="93">
        <f t="shared" si="14"/>
        <v>486</v>
      </c>
      <c r="AR26" s="92"/>
      <c r="AS26" s="104">
        <v>502</v>
      </c>
      <c r="AT26" s="105">
        <v>483</v>
      </c>
      <c r="AU26" s="105">
        <v>502</v>
      </c>
      <c r="AV26" s="106">
        <v>497</v>
      </c>
      <c r="AW26" s="93">
        <f t="shared" si="15"/>
        <v>497</v>
      </c>
      <c r="AX26" s="92"/>
      <c r="AY26" s="95">
        <v>506</v>
      </c>
      <c r="AZ26" s="96">
        <v>696</v>
      </c>
      <c r="BA26" s="96">
        <v>674</v>
      </c>
      <c r="BB26" s="97">
        <v>673</v>
      </c>
      <c r="BC26" s="93">
        <f t="shared" si="16"/>
        <v>673</v>
      </c>
      <c r="BD26" s="92"/>
      <c r="BE26" s="95">
        <v>727</v>
      </c>
      <c r="BF26" s="96">
        <v>694</v>
      </c>
      <c r="BG26" s="96">
        <f>712+1</f>
        <v>713</v>
      </c>
      <c r="BH26" s="97">
        <v>753</v>
      </c>
      <c r="BI26" s="93">
        <f t="shared" si="17"/>
        <v>753</v>
      </c>
      <c r="BJ26" s="92"/>
      <c r="BK26" s="95">
        <v>927</v>
      </c>
      <c r="BL26" s="96">
        <f>948+3</f>
        <v>951</v>
      </c>
      <c r="BM26" s="96">
        <f>938+1</f>
        <v>939</v>
      </c>
      <c r="BN26" s="97">
        <v>968</v>
      </c>
      <c r="BO26" s="93">
        <f t="shared" si="18"/>
        <v>968</v>
      </c>
      <c r="BP26" s="92"/>
      <c r="BQ26" s="95">
        <v>1184</v>
      </c>
      <c r="BR26" s="89">
        <f>-CFS!BR17-CFS!BR26+BQ26</f>
        <v>1174</v>
      </c>
      <c r="BS26" s="89">
        <f>-CFS!BS17-CFS!BS26+BR26</f>
        <v>1164</v>
      </c>
      <c r="BT26" s="90">
        <f>-CFS!BT17-CFS!BT26+BS26</f>
        <v>1154</v>
      </c>
      <c r="BU26" s="93">
        <f t="shared" si="19"/>
        <v>1154</v>
      </c>
      <c r="BV26" s="92"/>
      <c r="BW26" s="88">
        <f>-CFS!BW17-CFS!BW26+BT26</f>
        <v>1144</v>
      </c>
      <c r="BX26" s="89">
        <f>-CFS!BX17-CFS!BX26+BW26</f>
        <v>1134</v>
      </c>
      <c r="BY26" s="89">
        <f>-CFS!BY17-CFS!BY26+BX26</f>
        <v>1124</v>
      </c>
      <c r="BZ26" s="90">
        <f>-CFS!BZ17-CFS!BZ26+BY26</f>
        <v>1114</v>
      </c>
      <c r="CA26" s="93">
        <f t="shared" si="20"/>
        <v>1114</v>
      </c>
      <c r="CB26" s="92"/>
      <c r="CC26" s="88">
        <f>-CFS!CC17-CFS!CC26+BZ26</f>
        <v>1104</v>
      </c>
      <c r="CD26" s="89">
        <f>-CFS!CD17-CFS!CD26+CC26</f>
        <v>1094</v>
      </c>
      <c r="CE26" s="89">
        <f>-CFS!CE17-CFS!CE26+CD26</f>
        <v>1084</v>
      </c>
      <c r="CF26" s="90">
        <f>-CFS!CF17-CFS!CF26+CE26</f>
        <v>1074</v>
      </c>
      <c r="CG26" s="93">
        <f t="shared" si="21"/>
        <v>1074</v>
      </c>
      <c r="CH26" s="92"/>
      <c r="CI26" s="88">
        <f>-CFS!CI17-CFS!CI26+CF26</f>
        <v>1064</v>
      </c>
      <c r="CJ26" s="89">
        <f>-CFS!CJ17-CFS!CJ26+CI26</f>
        <v>1054</v>
      </c>
      <c r="CK26" s="89">
        <f>-CFS!CK17-CFS!CK26+CJ26</f>
        <v>1044</v>
      </c>
      <c r="CL26" s="90">
        <f>-CFS!CL17-CFS!CL26+CK26</f>
        <v>1034</v>
      </c>
      <c r="CM26" s="93">
        <f t="shared" si="22"/>
        <v>1034</v>
      </c>
      <c r="CQ26"/>
      <c r="CR26"/>
      <c r="CS26"/>
      <c r="CT26"/>
      <c r="CU26"/>
      <c r="CV26"/>
    </row>
    <row r="27" spans="1:100" s="61" customFormat="1" x14ac:dyDescent="0.2">
      <c r="A27" s="271" t="s">
        <v>133</v>
      </c>
      <c r="B27" s="116"/>
      <c r="C27" s="118">
        <f>C17+SUM(C19:C26)</f>
        <v>6810.5409999999993</v>
      </c>
      <c r="D27" s="116">
        <f>D17+SUM(D19:D26)</f>
        <v>6951.8220000000001</v>
      </c>
      <c r="E27" s="116">
        <f>E17+SUM(E19:E26)</f>
        <v>7122.8449999999993</v>
      </c>
      <c r="F27" s="117">
        <f>F17+SUM(F19:F26)</f>
        <v>7329.3649999999998</v>
      </c>
      <c r="G27" s="315">
        <f>G17+SUM(G19:G26)</f>
        <v>7329.3649999999998</v>
      </c>
      <c r="H27" s="116"/>
      <c r="I27" s="118">
        <f>I17+SUM(I19:I26)</f>
        <v>7566.5339999999997</v>
      </c>
      <c r="J27" s="116">
        <f>J17+SUM(J19:J26)</f>
        <v>7801.2560000000012</v>
      </c>
      <c r="K27" s="116">
        <f>K17+SUM(K19:K26)</f>
        <v>8129.206000000001</v>
      </c>
      <c r="L27" s="117">
        <f>L17+SUM(L19:L26)</f>
        <v>7912.9429999999993</v>
      </c>
      <c r="M27" s="315">
        <f>M17+SUM(M19:M26)</f>
        <v>7912.9429999999993</v>
      </c>
      <c r="N27" s="116"/>
      <c r="O27" s="118">
        <f>O17+SUM(O19:O26)</f>
        <v>7660.6929999999993</v>
      </c>
      <c r="P27" s="116">
        <f>P17+SUM(P19:P26)</f>
        <v>7575.83</v>
      </c>
      <c r="Q27" s="116">
        <f>Q17+SUM(Q19:Q26)</f>
        <v>8848.987000000001</v>
      </c>
      <c r="R27" s="117">
        <f>R17+SUM(R19:R26)</f>
        <v>9304.6239999999998</v>
      </c>
      <c r="S27" s="315">
        <f>S17+SUM(S19:S26)</f>
        <v>9304.6239999999998</v>
      </c>
      <c r="T27" s="116"/>
      <c r="U27" s="118">
        <f>U17+SUM(U19:U26)</f>
        <v>9094.2759999999998</v>
      </c>
      <c r="V27" s="116">
        <f>V17+SUM(V19:V26)</f>
        <v>8943.3919999999998</v>
      </c>
      <c r="W27" s="116">
        <f>W17+SUM(W19:W26)</f>
        <v>9031.6729999999989</v>
      </c>
      <c r="X27" s="117">
        <f>X17+SUM(X19:X26)</f>
        <v>9650.6940000000013</v>
      </c>
      <c r="Y27" s="315">
        <f>Y17+SUM(Y19:Y26)</f>
        <v>9650.6940000000013</v>
      </c>
      <c r="Z27" s="116"/>
      <c r="AA27" s="118">
        <f>AA17+SUM(AA19:AA26)</f>
        <v>10071.27</v>
      </c>
      <c r="AB27" s="116">
        <f>AB17+SUM(AB19:AB26)</f>
        <v>10344.222999999998</v>
      </c>
      <c r="AC27" s="116">
        <f>AC17+SUM(AC19:AC26)</f>
        <v>10620.819</v>
      </c>
      <c r="AD27" s="117">
        <f>AD17+SUM(AD19:AD26)</f>
        <v>10430.428</v>
      </c>
      <c r="AE27" s="315">
        <f>AE17+SUM(AE19:AE26)</f>
        <v>10430.428</v>
      </c>
      <c r="AF27" s="116"/>
      <c r="AG27" s="118">
        <f>AG17+SUM(AG19:AG26)</f>
        <v>11413.363000000001</v>
      </c>
      <c r="AH27" s="116">
        <f>AH17+SUM(AH19:AH26)</f>
        <v>11195.392</v>
      </c>
      <c r="AI27" s="116">
        <f>AI17+SUM(AI19:AI26)</f>
        <v>11024.864</v>
      </c>
      <c r="AJ27" s="117">
        <f>AJ17+SUM(AJ19:AJ26)</f>
        <v>11360.909</v>
      </c>
      <c r="AK27" s="315">
        <f>AK17+SUM(AK19:AK26)</f>
        <v>11360.909</v>
      </c>
      <c r="AL27" s="116"/>
      <c r="AM27" s="118">
        <f>AM17+SUM(AM19:AM26)</f>
        <v>11629.437</v>
      </c>
      <c r="AN27" s="116">
        <f>AN17+SUM(AN19:AN26)</f>
        <v>11629.922999999999</v>
      </c>
      <c r="AO27" s="116">
        <f>AO17+SUM(AO19:AO26)</f>
        <v>11587.046999999999</v>
      </c>
      <c r="AP27" s="117">
        <f>AP17+SUM(AP19:AP26)</f>
        <v>12149</v>
      </c>
      <c r="AQ27" s="315">
        <f>AQ17+SUM(AQ19:AQ26)</f>
        <v>12149</v>
      </c>
      <c r="AR27" s="116"/>
      <c r="AS27" s="118">
        <f>AS17+SUM(AS19:AS26)</f>
        <v>12035</v>
      </c>
      <c r="AT27" s="116">
        <f>AT17+SUM(AT19:AT26)</f>
        <v>12250</v>
      </c>
      <c r="AU27" s="116">
        <f>AU17+SUM(AU19:AU26)</f>
        <v>12374</v>
      </c>
      <c r="AV27" s="117">
        <f>AV17+SUM(AV19:AV26)</f>
        <v>12447</v>
      </c>
      <c r="AW27" s="315">
        <f>AW17+SUM(AW19:AW26)</f>
        <v>12447</v>
      </c>
      <c r="AX27" s="116"/>
      <c r="AY27" s="118">
        <f>AY17+SUM(AY19:AY26)</f>
        <v>18503</v>
      </c>
      <c r="AZ27" s="116">
        <f>AZ17+SUM(AZ19:AZ26)</f>
        <v>28293</v>
      </c>
      <c r="BA27" s="116">
        <f>BA17+SUM(BA19:BA26)</f>
        <v>27079</v>
      </c>
      <c r="BB27" s="117">
        <f>BB17+SUM(BB19:BB26)</f>
        <v>26820</v>
      </c>
      <c r="BC27" s="315">
        <f>BC17+SUM(BC19:BC26)</f>
        <v>26820</v>
      </c>
      <c r="BD27" s="116"/>
      <c r="BE27" s="118">
        <f>BE17+SUM(BE19:BE26)</f>
        <v>26046</v>
      </c>
      <c r="BF27" s="116">
        <f>BF17+SUM(BF19:BF26)</f>
        <v>26236</v>
      </c>
      <c r="BG27" s="116">
        <f>BG17+SUM(BG19:BG26)</f>
        <v>26016</v>
      </c>
      <c r="BH27" s="117">
        <f>BH17+SUM(BH19:BH26)</f>
        <v>25586</v>
      </c>
      <c r="BI27" s="315">
        <f>BI17+SUM(BI19:BI26)</f>
        <v>25586</v>
      </c>
      <c r="BJ27" s="116"/>
      <c r="BK27" s="118">
        <f>BK17+SUM(BK19:BK26)</f>
        <v>24316</v>
      </c>
      <c r="BL27" s="116">
        <f>BL17+SUM(BL19:BL26)</f>
        <v>24122</v>
      </c>
      <c r="BM27" s="116">
        <f>BM17+SUM(BM19:BM26)</f>
        <v>37166</v>
      </c>
      <c r="BN27" s="117">
        <f>BN17+SUM(BN19:BN26)</f>
        <v>37734</v>
      </c>
      <c r="BO27" s="315">
        <f>BO17+SUM(BO19:BO26)</f>
        <v>37734</v>
      </c>
      <c r="BP27" s="116"/>
      <c r="BQ27" s="118">
        <f>BQ17+SUM(BQ19:BQ26)</f>
        <v>55363</v>
      </c>
      <c r="BR27" s="116">
        <f>BR17+SUM(BR19:BR26)</f>
        <v>55564.448557444892</v>
      </c>
      <c r="BS27" s="116">
        <f>BS17+SUM(BS19:BS26)</f>
        <v>55805.3738676055</v>
      </c>
      <c r="BT27" s="117">
        <f>BT17+SUM(BT19:BT26)</f>
        <v>56030.297786625626</v>
      </c>
      <c r="BU27" s="315">
        <f>BU17+SUM(BU19:BU26)</f>
        <v>56030.297786625626</v>
      </c>
      <c r="BV27" s="116"/>
      <c r="BW27" s="118">
        <f>BW17+SUM(BW19:BW26)</f>
        <v>55879.952943916054</v>
      </c>
      <c r="BX27" s="116">
        <f>BX17+SUM(BX19:BX26)</f>
        <v>55906.897893262598</v>
      </c>
      <c r="BY27" s="116">
        <f>BY17+SUM(BY19:BY26)</f>
        <v>55655.816780702924</v>
      </c>
      <c r="BZ27" s="117">
        <f>BZ17+SUM(BZ19:BZ26)</f>
        <v>55678.592268302629</v>
      </c>
      <c r="CA27" s="315">
        <f>CA17+SUM(CA19:CA26)</f>
        <v>55678.592268302629</v>
      </c>
      <c r="CB27" s="116"/>
      <c r="CC27" s="118">
        <f>CC17+SUM(CC19:CC26)</f>
        <v>55232.360573573169</v>
      </c>
      <c r="CD27" s="116">
        <f>CD17+SUM(CD19:CD26)</f>
        <v>54383.016164561712</v>
      </c>
      <c r="CE27" s="116">
        <f>CE17+SUM(CE19:CE26)</f>
        <v>54633.988018963682</v>
      </c>
      <c r="CF27" s="117">
        <f>CF17+SUM(CF19:CF26)</f>
        <v>54336.965983558272</v>
      </c>
      <c r="CG27" s="315">
        <f>CG17+SUM(CG19:CG26)</f>
        <v>54336.965983558272</v>
      </c>
      <c r="CH27" s="116"/>
      <c r="CI27" s="118">
        <f>CI17+SUM(CI19:CI26)</f>
        <v>54811.795269761489</v>
      </c>
      <c r="CJ27" s="116">
        <f>CJ17+SUM(CJ19:CJ26)</f>
        <v>55286.910365936361</v>
      </c>
      <c r="CK27" s="116">
        <f>CK17+SUM(CK19:CK26)</f>
        <v>55379.081555655837</v>
      </c>
      <c r="CL27" s="117">
        <f>CL17+SUM(CL19:CL26)</f>
        <v>56291.384625644649</v>
      </c>
      <c r="CM27" s="315">
        <f>CM17+SUM(CM19:CM26)</f>
        <v>56291.384625644649</v>
      </c>
      <c r="CQ27"/>
      <c r="CR27"/>
      <c r="CS27"/>
      <c r="CT27"/>
      <c r="CU27"/>
      <c r="CV27"/>
    </row>
    <row r="28" spans="1:100" s="61" customFormat="1" x14ac:dyDescent="0.2">
      <c r="A28" s="189"/>
      <c r="B28" s="92"/>
      <c r="C28" s="98"/>
      <c r="D28" s="92"/>
      <c r="E28" s="92"/>
      <c r="F28" s="99"/>
      <c r="G28" s="93"/>
      <c r="H28" s="92"/>
      <c r="I28" s="98"/>
      <c r="J28" s="92"/>
      <c r="K28" s="92"/>
      <c r="L28" s="99"/>
      <c r="M28" s="93"/>
      <c r="N28" s="92"/>
      <c r="O28" s="98"/>
      <c r="P28" s="92"/>
      <c r="Q28" s="92"/>
      <c r="R28" s="99"/>
      <c r="S28" s="93"/>
      <c r="T28" s="92"/>
      <c r="U28" s="98"/>
      <c r="V28" s="92"/>
      <c r="W28" s="92"/>
      <c r="X28" s="99"/>
      <c r="Y28" s="93"/>
      <c r="Z28" s="92"/>
      <c r="AA28" s="98"/>
      <c r="AB28" s="92"/>
      <c r="AC28" s="92"/>
      <c r="AD28" s="99"/>
      <c r="AE28" s="93"/>
      <c r="AF28" s="92"/>
      <c r="AG28" s="98"/>
      <c r="AH28" s="92"/>
      <c r="AI28" s="92"/>
      <c r="AJ28" s="99"/>
      <c r="AK28" s="93"/>
      <c r="AL28" s="92"/>
      <c r="AM28" s="98"/>
      <c r="AN28" s="92"/>
      <c r="AO28" s="92"/>
      <c r="AP28" s="99"/>
      <c r="AQ28" s="93"/>
      <c r="AR28" s="92"/>
      <c r="AS28" s="98"/>
      <c r="AT28" s="92"/>
      <c r="AU28" s="92"/>
      <c r="AV28" s="99"/>
      <c r="AW28" s="93"/>
      <c r="AX28" s="92"/>
      <c r="AY28" s="98"/>
      <c r="AZ28" s="92"/>
      <c r="BA28" s="92"/>
      <c r="BB28" s="99"/>
      <c r="BC28" s="93"/>
      <c r="BD28" s="92"/>
      <c r="BE28" s="98"/>
      <c r="BF28" s="92"/>
      <c r="BG28" s="92"/>
      <c r="BH28" s="99"/>
      <c r="BI28" s="93"/>
      <c r="BJ28" s="92"/>
      <c r="BK28" s="98"/>
      <c r="BL28" s="92"/>
      <c r="BM28" s="92"/>
      <c r="BN28" s="99"/>
      <c r="BO28" s="93"/>
      <c r="BP28" s="92"/>
      <c r="BQ28" s="98"/>
      <c r="BR28" s="92"/>
      <c r="BS28" s="92"/>
      <c r="BT28" s="99"/>
      <c r="BU28" s="93"/>
      <c r="BV28" s="92"/>
      <c r="BW28" s="98"/>
      <c r="BX28" s="92"/>
      <c r="BY28" s="92"/>
      <c r="BZ28" s="99"/>
      <c r="CA28" s="93"/>
      <c r="CB28" s="92"/>
      <c r="CC28" s="98"/>
      <c r="CD28" s="92"/>
      <c r="CE28" s="92"/>
      <c r="CF28" s="99"/>
      <c r="CG28" s="93"/>
      <c r="CH28" s="92"/>
      <c r="CI28" s="98"/>
      <c r="CJ28" s="92"/>
      <c r="CK28" s="92"/>
      <c r="CL28" s="99"/>
      <c r="CM28" s="93"/>
      <c r="CQ28"/>
      <c r="CR28"/>
      <c r="CS28"/>
      <c r="CT28"/>
      <c r="CU28"/>
      <c r="CV28"/>
    </row>
    <row r="29" spans="1:100" s="61" customFormat="1" x14ac:dyDescent="0.2">
      <c r="A29" s="271" t="s">
        <v>134</v>
      </c>
      <c r="B29" s="92"/>
      <c r="C29" s="98"/>
      <c r="D29" s="92"/>
      <c r="E29" s="92"/>
      <c r="F29" s="99"/>
      <c r="G29" s="93"/>
      <c r="H29" s="92"/>
      <c r="I29" s="98"/>
      <c r="J29" s="92"/>
      <c r="K29" s="92"/>
      <c r="L29" s="99"/>
      <c r="M29" s="93"/>
      <c r="N29" s="92"/>
      <c r="O29" s="98"/>
      <c r="P29" s="92"/>
      <c r="Q29" s="92"/>
      <c r="R29" s="99"/>
      <c r="S29" s="93"/>
      <c r="T29" s="92"/>
      <c r="U29" s="98"/>
      <c r="V29" s="92"/>
      <c r="W29" s="92"/>
      <c r="X29" s="99"/>
      <c r="Y29" s="93"/>
      <c r="Z29" s="92"/>
      <c r="AA29" s="98"/>
      <c r="AB29" s="92"/>
      <c r="AC29" s="92"/>
      <c r="AD29" s="99"/>
      <c r="AE29" s="93"/>
      <c r="AF29" s="92"/>
      <c r="AG29" s="98"/>
      <c r="AH29" s="92"/>
      <c r="AI29" s="92"/>
      <c r="AJ29" s="99"/>
      <c r="AK29" s="93"/>
      <c r="AL29" s="92"/>
      <c r="AM29" s="98"/>
      <c r="AN29" s="92"/>
      <c r="AO29" s="92"/>
      <c r="AP29" s="99"/>
      <c r="AQ29" s="93"/>
      <c r="AR29" s="92"/>
      <c r="AS29" s="98"/>
      <c r="AT29" s="92"/>
      <c r="AU29" s="92"/>
      <c r="AV29" s="99"/>
      <c r="AW29" s="93"/>
      <c r="AX29" s="92"/>
      <c r="AY29" s="98"/>
      <c r="AZ29" s="92"/>
      <c r="BA29" s="92"/>
      <c r="BB29" s="99"/>
      <c r="BC29" s="93"/>
      <c r="BD29" s="92"/>
      <c r="BE29" s="98"/>
      <c r="BF29" s="92"/>
      <c r="BG29" s="92"/>
      <c r="BH29" s="99"/>
      <c r="BI29" s="93"/>
      <c r="BJ29" s="92"/>
      <c r="BK29" s="98"/>
      <c r="BL29" s="92"/>
      <c r="BM29" s="92"/>
      <c r="BN29" s="99"/>
      <c r="BO29" s="93"/>
      <c r="BP29" s="92"/>
      <c r="BQ29" s="98"/>
      <c r="BR29" s="92"/>
      <c r="BS29" s="92"/>
      <c r="BT29" s="99"/>
      <c r="BU29" s="93"/>
      <c r="BV29" s="92"/>
      <c r="BW29" s="98"/>
      <c r="BX29" s="92"/>
      <c r="BY29" s="92"/>
      <c r="BZ29" s="99"/>
      <c r="CA29" s="93"/>
      <c r="CB29" s="92"/>
      <c r="CC29" s="98"/>
      <c r="CD29" s="92"/>
      <c r="CE29" s="92"/>
      <c r="CF29" s="99"/>
      <c r="CG29" s="93"/>
      <c r="CH29" s="92"/>
      <c r="CI29" s="98"/>
      <c r="CJ29" s="92"/>
      <c r="CK29" s="92"/>
      <c r="CL29" s="99"/>
      <c r="CM29" s="93"/>
      <c r="CQ29"/>
      <c r="CR29"/>
      <c r="CS29"/>
      <c r="CT29"/>
      <c r="CU29"/>
      <c r="CV29"/>
    </row>
    <row r="30" spans="1:100" s="61" customFormat="1" x14ac:dyDescent="0.2">
      <c r="A30" s="189" t="s">
        <v>135</v>
      </c>
      <c r="B30" s="92"/>
      <c r="C30" s="104">
        <v>205.86600000000001</v>
      </c>
      <c r="D30" s="105">
        <v>208.45400000000001</v>
      </c>
      <c r="E30" s="105">
        <v>205.77199999999999</v>
      </c>
      <c r="F30" s="106">
        <v>207.63399999999999</v>
      </c>
      <c r="G30" s="93">
        <f>F30</f>
        <v>207.63399999999999</v>
      </c>
      <c r="H30" s="92"/>
      <c r="I30" s="104">
        <v>208.20599999999999</v>
      </c>
      <c r="J30" s="105">
        <v>208.24799999999999</v>
      </c>
      <c r="K30" s="105">
        <v>204.34899999999999</v>
      </c>
      <c r="L30" s="106">
        <v>201.31200000000001</v>
      </c>
      <c r="M30" s="93">
        <f>L30</f>
        <v>201.31200000000001</v>
      </c>
      <c r="N30" s="92"/>
      <c r="O30" s="104">
        <v>408.9</v>
      </c>
      <c r="P30" s="105">
        <v>405.55399999999997</v>
      </c>
      <c r="Q30" s="105">
        <v>405.73700000000002</v>
      </c>
      <c r="R30" s="106">
        <v>402.96499999999997</v>
      </c>
      <c r="S30" s="93">
        <f>R30</f>
        <v>402.96499999999997</v>
      </c>
      <c r="T30" s="92"/>
      <c r="U30" s="104">
        <v>205.441</v>
      </c>
      <c r="V30" s="105">
        <v>200.57300000000001</v>
      </c>
      <c r="W30" s="105">
        <v>202.221</v>
      </c>
      <c r="X30" s="106">
        <v>202.75800000000001</v>
      </c>
      <c r="Y30" s="93">
        <f>X30</f>
        <v>202.75800000000001</v>
      </c>
      <c r="Z30" s="92"/>
      <c r="AA30" s="104">
        <v>235.29499999999999</v>
      </c>
      <c r="AB30" s="105">
        <v>241.43100000000001</v>
      </c>
      <c r="AC30" s="105">
        <v>239.78399999999999</v>
      </c>
      <c r="AD30" s="106">
        <v>234.93199999999999</v>
      </c>
      <c r="AE30" s="93">
        <f>AD30</f>
        <v>234.93199999999999</v>
      </c>
      <c r="AF30" s="92"/>
      <c r="AG30" s="104">
        <v>203.89400000000001</v>
      </c>
      <c r="AH30" s="105">
        <v>206.33</v>
      </c>
      <c r="AI30" s="105">
        <v>410.73700000000002</v>
      </c>
      <c r="AJ30" s="106">
        <v>405.142</v>
      </c>
      <c r="AK30" s="93">
        <f>AJ30</f>
        <v>405.142</v>
      </c>
      <c r="AL30" s="92"/>
      <c r="AM30" s="104">
        <v>408.24299999999999</v>
      </c>
      <c r="AN30" s="105">
        <v>407.43599999999998</v>
      </c>
      <c r="AO30" s="105">
        <v>207.43199999999999</v>
      </c>
      <c r="AP30" s="106">
        <v>207</v>
      </c>
      <c r="AQ30" s="93">
        <f>AP30</f>
        <v>207</v>
      </c>
      <c r="AR30" s="92"/>
      <c r="AS30" s="104">
        <v>205</v>
      </c>
      <c r="AT30" s="105">
        <v>202</v>
      </c>
      <c r="AU30" s="105">
        <v>205</v>
      </c>
      <c r="AV30" s="106">
        <v>203</v>
      </c>
      <c r="AW30" s="93">
        <f>AV30</f>
        <v>203</v>
      </c>
      <c r="AX30" s="92"/>
      <c r="AY30" s="95">
        <v>202</v>
      </c>
      <c r="AZ30" s="96">
        <v>1710</v>
      </c>
      <c r="BA30" s="96">
        <v>1804</v>
      </c>
      <c r="BB30" s="97">
        <v>1452</v>
      </c>
      <c r="BC30" s="93">
        <f>BB30</f>
        <v>1452</v>
      </c>
      <c r="BD30" s="92"/>
      <c r="BE30" s="95">
        <v>1951</v>
      </c>
      <c r="BF30" s="96">
        <v>1651</v>
      </c>
      <c r="BG30" s="96">
        <v>1351</v>
      </c>
      <c r="BH30" s="97">
        <v>1001</v>
      </c>
      <c r="BI30" s="93">
        <f>BH30</f>
        <v>1001</v>
      </c>
      <c r="BJ30" s="92"/>
      <c r="BK30" s="95">
        <v>1974</v>
      </c>
      <c r="BL30" s="96">
        <v>1224</v>
      </c>
      <c r="BM30" s="96">
        <v>453</v>
      </c>
      <c r="BN30" s="97">
        <v>203</v>
      </c>
      <c r="BO30" s="93">
        <f>BN30</f>
        <v>203</v>
      </c>
      <c r="BP30" s="92"/>
      <c r="BQ30" s="95">
        <v>703</v>
      </c>
      <c r="BR30" s="89">
        <v>703</v>
      </c>
      <c r="BS30" s="89">
        <v>503</v>
      </c>
      <c r="BT30" s="90">
        <v>503</v>
      </c>
      <c r="BU30" s="93">
        <f>BT30</f>
        <v>503</v>
      </c>
      <c r="BV30" s="92"/>
      <c r="BW30" s="88">
        <v>503</v>
      </c>
      <c r="BX30" s="89">
        <v>503</v>
      </c>
      <c r="BY30" s="89">
        <v>503</v>
      </c>
      <c r="BZ30" s="90">
        <v>503</v>
      </c>
      <c r="CA30" s="93">
        <f>BZ30</f>
        <v>503</v>
      </c>
      <c r="CB30" s="92"/>
      <c r="CC30" s="88">
        <v>503</v>
      </c>
      <c r="CD30" s="89">
        <v>503</v>
      </c>
      <c r="CE30" s="89">
        <v>503</v>
      </c>
      <c r="CF30" s="90">
        <v>503</v>
      </c>
      <c r="CG30" s="93">
        <f>CF30</f>
        <v>503</v>
      </c>
      <c r="CH30" s="92"/>
      <c r="CI30" s="88">
        <v>503</v>
      </c>
      <c r="CJ30" s="89">
        <v>503</v>
      </c>
      <c r="CK30" s="89">
        <v>503</v>
      </c>
      <c r="CL30" s="90">
        <v>503</v>
      </c>
      <c r="CM30" s="93">
        <f>CL30</f>
        <v>503</v>
      </c>
      <c r="CQ30"/>
      <c r="CR30"/>
      <c r="CS30"/>
      <c r="CT30"/>
      <c r="CU30"/>
      <c r="CV30"/>
    </row>
    <row r="31" spans="1:100" s="61" customFormat="1" x14ac:dyDescent="0.2">
      <c r="A31" s="189" t="s">
        <v>136</v>
      </c>
      <c r="B31" s="92"/>
      <c r="C31" s="104">
        <v>1266.404</v>
      </c>
      <c r="D31" s="105">
        <v>1138.42</v>
      </c>
      <c r="E31" s="105">
        <v>1209.008</v>
      </c>
      <c r="F31" s="99">
        <f>SUM(F32:F35)</f>
        <v>1271.1750000000002</v>
      </c>
      <c r="G31" s="93">
        <f>SUM(G32:G35)</f>
        <v>1271.1750000000002</v>
      </c>
      <c r="H31" s="92"/>
      <c r="I31" s="104">
        <v>1288.5999999999999</v>
      </c>
      <c r="J31" s="105">
        <v>1170.6590000000001</v>
      </c>
      <c r="K31" s="105">
        <v>1261.5999999999999</v>
      </c>
      <c r="L31" s="99">
        <f>SUM(L32:L35)</f>
        <v>1215.2670000000001</v>
      </c>
      <c r="M31" s="93">
        <f>SUM(M32:M35)</f>
        <v>1215.2670000000001</v>
      </c>
      <c r="N31" s="92"/>
      <c r="O31" s="104">
        <v>1229.296</v>
      </c>
      <c r="P31" s="105">
        <v>1105.133</v>
      </c>
      <c r="Q31" s="105">
        <f>1236.32+4.405</f>
        <v>1240.7249999999999</v>
      </c>
      <c r="R31" s="147">
        <f>SUM(R32:R35)</f>
        <v>1374.1279999999999</v>
      </c>
      <c r="S31" s="93">
        <f>SUM(S32:S35)</f>
        <v>1374.1279999999999</v>
      </c>
      <c r="T31" s="92"/>
      <c r="U31" s="104">
        <v>1333.386</v>
      </c>
      <c r="V31" s="105">
        <v>1266.893</v>
      </c>
      <c r="W31" s="105">
        <f>1315.597+13.608</f>
        <v>1329.2049999999999</v>
      </c>
      <c r="X31" s="147">
        <f>SUM(X32:X35)</f>
        <v>1468.915</v>
      </c>
      <c r="Y31" s="93">
        <f>SUM(Y32:Y35)</f>
        <v>1468.915</v>
      </c>
      <c r="Z31" s="92"/>
      <c r="AA31" s="104">
        <v>1377.058</v>
      </c>
      <c r="AB31" s="105">
        <v>1337.48</v>
      </c>
      <c r="AC31" s="105">
        <v>1418.1420000000001</v>
      </c>
      <c r="AD31" s="147">
        <f>SUM(AD32:AD35)</f>
        <v>1588.2959999999998</v>
      </c>
      <c r="AE31" s="93">
        <f>SUM(AE32:AE35)</f>
        <v>1588.2959999999998</v>
      </c>
      <c r="AF31" s="92"/>
      <c r="AG31" s="104">
        <v>1402.48</v>
      </c>
      <c r="AH31" s="105">
        <v>1415.1590000000001</v>
      </c>
      <c r="AI31" s="105">
        <v>1478.932</v>
      </c>
      <c r="AJ31" s="147">
        <f>SUM(AJ32:AJ35)</f>
        <v>1572.913</v>
      </c>
      <c r="AK31" s="93">
        <f>SUM(AK32:AK35)</f>
        <v>1572.913</v>
      </c>
      <c r="AL31" s="92"/>
      <c r="AM31" s="104">
        <v>1595.539</v>
      </c>
      <c r="AN31" s="105">
        <v>1470.6030000000001</v>
      </c>
      <c r="AO31" s="105">
        <v>1485.385</v>
      </c>
      <c r="AP31" s="147">
        <f>SUM(AP32:AP35)</f>
        <v>1923</v>
      </c>
      <c r="AQ31" s="93">
        <f>AP31</f>
        <v>1923</v>
      </c>
      <c r="AR31" s="92"/>
      <c r="AS31" s="104">
        <v>1792</v>
      </c>
      <c r="AT31" s="105">
        <v>1814</v>
      </c>
      <c r="AU31" s="105">
        <v>1888</v>
      </c>
      <c r="AV31" s="106">
        <f>SUM(AV32:AV35)</f>
        <v>2031</v>
      </c>
      <c r="AW31" s="93">
        <f>AV31</f>
        <v>2031</v>
      </c>
      <c r="AX31" s="92"/>
      <c r="AY31" s="95">
        <v>1878</v>
      </c>
      <c r="AZ31" s="96">
        <v>2787</v>
      </c>
      <c r="BA31" s="96">
        <v>2713</v>
      </c>
      <c r="BB31" s="99">
        <f>SUM(BB32:BB35)</f>
        <v>2933.5</v>
      </c>
      <c r="BC31" s="93">
        <f>BB31</f>
        <v>2933.5</v>
      </c>
      <c r="BD31" s="92"/>
      <c r="BE31" s="95">
        <v>2578</v>
      </c>
      <c r="BF31" s="96">
        <f>2527+202-1</f>
        <v>2728</v>
      </c>
      <c r="BG31" s="96">
        <f>2672+195+1</f>
        <v>2868</v>
      </c>
      <c r="BH31" s="99">
        <f>SUM(BH32:BH35)</f>
        <v>3399</v>
      </c>
      <c r="BI31" s="93">
        <f>BH31</f>
        <v>3399</v>
      </c>
      <c r="BJ31" s="92"/>
      <c r="BK31" s="95">
        <v>2596</v>
      </c>
      <c r="BL31" s="96">
        <v>2794</v>
      </c>
      <c r="BM31" s="96">
        <v>2820</v>
      </c>
      <c r="BN31" s="99">
        <f>SUM(BN32:BN35)</f>
        <v>3139</v>
      </c>
      <c r="BO31" s="93">
        <f>BN31</f>
        <v>3139</v>
      </c>
      <c r="BP31" s="92"/>
      <c r="BQ31" s="95">
        <v>4193</v>
      </c>
      <c r="BR31" s="89">
        <f>BR82*IS!BR10/365*4</f>
        <v>4165.1105079452054</v>
      </c>
      <c r="BS31" s="89">
        <f>BS82*IS!BS10/365*4</f>
        <v>4225.6483873972611</v>
      </c>
      <c r="BT31" s="90">
        <f>BT82*IS!BT10/365*4</f>
        <v>4264.2124191780831</v>
      </c>
      <c r="BU31" s="93">
        <f>BT31</f>
        <v>4264.2124191780831</v>
      </c>
      <c r="BV31" s="92"/>
      <c r="BW31" s="88">
        <f>BW82*IS!BW10/365*4</f>
        <v>4227.4995119313062</v>
      </c>
      <c r="BX31" s="89">
        <f>BX82*IS!BX10/365*4</f>
        <v>4279.7551621723305</v>
      </c>
      <c r="BY31" s="89">
        <f>BY82*IS!BY10/365*4</f>
        <v>4428.7383935739517</v>
      </c>
      <c r="BZ31" s="90">
        <f>BZ82*IS!BZ10/365*4</f>
        <v>4468.5193072408147</v>
      </c>
      <c r="CA31" s="93">
        <f>BZ31</f>
        <v>4468.5193072408147</v>
      </c>
      <c r="CB31" s="92"/>
      <c r="CC31" s="88">
        <f>CC82*IS!CC10/365*4</f>
        <v>4338.0557299301645</v>
      </c>
      <c r="CD31" s="89">
        <f>CD82*IS!CD10/365*4</f>
        <v>4389.5679539863941</v>
      </c>
      <c r="CE31" s="89">
        <f>CE82*IS!CE10/365*4</f>
        <v>4544.781418408671</v>
      </c>
      <c r="CF31" s="90">
        <f>CF82*IS!CF10/365*4</f>
        <v>4584.581903887828</v>
      </c>
      <c r="CG31" s="93">
        <f>CF31</f>
        <v>4584.581903887828</v>
      </c>
      <c r="CH31" s="92"/>
      <c r="CI31" s="88">
        <f>CI82*IS!CI10/365*4</f>
        <v>4494.3262400150188</v>
      </c>
      <c r="CJ31" s="89">
        <f>CJ82*IS!CJ10/365*4</f>
        <v>4623.1638346650725</v>
      </c>
      <c r="CK31" s="89">
        <f>CK82*IS!CK10/365*4</f>
        <v>4662.8854520926097</v>
      </c>
      <c r="CL31" s="90">
        <f>CL82*IS!CL10/365*4</f>
        <v>4702.6362831652714</v>
      </c>
      <c r="CM31" s="93">
        <f>CL31</f>
        <v>4702.6362831652714</v>
      </c>
      <c r="CQ31"/>
      <c r="CR31"/>
      <c r="CS31"/>
      <c r="CT31"/>
      <c r="CU31"/>
      <c r="CV31"/>
    </row>
    <row r="32" spans="1:100" s="61" customFormat="1" hidden="1" outlineLevel="1" x14ac:dyDescent="0.2">
      <c r="A32" s="189" t="s">
        <v>137</v>
      </c>
      <c r="B32" s="92"/>
      <c r="C32" s="104"/>
      <c r="D32" s="105"/>
      <c r="E32" s="105"/>
      <c r="F32" s="106">
        <v>266.99299999999999</v>
      </c>
      <c r="G32" s="93">
        <f>F32</f>
        <v>266.99299999999999</v>
      </c>
      <c r="H32" s="92"/>
      <c r="I32" s="104"/>
      <c r="J32" s="105"/>
      <c r="K32" s="105"/>
      <c r="L32" s="106">
        <v>260.88200000000001</v>
      </c>
      <c r="M32" s="93">
        <f>L32</f>
        <v>260.88200000000001</v>
      </c>
      <c r="N32" s="92"/>
      <c r="O32" s="104"/>
      <c r="P32" s="105"/>
      <c r="Q32" s="105"/>
      <c r="R32" s="106">
        <v>264.18099999999998</v>
      </c>
      <c r="S32" s="93">
        <f>R32</f>
        <v>264.18099999999998</v>
      </c>
      <c r="T32" s="92"/>
      <c r="U32" s="104"/>
      <c r="V32" s="105"/>
      <c r="W32" s="105"/>
      <c r="X32" s="106">
        <v>325.40199999999999</v>
      </c>
      <c r="Y32" s="93">
        <f>X32</f>
        <v>325.40199999999999</v>
      </c>
      <c r="Z32" s="92"/>
      <c r="AA32" s="104"/>
      <c r="AB32" s="105"/>
      <c r="AC32" s="105"/>
      <c r="AD32" s="106">
        <v>304.83600000000001</v>
      </c>
      <c r="AE32" s="93">
        <f>AD32</f>
        <v>304.83600000000001</v>
      </c>
      <c r="AF32" s="92"/>
      <c r="AG32" s="104"/>
      <c r="AH32" s="105"/>
      <c r="AI32" s="105"/>
      <c r="AJ32" s="106">
        <v>350.45499999999998</v>
      </c>
      <c r="AK32" s="93">
        <f>AJ32</f>
        <v>350.45499999999998</v>
      </c>
      <c r="AL32" s="92"/>
      <c r="AM32" s="104"/>
      <c r="AN32" s="105"/>
      <c r="AO32" s="105"/>
      <c r="AP32" s="106">
        <v>333</v>
      </c>
      <c r="AQ32" s="93"/>
      <c r="AR32" s="92"/>
      <c r="AS32" s="104"/>
      <c r="AT32" s="105"/>
      <c r="AU32" s="105"/>
      <c r="AV32" s="106">
        <v>401</v>
      </c>
      <c r="AW32" s="93"/>
      <c r="AX32" s="92"/>
      <c r="AY32" s="98"/>
      <c r="AZ32" s="92"/>
      <c r="BA32" s="92"/>
      <c r="BB32" s="97">
        <v>631</v>
      </c>
      <c r="BC32" s="93"/>
      <c r="BD32" s="92"/>
      <c r="BE32" s="98"/>
      <c r="BF32" s="92"/>
      <c r="BG32" s="92"/>
      <c r="BH32" s="97">
        <v>665</v>
      </c>
      <c r="BI32" s="93"/>
      <c r="BJ32" s="92"/>
      <c r="BK32" s="98"/>
      <c r="BL32" s="92"/>
      <c r="BM32" s="92"/>
      <c r="BN32" s="97">
        <v>797</v>
      </c>
      <c r="BO32" s="93"/>
      <c r="BP32" s="92"/>
      <c r="BQ32" s="98"/>
      <c r="BR32" s="92"/>
      <c r="BS32" s="92"/>
      <c r="BT32" s="99"/>
      <c r="BU32" s="93"/>
      <c r="BV32" s="92"/>
      <c r="BW32" s="98"/>
      <c r="BX32" s="92"/>
      <c r="BY32" s="92"/>
      <c r="BZ32" s="99"/>
      <c r="CA32" s="93"/>
      <c r="CB32" s="92"/>
      <c r="CC32" s="98"/>
      <c r="CD32" s="92"/>
      <c r="CE32" s="92"/>
      <c r="CF32" s="99"/>
      <c r="CG32" s="93"/>
      <c r="CH32" s="92"/>
      <c r="CI32" s="98"/>
      <c r="CJ32" s="92"/>
      <c r="CK32" s="92"/>
      <c r="CL32" s="99"/>
      <c r="CM32" s="93"/>
      <c r="CQ32"/>
      <c r="CR32"/>
      <c r="CS32"/>
      <c r="CT32"/>
      <c r="CU32"/>
      <c r="CV32"/>
    </row>
    <row r="33" spans="1:100" s="61" customFormat="1" hidden="1" outlineLevel="1" x14ac:dyDescent="0.2">
      <c r="A33" s="189" t="s">
        <v>138</v>
      </c>
      <c r="B33" s="92"/>
      <c r="C33" s="104"/>
      <c r="D33" s="105"/>
      <c r="E33" s="105"/>
      <c r="F33" s="106">
        <v>481.42899999999997</v>
      </c>
      <c r="G33" s="93">
        <f>F33</f>
        <v>481.42899999999997</v>
      </c>
      <c r="H33" s="92"/>
      <c r="I33" s="104"/>
      <c r="J33" s="105"/>
      <c r="K33" s="105"/>
      <c r="L33" s="106">
        <v>519.11699999999996</v>
      </c>
      <c r="M33" s="93">
        <f>L33</f>
        <v>519.11699999999996</v>
      </c>
      <c r="N33" s="92"/>
      <c r="O33" s="104"/>
      <c r="P33" s="105"/>
      <c r="Q33" s="105"/>
      <c r="R33" s="106">
        <v>646.54</v>
      </c>
      <c r="S33" s="93">
        <f>R33</f>
        <v>646.54</v>
      </c>
      <c r="T33" s="92"/>
      <c r="U33" s="104"/>
      <c r="V33" s="105"/>
      <c r="W33" s="105"/>
      <c r="X33" s="106">
        <v>661.11199999999997</v>
      </c>
      <c r="Y33" s="93">
        <f>X33</f>
        <v>661.11199999999997</v>
      </c>
      <c r="Z33" s="92"/>
      <c r="AA33" s="104"/>
      <c r="AB33" s="105"/>
      <c r="AC33" s="105"/>
      <c r="AD33" s="106">
        <v>795.22400000000005</v>
      </c>
      <c r="AE33" s="93">
        <f>AD33</f>
        <v>795.22400000000005</v>
      </c>
      <c r="AF33" s="92"/>
      <c r="AG33" s="104"/>
      <c r="AH33" s="105"/>
      <c r="AI33" s="105"/>
      <c r="AJ33" s="106">
        <v>740.63599999999997</v>
      </c>
      <c r="AK33" s="93">
        <f>AJ33</f>
        <v>740.63599999999997</v>
      </c>
      <c r="AL33" s="92"/>
      <c r="AM33" s="104"/>
      <c r="AN33" s="105"/>
      <c r="AO33" s="105"/>
      <c r="AP33" s="106">
        <v>1067</v>
      </c>
      <c r="AQ33" s="93"/>
      <c r="AR33" s="92"/>
      <c r="AS33" s="104"/>
      <c r="AT33" s="105"/>
      <c r="AU33" s="105"/>
      <c r="AV33" s="106">
        <v>1053</v>
      </c>
      <c r="AW33" s="93"/>
      <c r="AX33" s="92"/>
      <c r="AY33" s="98"/>
      <c r="AZ33" s="92"/>
      <c r="BA33" s="92"/>
      <c r="BB33" s="97">
        <v>1623.5</v>
      </c>
      <c r="BC33" s="93"/>
      <c r="BD33" s="92"/>
      <c r="BE33" s="98"/>
      <c r="BF33" s="92"/>
      <c r="BG33" s="92"/>
      <c r="BH33" s="97">
        <v>1575</v>
      </c>
      <c r="BI33" s="93"/>
      <c r="BJ33" s="92"/>
      <c r="BK33" s="98"/>
      <c r="BL33" s="92"/>
      <c r="BM33" s="92"/>
      <c r="BN33" s="97">
        <v>1393</v>
      </c>
      <c r="BO33" s="93"/>
      <c r="BP33" s="92"/>
      <c r="BQ33" s="98"/>
      <c r="BR33" s="92"/>
      <c r="BS33" s="92"/>
      <c r="BT33" s="99"/>
      <c r="BU33" s="93"/>
      <c r="BV33" s="92"/>
      <c r="BW33" s="98"/>
      <c r="BX33" s="92"/>
      <c r="BY33" s="92"/>
      <c r="BZ33" s="99"/>
      <c r="CA33" s="93"/>
      <c r="CB33" s="92"/>
      <c r="CC33" s="98"/>
      <c r="CD33" s="92"/>
      <c r="CE33" s="92"/>
      <c r="CF33" s="99"/>
      <c r="CG33" s="93"/>
      <c r="CH33" s="92"/>
      <c r="CI33" s="98"/>
      <c r="CJ33" s="92"/>
      <c r="CK33" s="92"/>
      <c r="CL33" s="99"/>
      <c r="CM33" s="93"/>
      <c r="CQ33"/>
      <c r="CR33"/>
      <c r="CS33"/>
      <c r="CT33"/>
      <c r="CU33"/>
      <c r="CV33"/>
    </row>
    <row r="34" spans="1:100" s="61" customFormat="1" hidden="1" outlineLevel="1" x14ac:dyDescent="0.2">
      <c r="A34" s="189" t="s">
        <v>139</v>
      </c>
      <c r="B34" s="92"/>
      <c r="C34" s="104"/>
      <c r="D34" s="105"/>
      <c r="E34" s="105"/>
      <c r="F34" s="106">
        <v>435.85399999999998</v>
      </c>
      <c r="G34" s="93">
        <f>F34</f>
        <v>435.85399999999998</v>
      </c>
      <c r="H34" s="92"/>
      <c r="I34" s="104"/>
      <c r="J34" s="105"/>
      <c r="K34" s="105"/>
      <c r="L34" s="106">
        <v>406.37900000000002</v>
      </c>
      <c r="M34" s="93">
        <f>L34</f>
        <v>406.37900000000002</v>
      </c>
      <c r="N34" s="92"/>
      <c r="O34" s="104"/>
      <c r="P34" s="105"/>
      <c r="Q34" s="105"/>
      <c r="R34" s="106">
        <v>459.74200000000002</v>
      </c>
      <c r="S34" s="93">
        <f>R34</f>
        <v>459.74200000000002</v>
      </c>
      <c r="T34" s="92"/>
      <c r="U34" s="104"/>
      <c r="V34" s="105"/>
      <c r="W34" s="105"/>
      <c r="X34" s="106">
        <v>453.60500000000002</v>
      </c>
      <c r="Y34" s="93">
        <f>X34</f>
        <v>453.60500000000002</v>
      </c>
      <c r="Z34" s="92"/>
      <c r="AA34" s="104"/>
      <c r="AB34" s="105"/>
      <c r="AC34" s="105"/>
      <c r="AD34" s="106">
        <v>477.19799999999998</v>
      </c>
      <c r="AE34" s="93">
        <f>AD34</f>
        <v>477.19799999999998</v>
      </c>
      <c r="AF34" s="92"/>
      <c r="AG34" s="104"/>
      <c r="AH34" s="105"/>
      <c r="AI34" s="105"/>
      <c r="AJ34" s="106">
        <v>477.94</v>
      </c>
      <c r="AK34" s="93">
        <f>AJ34</f>
        <v>477.94</v>
      </c>
      <c r="AL34" s="92"/>
      <c r="AM34" s="104"/>
      <c r="AN34" s="105"/>
      <c r="AO34" s="105"/>
      <c r="AP34" s="106">
        <v>504</v>
      </c>
      <c r="AQ34" s="93"/>
      <c r="AR34" s="92"/>
      <c r="AS34" s="104"/>
      <c r="AT34" s="105"/>
      <c r="AU34" s="105"/>
      <c r="AV34" s="106">
        <v>551</v>
      </c>
      <c r="AW34" s="93"/>
      <c r="AX34" s="92"/>
      <c r="AY34" s="98"/>
      <c r="AZ34" s="92"/>
      <c r="BA34" s="92"/>
      <c r="BB34" s="97">
        <v>646.5</v>
      </c>
      <c r="BC34" s="93"/>
      <c r="BD34" s="92"/>
      <c r="BE34" s="98"/>
      <c r="BF34" s="92"/>
      <c r="BG34" s="92"/>
      <c r="BH34" s="97">
        <v>696</v>
      </c>
      <c r="BI34" s="93"/>
      <c r="BJ34" s="92"/>
      <c r="BK34" s="98"/>
      <c r="BL34" s="92"/>
      <c r="BM34" s="92"/>
      <c r="BN34" s="97">
        <v>773</v>
      </c>
      <c r="BO34" s="93"/>
      <c r="BP34" s="92"/>
      <c r="BQ34" s="98"/>
      <c r="BR34" s="92"/>
      <c r="BS34" s="92"/>
      <c r="BT34" s="99"/>
      <c r="BU34" s="93"/>
      <c r="BV34" s="92"/>
      <c r="BW34" s="98"/>
      <c r="BX34" s="92"/>
      <c r="BY34" s="92"/>
      <c r="BZ34" s="99"/>
      <c r="CA34" s="93"/>
      <c r="CB34" s="92"/>
      <c r="CC34" s="98"/>
      <c r="CD34" s="92"/>
      <c r="CE34" s="92"/>
      <c r="CF34" s="99"/>
      <c r="CG34" s="93"/>
      <c r="CH34" s="92"/>
      <c r="CI34" s="98"/>
      <c r="CJ34" s="92"/>
      <c r="CK34" s="92"/>
      <c r="CL34" s="99"/>
      <c r="CM34" s="93"/>
      <c r="CQ34"/>
      <c r="CR34"/>
      <c r="CS34"/>
      <c r="CT34"/>
      <c r="CU34"/>
      <c r="CV34"/>
    </row>
    <row r="35" spans="1:100" s="61" customFormat="1" hidden="1" outlineLevel="1" x14ac:dyDescent="0.2">
      <c r="A35" s="189" t="s">
        <v>52</v>
      </c>
      <c r="B35" s="92"/>
      <c r="C35" s="104"/>
      <c r="D35" s="105"/>
      <c r="E35" s="105"/>
      <c r="F35" s="106">
        <v>86.899000000000001</v>
      </c>
      <c r="G35" s="93">
        <f>F35</f>
        <v>86.899000000000001</v>
      </c>
      <c r="H35" s="92"/>
      <c r="I35" s="104"/>
      <c r="J35" s="105"/>
      <c r="K35" s="105"/>
      <c r="L35" s="106">
        <v>28.888999999999999</v>
      </c>
      <c r="M35" s="93">
        <f>L35</f>
        <v>28.888999999999999</v>
      </c>
      <c r="N35" s="92"/>
      <c r="O35" s="104"/>
      <c r="P35" s="105"/>
      <c r="Q35" s="105"/>
      <c r="R35" s="106">
        <v>3.665</v>
      </c>
      <c r="S35" s="93">
        <f>R35</f>
        <v>3.665</v>
      </c>
      <c r="T35" s="92"/>
      <c r="U35" s="104"/>
      <c r="V35" s="105"/>
      <c r="W35" s="105"/>
      <c r="X35" s="106">
        <v>28.795999999999999</v>
      </c>
      <c r="Y35" s="93">
        <f>X35</f>
        <v>28.795999999999999</v>
      </c>
      <c r="Z35" s="92"/>
      <c r="AA35" s="104"/>
      <c r="AB35" s="105"/>
      <c r="AC35" s="105"/>
      <c r="AD35" s="106">
        <v>11.038</v>
      </c>
      <c r="AE35" s="93">
        <f>AD35</f>
        <v>11.038</v>
      </c>
      <c r="AF35" s="92"/>
      <c r="AG35" s="104"/>
      <c r="AH35" s="105"/>
      <c r="AI35" s="105"/>
      <c r="AJ35" s="106">
        <v>3.8820000000000001</v>
      </c>
      <c r="AK35" s="93">
        <f>AJ35</f>
        <v>3.8820000000000001</v>
      </c>
      <c r="AL35" s="92"/>
      <c r="AM35" s="104"/>
      <c r="AN35" s="105"/>
      <c r="AO35" s="105"/>
      <c r="AP35" s="106">
        <v>19</v>
      </c>
      <c r="AQ35" s="93"/>
      <c r="AR35" s="92"/>
      <c r="AS35" s="104"/>
      <c r="AT35" s="105"/>
      <c r="AU35" s="105"/>
      <c r="AV35" s="106">
        <v>26</v>
      </c>
      <c r="AW35" s="93"/>
      <c r="AX35" s="92"/>
      <c r="AY35" s="98"/>
      <c r="AZ35" s="92"/>
      <c r="BA35" s="92"/>
      <c r="BB35" s="97">
        <v>32.5</v>
      </c>
      <c r="BC35" s="93"/>
      <c r="BD35" s="92"/>
      <c r="BE35" s="98"/>
      <c r="BF35" s="92"/>
      <c r="BG35" s="92"/>
      <c r="BH35" s="97">
        <f>274+189</f>
        <v>463</v>
      </c>
      <c r="BI35" s="93"/>
      <c r="BJ35" s="92"/>
      <c r="BK35" s="98"/>
      <c r="BL35" s="92"/>
      <c r="BM35" s="92"/>
      <c r="BN35" s="97">
        <v>176</v>
      </c>
      <c r="BO35" s="93"/>
      <c r="BP35" s="92"/>
      <c r="BQ35" s="98"/>
      <c r="BR35" s="92"/>
      <c r="BS35" s="92"/>
      <c r="BT35" s="99"/>
      <c r="BU35" s="93"/>
      <c r="BV35" s="92"/>
      <c r="BW35" s="98"/>
      <c r="BX35" s="92"/>
      <c r="BY35" s="92"/>
      <c r="BZ35" s="99"/>
      <c r="CA35" s="93"/>
      <c r="CB35" s="92"/>
      <c r="CC35" s="98"/>
      <c r="CD35" s="92"/>
      <c r="CE35" s="92"/>
      <c r="CF35" s="99"/>
      <c r="CG35" s="93"/>
      <c r="CH35" s="92"/>
      <c r="CI35" s="98"/>
      <c r="CJ35" s="92"/>
      <c r="CK35" s="92"/>
      <c r="CL35" s="99"/>
      <c r="CM35" s="93"/>
      <c r="CQ35"/>
      <c r="CR35"/>
      <c r="CS35"/>
      <c r="CT35"/>
      <c r="CU35"/>
      <c r="CV35"/>
    </row>
    <row r="36" spans="1:100" s="61" customFormat="1" collapsed="1" x14ac:dyDescent="0.2">
      <c r="A36" s="271" t="s">
        <v>140</v>
      </c>
      <c r="B36" s="116"/>
      <c r="C36" s="118">
        <f>C31+C30</f>
        <v>1472.27</v>
      </c>
      <c r="D36" s="116">
        <f>D31+D30</f>
        <v>1346.874</v>
      </c>
      <c r="E36" s="116">
        <f>E31+E30</f>
        <v>1414.78</v>
      </c>
      <c r="F36" s="117">
        <f>F31+F30</f>
        <v>1478.8090000000002</v>
      </c>
      <c r="G36" s="315">
        <f>G31+G30</f>
        <v>1478.8090000000002</v>
      </c>
      <c r="H36" s="116"/>
      <c r="I36" s="118">
        <f>I31+I30</f>
        <v>1496.8059999999998</v>
      </c>
      <c r="J36" s="116">
        <f>J31+J30</f>
        <v>1378.9070000000002</v>
      </c>
      <c r="K36" s="116">
        <f>K31+K30</f>
        <v>1465.9489999999998</v>
      </c>
      <c r="L36" s="117">
        <f>L31+L30</f>
        <v>1416.5790000000002</v>
      </c>
      <c r="M36" s="315">
        <f>M31+M30</f>
        <v>1416.5790000000002</v>
      </c>
      <c r="N36" s="116"/>
      <c r="O36" s="118">
        <f>O31+O30</f>
        <v>1638.1959999999999</v>
      </c>
      <c r="P36" s="116">
        <f>P31+P30</f>
        <v>1510.6869999999999</v>
      </c>
      <c r="Q36" s="116">
        <f>Q31+Q30</f>
        <v>1646.462</v>
      </c>
      <c r="R36" s="117">
        <f>R31+R30</f>
        <v>1777.0929999999998</v>
      </c>
      <c r="S36" s="315">
        <f>S31+S30</f>
        <v>1777.0929999999998</v>
      </c>
      <c r="T36" s="116"/>
      <c r="U36" s="118">
        <f>U31+U30</f>
        <v>1538.827</v>
      </c>
      <c r="V36" s="116">
        <f>V31+V30</f>
        <v>1467.4660000000001</v>
      </c>
      <c r="W36" s="116">
        <f>W31+W30</f>
        <v>1531.4259999999999</v>
      </c>
      <c r="X36" s="117">
        <f>X31+X30</f>
        <v>1671.673</v>
      </c>
      <c r="Y36" s="315">
        <f>Y31+Y30</f>
        <v>1671.673</v>
      </c>
      <c r="Z36" s="116"/>
      <c r="AA36" s="118">
        <f>AA31+AA30</f>
        <v>1612.3530000000001</v>
      </c>
      <c r="AB36" s="116">
        <f>AB31+AB30</f>
        <v>1578.9110000000001</v>
      </c>
      <c r="AC36" s="116">
        <f>AC31+AC30</f>
        <v>1657.9259999999999</v>
      </c>
      <c r="AD36" s="117">
        <f>AD31+AD30</f>
        <v>1823.2279999999998</v>
      </c>
      <c r="AE36" s="315">
        <f>AE31+AE30</f>
        <v>1823.2279999999998</v>
      </c>
      <c r="AF36" s="116"/>
      <c r="AG36" s="118">
        <f>AG31+AG30</f>
        <v>1606.374</v>
      </c>
      <c r="AH36" s="116">
        <f>AH31+AH30</f>
        <v>1621.489</v>
      </c>
      <c r="AI36" s="116">
        <f>AI31+AI30</f>
        <v>1889.6690000000001</v>
      </c>
      <c r="AJ36" s="117">
        <f>AJ31+AJ30</f>
        <v>1978.0550000000001</v>
      </c>
      <c r="AK36" s="315">
        <f>AK31+AK30</f>
        <v>1978.0550000000001</v>
      </c>
      <c r="AL36" s="116"/>
      <c r="AM36" s="118">
        <f>AM31+AM30</f>
        <v>2003.7819999999999</v>
      </c>
      <c r="AN36" s="116">
        <f>AN31+AN30</f>
        <v>1878.039</v>
      </c>
      <c r="AO36" s="116">
        <f>AO31+AO30</f>
        <v>1692.817</v>
      </c>
      <c r="AP36" s="117">
        <f>AP31+AP30</f>
        <v>2130</v>
      </c>
      <c r="AQ36" s="315">
        <f>AP36</f>
        <v>2130</v>
      </c>
      <c r="AR36" s="116"/>
      <c r="AS36" s="118">
        <f>AS31+AS30</f>
        <v>1997</v>
      </c>
      <c r="AT36" s="116">
        <f>AT31+AT30</f>
        <v>2016</v>
      </c>
      <c r="AU36" s="116">
        <f>AU31+AU30</f>
        <v>2093</v>
      </c>
      <c r="AV36" s="117">
        <f>AV31+AV30</f>
        <v>2234</v>
      </c>
      <c r="AW36" s="315">
        <f>AV36</f>
        <v>2234</v>
      </c>
      <c r="AX36" s="116"/>
      <c r="AY36" s="118">
        <f>AY31+AY30</f>
        <v>2080</v>
      </c>
      <c r="AZ36" s="116">
        <f>AZ31+AZ30</f>
        <v>4497</v>
      </c>
      <c r="BA36" s="116">
        <f>BA31+BA30</f>
        <v>4517</v>
      </c>
      <c r="BB36" s="117">
        <f>BB31+BB30</f>
        <v>4385.5</v>
      </c>
      <c r="BC36" s="315">
        <f>BB36</f>
        <v>4385.5</v>
      </c>
      <c r="BD36" s="116"/>
      <c r="BE36" s="118">
        <f>BE31+BE30</f>
        <v>4529</v>
      </c>
      <c r="BF36" s="116">
        <f>BF31+BF30</f>
        <v>4379</v>
      </c>
      <c r="BG36" s="116">
        <f>BG31+BG30</f>
        <v>4219</v>
      </c>
      <c r="BH36" s="117">
        <f>BH31+BH30</f>
        <v>4400</v>
      </c>
      <c r="BI36" s="315">
        <f>BH36</f>
        <v>4400</v>
      </c>
      <c r="BJ36" s="116"/>
      <c r="BK36" s="118">
        <f>BK31+BK30</f>
        <v>4570</v>
      </c>
      <c r="BL36" s="116">
        <f>BL31+BL30</f>
        <v>4018</v>
      </c>
      <c r="BM36" s="116">
        <f>BM31+BM30</f>
        <v>3273</v>
      </c>
      <c r="BN36" s="117">
        <f>BN31+BN30</f>
        <v>3342</v>
      </c>
      <c r="BO36" s="315">
        <f>BN36</f>
        <v>3342</v>
      </c>
      <c r="BP36" s="116"/>
      <c r="BQ36" s="118">
        <f>BQ31+BQ30</f>
        <v>4896</v>
      </c>
      <c r="BR36" s="116">
        <f>BR31+BR30</f>
        <v>4868.1105079452054</v>
      </c>
      <c r="BS36" s="116">
        <f>BS31+BS30</f>
        <v>4728.6483873972611</v>
      </c>
      <c r="BT36" s="117">
        <f>BT31+BT30</f>
        <v>4767.2124191780831</v>
      </c>
      <c r="BU36" s="315">
        <f>BT36</f>
        <v>4767.2124191780831</v>
      </c>
      <c r="BV36" s="116"/>
      <c r="BW36" s="118">
        <f>BW31+BW30</f>
        <v>4730.4995119313062</v>
      </c>
      <c r="BX36" s="116">
        <f>BX31+BX30</f>
        <v>4782.7551621723305</v>
      </c>
      <c r="BY36" s="116">
        <f>BY31+BY30</f>
        <v>4931.7383935739517</v>
      </c>
      <c r="BZ36" s="117">
        <f>BZ31+BZ30</f>
        <v>4971.5193072408147</v>
      </c>
      <c r="CA36" s="315">
        <f>BZ36</f>
        <v>4971.5193072408147</v>
      </c>
      <c r="CB36" s="116"/>
      <c r="CC36" s="118">
        <f>CC31+CC30</f>
        <v>4841.0557299301645</v>
      </c>
      <c r="CD36" s="116">
        <f>CD31+CD30</f>
        <v>4892.5679539863941</v>
      </c>
      <c r="CE36" s="116">
        <f>CE31+CE30</f>
        <v>5047.781418408671</v>
      </c>
      <c r="CF36" s="117">
        <f>CF31+CF30</f>
        <v>5087.581903887828</v>
      </c>
      <c r="CG36" s="315">
        <f>CF36</f>
        <v>5087.581903887828</v>
      </c>
      <c r="CH36" s="116"/>
      <c r="CI36" s="118">
        <f>CI31+CI30</f>
        <v>4997.3262400150188</v>
      </c>
      <c r="CJ36" s="116">
        <f>CJ31+CJ30</f>
        <v>5126.1638346650725</v>
      </c>
      <c r="CK36" s="116">
        <f>CK31+CK30</f>
        <v>5165.8854520926097</v>
      </c>
      <c r="CL36" s="117">
        <f>CL31+CL30</f>
        <v>5205.6362831652714</v>
      </c>
      <c r="CM36" s="315">
        <f>CL36</f>
        <v>5205.6362831652714</v>
      </c>
      <c r="CQ36"/>
      <c r="CR36"/>
      <c r="CS36"/>
      <c r="CT36"/>
      <c r="CU36"/>
      <c r="CV36"/>
    </row>
    <row r="37" spans="1:100" s="61" customFormat="1" x14ac:dyDescent="0.2">
      <c r="A37" s="271"/>
      <c r="B37" s="116"/>
      <c r="C37" s="98"/>
      <c r="D37" s="92"/>
      <c r="E37" s="92"/>
      <c r="F37" s="99"/>
      <c r="G37" s="93"/>
      <c r="H37" s="92"/>
      <c r="I37" s="98"/>
      <c r="J37" s="92"/>
      <c r="K37" s="92"/>
      <c r="L37" s="99"/>
      <c r="M37" s="93"/>
      <c r="N37" s="92"/>
      <c r="O37" s="98"/>
      <c r="P37" s="92"/>
      <c r="Q37" s="92"/>
      <c r="R37" s="99"/>
      <c r="S37" s="93"/>
      <c r="T37" s="92"/>
      <c r="U37" s="98"/>
      <c r="V37" s="92"/>
      <c r="W37" s="92"/>
      <c r="X37" s="99"/>
      <c r="Y37" s="93"/>
      <c r="Z37" s="92"/>
      <c r="AA37" s="98"/>
      <c r="AB37" s="92"/>
      <c r="AC37" s="92"/>
      <c r="AD37" s="99"/>
      <c r="AE37" s="93"/>
      <c r="AF37" s="92"/>
      <c r="AG37" s="98"/>
      <c r="AH37" s="92"/>
      <c r="AI37" s="92"/>
      <c r="AJ37" s="99"/>
      <c r="AK37" s="93"/>
      <c r="AL37" s="92"/>
      <c r="AM37" s="98"/>
      <c r="AN37" s="92"/>
      <c r="AO37" s="92"/>
      <c r="AP37" s="99"/>
      <c r="AQ37" s="93"/>
      <c r="AR37" s="92"/>
      <c r="AS37" s="98"/>
      <c r="AT37" s="92"/>
      <c r="AU37" s="92"/>
      <c r="AV37" s="99"/>
      <c r="AW37" s="93"/>
      <c r="AX37" s="92"/>
      <c r="AY37" s="98"/>
      <c r="AZ37" s="92"/>
      <c r="BA37" s="92"/>
      <c r="BB37" s="99"/>
      <c r="BC37" s="93"/>
      <c r="BD37" s="92"/>
      <c r="BE37" s="98"/>
      <c r="BF37" s="92"/>
      <c r="BG37" s="92"/>
      <c r="BH37" s="99"/>
      <c r="BI37" s="93"/>
      <c r="BJ37" s="92"/>
      <c r="BK37" s="98"/>
      <c r="BL37" s="92"/>
      <c r="BM37" s="92"/>
      <c r="BN37" s="99"/>
      <c r="BO37" s="93"/>
      <c r="BP37" s="92"/>
      <c r="BQ37" s="98"/>
      <c r="BR37" s="92"/>
      <c r="BS37" s="92"/>
      <c r="BT37" s="99"/>
      <c r="BU37" s="93"/>
      <c r="BV37" s="92"/>
      <c r="BW37" s="98"/>
      <c r="BX37" s="92"/>
      <c r="BY37" s="92"/>
      <c r="BZ37" s="99"/>
      <c r="CA37" s="93"/>
      <c r="CB37" s="92"/>
      <c r="CC37" s="98"/>
      <c r="CD37" s="92"/>
      <c r="CE37" s="92"/>
      <c r="CF37" s="99"/>
      <c r="CG37" s="93"/>
      <c r="CH37" s="92"/>
      <c r="CI37" s="98"/>
      <c r="CJ37" s="92"/>
      <c r="CK37" s="92"/>
      <c r="CL37" s="99"/>
      <c r="CM37" s="93"/>
      <c r="CQ37"/>
      <c r="CR37"/>
      <c r="CS37"/>
      <c r="CT37"/>
      <c r="CU37"/>
      <c r="CV37"/>
    </row>
    <row r="38" spans="1:100" s="61" customFormat="1" x14ac:dyDescent="0.2">
      <c r="A38" s="189" t="s">
        <v>141</v>
      </c>
      <c r="B38" s="92"/>
      <c r="C38" s="104">
        <v>956.11400000000003</v>
      </c>
      <c r="D38" s="105">
        <v>956.13499999999999</v>
      </c>
      <c r="E38" s="105">
        <v>953.11199999999997</v>
      </c>
      <c r="F38" s="106">
        <v>955.71299999999997</v>
      </c>
      <c r="G38" s="93">
        <f>F38</f>
        <v>955.71299999999997</v>
      </c>
      <c r="H38" s="92"/>
      <c r="I38" s="104">
        <v>957.62699999999995</v>
      </c>
      <c r="J38" s="105">
        <v>959.94899999999996</v>
      </c>
      <c r="K38" s="105">
        <v>954.85500000000002</v>
      </c>
      <c r="L38" s="106">
        <v>953.226</v>
      </c>
      <c r="M38" s="93">
        <f>L38</f>
        <v>953.226</v>
      </c>
      <c r="N38" s="92"/>
      <c r="O38" s="104">
        <v>747.76</v>
      </c>
      <c r="P38" s="105">
        <v>747.67</v>
      </c>
      <c r="Q38" s="105">
        <v>1483.56</v>
      </c>
      <c r="R38" s="106">
        <v>1488.46</v>
      </c>
      <c r="S38" s="93">
        <f>R38</f>
        <v>1488.46</v>
      </c>
      <c r="T38" s="92"/>
      <c r="U38" s="104">
        <v>1487.8440000000001</v>
      </c>
      <c r="V38" s="105">
        <v>1490.2619999999999</v>
      </c>
      <c r="W38" s="105">
        <v>1493.4</v>
      </c>
      <c r="X38" s="106">
        <v>1495.357</v>
      </c>
      <c r="Y38" s="93">
        <f>X38</f>
        <v>1495.357</v>
      </c>
      <c r="Z38" s="92"/>
      <c r="AA38" s="104">
        <v>2485.0189999999998</v>
      </c>
      <c r="AB38" s="105">
        <v>2484.1680000000001</v>
      </c>
      <c r="AC38" s="105">
        <v>2484.953</v>
      </c>
      <c r="AD38" s="106">
        <v>2484.665</v>
      </c>
      <c r="AE38" s="93">
        <f>AD38</f>
        <v>2484.665</v>
      </c>
      <c r="AF38" s="92"/>
      <c r="AG38" s="104">
        <v>3972.194</v>
      </c>
      <c r="AH38" s="105">
        <v>3964.143</v>
      </c>
      <c r="AI38" s="105">
        <v>3760.6419999999998</v>
      </c>
      <c r="AJ38" s="106">
        <v>3761.1120000000001</v>
      </c>
      <c r="AK38" s="93">
        <f>AJ38</f>
        <v>3761.1120000000001</v>
      </c>
      <c r="AL38" s="92"/>
      <c r="AM38" s="104">
        <v>3761.5920000000001</v>
      </c>
      <c r="AN38" s="105">
        <v>3762.0770000000002</v>
      </c>
      <c r="AO38" s="105">
        <v>3762.567</v>
      </c>
      <c r="AP38" s="106">
        <v>3763</v>
      </c>
      <c r="AQ38" s="93">
        <f>AP38</f>
        <v>3763</v>
      </c>
      <c r="AR38" s="92"/>
      <c r="AS38" s="104">
        <v>3764</v>
      </c>
      <c r="AT38" s="105">
        <v>3764</v>
      </c>
      <c r="AU38" s="105">
        <v>3768</v>
      </c>
      <c r="AV38" s="106">
        <v>3768</v>
      </c>
      <c r="AW38" s="93">
        <f>AV38</f>
        <v>3768</v>
      </c>
      <c r="AX38" s="92"/>
      <c r="AY38" s="95">
        <v>9940</v>
      </c>
      <c r="AZ38" s="96">
        <v>12128</v>
      </c>
      <c r="BA38" s="96">
        <v>11367</v>
      </c>
      <c r="BB38" s="97">
        <v>11370</v>
      </c>
      <c r="BC38" s="93">
        <f>BB38</f>
        <v>11370</v>
      </c>
      <c r="BD38" s="92"/>
      <c r="BE38" s="95">
        <v>10858</v>
      </c>
      <c r="BF38" s="96">
        <v>10864</v>
      </c>
      <c r="BG38" s="96">
        <v>10561</v>
      </c>
      <c r="BH38" s="97">
        <v>10550</v>
      </c>
      <c r="BI38" s="93">
        <f>BH38</f>
        <v>10550</v>
      </c>
      <c r="BJ38" s="92"/>
      <c r="BK38" s="95">
        <v>9043</v>
      </c>
      <c r="BL38" s="96">
        <v>9082</v>
      </c>
      <c r="BM38" s="96">
        <v>18563</v>
      </c>
      <c r="BN38" s="97">
        <v>18667</v>
      </c>
      <c r="BO38" s="93">
        <f>BN38</f>
        <v>18667</v>
      </c>
      <c r="BP38" s="92"/>
      <c r="BQ38" s="95">
        <v>22095</v>
      </c>
      <c r="BR38" s="89">
        <v>21845</v>
      </c>
      <c r="BS38" s="89">
        <v>21595</v>
      </c>
      <c r="BT38" s="90">
        <v>21095.000000000004</v>
      </c>
      <c r="BU38" s="93">
        <f>BT38</f>
        <v>21095.000000000004</v>
      </c>
      <c r="BV38" s="92"/>
      <c r="BW38" s="88">
        <v>20595.000000000004</v>
      </c>
      <c r="BX38" s="89">
        <v>20145</v>
      </c>
      <c r="BY38" s="89">
        <v>19302</v>
      </c>
      <c r="BZ38" s="90">
        <v>18852</v>
      </c>
      <c r="CA38" s="93">
        <f>BZ38</f>
        <v>18852</v>
      </c>
      <c r="CB38" s="92"/>
      <c r="CC38" s="88">
        <v>17977</v>
      </c>
      <c r="CD38" s="89">
        <v>16554.9084</v>
      </c>
      <c r="CE38" s="89">
        <v>16054.9084</v>
      </c>
      <c r="CF38" s="90">
        <v>15104.9084</v>
      </c>
      <c r="CG38" s="93">
        <f>CF38</f>
        <v>15104.9084</v>
      </c>
      <c r="CH38" s="92"/>
      <c r="CI38" s="88">
        <v>14904.9084</v>
      </c>
      <c r="CJ38" s="89">
        <v>14472.688399999999</v>
      </c>
      <c r="CK38" s="89">
        <v>13672.688399999999</v>
      </c>
      <c r="CL38" s="90">
        <v>13672.688399999999</v>
      </c>
      <c r="CM38" s="93">
        <f>CL38</f>
        <v>13672.688399999999</v>
      </c>
      <c r="CQ38"/>
      <c r="CR38"/>
      <c r="CS38"/>
      <c r="CT38"/>
      <c r="CU38"/>
      <c r="CV38"/>
    </row>
    <row r="39" spans="1:100" s="61" customFormat="1" x14ac:dyDescent="0.2">
      <c r="A39" s="189" t="s">
        <v>142</v>
      </c>
      <c r="B39" s="92"/>
      <c r="C39" s="104">
        <v>207.636</v>
      </c>
      <c r="D39" s="105">
        <v>274.46899999999999</v>
      </c>
      <c r="E39" s="105">
        <v>279.10399999999998</v>
      </c>
      <c r="F39" s="106">
        <v>444.87400000000002</v>
      </c>
      <c r="G39" s="93">
        <f>F39</f>
        <v>444.87400000000002</v>
      </c>
      <c r="H39" s="92"/>
      <c r="I39" s="104">
        <v>427.61</v>
      </c>
      <c r="J39" s="105">
        <v>438.89699999999999</v>
      </c>
      <c r="K39" s="105">
        <v>452.34</v>
      </c>
      <c r="L39" s="106">
        <v>464.98200000000003</v>
      </c>
      <c r="M39" s="93">
        <f>L39</f>
        <v>464.98200000000003</v>
      </c>
      <c r="N39" s="92"/>
      <c r="O39" s="104">
        <v>364.87799999999999</v>
      </c>
      <c r="P39" s="105">
        <v>371.95699999999999</v>
      </c>
      <c r="Q39" s="105">
        <v>383.03199999999998</v>
      </c>
      <c r="R39" s="106">
        <v>782.03399999999999</v>
      </c>
      <c r="S39" s="93">
        <f>R39</f>
        <v>782.03399999999999</v>
      </c>
      <c r="T39" s="92"/>
      <c r="U39" s="104">
        <v>619.99300000000005</v>
      </c>
      <c r="V39" s="105">
        <v>634.90700000000004</v>
      </c>
      <c r="W39" s="105">
        <v>643.26700000000005</v>
      </c>
      <c r="X39" s="106">
        <v>899.10900000000004</v>
      </c>
      <c r="Y39" s="93">
        <f>X39</f>
        <v>899.10900000000004</v>
      </c>
      <c r="Z39" s="92"/>
      <c r="AA39" s="104">
        <v>923.91800000000001</v>
      </c>
      <c r="AB39" s="105">
        <v>905.99800000000005</v>
      </c>
      <c r="AC39" s="105">
        <v>904.30700000000002</v>
      </c>
      <c r="AD39" s="106">
        <v>1068.4829999999999</v>
      </c>
      <c r="AE39" s="93">
        <f>AD39</f>
        <v>1068.4829999999999</v>
      </c>
      <c r="AF39" s="92"/>
      <c r="AG39" s="104">
        <v>777.59900000000005</v>
      </c>
      <c r="AH39" s="105">
        <v>786.33500000000004</v>
      </c>
      <c r="AI39" s="105">
        <v>789.899</v>
      </c>
      <c r="AJ39" s="106">
        <v>1224.1479999999999</v>
      </c>
      <c r="AK39" s="93">
        <f>AJ39</f>
        <v>1224.1479999999999</v>
      </c>
      <c r="AL39" s="92"/>
      <c r="AM39" s="104">
        <v>1103.8910000000001</v>
      </c>
      <c r="AN39" s="105">
        <v>1113.4349999999999</v>
      </c>
      <c r="AO39" s="105">
        <v>1115.482</v>
      </c>
      <c r="AP39" s="106">
        <v>805</v>
      </c>
      <c r="AQ39" s="93">
        <f>AP39</f>
        <v>805</v>
      </c>
      <c r="AR39" s="92"/>
      <c r="AS39" s="104">
        <v>780</v>
      </c>
      <c r="AT39" s="105">
        <v>728</v>
      </c>
      <c r="AU39" s="105">
        <v>703</v>
      </c>
      <c r="AV39" s="106">
        <v>1009</v>
      </c>
      <c r="AW39" s="93">
        <f>AV39</f>
        <v>1009</v>
      </c>
      <c r="AX39" s="92"/>
      <c r="AY39" s="95">
        <v>983</v>
      </c>
      <c r="AZ39" s="96">
        <v>996</v>
      </c>
      <c r="BA39" s="96">
        <v>1007</v>
      </c>
      <c r="BB39" s="97">
        <v>1133</v>
      </c>
      <c r="BC39" s="93">
        <f>BB39</f>
        <v>1133</v>
      </c>
      <c r="BD39" s="92"/>
      <c r="BE39" s="95">
        <v>1150</v>
      </c>
      <c r="BF39" s="96">
        <v>1146</v>
      </c>
      <c r="BG39" s="96">
        <f>1159-1</f>
        <v>1158</v>
      </c>
      <c r="BH39" s="97">
        <v>1319</v>
      </c>
      <c r="BI39" s="93">
        <f>BH39</f>
        <v>1319</v>
      </c>
      <c r="BJ39" s="92"/>
      <c r="BK39" s="95">
        <v>1323</v>
      </c>
      <c r="BL39" s="96">
        <v>1356</v>
      </c>
      <c r="BM39" s="96">
        <v>1337</v>
      </c>
      <c r="BN39" s="97">
        <v>1168</v>
      </c>
      <c r="BO39" s="93">
        <f>BN39</f>
        <v>1168</v>
      </c>
      <c r="BP39" s="92"/>
      <c r="BQ39" s="95">
        <v>1164</v>
      </c>
      <c r="BR39" s="89">
        <f>BQ39+CFS!BR25</f>
        <v>1164</v>
      </c>
      <c r="BS39" s="89">
        <f>BR39+CFS!BS25</f>
        <v>1164</v>
      </c>
      <c r="BT39" s="90">
        <f>BS39+CFS!BT25</f>
        <v>1164</v>
      </c>
      <c r="BU39" s="93">
        <f>BT39</f>
        <v>1164</v>
      </c>
      <c r="BV39" s="92"/>
      <c r="BW39" s="88">
        <f>BT39+CFS!BW25</f>
        <v>1164</v>
      </c>
      <c r="BX39" s="89">
        <f>BW39+CFS!BX25</f>
        <v>1164</v>
      </c>
      <c r="BY39" s="89">
        <f>BX39+CFS!BY25</f>
        <v>1164</v>
      </c>
      <c r="BZ39" s="90">
        <f>BY39+CFS!BZ25</f>
        <v>1164</v>
      </c>
      <c r="CA39" s="93">
        <f>BZ39</f>
        <v>1164</v>
      </c>
      <c r="CB39" s="92"/>
      <c r="CC39" s="88">
        <f>BZ39+CFS!CC25</f>
        <v>1164</v>
      </c>
      <c r="CD39" s="89">
        <f>CC39+CFS!CD25</f>
        <v>1164</v>
      </c>
      <c r="CE39" s="89">
        <f>CD39+CFS!CE25</f>
        <v>1164</v>
      </c>
      <c r="CF39" s="90">
        <f>CE39+CFS!CF25</f>
        <v>1164</v>
      </c>
      <c r="CG39" s="93">
        <f>CF39</f>
        <v>1164</v>
      </c>
      <c r="CH39" s="92"/>
      <c r="CI39" s="88">
        <f>CF39+CFS!CI25</f>
        <v>1164</v>
      </c>
      <c r="CJ39" s="89">
        <f>CI39+CFS!CJ25</f>
        <v>1164</v>
      </c>
      <c r="CK39" s="89">
        <f>CJ39+CFS!CK25</f>
        <v>1164</v>
      </c>
      <c r="CL39" s="90">
        <f>CK39+CFS!CL25</f>
        <v>1164</v>
      </c>
      <c r="CM39" s="93">
        <f>CL39</f>
        <v>1164</v>
      </c>
      <c r="CQ39"/>
      <c r="CR39"/>
      <c r="CS39"/>
      <c r="CT39"/>
      <c r="CU39"/>
      <c r="CV39"/>
    </row>
    <row r="40" spans="1:100" s="61" customFormat="1" x14ac:dyDescent="0.2">
      <c r="A40" s="189" t="s">
        <v>143</v>
      </c>
      <c r="B40" s="92"/>
      <c r="C40" s="104">
        <v>243.52099999999999</v>
      </c>
      <c r="D40" s="105">
        <v>244.85599999999999</v>
      </c>
      <c r="E40" s="105">
        <v>247.95400000000001</v>
      </c>
      <c r="F40" s="106">
        <v>88.012</v>
      </c>
      <c r="G40" s="93">
        <f>F40</f>
        <v>88.012</v>
      </c>
      <c r="H40" s="92"/>
      <c r="I40" s="104">
        <v>160.215</v>
      </c>
      <c r="J40" s="105">
        <v>164.327</v>
      </c>
      <c r="K40" s="105">
        <v>181.94900000000001</v>
      </c>
      <c r="L40" s="106">
        <v>142.58799999999999</v>
      </c>
      <c r="M40" s="93">
        <f>L40</f>
        <v>142.58799999999999</v>
      </c>
      <c r="N40" s="92"/>
      <c r="O40" s="104">
        <v>142.88800000000001</v>
      </c>
      <c r="P40" s="105">
        <v>141.49299999999999</v>
      </c>
      <c r="Q40" s="105">
        <v>124.03700000000001</v>
      </c>
      <c r="R40" s="106">
        <v>114.325</v>
      </c>
      <c r="S40" s="93">
        <f>R40</f>
        <v>114.325</v>
      </c>
      <c r="T40" s="92"/>
      <c r="U40" s="104">
        <v>187.453</v>
      </c>
      <c r="V40" s="105">
        <v>201.12299999999999</v>
      </c>
      <c r="W40" s="105">
        <v>209.703</v>
      </c>
      <c r="X40" s="106">
        <v>149.97499999999999</v>
      </c>
      <c r="Y40" s="93">
        <f>X40</f>
        <v>149.97499999999999</v>
      </c>
      <c r="Z40" s="92"/>
      <c r="AA40" s="104">
        <v>172.047</v>
      </c>
      <c r="AB40" s="105">
        <v>276.08499999999998</v>
      </c>
      <c r="AC40" s="105">
        <v>275.233</v>
      </c>
      <c r="AD40" s="106">
        <v>225.87700000000001</v>
      </c>
      <c r="AE40" s="93">
        <f>AD40</f>
        <v>225.87700000000001</v>
      </c>
      <c r="AF40" s="92"/>
      <c r="AG40" s="104">
        <v>329.642</v>
      </c>
      <c r="AH40" s="105">
        <v>347.137</v>
      </c>
      <c r="AI40" s="105">
        <v>350.15</v>
      </c>
      <c r="AJ40" s="106">
        <v>261.70499999999998</v>
      </c>
      <c r="AK40" s="93">
        <f>AJ40</f>
        <v>261.70499999999998</v>
      </c>
      <c r="AL40" s="92"/>
      <c r="AM40" s="104">
        <v>290.70299999999997</v>
      </c>
      <c r="AN40" s="105">
        <v>287.58999999999997</v>
      </c>
      <c r="AO40" s="105">
        <v>299.661</v>
      </c>
      <c r="AP40" s="106">
        <v>408</v>
      </c>
      <c r="AQ40" s="93">
        <f>AP40</f>
        <v>408</v>
      </c>
      <c r="AR40" s="92"/>
      <c r="AS40" s="104">
        <v>415</v>
      </c>
      <c r="AT40" s="105">
        <v>427</v>
      </c>
      <c r="AU40" s="105">
        <v>432</v>
      </c>
      <c r="AV40" s="106">
        <v>383</v>
      </c>
      <c r="AW40" s="93">
        <f>AV40</f>
        <v>383</v>
      </c>
      <c r="AX40" s="92"/>
      <c r="AY40" s="95">
        <v>432</v>
      </c>
      <c r="AZ40" s="96">
        <v>3513</v>
      </c>
      <c r="BA40" s="96">
        <v>2936</v>
      </c>
      <c r="BB40" s="97">
        <v>2767</v>
      </c>
      <c r="BC40" s="93">
        <f>BB40</f>
        <v>2767</v>
      </c>
      <c r="BD40" s="92"/>
      <c r="BE40" s="95">
        <v>2286</v>
      </c>
      <c r="BF40" s="96">
        <v>2181</v>
      </c>
      <c r="BG40" s="96">
        <v>2045</v>
      </c>
      <c r="BH40" s="97">
        <v>1684</v>
      </c>
      <c r="BI40" s="93">
        <f>BH40</f>
        <v>1684</v>
      </c>
      <c r="BJ40" s="92"/>
      <c r="BK40" s="95">
        <v>1798</v>
      </c>
      <c r="BL40" s="96">
        <v>1702</v>
      </c>
      <c r="BM40" s="96">
        <f>1406+1</f>
        <v>1407</v>
      </c>
      <c r="BN40" s="97">
        <v>1609</v>
      </c>
      <c r="BO40" s="93">
        <f>BN40</f>
        <v>1609</v>
      </c>
      <c r="BP40" s="92"/>
      <c r="BQ40" s="95">
        <v>5961</v>
      </c>
      <c r="BR40" s="92">
        <f>BQ40*1.06</f>
        <v>6318.6600000000008</v>
      </c>
      <c r="BS40" s="92">
        <f>BR40*1.06</f>
        <v>6697.7796000000008</v>
      </c>
      <c r="BT40" s="99">
        <f>BS40*1.06</f>
        <v>7099.6463760000015</v>
      </c>
      <c r="BU40" s="93">
        <f>BT40</f>
        <v>7099.6463760000015</v>
      </c>
      <c r="BV40" s="92"/>
      <c r="BW40" s="98">
        <f>BT40*1.01</f>
        <v>7170.6428397600012</v>
      </c>
      <c r="BX40" s="92">
        <f>BW40*1.01</f>
        <v>7242.3492681576008</v>
      </c>
      <c r="BY40" s="92">
        <f t="shared" ref="BY40:BZ40" si="23">BX40*1.01</f>
        <v>7314.772760839177</v>
      </c>
      <c r="BZ40" s="99">
        <f t="shared" si="23"/>
        <v>7387.9204884475685</v>
      </c>
      <c r="CA40" s="93">
        <f>BZ40</f>
        <v>7387.9204884475685</v>
      </c>
      <c r="CB40" s="92"/>
      <c r="CC40" s="98">
        <f>BZ40*1.01</f>
        <v>7461.7996933320446</v>
      </c>
      <c r="CD40" s="92">
        <f>CC40*1.01</f>
        <v>7536.4176902653653</v>
      </c>
      <c r="CE40" s="92">
        <f t="shared" ref="CE40:CF40" si="24">CD40*1.01</f>
        <v>7611.7818671680188</v>
      </c>
      <c r="CF40" s="99">
        <f t="shared" si="24"/>
        <v>7687.8996858396995</v>
      </c>
      <c r="CG40" s="93">
        <f>CF40</f>
        <v>7687.8996858396995</v>
      </c>
      <c r="CH40" s="92"/>
      <c r="CI40" s="98">
        <f>CF40*1.01</f>
        <v>7764.7786826980964</v>
      </c>
      <c r="CJ40" s="92">
        <f>CI40*1.01</f>
        <v>7842.4264695250777</v>
      </c>
      <c r="CK40" s="92">
        <f t="shared" ref="CK40:CL40" si="25">CJ40*1.01</f>
        <v>7920.8507342203284</v>
      </c>
      <c r="CL40" s="99">
        <f t="shared" si="25"/>
        <v>8000.0592415625315</v>
      </c>
      <c r="CM40" s="93">
        <f>CL40</f>
        <v>8000.0592415625315</v>
      </c>
      <c r="CQ40"/>
      <c r="CR40"/>
      <c r="CS40"/>
      <c r="CT40"/>
      <c r="CU40"/>
      <c r="CV40"/>
    </row>
    <row r="41" spans="1:100" s="61" customFormat="1" x14ac:dyDescent="0.2">
      <c r="A41" s="189" t="s">
        <v>144</v>
      </c>
      <c r="B41" s="105">
        <v>0</v>
      </c>
      <c r="C41" s="104">
        <v>0</v>
      </c>
      <c r="D41" s="105">
        <v>0</v>
      </c>
      <c r="E41" s="105">
        <v>0</v>
      </c>
      <c r="F41" s="106">
        <v>0</v>
      </c>
      <c r="G41" s="93">
        <f>F41</f>
        <v>0</v>
      </c>
      <c r="H41" s="92"/>
      <c r="I41" s="104">
        <v>0</v>
      </c>
      <c r="J41" s="105">
        <v>0</v>
      </c>
      <c r="K41" s="105">
        <v>0</v>
      </c>
      <c r="L41" s="106">
        <v>0</v>
      </c>
      <c r="M41" s="93">
        <f>L41</f>
        <v>0</v>
      </c>
      <c r="N41" s="92"/>
      <c r="O41" s="104">
        <v>0</v>
      </c>
      <c r="P41" s="105">
        <v>0</v>
      </c>
      <c r="Q41" s="105">
        <v>0</v>
      </c>
      <c r="R41" s="106">
        <v>0</v>
      </c>
      <c r="S41" s="93">
        <f>R41</f>
        <v>0</v>
      </c>
      <c r="T41" s="92"/>
      <c r="U41" s="104">
        <v>0</v>
      </c>
      <c r="V41" s="105">
        <v>0</v>
      </c>
      <c r="W41" s="105">
        <v>0</v>
      </c>
      <c r="X41" s="106">
        <v>0</v>
      </c>
      <c r="Y41" s="93">
        <f>X41</f>
        <v>0</v>
      </c>
      <c r="Z41" s="92"/>
      <c r="AA41" s="104">
        <v>0</v>
      </c>
      <c r="AB41" s="105">
        <v>0</v>
      </c>
      <c r="AC41" s="105">
        <v>0</v>
      </c>
      <c r="AD41" s="106">
        <v>0</v>
      </c>
      <c r="AE41" s="93">
        <f>AD41</f>
        <v>0</v>
      </c>
      <c r="AF41" s="92"/>
      <c r="AG41" s="104">
        <v>0</v>
      </c>
      <c r="AH41" s="105">
        <v>0</v>
      </c>
      <c r="AI41" s="105">
        <v>0</v>
      </c>
      <c r="AJ41" s="106">
        <v>0</v>
      </c>
      <c r="AK41" s="93">
        <f>AJ41</f>
        <v>0</v>
      </c>
      <c r="AL41" s="92"/>
      <c r="AM41" s="104">
        <v>0</v>
      </c>
      <c r="AN41" s="105">
        <v>0</v>
      </c>
      <c r="AO41" s="105">
        <v>0</v>
      </c>
      <c r="AP41" s="106">
        <v>0</v>
      </c>
      <c r="AQ41" s="93">
        <f>AP41</f>
        <v>0</v>
      </c>
      <c r="AR41" s="92"/>
      <c r="AS41" s="104">
        <v>0</v>
      </c>
      <c r="AT41" s="105">
        <v>0</v>
      </c>
      <c r="AU41" s="105">
        <v>0</v>
      </c>
      <c r="AV41" s="106">
        <v>0</v>
      </c>
      <c r="AW41" s="93">
        <f>AV41</f>
        <v>0</v>
      </c>
      <c r="AX41" s="92"/>
      <c r="AY41" s="95">
        <v>0</v>
      </c>
      <c r="AZ41" s="96">
        <v>0</v>
      </c>
      <c r="BA41" s="96">
        <v>0</v>
      </c>
      <c r="BB41" s="97">
        <v>0</v>
      </c>
      <c r="BC41" s="93">
        <f>BB41</f>
        <v>0</v>
      </c>
      <c r="BD41" s="92"/>
      <c r="BE41" s="95">
        <v>0</v>
      </c>
      <c r="BF41" s="96">
        <v>0</v>
      </c>
      <c r="BG41" s="96">
        <v>0</v>
      </c>
      <c r="BH41" s="97">
        <v>0</v>
      </c>
      <c r="BI41" s="93">
        <f>BH41</f>
        <v>0</v>
      </c>
      <c r="BJ41" s="92"/>
      <c r="BK41" s="95">
        <f>BH41</f>
        <v>0</v>
      </c>
      <c r="BL41" s="96">
        <v>0</v>
      </c>
      <c r="BM41" s="96">
        <v>0</v>
      </c>
      <c r="BN41" s="97">
        <f>BM41</f>
        <v>0</v>
      </c>
      <c r="BO41" s="93">
        <f>BN41</f>
        <v>0</v>
      </c>
      <c r="BP41" s="92"/>
      <c r="BQ41" s="95">
        <v>0</v>
      </c>
      <c r="BR41" s="92">
        <f>BQ41</f>
        <v>0</v>
      </c>
      <c r="BS41" s="92">
        <f>BR41</f>
        <v>0</v>
      </c>
      <c r="BT41" s="99">
        <f>BS41</f>
        <v>0</v>
      </c>
      <c r="BU41" s="93">
        <f>BT41</f>
        <v>0</v>
      </c>
      <c r="BV41" s="92"/>
      <c r="BW41" s="98">
        <f>BT41</f>
        <v>0</v>
      </c>
      <c r="BX41" s="92">
        <f>BW41</f>
        <v>0</v>
      </c>
      <c r="BY41" s="92">
        <f>BX41</f>
        <v>0</v>
      </c>
      <c r="BZ41" s="99">
        <f>BY41</f>
        <v>0</v>
      </c>
      <c r="CA41" s="93">
        <f>BZ41</f>
        <v>0</v>
      </c>
      <c r="CB41" s="92"/>
      <c r="CC41" s="98">
        <f>BZ41</f>
        <v>0</v>
      </c>
      <c r="CD41" s="92">
        <f>CC41</f>
        <v>0</v>
      </c>
      <c r="CE41" s="92">
        <f>CD41</f>
        <v>0</v>
      </c>
      <c r="CF41" s="99">
        <f>CE41</f>
        <v>0</v>
      </c>
      <c r="CG41" s="93">
        <f>CF41</f>
        <v>0</v>
      </c>
      <c r="CH41" s="92"/>
      <c r="CI41" s="98">
        <f>CF41</f>
        <v>0</v>
      </c>
      <c r="CJ41" s="92">
        <f>CI41</f>
        <v>0</v>
      </c>
      <c r="CK41" s="92">
        <f>CJ41</f>
        <v>0</v>
      </c>
      <c r="CL41" s="99">
        <f>CK41</f>
        <v>0</v>
      </c>
      <c r="CM41" s="93">
        <f>CL41</f>
        <v>0</v>
      </c>
      <c r="CQ41"/>
      <c r="CR41"/>
      <c r="CS41"/>
      <c r="CT41"/>
      <c r="CU41"/>
      <c r="CV41"/>
    </row>
    <row r="42" spans="1:100" s="61" customFormat="1" x14ac:dyDescent="0.2">
      <c r="A42" s="271" t="s">
        <v>145</v>
      </c>
      <c r="B42" s="116"/>
      <c r="C42" s="118">
        <f>C36+SUM(C38:C41)</f>
        <v>2879.5410000000002</v>
      </c>
      <c r="D42" s="116">
        <f>D36+SUM(D38:D41)</f>
        <v>2822.3339999999998</v>
      </c>
      <c r="E42" s="116">
        <f>E36+SUM(E38:E41)</f>
        <v>2894.95</v>
      </c>
      <c r="F42" s="117">
        <f>F36+SUM(F38:F41)</f>
        <v>2967.4080000000004</v>
      </c>
      <c r="G42" s="315">
        <f>G36+SUM(G38:G41)</f>
        <v>2967.4080000000004</v>
      </c>
      <c r="H42" s="116"/>
      <c r="I42" s="118">
        <f>I36+SUM(I38:I41)</f>
        <v>3042.2579999999998</v>
      </c>
      <c r="J42" s="116">
        <f>J36+SUM(J38:J41)</f>
        <v>2942.08</v>
      </c>
      <c r="K42" s="116">
        <f>K36+SUM(K38:K41)</f>
        <v>3055.0929999999998</v>
      </c>
      <c r="L42" s="117">
        <f>L36+SUM(L38:L41)</f>
        <v>2977.375</v>
      </c>
      <c r="M42" s="315">
        <f>M36+SUM(M38:M41)</f>
        <v>2977.375</v>
      </c>
      <c r="N42" s="116"/>
      <c r="O42" s="118">
        <f>O36+SUM(O38:O41)</f>
        <v>2893.7219999999998</v>
      </c>
      <c r="P42" s="116">
        <f>P36+SUM(P38:P41)</f>
        <v>2771.8069999999998</v>
      </c>
      <c r="Q42" s="116">
        <f>Q36+SUM(Q38:Q41)</f>
        <v>3637.0909999999999</v>
      </c>
      <c r="R42" s="117">
        <f>R36+SUM(R38:R41)</f>
        <v>4161.9120000000003</v>
      </c>
      <c r="S42" s="315">
        <f>S36+SUM(S38:S41)</f>
        <v>4161.9120000000003</v>
      </c>
      <c r="T42" s="116"/>
      <c r="U42" s="118">
        <f>U36+SUM(U38:U41)</f>
        <v>3834.1170000000002</v>
      </c>
      <c r="V42" s="116">
        <f>V36+SUM(V38:V41)</f>
        <v>3793.7579999999998</v>
      </c>
      <c r="W42" s="116">
        <f>W36+SUM(W38:W41)</f>
        <v>3877.7960000000003</v>
      </c>
      <c r="X42" s="117">
        <f>X36+SUM(X38:X41)</f>
        <v>4216.1139999999996</v>
      </c>
      <c r="Y42" s="315">
        <f>Y36+SUM(Y38:Y41)</f>
        <v>4216.1139999999996</v>
      </c>
      <c r="Z42" s="116"/>
      <c r="AA42" s="118">
        <f>AA36+SUM(AA38:AA41)</f>
        <v>5193.3369999999995</v>
      </c>
      <c r="AB42" s="116">
        <f>AB36+SUM(AB38:AB41)</f>
        <v>5245.1620000000003</v>
      </c>
      <c r="AC42" s="116">
        <f>AC36+SUM(AC38:AC41)</f>
        <v>5322.4189999999999</v>
      </c>
      <c r="AD42" s="117">
        <f>AD36+SUM(AD38:AD41)</f>
        <v>5602.2529999999997</v>
      </c>
      <c r="AE42" s="315">
        <f>AE36+SUM(AE38:AE41)</f>
        <v>5602.2529999999997</v>
      </c>
      <c r="AF42" s="116"/>
      <c r="AG42" s="118">
        <f>AG36+SUM(AG38:AG41)</f>
        <v>6685.8089999999993</v>
      </c>
      <c r="AH42" s="116">
        <f>AH36+SUM(AH38:AH41)</f>
        <v>6719.1039999999994</v>
      </c>
      <c r="AI42" s="116">
        <f>AI36+SUM(AI38:AI41)</f>
        <v>6790.36</v>
      </c>
      <c r="AJ42" s="117">
        <f>AJ36+SUM(AJ38:AJ41)</f>
        <v>7225.02</v>
      </c>
      <c r="AK42" s="315">
        <f>AK36+SUM(AK38:AK41)</f>
        <v>7225.02</v>
      </c>
      <c r="AL42" s="116"/>
      <c r="AM42" s="118">
        <f>AM36+SUM(AM38:AM41)</f>
        <v>7159.9679999999998</v>
      </c>
      <c r="AN42" s="116">
        <f>AN36+SUM(AN38:AN41)</f>
        <v>7041.1410000000005</v>
      </c>
      <c r="AO42" s="116">
        <f>AO36+SUM(AO38:AO41)</f>
        <v>6870.527</v>
      </c>
      <c r="AP42" s="117">
        <f>AP36+SUM(AP38:AP41)</f>
        <v>7106</v>
      </c>
      <c r="AQ42" s="315">
        <f>AQ36+SUM(AQ38:AQ41)</f>
        <v>7106</v>
      </c>
      <c r="AR42" s="116"/>
      <c r="AS42" s="118">
        <f>AS36+SUM(AS38:AS41)</f>
        <v>6956</v>
      </c>
      <c r="AT42" s="116">
        <f>AT36+SUM(AT38:AT41)</f>
        <v>6935</v>
      </c>
      <c r="AU42" s="116">
        <f>AU36+SUM(AU38:AU41)</f>
        <v>6996</v>
      </c>
      <c r="AV42" s="117">
        <f>AV36+SUM(AV38:AV41)</f>
        <v>7394</v>
      </c>
      <c r="AW42" s="315">
        <f>AW36+SUM(AW38:AW41)</f>
        <v>7394</v>
      </c>
      <c r="AX42" s="116"/>
      <c r="AY42" s="118">
        <f>AY36+SUM(AY38:AY41)</f>
        <v>13435</v>
      </c>
      <c r="AZ42" s="116">
        <f>AZ36+SUM(AZ38:AZ41)</f>
        <v>21134</v>
      </c>
      <c r="BA42" s="116">
        <f>BA36+SUM(BA38:BA41)</f>
        <v>19827</v>
      </c>
      <c r="BB42" s="117">
        <f>BB36+SUM(BB38:BB41)</f>
        <v>19655.5</v>
      </c>
      <c r="BC42" s="315">
        <f>BC36+SUM(BC38:BC41)</f>
        <v>19655.5</v>
      </c>
      <c r="BD42" s="116"/>
      <c r="BE42" s="118">
        <f>BE36+SUM(BE38:BE41)</f>
        <v>18823</v>
      </c>
      <c r="BF42" s="116">
        <f>BF36+SUM(BF38:BF41)</f>
        <v>18570</v>
      </c>
      <c r="BG42" s="116">
        <f>BG36+SUM(BG38:BG41)</f>
        <v>17983</v>
      </c>
      <c r="BH42" s="117">
        <f>BH36+SUM(BH38:BH41)</f>
        <v>17953</v>
      </c>
      <c r="BI42" s="315">
        <f>BI36+SUM(BI38:BI41)</f>
        <v>17953</v>
      </c>
      <c r="BJ42" s="116"/>
      <c r="BK42" s="118">
        <f>BK36+SUM(BK38:BK41)</f>
        <v>16734</v>
      </c>
      <c r="BL42" s="116">
        <f>BL36+SUM(BL38:BL41)</f>
        <v>16158</v>
      </c>
      <c r="BM42" s="116">
        <f>BM36+SUM(BM38:BM41)</f>
        <v>24580</v>
      </c>
      <c r="BN42" s="117">
        <f>BN36+SUM(BN38:BN41)</f>
        <v>24786</v>
      </c>
      <c r="BO42" s="315">
        <f>BO36+SUM(BO38:BO41)</f>
        <v>24786</v>
      </c>
      <c r="BP42" s="116"/>
      <c r="BQ42" s="118">
        <f>BQ36+SUM(BQ38:BQ41)</f>
        <v>34116</v>
      </c>
      <c r="BR42" s="116">
        <f>BR36+SUM(BR38:BR41)</f>
        <v>34195.770507945206</v>
      </c>
      <c r="BS42" s="116">
        <f>BS36+SUM(BS38:BS41)</f>
        <v>34185.427987397263</v>
      </c>
      <c r="BT42" s="117">
        <f>BT36+SUM(BT38:BT41)</f>
        <v>34125.858795178086</v>
      </c>
      <c r="BU42" s="315">
        <f>BU36+SUM(BU38:BU41)</f>
        <v>34125.858795178086</v>
      </c>
      <c r="BV42" s="116"/>
      <c r="BW42" s="118">
        <f>BW36+SUM(BW38:BW41)</f>
        <v>33660.142351691306</v>
      </c>
      <c r="BX42" s="116">
        <f>BX36+SUM(BX38:BX41)</f>
        <v>33334.104430329935</v>
      </c>
      <c r="BY42" s="116">
        <f>BY36+SUM(BY38:BY41)</f>
        <v>32712.511154413129</v>
      </c>
      <c r="BZ42" s="117">
        <f>BZ36+SUM(BZ38:BZ41)</f>
        <v>32375.439795688384</v>
      </c>
      <c r="CA42" s="315">
        <f>CA36+SUM(CA38:CA41)</f>
        <v>32375.439795688384</v>
      </c>
      <c r="CB42" s="116"/>
      <c r="CC42" s="118">
        <f>CC36+SUM(CC38:CC41)</f>
        <v>31443.855423262212</v>
      </c>
      <c r="CD42" s="116">
        <f>CD36+SUM(CD38:CD41)</f>
        <v>30147.894044251756</v>
      </c>
      <c r="CE42" s="116">
        <f>CE36+SUM(CE38:CE41)</f>
        <v>29878.471685576689</v>
      </c>
      <c r="CF42" s="117">
        <f>CF36+SUM(CF38:CF41)</f>
        <v>29044.38998972753</v>
      </c>
      <c r="CG42" s="315">
        <f>CG36+SUM(CG38:CG41)</f>
        <v>29044.38998972753</v>
      </c>
      <c r="CH42" s="116"/>
      <c r="CI42" s="118">
        <f>CI36+SUM(CI38:CI41)</f>
        <v>28831.013322713115</v>
      </c>
      <c r="CJ42" s="116">
        <f>CJ36+SUM(CJ38:CJ41)</f>
        <v>28605.27870419015</v>
      </c>
      <c r="CK42" s="116">
        <f>CK36+SUM(CK38:CK41)</f>
        <v>27923.42458631294</v>
      </c>
      <c r="CL42" s="117">
        <f>CL36+SUM(CL38:CL41)</f>
        <v>28042.383924727801</v>
      </c>
      <c r="CM42" s="315">
        <f>CM36+SUM(CM38:CM41)</f>
        <v>28042.383924727801</v>
      </c>
      <c r="CQ42"/>
      <c r="CR42"/>
      <c r="CS42"/>
      <c r="CT42"/>
      <c r="CU42"/>
      <c r="CV42"/>
    </row>
    <row r="43" spans="1:100" s="61" customFormat="1" x14ac:dyDescent="0.2">
      <c r="A43" s="189"/>
      <c r="B43" s="92"/>
      <c r="C43" s="98"/>
      <c r="D43" s="92"/>
      <c r="E43" s="92"/>
      <c r="F43" s="99"/>
      <c r="G43" s="93"/>
      <c r="H43" s="92"/>
      <c r="I43" s="98"/>
      <c r="J43" s="92"/>
      <c r="K43" s="92"/>
      <c r="L43" s="99"/>
      <c r="M43" s="93"/>
      <c r="N43" s="92"/>
      <c r="O43" s="98"/>
      <c r="P43" s="92"/>
      <c r="Q43" s="92"/>
      <c r="R43" s="99"/>
      <c r="S43" s="93"/>
      <c r="T43" s="92"/>
      <c r="U43" s="98"/>
      <c r="V43" s="92"/>
      <c r="W43" s="92"/>
      <c r="X43" s="99"/>
      <c r="Y43" s="93"/>
      <c r="Z43" s="92"/>
      <c r="AA43" s="98"/>
      <c r="AB43" s="92"/>
      <c r="AC43" s="92"/>
      <c r="AD43" s="99"/>
      <c r="AE43" s="93"/>
      <c r="AF43" s="92"/>
      <c r="AG43" s="98"/>
      <c r="AH43" s="92"/>
      <c r="AI43" s="92"/>
      <c r="AJ43" s="99"/>
      <c r="AK43" s="93"/>
      <c r="AL43" s="92"/>
      <c r="AM43" s="98"/>
      <c r="AN43" s="92"/>
      <c r="AO43" s="92"/>
      <c r="AP43" s="99"/>
      <c r="AQ43" s="93"/>
      <c r="AR43" s="92"/>
      <c r="AS43" s="98"/>
      <c r="AT43" s="92"/>
      <c r="AU43" s="92"/>
      <c r="AV43" s="99"/>
      <c r="AW43" s="93"/>
      <c r="AX43" s="92"/>
      <c r="AY43" s="98"/>
      <c r="AZ43" s="92"/>
      <c r="BA43" s="92"/>
      <c r="BB43" s="99"/>
      <c r="BC43" s="93"/>
      <c r="BD43" s="92"/>
      <c r="BE43" s="98"/>
      <c r="BF43" s="92"/>
      <c r="BG43" s="92"/>
      <c r="BH43" s="99"/>
      <c r="BI43" s="93"/>
      <c r="BJ43" s="92"/>
      <c r="BK43" s="98"/>
      <c r="BL43" s="92"/>
      <c r="BM43" s="92"/>
      <c r="BN43" s="99"/>
      <c r="BO43" s="93"/>
      <c r="BP43" s="92"/>
      <c r="BQ43" s="98"/>
      <c r="BR43" s="92"/>
      <c r="BS43" s="92"/>
      <c r="BT43" s="99"/>
      <c r="BU43" s="93"/>
      <c r="BV43" s="92"/>
      <c r="BW43" s="98"/>
      <c r="BX43" s="92"/>
      <c r="BY43" s="92"/>
      <c r="BZ43" s="99"/>
      <c r="CA43" s="93"/>
      <c r="CB43" s="92"/>
      <c r="CC43" s="98"/>
      <c r="CD43" s="92"/>
      <c r="CE43" s="92"/>
      <c r="CF43" s="99"/>
      <c r="CG43" s="93"/>
      <c r="CH43" s="92"/>
      <c r="CI43" s="98"/>
      <c r="CJ43" s="92"/>
      <c r="CK43" s="92"/>
      <c r="CL43" s="99"/>
      <c r="CM43" s="93"/>
      <c r="CQ43"/>
      <c r="CR43"/>
      <c r="CS43"/>
      <c r="CT43"/>
      <c r="CU43"/>
      <c r="CV43"/>
    </row>
    <row r="44" spans="1:100" s="61" customFormat="1" x14ac:dyDescent="0.2">
      <c r="A44" s="189" t="s">
        <v>146</v>
      </c>
      <c r="B44" s="92"/>
      <c r="C44" s="98"/>
      <c r="D44" s="92"/>
      <c r="E44" s="92"/>
      <c r="F44" s="99"/>
      <c r="G44" s="93"/>
      <c r="H44" s="92"/>
      <c r="I44" s="98"/>
      <c r="J44" s="92"/>
      <c r="K44" s="92"/>
      <c r="L44" s="99"/>
      <c r="M44" s="93"/>
      <c r="N44" s="92"/>
      <c r="O44" s="98"/>
      <c r="P44" s="92"/>
      <c r="Q44" s="92"/>
      <c r="R44" s="99"/>
      <c r="S44" s="93"/>
      <c r="T44" s="92"/>
      <c r="U44" s="98"/>
      <c r="V44" s="92"/>
      <c r="W44" s="92"/>
      <c r="X44" s="99"/>
      <c r="Y44" s="93"/>
      <c r="Z44" s="92"/>
      <c r="AA44" s="98"/>
      <c r="AB44" s="92"/>
      <c r="AC44" s="92"/>
      <c r="AD44" s="99"/>
      <c r="AE44" s="93"/>
      <c r="AF44" s="92"/>
      <c r="AG44" s="98"/>
      <c r="AH44" s="92"/>
      <c r="AI44" s="92"/>
      <c r="AJ44" s="99"/>
      <c r="AK44" s="93"/>
      <c r="AL44" s="92"/>
      <c r="AM44" s="98"/>
      <c r="AN44" s="92"/>
      <c r="AO44" s="92"/>
      <c r="AP44" s="99"/>
      <c r="AQ44" s="93"/>
      <c r="AR44" s="92"/>
      <c r="AS44" s="98"/>
      <c r="AT44" s="92"/>
      <c r="AU44" s="92"/>
      <c r="AV44" s="99"/>
      <c r="AW44" s="93"/>
      <c r="AX44" s="92"/>
      <c r="AY44" s="98"/>
      <c r="AZ44" s="92"/>
      <c r="BA44" s="92"/>
      <c r="BB44" s="99"/>
      <c r="BC44" s="93"/>
      <c r="BD44" s="92"/>
      <c r="BE44" s="98"/>
      <c r="BF44" s="92"/>
      <c r="BG44" s="92"/>
      <c r="BH44" s="99"/>
      <c r="BI44" s="93"/>
      <c r="BJ44" s="92"/>
      <c r="BK44" s="98"/>
      <c r="BL44" s="92"/>
      <c r="BM44" s="96">
        <v>2</v>
      </c>
      <c r="BN44" s="97">
        <v>2</v>
      </c>
      <c r="BO44" s="93">
        <f t="shared" ref="BO44:BO50" si="26">BN44</f>
        <v>2</v>
      </c>
      <c r="BP44" s="92"/>
      <c r="BQ44" s="95">
        <v>2</v>
      </c>
      <c r="BR44" s="92">
        <f t="shared" ref="BR44:BU50" si="27">BQ44</f>
        <v>2</v>
      </c>
      <c r="BS44" s="92">
        <f t="shared" si="27"/>
        <v>2</v>
      </c>
      <c r="BT44" s="99">
        <f t="shared" si="27"/>
        <v>2</v>
      </c>
      <c r="BU44" s="93">
        <f t="shared" si="27"/>
        <v>2</v>
      </c>
      <c r="BV44" s="92"/>
      <c r="BW44" s="98">
        <f>BU44</f>
        <v>2</v>
      </c>
      <c r="BX44" s="92">
        <f>BW44</f>
        <v>2</v>
      </c>
      <c r="BY44" s="92">
        <f>BX44</f>
        <v>2</v>
      </c>
      <c r="BZ44" s="99">
        <f>BY44</f>
        <v>2</v>
      </c>
      <c r="CA44" s="93">
        <f>BZ44</f>
        <v>2</v>
      </c>
      <c r="CB44" s="92"/>
      <c r="CC44" s="98">
        <f>CA44</f>
        <v>2</v>
      </c>
      <c r="CD44" s="92">
        <f>CC44</f>
        <v>2</v>
      </c>
      <c r="CE44" s="92"/>
      <c r="CF44" s="99"/>
      <c r="CG44" s="93"/>
      <c r="CH44" s="92"/>
      <c r="CI44" s="98"/>
      <c r="CJ44" s="92"/>
      <c r="CK44" s="92"/>
      <c r="CL44" s="99"/>
      <c r="CM44" s="93"/>
      <c r="CQ44"/>
      <c r="CR44"/>
      <c r="CS44"/>
      <c r="CT44"/>
      <c r="CU44"/>
      <c r="CV44"/>
    </row>
    <row r="45" spans="1:100" s="61" customFormat="1" x14ac:dyDescent="0.2">
      <c r="A45" s="189" t="s">
        <v>147</v>
      </c>
      <c r="B45" s="92"/>
      <c r="C45" s="104">
        <v>332.66199999999998</v>
      </c>
      <c r="D45" s="105">
        <v>332.66199999999998</v>
      </c>
      <c r="E45" s="105">
        <v>332.66199999999998</v>
      </c>
      <c r="F45" s="106">
        <v>332.66199999999998</v>
      </c>
      <c r="G45" s="93">
        <f t="shared" ref="G45:G50" si="28">F45</f>
        <v>332.66199999999998</v>
      </c>
      <c r="H45" s="92"/>
      <c r="I45" s="104">
        <v>332.66199999999998</v>
      </c>
      <c r="J45" s="105">
        <v>332.66199999999998</v>
      </c>
      <c r="K45" s="105">
        <v>332.66199999999998</v>
      </c>
      <c r="L45" s="106">
        <v>332.66199999999998</v>
      </c>
      <c r="M45" s="93">
        <f t="shared" ref="M45:M50" si="29">L45</f>
        <v>332.66199999999998</v>
      </c>
      <c r="N45" s="92"/>
      <c r="O45" s="104">
        <v>332.66199999999998</v>
      </c>
      <c r="P45" s="105">
        <v>332.66199999999998</v>
      </c>
      <c r="Q45" s="105">
        <v>332.66199999999998</v>
      </c>
      <c r="R45" s="106">
        <v>332.66199999999998</v>
      </c>
      <c r="S45" s="93">
        <f t="shared" ref="S45:S50" si="30">R45</f>
        <v>332.66199999999998</v>
      </c>
      <c r="T45" s="92"/>
      <c r="U45" s="104">
        <v>332.66199999999998</v>
      </c>
      <c r="V45" s="105">
        <v>332.66199999999998</v>
      </c>
      <c r="W45" s="105">
        <v>332.66199999999998</v>
      </c>
      <c r="X45" s="106">
        <v>332.66199999999998</v>
      </c>
      <c r="Y45" s="93">
        <f t="shared" ref="Y45:Y50" si="31">X45</f>
        <v>332.66199999999998</v>
      </c>
      <c r="Z45" s="92"/>
      <c r="AA45" s="104">
        <v>332.66199999999998</v>
      </c>
      <c r="AB45" s="105">
        <v>332.66199999999998</v>
      </c>
      <c r="AC45" s="105">
        <v>332.66199999999998</v>
      </c>
      <c r="AD45" s="106">
        <v>332.66199999999998</v>
      </c>
      <c r="AE45" s="93">
        <f t="shared" ref="AE45:AE50" si="32">AD45</f>
        <v>332.66199999999998</v>
      </c>
      <c r="AF45" s="92"/>
      <c r="AG45" s="104">
        <v>332.66199999999998</v>
      </c>
      <c r="AH45" s="105">
        <v>332.66199999999998</v>
      </c>
      <c r="AI45" s="105">
        <v>332.66199999999998</v>
      </c>
      <c r="AJ45" s="106">
        <v>332.66199999999998</v>
      </c>
      <c r="AK45" s="93">
        <f t="shared" ref="AK45:AK50" si="33">AJ45</f>
        <v>332.66199999999998</v>
      </c>
      <c r="AL45" s="92"/>
      <c r="AM45" s="104">
        <v>332.66199999999998</v>
      </c>
      <c r="AN45" s="105">
        <v>332.66199999999998</v>
      </c>
      <c r="AO45" s="105">
        <v>332.66199999999998</v>
      </c>
      <c r="AP45" s="106">
        <v>333</v>
      </c>
      <c r="AQ45" s="93">
        <f t="shared" ref="AQ45:AQ50" si="34">AP45</f>
        <v>333</v>
      </c>
      <c r="AR45" s="92"/>
      <c r="AS45" s="104">
        <v>333</v>
      </c>
      <c r="AT45" s="105">
        <v>333</v>
      </c>
      <c r="AU45" s="105">
        <v>333</v>
      </c>
      <c r="AV45" s="106">
        <v>333</v>
      </c>
      <c r="AW45" s="93">
        <f t="shared" ref="AW45:AW50" si="35">AV45</f>
        <v>333</v>
      </c>
      <c r="AX45" s="92"/>
      <c r="AY45" s="95">
        <v>333</v>
      </c>
      <c r="AZ45" s="96">
        <v>333</v>
      </c>
      <c r="BA45" s="96">
        <v>333</v>
      </c>
      <c r="BB45" s="97">
        <v>333</v>
      </c>
      <c r="BC45" s="93">
        <f t="shared" ref="BC45:BC50" si="36">BB45</f>
        <v>333</v>
      </c>
      <c r="BD45" s="92"/>
      <c r="BE45" s="95">
        <v>333</v>
      </c>
      <c r="BF45" s="96">
        <v>333</v>
      </c>
      <c r="BG45" s="96">
        <v>333</v>
      </c>
      <c r="BH45" s="97">
        <v>333</v>
      </c>
      <c r="BI45" s="93">
        <f t="shared" ref="BI45:BI50" si="37">BH45</f>
        <v>333</v>
      </c>
      <c r="BJ45" s="92"/>
      <c r="BK45" s="95">
        <v>333</v>
      </c>
      <c r="BL45" s="96">
        <v>333</v>
      </c>
      <c r="BM45" s="96">
        <v>347</v>
      </c>
      <c r="BN45" s="97">
        <v>347</v>
      </c>
      <c r="BO45" s="93">
        <f t="shared" si="26"/>
        <v>347</v>
      </c>
      <c r="BP45" s="92"/>
      <c r="BQ45" s="95">
        <v>347</v>
      </c>
      <c r="BR45" s="92">
        <f t="shared" si="27"/>
        <v>347</v>
      </c>
      <c r="BS45" s="92">
        <f t="shared" si="27"/>
        <v>347</v>
      </c>
      <c r="BT45" s="99">
        <f t="shared" si="27"/>
        <v>347</v>
      </c>
      <c r="BU45" s="93">
        <f t="shared" si="27"/>
        <v>347</v>
      </c>
      <c r="BV45" s="92"/>
      <c r="BW45" s="98">
        <f>BT45</f>
        <v>347</v>
      </c>
      <c r="BX45" s="92">
        <f>BW45</f>
        <v>347</v>
      </c>
      <c r="BY45" s="92">
        <f>BX45</f>
        <v>347</v>
      </c>
      <c r="BZ45" s="99">
        <f>BY45</f>
        <v>347</v>
      </c>
      <c r="CA45" s="93">
        <f t="shared" ref="CA45:CA50" si="38">BZ45</f>
        <v>347</v>
      </c>
      <c r="CB45" s="92"/>
      <c r="CC45" s="98">
        <f>BZ45</f>
        <v>347</v>
      </c>
      <c r="CD45" s="92">
        <f>CC45</f>
        <v>347</v>
      </c>
      <c r="CE45" s="361">
        <f>CD45+CFS!CE114</f>
        <v>358.80358829084042</v>
      </c>
      <c r="CF45" s="99">
        <f>CE45</f>
        <v>358.80358829084042</v>
      </c>
      <c r="CG45" s="93">
        <f t="shared" ref="CG45:CG50" si="39">CF45</f>
        <v>358.80358829084042</v>
      </c>
      <c r="CH45" s="92"/>
      <c r="CI45" s="98">
        <f>CF45</f>
        <v>358.80358829084042</v>
      </c>
      <c r="CJ45" s="92">
        <f>CI45</f>
        <v>358.80358829084042</v>
      </c>
      <c r="CK45" s="92">
        <f>CJ45</f>
        <v>358.80358829084042</v>
      </c>
      <c r="CL45" s="99">
        <f>CK45</f>
        <v>358.80358829084042</v>
      </c>
      <c r="CM45" s="93">
        <f>CL45</f>
        <v>358.80358829084042</v>
      </c>
      <c r="CQ45"/>
      <c r="CR45"/>
      <c r="CS45"/>
      <c r="CT45"/>
      <c r="CU45"/>
      <c r="CV45"/>
    </row>
    <row r="46" spans="1:100" s="61" customFormat="1" x14ac:dyDescent="0.2">
      <c r="A46" s="189" t="s">
        <v>148</v>
      </c>
      <c r="B46" s="92"/>
      <c r="C46" s="104">
        <v>927.45899999999995</v>
      </c>
      <c r="D46" s="105">
        <v>1014.973</v>
      </c>
      <c r="E46" s="105">
        <v>1070.5340000000001</v>
      </c>
      <c r="F46" s="106">
        <v>1125.3679999999999</v>
      </c>
      <c r="G46" s="93">
        <f t="shared" si="28"/>
        <v>1125.3679999999999</v>
      </c>
      <c r="H46" s="92"/>
      <c r="I46" s="104">
        <v>1189.5840000000001</v>
      </c>
      <c r="J46" s="105">
        <v>1275.7159999999999</v>
      </c>
      <c r="K46" s="105">
        <v>1312.4069999999999</v>
      </c>
      <c r="L46" s="106">
        <v>1359.5309999999999</v>
      </c>
      <c r="M46" s="93">
        <f t="shared" si="29"/>
        <v>1359.5309999999999</v>
      </c>
      <c r="N46" s="92"/>
      <c r="O46" s="104">
        <v>1392.1679999999999</v>
      </c>
      <c r="P46" s="105">
        <v>1433.9580000000001</v>
      </c>
      <c r="Q46" s="105">
        <v>1465.8230000000001</v>
      </c>
      <c r="R46" s="106">
        <v>1485.674</v>
      </c>
      <c r="S46" s="93">
        <f t="shared" si="30"/>
        <v>1485.674</v>
      </c>
      <c r="T46" s="92"/>
      <c r="U46" s="104">
        <v>1533.45</v>
      </c>
      <c r="V46" s="105">
        <v>1581.0139999999999</v>
      </c>
      <c r="W46" s="105">
        <v>1600.9559999999999</v>
      </c>
      <c r="X46" s="106">
        <v>1624.768</v>
      </c>
      <c r="Y46" s="93">
        <f t="shared" si="31"/>
        <v>1624.768</v>
      </c>
      <c r="Z46" s="92"/>
      <c r="AA46" s="104">
        <v>1693.127</v>
      </c>
      <c r="AB46" s="105">
        <v>1723.2670000000001</v>
      </c>
      <c r="AC46" s="105">
        <v>1779.1579999999999</v>
      </c>
      <c r="AD46" s="106">
        <v>1793.16</v>
      </c>
      <c r="AE46" s="93">
        <f t="shared" si="32"/>
        <v>1793.16</v>
      </c>
      <c r="AF46" s="92"/>
      <c r="AG46" s="104">
        <v>1831.8820000000001</v>
      </c>
      <c r="AH46" s="105">
        <v>1858.241</v>
      </c>
      <c r="AI46" s="105">
        <v>1881.556</v>
      </c>
      <c r="AJ46" s="106">
        <v>1920.0350000000001</v>
      </c>
      <c r="AK46" s="93">
        <f t="shared" si="33"/>
        <v>1920.0350000000001</v>
      </c>
      <c r="AL46" s="92"/>
      <c r="AM46" s="104">
        <v>1969.1379999999999</v>
      </c>
      <c r="AN46" s="105">
        <v>2013.2950000000001</v>
      </c>
      <c r="AO46" s="105">
        <v>2040.249</v>
      </c>
      <c r="AP46" s="106">
        <v>2068</v>
      </c>
      <c r="AQ46" s="93">
        <f t="shared" si="34"/>
        <v>2068</v>
      </c>
      <c r="AR46" s="92"/>
      <c r="AS46" s="104">
        <v>2116</v>
      </c>
      <c r="AT46" s="105">
        <v>2147</v>
      </c>
      <c r="AU46" s="105">
        <v>2176</v>
      </c>
      <c r="AV46" s="106">
        <v>2198</v>
      </c>
      <c r="AW46" s="93">
        <f t="shared" si="35"/>
        <v>2198</v>
      </c>
      <c r="AX46" s="92"/>
      <c r="AY46" s="95">
        <v>2253.5</v>
      </c>
      <c r="AZ46" s="96">
        <v>4388</v>
      </c>
      <c r="BA46" s="96">
        <f>4418-1</f>
        <v>4417</v>
      </c>
      <c r="BB46" s="97">
        <v>4474.5</v>
      </c>
      <c r="BC46" s="93">
        <f t="shared" si="36"/>
        <v>4474.5</v>
      </c>
      <c r="BD46" s="92"/>
      <c r="BE46" s="95">
        <v>4557</v>
      </c>
      <c r="BF46" s="96">
        <v>4600</v>
      </c>
      <c r="BG46" s="96">
        <v>4650</v>
      </c>
      <c r="BH46" s="97">
        <v>4693</v>
      </c>
      <c r="BI46" s="93">
        <f t="shared" si="37"/>
        <v>4693</v>
      </c>
      <c r="BJ46" s="92"/>
      <c r="BK46" s="95">
        <v>4713</v>
      </c>
      <c r="BL46" s="96">
        <v>4742</v>
      </c>
      <c r="BM46" s="96">
        <v>9586</v>
      </c>
      <c r="BN46" s="97">
        <v>9619</v>
      </c>
      <c r="BO46" s="93">
        <f t="shared" si="26"/>
        <v>9619</v>
      </c>
      <c r="BP46" s="92"/>
      <c r="BQ46" s="95">
        <v>16197</v>
      </c>
      <c r="BR46" s="89">
        <f>BQ46+CFS!BR16+CFS!BR45+CFS!BR47</f>
        <v>16259.408265</v>
      </c>
      <c r="BS46" s="89">
        <f>BR46+CFS!BS16+CFS!BS45+CFS!BS47</f>
        <v>16302.409315000001</v>
      </c>
      <c r="BT46" s="90">
        <f>BS46+CFS!BT16+CFS!BT45+CFS!BT47</f>
        <v>16346.007005000001</v>
      </c>
      <c r="BU46" s="93">
        <f t="shared" si="27"/>
        <v>16346.007005000001</v>
      </c>
      <c r="BV46" s="92"/>
      <c r="BW46" s="88">
        <f>BT46+CFS!BW16+CFS!BW45+CFS!BW47</f>
        <v>16410.840505918277</v>
      </c>
      <c r="BX46" s="89">
        <f>BW46+CFS!BX16+CFS!BX45+CFS!BX47</f>
        <v>16476.630205808477</v>
      </c>
      <c r="BY46" s="89">
        <f>BX46+CFS!BY16+CFS!BY45+CFS!BY47</f>
        <v>16521.910024118126</v>
      </c>
      <c r="BZ46" s="90">
        <f>BY46+CFS!BZ16+CFS!BZ45+CFS!BZ47</f>
        <v>16567.812578073514</v>
      </c>
      <c r="CA46" s="93">
        <f t="shared" si="38"/>
        <v>16567.812578073514</v>
      </c>
      <c r="CB46" s="92"/>
      <c r="CC46" s="88">
        <f>BZ46+CFS!CC16+CFS!CC45+CFS!CC47</f>
        <v>16636.1061208176</v>
      </c>
      <c r="CD46" s="89">
        <f>CC46+CFS!CD16+CFS!CD45+CFS!CD47</f>
        <v>16705.377131793779</v>
      </c>
      <c r="CE46" s="361">
        <f>CD46+CFS!CE16+CFS!CE45+CFS!CE47+CFS!CE101-CFS!CE114</f>
        <v>19241.272212120646</v>
      </c>
      <c r="CF46" s="90">
        <f>CE46+CFS!CF16+CFS!CF45+CFS!CF47</f>
        <v>19289.621043538922</v>
      </c>
      <c r="CG46" s="93">
        <f t="shared" si="39"/>
        <v>19289.621043538922</v>
      </c>
      <c r="CH46" s="92"/>
      <c r="CI46" s="88">
        <f>CF46+CFS!CI16+CFS!CI45+CFS!CI47</f>
        <v>19361.57978676628</v>
      </c>
      <c r="CJ46" s="89">
        <f>CI46+CFS!CJ16+CFS!CJ45+CFS!CJ47</f>
        <v>19434.536292700355</v>
      </c>
      <c r="CK46" s="89">
        <f>CJ46+CFS!CK16+CFS!CK45+CFS!CK47</f>
        <v>19484.797148103808</v>
      </c>
      <c r="CL46" s="90">
        <f>CK46+CFS!CL16+CFS!CL45+CFS!CL47</f>
        <v>19535.736792078027</v>
      </c>
      <c r="CM46" s="93">
        <f>CL46</f>
        <v>19535.736792078027</v>
      </c>
      <c r="CQ46"/>
      <c r="CR46"/>
      <c r="CS46"/>
      <c r="CT46"/>
      <c r="CU46"/>
      <c r="CV46"/>
    </row>
    <row r="47" spans="1:100" s="61" customFormat="1" x14ac:dyDescent="0.2">
      <c r="A47" s="189" t="s">
        <v>149</v>
      </c>
      <c r="B47" s="92"/>
      <c r="C47" s="104">
        <v>5427.451</v>
      </c>
      <c r="D47" s="105">
        <v>5610.9480000000003</v>
      </c>
      <c r="E47" s="105">
        <v>5795.7439999999997</v>
      </c>
      <c r="F47" s="106">
        <v>5995.7870000000003</v>
      </c>
      <c r="G47" s="93">
        <f t="shared" si="28"/>
        <v>5995.7870000000003</v>
      </c>
      <c r="H47" s="92"/>
      <c r="I47" s="104">
        <v>6191.0510000000004</v>
      </c>
      <c r="J47" s="105">
        <v>6398.4009999999998</v>
      </c>
      <c r="K47" s="105">
        <v>6625.9309999999996</v>
      </c>
      <c r="L47" s="106">
        <v>6838.5889999999999</v>
      </c>
      <c r="M47" s="93">
        <f t="shared" si="29"/>
        <v>6838.5889999999999</v>
      </c>
      <c r="N47" s="92"/>
      <c r="O47" s="104">
        <v>7068.1769999999997</v>
      </c>
      <c r="P47" s="105">
        <v>7252.7719999999999</v>
      </c>
      <c r="Q47" s="105">
        <v>7514.585</v>
      </c>
      <c r="R47" s="106">
        <v>7752.8310000000001</v>
      </c>
      <c r="S47" s="93">
        <f t="shared" si="30"/>
        <v>7752.8310000000001</v>
      </c>
      <c r="T47" s="92"/>
      <c r="U47" s="104">
        <v>7978.8720000000003</v>
      </c>
      <c r="V47" s="105">
        <v>8192.1509999999998</v>
      </c>
      <c r="W47" s="105">
        <v>8412.9240000000009</v>
      </c>
      <c r="X47" s="106">
        <v>8724.2279999999992</v>
      </c>
      <c r="Y47" s="93">
        <f t="shared" si="31"/>
        <v>8724.2279999999992</v>
      </c>
      <c r="Z47" s="92"/>
      <c r="AA47" s="104">
        <v>8947.0650000000005</v>
      </c>
      <c r="AB47" s="105">
        <v>9168.8950000000004</v>
      </c>
      <c r="AC47" s="105">
        <v>9422.0740000000005</v>
      </c>
      <c r="AD47" s="106">
        <v>9633.5840000000007</v>
      </c>
      <c r="AE47" s="93">
        <f t="shared" si="32"/>
        <v>9633.5840000000007</v>
      </c>
      <c r="AF47" s="92"/>
      <c r="AG47" s="104">
        <v>9799.9279999999999</v>
      </c>
      <c r="AH47" s="105">
        <v>9998.8829999999998</v>
      </c>
      <c r="AI47" s="105">
        <v>10233.692999999999</v>
      </c>
      <c r="AJ47" s="106">
        <v>10435.378000000001</v>
      </c>
      <c r="AK47" s="93">
        <f t="shared" si="33"/>
        <v>10435.378000000001</v>
      </c>
      <c r="AL47" s="92"/>
      <c r="AM47" s="104">
        <v>10963.549000000001</v>
      </c>
      <c r="AN47" s="105">
        <v>11142.597</v>
      </c>
      <c r="AO47" s="105">
        <v>11347.942999999999</v>
      </c>
      <c r="AP47" s="106">
        <v>11342</v>
      </c>
      <c r="AQ47" s="93">
        <f t="shared" si="34"/>
        <v>11342</v>
      </c>
      <c r="AR47" s="92"/>
      <c r="AS47" s="104">
        <v>11507</v>
      </c>
      <c r="AT47" s="105">
        <v>11689</v>
      </c>
      <c r="AU47" s="105">
        <v>11909</v>
      </c>
      <c r="AV47" s="106">
        <v>12105</v>
      </c>
      <c r="AW47" s="93">
        <f t="shared" si="35"/>
        <v>12105</v>
      </c>
      <c r="AX47" s="92"/>
      <c r="AY47" s="95">
        <v>12223.5</v>
      </c>
      <c r="AZ47" s="96">
        <v>12324</v>
      </c>
      <c r="BA47" s="96">
        <v>12260</v>
      </c>
      <c r="BB47" s="97">
        <v>12314</v>
      </c>
      <c r="BC47" s="93">
        <f t="shared" si="36"/>
        <v>12314</v>
      </c>
      <c r="BD47" s="92"/>
      <c r="BE47" s="95">
        <v>12402</v>
      </c>
      <c r="BF47" s="96">
        <v>12600</v>
      </c>
      <c r="BG47" s="96">
        <v>12850</v>
      </c>
      <c r="BH47" s="97">
        <v>12727</v>
      </c>
      <c r="BI47" s="93">
        <f t="shared" si="37"/>
        <v>12727</v>
      </c>
      <c r="BJ47" s="92"/>
      <c r="BK47" s="95">
        <v>13133</v>
      </c>
      <c r="BL47" s="96">
        <v>13321</v>
      </c>
      <c r="BM47" s="96">
        <v>12989</v>
      </c>
      <c r="BN47" s="97">
        <v>13111</v>
      </c>
      <c r="BO47" s="93">
        <f t="shared" si="26"/>
        <v>13111</v>
      </c>
      <c r="BP47" s="92"/>
      <c r="BQ47" s="95">
        <v>12765</v>
      </c>
      <c r="BR47" s="89">
        <f>BQ47+CFS!BR8+CFS!BR46</f>
        <v>12824.369784499684</v>
      </c>
      <c r="BS47" s="89">
        <f>BR47+CFS!BS8+CFS!BS46</f>
        <v>13032.736565208241</v>
      </c>
      <c r="BT47" s="90">
        <f>BS47+CFS!BT8+CFS!BT46</f>
        <v>13273.731986447545</v>
      </c>
      <c r="BU47" s="93">
        <f t="shared" si="27"/>
        <v>13273.731986447545</v>
      </c>
      <c r="BV47" s="92"/>
      <c r="BW47" s="88">
        <f>BT47+CFS!BW8+CFS!BW46</f>
        <v>13525.270086306473</v>
      </c>
      <c r="BX47" s="89">
        <f>BW47+CFS!BX8+CFS!BX46</f>
        <v>13812.563257124188</v>
      </c>
      <c r="BY47" s="89">
        <f>BX47+CFS!BY8+CFS!BY46</f>
        <v>14137.895602171677</v>
      </c>
      <c r="BZ47" s="90">
        <f>BY47+CFS!BZ8+CFS!BZ46</f>
        <v>14451.939894540732</v>
      </c>
      <c r="CA47" s="93">
        <f t="shared" si="38"/>
        <v>14451.939894540732</v>
      </c>
      <c r="CB47" s="92"/>
      <c r="CC47" s="88">
        <f>BZ47+CFS!CC8+CFS!CC46</f>
        <v>14869.999029493363</v>
      </c>
      <c r="CD47" s="89">
        <f>CC47+CFS!CD8+CFS!CD46</f>
        <v>15347.344988516166</v>
      </c>
      <c r="CE47" s="361">
        <f>CD47+CFS!CE8+CFS!CE46-(CFS!CE101-CD44)</f>
        <v>13422.040532975503</v>
      </c>
      <c r="CF47" s="90">
        <f>CE47+CFS!CF8+CFS!CF46</f>
        <v>14010.751362000994</v>
      </c>
      <c r="CG47" s="93">
        <f t="shared" si="39"/>
        <v>14010.751362000994</v>
      </c>
      <c r="CH47" s="92"/>
      <c r="CI47" s="88">
        <f>CF47+CFS!CI8+CFS!CI46</f>
        <v>14627.998571991255</v>
      </c>
      <c r="CJ47" s="89">
        <f>CI47+CFS!CJ8+CFS!CJ46</f>
        <v>15255.991780755017</v>
      </c>
      <c r="CK47" s="89">
        <f>CJ47+CFS!CK8+CFS!CK46</f>
        <v>15979.856232948252</v>
      </c>
      <c r="CL47" s="90">
        <f>CK47+CFS!CL8+CFS!CL46</f>
        <v>16722.360320547981</v>
      </c>
      <c r="CM47" s="93">
        <f>CL47</f>
        <v>16722.360320547981</v>
      </c>
      <c r="CQ47"/>
      <c r="CR47"/>
      <c r="CS47"/>
      <c r="CT47"/>
      <c r="CU47"/>
      <c r="CV47"/>
    </row>
    <row r="48" spans="1:100" s="61" customFormat="1" x14ac:dyDescent="0.2">
      <c r="A48" s="189" t="s">
        <v>150</v>
      </c>
      <c r="B48" s="92"/>
      <c r="C48" s="104">
        <v>12.143000000000001</v>
      </c>
      <c r="D48" s="105">
        <v>11.622</v>
      </c>
      <c r="E48" s="105">
        <v>11.62</v>
      </c>
      <c r="F48" s="106">
        <v>12.205</v>
      </c>
      <c r="G48" s="93">
        <f t="shared" si="28"/>
        <v>12.205</v>
      </c>
      <c r="H48" s="92"/>
      <c r="I48" s="104">
        <v>14.837</v>
      </c>
      <c r="J48" s="105">
        <v>13.547000000000001</v>
      </c>
      <c r="K48" s="105">
        <v>13.733000000000001</v>
      </c>
      <c r="L48" s="106">
        <v>14.694000000000001</v>
      </c>
      <c r="M48" s="93">
        <f t="shared" si="29"/>
        <v>14.694000000000001</v>
      </c>
      <c r="N48" s="92"/>
      <c r="O48" s="104">
        <v>16.116</v>
      </c>
      <c r="P48" s="105">
        <v>15.718</v>
      </c>
      <c r="Q48" s="105">
        <v>17.146000000000001</v>
      </c>
      <c r="R48" s="106">
        <v>17.905999999999999</v>
      </c>
      <c r="S48" s="93">
        <f t="shared" si="30"/>
        <v>17.905999999999999</v>
      </c>
      <c r="T48" s="92"/>
      <c r="U48" s="104">
        <v>18.079000000000001</v>
      </c>
      <c r="V48" s="105">
        <v>13.852</v>
      </c>
      <c r="W48" s="105">
        <v>14.058</v>
      </c>
      <c r="X48" s="106">
        <v>17.164000000000001</v>
      </c>
      <c r="Y48" s="93">
        <f t="shared" si="31"/>
        <v>17.164000000000001</v>
      </c>
      <c r="Z48" s="92"/>
      <c r="AA48" s="104">
        <v>17.536000000000001</v>
      </c>
      <c r="AB48" s="105">
        <v>17.370999999999999</v>
      </c>
      <c r="AC48" s="105">
        <v>16.943999999999999</v>
      </c>
      <c r="AD48" s="106">
        <v>18.875</v>
      </c>
      <c r="AE48" s="93">
        <f t="shared" si="32"/>
        <v>18.875</v>
      </c>
      <c r="AF48" s="92"/>
      <c r="AG48" s="104">
        <v>19.497</v>
      </c>
      <c r="AH48" s="105">
        <v>18.187999999999999</v>
      </c>
      <c r="AI48" s="105">
        <v>18.068999999999999</v>
      </c>
      <c r="AJ48" s="106">
        <v>18.917000000000002</v>
      </c>
      <c r="AK48" s="93">
        <f t="shared" si="33"/>
        <v>18.917000000000002</v>
      </c>
      <c r="AL48" s="92"/>
      <c r="AM48" s="104">
        <v>19.13</v>
      </c>
      <c r="AN48" s="105">
        <v>18.045000000000002</v>
      </c>
      <c r="AO48" s="105">
        <v>18.177</v>
      </c>
      <c r="AP48" s="106">
        <v>19</v>
      </c>
      <c r="AQ48" s="93">
        <f t="shared" si="34"/>
        <v>19</v>
      </c>
      <c r="AR48" s="92"/>
      <c r="AS48" s="104">
        <v>19</v>
      </c>
      <c r="AT48" s="105">
        <v>17</v>
      </c>
      <c r="AU48" s="105">
        <v>17</v>
      </c>
      <c r="AV48" s="106">
        <v>19</v>
      </c>
      <c r="AW48" s="93">
        <f t="shared" si="35"/>
        <v>19</v>
      </c>
      <c r="AX48" s="92"/>
      <c r="AY48" s="95">
        <v>20</v>
      </c>
      <c r="AZ48" s="96">
        <v>18</v>
      </c>
      <c r="BA48" s="96">
        <v>19</v>
      </c>
      <c r="BB48" s="97">
        <v>20</v>
      </c>
      <c r="BC48" s="93">
        <f t="shared" si="36"/>
        <v>20</v>
      </c>
      <c r="BD48" s="92"/>
      <c r="BE48" s="95">
        <v>22</v>
      </c>
      <c r="BF48" s="96">
        <v>20</v>
      </c>
      <c r="BG48" s="96">
        <v>20</v>
      </c>
      <c r="BH48" s="97">
        <v>21</v>
      </c>
      <c r="BI48" s="93">
        <f t="shared" si="37"/>
        <v>21</v>
      </c>
      <c r="BJ48" s="92"/>
      <c r="BK48" s="95">
        <v>22</v>
      </c>
      <c r="BL48" s="96">
        <v>22</v>
      </c>
      <c r="BM48" s="96">
        <v>22</v>
      </c>
      <c r="BN48" s="97">
        <v>19</v>
      </c>
      <c r="BO48" s="93">
        <f t="shared" si="26"/>
        <v>19</v>
      </c>
      <c r="BP48" s="92"/>
      <c r="BQ48" s="95">
        <v>19</v>
      </c>
      <c r="BR48" s="92">
        <f>BQ48</f>
        <v>19</v>
      </c>
      <c r="BS48" s="92">
        <f>BR48</f>
        <v>19</v>
      </c>
      <c r="BT48" s="99">
        <f>BS48</f>
        <v>19</v>
      </c>
      <c r="BU48" s="93">
        <f t="shared" si="27"/>
        <v>19</v>
      </c>
      <c r="BV48" s="92"/>
      <c r="BW48" s="98">
        <f>BT48</f>
        <v>19</v>
      </c>
      <c r="BX48" s="92">
        <f>BW48</f>
        <v>19</v>
      </c>
      <c r="BY48" s="92">
        <f>BX48</f>
        <v>19</v>
      </c>
      <c r="BZ48" s="99">
        <f>BY48</f>
        <v>19</v>
      </c>
      <c r="CA48" s="93">
        <f t="shared" si="38"/>
        <v>19</v>
      </c>
      <c r="CB48" s="92"/>
      <c r="CC48" s="98">
        <f>BZ48</f>
        <v>19</v>
      </c>
      <c r="CD48" s="92">
        <f>CC48</f>
        <v>19</v>
      </c>
      <c r="CE48" s="92">
        <f>CD48</f>
        <v>19</v>
      </c>
      <c r="CF48" s="99">
        <f>CE48</f>
        <v>19</v>
      </c>
      <c r="CG48" s="93">
        <f t="shared" si="39"/>
        <v>19</v>
      </c>
      <c r="CH48" s="92"/>
      <c r="CI48" s="98">
        <f>CF48</f>
        <v>19</v>
      </c>
      <c r="CJ48" s="92">
        <f>CI48</f>
        <v>19</v>
      </c>
      <c r="CK48" s="92">
        <f>CJ48</f>
        <v>19</v>
      </c>
      <c r="CL48" s="99">
        <f>CK48</f>
        <v>19</v>
      </c>
      <c r="CM48" s="93">
        <f>CL48</f>
        <v>19</v>
      </c>
      <c r="CQ48"/>
      <c r="CR48"/>
      <c r="CS48"/>
      <c r="CT48"/>
      <c r="CU48"/>
      <c r="CV48"/>
    </row>
    <row r="49" spans="1:101" s="61" customFormat="1" x14ac:dyDescent="0.2">
      <c r="A49" s="189" t="s">
        <v>151</v>
      </c>
      <c r="B49" s="92"/>
      <c r="C49" s="104">
        <v>-2803.261</v>
      </c>
      <c r="D49" s="105">
        <v>-2898.3809999999999</v>
      </c>
      <c r="E49" s="105">
        <v>-3078.1170000000002</v>
      </c>
      <c r="F49" s="106">
        <v>-3105.893</v>
      </c>
      <c r="G49" s="93">
        <f t="shared" si="28"/>
        <v>-3105.893</v>
      </c>
      <c r="H49" s="92"/>
      <c r="I49" s="104">
        <v>-3237.0740000000001</v>
      </c>
      <c r="J49" s="105">
        <v>-3368.66</v>
      </c>
      <c r="K49" s="105">
        <v>-3442.51</v>
      </c>
      <c r="L49" s="106">
        <v>-3532.3980000000001</v>
      </c>
      <c r="M49" s="93">
        <f t="shared" si="29"/>
        <v>-3532.3980000000001</v>
      </c>
      <c r="N49" s="92"/>
      <c r="O49" s="104">
        <v>-3818.3330000000001</v>
      </c>
      <c r="P49" s="105">
        <v>-3870.6149999999998</v>
      </c>
      <c r="Q49" s="105">
        <v>-3898.0230000000001</v>
      </c>
      <c r="R49" s="106">
        <v>-4073.6990000000001</v>
      </c>
      <c r="S49" s="93">
        <f t="shared" si="30"/>
        <v>-4073.6990000000001</v>
      </c>
      <c r="T49" s="92"/>
      <c r="U49" s="104">
        <v>-4265.0770000000002</v>
      </c>
      <c r="V49" s="105">
        <v>-4510.4399999999996</v>
      </c>
      <c r="W49" s="105">
        <v>-4608.348</v>
      </c>
      <c r="X49" s="106">
        <v>-4806.3329999999996</v>
      </c>
      <c r="Y49" s="93">
        <f t="shared" si="31"/>
        <v>-4806.3329999999996</v>
      </c>
      <c r="Z49" s="92"/>
      <c r="AA49" s="104">
        <v>-5635.4830000000002</v>
      </c>
      <c r="AB49" s="105">
        <v>-5852.5110000000004</v>
      </c>
      <c r="AC49" s="105">
        <v>-6054.027</v>
      </c>
      <c r="AD49" s="106">
        <v>-6280.1059999999998</v>
      </c>
      <c r="AE49" s="93">
        <f t="shared" si="32"/>
        <v>-6280.1059999999998</v>
      </c>
      <c r="AF49" s="92"/>
      <c r="AG49" s="104">
        <v>-6683.8609999999999</v>
      </c>
      <c r="AH49" s="105">
        <v>-7278.2939999999999</v>
      </c>
      <c r="AI49" s="105">
        <v>-7525.8190000000004</v>
      </c>
      <c r="AJ49" s="106">
        <v>-7769.2920000000004</v>
      </c>
      <c r="AK49" s="93">
        <f t="shared" si="33"/>
        <v>-7769.2920000000004</v>
      </c>
      <c r="AL49" s="92"/>
      <c r="AM49" s="104">
        <v>-8068.5129999999999</v>
      </c>
      <c r="AN49" s="105">
        <v>-8114.7479999999996</v>
      </c>
      <c r="AO49" s="105">
        <v>-8158.3590000000004</v>
      </c>
      <c r="AP49" s="106">
        <v>-8204</v>
      </c>
      <c r="AQ49" s="93">
        <f t="shared" si="34"/>
        <v>-8204</v>
      </c>
      <c r="AR49" s="92"/>
      <c r="AS49" s="104">
        <v>-8396</v>
      </c>
      <c r="AT49" s="105">
        <v>-8416</v>
      </c>
      <c r="AU49" s="105">
        <v>-8600</v>
      </c>
      <c r="AV49" s="106">
        <v>-8601</v>
      </c>
      <c r="AW49" s="93">
        <f t="shared" si="35"/>
        <v>-8601</v>
      </c>
      <c r="AX49" s="92"/>
      <c r="AY49" s="95">
        <v>-8623</v>
      </c>
      <c r="AZ49" s="96">
        <v>-8281</v>
      </c>
      <c r="BA49" s="96">
        <v>-8242</v>
      </c>
      <c r="BB49" s="97">
        <v>-8239</v>
      </c>
      <c r="BC49" s="93">
        <f t="shared" si="36"/>
        <v>-8239</v>
      </c>
      <c r="BD49" s="92"/>
      <c r="BE49" s="95">
        <v>-8251</v>
      </c>
      <c r="BF49" s="96">
        <v>-8240</v>
      </c>
      <c r="BG49" s="96">
        <v>-8215</v>
      </c>
      <c r="BH49" s="97">
        <v>-8212</v>
      </c>
      <c r="BI49" s="93">
        <f t="shared" si="37"/>
        <v>-8212</v>
      </c>
      <c r="BJ49" s="92"/>
      <c r="BK49" s="95">
        <v>-8457</v>
      </c>
      <c r="BL49" s="96">
        <v>-8445</v>
      </c>
      <c r="BM49" s="96">
        <v>-8437</v>
      </c>
      <c r="BN49" s="97">
        <v>-8427</v>
      </c>
      <c r="BO49" s="93">
        <f t="shared" si="26"/>
        <v>-8427</v>
      </c>
      <c r="BP49" s="92"/>
      <c r="BQ49" s="95">
        <v>-6343</v>
      </c>
      <c r="BR49" s="89">
        <f>BQ49+CFS!BR44</f>
        <v>-6343.1</v>
      </c>
      <c r="BS49" s="89">
        <f>BR49+CFS!BS44</f>
        <v>-6343.2000000000007</v>
      </c>
      <c r="BT49" s="90">
        <f>BS49+CFS!BT44</f>
        <v>-6343.3000000000011</v>
      </c>
      <c r="BU49" s="93">
        <f t="shared" si="27"/>
        <v>-6343.3000000000011</v>
      </c>
      <c r="BV49" s="92"/>
      <c r="BW49" s="88">
        <f>BT49+CFS!BW44</f>
        <v>-6344.3000000000011</v>
      </c>
      <c r="BX49" s="89">
        <f>BW49+CFS!BX44</f>
        <v>-6344.4000000000015</v>
      </c>
      <c r="BY49" s="89">
        <f>BX49+CFS!BY44</f>
        <v>-6344.5000000000018</v>
      </c>
      <c r="BZ49" s="90">
        <f>BY49+CFS!BZ44</f>
        <v>-6344.6000000000022</v>
      </c>
      <c r="CA49" s="93">
        <f t="shared" si="38"/>
        <v>-6344.6000000000022</v>
      </c>
      <c r="CB49" s="92"/>
      <c r="CC49" s="88">
        <f>BZ49+CFS!CC44</f>
        <v>-6345.6000000000022</v>
      </c>
      <c r="CD49" s="89">
        <f>CC49+CFS!CD44</f>
        <v>-6445.6000000000022</v>
      </c>
      <c r="CE49" s="89">
        <f>CD49+CFS!CE44</f>
        <v>-6545.6000000000022</v>
      </c>
      <c r="CF49" s="90">
        <f>CE49+CFS!CF44</f>
        <v>-6645.6000000000022</v>
      </c>
      <c r="CG49" s="93">
        <f t="shared" si="39"/>
        <v>-6645.6000000000022</v>
      </c>
      <c r="CH49" s="92"/>
      <c r="CI49" s="88">
        <f>CF49+CFS!CI44</f>
        <v>-6646.6000000000022</v>
      </c>
      <c r="CJ49" s="89">
        <f>CI49+CFS!CJ44</f>
        <v>-6646.7000000000025</v>
      </c>
      <c r="CK49" s="89">
        <f>CJ49+CFS!CK44</f>
        <v>-6646.8000000000029</v>
      </c>
      <c r="CL49" s="90">
        <f>CK49+CFS!CL44</f>
        <v>-6646.9000000000033</v>
      </c>
      <c r="CM49" s="93">
        <f>CL49</f>
        <v>-6646.9000000000033</v>
      </c>
      <c r="CQ49"/>
      <c r="CR49"/>
      <c r="CS49"/>
      <c r="CT49"/>
      <c r="CU49"/>
      <c r="CV49"/>
    </row>
    <row r="50" spans="1:101" s="61" customFormat="1" x14ac:dyDescent="0.2">
      <c r="A50" s="189" t="s">
        <v>152</v>
      </c>
      <c r="B50" s="92"/>
      <c r="C50" s="104">
        <v>34.545999999999999</v>
      </c>
      <c r="D50" s="105">
        <v>57.664000000000001</v>
      </c>
      <c r="E50" s="105">
        <v>95.451999999999998</v>
      </c>
      <c r="F50" s="106">
        <v>1.8280000000000001</v>
      </c>
      <c r="G50" s="93">
        <f t="shared" si="28"/>
        <v>1.8280000000000001</v>
      </c>
      <c r="H50" s="92"/>
      <c r="I50" s="104">
        <v>33.216000000000001</v>
      </c>
      <c r="J50" s="105">
        <v>207.51</v>
      </c>
      <c r="K50" s="105">
        <v>231.89</v>
      </c>
      <c r="L50" s="106">
        <v>-77.510000000000005</v>
      </c>
      <c r="M50" s="93">
        <f t="shared" si="29"/>
        <v>-77.510000000000005</v>
      </c>
      <c r="N50" s="92"/>
      <c r="O50" s="104">
        <v>-223.81899999999999</v>
      </c>
      <c r="P50" s="105">
        <v>-360.47199999999998</v>
      </c>
      <c r="Q50" s="105">
        <v>-220.297</v>
      </c>
      <c r="R50" s="106">
        <v>-372.66199999999998</v>
      </c>
      <c r="S50" s="93">
        <f t="shared" si="30"/>
        <v>-372.66199999999998</v>
      </c>
      <c r="T50" s="92"/>
      <c r="U50" s="104">
        <v>-337.827</v>
      </c>
      <c r="V50" s="105">
        <v>-459.60500000000002</v>
      </c>
      <c r="W50" s="105">
        <v>-598.375</v>
      </c>
      <c r="X50" s="106">
        <v>-457.90899999999999</v>
      </c>
      <c r="Y50" s="93">
        <f t="shared" si="31"/>
        <v>-457.90899999999999</v>
      </c>
      <c r="Z50" s="92"/>
      <c r="AA50" s="104">
        <v>-476.97399999999999</v>
      </c>
      <c r="AB50" s="105">
        <v>-290.62299999999999</v>
      </c>
      <c r="AC50" s="105">
        <v>-198.411</v>
      </c>
      <c r="AD50" s="106">
        <v>-670</v>
      </c>
      <c r="AE50" s="93">
        <f t="shared" si="32"/>
        <v>-670</v>
      </c>
      <c r="AF50" s="92"/>
      <c r="AG50" s="104">
        <v>-572.55399999999997</v>
      </c>
      <c r="AH50" s="105">
        <v>-453.392</v>
      </c>
      <c r="AI50" s="105">
        <v>-705.65700000000004</v>
      </c>
      <c r="AJ50" s="106">
        <v>-801.81100000000004</v>
      </c>
      <c r="AK50" s="93">
        <f t="shared" si="33"/>
        <v>-801.81100000000004</v>
      </c>
      <c r="AL50" s="92"/>
      <c r="AM50" s="104">
        <v>-746.49699999999996</v>
      </c>
      <c r="AN50" s="105">
        <v>-803.06899999999996</v>
      </c>
      <c r="AO50" s="105">
        <v>-864.15200000000004</v>
      </c>
      <c r="AP50" s="106">
        <v>-515</v>
      </c>
      <c r="AQ50" s="93">
        <f t="shared" si="34"/>
        <v>-515</v>
      </c>
      <c r="AR50" s="92"/>
      <c r="AS50" s="104">
        <v>-500</v>
      </c>
      <c r="AT50" s="105">
        <v>-455</v>
      </c>
      <c r="AU50" s="105">
        <v>-457</v>
      </c>
      <c r="AV50" s="106">
        <v>-1001</v>
      </c>
      <c r="AW50" s="93">
        <f t="shared" si="35"/>
        <v>-1001</v>
      </c>
      <c r="AX50" s="92"/>
      <c r="AY50" s="95">
        <v>-1139</v>
      </c>
      <c r="AZ50" s="96">
        <v>-1623</v>
      </c>
      <c r="BA50" s="96">
        <v>-1535</v>
      </c>
      <c r="BB50" s="97">
        <v>-1738</v>
      </c>
      <c r="BC50" s="93">
        <f t="shared" si="36"/>
        <v>-1738</v>
      </c>
      <c r="BD50" s="92"/>
      <c r="BE50" s="95">
        <v>-1840</v>
      </c>
      <c r="BF50" s="96">
        <v>-1647</v>
      </c>
      <c r="BG50" s="96">
        <v>-1605</v>
      </c>
      <c r="BH50" s="97">
        <v>-1929</v>
      </c>
      <c r="BI50" s="93">
        <f t="shared" si="37"/>
        <v>-1929</v>
      </c>
      <c r="BJ50" s="92"/>
      <c r="BK50" s="95">
        <v>-2162</v>
      </c>
      <c r="BL50" s="96">
        <v>-2009</v>
      </c>
      <c r="BM50" s="96">
        <v>-1923</v>
      </c>
      <c r="BN50" s="97">
        <v>-1723</v>
      </c>
      <c r="BO50" s="93">
        <f t="shared" si="26"/>
        <v>-1723</v>
      </c>
      <c r="BP50" s="92"/>
      <c r="BQ50" s="95">
        <v>-1740</v>
      </c>
      <c r="BR50" s="92">
        <f>BQ50</f>
        <v>-1740</v>
      </c>
      <c r="BS50" s="92">
        <f>BR50</f>
        <v>-1740</v>
      </c>
      <c r="BT50" s="99">
        <f>BS50</f>
        <v>-1740</v>
      </c>
      <c r="BU50" s="93">
        <f t="shared" si="27"/>
        <v>-1740</v>
      </c>
      <c r="BV50" s="92"/>
      <c r="BW50" s="98">
        <f>BT50</f>
        <v>-1740</v>
      </c>
      <c r="BX50" s="92">
        <f>BW50</f>
        <v>-1740</v>
      </c>
      <c r="BY50" s="92">
        <f>BX50</f>
        <v>-1740</v>
      </c>
      <c r="BZ50" s="99">
        <f>BY50</f>
        <v>-1740</v>
      </c>
      <c r="CA50" s="93">
        <f t="shared" si="38"/>
        <v>-1740</v>
      </c>
      <c r="CB50" s="92"/>
      <c r="CC50" s="98">
        <f>BZ50</f>
        <v>-1740</v>
      </c>
      <c r="CD50" s="92">
        <f>CC50</f>
        <v>-1740</v>
      </c>
      <c r="CE50" s="92">
        <f>CD50</f>
        <v>-1740</v>
      </c>
      <c r="CF50" s="99">
        <f>CE50</f>
        <v>-1740</v>
      </c>
      <c r="CG50" s="93">
        <f t="shared" si="39"/>
        <v>-1740</v>
      </c>
      <c r="CH50" s="92"/>
      <c r="CI50" s="98">
        <f>CF50</f>
        <v>-1740</v>
      </c>
      <c r="CJ50" s="92">
        <f>CI50</f>
        <v>-1740</v>
      </c>
      <c r="CK50" s="92">
        <f>CJ50</f>
        <v>-1740</v>
      </c>
      <c r="CL50" s="99">
        <f>CK50</f>
        <v>-1740</v>
      </c>
      <c r="CM50" s="93">
        <f>CL50</f>
        <v>-1740</v>
      </c>
      <c r="CQ50"/>
      <c r="CR50"/>
      <c r="CS50"/>
      <c r="CT50"/>
      <c r="CU50"/>
      <c r="CV50"/>
    </row>
    <row r="51" spans="1:101" s="61" customFormat="1" x14ac:dyDescent="0.2">
      <c r="A51" s="271" t="s">
        <v>153</v>
      </c>
      <c r="B51" s="116"/>
      <c r="C51" s="118">
        <f>SUM(C44:C50)</f>
        <v>3931</v>
      </c>
      <c r="D51" s="116">
        <f>SUM(D44:D50)</f>
        <v>4129.4880000000012</v>
      </c>
      <c r="E51" s="116">
        <f>SUM(E44:E50)</f>
        <v>4227.8949999999995</v>
      </c>
      <c r="F51" s="117">
        <f>SUM(F44:F50)</f>
        <v>4361.9570000000003</v>
      </c>
      <c r="G51" s="315">
        <f>SUM(G44:G50)</f>
        <v>4361.9570000000003</v>
      </c>
      <c r="H51" s="116"/>
      <c r="I51" s="118">
        <f>SUM(I44:I50)</f>
        <v>4524.2760000000017</v>
      </c>
      <c r="J51" s="116">
        <f>SUM(J44:J50)</f>
        <v>4859.1759999999995</v>
      </c>
      <c r="K51" s="116">
        <f>SUM(K44:K50)</f>
        <v>5074.1130000000003</v>
      </c>
      <c r="L51" s="117">
        <f>SUM(L44:L50)</f>
        <v>4935.5679999999984</v>
      </c>
      <c r="M51" s="315">
        <f>SUM(M44:M50)</f>
        <v>4935.5679999999984</v>
      </c>
      <c r="N51" s="116"/>
      <c r="O51" s="118">
        <f>SUM(O44:O50)</f>
        <v>4766.9709999999986</v>
      </c>
      <c r="P51" s="116">
        <f>SUM(P44:P50)</f>
        <v>4804.023000000001</v>
      </c>
      <c r="Q51" s="116">
        <f>SUM(Q44:Q50)</f>
        <v>5211.8960000000006</v>
      </c>
      <c r="R51" s="117">
        <f>SUM(R44:R50)</f>
        <v>5142.7119999999995</v>
      </c>
      <c r="S51" s="315">
        <f>SUM(S44:S50)</f>
        <v>5142.7119999999995</v>
      </c>
      <c r="T51" s="116"/>
      <c r="U51" s="118">
        <f>SUM(U44:U50)</f>
        <v>5260.1589999999997</v>
      </c>
      <c r="V51" s="116">
        <f>SUM(V44:V50)</f>
        <v>5149.634</v>
      </c>
      <c r="W51" s="116">
        <f>SUM(W44:W50)</f>
        <v>5153.8770000000022</v>
      </c>
      <c r="X51" s="117">
        <f>SUM(X44:X50)</f>
        <v>5434.5800000000008</v>
      </c>
      <c r="Y51" s="315">
        <f>SUM(Y44:Y50)</f>
        <v>5434.5800000000008</v>
      </c>
      <c r="Z51" s="116"/>
      <c r="AA51" s="118">
        <f>SUM(AA44:AA50)</f>
        <v>4877.9330000000009</v>
      </c>
      <c r="AB51" s="116">
        <f>SUM(AB44:AB50)</f>
        <v>5099.0609999999997</v>
      </c>
      <c r="AC51" s="116">
        <f>SUM(AC44:AC50)</f>
        <v>5298.4</v>
      </c>
      <c r="AD51" s="117">
        <f>SUM(AD44:AD50)</f>
        <v>4828.1750000000011</v>
      </c>
      <c r="AE51" s="315">
        <f>SUM(AE44:AE50)</f>
        <v>4828.1750000000011</v>
      </c>
      <c r="AF51" s="116"/>
      <c r="AG51" s="118">
        <f>SUM(AG44:AG50)</f>
        <v>4727.5539999999992</v>
      </c>
      <c r="AH51" s="116">
        <f>SUM(AH44:AH50)</f>
        <v>4476.2880000000005</v>
      </c>
      <c r="AI51" s="116">
        <f>SUM(AI44:AI50)</f>
        <v>4234.503999999999</v>
      </c>
      <c r="AJ51" s="117">
        <f>SUM(AJ44:AJ50)</f>
        <v>4135.8890000000001</v>
      </c>
      <c r="AK51" s="315">
        <f>SUM(AK44:AK50)</f>
        <v>4135.8890000000001</v>
      </c>
      <c r="AL51" s="116"/>
      <c r="AM51" s="118">
        <f>SUM(AM44:AM50)</f>
        <v>4469.4689999999991</v>
      </c>
      <c r="AN51" s="116">
        <f>SUM(AN44:AN50)</f>
        <v>4588.7820000000011</v>
      </c>
      <c r="AO51" s="116">
        <f>SUM(AO44:AO50)</f>
        <v>4716.5199999999986</v>
      </c>
      <c r="AP51" s="117">
        <f>SUM(AP44:AP50)</f>
        <v>5043</v>
      </c>
      <c r="AQ51" s="315">
        <f>SUM(AQ44:AQ50)</f>
        <v>5043</v>
      </c>
      <c r="AR51" s="116"/>
      <c r="AS51" s="118">
        <f>SUM(AS44:AS50)</f>
        <v>5079</v>
      </c>
      <c r="AT51" s="116">
        <f>SUM(AT44:AT50)</f>
        <v>5315</v>
      </c>
      <c r="AU51" s="116">
        <f>SUM(AU44:AU50)</f>
        <v>5378</v>
      </c>
      <c r="AV51" s="117">
        <f>SUM(AV44:AV50)</f>
        <v>5053</v>
      </c>
      <c r="AW51" s="315">
        <f>SUM(AW44:AW50)</f>
        <v>5053</v>
      </c>
      <c r="AX51" s="116"/>
      <c r="AY51" s="118">
        <f>SUM(AY44:AY50)</f>
        <v>5068</v>
      </c>
      <c r="AZ51" s="116">
        <f>SUM(AZ44:AZ50)</f>
        <v>7159</v>
      </c>
      <c r="BA51" s="116">
        <f>SUM(BA44:BA50)</f>
        <v>7252</v>
      </c>
      <c r="BB51" s="117">
        <f>SUM(BB44:BB50)</f>
        <v>7164.5</v>
      </c>
      <c r="BC51" s="315">
        <f>SUM(BC44:BC50)</f>
        <v>7164.5</v>
      </c>
      <c r="BD51" s="116"/>
      <c r="BE51" s="118">
        <f>SUM(BE44:BE50)</f>
        <v>7223</v>
      </c>
      <c r="BF51" s="116">
        <f>SUM(BF44:BF50)</f>
        <v>7666</v>
      </c>
      <c r="BG51" s="116">
        <f>SUM(BG44:BG50)</f>
        <v>8033</v>
      </c>
      <c r="BH51" s="117">
        <f>SUM(BH44:BH50)</f>
        <v>7633</v>
      </c>
      <c r="BI51" s="315">
        <f>SUM(BI44:BI50)</f>
        <v>7633</v>
      </c>
      <c r="BJ51" s="116"/>
      <c r="BK51" s="118">
        <f>SUM(BK44:BK50)</f>
        <v>7582</v>
      </c>
      <c r="BL51" s="116">
        <f>SUM(BL44:BL50)</f>
        <v>7964</v>
      </c>
      <c r="BM51" s="116">
        <f>SUM(BM44:BM50)</f>
        <v>12586</v>
      </c>
      <c r="BN51" s="117">
        <f>SUM(BN44:BN50)</f>
        <v>12948</v>
      </c>
      <c r="BO51" s="315">
        <f>SUM(BO44:BO50)</f>
        <v>12948</v>
      </c>
      <c r="BP51" s="116"/>
      <c r="BQ51" s="118">
        <f>SUM(BQ44:BQ50)</f>
        <v>21247</v>
      </c>
      <c r="BR51" s="116">
        <f>SUM(BR44:BR50)</f>
        <v>21368.678049499686</v>
      </c>
      <c r="BS51" s="116">
        <f>SUM(BS44:BS50)</f>
        <v>21619.945880208241</v>
      </c>
      <c r="BT51" s="117">
        <f>SUM(BT44:BT50)</f>
        <v>21904.43899144754</v>
      </c>
      <c r="BU51" s="315">
        <f>SUM(BU44:BU50)</f>
        <v>21904.43899144754</v>
      </c>
      <c r="BV51" s="116"/>
      <c r="BW51" s="118">
        <f>SUM(BW44:BW50)</f>
        <v>22219.810592224749</v>
      </c>
      <c r="BX51" s="116">
        <f>SUM(BX44:BX50)</f>
        <v>22572.793462932663</v>
      </c>
      <c r="BY51" s="116">
        <f>SUM(BY44:BY50)</f>
        <v>22943.305626289803</v>
      </c>
      <c r="BZ51" s="117">
        <f>SUM(BZ44:BZ50)</f>
        <v>23303.152472614242</v>
      </c>
      <c r="CA51" s="315">
        <f>SUM(CA44:CA50)</f>
        <v>23303.152472614242</v>
      </c>
      <c r="CB51" s="116"/>
      <c r="CC51" s="118">
        <f>SUM(CC44:CC50)</f>
        <v>23788.505150310961</v>
      </c>
      <c r="CD51" s="116">
        <f>SUM(CD44:CD50)</f>
        <v>24235.122120309945</v>
      </c>
      <c r="CE51" s="116">
        <f>SUM(CE44:CE50)</f>
        <v>24755.51633338699</v>
      </c>
      <c r="CF51" s="117">
        <f>SUM(CF44:CF50)</f>
        <v>25292.575993830756</v>
      </c>
      <c r="CG51" s="315">
        <f>SUM(CG44:CG50)</f>
        <v>25292.575993830756</v>
      </c>
      <c r="CH51" s="116"/>
      <c r="CI51" s="118">
        <f>SUM(CI44:CI50)</f>
        <v>25980.78194704837</v>
      </c>
      <c r="CJ51" s="116">
        <f>SUM(CJ44:CJ50)</f>
        <v>26681.631661746207</v>
      </c>
      <c r="CK51" s="116">
        <f>SUM(CK44:CK50)</f>
        <v>27455.656969342897</v>
      </c>
      <c r="CL51" s="117">
        <f>SUM(CL44:CL50)</f>
        <v>28249.000700916848</v>
      </c>
      <c r="CM51" s="315">
        <f>SUM(CM44:CM50)</f>
        <v>28249.000700916848</v>
      </c>
      <c r="CQ51"/>
      <c r="CR51"/>
      <c r="CS51"/>
      <c r="CT51"/>
      <c r="CU51"/>
      <c r="CV51"/>
    </row>
    <row r="52" spans="1:101" s="61" customFormat="1" x14ac:dyDescent="0.2">
      <c r="A52" s="189"/>
      <c r="B52" s="92"/>
      <c r="C52" s="98"/>
      <c r="D52" s="92"/>
      <c r="E52" s="92"/>
      <c r="F52" s="99"/>
      <c r="G52" s="93"/>
      <c r="H52" s="92"/>
      <c r="I52" s="98"/>
      <c r="J52" s="92"/>
      <c r="K52" s="92"/>
      <c r="L52" s="99"/>
      <c r="M52" s="93"/>
      <c r="N52" s="92"/>
      <c r="O52" s="98"/>
      <c r="P52" s="92"/>
      <c r="Q52" s="92"/>
      <c r="R52" s="99"/>
      <c r="S52" s="93"/>
      <c r="T52" s="92"/>
      <c r="U52" s="98"/>
      <c r="V52" s="92"/>
      <c r="W52" s="92"/>
      <c r="X52" s="99"/>
      <c r="Y52" s="93"/>
      <c r="Z52" s="92"/>
      <c r="AA52" s="98"/>
      <c r="AB52" s="92"/>
      <c r="AC52" s="92"/>
      <c r="AD52" s="99"/>
      <c r="AE52" s="93"/>
      <c r="AF52" s="92"/>
      <c r="AG52" s="98"/>
      <c r="AH52" s="92"/>
      <c r="AI52" s="92"/>
      <c r="AJ52" s="99"/>
      <c r="AK52" s="93"/>
      <c r="AL52" s="92"/>
      <c r="AM52" s="98"/>
      <c r="AN52" s="92"/>
      <c r="AO52" s="92"/>
      <c r="AP52" s="99"/>
      <c r="AQ52" s="93"/>
      <c r="AR52" s="92"/>
      <c r="AS52" s="98"/>
      <c r="AT52" s="92"/>
      <c r="AU52" s="92"/>
      <c r="AV52" s="99"/>
      <c r="AW52" s="93"/>
      <c r="AX52" s="92"/>
      <c r="AY52" s="98"/>
      <c r="AZ52" s="92"/>
      <c r="BA52" s="92"/>
      <c r="BB52" s="99"/>
      <c r="BC52" s="93"/>
      <c r="BD52" s="92"/>
      <c r="BE52" s="98"/>
      <c r="BF52" s="92"/>
      <c r="BG52" s="92"/>
      <c r="BH52" s="99"/>
      <c r="BI52" s="93"/>
      <c r="BJ52" s="92"/>
      <c r="BK52" s="98"/>
      <c r="BL52" s="92"/>
      <c r="BM52" s="92"/>
      <c r="BN52" s="99"/>
      <c r="BO52" s="93"/>
      <c r="BP52" s="92"/>
      <c r="BQ52" s="98"/>
      <c r="BR52" s="92"/>
      <c r="BS52" s="92"/>
      <c r="BT52" s="99"/>
      <c r="BU52" s="93"/>
      <c r="BV52" s="92"/>
      <c r="BW52" s="98"/>
      <c r="BX52" s="92"/>
      <c r="BY52" s="92"/>
      <c r="BZ52" s="99"/>
      <c r="CA52" s="93"/>
      <c r="CB52" s="92"/>
      <c r="CC52" s="98"/>
      <c r="CD52" s="92"/>
      <c r="CE52" s="92"/>
      <c r="CF52" s="99"/>
      <c r="CG52" s="93"/>
      <c r="CH52" s="92"/>
      <c r="CI52" s="98"/>
      <c r="CJ52" s="92"/>
      <c r="CK52" s="92"/>
      <c r="CL52" s="99"/>
      <c r="CM52" s="93"/>
      <c r="CQ52"/>
      <c r="CR52"/>
      <c r="CS52"/>
      <c r="CT52"/>
      <c r="CU52"/>
      <c r="CV52"/>
      <c r="CW52" s="11"/>
    </row>
    <row r="53" spans="1:101" s="61" customFormat="1" x14ac:dyDescent="0.2">
      <c r="A53" s="253" t="s">
        <v>154</v>
      </c>
      <c r="B53" s="254">
        <f t="shared" ref="B53:G53" si="40">B51+B42</f>
        <v>0</v>
      </c>
      <c r="C53" s="362">
        <f t="shared" si="40"/>
        <v>6810.5410000000002</v>
      </c>
      <c r="D53" s="254">
        <f t="shared" si="40"/>
        <v>6951.822000000001</v>
      </c>
      <c r="E53" s="254">
        <f t="shared" si="40"/>
        <v>7122.8449999999993</v>
      </c>
      <c r="F53" s="363">
        <f t="shared" si="40"/>
        <v>7329.3650000000007</v>
      </c>
      <c r="G53" s="364">
        <f t="shared" si="40"/>
        <v>7329.3650000000007</v>
      </c>
      <c r="H53" s="254"/>
      <c r="I53" s="362">
        <f>I51+I42</f>
        <v>7566.5340000000015</v>
      </c>
      <c r="J53" s="254">
        <f>J51+J42</f>
        <v>7801.2559999999994</v>
      </c>
      <c r="K53" s="254">
        <f>K51+K42</f>
        <v>8129.2060000000001</v>
      </c>
      <c r="L53" s="363">
        <f>L51+L42</f>
        <v>7912.9429999999984</v>
      </c>
      <c r="M53" s="364">
        <f>M51+M42</f>
        <v>7912.9429999999984</v>
      </c>
      <c r="N53" s="254"/>
      <c r="O53" s="362">
        <f>O51+O42</f>
        <v>7660.6929999999984</v>
      </c>
      <c r="P53" s="254">
        <f t="shared" ref="P53:Y53" si="41">P51+P42</f>
        <v>7575.8300000000008</v>
      </c>
      <c r="Q53" s="254">
        <f t="shared" si="41"/>
        <v>8848.987000000001</v>
      </c>
      <c r="R53" s="363">
        <f t="shared" si="41"/>
        <v>9304.6239999999998</v>
      </c>
      <c r="S53" s="364">
        <f t="shared" si="41"/>
        <v>9304.6239999999998</v>
      </c>
      <c r="T53" s="254"/>
      <c r="U53" s="362">
        <f t="shared" si="41"/>
        <v>9094.2759999999998</v>
      </c>
      <c r="V53" s="254">
        <f t="shared" si="41"/>
        <v>8943.3919999999998</v>
      </c>
      <c r="W53" s="254">
        <f t="shared" si="41"/>
        <v>9031.6730000000025</v>
      </c>
      <c r="X53" s="363">
        <f t="shared" si="41"/>
        <v>9650.6939999999995</v>
      </c>
      <c r="Y53" s="364">
        <f t="shared" si="41"/>
        <v>9650.6939999999995</v>
      </c>
      <c r="Z53" s="254"/>
      <c r="AA53" s="362">
        <f>AA51+AA42</f>
        <v>10071.27</v>
      </c>
      <c r="AB53" s="254">
        <f>AB51+AB42</f>
        <v>10344.223</v>
      </c>
      <c r="AC53" s="254">
        <f>AC51+AC42</f>
        <v>10620.819</v>
      </c>
      <c r="AD53" s="363">
        <f>AD51+AD42</f>
        <v>10430.428</v>
      </c>
      <c r="AE53" s="364">
        <f>AE51+AE42</f>
        <v>10430.428</v>
      </c>
      <c r="AF53" s="254"/>
      <c r="AG53" s="362">
        <f>AG51+AG42</f>
        <v>11413.362999999998</v>
      </c>
      <c r="AH53" s="254">
        <f>AH51+AH42</f>
        <v>11195.392</v>
      </c>
      <c r="AI53" s="254">
        <f>AI51+AI42</f>
        <v>11024.863999999998</v>
      </c>
      <c r="AJ53" s="363">
        <f>AJ51+AJ42</f>
        <v>11360.909</v>
      </c>
      <c r="AK53" s="364">
        <f>AK51+AK42</f>
        <v>11360.909</v>
      </c>
      <c r="AL53" s="254"/>
      <c r="AM53" s="362">
        <f>AM51+AM42</f>
        <v>11629.436999999998</v>
      </c>
      <c r="AN53" s="254">
        <f>AN51+AN42</f>
        <v>11629.923000000003</v>
      </c>
      <c r="AO53" s="254">
        <f>AO51+AO42</f>
        <v>11587.046999999999</v>
      </c>
      <c r="AP53" s="363">
        <f>AP51+AP42</f>
        <v>12149</v>
      </c>
      <c r="AQ53" s="364">
        <f>AQ51+AQ42</f>
        <v>12149</v>
      </c>
      <c r="AR53" s="254"/>
      <c r="AS53" s="362">
        <f>AS51+AS42</f>
        <v>12035</v>
      </c>
      <c r="AT53" s="254">
        <f>AT51+AT42</f>
        <v>12250</v>
      </c>
      <c r="AU53" s="254">
        <f>AU51+AU42</f>
        <v>12374</v>
      </c>
      <c r="AV53" s="363">
        <f>AV51+AV42</f>
        <v>12447</v>
      </c>
      <c r="AW53" s="364">
        <f>AW51+AW42</f>
        <v>12447</v>
      </c>
      <c r="AX53" s="254"/>
      <c r="AY53" s="362">
        <f>AY51+AY42</f>
        <v>18503</v>
      </c>
      <c r="AZ53" s="254">
        <f>AZ51+AZ42</f>
        <v>28293</v>
      </c>
      <c r="BA53" s="254">
        <f>BA51+BA42</f>
        <v>27079</v>
      </c>
      <c r="BB53" s="363">
        <f>BB51+BB42</f>
        <v>26820</v>
      </c>
      <c r="BC53" s="364">
        <f>BC51+BC42</f>
        <v>26820</v>
      </c>
      <c r="BD53" s="254"/>
      <c r="BE53" s="362">
        <f>BE51+BE42</f>
        <v>26046</v>
      </c>
      <c r="BF53" s="254">
        <f>BF51+BF42</f>
        <v>26236</v>
      </c>
      <c r="BG53" s="254">
        <f>BG51+BG42</f>
        <v>26016</v>
      </c>
      <c r="BH53" s="363">
        <f>BH51+BH42</f>
        <v>25586</v>
      </c>
      <c r="BI53" s="364">
        <f>BI51+BI42</f>
        <v>25586</v>
      </c>
      <c r="BJ53" s="254"/>
      <c r="BK53" s="362">
        <f>BK51+BK42</f>
        <v>24316</v>
      </c>
      <c r="BL53" s="254">
        <f>BL51+BL42</f>
        <v>24122</v>
      </c>
      <c r="BM53" s="254">
        <f>BM51+BM42</f>
        <v>37166</v>
      </c>
      <c r="BN53" s="363">
        <f>BN51+BN42</f>
        <v>37734</v>
      </c>
      <c r="BO53" s="364">
        <f>BO51+BO42</f>
        <v>37734</v>
      </c>
      <c r="BP53" s="254"/>
      <c r="BQ53" s="362">
        <f>BQ51+BQ42</f>
        <v>55363</v>
      </c>
      <c r="BR53" s="254">
        <f>BR51+BR42</f>
        <v>55564.448557444892</v>
      </c>
      <c r="BS53" s="254">
        <f>BS51+BS42</f>
        <v>55805.373867605507</v>
      </c>
      <c r="BT53" s="363">
        <f>BT51+BT42</f>
        <v>56030.297786625626</v>
      </c>
      <c r="BU53" s="364">
        <f>BU51+BU42</f>
        <v>56030.297786625626</v>
      </c>
      <c r="BV53" s="254"/>
      <c r="BW53" s="362">
        <f>BW51+BW42</f>
        <v>55879.952943916054</v>
      </c>
      <c r="BX53" s="254">
        <f>BX51+BX42</f>
        <v>55906.897893262598</v>
      </c>
      <c r="BY53" s="254">
        <f>BY51+BY42</f>
        <v>55655.816780702931</v>
      </c>
      <c r="BZ53" s="363">
        <f>BZ51+BZ42</f>
        <v>55678.592268302629</v>
      </c>
      <c r="CA53" s="364">
        <f>CA51+CA42</f>
        <v>55678.592268302629</v>
      </c>
      <c r="CB53" s="254"/>
      <c r="CC53" s="362">
        <f>CC51+CC42</f>
        <v>55232.360573573169</v>
      </c>
      <c r="CD53" s="254">
        <f>CD51+CD42</f>
        <v>54383.016164561704</v>
      </c>
      <c r="CE53" s="254">
        <f>CE51+CE42</f>
        <v>54633.988018963675</v>
      </c>
      <c r="CF53" s="363">
        <f>CF51+CF42</f>
        <v>54336.965983558286</v>
      </c>
      <c r="CG53" s="364">
        <f>CG51+CG42</f>
        <v>54336.965983558286</v>
      </c>
      <c r="CH53" s="254"/>
      <c r="CI53" s="362">
        <f>CI51+CI42</f>
        <v>54811.795269761482</v>
      </c>
      <c r="CJ53" s="254">
        <f>CJ51+CJ42</f>
        <v>55286.910365936361</v>
      </c>
      <c r="CK53" s="254">
        <f>CK51+CK42</f>
        <v>55379.081555655837</v>
      </c>
      <c r="CL53" s="363">
        <f>CL51+CL42</f>
        <v>56291.384625644649</v>
      </c>
      <c r="CM53" s="364">
        <f>CM51+CM42</f>
        <v>56291.384625644649</v>
      </c>
      <c r="CQ53"/>
      <c r="CR53"/>
      <c r="CS53"/>
      <c r="CT53"/>
      <c r="CU53"/>
      <c r="CV53"/>
      <c r="CW53" s="11"/>
    </row>
    <row r="54" spans="1:101" s="11" customFormat="1" hidden="1" outlineLevel="1" x14ac:dyDescent="0.2">
      <c r="A54" s="365" t="s">
        <v>155</v>
      </c>
      <c r="B54" s="366" t="e">
        <f>#REF!-B53</f>
        <v>#REF!</v>
      </c>
      <c r="C54" s="367">
        <f>C53-C27</f>
        <v>0</v>
      </c>
      <c r="D54" s="367">
        <f>D53-D27</f>
        <v>0</v>
      </c>
      <c r="E54" s="367">
        <f>E53-E27</f>
        <v>0</v>
      </c>
      <c r="F54" s="367">
        <f>F53-F27</f>
        <v>0</v>
      </c>
      <c r="G54" s="367">
        <f>G53-G27</f>
        <v>0</v>
      </c>
      <c r="H54" s="366"/>
      <c r="I54" s="367">
        <f>I53-I27</f>
        <v>0</v>
      </c>
      <c r="J54" s="367">
        <f>J53-J27</f>
        <v>0</v>
      </c>
      <c r="K54" s="367">
        <f>K53-K27</f>
        <v>0</v>
      </c>
      <c r="L54" s="367">
        <f>L53-L27</f>
        <v>0</v>
      </c>
      <c r="M54" s="367">
        <f>M53-M27</f>
        <v>0</v>
      </c>
      <c r="N54" s="366"/>
      <c r="O54" s="367">
        <f>O53-O27</f>
        <v>0</v>
      </c>
      <c r="P54" s="367">
        <f>P53-P27</f>
        <v>0</v>
      </c>
      <c r="Q54" s="367">
        <f>Q53-Q27</f>
        <v>0</v>
      </c>
      <c r="R54" s="367">
        <f>R53-R27</f>
        <v>0</v>
      </c>
      <c r="S54" s="367">
        <f>S53-S27</f>
        <v>0</v>
      </c>
      <c r="T54" s="366"/>
      <c r="U54" s="367">
        <f>U53-U27</f>
        <v>0</v>
      </c>
      <c r="V54" s="367">
        <f>V53-V27</f>
        <v>0</v>
      </c>
      <c r="W54" s="367">
        <f>W53-W27</f>
        <v>0</v>
      </c>
      <c r="X54" s="367">
        <f>X53-X27</f>
        <v>0</v>
      </c>
      <c r="Y54" s="367">
        <f>Y53-Y27</f>
        <v>0</v>
      </c>
      <c r="Z54" s="366"/>
      <c r="AA54" s="367">
        <f>AA53-AA27</f>
        <v>0</v>
      </c>
      <c r="AB54" s="367">
        <f>AB53-AB27</f>
        <v>0</v>
      </c>
      <c r="AC54" s="367">
        <f>AC53-AC27</f>
        <v>0</v>
      </c>
      <c r="AD54" s="367">
        <f>AD53-AD27</f>
        <v>0</v>
      </c>
      <c r="AE54" s="367">
        <f>AE53-AE27</f>
        <v>0</v>
      </c>
      <c r="AF54" s="366"/>
      <c r="AG54" s="367">
        <f>AG53-AG27</f>
        <v>0</v>
      </c>
      <c r="AH54" s="367">
        <f>AH53-AH27</f>
        <v>0</v>
      </c>
      <c r="AI54" s="367">
        <f>AI53-AI27</f>
        <v>0</v>
      </c>
      <c r="AJ54" s="367">
        <f>AJ53-AJ27</f>
        <v>0</v>
      </c>
      <c r="AK54" s="367">
        <f>AK53-AK27</f>
        <v>0</v>
      </c>
      <c r="AL54" s="366"/>
      <c r="AM54" s="367">
        <f>AM53-AM27</f>
        <v>0</v>
      </c>
      <c r="AN54" s="367">
        <f>AN53-AN27</f>
        <v>0</v>
      </c>
      <c r="AO54" s="367">
        <f>AO53-AO27</f>
        <v>0</v>
      </c>
      <c r="AP54" s="367">
        <f>AP53-AP27</f>
        <v>0</v>
      </c>
      <c r="AQ54" s="367">
        <f>AQ53-AQ27</f>
        <v>0</v>
      </c>
      <c r="AR54" s="366"/>
      <c r="AS54" s="367">
        <f>AS53-AS27</f>
        <v>0</v>
      </c>
      <c r="AT54" s="367">
        <f>AT53-AT27</f>
        <v>0</v>
      </c>
      <c r="AU54" s="367">
        <f>AU53-AU27</f>
        <v>0</v>
      </c>
      <c r="AV54" s="367">
        <f>AV53-AV27</f>
        <v>0</v>
      </c>
      <c r="AW54" s="367">
        <f>AW53-AW27</f>
        <v>0</v>
      </c>
      <c r="AX54" s="366"/>
      <c r="AY54" s="367">
        <f>AY53-AY27</f>
        <v>0</v>
      </c>
      <c r="AZ54" s="367">
        <f>AZ53-AZ27</f>
        <v>0</v>
      </c>
      <c r="BA54" s="367">
        <f>BA53-BA27</f>
        <v>0</v>
      </c>
      <c r="BB54" s="367">
        <f>BB53-BB27</f>
        <v>0</v>
      </c>
      <c r="BC54" s="367">
        <f>BC53-BC27</f>
        <v>0</v>
      </c>
      <c r="BD54" s="366"/>
      <c r="BE54" s="367">
        <f>BE53-BE27</f>
        <v>0</v>
      </c>
      <c r="BF54" s="367">
        <f>BF53-BF27</f>
        <v>0</v>
      </c>
      <c r="BG54" s="367">
        <f>BG53-BG27</f>
        <v>0</v>
      </c>
      <c r="BH54" s="367">
        <f>BH53-BH27</f>
        <v>0</v>
      </c>
      <c r="BI54" s="367">
        <f>BI53-BI27</f>
        <v>0</v>
      </c>
      <c r="BJ54" s="366"/>
      <c r="BK54" s="367">
        <f>BK53-BK27</f>
        <v>0</v>
      </c>
      <c r="BL54" s="367">
        <f>BL53-BL27</f>
        <v>0</v>
      </c>
      <c r="BM54" s="367">
        <f>BM53-BM27</f>
        <v>0</v>
      </c>
      <c r="BN54" s="367">
        <f>BN53-BN27</f>
        <v>0</v>
      </c>
      <c r="BO54" s="367">
        <f>BO53-BO27</f>
        <v>0</v>
      </c>
      <c r="BP54" s="366"/>
      <c r="BQ54" s="367">
        <f>BQ53-BQ27</f>
        <v>0</v>
      </c>
      <c r="BR54" s="367">
        <f>BR53-BR27</f>
        <v>0</v>
      </c>
      <c r="BS54" s="367">
        <f>BS53-BS27</f>
        <v>0</v>
      </c>
      <c r="BT54" s="367">
        <f>BT53-BT27</f>
        <v>0</v>
      </c>
      <c r="BU54" s="367">
        <f>BU53-BU27</f>
        <v>0</v>
      </c>
      <c r="BV54" s="366"/>
      <c r="BW54" s="367">
        <f>BW53-BW27</f>
        <v>0</v>
      </c>
      <c r="BX54" s="367">
        <f>BX53-BX27</f>
        <v>0</v>
      </c>
      <c r="BY54" s="367">
        <f>BY53-BY27</f>
        <v>0</v>
      </c>
      <c r="BZ54" s="367">
        <f>BZ53-BZ27</f>
        <v>0</v>
      </c>
      <c r="CA54" s="367">
        <f>CA53-CA27</f>
        <v>0</v>
      </c>
      <c r="CB54" s="366"/>
      <c r="CC54" s="367">
        <f>CC53-CC27</f>
        <v>0</v>
      </c>
      <c r="CD54" s="367">
        <f>CD53-CD27</f>
        <v>0</v>
      </c>
      <c r="CE54" s="367">
        <f>CE53-CE27</f>
        <v>0</v>
      </c>
      <c r="CF54" s="367">
        <f>CF53-CF27</f>
        <v>0</v>
      </c>
      <c r="CG54" s="367">
        <f>CG53-CG27</f>
        <v>0</v>
      </c>
      <c r="CH54" s="366"/>
      <c r="CI54" s="367">
        <f>CI53-CI27</f>
        <v>0</v>
      </c>
      <c r="CJ54" s="367">
        <f>CJ53-CJ27</f>
        <v>0</v>
      </c>
      <c r="CK54" s="367">
        <f>CK53-CK27</f>
        <v>0</v>
      </c>
      <c r="CL54" s="367">
        <f>CL53-CL27</f>
        <v>0</v>
      </c>
      <c r="CM54" s="367">
        <f>CM53-CM27</f>
        <v>0</v>
      </c>
      <c r="CQ54"/>
      <c r="CR54"/>
      <c r="CS54"/>
      <c r="CT54"/>
      <c r="CU54"/>
      <c r="CV54"/>
    </row>
    <row r="55" spans="1:101" s="11" customFormat="1" collapsed="1" x14ac:dyDescent="0.2">
      <c r="A55" s="225"/>
      <c r="B55" s="15"/>
      <c r="C55" s="15"/>
      <c r="D55" s="92"/>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368"/>
      <c r="AN55" s="15"/>
      <c r="AO55" s="15"/>
      <c r="AP55" s="15"/>
      <c r="AQ55" s="15"/>
      <c r="AR55" s="15"/>
      <c r="AS55" s="368"/>
      <c r="AT55" s="15"/>
      <c r="AU55" s="15"/>
      <c r="AV55" s="15"/>
      <c r="AW55" s="15"/>
      <c r="AX55" s="15"/>
      <c r="AY55" s="369"/>
      <c r="AZ55" s="15"/>
      <c r="BA55" s="367"/>
      <c r="BB55" s="15"/>
      <c r="BC55" s="15"/>
      <c r="BD55" s="15"/>
      <c r="BE55" s="368"/>
      <c r="BF55" s="370"/>
      <c r="BG55" s="370"/>
      <c r="BH55" s="370"/>
      <c r="BI55" s="370"/>
      <c r="BJ55" s="15"/>
      <c r="BK55" s="370"/>
      <c r="BL55" s="370"/>
      <c r="BM55" s="370"/>
      <c r="BN55" s="15"/>
      <c r="BO55" s="15"/>
      <c r="BP55" s="15"/>
      <c r="BQ55" s="368"/>
      <c r="BR55" s="15"/>
      <c r="BS55" s="15"/>
      <c r="BT55" s="15"/>
      <c r="BU55" s="61"/>
      <c r="CA55" s="61"/>
      <c r="CG55" s="61"/>
      <c r="CH55" s="15"/>
      <c r="CI55" s="368"/>
      <c r="CJ55" s="15"/>
      <c r="CK55" s="15"/>
      <c r="CL55" s="15"/>
      <c r="CM55" s="15"/>
      <c r="CQ55"/>
      <c r="CR55"/>
      <c r="CS55"/>
      <c r="CT55"/>
      <c r="CU55"/>
      <c r="CV55"/>
    </row>
    <row r="56" spans="1:101" s="11" customFormat="1" x14ac:dyDescent="0.2">
      <c r="A56" s="176" t="s">
        <v>156</v>
      </c>
      <c r="B56" s="371"/>
      <c r="C56" s="372"/>
      <c r="D56" s="371"/>
      <c r="E56" s="371"/>
      <c r="F56" s="373"/>
      <c r="G56" s="374"/>
      <c r="H56" s="371"/>
      <c r="I56" s="375"/>
      <c r="J56" s="376"/>
      <c r="K56" s="376"/>
      <c r="L56" s="377"/>
      <c r="M56" s="378"/>
      <c r="N56" s="376"/>
      <c r="O56" s="375"/>
      <c r="P56" s="376"/>
      <c r="Q56" s="376"/>
      <c r="R56" s="377"/>
      <c r="S56" s="374"/>
      <c r="T56" s="371"/>
      <c r="U56" s="372"/>
      <c r="V56" s="371"/>
      <c r="W56" s="371"/>
      <c r="X56" s="373"/>
      <c r="Y56" s="374"/>
      <c r="Z56" s="371"/>
      <c r="AA56" s="372"/>
      <c r="AB56" s="371"/>
      <c r="AC56" s="371"/>
      <c r="AD56" s="373"/>
      <c r="AE56" s="374"/>
      <c r="AF56" s="371"/>
      <c r="AG56" s="372"/>
      <c r="AH56" s="371"/>
      <c r="AI56" s="371"/>
      <c r="AJ56" s="373"/>
      <c r="AK56" s="374"/>
      <c r="AL56" s="371"/>
      <c r="AM56" s="372"/>
      <c r="AN56" s="371"/>
      <c r="AO56" s="371"/>
      <c r="AP56" s="373"/>
      <c r="AQ56" s="374"/>
      <c r="AR56" s="371"/>
      <c r="AS56" s="372"/>
      <c r="AT56" s="371"/>
      <c r="AU56" s="371"/>
      <c r="AV56" s="373"/>
      <c r="AW56" s="374"/>
      <c r="AX56" s="371"/>
      <c r="AY56" s="372"/>
      <c r="AZ56" s="379"/>
      <c r="BA56" s="379"/>
      <c r="BB56" s="380"/>
      <c r="BC56" s="374"/>
      <c r="BD56" s="371"/>
      <c r="BE56" s="372"/>
      <c r="BF56" s="379"/>
      <c r="BG56" s="371"/>
      <c r="BH56" s="380"/>
      <c r="BI56" s="374"/>
      <c r="BJ56" s="371"/>
      <c r="BK56" s="372"/>
      <c r="BL56" s="371"/>
      <c r="BM56" s="371"/>
      <c r="BN56" s="373"/>
      <c r="BO56" s="374"/>
      <c r="BP56" s="371"/>
      <c r="BQ56" s="372"/>
      <c r="BR56" s="371"/>
      <c r="BS56" s="371"/>
      <c r="BT56" s="373"/>
      <c r="BU56" s="374"/>
      <c r="BV56" s="371"/>
      <c r="BW56" s="372"/>
      <c r="BX56" s="371"/>
      <c r="BY56" s="371"/>
      <c r="BZ56" s="373"/>
      <c r="CA56" s="381"/>
      <c r="CB56" s="371"/>
      <c r="CC56" s="372"/>
      <c r="CD56" s="371"/>
      <c r="CE56" s="371"/>
      <c r="CF56" s="373"/>
      <c r="CG56" s="381"/>
      <c r="CH56" s="371"/>
      <c r="CI56" s="372"/>
      <c r="CJ56" s="371"/>
      <c r="CK56" s="371"/>
      <c r="CL56" s="373"/>
      <c r="CM56" s="374"/>
      <c r="CQ56"/>
      <c r="CR56"/>
      <c r="CS56"/>
      <c r="CT56"/>
      <c r="CU56"/>
      <c r="CV56"/>
    </row>
    <row r="57" spans="1:101" s="11" customFormat="1" x14ac:dyDescent="0.2">
      <c r="A57" s="189" t="s">
        <v>157</v>
      </c>
      <c r="B57" s="15"/>
      <c r="C57" s="98">
        <f>C30+C38</f>
        <v>1161.98</v>
      </c>
      <c r="D57" s="92">
        <f>D30+D38</f>
        <v>1164.5889999999999</v>
      </c>
      <c r="E57" s="92">
        <f>E30+E38</f>
        <v>1158.884</v>
      </c>
      <c r="F57" s="99">
        <f>F30+F38</f>
        <v>1163.347</v>
      </c>
      <c r="G57" s="93">
        <f>G30+G38</f>
        <v>1163.347</v>
      </c>
      <c r="H57" s="92"/>
      <c r="I57" s="98">
        <f>I30+I38</f>
        <v>1165.8329999999999</v>
      </c>
      <c r="J57" s="92">
        <f>J30+J38</f>
        <v>1168.1969999999999</v>
      </c>
      <c r="K57" s="92">
        <f>K30+K38</f>
        <v>1159.204</v>
      </c>
      <c r="L57" s="99">
        <f>L30+L38</f>
        <v>1154.538</v>
      </c>
      <c r="M57" s="93">
        <f>M30+M38</f>
        <v>1154.538</v>
      </c>
      <c r="N57" s="382"/>
      <c r="O57" s="98">
        <f>O30+O38</f>
        <v>1156.6599999999999</v>
      </c>
      <c r="P57" s="92">
        <f>P30+P38</f>
        <v>1153.2239999999999</v>
      </c>
      <c r="Q57" s="92">
        <f>Q30+Q38</f>
        <v>1889.297</v>
      </c>
      <c r="R57" s="99">
        <f>R30+R38</f>
        <v>1891.425</v>
      </c>
      <c r="S57" s="93">
        <f>S30+S38</f>
        <v>1891.425</v>
      </c>
      <c r="T57" s="92"/>
      <c r="U57" s="98">
        <f>U30+U38</f>
        <v>1693.2850000000001</v>
      </c>
      <c r="V57" s="92">
        <f>V30+V38</f>
        <v>1690.835</v>
      </c>
      <c r="W57" s="92">
        <f>W30+W38</f>
        <v>1695.6210000000001</v>
      </c>
      <c r="X57" s="99">
        <f>X30+X38</f>
        <v>1698.115</v>
      </c>
      <c r="Y57" s="93">
        <f>Y30+Y38</f>
        <v>1698.115</v>
      </c>
      <c r="Z57" s="92"/>
      <c r="AA57" s="98">
        <f>AA30+AA38</f>
        <v>2720.3139999999999</v>
      </c>
      <c r="AB57" s="92">
        <f>AB30+AB38</f>
        <v>2725.5990000000002</v>
      </c>
      <c r="AC57" s="92">
        <f>AC30+AC38</f>
        <v>2724.7370000000001</v>
      </c>
      <c r="AD57" s="99">
        <f>AD30+AD38</f>
        <v>2719.5969999999998</v>
      </c>
      <c r="AE57" s="93">
        <f>AE30+AE38</f>
        <v>2719.5969999999998</v>
      </c>
      <c r="AF57" s="92"/>
      <c r="AG57" s="98">
        <f>AG30+AG38</f>
        <v>4176.0879999999997</v>
      </c>
      <c r="AH57" s="92">
        <f>AH30+AH38</f>
        <v>4170.473</v>
      </c>
      <c r="AI57" s="92">
        <f>AI30+AI38</f>
        <v>4171.3789999999999</v>
      </c>
      <c r="AJ57" s="99">
        <f>AJ30+AJ38</f>
        <v>4166.2539999999999</v>
      </c>
      <c r="AK57" s="93">
        <f>AK30+AK38</f>
        <v>4166.2539999999999</v>
      </c>
      <c r="AL57" s="92"/>
      <c r="AM57" s="98">
        <f>AM30+AM38</f>
        <v>4169.835</v>
      </c>
      <c r="AN57" s="92">
        <f>AN30+AN38</f>
        <v>4169.5129999999999</v>
      </c>
      <c r="AO57" s="92">
        <f>AO30+AO38</f>
        <v>3969.9989999999998</v>
      </c>
      <c r="AP57" s="99">
        <f>AP30+AP38</f>
        <v>3970</v>
      </c>
      <c r="AQ57" s="93">
        <f>AQ30+AQ38</f>
        <v>3970</v>
      </c>
      <c r="AR57" s="92"/>
      <c r="AS57" s="98">
        <f>AS30+AS38</f>
        <v>3969</v>
      </c>
      <c r="AT57" s="92">
        <f>AT30+AT38</f>
        <v>3966</v>
      </c>
      <c r="AU57" s="92">
        <f>AU30+AU38</f>
        <v>3973</v>
      </c>
      <c r="AV57" s="99">
        <f>AV30+AV38</f>
        <v>3971</v>
      </c>
      <c r="AW57" s="93">
        <f>AW30+AW38</f>
        <v>3971</v>
      </c>
      <c r="AX57" s="92"/>
      <c r="AY57" s="98">
        <f>AY30+AY38</f>
        <v>10142</v>
      </c>
      <c r="AZ57" s="92">
        <f>AZ30+AZ38</f>
        <v>13838</v>
      </c>
      <c r="BA57" s="92">
        <f>BA30+BA38</f>
        <v>13171</v>
      </c>
      <c r="BB57" s="99">
        <f>BB30+BB38</f>
        <v>12822</v>
      </c>
      <c r="BC57" s="93">
        <f>BC30+BC38</f>
        <v>12822</v>
      </c>
      <c r="BD57" s="92"/>
      <c r="BE57" s="98">
        <f>BE30+BE38</f>
        <v>12809</v>
      </c>
      <c r="BF57" s="92">
        <f>BF30+BF38</f>
        <v>12515</v>
      </c>
      <c r="BG57" s="92">
        <f>BG30+BG38</f>
        <v>11912</v>
      </c>
      <c r="BH57" s="99">
        <f>BH30+BH38</f>
        <v>11551</v>
      </c>
      <c r="BI57" s="93">
        <f>BI30+BI38</f>
        <v>11551</v>
      </c>
      <c r="BJ57" s="92"/>
      <c r="BK57" s="98">
        <f>BK30+BK38</f>
        <v>11017</v>
      </c>
      <c r="BL57" s="92">
        <f>BL30+BL38</f>
        <v>10306</v>
      </c>
      <c r="BM57" s="92">
        <f>BM30+BM38</f>
        <v>19016</v>
      </c>
      <c r="BN57" s="99">
        <f>BN30+BN38</f>
        <v>18870</v>
      </c>
      <c r="BO57" s="93">
        <f>BO30+BO38</f>
        <v>18870</v>
      </c>
      <c r="BP57" s="92"/>
      <c r="BQ57" s="98">
        <f>BQ30+BQ38</f>
        <v>22798</v>
      </c>
      <c r="BR57" s="92">
        <f>BR30+BR38</f>
        <v>22548</v>
      </c>
      <c r="BS57" s="92">
        <f>BS30+BS38</f>
        <v>22098</v>
      </c>
      <c r="BT57" s="99">
        <f>BT30+BT38</f>
        <v>21598.000000000004</v>
      </c>
      <c r="BU57" s="93">
        <f>BU30+BU38</f>
        <v>21598.000000000004</v>
      </c>
      <c r="BV57" s="92"/>
      <c r="BW57" s="98">
        <f>BW30+BW38</f>
        <v>21098.000000000004</v>
      </c>
      <c r="BX57" s="92">
        <f>BX30+BX38</f>
        <v>20648</v>
      </c>
      <c r="BY57" s="92">
        <f>BY30+BY38</f>
        <v>19805</v>
      </c>
      <c r="BZ57" s="99">
        <f>BZ30+BZ38</f>
        <v>19355</v>
      </c>
      <c r="CA57" s="93">
        <f>CA30+CA38</f>
        <v>19355</v>
      </c>
      <c r="CB57" s="92"/>
      <c r="CC57" s="98">
        <f>CC30+CC38</f>
        <v>18480</v>
      </c>
      <c r="CD57" s="92">
        <f>CD30+CD38</f>
        <v>17057.9084</v>
      </c>
      <c r="CE57" s="92">
        <f>CE30+CE38</f>
        <v>16557.9084</v>
      </c>
      <c r="CF57" s="99">
        <f>CF30+CF38</f>
        <v>15607.9084</v>
      </c>
      <c r="CG57" s="93">
        <f>CG30+CG38</f>
        <v>15607.9084</v>
      </c>
      <c r="CH57" s="92"/>
      <c r="CI57" s="98">
        <f>CI30+CI38</f>
        <v>15407.9084</v>
      </c>
      <c r="CJ57" s="92">
        <f>CJ30+CJ38</f>
        <v>14975.688399999999</v>
      </c>
      <c r="CK57" s="92">
        <f>CK30+CK38</f>
        <v>14175.688399999999</v>
      </c>
      <c r="CL57" s="99">
        <f>CL30+CL38</f>
        <v>14175.688399999999</v>
      </c>
      <c r="CM57" s="93">
        <f>CM30+CM38</f>
        <v>14175.688399999999</v>
      </c>
      <c r="CQ57"/>
      <c r="CR57"/>
      <c r="CS57"/>
      <c r="CT57"/>
      <c r="CU57"/>
      <c r="CV57"/>
    </row>
    <row r="58" spans="1:101" s="11" customFormat="1" x14ac:dyDescent="0.2">
      <c r="A58" s="189" t="s">
        <v>158</v>
      </c>
      <c r="B58" s="15"/>
      <c r="C58" s="98">
        <f>C57-C8-C9</f>
        <v>518.62700000000007</v>
      </c>
      <c r="D58" s="92">
        <f>D57-D8-D9</f>
        <v>584.577</v>
      </c>
      <c r="E58" s="92">
        <f>E57-E8-E9</f>
        <v>582.40600000000006</v>
      </c>
      <c r="F58" s="99">
        <f>F57-F8-F9</f>
        <v>493.82500000000005</v>
      </c>
      <c r="G58" s="93">
        <f>G57-G8-G9</f>
        <v>493.82500000000005</v>
      </c>
      <c r="H58" s="92"/>
      <c r="I58" s="98">
        <f>I57-I8-I9</f>
        <v>246.19599999999991</v>
      </c>
      <c r="J58" s="92">
        <f>J57-J8-J9</f>
        <v>406.84199999999987</v>
      </c>
      <c r="K58" s="92">
        <f>K57-K8-K9</f>
        <v>190.80199999999994</v>
      </c>
      <c r="L58" s="99">
        <f>L57-L8-L9</f>
        <v>124.11900000000003</v>
      </c>
      <c r="M58" s="93">
        <f>M57-M8-M9</f>
        <v>124.11900000000003</v>
      </c>
      <c r="N58" s="382"/>
      <c r="O58" s="98">
        <f>O57-O8-O9</f>
        <v>379.87699999999984</v>
      </c>
      <c r="P58" s="92">
        <f>P57-P8-P9</f>
        <v>423.03499999999997</v>
      </c>
      <c r="Q58" s="92">
        <f>Q57-Q8-Q9</f>
        <v>137.33699999999993</v>
      </c>
      <c r="R58" s="99">
        <f>R57-R8-R9</f>
        <v>-54.379999999999995</v>
      </c>
      <c r="S58" s="93">
        <f>S57-S8-S9</f>
        <v>-54.379999999999995</v>
      </c>
      <c r="T58" s="92"/>
      <c r="U58" s="98">
        <f>U57-U8-U9</f>
        <v>234.87200000000001</v>
      </c>
      <c r="V58" s="92">
        <f>V57-V8-V9</f>
        <v>432.73300000000006</v>
      </c>
      <c r="W58" s="92">
        <f>W57-W8-W9</f>
        <v>250.3850000000001</v>
      </c>
      <c r="X58" s="99">
        <f>X57-X8-X9</f>
        <v>-46.080000000000041</v>
      </c>
      <c r="Y58" s="93">
        <f>Y57-Y8-Y9</f>
        <v>-46.080000000000041</v>
      </c>
      <c r="Z58" s="92"/>
      <c r="AA58" s="98">
        <f>AA57-AA8-AA9</f>
        <v>473.15199999999982</v>
      </c>
      <c r="AB58" s="92">
        <f>AB57-AB8-AB9</f>
        <v>867.17900000000009</v>
      </c>
      <c r="AC58" s="92">
        <f>AC57-AC8-AC9</f>
        <v>803.41100000000006</v>
      </c>
      <c r="AD58" s="99">
        <f>AD57-AD8-AD9</f>
        <v>1156.2839999999999</v>
      </c>
      <c r="AE58" s="93">
        <f>AE57-AE8-AE9</f>
        <v>1156.2839999999999</v>
      </c>
      <c r="AF58" s="92"/>
      <c r="AG58" s="98">
        <f>AG57-AG8-AG9</f>
        <v>1482.3969999999999</v>
      </c>
      <c r="AH58" s="92">
        <f>AH57-AH8-AH9</f>
        <v>2058.4140000000002</v>
      </c>
      <c r="AI58" s="92">
        <f>AI57-AI8-AI9</f>
        <v>1982.9249999999997</v>
      </c>
      <c r="AJ58" s="99">
        <f>AJ57-AJ8-AJ9</f>
        <v>1985.5229999999999</v>
      </c>
      <c r="AK58" s="93">
        <f>AK57-AK8-AK9</f>
        <v>1985.5229999999999</v>
      </c>
      <c r="AL58" s="92"/>
      <c r="AM58" s="98">
        <f>AM57-AM8-AM9</f>
        <v>1657.7230000000004</v>
      </c>
      <c r="AN58" s="92">
        <f>AN57-AN8-AN9</f>
        <v>1748.8080000000002</v>
      </c>
      <c r="AO58" s="92">
        <f>AO57-AO8-AO9</f>
        <v>1670.7949999999998</v>
      </c>
      <c r="AP58" s="99">
        <f>AP57-AP8-AP9</f>
        <v>1362</v>
      </c>
      <c r="AQ58" s="93">
        <f>AQ57-AQ8-AQ9</f>
        <v>1362</v>
      </c>
      <c r="AR58" s="92"/>
      <c r="AS58" s="98">
        <f>AS57-AS8-AS9</f>
        <v>1456</v>
      </c>
      <c r="AT58" s="92">
        <f>AT57-AT8-AT9</f>
        <v>1340</v>
      </c>
      <c r="AU58" s="92">
        <f>AU57-AU8-AU9</f>
        <v>1334</v>
      </c>
      <c r="AV58" s="99">
        <f>AV57-AV8-AV9</f>
        <v>1226</v>
      </c>
      <c r="AW58" s="93">
        <f>AW57-AW8-AW9</f>
        <v>1226</v>
      </c>
      <c r="AX58" s="92"/>
      <c r="AY58" s="98">
        <f>AY57-AY8-AY9</f>
        <v>1358</v>
      </c>
      <c r="AZ58" s="92">
        <f>AZ57-AZ8-AZ9</f>
        <v>11886</v>
      </c>
      <c r="BA58" s="92">
        <f>BA57-BA8-BA9</f>
        <v>11583</v>
      </c>
      <c r="BB58" s="99">
        <f>BB57-BB8-BB9</f>
        <v>11378.5</v>
      </c>
      <c r="BC58" s="93">
        <f>BC57-BC8-BC9</f>
        <v>11378.5</v>
      </c>
      <c r="BD58" s="92"/>
      <c r="BE58" s="98">
        <f>BE57-BE8-BE9</f>
        <v>11216</v>
      </c>
      <c r="BF58" s="92">
        <f>BF57-BF8-BF9</f>
        <v>10804</v>
      </c>
      <c r="BG58" s="92">
        <f>BG57-BG8-BG9</f>
        <v>10211</v>
      </c>
      <c r="BH58" s="99">
        <f>BH57-BH8-BH9</f>
        <v>9983</v>
      </c>
      <c r="BI58" s="93">
        <f>BI57-BI8-BI9</f>
        <v>9983</v>
      </c>
      <c r="BJ58" s="92"/>
      <c r="BK58" s="98">
        <f>BK57-BK8-BK9</f>
        <v>10080</v>
      </c>
      <c r="BL58" s="92">
        <f>BL57-BL8-BL9</f>
        <v>9750</v>
      </c>
      <c r="BM58" s="92">
        <f>BM57-BM8-BM9</f>
        <v>5148</v>
      </c>
      <c r="BN58" s="99">
        <f>BN57-BN8-BN9</f>
        <v>4670</v>
      </c>
      <c r="BO58" s="93">
        <f>BO57-BO8-BO9</f>
        <v>4670</v>
      </c>
      <c r="BP58" s="92"/>
      <c r="BQ58" s="98">
        <f>BQ57-BQ8-BQ9</f>
        <v>21590</v>
      </c>
      <c r="BR58" s="92">
        <f>BR57-BR8-BR9</f>
        <v>21575.589485753339</v>
      </c>
      <c r="BS58" s="92">
        <f>BS57-BS8-BS9</f>
        <v>20819.88141348082</v>
      </c>
      <c r="BT58" s="99">
        <f>BT57-BT8-BT9</f>
        <v>19933.091877367769</v>
      </c>
      <c r="BU58" s="93">
        <f>BU57-BU8-BU9</f>
        <v>19933.091877367769</v>
      </c>
      <c r="BV58" s="92"/>
      <c r="BW58" s="98">
        <f>BW57-BW8-BW9</f>
        <v>19252.406563903722</v>
      </c>
      <c r="BX58" s="92">
        <f>BX57-BX8-BX9</f>
        <v>18607.051151516429</v>
      </c>
      <c r="BY58" s="92">
        <f>BY57-BY8-BY9</f>
        <v>17985.899605038525</v>
      </c>
      <c r="BZ58" s="99">
        <f>BZ57-BZ8-BZ9</f>
        <v>17324.918078199804</v>
      </c>
      <c r="CA58" s="93">
        <f>CA57-CA8-CA9</f>
        <v>17324.918078199804</v>
      </c>
      <c r="CB58" s="92"/>
      <c r="CC58" s="98">
        <f>CC57-CC8-CC9</f>
        <v>16569.208472613012</v>
      </c>
      <c r="CD58" s="92">
        <f>CD57-CD8-CD9</f>
        <v>15815.667552042221</v>
      </c>
      <c r="CE58" s="92">
        <f>CE57-CE8-CE9</f>
        <v>15037.87260496349</v>
      </c>
      <c r="CF58" s="99">
        <f>CF57-CF8-CF9</f>
        <v>14185.919722628121</v>
      </c>
      <c r="CG58" s="93">
        <f>CG57-CG8-CG9</f>
        <v>14185.919722628121</v>
      </c>
      <c r="CH58" s="92"/>
      <c r="CI58" s="98">
        <f>CI57-CI8-CI9</f>
        <v>13201.149738667224</v>
      </c>
      <c r="CJ58" s="92">
        <f>CJ57-CJ8-CJ9</f>
        <v>12157.653343070666</v>
      </c>
      <c r="CK58" s="92">
        <f>CK57-CK8-CK9</f>
        <v>11153.163247743892</v>
      </c>
      <c r="CL58" s="99">
        <f>CL57-CL8-CL9</f>
        <v>10031.24828380779</v>
      </c>
      <c r="CM58" s="93">
        <f>CM57-CM8-CM9</f>
        <v>10031.24828380779</v>
      </c>
      <c r="CQ58"/>
      <c r="CR58"/>
      <c r="CS58"/>
      <c r="CT58"/>
      <c r="CU58"/>
      <c r="CV58"/>
    </row>
    <row r="59" spans="1:101" s="11" customFormat="1" x14ac:dyDescent="0.2">
      <c r="A59" s="196" t="s">
        <v>159</v>
      </c>
      <c r="B59" s="383"/>
      <c r="C59" s="384">
        <f>-C58/IS!C33</f>
        <v>-2.0343020542007761</v>
      </c>
      <c r="D59" s="385">
        <f>-D58/IS!D33</f>
        <v>-2.2947986181989477</v>
      </c>
      <c r="E59" s="385">
        <f>-E58/IS!E33</f>
        <v>-2.2917820940628348</v>
      </c>
      <c r="F59" s="386">
        <f>-F58/IS!F33</f>
        <v>-1.9518080384492253</v>
      </c>
      <c r="G59" s="387">
        <f>-G58/IS!G33</f>
        <v>-1.9380126368666852</v>
      </c>
      <c r="H59" s="388"/>
      <c r="I59" s="384">
        <f>-I58/IS!I33</f>
        <v>-0.97266075633306426</v>
      </c>
      <c r="J59" s="385">
        <f>-J58/IS!J33</f>
        <v>-1.6094197509375439</v>
      </c>
      <c r="K59" s="385">
        <f>-K58/IS!K33</f>
        <v>-0.75820988046795501</v>
      </c>
      <c r="L59" s="386">
        <f>-L58/IS!L33</f>
        <v>-0.49411020036067321</v>
      </c>
      <c r="M59" s="387">
        <f>-M58/IS!M33</f>
        <v>-0.49120828237975955</v>
      </c>
      <c r="N59" s="389"/>
      <c r="O59" s="384">
        <f>-O58/IS!O33</f>
        <v>-1.5298436235205037</v>
      </c>
      <c r="P59" s="385">
        <f>-P58/IS!P33</f>
        <v>-1.7204237667249582</v>
      </c>
      <c r="Q59" s="385">
        <f>-Q58/IS!Q33</f>
        <v>-0.55897124902318285</v>
      </c>
      <c r="R59" s="386">
        <f>-R58/IS!R33</f>
        <v>0.22190846173935749</v>
      </c>
      <c r="S59" s="387">
        <f>-S58/IS!S33</f>
        <v>0.22034214215674355</v>
      </c>
      <c r="T59" s="388"/>
      <c r="U59" s="384">
        <f>-U58/IS!U33</f>
        <v>-0.96669067561171362</v>
      </c>
      <c r="V59" s="385">
        <f>-V58/IS!V33</f>
        <v>-1.7965939143828653</v>
      </c>
      <c r="W59" s="385">
        <f>-W58/IS!W33</f>
        <v>-1.0506296182847366</v>
      </c>
      <c r="X59" s="386">
        <f>-X58/IS!X33</f>
        <v>0.19499314477225427</v>
      </c>
      <c r="Y59" s="387">
        <f>-Y58/IS!Y33</f>
        <v>0.19189126161841641</v>
      </c>
      <c r="Z59" s="388"/>
      <c r="AA59" s="384">
        <f>-AA58/IS!AA33</f>
        <v>-2.0314363609041917</v>
      </c>
      <c r="AB59" s="385">
        <f>-AB58/IS!AB33</f>
        <v>-3.8461459991927867</v>
      </c>
      <c r="AC59" s="385">
        <f>-AC58/IS!AC33</f>
        <v>-3.5936028125796744</v>
      </c>
      <c r="AD59" s="386">
        <f>-AD58/IS!AD33</f>
        <v>-5.2353945277303611</v>
      </c>
      <c r="AE59" s="387">
        <f>-AE58/IS!AE33</f>
        <v>-5.123056065076959</v>
      </c>
      <c r="AF59" s="388"/>
      <c r="AG59" s="384">
        <f>-AG58/IS!AG33</f>
        <v>-6.811421928558957</v>
      </c>
      <c r="AH59" s="385">
        <f>-AH58/IS!AH33</f>
        <v>-9.8111752453492098</v>
      </c>
      <c r="AI59" s="385">
        <f>-AI58/IS!AI33</f>
        <v>-9.6591407277509855</v>
      </c>
      <c r="AJ59" s="386">
        <f>-AJ58/IS!AJ33</f>
        <v>-9.8080063624104046</v>
      </c>
      <c r="AK59" s="387">
        <f>-AK58/IS!AK33</f>
        <v>-9.5095968945095954</v>
      </c>
      <c r="AL59" s="388"/>
      <c r="AM59" s="384">
        <f>-AM58/IS!AM33</f>
        <v>-8.3064739189256933</v>
      </c>
      <c r="AN59" s="385">
        <f>-AN58/IS!AN33</f>
        <v>-8.8259893107503178</v>
      </c>
      <c r="AO59" s="385">
        <f>-AO58/IS!AO33</f>
        <v>-8.4078271327854903</v>
      </c>
      <c r="AP59" s="386">
        <f>-AP58/IS!AP33</f>
        <v>-6.85703928952615</v>
      </c>
      <c r="AQ59" s="387">
        <f>-AQ58/IS!AQ33</f>
        <v>-6.8523130329786435</v>
      </c>
      <c r="AR59" s="388"/>
      <c r="AS59" s="384">
        <f>-AS58/IS!AS33</f>
        <v>-7.3494523244662053</v>
      </c>
      <c r="AT59" s="385">
        <f>-AT58/IS!AT33</f>
        <v>-6.7852223932593372</v>
      </c>
      <c r="AU59" s="385">
        <f>-AU58/IS!AU33</f>
        <v>-6.7714017410725615</v>
      </c>
      <c r="AV59" s="386">
        <f>-AV58/IS!AV33</f>
        <v>-6.2404560724829476</v>
      </c>
      <c r="AW59" s="387">
        <f>-AW58/IS!AW33</f>
        <v>-6.2010328310800213</v>
      </c>
      <c r="AX59" s="388"/>
      <c r="AY59" s="384">
        <f>-AY58/IS!AY33</f>
        <v>-6.8934010152284264</v>
      </c>
      <c r="AZ59" s="385">
        <f>-AZ58/IS!AZ33</f>
        <v>-60.335025380710661</v>
      </c>
      <c r="BA59" s="385">
        <f>-BA58/IS!BA33</f>
        <v>-53.892466314300606</v>
      </c>
      <c r="BB59" s="386">
        <f>-BB58/IS!BB33</f>
        <v>-52.74686049907519</v>
      </c>
      <c r="BC59" s="387">
        <f>-BC58/IS!BC33</f>
        <v>-55.012981487480239</v>
      </c>
      <c r="BD59" s="388"/>
      <c r="BE59" s="384">
        <f>-BE58/IS!BE33</f>
        <v>-51.855345039621994</v>
      </c>
      <c r="BF59" s="385">
        <f>-BF58/IS!BF33</f>
        <v>-49.894244890042394</v>
      </c>
      <c r="BG59" s="385">
        <f>-BG58/IS!BG33</f>
        <v>-46.974771359696739</v>
      </c>
      <c r="BH59" s="386">
        <f>-BH58/IS!BH33</f>
        <v>-45.811230015235232</v>
      </c>
      <c r="BI59" s="387">
        <f>-BI58/IS!BI33</f>
        <v>-45.998249089987567</v>
      </c>
      <c r="BJ59" s="388"/>
      <c r="BK59" s="384">
        <f>-BK58/IS!BK33</f>
        <v>-46.293957444463324</v>
      </c>
      <c r="BL59" s="385">
        <f>-BL58/IS!BL33</f>
        <v>-44.752278923742111</v>
      </c>
      <c r="BM59" s="385">
        <f>-BM58/IS!BM33</f>
        <v>-23.594764052359476</v>
      </c>
      <c r="BN59" s="386">
        <f>-BN58/IS!BN33</f>
        <v>-21.360093673387244</v>
      </c>
      <c r="BO59" s="387">
        <f>-BO58/IS!BO33</f>
        <v>-21.411680828407384</v>
      </c>
      <c r="BP59" s="388"/>
      <c r="BQ59" s="384">
        <f>-BQ58/IS!BQ33</f>
        <v>-98.585825376603324</v>
      </c>
      <c r="BR59" s="385">
        <f>-BR58/IS!BR33</f>
        <v>-78.445413223186577</v>
      </c>
      <c r="BS59" s="385">
        <f>-BS58/IS!BS33</f>
        <v>-75.669861604904838</v>
      </c>
      <c r="BT59" s="386">
        <f>-BT58/IS!BT33</f>
        <v>-72.393426702503277</v>
      </c>
      <c r="BU59" s="387">
        <f>-BU58/IS!BU33</f>
        <v>-76.333870872441551</v>
      </c>
      <c r="BV59" s="388"/>
      <c r="BW59" s="384">
        <f>-BW58/IS!BW33</f>
        <v>-69.969239734473462</v>
      </c>
      <c r="BX59" s="385">
        <f>-BX58/IS!BX33</f>
        <v>-67.499911998240393</v>
      </c>
      <c r="BY59" s="385">
        <f>-BY58/IS!BY33</f>
        <v>-65.126790691794881</v>
      </c>
      <c r="BZ59" s="386">
        <f>-BZ58/IS!BZ33</f>
        <v>-62.618406570690794</v>
      </c>
      <c r="CA59" s="387">
        <f>-CA58/IS!CA33</f>
        <v>-62.79091407243763</v>
      </c>
      <c r="CB59" s="388"/>
      <c r="CC59" s="384">
        <f>-CC58/IS!CC33</f>
        <v>-57.235687335201526</v>
      </c>
      <c r="CD59" s="385">
        <f>-CD58/IS!CD33</f>
        <v>-54.479880378002584</v>
      </c>
      <c r="CE59" s="385">
        <f>-CE58/IS!CE33</f>
        <v>-51.739536747406014</v>
      </c>
      <c r="CF59" s="386">
        <f>-CF58/IS!CF33</f>
        <v>-48.798225094077715</v>
      </c>
      <c r="CG59" s="387">
        <f>-CG58/IS!CG33</f>
        <v>-48.868723867361751</v>
      </c>
      <c r="CH59" s="388"/>
      <c r="CI59" s="384">
        <f>-CI58/IS!CI33</f>
        <v>-45.28308402200264</v>
      </c>
      <c r="CJ59" s="385">
        <f>-CJ58/IS!CJ33</f>
        <v>-41.559244617851832</v>
      </c>
      <c r="CK59" s="385">
        <f>-CK58/IS!CK33</f>
        <v>-38.059556921569929</v>
      </c>
      <c r="CL59" s="386">
        <f>-CL58/IS!CL33</f>
        <v>-34.17194663908608</v>
      </c>
      <c r="CM59" s="387">
        <f>-CM58/IS!CM33</f>
        <v>-34.275530779482082</v>
      </c>
      <c r="CQ59"/>
      <c r="CR59"/>
      <c r="CS59"/>
      <c r="CT59"/>
      <c r="CU59"/>
      <c r="CV59"/>
    </row>
    <row r="60" spans="1:101" s="11" customFormat="1" x14ac:dyDescent="0.2">
      <c r="A60" s="225"/>
      <c r="B60" s="15"/>
      <c r="C60" s="15"/>
      <c r="D60" s="15"/>
      <c r="E60" s="15"/>
      <c r="F60" s="15"/>
      <c r="G60" s="15"/>
      <c r="H60" s="15"/>
      <c r="I60" s="390"/>
      <c r="J60" s="390"/>
      <c r="K60" s="390"/>
      <c r="L60" s="390"/>
      <c r="M60" s="390"/>
      <c r="N60" s="390"/>
      <c r="O60" s="390"/>
      <c r="P60" s="390"/>
      <c r="Q60" s="390"/>
      <c r="R60" s="390"/>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Q60"/>
      <c r="CR60"/>
      <c r="CS60"/>
      <c r="CT60"/>
      <c r="CU60"/>
      <c r="CV60"/>
    </row>
    <row r="61" spans="1:101" s="11" customFormat="1" x14ac:dyDescent="0.2">
      <c r="A61" s="176" t="s">
        <v>160</v>
      </c>
      <c r="B61" s="371"/>
      <c r="C61" s="372"/>
      <c r="D61" s="371"/>
      <c r="E61" s="371"/>
      <c r="F61" s="373"/>
      <c r="G61" s="374"/>
      <c r="H61" s="371"/>
      <c r="I61" s="375"/>
      <c r="J61" s="376"/>
      <c r="K61" s="376"/>
      <c r="L61" s="377"/>
      <c r="M61" s="378"/>
      <c r="N61" s="376"/>
      <c r="O61" s="375"/>
      <c r="P61" s="376"/>
      <c r="Q61" s="376"/>
      <c r="R61" s="377"/>
      <c r="S61" s="374"/>
      <c r="T61" s="371"/>
      <c r="U61" s="372"/>
      <c r="V61" s="371"/>
      <c r="W61" s="371"/>
      <c r="X61" s="373"/>
      <c r="Y61" s="374"/>
      <c r="Z61" s="371"/>
      <c r="AA61" s="372"/>
      <c r="AB61" s="371"/>
      <c r="AC61" s="371"/>
      <c r="AD61" s="373"/>
      <c r="AE61" s="374"/>
      <c r="AF61" s="371"/>
      <c r="AG61" s="372"/>
      <c r="AH61" s="371"/>
      <c r="AI61" s="371"/>
      <c r="AJ61" s="373"/>
      <c r="AK61" s="374"/>
      <c r="AL61" s="371"/>
      <c r="AM61" s="372"/>
      <c r="AN61" s="371"/>
      <c r="AO61" s="371"/>
      <c r="AP61" s="373"/>
      <c r="AQ61" s="374"/>
      <c r="AR61" s="371"/>
      <c r="AS61" s="372"/>
      <c r="AT61" s="371"/>
      <c r="AU61" s="371"/>
      <c r="AV61" s="373"/>
      <c r="AW61" s="374"/>
      <c r="AX61" s="371"/>
      <c r="AY61" s="372"/>
      <c r="AZ61" s="371"/>
      <c r="BA61" s="371"/>
      <c r="BB61" s="373"/>
      <c r="BC61" s="374"/>
      <c r="BD61" s="371"/>
      <c r="BE61" s="372"/>
      <c r="BF61" s="371"/>
      <c r="BG61" s="371"/>
      <c r="BH61" s="373"/>
      <c r="BI61" s="374"/>
      <c r="BJ61" s="371"/>
      <c r="BK61" s="372"/>
      <c r="BL61" s="371"/>
      <c r="BM61" s="372"/>
      <c r="BN61" s="372"/>
      <c r="BO61" s="374"/>
      <c r="BP61" s="371"/>
      <c r="BQ61" s="372"/>
      <c r="BR61" s="371"/>
      <c r="BS61" s="372"/>
      <c r="BT61" s="372"/>
      <c r="BU61" s="374"/>
      <c r="BV61" s="371"/>
      <c r="BW61" s="372"/>
      <c r="BX61" s="371"/>
      <c r="BY61" s="372"/>
      <c r="BZ61" s="372"/>
      <c r="CA61" s="374"/>
      <c r="CB61" s="371"/>
      <c r="CC61" s="372"/>
      <c r="CD61" s="371"/>
      <c r="CE61" s="372"/>
      <c r="CF61" s="372"/>
      <c r="CG61" s="374"/>
      <c r="CH61" s="371"/>
      <c r="CI61" s="372"/>
      <c r="CJ61" s="371"/>
      <c r="CK61" s="372"/>
      <c r="CL61" s="372"/>
      <c r="CM61" s="374"/>
      <c r="CQ61"/>
      <c r="CR61"/>
      <c r="CS61"/>
      <c r="CT61"/>
      <c r="CU61"/>
      <c r="CV61"/>
    </row>
    <row r="62" spans="1:101" s="11" customFormat="1" x14ac:dyDescent="0.2">
      <c r="A62" s="189" t="s">
        <v>161</v>
      </c>
      <c r="B62" s="15"/>
      <c r="C62" s="193">
        <v>0.25316497416573575</v>
      </c>
      <c r="D62" s="191">
        <v>0.23377173987480659</v>
      </c>
      <c r="E62" s="191">
        <v>0.23726374631867417</v>
      </c>
      <c r="F62" s="192">
        <v>0.23200213461186545</v>
      </c>
      <c r="G62" s="220">
        <v>0.23879431688741831</v>
      </c>
      <c r="H62" s="15"/>
      <c r="I62" s="391">
        <f>IS!I31*4/AVERAGE(G51,I51)</f>
        <v>0.24387926807681051</v>
      </c>
      <c r="J62" s="392">
        <f>IS!J31*4/AVERAGE(I51,J51)</f>
        <v>0.23499667286623288</v>
      </c>
      <c r="K62" s="392">
        <f>IS!K31*4/AVERAGE(J51,K51)</f>
        <v>0.2395259012397607</v>
      </c>
      <c r="L62" s="393">
        <f>IS!L31*4/AVERAGE(K51,L51)</f>
        <v>0.22552087324261369</v>
      </c>
      <c r="M62" s="394">
        <f>IS!M31/AVERAGE(I51:L51)</f>
        <v>0.23227087650046027</v>
      </c>
      <c r="N62" s="390"/>
      <c r="O62" s="391">
        <f>IS!O31*4/AVERAGE(M51,O51)</f>
        <v>0.25730831898743201</v>
      </c>
      <c r="P62" s="392">
        <f>IS!P31*4/AVERAGE(O51,P51)</f>
        <v>0.21840072201487129</v>
      </c>
      <c r="Q62" s="392">
        <f>IS!Q31*4/AVERAGE(P51,Q51)</f>
        <v>0.27238798556577776</v>
      </c>
      <c r="R62" s="393">
        <f>IS!R31*4/AVERAGE(Q51,R51)</f>
        <v>0.24508508675557777</v>
      </c>
      <c r="S62" s="394">
        <f>IS!S31/AVERAGE(O51:R51)</f>
        <v>0.24724050997304872</v>
      </c>
      <c r="T62" s="15"/>
      <c r="U62" s="391">
        <f>IS!U31*4/AVERAGE(S51,U51)</f>
        <v>0.24329898928863011</v>
      </c>
      <c r="V62" s="392">
        <f>IS!V31*4/AVERAGE(U51,V51)</f>
        <v>0.22873154153977901</v>
      </c>
      <c r="W62" s="392">
        <f>IS!W31*4/AVERAGE(V51,W51)</f>
        <v>0.23829391748113815</v>
      </c>
      <c r="X62" s="393">
        <f>IS!X31*4/AVERAGE(W51,X51)</f>
        <v>0.29971883533172006</v>
      </c>
      <c r="Y62" s="394">
        <f>IS!Y31/AVERAGE(U51:X51)</f>
        <v>0.25099424952079336</v>
      </c>
      <c r="Z62" s="15"/>
      <c r="AA62" s="391">
        <f>IS!AA31*4/AVERAGE(Y51,AA51)</f>
        <v>0.24509075527953272</v>
      </c>
      <c r="AB62" s="392">
        <f>IS!AB31*4/AVERAGE(AA51,AB51)</f>
        <v>0.25019078892901009</v>
      </c>
      <c r="AC62" s="392">
        <f>IS!AC31*4/AVERAGE(AB51,AC51)</f>
        <v>0.26395520983440085</v>
      </c>
      <c r="AD62" s="393">
        <f>IS!AD31*4/AVERAGE(AC51,AD51)</f>
        <v>0.24172437373939357</v>
      </c>
      <c r="AE62" s="394">
        <f>IS!AE31/AVERAGE(AA51:AD51)</f>
        <v>0.25408318294129756</v>
      </c>
      <c r="AF62" s="15"/>
      <c r="AG62" s="391">
        <f>IS!AG31*4/AVERAGE(AE51,AG51)</f>
        <v>0.22016949203980143</v>
      </c>
      <c r="AH62" s="392">
        <f>IS!AH31*4/AVERAGE(AG51,AH51)</f>
        <v>0.25296653288919979</v>
      </c>
      <c r="AI62" s="392">
        <f>IS!AI31*4/AVERAGE(AH51,AI51)</f>
        <v>0.30019405812927219</v>
      </c>
      <c r="AJ62" s="393">
        <f>IS!AJ31*4/AVERAGE(AI51,AJ51)</f>
        <v>0.28867748503564861</v>
      </c>
      <c r="AK62" s="394">
        <f>IS!AK31/AVERAGE(AG51:AJ51)</f>
        <v>0.26924119314439565</v>
      </c>
      <c r="AL62" s="15"/>
      <c r="AM62" s="391">
        <f>IS!AM31*4/AVERAGE(AK51,AM51)</f>
        <v>0.59306776313083076</v>
      </c>
      <c r="AN62" s="392">
        <f>IS!AN31*4/AVERAGE(AM51,AN51)</f>
        <v>0.25572994168521046</v>
      </c>
      <c r="AO62" s="392">
        <f>IS!AO31*4/AVERAGE(AN51,AO51)</f>
        <v>0.28328693039731512</v>
      </c>
      <c r="AP62" s="393">
        <f>IS!AP31*4/AVERAGE(AO51,AP51)</f>
        <v>0.26095823770021476</v>
      </c>
      <c r="AQ62" s="394">
        <f>IS!AQ31/AVERAGE(AM51:AP51)</f>
        <v>0.33486760998420045</v>
      </c>
      <c r="AR62" s="15"/>
      <c r="AS62" s="391">
        <f>IS!AS31*4/AVERAGE(AQ51,AS51)</f>
        <v>0.22411286307053951</v>
      </c>
      <c r="AT62" s="392">
        <f>IS!AT31*4/AVERAGE(AS51,AT51)</f>
        <v>0.24218495285741778</v>
      </c>
      <c r="AU62" s="392">
        <f>IS!AU31*4/AVERAGE(AT51,AU51)</f>
        <v>0.25770788366220909</v>
      </c>
      <c r="AV62" s="393">
        <f>IS!AV31*4/AVERAGE(AU51,AV51)</f>
        <v>0.26302383280605912</v>
      </c>
      <c r="AW62" s="394">
        <f>IS!AW31/AVERAGE(AS51:AV51)</f>
        <v>0.24693908283313334</v>
      </c>
      <c r="AX62" s="15"/>
      <c r="AY62" s="391">
        <f>IS!AY31*4/AVERAGE(AW51,AY51)</f>
        <v>0.23874320719296535</v>
      </c>
      <c r="AZ62" s="392">
        <f>IS!AZ31*4/AVERAGE(AY51,AZ51)</f>
        <v>0.2077042610615849</v>
      </c>
      <c r="BA62" s="392">
        <f>IS!BA31*4/AVERAGE(AZ51,BA51)</f>
        <v>0.24486850322670178</v>
      </c>
      <c r="BB62" s="393">
        <f>IS!BB31*4/AVERAGE(BA51,BB51)</f>
        <v>0.23251135851281518</v>
      </c>
      <c r="BC62" s="394">
        <f>IS!BC31/AVERAGE(AY51:BB51)</f>
        <v>0.22213147672040087</v>
      </c>
      <c r="BD62" s="15"/>
      <c r="BE62" s="391">
        <f>IS!BE31*4/AVERAGE(BC51,BE51)</f>
        <v>0.23622728062554291</v>
      </c>
      <c r="BF62" s="392">
        <f>IS!BF31*4/AVERAGE(BE51,BF51)</f>
        <v>0.25379810598428371</v>
      </c>
      <c r="BG62" s="392">
        <f>IS!BG31*4/AVERAGE(BF51,BG51)</f>
        <v>0.25988916491496272</v>
      </c>
      <c r="BH62" s="393">
        <f>IS!BH31*4/AVERAGE(BG51,BH51)</f>
        <v>0.2359249329758713</v>
      </c>
      <c r="BI62" s="394">
        <f>IS!BI31/AVERAGE(BE51:BH51)</f>
        <v>0.24469841269841267</v>
      </c>
      <c r="BJ62" s="15"/>
      <c r="BK62" s="391">
        <f>IS!BK31*4/AVERAGE(BI51,BK51)</f>
        <v>0.26657903384817616</v>
      </c>
      <c r="BL62" s="392">
        <f>IS!BL31*4/AVERAGE(BK51,BL51)</f>
        <v>0.25781551524507912</v>
      </c>
      <c r="BM62" s="392">
        <f>IS!BM31*4/AVERAGE(BL51,BM51)</f>
        <v>0.20905109489051094</v>
      </c>
      <c r="BN62" s="393">
        <f>IS!BN31*4/AVERAGE(BM51,BN51)</f>
        <v>0.16432677997963493</v>
      </c>
      <c r="BO62" s="394">
        <f>IS!BO31/AVERAGE(BK51:BN51)</f>
        <v>0.20150827653359296</v>
      </c>
      <c r="BP62" s="15"/>
      <c r="BQ62" s="391">
        <f>IS!BQ31*4/AVERAGE(BO51,BQ51)</f>
        <v>0.12727006872349758</v>
      </c>
      <c r="BR62" s="392">
        <f>IS!BR31*4/AVERAGE(BQ51,BR51)</f>
        <v>0.13528196123496108</v>
      </c>
      <c r="BS62" s="392">
        <f>IS!BS31*4/AVERAGE(BR51,BS51)</f>
        <v>0.15026550136238007</v>
      </c>
      <c r="BT62" s="393">
        <f>IS!BT31*4/AVERAGE(BS51,BT51)</f>
        <v>0.14681272576599819</v>
      </c>
      <c r="BU62" s="394">
        <f>IS!BU31/AVERAGE(BQ51:BT51)</f>
        <v>0.13331063639277904</v>
      </c>
      <c r="BV62" s="15"/>
      <c r="BW62" s="391">
        <f>IS!BW31*4/AVERAGE(BU51,BW51)</f>
        <v>0.14831803592845347</v>
      </c>
      <c r="BX62" s="392">
        <f>IS!BX31*4/AVERAGE(BW51,BX51)</f>
        <v>0.15256018038888311</v>
      </c>
      <c r="BY62" s="392">
        <f>IS!BY31*4/AVERAGE(BX51,BY51)</f>
        <v>0.15688951073737614</v>
      </c>
      <c r="BZ62" s="393">
        <f>IS!BZ31*4/AVERAGE(BY51,BZ51)</f>
        <v>0.15252652420702328</v>
      </c>
      <c r="CA62" s="394">
        <f>IS!CA31/AVERAGE(BW51:BZ51)</f>
        <v>0.15143389642263205</v>
      </c>
      <c r="CB62" s="15"/>
      <c r="CC62" s="391">
        <f>IS!CC31*4/AVERAGE(CA51,CC51)</f>
        <v>0.16547891659094624</v>
      </c>
      <c r="CD62" s="392">
        <f>IS!CD31*4/AVERAGE(CC51,CD51)</f>
        <v>0.16877832480678642</v>
      </c>
      <c r="CE62" s="392">
        <f>IS!CE31*4/AVERAGE(CD51,CE51)</f>
        <v>0.17299858876622348</v>
      </c>
      <c r="CF62" s="393">
        <f>IS!CF31*4/AVERAGE(CE51,CF51)</f>
        <v>0.17191126098179565</v>
      </c>
      <c r="CG62" s="394">
        <f>IS!CG31/AVERAGE(CC51:CF51)</f>
        <v>0.16812780462081489</v>
      </c>
      <c r="CH62" s="15"/>
      <c r="CI62" s="391">
        <f>IS!CI31*4/AVERAGE(CG51,CI51)</f>
        <v>0.17183470269977685</v>
      </c>
      <c r="CJ62" s="392">
        <f>IS!CJ31*4/AVERAGE(CI51,CJ51)</f>
        <v>0.16907570844000477</v>
      </c>
      <c r="CK62" s="392">
        <f>IS!CK31*4/AVERAGE(CJ51,CK51)</f>
        <v>0.17870533168165034</v>
      </c>
      <c r="CL62" s="393">
        <f>IS!CL31*4/AVERAGE(CK51,CL51)</f>
        <v>0.17642073300050387</v>
      </c>
      <c r="CM62" s="394">
        <f>IS!CM31/AVERAGE(CI51:CL51)</f>
        <v>0.17171524212514389</v>
      </c>
      <c r="CQ62"/>
      <c r="CR62"/>
      <c r="CS62"/>
      <c r="CT62"/>
      <c r="CU62"/>
      <c r="CV62"/>
    </row>
    <row r="63" spans="1:101" s="11" customFormat="1" x14ac:dyDescent="0.2">
      <c r="A63" s="189" t="s">
        <v>162</v>
      </c>
      <c r="B63" s="15"/>
      <c r="C63" s="193">
        <v>0.14421521685336905</v>
      </c>
      <c r="D63" s="191">
        <v>0.13691793364264554</v>
      </c>
      <c r="E63" s="191">
        <v>0.14088461204801511</v>
      </c>
      <c r="F63" s="192">
        <v>0.1378933740929589</v>
      </c>
      <c r="G63" s="220">
        <v>0.13994749088169289</v>
      </c>
      <c r="H63" s="15"/>
      <c r="I63" s="391">
        <f>IS!I31*4/AVERAGE(G27,I27)</f>
        <v>0.14548756003246266</v>
      </c>
      <c r="J63" s="392">
        <f>IS!J31*4/AVERAGE(I27,J27)</f>
        <v>0.14348712469392144</v>
      </c>
      <c r="K63" s="392">
        <f>IS!K31*4/AVERAGE(J27,K27)</f>
        <v>0.1493541116384447</v>
      </c>
      <c r="L63" s="393">
        <f>IS!L31*4/AVERAGE(K27,L27)</f>
        <v>0.14071630926754253</v>
      </c>
      <c r="M63" s="394">
        <f>IS!M31/AVERAGE(I27:L27)</f>
        <v>0.14340874714847426</v>
      </c>
      <c r="N63" s="390"/>
      <c r="O63" s="391">
        <f>IS!O31*4/AVERAGE(M27,O27)</f>
        <v>0.16030578857756783</v>
      </c>
      <c r="P63" s="392">
        <f>IS!P31*4/AVERAGE(O27,P27)</f>
        <v>0.13719088009777564</v>
      </c>
      <c r="Q63" s="392">
        <f>IS!Q31*4/AVERAGE(P27,Q27)</f>
        <v>0.16610328139424621</v>
      </c>
      <c r="R63" s="393">
        <f>IS!R31*4/AVERAGE(Q27,R27)</f>
        <v>0.13979367520875047</v>
      </c>
      <c r="S63" s="394">
        <f>IS!S31/AVERAGE(O27:R27)</f>
        <v>0.14754106707088982</v>
      </c>
      <c r="T63" s="15"/>
      <c r="U63" s="391">
        <f>IS!U31*4/AVERAGE(S27,U27)</f>
        <v>0.13756300648408332</v>
      </c>
      <c r="V63" s="392">
        <f>IS!V31*4/AVERAGE(U27,V27)</f>
        <v>0.13200420364761126</v>
      </c>
      <c r="W63" s="392">
        <f>IS!W31*4/AVERAGE(V27,W27)</f>
        <v>0.13659277449066248</v>
      </c>
      <c r="X63" s="393">
        <f>IS!X31*4/AVERAGE(W27,X27)</f>
        <v>0.16986926763616195</v>
      </c>
      <c r="Y63" s="394">
        <f>IS!Y31/AVERAGE(U27:X27)</f>
        <v>0.14353036428206023</v>
      </c>
      <c r="Z63" s="15"/>
      <c r="AA63" s="391">
        <f>IS!AA31*4/AVERAGE(Y27,AA27)</f>
        <v>0.12815668865433485</v>
      </c>
      <c r="AB63" s="392">
        <f>IS!AB31*4/AVERAGE(AA27,AB27)</f>
        <v>0.12226753475901857</v>
      </c>
      <c r="AC63" s="392">
        <f>IS!AC31*4/AVERAGE(AB27,AC27)</f>
        <v>0.1309066778878859</v>
      </c>
      <c r="AD63" s="393">
        <f>IS!AD31*4/AVERAGE(AC27,AD27)</f>
        <v>0.11628004744802052</v>
      </c>
      <c r="AE63" s="394">
        <f>IS!AE31/AVERAGE(AA27:AD27)</f>
        <v>0.12318255064179146</v>
      </c>
      <c r="AF63" s="15"/>
      <c r="AG63" s="391">
        <f>IS!AG31*4/AVERAGE(AE27,AG27)</f>
        <v>9.6314783454941474E-2</v>
      </c>
      <c r="AH63" s="392">
        <f>IS!AH31*4/AVERAGE(AG27,AH27)</f>
        <v>0.10298063736813452</v>
      </c>
      <c r="AI63" s="392">
        <f>IS!AI31*4/AVERAGE(AH27,AI27)</f>
        <v>0.11768217251862439</v>
      </c>
      <c r="AJ63" s="393">
        <f>IS!AJ31*4/AVERAGE(AI27,AJ27)</f>
        <v>0.107941057027604</v>
      </c>
      <c r="AK63" s="394">
        <f>IS!AK31/AVERAGE(AG27:AJ27)</f>
        <v>0.10516185434815535</v>
      </c>
      <c r="AL63" s="15"/>
      <c r="AM63" s="391">
        <f>IS!AM31*4/AVERAGE(AK27,AM27)</f>
        <v>0.22198710798001911</v>
      </c>
      <c r="AN63" s="392">
        <f>IS!AN31*4/AVERAGE(AM27,AN27)</f>
        <v>9.9592852081914526E-2</v>
      </c>
      <c r="AO63" s="392">
        <f>IS!AO31*4/AVERAGE(AN27,AO27)</f>
        <v>0.1135406747736676</v>
      </c>
      <c r="AP63" s="393">
        <f>IS!AP31*4/AVERAGE(AO27,AP27)</f>
        <v>0.10729786387767093</v>
      </c>
      <c r="AQ63" s="394">
        <f>IS!AQ31/AVERAGE(AM27:AP27)</f>
        <v>0.13408676298941294</v>
      </c>
      <c r="AR63" s="15"/>
      <c r="AS63" s="391">
        <f>IS!AS31*4/AVERAGE(AQ27,AS27)</f>
        <v>9.3800463116109872E-2</v>
      </c>
      <c r="AT63" s="392">
        <f>IS!AT31*4/AVERAGE(AS27,AT27)</f>
        <v>0.10365535927527282</v>
      </c>
      <c r="AU63" s="392">
        <f>IS!AU31*4/AVERAGE(AT27,AU27)</f>
        <v>0.1119099415204679</v>
      </c>
      <c r="AV63" s="393">
        <f>IS!AV31*4/AVERAGE(AU27,AV27)</f>
        <v>0.11053549816687493</v>
      </c>
      <c r="AW63" s="394">
        <f>IS!AW31/AVERAGE(AS27:AV27)</f>
        <v>0.10472256750702566</v>
      </c>
      <c r="AX63" s="15"/>
      <c r="AY63" s="391">
        <f>IS!AY31*4/AVERAGE(AW27,AY27)</f>
        <v>7.8071728594507353E-2</v>
      </c>
      <c r="AZ63" s="392">
        <f>IS!AZ31*4/AVERAGE(AY27,AZ27)</f>
        <v>5.4269595691939454E-2</v>
      </c>
      <c r="BA63" s="392">
        <f>IS!BA31*4/AVERAGE(AZ27,BA27)</f>
        <v>6.3728960485443895E-2</v>
      </c>
      <c r="BB63" s="393">
        <f>IS!BB31*4/AVERAGE(BA27,BB27)</f>
        <v>6.2190393142729922E-2</v>
      </c>
      <c r="BC63" s="394">
        <f>IS!BC31/AVERAGE(AY27:BB27)</f>
        <v>5.8775112964893995E-2</v>
      </c>
      <c r="BD63" s="15"/>
      <c r="BE63" s="391">
        <f>IS!BE31*4/AVERAGE(BC27,BE27)</f>
        <v>6.4289335300571224E-2</v>
      </c>
      <c r="BF63" s="392">
        <f>IS!BF31*4/AVERAGE(BE27,BF27)</f>
        <v>7.2277265598102602E-2</v>
      </c>
      <c r="BG63" s="392">
        <f>IS!BG31*4/AVERAGE(BF27,BG27)</f>
        <v>7.8083135573757942E-2</v>
      </c>
      <c r="BH63" s="393">
        <f>IS!BH31*4/AVERAGE(BG27,BH27)</f>
        <v>7.1625130808883372E-2</v>
      </c>
      <c r="BI63" s="394">
        <f>IS!BI31/AVERAGE(BE27:BH27)</f>
        <v>7.1972199761272185E-2</v>
      </c>
      <c r="BJ63" s="15"/>
      <c r="BK63" s="391">
        <f>IS!BK31*4/AVERAGE(BI27,BK27)</f>
        <v>8.1279307442587476E-2</v>
      </c>
      <c r="BL63" s="392">
        <f>IS!BL31*4/AVERAGE(BK27,BL27)</f>
        <v>8.2744952310169706E-2</v>
      </c>
      <c r="BM63" s="392">
        <f>IS!BM31*4/AVERAGE(BL27,BM27)</f>
        <v>7.0095287821433233E-2</v>
      </c>
      <c r="BN63" s="393">
        <f>IS!BN31*4/AVERAGE(BM27,BN27)</f>
        <v>5.6020293724966599E-2</v>
      </c>
      <c r="BO63" s="394">
        <f>IS!BO31/AVERAGE(BK27:BN27)</f>
        <v>6.7116055068186603E-2</v>
      </c>
      <c r="BP63" s="15"/>
      <c r="BQ63" s="391">
        <f>IS!BQ31*4/AVERAGE(BO27,BQ27)</f>
        <v>4.6746941362235089E-2</v>
      </c>
      <c r="BR63" s="392">
        <f>IS!BR31*4/AVERAGE(BQ27,BR27)</f>
        <v>5.1972100511339776E-2</v>
      </c>
      <c r="BS63" s="392">
        <f>IS!BS31*4/AVERAGE(BR27,BS27)</f>
        <v>5.8002311461200551E-2</v>
      </c>
      <c r="BT63" s="393">
        <f>IS!BT31*4/AVERAGE(BS27,BT27)</f>
        <v>5.7136810516525464E-2</v>
      </c>
      <c r="BU63" s="394">
        <f>IS!BU31/AVERAGE(BQ27:BT27)</f>
        <v>5.1549765490900901E-2</v>
      </c>
      <c r="BV63" s="15"/>
      <c r="BW63" s="391">
        <f>IS!BW31*4/AVERAGE(BU27,BW27)</f>
        <v>5.8479200898449081E-2</v>
      </c>
      <c r="BX63" s="392">
        <f>IS!BX31*4/AVERAGE(BW27,BX27)</f>
        <v>6.1130336024010155E-2</v>
      </c>
      <c r="BY63" s="392">
        <f>IS!BY31*4/AVERAGE(BX27,BY27)</f>
        <v>6.4008827121598194E-2</v>
      </c>
      <c r="BZ63" s="393">
        <f>IS!BZ31*4/AVERAGE(BY27,BZ27)</f>
        <v>6.3356976257059328E-2</v>
      </c>
      <c r="CA63" s="394">
        <f>IS!CA31/AVERAGE(BW27:BZ27)</f>
        <v>6.1788822435317227E-2</v>
      </c>
      <c r="CB63" s="15"/>
      <c r="CC63" s="391">
        <f>IS!CC31*4/AVERAGE(CA27,CC27)</f>
        <v>7.0260657619841627E-2</v>
      </c>
      <c r="CD63" s="392">
        <f>IS!CD31*4/AVERAGE(CC27,CD27)</f>
        <v>7.3943525106373809E-2</v>
      </c>
      <c r="CE63" s="392">
        <f>IS!CE31*4/AVERAGE(CD27,CE27)</f>
        <v>7.7743021638881499E-2</v>
      </c>
      <c r="CF63" s="393">
        <f>IS!CF31*4/AVERAGE(CE27,CF27)</f>
        <v>7.8955266019844261E-2</v>
      </c>
      <c r="CG63" s="394">
        <f>IS!CG31/AVERAGE(CC27:CF27)</f>
        <v>7.5432818033510721E-2</v>
      </c>
      <c r="CH63" s="15"/>
      <c r="CI63" s="391">
        <f>IS!CI31*4/AVERAGE(CG27,CI27)</f>
        <v>8.0720496659985985E-2</v>
      </c>
      <c r="CJ63" s="392">
        <f>IS!CJ31*4/AVERAGE(CI27,CJ27)</f>
        <v>8.0872293980725291E-2</v>
      </c>
      <c r="CK63" s="392">
        <f>IS!CK31*4/AVERAGE(CJ27,CK27)</f>
        <v>8.7421817246427155E-2</v>
      </c>
      <c r="CL63" s="393">
        <f>IS!CL31*4/AVERAGE(CK27,CL27)</f>
        <v>8.800407908904205E-2</v>
      </c>
      <c r="CM63" s="394">
        <f>IS!CM31/AVERAGE(CI27:CL27)</f>
        <v>8.3908316609627331E-2</v>
      </c>
      <c r="CQ63"/>
      <c r="CR63"/>
      <c r="CS63"/>
      <c r="CT63"/>
      <c r="CU63"/>
      <c r="CV63"/>
    </row>
    <row r="64" spans="1:101" s="11" customFormat="1" x14ac:dyDescent="0.2">
      <c r="A64" s="189" t="s">
        <v>163</v>
      </c>
      <c r="B64" s="15"/>
      <c r="C64" s="193">
        <v>0.22096054343431468</v>
      </c>
      <c r="D64" s="191">
        <v>0.19986087421365642</v>
      </c>
      <c r="E64" s="191">
        <v>0.20611017896801059</v>
      </c>
      <c r="F64" s="192">
        <v>0.20520525839092466</v>
      </c>
      <c r="G64" s="220">
        <v>0.20147286019018162</v>
      </c>
      <c r="H64" s="15"/>
      <c r="I64" s="391">
        <f>IS!I31*4/I65</f>
        <v>0.22714398072140454</v>
      </c>
      <c r="J64" s="392">
        <f>IS!J31*4/J65</f>
        <v>0.20936882479323077</v>
      </c>
      <c r="K64" s="392">
        <f>IS!K31*4/K65</f>
        <v>0.22595616453447023</v>
      </c>
      <c r="L64" s="393">
        <f>IS!L31*4/L65</f>
        <v>0.22307624957828404</v>
      </c>
      <c r="M64" s="394">
        <f>IS!M31/M65</f>
        <v>0.2225661389726282</v>
      </c>
      <c r="N64" s="390"/>
      <c r="O64" s="391">
        <f>IS!O31*4/O65</f>
        <v>0.24253135122700334</v>
      </c>
      <c r="P64" s="392">
        <f>IS!P31*4/P65</f>
        <v>0.19995110059999346</v>
      </c>
      <c r="Q64" s="392">
        <f>IS!Q31*4/Q65</f>
        <v>0.25501001732397893</v>
      </c>
      <c r="R64" s="393">
        <f>IS!R31*4/R65</f>
        <v>0.24937052063426671</v>
      </c>
      <c r="S64" s="394">
        <f>IS!S31/S65</f>
        <v>0.24204474079128474</v>
      </c>
      <c r="T64" s="15"/>
      <c r="U64" s="391">
        <f>IS!U31*4/U65</f>
        <v>0.23029970167593244</v>
      </c>
      <c r="V64" s="392">
        <f>IS!V31*4/V65</f>
        <v>0.21326508988033221</v>
      </c>
      <c r="W64" s="392">
        <f>IS!W31*4/W65</f>
        <v>0.22715997114869707</v>
      </c>
      <c r="X64" s="393">
        <f>IS!X31*4/X65</f>
        <v>0.29447527141133889</v>
      </c>
      <c r="Y64" s="394">
        <f>IS!Y31/Y65</f>
        <v>0.24452259441402985</v>
      </c>
      <c r="Z64" s="15"/>
      <c r="AA64" s="391">
        <f>IS!AA31*4/AA65</f>
        <v>0.23616720721124779</v>
      </c>
      <c r="AB64" s="392">
        <f>IS!AB31*4/AB65</f>
        <v>0.20918970742041887</v>
      </c>
      <c r="AC64" s="392">
        <f>IS!AC31*4/AC65</f>
        <v>0.2248892992588592</v>
      </c>
      <c r="AD64" s="393">
        <f>IS!AD31*4/AD65</f>
        <v>0.20451639822413351</v>
      </c>
      <c r="AE64" s="394">
        <f>IS!AE31/AE65</f>
        <v>0.21338515311074896</v>
      </c>
      <c r="AF64" s="15"/>
      <c r="AG64" s="391">
        <f>IS!AG31*4/AG65</f>
        <v>0.16939586157765174</v>
      </c>
      <c r="AH64" s="392">
        <f>IS!AH31*4/AH65</f>
        <v>0.17814614958723426</v>
      </c>
      <c r="AI64" s="392">
        <f>IS!AI31*4/AI65</f>
        <v>0.21029013761154319</v>
      </c>
      <c r="AJ64" s="393">
        <f>IS!AJ31*4/AJ65</f>
        <v>0.19736818890804911</v>
      </c>
      <c r="AK64" s="394">
        <f>IS!AK31/AK65</f>
        <v>0.19324414040420726</v>
      </c>
      <c r="AL64" s="15"/>
      <c r="AM64" s="391">
        <f>IS!AM31*4/AM65</f>
        <v>0.41646813254750303</v>
      </c>
      <c r="AN64" s="392">
        <f>IS!AN31*4/AN65</f>
        <v>0.18275606342474032</v>
      </c>
      <c r="AO64" s="392">
        <f>IS!AO31*4/AO65</f>
        <v>0.20635199923598546</v>
      </c>
      <c r="AP64" s="393">
        <f>IS!AP31*4/AP65</f>
        <v>0.19881554566744727</v>
      </c>
      <c r="AQ64" s="394">
        <f>IS!AQ31/AQ65</f>
        <v>0.24595870413739257</v>
      </c>
      <c r="AR64" s="15"/>
      <c r="AS64" s="391">
        <f>IS!AS31*4/AS65</f>
        <v>0.17356315225707736</v>
      </c>
      <c r="AT64" s="392">
        <f>IS!AT31*4/AT65</f>
        <v>0.18912625093914354</v>
      </c>
      <c r="AU64" s="392">
        <f>IS!AU31*4/AU65</f>
        <v>0.20527938021454126</v>
      </c>
      <c r="AV64" s="393">
        <f>IS!AV31*4/AV65</f>
        <v>0.21847440675266783</v>
      </c>
      <c r="AW64" s="394">
        <f>IS!AW31/AW65</f>
        <v>0.20475021500238899</v>
      </c>
      <c r="AX64" s="15"/>
      <c r="AY64" s="391">
        <f>IS!AY31*4/AY65</f>
        <v>0.1880112044817929</v>
      </c>
      <c r="AZ64" s="392">
        <f>IS!AZ31*4/AZ65</f>
        <v>8.9033796101528492E-2</v>
      </c>
      <c r="BA64" s="392">
        <f>IS!BA31*4/BA65</f>
        <v>0.12329839273235497</v>
      </c>
      <c r="BB64" s="393">
        <f>IS!BB31*4/BB65</f>
        <v>0.11886524822695035</v>
      </c>
      <c r="BC64" s="394">
        <f>IS!BC31/BC65</f>
        <v>0.10493546099290781</v>
      </c>
      <c r="BD64" s="15"/>
      <c r="BE64" s="391">
        <f>IS!BE31*4/BE65</f>
        <v>0.12071890317539243</v>
      </c>
      <c r="BF64" s="392">
        <f>IS!BF31*4/BF65</f>
        <v>0.13300950369588174</v>
      </c>
      <c r="BG64" s="392">
        <f>IS!BG31*4/BG65</f>
        <v>0.14530949497827481</v>
      </c>
      <c r="BH64" s="393">
        <f>IS!BH31*4/BH65</f>
        <v>0.13730589196819973</v>
      </c>
      <c r="BI64" s="394">
        <f>IS!BI31/BI65</f>
        <v>0.13888030314287836</v>
      </c>
      <c r="BJ64" s="15"/>
      <c r="BK64" s="391">
        <f>IS!BK31*4/BK65</f>
        <v>0.14983376431473958</v>
      </c>
      <c r="BL64" s="392">
        <f>IS!BL31*4/BL65</f>
        <v>0.14714736764813863</v>
      </c>
      <c r="BM64" s="392">
        <f>IS!BM31*4/BM65</f>
        <v>0.14524308607749004</v>
      </c>
      <c r="BN64" s="393">
        <f>IS!BN31*4/BN65</f>
        <v>0.14238903217048995</v>
      </c>
      <c r="BO64" s="394">
        <f>IS!BO31/BO65</f>
        <v>0.14045676666214196</v>
      </c>
      <c r="BP64" s="15"/>
      <c r="BQ64" s="391">
        <f>IS!BQ31*4/BQ65</f>
        <v>5.593974138152652E-2</v>
      </c>
      <c r="BR64" s="392">
        <f>IS!BR31*4/BR65</f>
        <v>7.3776894101156842E-2</v>
      </c>
      <c r="BS64" s="392">
        <f>IS!BS31*4/BS65</f>
        <v>8.3605469674908936E-2</v>
      </c>
      <c r="BT64" s="393">
        <f>IS!BT31*4/BT65</f>
        <v>8.386858606655602E-2</v>
      </c>
      <c r="BU64" s="394">
        <f>IS!BU31/BU65</f>
        <v>7.5360360626352679E-2</v>
      </c>
      <c r="BV64" s="15"/>
      <c r="BW64" s="391">
        <f>IS!BW31*4/BW65</f>
        <v>8.6578496332716207E-2</v>
      </c>
      <c r="BX64" s="392">
        <f>IS!BX31*4/BX65</f>
        <v>9.0950556114646836E-2</v>
      </c>
      <c r="BY64" s="392">
        <f>IS!BY31*4/BY65</f>
        <v>9.5513923484446317E-2</v>
      </c>
      <c r="BZ64" s="393">
        <f>IS!BZ31*4/BZ65</f>
        <v>9.4947196238448994E-2</v>
      </c>
      <c r="CA64" s="394">
        <f>IS!CA31/CA65</f>
        <v>9.2785298810489553E-2</v>
      </c>
      <c r="CB64" s="15"/>
      <c r="CC64" s="391">
        <f>IS!CC31*4/CC65</f>
        <v>0.10547536434047029</v>
      </c>
      <c r="CD64" s="392">
        <f>IS!CD31*4/CD65</f>
        <v>0.11043024480639542</v>
      </c>
      <c r="CE64" s="392">
        <f>IS!CE31*4/CE65</f>
        <v>0.11607892797535091</v>
      </c>
      <c r="CF64" s="393">
        <f>IS!CF31*4/CF65</f>
        <v>0.1186509090431264</v>
      </c>
      <c r="CG64" s="394">
        <f>IS!CG31/CG65</f>
        <v>0.11369269271970826</v>
      </c>
      <c r="CH64" s="15"/>
      <c r="CI64" s="391">
        <f>IS!CI31*4/CI65</f>
        <v>0.12228211189430081</v>
      </c>
      <c r="CJ64" s="392">
        <f>IS!CJ31*4/CJ65</f>
        <v>0.12453767679921539</v>
      </c>
      <c r="CK64" s="392">
        <f>IS!CK31*4/CK65</f>
        <v>0.13594589243484465</v>
      </c>
      <c r="CL64" s="393">
        <f>IS!CL31*4/CL65</f>
        <v>0.13912351897357889</v>
      </c>
      <c r="CM64" s="394">
        <f>IS!CM31/CM65</f>
        <v>0.1317151132234792</v>
      </c>
      <c r="CQ64"/>
      <c r="CR64"/>
      <c r="CS64"/>
      <c r="CT64"/>
      <c r="CU64"/>
      <c r="CV64"/>
    </row>
    <row r="65" spans="1:100" s="11" customFormat="1" hidden="1" outlineLevel="1" x14ac:dyDescent="0.2">
      <c r="A65" s="196" t="s">
        <v>164</v>
      </c>
      <c r="B65" s="383"/>
      <c r="C65" s="131">
        <f>C10+C12+C16+C19+C21+C23+C24+C25+C26-C31-C39-C40-C41</f>
        <v>4449.6270000000013</v>
      </c>
      <c r="D65" s="123">
        <f>D10+D12+D16+D19+D21+D23+D24+D25+D26-D31-D39-D40-D41</f>
        <v>4714.0649999999996</v>
      </c>
      <c r="E65" s="123">
        <f>E10+E12+E16+E19+E21+E23+E24+E25+E26-E31-E39-E40-E41</f>
        <v>4810.3009999999995</v>
      </c>
      <c r="F65" s="132">
        <f>F10+F12+F16+F19+F21+F23+F24+F25+F26-F31-F39-F40-F41</f>
        <v>4855.7819999999992</v>
      </c>
      <c r="G65" s="303">
        <f>G10+G12+G16+G19+G21+G23+G24+G25+G26-G31-G39-G40-G41</f>
        <v>4855.7819999999992</v>
      </c>
      <c r="H65" s="123"/>
      <c r="I65" s="131">
        <f>I10+I12+I16+I19+I21+I23+I24+I25+I26-I31-I39-I40-I41</f>
        <v>4770.4720000000007</v>
      </c>
      <c r="J65" s="123">
        <f>J10+J12+J16+J19+J21+J23+J24+J25+J26-J31-J39-J40-J41</f>
        <v>5266.018</v>
      </c>
      <c r="K65" s="123">
        <f>K10+K12+K16+K19+K21+K23+K24+K25+K26-K31-K39-K40-K41</f>
        <v>5264.9150000000018</v>
      </c>
      <c r="L65" s="132">
        <f>L10+L12+L16+L19+L21+L23+L24+L25+L26-L31-L39-L40-L41</f>
        <v>5059.6869999999999</v>
      </c>
      <c r="M65" s="303">
        <f>M10+M12+M16+M19+M21+M23+M24+M25+M26-M31-M39-M40-M41</f>
        <v>5059.6869999999999</v>
      </c>
      <c r="N65" s="395"/>
      <c r="O65" s="131">
        <f>O10+O12+O16+O19+O21+O23+O24+O25+O26-O31-O39-O40-O41</f>
        <v>5146.847999999999</v>
      </c>
      <c r="P65" s="123">
        <f>P10+P12+P16+P19+P21+P23+P24+P25+P26-P31-P39-P40-P41</f>
        <v>5227.0579999999991</v>
      </c>
      <c r="Q65" s="123">
        <f>Q10+Q12+Q16+Q19+Q21+Q23+Q24+Q25+Q26-Q31-Q39-Q40-Q41</f>
        <v>5349.2329999999993</v>
      </c>
      <c r="R65" s="132">
        <f>R10+R12+R16+R19+R21+R23+R24+R25+R26-R31-R39-R40-R41</f>
        <v>5088.3320000000012</v>
      </c>
      <c r="S65" s="303">
        <f>S10+S12+S16+S19+S21+S23+S24+S25+S26-S31-S39-S40-S41</f>
        <v>5088.3320000000012</v>
      </c>
      <c r="T65" s="123"/>
      <c r="U65" s="131">
        <f>U10+U12+U16+U19+U21+U23+U24+U25+U26-U31-U39-U40-U41</f>
        <v>5495.0309999999981</v>
      </c>
      <c r="V65" s="123">
        <f>V10+V12+V16+V19+V21+V23+V24+V25+V26-V31-V39-V40-V41</f>
        <v>5582.3669999999993</v>
      </c>
      <c r="W65" s="123">
        <f>W10+W12+W16+W19+W21+W23+W24+W25+W26-W31-W39-W40-W41</f>
        <v>5404.2619999999997</v>
      </c>
      <c r="X65" s="132">
        <f>X10+X12+X16+X19+X21+X23+X24+X25+X26-X31-X39-X40-X41</f>
        <v>5388.5000000000009</v>
      </c>
      <c r="Y65" s="303">
        <f>Y10+Y12+Y16+Y19+Y21+Y23+Y24+Y25+Y26-Y31-Y39-Y40-Y41</f>
        <v>5388.5000000000009</v>
      </c>
      <c r="Z65" s="123"/>
      <c r="AA65" s="131">
        <f>AA10+AA12+AA16+AA19+AA21+AA23+AA24+AA25+AA26-AA31-AA39-AA40-AA41</f>
        <v>5351.0850000000019</v>
      </c>
      <c r="AB65" s="123">
        <f>AB10+AB12+AB16+AB19+AB21+AB23+AB24+AB25+AB26-AB31-AB39-AB40-AB41</f>
        <v>5966.2400000000007</v>
      </c>
      <c r="AC65" s="123">
        <f>AC10+AC12+AC16+AC19+AC21+AC23+AC24+AC25+AC26-AC31-AC39-AC40-AC41</f>
        <v>6101.8110000000024</v>
      </c>
      <c r="AD65" s="132">
        <f>AD10+AD12+AD16+AD19+AD21+AD23+AD24+AD25+AD26-AD31-AD39-AD40-AD41</f>
        <v>5984.4590000000007</v>
      </c>
      <c r="AE65" s="303">
        <f>AE10+AE12+AE16+AE19+AE21+AE23+AE24+AE25+AE26-AE31-AE39-AE40-AE41</f>
        <v>5984.4590000000007</v>
      </c>
      <c r="AF65" s="123"/>
      <c r="AG65" s="131">
        <f>AG10+AG12+AG16+AG19+AG21+AG23+AG24+AG25+AG26-AG31-AG39-AG40-AG41</f>
        <v>6209.9509999999991</v>
      </c>
      <c r="AH65" s="123">
        <f>AH10+AH12+AH16+AH19+AH21+AH23+AH24+AH25+AH26-AH31-AH39-AH40-AH41</f>
        <v>6534.7020000000011</v>
      </c>
      <c r="AI65" s="123">
        <f>AI10+AI12+AI16+AI19+AI21+AI23+AI24+AI25+AI26-AI31-AI39-AI40-AI41</f>
        <v>6217.4290000000001</v>
      </c>
      <c r="AJ65" s="132">
        <f>AJ10+AJ12+AJ16+AJ19+AJ21+AJ23+AJ24+AJ25+AJ26-AJ31-AJ39-AJ40-AJ41</f>
        <v>6121.4120000000012</v>
      </c>
      <c r="AK65" s="303">
        <f>AK10+AK12+AK16+AK19+AK21+AK23+AK24+AK25+AK26-AK31-AK39-AK40-AK41</f>
        <v>6121.4120000000012</v>
      </c>
      <c r="AL65" s="123"/>
      <c r="AM65" s="131">
        <f>AM10+AM12+AM16+AM19+AM21+AM23+AM24+AM25+AM26-AM31-AM39-AM40-AM41</f>
        <v>6127.1919999999991</v>
      </c>
      <c r="AN65" s="123">
        <f>AN10+AN12+AN16+AN19+AN21+AN23+AN24+AN25+AN26-AN31-AN39-AN40-AN41</f>
        <v>6337.5899999999983</v>
      </c>
      <c r="AO65" s="123">
        <f>AO10+AO12+AO16+AO19+AO21+AO23+AO24+AO25+AO26-AO31-AO39-AO40-AO41</f>
        <v>6387.3150000000005</v>
      </c>
      <c r="AP65" s="132">
        <f>AP10+AP12+AP16+AP19+AP21+AP23+AP24+AP25+AP26-AP31-AP39-AP40-AP41</f>
        <v>6405</v>
      </c>
      <c r="AQ65" s="303">
        <f>AQ10+AQ12+AQ16+AQ19+AQ21+AQ23+AQ24+AQ25+AQ26-AQ31-AQ39-AQ40-AQ41</f>
        <v>6405</v>
      </c>
      <c r="AR65" s="123"/>
      <c r="AS65" s="131">
        <f>AS10+AS12+AS16+AS19+AS21+AS23+AS24+AS25+AS26-AS31-AS39-AS40-AS41</f>
        <v>6535</v>
      </c>
      <c r="AT65" s="123">
        <f>AT10+AT12+AT16+AT19+AT21+AT23+AT24+AT25+AT26-AT31-AT39-AT40-AT41</f>
        <v>6655</v>
      </c>
      <c r="AU65" s="123">
        <f>AU10+AU12+AU16+AU19+AU21+AU23+AU24+AU25+AU26-AU31-AU39-AU40-AU41</f>
        <v>6712</v>
      </c>
      <c r="AV65" s="132">
        <f>AV10+AV12+AV16+AV19+AV21+AV23+AV24+AV25+AV26-AV31-AV39-AV40-AV41</f>
        <v>6279</v>
      </c>
      <c r="AW65" s="303">
        <f>AW10+AW12+AW16+AW19+AW21+AW23+AW24+AW25+AW26-AW31-AW39-AW40-AW41</f>
        <v>6279</v>
      </c>
      <c r="AX65" s="123"/>
      <c r="AY65" s="131">
        <f>AY10+AY12+AY16+AY19+AY21+AY23+AY24+AY25+AY26-AY31-AY39-AY40-AY41</f>
        <v>6426</v>
      </c>
      <c r="AZ65" s="123">
        <f>AZ10+AZ12+AZ16+AZ19+AZ21+AZ23+AZ24+AZ25+AZ26-AZ31-AZ39-AZ40-AZ41</f>
        <v>14262</v>
      </c>
      <c r="BA65" s="123">
        <f>BA10+BA12+BA16+BA19+BA21+BA23+BA24+BA25+BA26-BA31-BA39-BA40-BA41</f>
        <v>14310</v>
      </c>
      <c r="BB65" s="132">
        <f>BB10+BB12+BB16+BB19+BB21+BB23+BB24+BB25+BB26-BB31-BB39-BB40-BB41</f>
        <v>14100</v>
      </c>
      <c r="BC65" s="303">
        <f>BC10+BC12+BC16+BC19+BC21+BC23+BC24+BC25+BC26-BC31-BC39-BC40-BC41</f>
        <v>14100</v>
      </c>
      <c r="BD65" s="123"/>
      <c r="BE65" s="131">
        <f>BE10+BE12+BE16+BE19+BE21+BE23+BE24+BE25+BE26-BE31-BE39-BE40-BE41</f>
        <v>14077</v>
      </c>
      <c r="BF65" s="123">
        <f>BF10+BF12+BF16+BF19+BF21+BF23+BF24+BF25+BF26-BF31-BF39-BF40-BF41</f>
        <v>14205</v>
      </c>
      <c r="BG65" s="123">
        <f>BG10+BG12+BG16+BG19+BG21+BG23+BG24+BG25+BG26-BG31-BG39-BG40-BG41</f>
        <v>14039</v>
      </c>
      <c r="BH65" s="132">
        <f>BH10+BH12+BH16+BH19+BH21+BH23+BH24+BH25+BH26-BH31-BH39-BH40-BH41</f>
        <v>13459</v>
      </c>
      <c r="BI65" s="303">
        <f>BI10+BI12+BI16+BI19+BI21+BI23+BI24+BI25+BI26-BI31-BI39-BI40-BI41</f>
        <v>13459</v>
      </c>
      <c r="BJ65" s="123"/>
      <c r="BK65" s="131">
        <f>BK10+BK12+BK16+BK19+BK21+BK23+BK24+BK25+BK26-BK31-BK39-BK40-BK41</f>
        <v>13535</v>
      </c>
      <c r="BL65" s="123">
        <f>BL10+BL12+BL16+BL19+BL21+BL23+BL24+BL25+BL26-BL31-BL39-BL40-BL41</f>
        <v>13619</v>
      </c>
      <c r="BM65" s="123">
        <f>BM10+BM12+BM16+BM19+BM21+BM23+BM24+BM25+BM26-BM31-BM39-BM40-BM41</f>
        <v>14789</v>
      </c>
      <c r="BN65" s="132">
        <f>BN10+BN12+BN16+BN19+BN21+BN23+BN24+BN25+BN26-BN31-BN39-BN40-BN41</f>
        <v>14734</v>
      </c>
      <c r="BO65" s="303">
        <f>BO10+BO12+BO16+BO19+BO21+BO23+BO24+BO25+BO26-BO31-BO39-BO40-BO41</f>
        <v>14734</v>
      </c>
      <c r="BP65" s="123"/>
      <c r="BQ65" s="131">
        <f>BQ10+BQ12+BQ16+BQ19+BQ21+BQ23+BQ24+BQ25+BQ26-BQ31-BQ39-BQ40-BQ41</f>
        <v>38899</v>
      </c>
      <c r="BR65" s="123">
        <f>BR10+BR12+BR16+BR19+BR21+BR23+BR24+BR25+BR26-BR31-BR39-BR40-BR41</f>
        <v>39071.39610668159</v>
      </c>
      <c r="BS65" s="123">
        <f>BS10+BS12+BS16+BS19+BS21+BS23+BS24+BS25+BS26-BS31-BS39-BS40-BS41</f>
        <v>38632.084436546211</v>
      </c>
      <c r="BT65" s="132">
        <f>BT10+BT12+BT16+BT19+BT21+BT23+BT24+BT25+BT26-BT31-BT39-BT40-BT41</f>
        <v>38094.916583101025</v>
      </c>
      <c r="BU65" s="303">
        <f>BU10+BU12+BU16+BU19+BU21+BU23+BU24+BU25+BU26-BU31-BU39-BU40-BU41</f>
        <v>38094.916583101025</v>
      </c>
      <c r="BV65" s="123"/>
      <c r="BW65" s="131">
        <f>BW10+BW12+BW16+BW19+BW21+BW23+BW24+BW25+BW26-BW31-BW39-BW40-BW41</f>
        <v>37794.731441842763</v>
      </c>
      <c r="BX65" s="123">
        <f>BX10+BX12+BX16+BX19+BX21+BX23+BX24+BX25+BX26-BX31-BX39-BX40-BX41</f>
        <v>37567.48747159195</v>
      </c>
      <c r="BY65" s="123">
        <f>BY10+BY12+BY16+BY19+BY21+BY23+BY24+BY25+BY26-BY31-BY39-BY40-BY41</f>
        <v>37381.976659899745</v>
      </c>
      <c r="BZ65" s="132">
        <f>BZ10+BZ12+BZ16+BZ19+BZ21+BZ23+BZ24+BZ25+BZ26-BZ31-BZ39-BZ40-BZ41</f>
        <v>37145.97055081404</v>
      </c>
      <c r="CA65" s="303">
        <f>CA10+CA12+CA16+CA19+CA21+CA23+CA24+CA25+CA26-CA31-CA39-CA40-CA41</f>
        <v>37145.97055081404</v>
      </c>
      <c r="CB65" s="123"/>
      <c r="CC65" s="131">
        <f>CC10+CC12+CC16+CC19+CC21+CC23+CC24+CC25+CC26-CC31-CC39-CC40-CC41</f>
        <v>36940.742194352541</v>
      </c>
      <c r="CD65" s="123">
        <f>CD10+CD12+CD16+CD19+CD21+CD23+CD24+CD25+CD26-CD31-CD39-CD40-CD41</f>
        <v>36698.946815209318</v>
      </c>
      <c r="CE65" s="123">
        <f>CE10+CE12+CE16+CE19+CE21+CE23+CE24+CE25+CE26-CE31-CE39-CE40-CE41</f>
        <v>36506.674652636189</v>
      </c>
      <c r="CF65" s="132">
        <f>CF10+CF12+CF16+CF19+CF21+CF23+CF24+CF25+CF26-CF31-CF39-CF40-CF41</f>
        <v>36256.910002173157</v>
      </c>
      <c r="CG65" s="303">
        <f>CG10+CG12+CG16+CG19+CG21+CG23+CG24+CG25+CG26-CG31-CG39-CG40-CG41</f>
        <v>36256.910002173157</v>
      </c>
      <c r="CH65" s="123"/>
      <c r="CI65" s="131">
        <f>CI10+CI12+CI16+CI19+CI21+CI23+CI24+CI25+CI26-CI31-CI39-CI40-CI41</f>
        <v>36025.474542858457</v>
      </c>
      <c r="CJ65" s="123">
        <f>CJ10+CJ12+CJ16+CJ19+CJ21+CJ23+CJ24+CJ25+CJ26-CJ31-CJ39-CJ40-CJ41</f>
        <v>35747.95643338831</v>
      </c>
      <c r="CK65" s="123">
        <f>CK10+CK12+CK16+CK19+CK21+CK23+CK24+CK25+CK26-CK31-CK39-CK40-CK41</f>
        <v>35582.620217086784</v>
      </c>
      <c r="CL65" s="132">
        <f>CL10+CL12+CL16+CL19+CL21+CL23+CL24+CL25+CL26-CL31-CL39-CL40-CL41</f>
        <v>35319.177556153205</v>
      </c>
      <c r="CM65" s="303">
        <f>CM10+CM12+CM16+CM19+CM21+CM23+CM24+CM25+CM26-CM31-CM39-CM40-CM41</f>
        <v>35319.177556153205</v>
      </c>
      <c r="CQ65"/>
      <c r="CR65"/>
      <c r="CS65"/>
      <c r="CT65"/>
      <c r="CU65"/>
      <c r="CV65"/>
    </row>
    <row r="66" spans="1:100" s="11" customFormat="1" collapsed="1" x14ac:dyDescent="0.2">
      <c r="A66" s="396"/>
      <c r="B66" s="397"/>
      <c r="C66" s="397"/>
      <c r="D66" s="397"/>
      <c r="E66" s="397"/>
      <c r="F66" s="397"/>
      <c r="G66" s="397"/>
      <c r="H66" s="397"/>
      <c r="I66" s="397"/>
      <c r="J66" s="397"/>
      <c r="K66" s="397"/>
      <c r="L66" s="397"/>
      <c r="M66" s="397"/>
      <c r="N66" s="398"/>
      <c r="O66" s="397"/>
      <c r="P66" s="397"/>
      <c r="Q66" s="397"/>
      <c r="R66" s="397"/>
      <c r="S66" s="397"/>
      <c r="T66" s="397"/>
      <c r="U66" s="397"/>
      <c r="V66" s="397"/>
      <c r="W66" s="397"/>
      <c r="X66" s="397"/>
      <c r="Y66" s="397"/>
      <c r="Z66" s="397"/>
      <c r="AA66" s="397"/>
      <c r="AB66" s="397"/>
      <c r="AC66" s="397"/>
      <c r="AD66" s="397"/>
      <c r="AE66" s="397"/>
      <c r="AF66" s="397"/>
      <c r="AG66" s="397"/>
      <c r="AH66" s="397"/>
      <c r="AI66" s="397"/>
      <c r="AJ66" s="397"/>
      <c r="AK66" s="397"/>
      <c r="AL66" s="397"/>
      <c r="AM66" s="397"/>
      <c r="AN66" s="397"/>
      <c r="AO66" s="397"/>
      <c r="AP66" s="397"/>
      <c r="AQ66" s="397"/>
      <c r="AR66" s="397"/>
      <c r="AS66" s="397"/>
      <c r="AT66" s="397"/>
      <c r="AU66" s="397"/>
      <c r="AV66" s="397"/>
      <c r="AW66" s="397"/>
      <c r="AX66" s="397"/>
      <c r="AY66" s="397"/>
      <c r="AZ66" s="397"/>
      <c r="BA66" s="397"/>
      <c r="BB66" s="397"/>
      <c r="BC66" s="397"/>
      <c r="BD66" s="397"/>
      <c r="BE66" s="397"/>
      <c r="BF66" s="397"/>
      <c r="BG66" s="397"/>
      <c r="BH66" s="397"/>
      <c r="BI66" s="397"/>
      <c r="BJ66" s="397"/>
      <c r="BK66" s="397"/>
      <c r="BL66" s="397"/>
      <c r="BM66" s="397"/>
      <c r="BN66" s="397"/>
      <c r="BO66" s="397"/>
      <c r="BP66" s="397"/>
      <c r="BQ66" s="397"/>
      <c r="BR66" s="397"/>
      <c r="BS66" s="397"/>
      <c r="BT66" s="397"/>
      <c r="BU66" s="397"/>
      <c r="BV66" s="397"/>
      <c r="BW66" s="397"/>
      <c r="BX66" s="397"/>
      <c r="BY66" s="397"/>
      <c r="BZ66" s="397"/>
      <c r="CA66" s="397"/>
      <c r="CB66" s="397"/>
      <c r="CC66" s="397"/>
      <c r="CD66" s="397"/>
      <c r="CE66" s="397"/>
      <c r="CF66" s="397"/>
      <c r="CG66" s="397"/>
      <c r="CH66" s="397"/>
      <c r="CI66" s="397"/>
      <c r="CJ66" s="397"/>
      <c r="CK66" s="397"/>
      <c r="CL66" s="397"/>
      <c r="CM66" s="397"/>
      <c r="CQ66"/>
      <c r="CR66"/>
      <c r="CS66"/>
      <c r="CT66"/>
      <c r="CU66"/>
      <c r="CV66"/>
    </row>
    <row r="67" spans="1:100" s="11" customFormat="1" x14ac:dyDescent="0.2">
      <c r="A67" s="176" t="s">
        <v>165</v>
      </c>
      <c r="B67" s="371"/>
      <c r="C67" s="372"/>
      <c r="D67" s="371"/>
      <c r="E67" s="371"/>
      <c r="F67" s="373"/>
      <c r="G67" s="374"/>
      <c r="H67" s="371"/>
      <c r="I67" s="372"/>
      <c r="J67" s="371"/>
      <c r="K67" s="371"/>
      <c r="L67" s="373"/>
      <c r="M67" s="374"/>
      <c r="N67" s="376"/>
      <c r="O67" s="372"/>
      <c r="P67" s="371"/>
      <c r="Q67" s="371"/>
      <c r="R67" s="373"/>
      <c r="S67" s="374"/>
      <c r="T67" s="371"/>
      <c r="U67" s="372"/>
      <c r="V67" s="371"/>
      <c r="W67" s="371"/>
      <c r="X67" s="373"/>
      <c r="Y67" s="374"/>
      <c r="Z67" s="371"/>
      <c r="AA67" s="372"/>
      <c r="AB67" s="371"/>
      <c r="AC67" s="371"/>
      <c r="AD67" s="373"/>
      <c r="AE67" s="374"/>
      <c r="AF67" s="371"/>
      <c r="AG67" s="372"/>
      <c r="AH67" s="371"/>
      <c r="AI67" s="371"/>
      <c r="AJ67" s="373"/>
      <c r="AK67" s="374"/>
      <c r="AL67" s="371"/>
      <c r="AM67" s="372"/>
      <c r="AN67" s="371"/>
      <c r="AO67" s="371"/>
      <c r="AP67" s="373"/>
      <c r="AQ67" s="374"/>
      <c r="AR67" s="371"/>
      <c r="AS67" s="372"/>
      <c r="AT67" s="371"/>
      <c r="AU67" s="371"/>
      <c r="AV67" s="373"/>
      <c r="AW67" s="374"/>
      <c r="AX67" s="371"/>
      <c r="AY67" s="372"/>
      <c r="AZ67" s="371"/>
      <c r="BA67" s="371"/>
      <c r="BB67" s="373"/>
      <c r="BC67" s="374"/>
      <c r="BD67" s="371"/>
      <c r="BE67" s="372"/>
      <c r="BF67" s="371"/>
      <c r="BG67" s="371"/>
      <c r="BH67" s="373"/>
      <c r="BI67" s="374"/>
      <c r="BJ67" s="371"/>
      <c r="BK67" s="372"/>
      <c r="BL67" s="371"/>
      <c r="BM67" s="371"/>
      <c r="BN67" s="373"/>
      <c r="BO67" s="374"/>
      <c r="BP67" s="371"/>
      <c r="BQ67" s="372"/>
      <c r="BR67" s="371"/>
      <c r="BS67" s="371"/>
      <c r="BT67" s="373"/>
      <c r="BU67" s="374"/>
      <c r="BV67" s="371"/>
      <c r="BW67" s="372"/>
      <c r="BX67" s="371"/>
      <c r="BY67" s="371"/>
      <c r="BZ67" s="373"/>
      <c r="CA67" s="374"/>
      <c r="CB67" s="371"/>
      <c r="CC67" s="372"/>
      <c r="CD67" s="371"/>
      <c r="CE67" s="371"/>
      <c r="CF67" s="373"/>
      <c r="CG67" s="374"/>
      <c r="CH67" s="371"/>
      <c r="CI67" s="372"/>
      <c r="CJ67" s="371"/>
      <c r="CK67" s="371"/>
      <c r="CL67" s="373"/>
      <c r="CM67" s="374"/>
      <c r="CQ67"/>
      <c r="CR67"/>
      <c r="CS67"/>
      <c r="CT67"/>
      <c r="CU67"/>
      <c r="CV67"/>
    </row>
    <row r="68" spans="1:100" s="11" customFormat="1" hidden="1" outlineLevel="1" x14ac:dyDescent="0.2">
      <c r="A68" s="189" t="s">
        <v>166</v>
      </c>
      <c r="B68" s="15"/>
      <c r="C68" s="399"/>
      <c r="D68" s="400"/>
      <c r="E68" s="400"/>
      <c r="F68" s="401"/>
      <c r="G68" s="402">
        <v>38.058638517880226</v>
      </c>
      <c r="H68" s="403"/>
      <c r="I68" s="404">
        <f>IS!I18/IS!I20</f>
        <v>46.221878324789635</v>
      </c>
      <c r="J68" s="405">
        <f>IS!J18/IS!J20</f>
        <v>61.547048653988618</v>
      </c>
      <c r="K68" s="405">
        <f>IS!K18/IS!K20</f>
        <v>58.846733946989048</v>
      </c>
      <c r="L68" s="406">
        <f>IS!L18/IS!L20</f>
        <v>58.788615142310711</v>
      </c>
      <c r="M68" s="407">
        <f>IS!M18/IS!M20</f>
        <v>55.842638197176896</v>
      </c>
      <c r="N68" s="408"/>
      <c r="O68" s="404">
        <f>IS!O18/IS!O20</f>
        <v>66.219325153374228</v>
      </c>
      <c r="P68" s="405">
        <f>IS!P18/IS!P20</f>
        <v>62.00533689126086</v>
      </c>
      <c r="Q68" s="405">
        <f>IS!Q18/IS!Q20</f>
        <v>47.410524450744141</v>
      </c>
      <c r="R68" s="406">
        <f>IS!R18/IS!R20</f>
        <v>39.317588158467565</v>
      </c>
      <c r="S68" s="407">
        <f>IS!S18/IS!S20</f>
        <v>51.000891331798265</v>
      </c>
      <c r="T68" s="403"/>
      <c r="U68" s="404">
        <f>IS!U18/IS!U20</f>
        <v>42.726649726649732</v>
      </c>
      <c r="V68" s="405">
        <f>IS!V18/IS!V20</f>
        <v>41.853480988151489</v>
      </c>
      <c r="W68" s="405">
        <f>IS!W18/IS!W20</f>
        <v>42.333970194879633</v>
      </c>
      <c r="X68" s="406">
        <f>IS!X18/IS!X20</f>
        <v>43.13609708421567</v>
      </c>
      <c r="Y68" s="407">
        <f>IS!Y18/IS!Y20</f>
        <v>42.504535434914075</v>
      </c>
      <c r="Z68" s="403"/>
      <c r="AA68" s="404">
        <f>IS!AA18/IS!AA20</f>
        <v>32.910480293191029</v>
      </c>
      <c r="AB68" s="405">
        <f>IS!AB18/IS!AB20</f>
        <v>22.540445633543751</v>
      </c>
      <c r="AC68" s="405">
        <f>IS!AC18/IS!AC20</f>
        <v>25.843230831569937</v>
      </c>
      <c r="AD68" s="406">
        <f>IS!AD18/IS!AD20</f>
        <v>24.812841407719173</v>
      </c>
      <c r="AE68" s="407">
        <f>IS!AE18/IS!AE20</f>
        <v>25.937236815482208</v>
      </c>
      <c r="AF68" s="403"/>
      <c r="AG68" s="404">
        <f>IS!AG18/IS!AG20</f>
        <v>16.079208931853767</v>
      </c>
      <c r="AH68" s="405">
        <f>IS!AH18/IS!AH20</f>
        <v>14.61562322140011</v>
      </c>
      <c r="AI68" s="405">
        <f>IS!AI18/IS!AI20</f>
        <v>16.261470917386436</v>
      </c>
      <c r="AJ68" s="406">
        <f>IS!AJ18/IS!AJ20</f>
        <v>15.192083191658156</v>
      </c>
      <c r="AK68" s="407">
        <f>IS!AK18/IS!AK20</f>
        <v>15.511944986967077</v>
      </c>
      <c r="AL68" s="403"/>
      <c r="AM68" s="404">
        <f>IS!AM18/IS!AM20</f>
        <v>15.38131476776385</v>
      </c>
      <c r="AN68" s="405">
        <f>IS!AN18/IS!AN20</f>
        <v>15.480349533571344</v>
      </c>
      <c r="AO68" s="405">
        <f>IS!AO18/IS!AO20</f>
        <v>16.912045526856208</v>
      </c>
      <c r="AP68" s="406">
        <f>IS!AP18/IS!AP20</f>
        <v>17.188096323529408</v>
      </c>
      <c r="AQ68" s="407">
        <f>IS!AQ18/IS!AQ20</f>
        <v>16.232820564720164</v>
      </c>
      <c r="AR68" s="403"/>
      <c r="AS68" s="404">
        <f>IS!AS18/IS!AS20</f>
        <v>15.834705882352944</v>
      </c>
      <c r="AT68" s="405">
        <f>IS!AT18/IS!AT20</f>
        <v>16.984242424242424</v>
      </c>
      <c r="AU68" s="405">
        <f>IS!AU18/IS!AU20</f>
        <v>18.614545454545461</v>
      </c>
      <c r="AV68" s="406">
        <f>IS!AV18/IS!AV20</f>
        <v>17.611714285714296</v>
      </c>
      <c r="AW68" s="407">
        <f>IS!AW18/IS!AW20</f>
        <v>17.255925925925929</v>
      </c>
      <c r="AX68" s="403"/>
      <c r="AY68" s="404">
        <f>IS!AY18/IS!AY20</f>
        <v>15.97312500000001</v>
      </c>
      <c r="AZ68" s="405">
        <f>IS!AZ18/IS!AZ20</f>
        <v>16.074242424242417</v>
      </c>
      <c r="BA68" s="405">
        <f>IS!BA18/IS!BA20</f>
        <v>7.5148148148148142</v>
      </c>
      <c r="BB68" s="406">
        <f>IS!BB18/IS!BB20</f>
        <v>7.509345794392523</v>
      </c>
      <c r="BC68" s="407">
        <f>IS!BC18/IS!BC20</f>
        <v>9.4881785714285716</v>
      </c>
      <c r="BD68" s="403"/>
      <c r="BE68" s="404">
        <f>IS!BE18/IS!BE20</f>
        <v>7.3451428571428554</v>
      </c>
      <c r="BF68" s="405">
        <f>IS!BF18/IS!BF20</f>
        <v>7.8014018691588785</v>
      </c>
      <c r="BG68" s="405">
        <f>IS!BG18/IS!BG20</f>
        <v>8.4571428571428573</v>
      </c>
      <c r="BH68" s="406">
        <f>IS!BH18/IS!BH20</f>
        <v>7.6796116504854366</v>
      </c>
      <c r="BI68" s="407">
        <f>IS!BI18/IS!BI20</f>
        <v>7.8214047619047617</v>
      </c>
      <c r="BJ68" s="403"/>
      <c r="BK68" s="404">
        <f>IS!BK18/IS!BK20</f>
        <v>8.1089108910891081</v>
      </c>
      <c r="BL68" s="405">
        <f>IS!BL18/IS!BL20</f>
        <v>8.7222222222222214</v>
      </c>
      <c r="BM68" s="405">
        <f>IS!BM18/IS!BM20</f>
        <v>9.0515463917525771</v>
      </c>
      <c r="BN68" s="406">
        <f>IS!BN18/IS!BN20</f>
        <v>7.464513274336281</v>
      </c>
      <c r="BO68" s="407">
        <f>IS!BO18/IS!BO20</f>
        <v>8.2929925187032421</v>
      </c>
      <c r="BP68" s="403"/>
      <c r="BQ68" s="404">
        <f>IS!BQ18/IS!BQ20</f>
        <v>8.0733944954128436</v>
      </c>
      <c r="BR68" s="405">
        <f>IS!BR18/IS!BR20</f>
        <v>6.5428505462449493</v>
      </c>
      <c r="BS68" s="405">
        <f>IS!BS18/IS!BS20</f>
        <v>7.1544960065662107</v>
      </c>
      <c r="BT68" s="406">
        <f>IS!BT18/IS!BT20</f>
        <v>7.2289872905208234</v>
      </c>
      <c r="BU68" s="407">
        <f>IS!BU18/IS!BU20</f>
        <v>7.1531615272532667</v>
      </c>
      <c r="BV68" s="403"/>
      <c r="BW68" s="404">
        <f>IS!BW18/IS!BW20</f>
        <v>7.4744702351275754</v>
      </c>
      <c r="BX68" s="405">
        <f>IS!BX18/IS!BX20</f>
        <v>7.8897407956014254</v>
      </c>
      <c r="BY68" s="405">
        <f>IS!BY18/IS!BY20</f>
        <v>8.2742994674298895</v>
      </c>
      <c r="BZ68" s="406">
        <f>IS!BZ18/IS!BZ20</f>
        <v>8.4575653589638797</v>
      </c>
      <c r="CA68" s="407">
        <f>IS!CA18/IS!CA20</f>
        <v>8.0172437839887998</v>
      </c>
      <c r="CB68" s="403"/>
      <c r="CC68" s="404">
        <f>IS!CC18/IS!CC20</f>
        <v>9.0066175341912658</v>
      </c>
      <c r="CD68" s="405">
        <f>IS!CD18/IS!CD20</f>
        <v>9.566664269913387</v>
      </c>
      <c r="CE68" s="405">
        <f>IS!CE18/IS!CE20</f>
        <v>10.366553896031808</v>
      </c>
      <c r="CF68" s="406">
        <f>IS!CF18/IS!CF20</f>
        <v>10.766945238473607</v>
      </c>
      <c r="CG68" s="407">
        <f>IS!CG18/IS!CG20</f>
        <v>9.8989385918702997</v>
      </c>
      <c r="CH68" s="403"/>
      <c r="CI68" s="404">
        <f>IS!CI18/IS!CI20</f>
        <v>11.428660250573232</v>
      </c>
      <c r="CJ68" s="405">
        <f>IS!CJ18/IS!CJ20</f>
        <v>11.654711280056587</v>
      </c>
      <c r="CK68" s="405">
        <f>IS!CK18/IS!CK20</f>
        <v>12.86074928224658</v>
      </c>
      <c r="CL68" s="406">
        <f>IS!CL18/IS!CL20</f>
        <v>13.612671777333704</v>
      </c>
      <c r="CM68" s="407">
        <f>IS!CM18/IS!CM20</f>
        <v>12.358501385964333</v>
      </c>
      <c r="CQ68"/>
      <c r="CR68"/>
      <c r="CS68"/>
      <c r="CT68"/>
      <c r="CU68"/>
      <c r="CV68"/>
    </row>
    <row r="69" spans="1:100" s="11" customFormat="1" hidden="1" outlineLevel="1" x14ac:dyDescent="0.2">
      <c r="A69" s="189" t="s">
        <v>167</v>
      </c>
      <c r="B69" s="15"/>
      <c r="C69" s="399"/>
      <c r="D69" s="400"/>
      <c r="E69" s="400"/>
      <c r="F69" s="401"/>
      <c r="G69" s="402">
        <v>28.551077121930209</v>
      </c>
      <c r="H69" s="403"/>
      <c r="I69" s="404">
        <f>IS!I17/IS!I20</f>
        <v>35.078440855014996</v>
      </c>
      <c r="J69" s="405">
        <f>IS!J17/IS!J20</f>
        <v>47.117930353173612</v>
      </c>
      <c r="K69" s="405">
        <f>IS!K17/IS!K20</f>
        <v>45.421647998225602</v>
      </c>
      <c r="L69" s="406">
        <f>IS!L17/IS!L20</f>
        <v>44.804027449656864</v>
      </c>
      <c r="M69" s="407">
        <f>IS!M17/IS!M20</f>
        <v>42.706078199378148</v>
      </c>
      <c r="N69" s="408"/>
      <c r="O69" s="404">
        <f>IS!O17/IS!O20</f>
        <v>51.326942740286285</v>
      </c>
      <c r="P69" s="405">
        <f>IS!P17/IS!P20</f>
        <v>46.357838559039372</v>
      </c>
      <c r="Q69" s="405">
        <f>IS!Q17/IS!Q20</f>
        <v>36.917080085046059</v>
      </c>
      <c r="R69" s="406">
        <f>IS!R17/IS!R20</f>
        <v>30.759541430851836</v>
      </c>
      <c r="S69" s="407">
        <f>IS!S17/IS!S20</f>
        <v>39.359280992349404</v>
      </c>
      <c r="T69" s="403"/>
      <c r="U69" s="404">
        <f>IS!U17/IS!U20</f>
        <v>33.084623084623082</v>
      </c>
      <c r="V69" s="405">
        <f>IS!V17/IS!V20</f>
        <v>32.033454658096502</v>
      </c>
      <c r="W69" s="405">
        <f>IS!W17/IS!W20</f>
        <v>32.324188001528462</v>
      </c>
      <c r="X69" s="406">
        <f>IS!X17/IS!X20</f>
        <v>33.435168594233581</v>
      </c>
      <c r="Y69" s="407">
        <f>IS!Y17/IS!Y20</f>
        <v>32.709693151005588</v>
      </c>
      <c r="Z69" s="403"/>
      <c r="AA69" s="404">
        <f>IS!AA17/IS!AA20</f>
        <v>24.989693306757545</v>
      </c>
      <c r="AB69" s="405">
        <f>IS!AB17/IS!AB20</f>
        <v>17.431754525312492</v>
      </c>
      <c r="AC69" s="405">
        <f>IS!AC17/IS!AC20</f>
        <v>20.133762550087788</v>
      </c>
      <c r="AD69" s="406">
        <f>IS!AD17/IS!AD20</f>
        <v>18.907987821259063</v>
      </c>
      <c r="AE69" s="407">
        <f>IS!AE17/IS!AE20</f>
        <v>19.937534367226462</v>
      </c>
      <c r="AF69" s="403"/>
      <c r="AG69" s="404">
        <f>IS!AG17/IS!AG20</f>
        <v>11.462897406222341</v>
      </c>
      <c r="AH69" s="405">
        <f>IS!AH17/IS!AH20</f>
        <v>10.908651109846323</v>
      </c>
      <c r="AI69" s="405">
        <f>IS!AI17/IS!AI20</f>
        <v>12.884673878733961</v>
      </c>
      <c r="AJ69" s="406">
        <f>IS!AJ17/IS!AJ20</f>
        <v>11.582794967698055</v>
      </c>
      <c r="AK69" s="407">
        <f>IS!AK17/IS!AK20</f>
        <v>11.71763491485901</v>
      </c>
      <c r="AL69" s="403"/>
      <c r="AM69" s="404">
        <f>IS!AM17/IS!AM20</f>
        <v>11.703419309714807</v>
      </c>
      <c r="AN69" s="405">
        <f>IS!AN17/IS!AN20</f>
        <v>11.546110215363353</v>
      </c>
      <c r="AO69" s="405">
        <f>IS!AO17/IS!AO20</f>
        <v>12.91459086570444</v>
      </c>
      <c r="AP69" s="406">
        <f>IS!AP17/IS!AP20</f>
        <v>13.002243382352939</v>
      </c>
      <c r="AQ69" s="407">
        <f>IS!AQ17/IS!AQ20</f>
        <v>12.28585163444995</v>
      </c>
      <c r="AR69" s="403"/>
      <c r="AS69" s="404">
        <f>IS!AS17/IS!AS20</f>
        <v>11.658235294117651</v>
      </c>
      <c r="AT69" s="405">
        <f>IS!AT17/IS!AT20</f>
        <v>13.044848484848485</v>
      </c>
      <c r="AU69" s="405">
        <f>IS!AU17/IS!AU20</f>
        <v>14.341818181818187</v>
      </c>
      <c r="AV69" s="406">
        <f>IS!AV17/IS!AV20</f>
        <v>13.340285714285724</v>
      </c>
      <c r="AW69" s="407">
        <f>IS!AW17/IS!AW20</f>
        <v>13.089259259259263</v>
      </c>
      <c r="AX69" s="403"/>
      <c r="AY69" s="404">
        <f>IS!AY17/IS!AY20</f>
        <v>12.56687500000001</v>
      </c>
      <c r="AZ69" s="405">
        <f>IS!AZ17/IS!AZ20</f>
        <v>12.801515151515146</v>
      </c>
      <c r="BA69" s="405">
        <f>IS!BA17/IS!BA20</f>
        <v>6.3620370370370365</v>
      </c>
      <c r="BB69" s="406">
        <f>IS!BB17/IS!BB20</f>
        <v>6.2149532710280377</v>
      </c>
      <c r="BC69" s="407">
        <f>IS!BC17/IS!BC20</f>
        <v>7.7738928571428572</v>
      </c>
      <c r="BD69" s="403"/>
      <c r="BE69" s="404">
        <f>IS!BE17/IS!BE20</f>
        <v>6.04038095238095</v>
      </c>
      <c r="BF69" s="405">
        <f>IS!BF17/IS!BF20</f>
        <v>6.4742990654205608</v>
      </c>
      <c r="BG69" s="405">
        <f>IS!BG17/IS!BG20</f>
        <v>7.1333333333333337</v>
      </c>
      <c r="BH69" s="406">
        <f>IS!BH17/IS!BH20</f>
        <v>6.2815533980582527</v>
      </c>
      <c r="BI69" s="407">
        <f>IS!BI17/IS!BI20</f>
        <v>6.4833095238095231</v>
      </c>
      <c r="BJ69" s="403"/>
      <c r="BK69" s="404">
        <f>IS!BK17/IS!BK20</f>
        <v>6.8712871287128712</v>
      </c>
      <c r="BL69" s="405">
        <f>IS!BL17/IS!BL20</f>
        <v>7.2777777777777777</v>
      </c>
      <c r="BM69" s="405">
        <f>IS!BM17/IS!BM20</f>
        <v>7.536082474226804</v>
      </c>
      <c r="BN69" s="406">
        <f>IS!BN17/IS!BN20</f>
        <v>6.1105309734513256</v>
      </c>
      <c r="BO69" s="407">
        <f>IS!BO17/IS!BO20</f>
        <v>6.9089526184538652</v>
      </c>
      <c r="BP69" s="403"/>
      <c r="BQ69" s="404">
        <f>IS!BQ17/IS!BQ20</f>
        <v>6.6513761467889907</v>
      </c>
      <c r="BR69" s="405">
        <f>IS!BR17/IS!BR20</f>
        <v>5.6133843283118656</v>
      </c>
      <c r="BS69" s="405">
        <f>IS!BS17/IS!BS20</f>
        <v>6.1995681513986804</v>
      </c>
      <c r="BT69" s="406">
        <f>IS!BT17/IS!BT20</f>
        <v>6.235225704961544</v>
      </c>
      <c r="BU69" s="407">
        <f>IS!BU17/IS!BU20</f>
        <v>6.1183106036873953</v>
      </c>
      <c r="BV69" s="403"/>
      <c r="BW69" s="404">
        <f>IS!BW17/IS!BW20</f>
        <v>6.440663234509068</v>
      </c>
      <c r="BX69" s="405">
        <f>IS!BX17/IS!BX20</f>
        <v>6.8114454541524694</v>
      </c>
      <c r="BY69" s="405">
        <f>IS!BY17/IS!BY20</f>
        <v>7.1595537288053084</v>
      </c>
      <c r="BZ69" s="406">
        <f>IS!BZ17/IS!BZ20</f>
        <v>7.3096566391477342</v>
      </c>
      <c r="CA69" s="407">
        <f>IS!CA17/IS!CA20</f>
        <v>6.9243140218685495</v>
      </c>
      <c r="CB69" s="403"/>
      <c r="CC69" s="404">
        <f>IS!CC17/IS!CC20</f>
        <v>7.8196744383204981</v>
      </c>
      <c r="CD69" s="405">
        <f>IS!CD17/IS!CD20</f>
        <v>8.3205114338996538</v>
      </c>
      <c r="CE69" s="405">
        <f>IS!CE17/IS!CE20</f>
        <v>9.0373652574506078</v>
      </c>
      <c r="CF69" s="406">
        <f>IS!CF17/IS!CF20</f>
        <v>9.377813382497564</v>
      </c>
      <c r="CG69" s="407">
        <f>IS!CG17/IS!CG20</f>
        <v>8.6142135216135163</v>
      </c>
      <c r="CH69" s="403"/>
      <c r="CI69" s="404">
        <f>IS!CI17/IS!CI20</f>
        <v>9.9545398791830877</v>
      </c>
      <c r="CJ69" s="405">
        <f>IS!CJ17/IS!CJ20</f>
        <v>10.138856972764826</v>
      </c>
      <c r="CK69" s="405">
        <f>IS!CK17/IS!CK20</f>
        <v>11.267221442901919</v>
      </c>
      <c r="CL69" s="406">
        <f>IS!CL17/IS!CL20</f>
        <v>11.917151981280183</v>
      </c>
      <c r="CM69" s="407">
        <f>IS!CM17/IS!CM20</f>
        <v>10.791683477061291</v>
      </c>
      <c r="CQ69"/>
      <c r="CR69"/>
      <c r="CS69"/>
      <c r="CT69"/>
      <c r="CU69"/>
      <c r="CV69"/>
    </row>
    <row r="70" spans="1:100" s="11" customFormat="1" hidden="1" outlineLevel="1" x14ac:dyDescent="0.2">
      <c r="A70" s="189" t="s">
        <v>168</v>
      </c>
      <c r="B70" s="15"/>
      <c r="C70" s="399"/>
      <c r="D70" s="400"/>
      <c r="E70" s="400"/>
      <c r="F70" s="401"/>
      <c r="G70" s="402"/>
      <c r="H70" s="403"/>
      <c r="I70" s="404">
        <f>I57/(IS!I18*4)</f>
        <v>0.60988819556046592</v>
      </c>
      <c r="J70" s="405">
        <f>J57/(IS!J18*4)</f>
        <v>0.58596421004478261</v>
      </c>
      <c r="K70" s="405">
        <f>K57/(IS!K18*4)</f>
        <v>0.54615441152913258</v>
      </c>
      <c r="L70" s="406">
        <f>L57/(IS!L18*4)</f>
        <v>0.55233441516192994</v>
      </c>
      <c r="M70" s="407">
        <f>M57/(IS!M18)</f>
        <v>0.56888113214705771</v>
      </c>
      <c r="N70" s="408"/>
      <c r="O70" s="404">
        <f>O57/(IS!O18*4)</f>
        <v>0.55812584443157698</v>
      </c>
      <c r="P70" s="405">
        <f>P57/(IS!P18*4)</f>
        <v>0.62037311987605681</v>
      </c>
      <c r="Q70" s="405">
        <f>Q57/(IS!Q18*4)</f>
        <v>0.88256862305435679</v>
      </c>
      <c r="R70" s="406">
        <f>R57/(IS!R18*4)</f>
        <v>0.87262975778546714</v>
      </c>
      <c r="S70" s="407">
        <f>S57/(IS!S18)</f>
        <v>0.9182231931549244</v>
      </c>
      <c r="T70" s="403"/>
      <c r="U70" s="404">
        <f>U57/(IS!U18*4)</f>
        <v>0.76289081999888264</v>
      </c>
      <c r="V70" s="405">
        <f>V57/(IS!V18*4)</f>
        <v>0.78213640753884672</v>
      </c>
      <c r="W70" s="405">
        <f>W57/(IS!W18*4)</f>
        <v>0.76525481099035997</v>
      </c>
      <c r="X70" s="406">
        <f>X57/(IS!X18*4)</f>
        <v>0.80156478640547557</v>
      </c>
      <c r="Y70" s="407">
        <f>Y57/(IS!Y18)</f>
        <v>0.77934150561519278</v>
      </c>
      <c r="Z70" s="403"/>
      <c r="AA70" s="404">
        <f>AA57/(IS!AA18*4)</f>
        <v>1.3286501866635718</v>
      </c>
      <c r="AB70" s="405">
        <f>AB57/(IS!AB18*4)</f>
        <v>1.2637470094029932</v>
      </c>
      <c r="AC70" s="405">
        <f>AC57/(IS!AC18*4)</f>
        <v>1.1867238730043699</v>
      </c>
      <c r="AD70" s="406">
        <f>AD57/(IS!AD18*4)</f>
        <v>1.226878484941444</v>
      </c>
      <c r="AE70" s="407">
        <f>AE57/(IS!AE18)</f>
        <v>1.2479676794553209</v>
      </c>
      <c r="AF70" s="403"/>
      <c r="AG70" s="404">
        <f>AG57/(IS!AG18*4)</f>
        <v>2.2101550674781691</v>
      </c>
      <c r="AH70" s="405">
        <f>AH57/(IS!AH18*4)</f>
        <v>2.0300476252596908</v>
      </c>
      <c r="AI70" s="405">
        <f>AI57/(IS!AI18*4)</f>
        <v>1.8402190063102619</v>
      </c>
      <c r="AJ70" s="406">
        <f>AJ57/(IS!AJ18*4)</f>
        <v>1.9426392170979143</v>
      </c>
      <c r="AK70" s="407">
        <f>AK57/(IS!AK18)</f>
        <v>1.9945462109522929</v>
      </c>
      <c r="AL70" s="403"/>
      <c r="AM70" s="404">
        <f>AM57/(IS!AM18*4)</f>
        <v>1.934807133159856</v>
      </c>
      <c r="AN70" s="405">
        <f>AN57/(IS!AN18*4)</f>
        <v>1.9387186409343393</v>
      </c>
      <c r="AO70" s="405">
        <f>AO57/(IS!AO18*4)</f>
        <v>1.6974508215877839</v>
      </c>
      <c r="AP70" s="406">
        <f>AP57/(IS!AP18*4)</f>
        <v>1.6983367978120636</v>
      </c>
      <c r="AQ70" s="407">
        <f>AQ57/(IS!AQ18)</f>
        <v>1.7679402516353451</v>
      </c>
      <c r="AR70" s="403"/>
      <c r="AS70" s="404">
        <f>AS57/(IS!AS18*4)</f>
        <v>1.8430290872617849</v>
      </c>
      <c r="AT70" s="405">
        <f>AT57/(IS!AT18*4)</f>
        <v>1.769019411932629</v>
      </c>
      <c r="AU70" s="405">
        <f>AU57/(IS!AU18*4)</f>
        <v>1.6169336458943799</v>
      </c>
      <c r="AV70" s="406">
        <f>AV57/(IS!AV18*4)</f>
        <v>1.6105351957301139</v>
      </c>
      <c r="AW70" s="407">
        <f>AW57/(IS!AW18)</f>
        <v>1.7046210641540207</v>
      </c>
      <c r="AX70" s="403"/>
      <c r="AY70" s="404">
        <f>AY57/(IS!AY18*4)</f>
        <v>4.9604804945807377</v>
      </c>
      <c r="AZ70" s="405">
        <f>AZ57/(IS!AZ18*4)</f>
        <v>6.521821095296449</v>
      </c>
      <c r="BA70" s="405">
        <f>BA57/(IS!BA18*4)</f>
        <v>4.0571094135041896</v>
      </c>
      <c r="BB70" s="406">
        <f>BB57/(IS!BB18*4)</f>
        <v>3.9894212818917238</v>
      </c>
      <c r="BC70" s="407">
        <f>BC57/(IS!BC18)</f>
        <v>4.8263064188896712</v>
      </c>
      <c r="BD70" s="403"/>
      <c r="BE70" s="404">
        <f>BE57/(IS!BE18*4)</f>
        <v>4.1520797676469074</v>
      </c>
      <c r="BF70" s="405">
        <f>BF57/(IS!BF18*4)</f>
        <v>3.7481281820904462</v>
      </c>
      <c r="BG70" s="405">
        <f>BG57/(IS!BG18*4)</f>
        <v>3.3536036036036037</v>
      </c>
      <c r="BH70" s="406">
        <f>BH57/(IS!BH18*4)</f>
        <v>3.6507585335018962</v>
      </c>
      <c r="BI70" s="407">
        <f>BI57/(IS!BI18)</f>
        <v>3.5162968532628716</v>
      </c>
      <c r="BJ70" s="403"/>
      <c r="BK70" s="404">
        <f>BK57/(IS!BK18*4)</f>
        <v>3.362942612942613</v>
      </c>
      <c r="BL70" s="405">
        <f>BL57/(IS!BL18*4)</f>
        <v>3.2821656050955412</v>
      </c>
      <c r="BM70" s="405">
        <f>BM57/(IS!BM18*4)</f>
        <v>5.4145785876993164</v>
      </c>
      <c r="BN70" s="406">
        <f>BN57/(IS!BN18*4)</f>
        <v>5.5928345327152682</v>
      </c>
      <c r="BO70" s="407">
        <f>BO57/(IS!BO18)</f>
        <v>5.6743517496669664</v>
      </c>
      <c r="BP70" s="403"/>
      <c r="BQ70" s="404">
        <f>BQ57/(IS!BQ18*4)</f>
        <v>6.4767045454545453</v>
      </c>
      <c r="BR70" s="405">
        <f>BR57/(IS!BR18*4)</f>
        <v>4.5944596459598044</v>
      </c>
      <c r="BS70" s="405">
        <f>BS57/(IS!BS18*4)</f>
        <v>4.1385102056918255</v>
      </c>
      <c r="BT70" s="406">
        <f>BT57/(IS!BT18*4)</f>
        <v>4.0772138688272062</v>
      </c>
      <c r="BU70" s="407">
        <f>BU57/(IS!BU18)</f>
        <v>4.5315645029791431</v>
      </c>
      <c r="BV70" s="403"/>
      <c r="BW70" s="404">
        <f>BW57/(IS!BW18*4)</f>
        <v>3.9236337630706775</v>
      </c>
      <c r="BX70" s="405">
        <f>BX57/(IS!BX18*4)</f>
        <v>3.7219047506146761</v>
      </c>
      <c r="BY70" s="405">
        <f>BY57/(IS!BY18*4)</f>
        <v>3.4531411798916745</v>
      </c>
      <c r="BZ70" s="406">
        <f>BZ57/(IS!BZ18*4)</f>
        <v>3.3372235677376381</v>
      </c>
      <c r="CA70" s="407">
        <f>CA57/(IS!CA18)</f>
        <v>3.4470254470430248</v>
      </c>
      <c r="CB70" s="403"/>
      <c r="CC70" s="404">
        <f>CC57/(IS!CC18*4)</f>
        <v>3.0379634576343011</v>
      </c>
      <c r="CD70" s="405">
        <f>CD57/(IS!CD18*4)</f>
        <v>2.7225319947891489</v>
      </c>
      <c r="CE70" s="405">
        <f>CE57/(IS!CE18*4)</f>
        <v>2.5559652298504623</v>
      </c>
      <c r="CF70" s="406">
        <f>CF57/(IS!CF18*4)</f>
        <v>2.3827901735341781</v>
      </c>
      <c r="CG70" s="407">
        <f>CG57/(IS!CG18)</f>
        <v>2.4601768447730858</v>
      </c>
      <c r="CH70" s="403"/>
      <c r="CI70" s="404">
        <f>CI57/(IS!CI18*4)</f>
        <v>2.3120215376952835</v>
      </c>
      <c r="CJ70" s="405">
        <f>CJ57/(IS!CJ18*4)</f>
        <v>2.2284199476184781</v>
      </c>
      <c r="CK70" s="405">
        <f>CK57/(IS!CK18*4)</f>
        <v>1.9767640199748611</v>
      </c>
      <c r="CL70" s="406">
        <f>CL57/(IS!CL18*4)</f>
        <v>1.9552365882199678</v>
      </c>
      <c r="CM70" s="407">
        <f>CM57/(IS!CM18)</f>
        <v>2.039238428936363</v>
      </c>
      <c r="CQ70"/>
      <c r="CR70"/>
      <c r="CS70"/>
      <c r="CT70"/>
      <c r="CU70"/>
      <c r="CV70"/>
    </row>
    <row r="71" spans="1:100" s="11" customFormat="1" hidden="1" outlineLevel="1" x14ac:dyDescent="0.2">
      <c r="A71" s="189" t="s">
        <v>169</v>
      </c>
      <c r="B71" s="15"/>
      <c r="C71" s="399">
        <v>0.32225346966774704</v>
      </c>
      <c r="D71" s="400">
        <v>0.3555284847541248</v>
      </c>
      <c r="E71" s="400">
        <v>0.34152620295267011</v>
      </c>
      <c r="F71" s="401">
        <v>0.2795211588729607</v>
      </c>
      <c r="G71" s="402">
        <v>0.2795211588729607</v>
      </c>
      <c r="H71" s="403"/>
      <c r="I71" s="404">
        <f>I58/(IS!I18*4)</f>
        <v>0.1287937759475023</v>
      </c>
      <c r="J71" s="405">
        <f>J58/(IS!J18*4)</f>
        <v>0.20407076130399188</v>
      </c>
      <c r="K71" s="405">
        <f>K58/(IS!K18*4)</f>
        <v>8.9895612876233627E-2</v>
      </c>
      <c r="L71" s="406">
        <f>L58/(IS!L18*4)</f>
        <v>5.937889898425483E-2</v>
      </c>
      <c r="M71" s="407">
        <f>M58/(IS!M18)</f>
        <v>6.1157759416286574E-2</v>
      </c>
      <c r="N71" s="408"/>
      <c r="O71" s="404">
        <f>O58/(IS!O18*4)</f>
        <v>0.18330293379656432</v>
      </c>
      <c r="P71" s="405">
        <f>P58/(IS!P18*4)</f>
        <v>0.22757030964215774</v>
      </c>
      <c r="Q71" s="405">
        <f>Q58/(IS!Q18*4)</f>
        <v>6.415578227479117E-2</v>
      </c>
      <c r="R71" s="406">
        <f>R58/(IS!R18*4)</f>
        <v>-2.5088811995386387E-2</v>
      </c>
      <c r="S71" s="407">
        <f>S58/(IS!S18)</f>
        <v>-2.6399660173554218E-2</v>
      </c>
      <c r="T71" s="403"/>
      <c r="U71" s="404">
        <f>U58/(IS!U18*4)</f>
        <v>0.10581898066467108</v>
      </c>
      <c r="V71" s="405">
        <f>V58/(IS!V18*4)</f>
        <v>0.20017105988668782</v>
      </c>
      <c r="W71" s="405">
        <f>W58/(IS!W18*4)</f>
        <v>0.11300185940715604</v>
      </c>
      <c r="X71" s="406">
        <f>X58/(IS!X18*4)</f>
        <v>-2.1751239084257749E-2</v>
      </c>
      <c r="Y71" s="407">
        <f>Y58/(IS!Y18)</f>
        <v>-2.1148188773285743E-2</v>
      </c>
      <c r="Z71" s="403"/>
      <c r="AA71" s="404">
        <f>AA58/(IS!AA18*4)</f>
        <v>0.23109592977878365</v>
      </c>
      <c r="AB71" s="405">
        <f>AB58/(IS!AB18*4)</f>
        <v>0.40207487156660915</v>
      </c>
      <c r="AC71" s="405">
        <f>AC58/(IS!AC18*4)</f>
        <v>0.34991524449306988</v>
      </c>
      <c r="AD71" s="406">
        <f>AD58/(IS!AD18*4)</f>
        <v>0.52162874208275434</v>
      </c>
      <c r="AE71" s="407">
        <f>AE58/(IS!AE18)</f>
        <v>0.53059518019446128</v>
      </c>
      <c r="AF71" s="403"/>
      <c r="AG71" s="404">
        <f>AG58/(IS!AG18*4)</f>
        <v>0.78454458851548037</v>
      </c>
      <c r="AH71" s="405">
        <f>AH58/(IS!AH18*4)</f>
        <v>1.0019675112394448</v>
      </c>
      <c r="AI71" s="405">
        <f>AI58/(IS!AI18*4)</f>
        <v>0.87477457049282159</v>
      </c>
      <c r="AJ71" s="406">
        <f>AJ58/(IS!AJ18*4)</f>
        <v>0.92580885520899636</v>
      </c>
      <c r="AK71" s="407">
        <f>AK58/(IS!AK18)</f>
        <v>0.95054631244485555</v>
      </c>
      <c r="AL71" s="403"/>
      <c r="AM71" s="404">
        <f>AM58/(IS!AM18*4)</f>
        <v>0.76918494022021411</v>
      </c>
      <c r="AN71" s="405">
        <f>AN58/(IS!AN18*4)</f>
        <v>0.81315172036041161</v>
      </c>
      <c r="AO71" s="405">
        <f>AO58/(IS!AO18*4)</f>
        <v>0.71438112338435389</v>
      </c>
      <c r="AP71" s="406">
        <f>AP58/(IS!AP18*4)</f>
        <v>0.58265358151638047</v>
      </c>
      <c r="AQ71" s="407">
        <f>AQ58/(IS!AQ18)</f>
        <v>0.60653265056104289</v>
      </c>
      <c r="AR71" s="403"/>
      <c r="AS71" s="404">
        <f>AS58/(IS!AS18*4)</f>
        <v>0.67610238121772714</v>
      </c>
      <c r="AT71" s="405">
        <f>AT58/(IS!AT18*4)</f>
        <v>0.59770196974022261</v>
      </c>
      <c r="AU71" s="405">
        <f>AU58/(IS!AU18*4)</f>
        <v>0.54291202708862385</v>
      </c>
      <c r="AV71" s="406">
        <f>AV58/(IS!AV18*4)</f>
        <v>0.49723398387436907</v>
      </c>
      <c r="AW71" s="407">
        <f>AW58/(IS!AW18)</f>
        <v>0.52628189993775609</v>
      </c>
      <c r="AX71" s="403"/>
      <c r="AY71" s="404">
        <f>AY58/(IS!AY18*4)</f>
        <v>0.66420158860586098</v>
      </c>
      <c r="AZ71" s="405">
        <f>AZ58/(IS!AZ18*4)</f>
        <v>5.601847487981904</v>
      </c>
      <c r="BA71" s="405">
        <f>BA58/(IS!BA18*4)</f>
        <v>3.5679521931986202</v>
      </c>
      <c r="BB71" s="406">
        <f>BB58/(IS!BB18*4)</f>
        <v>3.5402924704418171</v>
      </c>
      <c r="BC71" s="407">
        <f>BC58/(IS!BC18)</f>
        <v>4.2829611283213325</v>
      </c>
      <c r="BD71" s="403"/>
      <c r="BE71" s="404">
        <f>BE58/(IS!BE18*4)</f>
        <v>3.6357035423473896</v>
      </c>
      <c r="BF71" s="405">
        <f>BF58/(IS!BF18*4)</f>
        <v>3.2356993111710093</v>
      </c>
      <c r="BG71" s="405">
        <f>BG58/(IS!BG18*4)</f>
        <v>2.8747184684684686</v>
      </c>
      <c r="BH71" s="406">
        <f>BH58/(IS!BH18*4)</f>
        <v>3.1551833122629582</v>
      </c>
      <c r="BI71" s="407">
        <f>BI58/(IS!BI18)</f>
        <v>3.0389742434527962</v>
      </c>
      <c r="BJ71" s="403"/>
      <c r="BK71" s="404">
        <f>BK58/(IS!BK18*4)</f>
        <v>3.0769230769230771</v>
      </c>
      <c r="BL71" s="405">
        <f>BL58/(IS!BL18*4)</f>
        <v>3.105095541401274</v>
      </c>
      <c r="BM71" s="405">
        <f>BM58/(IS!BM18*4)</f>
        <v>1.4658314350797266</v>
      </c>
      <c r="BN71" s="406">
        <f>BN58/(IS!BN18*4)</f>
        <v>1.3841302208680604</v>
      </c>
      <c r="BO71" s="407">
        <f>BO58/IS!BO18</f>
        <v>1.4043043280839818</v>
      </c>
      <c r="BP71" s="403"/>
      <c r="BQ71" s="404">
        <f>BQ58/(IS!BQ18*4)</f>
        <v>6.1335227272727275</v>
      </c>
      <c r="BR71" s="405">
        <f>BR58/(IS!BR18*4)</f>
        <v>4.3963178654465302</v>
      </c>
      <c r="BS71" s="405">
        <f>BS58/(IS!BS18*4)</f>
        <v>3.8991443438765465</v>
      </c>
      <c r="BT71" s="406">
        <f>BT58/(IS!BT18*4)</f>
        <v>3.7629168742944157</v>
      </c>
      <c r="BU71" s="407">
        <f>BU58/IS!BU18</f>
        <v>4.1822433367025491</v>
      </c>
      <c r="BV71" s="403"/>
      <c r="BW71" s="404">
        <f>BW58/(IS!BW18*4)</f>
        <v>3.5804053661245692</v>
      </c>
      <c r="BX71" s="405">
        <f>BX58/(IS!BX18*4)</f>
        <v>3.3540135643044979</v>
      </c>
      <c r="BY71" s="405">
        <f>BY58/(IS!BY18*4)</f>
        <v>3.1359682193161289</v>
      </c>
      <c r="BZ71" s="406">
        <f>BZ58/(IS!BZ18*4)</f>
        <v>2.98719322757387</v>
      </c>
      <c r="CA71" s="407">
        <f>CA58/IS!CA18</f>
        <v>3.0854783509940824</v>
      </c>
      <c r="CB71" s="403"/>
      <c r="CC71" s="404">
        <f>CC58/(IS!CC18*4)</f>
        <v>2.7238446894871742</v>
      </c>
      <c r="CD71" s="405">
        <f>CD58/(IS!CD18*4)</f>
        <v>2.5242638147466852</v>
      </c>
      <c r="CE71" s="405">
        <f>CE58/(IS!CE18*4)</f>
        <v>2.3213245647141925</v>
      </c>
      <c r="CF71" s="406">
        <f>CF58/(IS!CF18*4)</f>
        <v>2.1657014669321728</v>
      </c>
      <c r="CG71" s="407">
        <f>CG58/IS!CG18</f>
        <v>2.2360376758374327</v>
      </c>
      <c r="CH71" s="403"/>
      <c r="CI71" s="404">
        <f>CI58/(IS!CI18*4)</f>
        <v>1.9808881079627318</v>
      </c>
      <c r="CJ71" s="405">
        <f>CJ58/(IS!CJ18*4)</f>
        <v>1.8090892720450265</v>
      </c>
      <c r="CK71" s="405">
        <f>CK58/(IS!CK18*4)</f>
        <v>1.5552805052519421</v>
      </c>
      <c r="CL71" s="406">
        <f>CL58/(IS!CL18*4)</f>
        <v>1.3835986737702102</v>
      </c>
      <c r="CM71" s="407">
        <f>CM58/IS!CM18</f>
        <v>1.4430415238629812</v>
      </c>
      <c r="CQ71"/>
      <c r="CR71"/>
      <c r="CS71"/>
      <c r="CT71"/>
      <c r="CU71"/>
      <c r="CV71"/>
    </row>
    <row r="72" spans="1:100" s="11" customFormat="1" hidden="1" outlineLevel="1" x14ac:dyDescent="0.2">
      <c r="A72" s="189" t="s">
        <v>170</v>
      </c>
      <c r="B72" s="15"/>
      <c r="C72" s="409"/>
      <c r="D72" s="403"/>
      <c r="E72" s="403"/>
      <c r="F72" s="410"/>
      <c r="G72" s="411"/>
      <c r="H72" s="403"/>
      <c r="I72" s="409">
        <f>I42/I51</f>
        <v>0.67242979871254505</v>
      </c>
      <c r="J72" s="403">
        <f>J42/J51</f>
        <v>0.60546891077828835</v>
      </c>
      <c r="K72" s="403">
        <f>K42/K51</f>
        <v>0.60209400145404712</v>
      </c>
      <c r="L72" s="410">
        <f>L42/L51</f>
        <v>0.60324870410052112</v>
      </c>
      <c r="M72" s="411">
        <f>M42/M51</f>
        <v>0.60324870410052112</v>
      </c>
      <c r="N72" s="408"/>
      <c r="O72" s="409">
        <f>O42/O51</f>
        <v>0.60703578855419937</v>
      </c>
      <c r="P72" s="403">
        <f>P42/P51</f>
        <v>0.57697621347774541</v>
      </c>
      <c r="Q72" s="403">
        <f>Q42/Q51</f>
        <v>0.69784412428797493</v>
      </c>
      <c r="R72" s="410">
        <f>R42/R51</f>
        <v>0.80928350644562652</v>
      </c>
      <c r="S72" s="411">
        <f>S42/S51</f>
        <v>0.80928350644562652</v>
      </c>
      <c r="T72" s="403"/>
      <c r="U72" s="409">
        <f>U42/U51</f>
        <v>0.72889754853417943</v>
      </c>
      <c r="V72" s="403">
        <f>V42/V51</f>
        <v>0.7367043949142793</v>
      </c>
      <c r="W72" s="403">
        <f>W42/W51</f>
        <v>0.75240367591232749</v>
      </c>
      <c r="X72" s="410">
        <f>X42/X51</f>
        <v>0.77579389759650219</v>
      </c>
      <c r="Y72" s="411">
        <f>Y42/Y51</f>
        <v>0.77579389759650219</v>
      </c>
      <c r="Z72" s="403"/>
      <c r="AA72" s="409">
        <f>AA42/AA51</f>
        <v>1.0646593546897833</v>
      </c>
      <c r="AB72" s="403">
        <f>AB42/AB51</f>
        <v>1.0286525303384291</v>
      </c>
      <c r="AC72" s="403">
        <f>AC42/AC51</f>
        <v>1.0045332553223616</v>
      </c>
      <c r="AD72" s="410">
        <f>AD42/AD51</f>
        <v>1.160325174626023</v>
      </c>
      <c r="AE72" s="411">
        <f>AE42/AE51</f>
        <v>1.160325174626023</v>
      </c>
      <c r="AF72" s="403"/>
      <c r="AG72" s="409">
        <f>AG42/AG51</f>
        <v>1.4142216038145732</v>
      </c>
      <c r="AH72" s="403">
        <f>AH42/AH51</f>
        <v>1.5010437219410366</v>
      </c>
      <c r="AI72" s="403">
        <f>AI42/AI51</f>
        <v>1.6035786009412203</v>
      </c>
      <c r="AJ72" s="410">
        <f>AJ42/AJ51</f>
        <v>1.7469085848290415</v>
      </c>
      <c r="AK72" s="411">
        <f>AK42/AK51</f>
        <v>1.7469085848290415</v>
      </c>
      <c r="AL72" s="403"/>
      <c r="AM72" s="409">
        <f>AM42/AM51</f>
        <v>1.6019728518085707</v>
      </c>
      <c r="AN72" s="403">
        <f>AN42/AN51</f>
        <v>1.5344248212270706</v>
      </c>
      <c r="AO72" s="403">
        <f>AO42/AO51</f>
        <v>1.4566941304181902</v>
      </c>
      <c r="AP72" s="410">
        <f>AP42/AP51</f>
        <v>1.4090818956970057</v>
      </c>
      <c r="AQ72" s="411">
        <f>AQ42/AQ51</f>
        <v>1.4090818956970057</v>
      </c>
      <c r="AR72" s="403"/>
      <c r="AS72" s="409">
        <f>AS42/AS51</f>
        <v>1.3695609371923607</v>
      </c>
      <c r="AT72" s="403">
        <f>AT42/AT51</f>
        <v>1.3047977422389463</v>
      </c>
      <c r="AU72" s="403">
        <f>AU42/AU51</f>
        <v>1.3008553365563407</v>
      </c>
      <c r="AV72" s="410">
        <f>AV42/AV51</f>
        <v>1.4632891351672275</v>
      </c>
      <c r="AW72" s="411">
        <f>AW42/AW51</f>
        <v>1.4632891351672275</v>
      </c>
      <c r="AX72" s="403"/>
      <c r="AY72" s="409">
        <f>AY42/AY51</f>
        <v>2.6509471191791634</v>
      </c>
      <c r="AZ72" s="403">
        <f>AZ42/AZ51</f>
        <v>2.9520882804861013</v>
      </c>
      <c r="BA72" s="403">
        <f>BA42/BA51</f>
        <v>2.7340044125758411</v>
      </c>
      <c r="BB72" s="410">
        <f>BB42/BB51</f>
        <v>2.7434573243073488</v>
      </c>
      <c r="BC72" s="411">
        <f>BC42/BC51</f>
        <v>2.7434573243073488</v>
      </c>
      <c r="BD72" s="403"/>
      <c r="BE72" s="409">
        <f t="shared" ref="BE72:BU72" si="42">BE42/BE51</f>
        <v>2.6059808943652221</v>
      </c>
      <c r="BF72" s="403">
        <f>BF42/BF51</f>
        <v>2.4223845551787111</v>
      </c>
      <c r="BG72" s="403">
        <f>BG42/BG51</f>
        <v>2.2386406074940868</v>
      </c>
      <c r="BH72" s="410">
        <f>BH42/BH51</f>
        <v>2.3520241058561511</v>
      </c>
      <c r="BI72" s="411">
        <f>BI42/BI51</f>
        <v>2.3520241058561511</v>
      </c>
      <c r="BJ72" s="403"/>
      <c r="BK72" s="409">
        <f t="shared" si="42"/>
        <v>2.207069374835136</v>
      </c>
      <c r="BL72" s="403">
        <f>BL42/BL51</f>
        <v>2.0288799598191862</v>
      </c>
      <c r="BM72" s="403">
        <f t="shared" si="42"/>
        <v>1.9529636103607182</v>
      </c>
      <c r="BN72" s="410">
        <f t="shared" si="42"/>
        <v>1.9142724745134383</v>
      </c>
      <c r="BO72" s="411">
        <f t="shared" si="42"/>
        <v>1.9142724745134383</v>
      </c>
      <c r="BP72" s="403"/>
      <c r="BQ72" s="409">
        <f t="shared" ref="BQ72" si="43">BQ42/BQ51</f>
        <v>1.6056855085423825</v>
      </c>
      <c r="BR72" s="403">
        <f t="shared" si="42"/>
        <v>1.600275432515389</v>
      </c>
      <c r="BS72" s="403">
        <f t="shared" si="42"/>
        <v>1.5811985921154392</v>
      </c>
      <c r="BT72" s="410">
        <f t="shared" si="42"/>
        <v>1.5579426073638467</v>
      </c>
      <c r="BU72" s="411">
        <f t="shared" si="42"/>
        <v>1.5579426073638467</v>
      </c>
      <c r="BV72" s="403"/>
      <c r="BW72" s="409">
        <f>BW42/BW51</f>
        <v>1.5148708046804777</v>
      </c>
      <c r="BX72" s="403">
        <f>BX42/BX51</f>
        <v>1.4767381132985904</v>
      </c>
      <c r="BY72" s="403">
        <f>BY42/BY51</f>
        <v>1.4257976460431747</v>
      </c>
      <c r="BZ72" s="410">
        <f>BZ42/BZ51</f>
        <v>1.3893158804902406</v>
      </c>
      <c r="CA72" s="411">
        <f>CA42/CA51</f>
        <v>1.3893158804902406</v>
      </c>
      <c r="CB72" s="403"/>
      <c r="CC72" s="409">
        <f>CC42/CC51</f>
        <v>1.3218087990220428</v>
      </c>
      <c r="CD72" s="403">
        <f>CD42/CD51</f>
        <v>1.2439753302908545</v>
      </c>
      <c r="CE72" s="403">
        <f>CE42/CE51</f>
        <v>1.2069419713650056</v>
      </c>
      <c r="CF72" s="410">
        <f>CF42/CF51</f>
        <v>1.1483365710480378</v>
      </c>
      <c r="CG72" s="411">
        <f>CG42/CG51</f>
        <v>1.1483365710480378</v>
      </c>
      <c r="CH72" s="403"/>
      <c r="CI72" s="409">
        <f>CI42/CI51</f>
        <v>1.109705373051274</v>
      </c>
      <c r="CJ72" s="403">
        <f>CJ42/CJ51</f>
        <v>1.0720963045600356</v>
      </c>
      <c r="CK72" s="403">
        <f>CK42/CK51</f>
        <v>1.0170372035712842</v>
      </c>
      <c r="CL72" s="410">
        <f>CL42/CL51</f>
        <v>0.99268587309064205</v>
      </c>
      <c r="CM72" s="411">
        <f>CM42/CM51</f>
        <v>0.99268587309064205</v>
      </c>
      <c r="CQ72"/>
      <c r="CR72"/>
      <c r="CS72"/>
      <c r="CT72"/>
      <c r="CU72"/>
      <c r="CV72"/>
    </row>
    <row r="73" spans="1:100" s="11" customFormat="1" hidden="1" outlineLevel="1" x14ac:dyDescent="0.2">
      <c r="A73" s="196" t="s">
        <v>171</v>
      </c>
      <c r="B73" s="383"/>
      <c r="C73" s="221">
        <v>0.22815326194094618</v>
      </c>
      <c r="D73" s="222">
        <v>0.21997961117679243</v>
      </c>
      <c r="E73" s="222">
        <v>0.21513487002158435</v>
      </c>
      <c r="F73" s="223">
        <v>0.21054895803018259</v>
      </c>
      <c r="G73" s="224">
        <v>0.21054895803018259</v>
      </c>
      <c r="H73" s="197"/>
      <c r="I73" s="203">
        <f>I57/(I57+I51)</f>
        <v>0.20488763923503039</v>
      </c>
      <c r="J73" s="197">
        <f>J57/(J57+J51)</f>
        <v>0.19381528237923884</v>
      </c>
      <c r="K73" s="197">
        <f>K57/(K57+K51)</f>
        <v>0.18596904344829565</v>
      </c>
      <c r="L73" s="202">
        <f>L57/(L57+L51)</f>
        <v>0.18957601066385388</v>
      </c>
      <c r="M73" s="349">
        <f>M57/(M57+M51)</f>
        <v>0.18957601066385388</v>
      </c>
      <c r="N73" s="412"/>
      <c r="O73" s="203">
        <f>O57/(O57+O51)</f>
        <v>0.19526199386828791</v>
      </c>
      <c r="P73" s="197">
        <f>P57/(P57+P51)</f>
        <v>0.1935833783625221</v>
      </c>
      <c r="Q73" s="197">
        <f>Q57/(Q57+Q51)</f>
        <v>0.26605346453757839</v>
      </c>
      <c r="R73" s="202">
        <f>R57/(R57+R51)</f>
        <v>0.26889226069950017</v>
      </c>
      <c r="S73" s="349">
        <f>S57/(S57+S51)</f>
        <v>0.26889226069950017</v>
      </c>
      <c r="T73" s="197"/>
      <c r="U73" s="203">
        <f>U57/(U57+U51)</f>
        <v>0.24351745696089597</v>
      </c>
      <c r="V73" s="197">
        <f>V57/(V57+V51)</f>
        <v>0.24718115088307541</v>
      </c>
      <c r="W73" s="197">
        <f>W57/(W57+W51)</f>
        <v>0.24755405432631697</v>
      </c>
      <c r="X73" s="202">
        <f>X57/(X57+X51)</f>
        <v>0.2380748090308081</v>
      </c>
      <c r="Y73" s="349">
        <f>Y57/(Y57+Y51)</f>
        <v>0.2380748090308081</v>
      </c>
      <c r="Z73" s="197"/>
      <c r="AA73" s="203">
        <f>AA57/(AA57+AA51)</f>
        <v>0.35801863245561766</v>
      </c>
      <c r="AB73" s="197">
        <f>AB57/(AB57+AB51)</f>
        <v>0.34833449632316293</v>
      </c>
      <c r="AC73" s="197">
        <f>AC57/(AC57+AC51)</f>
        <v>0.33960993062937855</v>
      </c>
      <c r="AD73" s="202">
        <f>AD57/(AD57+AD51)</f>
        <v>0.3603178527385299</v>
      </c>
      <c r="AE73" s="349">
        <f>AE57/(AE57+AE51)</f>
        <v>0.3603178527385299</v>
      </c>
      <c r="AF73" s="197"/>
      <c r="AG73" s="203">
        <f>AG57/(AG57+AG51)</f>
        <v>0.46903143679855946</v>
      </c>
      <c r="AH73" s="197">
        <f>AH57/(AH57+AH51)</f>
        <v>0.48231621065969094</v>
      </c>
      <c r="AI73" s="197">
        <f>AI57/(AI57+AI51)</f>
        <v>0.49624518923235084</v>
      </c>
      <c r="AJ73" s="202">
        <f>AJ57/(AJ57+AJ51)</f>
        <v>0.50182874469880845</v>
      </c>
      <c r="AK73" s="349">
        <f>AK57/(AK57+AK51)</f>
        <v>0.50182874469880845</v>
      </c>
      <c r="AL73" s="197"/>
      <c r="AM73" s="203">
        <f>AM57/(AM57+AM51)</f>
        <v>0.48265867250417394</v>
      </c>
      <c r="AN73" s="197">
        <f>AN57/(AN57+AN51)</f>
        <v>0.47606446231829358</v>
      </c>
      <c r="AO73" s="197">
        <f>AO57/(AO57+AO51)</f>
        <v>0.45702991037031065</v>
      </c>
      <c r="AP73" s="202">
        <f>AP57/(AP57+AP51)</f>
        <v>0.44047486963275267</v>
      </c>
      <c r="AQ73" s="349">
        <f>AQ57/(AQ57+AQ51)</f>
        <v>0.44047486963275267</v>
      </c>
      <c r="AR73" s="197"/>
      <c r="AS73" s="203">
        <f>AS57/(AS57+AS51)</f>
        <v>0.43866047745358089</v>
      </c>
      <c r="AT73" s="197">
        <f>AT57/(AT57+AT51)</f>
        <v>0.42732464174119167</v>
      </c>
      <c r="AU73" s="197">
        <f>AU57/(AU57+AU51)</f>
        <v>0.42487434498984067</v>
      </c>
      <c r="AV73" s="202">
        <f>AV57/(AV57+AV51)</f>
        <v>0.44004875886524825</v>
      </c>
      <c r="AW73" s="349">
        <f>AW57/(AW57+AW51)</f>
        <v>0.44004875886524825</v>
      </c>
      <c r="AX73" s="197"/>
      <c r="AY73" s="203">
        <f>AY57/(AY57+AY51)</f>
        <v>0.66679815910585138</v>
      </c>
      <c r="AZ73" s="197">
        <f>AZ57/(AZ57+AZ51)</f>
        <v>0.65904653045673189</v>
      </c>
      <c r="BA73" s="197">
        <f>BA57/(BA57+BA51)</f>
        <v>0.64491015032071686</v>
      </c>
      <c r="BB73" s="202">
        <f>BB57/(BB57+BB51)</f>
        <v>0.641533034798489</v>
      </c>
      <c r="BC73" s="349">
        <f>BC57/(BC57+BC51)</f>
        <v>0.641533034798489</v>
      </c>
      <c r="BD73" s="197"/>
      <c r="BE73" s="203">
        <f>BE57/(BE57+BE51)</f>
        <v>0.63942691693290732</v>
      </c>
      <c r="BF73" s="197">
        <f>BF57/(BF57+BF51)</f>
        <v>0.62013775333234233</v>
      </c>
      <c r="BG73" s="197">
        <f>BG57/(BG57+BG51)</f>
        <v>0.59724241664577593</v>
      </c>
      <c r="BH73" s="202">
        <f>BH57/(BH57+BH51)</f>
        <v>0.60211634695579652</v>
      </c>
      <c r="BI73" s="349">
        <f>BI57/(BI57+BI51)</f>
        <v>0.60211634695579652</v>
      </c>
      <c r="BJ73" s="197"/>
      <c r="BK73" s="203">
        <f>BK57/(BK57+BK51)</f>
        <v>0.59234367439109625</v>
      </c>
      <c r="BL73" s="197">
        <f>BL57/(BL57+BL51)</f>
        <v>0.56409414340448827</v>
      </c>
      <c r="BM73" s="197">
        <f>BM57/(BM57+BM51)</f>
        <v>0.60173406746408453</v>
      </c>
      <c r="BN73" s="202">
        <f>BN57/(BN57+BN51)</f>
        <v>0.59306053177446727</v>
      </c>
      <c r="BO73" s="349">
        <f>BO57/(BO57+BO51)</f>
        <v>0.59306053177446727</v>
      </c>
      <c r="BP73" s="197"/>
      <c r="BQ73" s="203">
        <f>BQ57/(BQ57+BQ51)</f>
        <v>0.51760699284822342</v>
      </c>
      <c r="BR73" s="197">
        <f>BR57/(BR57+BR51)</f>
        <v>0.51342681189559769</v>
      </c>
      <c r="BS73" s="197">
        <f>BS57/(BS57+BS51)</f>
        <v>0.5054674814903436</v>
      </c>
      <c r="BT73" s="202">
        <f>BT57/(BT57+BT51)</f>
        <v>0.49647791022122018</v>
      </c>
      <c r="BU73" s="349">
        <f>BU57/(BU57+BU51)</f>
        <v>0.49647791022122018</v>
      </c>
      <c r="BV73" s="197"/>
      <c r="BW73" s="203">
        <f>BW57/(BW57+BW51)</f>
        <v>0.48705139321577234</v>
      </c>
      <c r="BX73" s="197">
        <f>BX57/(BX57+BX51)</f>
        <v>0.47773301565387249</v>
      </c>
      <c r="BY73" s="197">
        <f>BY57/(BY57+BY51)</f>
        <v>0.46329321618352315</v>
      </c>
      <c r="BZ73" s="202">
        <f>BZ57/(BZ57+BZ51)</f>
        <v>0.45372335364091448</v>
      </c>
      <c r="CA73" s="349">
        <f>CA57/(CA57+CA51)</f>
        <v>0.45372335364091448</v>
      </c>
      <c r="CB73" s="197"/>
      <c r="CC73" s="203">
        <f>CC57/(CC57+CC51)</f>
        <v>0.43720495755133293</v>
      </c>
      <c r="CD73" s="197">
        <f>CD57/(CD57+CD51)</f>
        <v>0.41309412714598615</v>
      </c>
      <c r="CE73" s="197">
        <f>CE57/(CE57+CE51)</f>
        <v>0.40078760129074725</v>
      </c>
      <c r="CF73" s="202">
        <f>CF57/(CF57+CF51)</f>
        <v>0.38160693281065944</v>
      </c>
      <c r="CG73" s="349">
        <f>CG57/(CG57+CG51)</f>
        <v>0.38160693281065944</v>
      </c>
      <c r="CH73" s="197"/>
      <c r="CI73" s="203">
        <f>CI57/(CI57+CI51)</f>
        <v>0.37227339813855248</v>
      </c>
      <c r="CJ73" s="197">
        <f>CJ57/(CJ57+CJ51)</f>
        <v>0.35949716347096772</v>
      </c>
      <c r="CK73" s="197">
        <f>CK57/(CK57+CK51)</f>
        <v>0.34050517162577459</v>
      </c>
      <c r="CL73" s="202">
        <f>CL57/(CL57+CL51)</f>
        <v>0.33413770849987551</v>
      </c>
      <c r="CM73" s="349">
        <f>CM57/(CM57+CM51)</f>
        <v>0.33413770849987551</v>
      </c>
      <c r="CQ73"/>
      <c r="CR73"/>
      <c r="CS73"/>
      <c r="CT73"/>
      <c r="CU73"/>
      <c r="CV73"/>
    </row>
    <row r="74" spans="1:100" s="11" customFormat="1" collapsed="1" x14ac:dyDescent="0.2">
      <c r="A74" s="225"/>
      <c r="B74" s="15"/>
      <c r="C74" s="15"/>
      <c r="D74" s="15"/>
      <c r="E74" s="15"/>
      <c r="F74" s="15"/>
      <c r="G74" s="15"/>
      <c r="H74" s="15"/>
      <c r="I74" s="15"/>
      <c r="J74" s="15"/>
      <c r="K74" s="15"/>
      <c r="L74" s="15"/>
      <c r="M74" s="15"/>
      <c r="N74" s="390"/>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Q74"/>
      <c r="CR74"/>
      <c r="CS74"/>
      <c r="CT74"/>
      <c r="CU74"/>
      <c r="CV74"/>
    </row>
    <row r="75" spans="1:100" s="11" customFormat="1" x14ac:dyDescent="0.2">
      <c r="A75" s="176" t="s">
        <v>172</v>
      </c>
      <c r="B75" s="371"/>
      <c r="C75" s="372"/>
      <c r="D75" s="371"/>
      <c r="E75" s="371"/>
      <c r="F75" s="373"/>
      <c r="G75" s="374"/>
      <c r="H75" s="371"/>
      <c r="I75" s="372"/>
      <c r="J75" s="371"/>
      <c r="K75" s="371"/>
      <c r="L75" s="373"/>
      <c r="M75" s="374"/>
      <c r="N75" s="376"/>
      <c r="O75" s="372"/>
      <c r="P75" s="371"/>
      <c r="Q75" s="371"/>
      <c r="R75" s="373"/>
      <c r="S75" s="374"/>
      <c r="T75" s="371"/>
      <c r="U75" s="372"/>
      <c r="V75" s="371"/>
      <c r="W75" s="371"/>
      <c r="X75" s="373"/>
      <c r="Y75" s="374"/>
      <c r="Z75" s="371"/>
      <c r="AA75" s="372"/>
      <c r="AB75" s="371"/>
      <c r="AC75" s="371"/>
      <c r="AD75" s="373"/>
      <c r="AE75" s="374"/>
      <c r="AF75" s="371"/>
      <c r="AG75" s="372"/>
      <c r="AH75" s="371"/>
      <c r="AI75" s="371"/>
      <c r="AJ75" s="373"/>
      <c r="AK75" s="374"/>
      <c r="AL75" s="371"/>
      <c r="AM75" s="372"/>
      <c r="AN75" s="371"/>
      <c r="AO75" s="371"/>
      <c r="AP75" s="373"/>
      <c r="AQ75" s="374"/>
      <c r="AR75" s="371"/>
      <c r="AS75" s="372"/>
      <c r="AT75" s="371"/>
      <c r="AU75" s="371"/>
      <c r="AV75" s="373"/>
      <c r="AW75" s="374"/>
      <c r="AX75" s="371"/>
      <c r="AY75" s="372"/>
      <c r="AZ75" s="371"/>
      <c r="BA75" s="371"/>
      <c r="BB75" s="373"/>
      <c r="BC75" s="374"/>
      <c r="BD75" s="371"/>
      <c r="BE75" s="372"/>
      <c r="BF75" s="371"/>
      <c r="BG75" s="371"/>
      <c r="BH75" s="373"/>
      <c r="BI75" s="374"/>
      <c r="BJ75" s="371"/>
      <c r="BK75" s="372"/>
      <c r="BL75" s="371"/>
      <c r="BM75" s="371"/>
      <c r="BN75" s="373"/>
      <c r="BO75" s="374"/>
      <c r="BP75" s="371"/>
      <c r="BQ75" s="372"/>
      <c r="BR75" s="371"/>
      <c r="BS75" s="371"/>
      <c r="BT75" s="373"/>
      <c r="BU75" s="374"/>
      <c r="BV75" s="371"/>
      <c r="BW75" s="372"/>
      <c r="BX75" s="371"/>
      <c r="BY75" s="371"/>
      <c r="BZ75" s="373"/>
      <c r="CA75" s="374"/>
      <c r="CB75" s="371"/>
      <c r="CC75" s="372"/>
      <c r="CD75" s="371"/>
      <c r="CE75" s="371"/>
      <c r="CF75" s="373"/>
      <c r="CG75" s="374"/>
      <c r="CH75" s="371"/>
      <c r="CI75" s="372"/>
      <c r="CJ75" s="371"/>
      <c r="CK75" s="371"/>
      <c r="CL75" s="373"/>
      <c r="CM75" s="374"/>
      <c r="CQ75"/>
      <c r="CR75"/>
      <c r="CS75"/>
      <c r="CT75"/>
      <c r="CU75"/>
      <c r="CV75"/>
    </row>
    <row r="76" spans="1:100" s="11" customFormat="1" hidden="1" outlineLevel="1" x14ac:dyDescent="0.2">
      <c r="A76" s="189" t="s">
        <v>173</v>
      </c>
      <c r="B76" s="15"/>
      <c r="C76" s="413">
        <f>C17/C36</f>
        <v>1.918888519089569</v>
      </c>
      <c r="D76" s="414">
        <f>D17/D36</f>
        <v>2.1164563277633985</v>
      </c>
      <c r="E76" s="414">
        <f>E17/E36</f>
        <v>2.0930703006827915</v>
      </c>
      <c r="F76" s="415">
        <f>F17/F36</f>
        <v>2.1169508705992452</v>
      </c>
      <c r="G76" s="416">
        <f>G17/G36</f>
        <v>2.1169508705992452</v>
      </c>
      <c r="H76" s="414"/>
      <c r="I76" s="413">
        <f>I17/I36</f>
        <v>2.2348033078435017</v>
      </c>
      <c r="J76" s="414">
        <f>J17/J36</f>
        <v>2.4821115564719012</v>
      </c>
      <c r="K76" s="414">
        <f>K17/K36</f>
        <v>2.4888123665966559</v>
      </c>
      <c r="L76" s="415">
        <f>L17/L36</f>
        <v>2.5516931988967784</v>
      </c>
      <c r="M76" s="416">
        <f>M17/M36</f>
        <v>2.5516931988967784</v>
      </c>
      <c r="N76" s="417"/>
      <c r="O76" s="413">
        <f>O17/O36</f>
        <v>2.1152157617281451</v>
      </c>
      <c r="P76" s="414">
        <f>P17/P36</f>
        <v>2.2557928942262695</v>
      </c>
      <c r="Q76" s="414">
        <f>Q17/Q36</f>
        <v>2.7279931149337187</v>
      </c>
      <c r="R76" s="415">
        <f>R17/R36</f>
        <v>2.6149188590580237</v>
      </c>
      <c r="S76" s="416">
        <f>S17/S36</f>
        <v>2.6149188590580237</v>
      </c>
      <c r="T76" s="414"/>
      <c r="U76" s="413">
        <f>U17/U36</f>
        <v>2.6363541840635758</v>
      </c>
      <c r="V76" s="414">
        <f>V17/V36</f>
        <v>2.6845548721401378</v>
      </c>
      <c r="W76" s="414">
        <f>W17/W36</f>
        <v>2.6923018154321525</v>
      </c>
      <c r="X76" s="415">
        <f>X17/X36</f>
        <v>2.6950545950075164</v>
      </c>
      <c r="Y76" s="416">
        <f>Y17/Y36</f>
        <v>2.6950545950075164</v>
      </c>
      <c r="Z76" s="414"/>
      <c r="AA76" s="413">
        <f>AA17/AA36</f>
        <v>3.0705689138792809</v>
      </c>
      <c r="AB76" s="414">
        <f>AB17/AB36</f>
        <v>3.0759365157377454</v>
      </c>
      <c r="AC76" s="414">
        <f>AC17/AC36</f>
        <v>3.059927282641083</v>
      </c>
      <c r="AD76" s="415">
        <f>AD17/AD36</f>
        <v>2.5604757057263274</v>
      </c>
      <c r="AE76" s="416">
        <f>AE17/AE36</f>
        <v>2.5604757057263274</v>
      </c>
      <c r="AF76" s="414"/>
      <c r="AG76" s="413">
        <f>AG17/AG36</f>
        <v>3.5447187267722211</v>
      </c>
      <c r="AH76" s="414">
        <f>AH17/AH36</f>
        <v>3.2689614298956076</v>
      </c>
      <c r="AI76" s="414">
        <f>AI17/AI36</f>
        <v>2.7966352837454602</v>
      </c>
      <c r="AJ76" s="415">
        <f>AJ17/AJ36</f>
        <v>2.6905576437460028</v>
      </c>
      <c r="AK76" s="416">
        <f>AK17/AK36</f>
        <v>2.6905576437460028</v>
      </c>
      <c r="AL76" s="414"/>
      <c r="AM76" s="413">
        <f>AM17/AM36</f>
        <v>2.7335668251336722</v>
      </c>
      <c r="AN76" s="414">
        <f>AN17/AN36</f>
        <v>2.9285856151017096</v>
      </c>
      <c r="AO76" s="414">
        <f>AO17/AO36</f>
        <v>3.2103357893972002</v>
      </c>
      <c r="AP76" s="415">
        <f>AP17/AP36</f>
        <v>2.7572769953051641</v>
      </c>
      <c r="AQ76" s="416">
        <f>AQ17/AQ36</f>
        <v>2.7572769953051641</v>
      </c>
      <c r="AR76" s="414"/>
      <c r="AS76" s="413">
        <f>AS17/AS36</f>
        <v>2.8758137205808714</v>
      </c>
      <c r="AT76" s="414">
        <f>AT17/AT36</f>
        <v>2.9494047619047619</v>
      </c>
      <c r="AU76" s="414">
        <f>AU17/AU36</f>
        <v>2.8881987577639752</v>
      </c>
      <c r="AV76" s="415">
        <f>AV17/AV36</f>
        <v>2.7444046553267682</v>
      </c>
      <c r="AW76" s="416">
        <f>AW17/AW36</f>
        <v>2.7444046553267682</v>
      </c>
      <c r="AX76" s="414"/>
      <c r="AY76" s="413">
        <f>AY17/AY36</f>
        <v>5.8225961538461535</v>
      </c>
      <c r="AZ76" s="414">
        <f>AZ17/AZ36</f>
        <v>1.5557038025350234</v>
      </c>
      <c r="BA76" s="414">
        <f>BA17/BA36</f>
        <v>1.3953951737879122</v>
      </c>
      <c r="BB76" s="415">
        <f>BB17/BB36</f>
        <v>1.378406111047771</v>
      </c>
      <c r="BC76" s="416">
        <f>BC17/BC36</f>
        <v>1.378406111047771</v>
      </c>
      <c r="BD76" s="414"/>
      <c r="BE76" s="413">
        <f>BE17/BE36</f>
        <v>1.2455288143077943</v>
      </c>
      <c r="BF76" s="414">
        <f>BF17/BF36</f>
        <v>1.509933774834437</v>
      </c>
      <c r="BG76" s="414">
        <f>BG17/BG36</f>
        <v>1.5487082246977957</v>
      </c>
      <c r="BH76" s="415">
        <f>BH17/BH36</f>
        <v>1.4468181818181818</v>
      </c>
      <c r="BI76" s="416">
        <f>BI17/BI36</f>
        <v>1.4468181818181818</v>
      </c>
      <c r="BJ76" s="414"/>
      <c r="BK76" s="413">
        <f>BK17/BK36</f>
        <v>1.1347921225382933</v>
      </c>
      <c r="BL76" s="414">
        <f>BL17/BL36</f>
        <v>1.217272274763564</v>
      </c>
      <c r="BM76" s="414">
        <f>BM17/BM36</f>
        <v>5.564314084937366</v>
      </c>
      <c r="BN76" s="415">
        <f>BN17/BN36</f>
        <v>5.5757031717534407</v>
      </c>
      <c r="BO76" s="416">
        <f>BO17/BO36</f>
        <v>5.5757031717534407</v>
      </c>
      <c r="BP76" s="414"/>
      <c r="BQ76" s="413">
        <f>BQ17/BQ36</f>
        <v>1.5406454248366013</v>
      </c>
      <c r="BR76" s="414">
        <f>BR17/BR36</f>
        <v>1.6400585588021692</v>
      </c>
      <c r="BS76" s="414">
        <f>BS17/BS36</f>
        <v>1.7908560706545362</v>
      </c>
      <c r="BT76" s="415">
        <f>BT17/BT36</f>
        <v>1.8754249172135309</v>
      </c>
      <c r="BU76" s="416">
        <f>BU17/BU36</f>
        <v>1.8754249172135309</v>
      </c>
      <c r="BV76" s="414"/>
      <c r="BW76" s="413">
        <f>BW17/BW36</f>
        <v>1.9144658546871467</v>
      </c>
      <c r="BX76" s="414">
        <f>BX17/BX36</f>
        <v>1.9555927055442484</v>
      </c>
      <c r="BY76" s="414">
        <f>BY17/BY36</f>
        <v>1.9010450886557761</v>
      </c>
      <c r="BZ76" s="415">
        <f>BZ17/BZ36</f>
        <v>1.9461395375559278</v>
      </c>
      <c r="CA76" s="416">
        <f>CA17/CA36</f>
        <v>1.9461395375559278</v>
      </c>
      <c r="CB76" s="414"/>
      <c r="CC76" s="413">
        <f>CC17/CC36</f>
        <v>1.9643849518155256</v>
      </c>
      <c r="CD76" s="414">
        <f>CD17/CD36</f>
        <v>1.8282079732978425</v>
      </c>
      <c r="CE76" s="414">
        <f>CE17/CE36</f>
        <v>1.8787468447954414</v>
      </c>
      <c r="CF76" s="415">
        <f>CF17/CF36</f>
        <v>1.8629679210334011</v>
      </c>
      <c r="CG76" s="416">
        <f>CG17/CG36</f>
        <v>1.8629679210334011</v>
      </c>
      <c r="CH76" s="414"/>
      <c r="CI76" s="413">
        <f>CI17/CI36</f>
        <v>2.050691083823807</v>
      </c>
      <c r="CJ76" s="414">
        <f>CJ17/CJ36</f>
        <v>2.1501164807170086</v>
      </c>
      <c r="CK76" s="414">
        <f>CK17/CK36</f>
        <v>2.2099605601505128</v>
      </c>
      <c r="CL76" s="415">
        <f>CL17/CL36</f>
        <v>2.427121057568987</v>
      </c>
      <c r="CM76" s="416">
        <f>CM17/CM36</f>
        <v>2.427121057568987</v>
      </c>
      <c r="CQ76"/>
      <c r="CR76"/>
      <c r="CS76"/>
      <c r="CT76"/>
      <c r="CU76"/>
      <c r="CV76"/>
    </row>
    <row r="77" spans="1:100" s="11" customFormat="1" hidden="1" outlineLevel="1" x14ac:dyDescent="0.2">
      <c r="A77" s="189" t="s">
        <v>174</v>
      </c>
      <c r="B77" s="15"/>
      <c r="C77" s="413">
        <f>(C8+C9+C10)/C36</f>
        <v>1.0677919131681008</v>
      </c>
      <c r="D77" s="414">
        <f>(D8+D9+D10)/D36</f>
        <v>1.1538466107445833</v>
      </c>
      <c r="E77" s="414">
        <f>(E8+E9+E10)/E36</f>
        <v>1.1383572004127851</v>
      </c>
      <c r="F77" s="415">
        <f>(F8+F9+F10)/F36</f>
        <v>1.185192949190869</v>
      </c>
      <c r="G77" s="416">
        <f>(G8+G9+G10)/G36</f>
        <v>1.185192949190869</v>
      </c>
      <c r="H77" s="414"/>
      <c r="I77" s="413">
        <f>(I8+I9+I10)/I36</f>
        <v>1.2963523663053196</v>
      </c>
      <c r="J77" s="414">
        <f>(J8+J9+J10)/J36</f>
        <v>1.3992778338205547</v>
      </c>
      <c r="K77" s="414">
        <f>(K8+K9+K10)/K36</f>
        <v>1.4623005302367276</v>
      </c>
      <c r="L77" s="415">
        <f>(L8+L9+L10)/L36</f>
        <v>1.489129797914553</v>
      </c>
      <c r="M77" s="416">
        <f>(M8+M9+M10)/M36</f>
        <v>1.489129797914553</v>
      </c>
      <c r="N77" s="417"/>
      <c r="O77" s="413">
        <f>(O8+O9+O10)/O36</f>
        <v>1.1285542145140144</v>
      </c>
      <c r="P77" s="414">
        <f>(P8+P9+P10)/P36</f>
        <v>1.1864105536090535</v>
      </c>
      <c r="Q77" s="414">
        <f>(Q8+Q9+Q10)/Q36</f>
        <v>1.759472128722072</v>
      </c>
      <c r="R77" s="415">
        <f>(R8+R9+R10)/R36</f>
        <v>1.7525627527653307</v>
      </c>
      <c r="S77" s="416">
        <f>(S8+S9+S10)/S36</f>
        <v>1.7525627527653307</v>
      </c>
      <c r="T77" s="414"/>
      <c r="U77" s="413">
        <f>(U8+U9+U10)/U36</f>
        <v>1.6464982743349317</v>
      </c>
      <c r="V77" s="414">
        <f>(V8+V9+V10)/V36</f>
        <v>1.6356474357838611</v>
      </c>
      <c r="W77" s="414">
        <f>(W8+W9+W10)/W36</f>
        <v>1.655534776084512</v>
      </c>
      <c r="X77" s="415">
        <f>(X8+X9+X10)/X36</f>
        <v>1.7644431656191133</v>
      </c>
      <c r="Y77" s="416">
        <f>(Y8+Y9+Y10)/Y36</f>
        <v>1.7644431656191133</v>
      </c>
      <c r="Z77" s="414"/>
      <c r="AA77" s="413">
        <f>(AA8+AA9+AA10)/AA36</f>
        <v>2.071724988262496</v>
      </c>
      <c r="AB77" s="414">
        <f>(AB8+AB9+AB10)/AB36</f>
        <v>1.94318742475035</v>
      </c>
      <c r="AC77" s="414">
        <f>(AC8+AC9+AC10)/AC36</f>
        <v>1.9129448479606448</v>
      </c>
      <c r="AD77" s="415">
        <f>(AD8+AD9+AD10)/AD36</f>
        <v>1.5313224676233581</v>
      </c>
      <c r="AE77" s="416">
        <f>(AE8+AE9+AE10)/AE36</f>
        <v>1.5313224676233581</v>
      </c>
      <c r="AF77" s="414"/>
      <c r="AG77" s="413">
        <f>(AG8+AG9+AG10)/AG36</f>
        <v>2.3859773626814178</v>
      </c>
      <c r="AH77" s="414">
        <f>(AH8+AH9+AH10)/AH36</f>
        <v>2.0659461766314791</v>
      </c>
      <c r="AI77" s="414">
        <f>(AI8+AI9+AI10)/AI36</f>
        <v>1.7721611562659916</v>
      </c>
      <c r="AJ77" s="415">
        <f>(AJ8+AJ9+AJ10)/AJ36</f>
        <v>1.7341681601371042</v>
      </c>
      <c r="AK77" s="416">
        <f>(AK8+AK9+AK10)/AK36</f>
        <v>1.7341681601371042</v>
      </c>
      <c r="AL77" s="414"/>
      <c r="AM77" s="413">
        <f>(AM8+AM9+AM10)/AM36</f>
        <v>1.8364442838592221</v>
      </c>
      <c r="AN77" s="414">
        <f>(AN8+AN9+AN10)/AN36</f>
        <v>1.9385747580321815</v>
      </c>
      <c r="AO77" s="414">
        <f>(AO8+AO9+AO10)/AO36</f>
        <v>2.0993403303487619</v>
      </c>
      <c r="AP77" s="415">
        <f>(AP8+AP9+AP10)/AP36</f>
        <v>1.8065727699530516</v>
      </c>
      <c r="AQ77" s="416">
        <f>(AQ8+AQ9+AQ10)/AQ36</f>
        <v>1.8065727699530516</v>
      </c>
      <c r="AR77" s="414"/>
      <c r="AS77" s="413">
        <f>(AS8+AS9+AS10)/AS36</f>
        <v>1.8157235853780671</v>
      </c>
      <c r="AT77" s="414">
        <f>(AT8+AT9+AT10)/AT36</f>
        <v>1.8630952380952381</v>
      </c>
      <c r="AU77" s="414">
        <f>(AU8+AU9+AU10)/AU36</f>
        <v>1.8361204013377928</v>
      </c>
      <c r="AV77" s="415">
        <f>(AV8+AV9+AV10)/AV36</f>
        <v>1.7600716204118174</v>
      </c>
      <c r="AW77" s="416">
        <f>(AW8+AW9+AW10)/AW36</f>
        <v>1.7600716204118174</v>
      </c>
      <c r="AX77" s="414"/>
      <c r="AY77" s="413">
        <f>(AY8+AY9+AY10)/AY36</f>
        <v>4.71875</v>
      </c>
      <c r="AZ77" s="414">
        <f>(AZ8+AZ9+AZ10)/AZ36</f>
        <v>0.78363353346675557</v>
      </c>
      <c r="BA77" s="414">
        <f>(BA8+BA9+BA10)/BA36</f>
        <v>0.71574053575381891</v>
      </c>
      <c r="BB77" s="415">
        <f>(BB8+BB9+BB10)/BB36</f>
        <v>0.69809599817580659</v>
      </c>
      <c r="BC77" s="416">
        <f>(BC8+BC9+BC10)/BC36</f>
        <v>0.69809599817580659</v>
      </c>
      <c r="BD77" s="414"/>
      <c r="BE77" s="413">
        <f>(BE8+BE9+BE10)/BE36</f>
        <v>0.6858026054316626</v>
      </c>
      <c r="BF77" s="414">
        <f>(BF8+BF9+BF10)/BF36</f>
        <v>0.75017127197990408</v>
      </c>
      <c r="BG77" s="414">
        <f>(BG8+BG9+BG10)/BG36</f>
        <v>0.7867978193884807</v>
      </c>
      <c r="BH77" s="415">
        <f>(BH8+BH9+BH10)/BH36</f>
        <v>0.72409090909090912</v>
      </c>
      <c r="BI77" s="416">
        <f>(BI8+BI9+BI10)/BI36</f>
        <v>0.72409090909090912</v>
      </c>
      <c r="BJ77" s="414"/>
      <c r="BK77" s="413">
        <f>(BK8+BK9+BK10)/BK36</f>
        <v>0.53719912472647702</v>
      </c>
      <c r="BL77" s="414">
        <f>(BL8+BL9+BL10)/BL36</f>
        <v>0.52887008461921359</v>
      </c>
      <c r="BM77" s="414">
        <f>(BM8+BM9+BM10)/BM36</f>
        <v>4.7714634891536818</v>
      </c>
      <c r="BN77" s="415">
        <f>(BN8+BN9+BN10)/BN36</f>
        <v>4.7707959305804906</v>
      </c>
      <c r="BO77" s="416">
        <f>(BO8+BO9+BO10)/BO36</f>
        <v>4.7707959305804906</v>
      </c>
      <c r="BP77" s="414"/>
      <c r="BQ77" s="413">
        <f>(BQ8+BQ9+BQ10)/BQ36</f>
        <v>0.65522875816993464</v>
      </c>
      <c r="BR77" s="414">
        <f>(BR8+BR9+BR10)/BR36</f>
        <v>0.64932263201221307</v>
      </c>
      <c r="BS77" s="414">
        <f>(BS8+BS9+BS10)/BS36</f>
        <v>0.74864767637409546</v>
      </c>
      <c r="BT77" s="415">
        <f>(BT8+BT9+BT10)/BT36</f>
        <v>0.83031040245542653</v>
      </c>
      <c r="BU77" s="416">
        <f>(BU8+BU9+BU10)/BU36</f>
        <v>0.83031040245542653</v>
      </c>
      <c r="BV77" s="414"/>
      <c r="BW77" s="413">
        <f>(BW8+BW9+BW10)/BW36</f>
        <v>0.87030810389151758</v>
      </c>
      <c r="BX77" s="414">
        <f>(BX8+BX9+BX10)/BX36</f>
        <v>0.90911918779755096</v>
      </c>
      <c r="BY77" s="414">
        <f>(BY8+BY9+BY10)/BY36</f>
        <v>0.85181786970282247</v>
      </c>
      <c r="BZ77" s="415">
        <f>(BZ8+BZ9+BZ10)/BZ36</f>
        <v>0.89402891663358908</v>
      </c>
      <c r="CA77" s="416">
        <f>(CA8+CA9+CA10)/CA36</f>
        <v>0.89402891663358908</v>
      </c>
      <c r="CB77" s="414"/>
      <c r="CC77" s="413">
        <f>(CC8+CC9+CC10)/CC36</f>
        <v>0.89924708304400369</v>
      </c>
      <c r="CD77" s="414">
        <f>(CD8+CD9+CD10)/CD36</f>
        <v>0.76076199957019441</v>
      </c>
      <c r="CE77" s="414">
        <f>(CE8+CE9+CE10)/CE36</f>
        <v>0.80855104864110805</v>
      </c>
      <c r="CF77" s="415">
        <f>(CF8+CF9+CF10)/CF36</f>
        <v>0.78981621704933147</v>
      </c>
      <c r="CG77" s="416">
        <f>(CG8+CG9+CG10)/CG36</f>
        <v>0.78981621704933147</v>
      </c>
      <c r="CH77" s="414"/>
      <c r="CI77" s="413">
        <f>(CI8+CI9+CI10)/CI36</f>
        <v>0.96710328266764634</v>
      </c>
      <c r="CJ77" s="414">
        <f>(CJ8+CJ9+CJ10)/CJ36</f>
        <v>1.0696327850840481</v>
      </c>
      <c r="CK77" s="414">
        <f>(CK8+CK9+CK10)/CK36</f>
        <v>1.1182099719376863</v>
      </c>
      <c r="CL77" s="415">
        <f>(CL8+CL9+CL10)/CL36</f>
        <v>1.3323353971294798</v>
      </c>
      <c r="CM77" s="416">
        <f>(CM8+CM9+CM10)/CM36</f>
        <v>1.3323353971294798</v>
      </c>
      <c r="CQ77"/>
      <c r="CR77"/>
      <c r="CS77"/>
      <c r="CT77"/>
      <c r="CU77"/>
      <c r="CV77"/>
    </row>
    <row r="78" spans="1:100" s="11" customFormat="1" hidden="1" outlineLevel="1" x14ac:dyDescent="0.2">
      <c r="A78" s="196" t="s">
        <v>175</v>
      </c>
      <c r="B78" s="383"/>
      <c r="C78" s="418">
        <f>(C8+C9)/C36</f>
        <v>0.43698030931826359</v>
      </c>
      <c r="D78" s="419">
        <f>(D8+D9)/D36</f>
        <v>0.43063567935827696</v>
      </c>
      <c r="E78" s="419">
        <f>(E8+E9)/E36</f>
        <v>0.40746829895814185</v>
      </c>
      <c r="F78" s="420">
        <f>(F8+F9)/F36</f>
        <v>0.45274406633987213</v>
      </c>
      <c r="G78" s="421">
        <f>(G8+G9)/G36</f>
        <v>0.45274406633987213</v>
      </c>
      <c r="H78" s="419"/>
      <c r="I78" s="418">
        <f>(I8+I9)/I36</f>
        <v>0.61439959487067797</v>
      </c>
      <c r="J78" s="419">
        <f>(J8+J9)/J36</f>
        <v>0.55214383566114311</v>
      </c>
      <c r="K78" s="419">
        <f>(K8+K9)/K36</f>
        <v>0.66059733319508396</v>
      </c>
      <c r="L78" s="420">
        <f>(L8+L9)/L36</f>
        <v>0.72739960143415916</v>
      </c>
      <c r="M78" s="421">
        <f>(M8+M9)/M36</f>
        <v>0.72739960143415916</v>
      </c>
      <c r="N78" s="422"/>
      <c r="O78" s="418">
        <f>(O8+O9)/O36</f>
        <v>0.47416975746491874</v>
      </c>
      <c r="P78" s="419">
        <f>(P8+P9)/P36</f>
        <v>0.48334896639740726</v>
      </c>
      <c r="Q78" s="419">
        <f>(Q8+Q9)/Q36</f>
        <v>1.0640755753852806</v>
      </c>
      <c r="R78" s="420">
        <f>(R8+R9)/R36</f>
        <v>1.0949370685721007</v>
      </c>
      <c r="S78" s="421">
        <f>(S8+S9)/S36</f>
        <v>1.0949370685721007</v>
      </c>
      <c r="T78" s="419"/>
      <c r="U78" s="418">
        <f>(U8+U9)/U36</f>
        <v>0.94774331357586006</v>
      </c>
      <c r="V78" s="419">
        <f>(V8+V9)/V36</f>
        <v>0.85732957356422557</v>
      </c>
      <c r="W78" s="419">
        <f>(W8+W9)/W36</f>
        <v>0.94371912191643603</v>
      </c>
      <c r="X78" s="420">
        <f>(X8+X9)/X36</f>
        <v>1.0433828864855748</v>
      </c>
      <c r="Y78" s="421">
        <f>(Y8+Y9)/Y36</f>
        <v>1.0433828864855748</v>
      </c>
      <c r="Z78" s="419"/>
      <c r="AA78" s="418">
        <f>(AA8+AA9)/AA36</f>
        <v>1.3937158922394788</v>
      </c>
      <c r="AB78" s="419">
        <f>(AB8+AB9)/AB36</f>
        <v>1.1770264441757641</v>
      </c>
      <c r="AC78" s="419">
        <f>(AC8+AC9)/AC36</f>
        <v>1.1588731945816642</v>
      </c>
      <c r="AD78" s="420">
        <f>(AD8+AD9)/AD36</f>
        <v>0.8574424043509643</v>
      </c>
      <c r="AE78" s="421">
        <f>(AE8+AE9)/AE36</f>
        <v>0.8574424043509643</v>
      </c>
      <c r="AF78" s="419"/>
      <c r="AG78" s="418">
        <f>(AG8+AG9)/AG36</f>
        <v>1.6768766177739429</v>
      </c>
      <c r="AH78" s="419">
        <f>(AH8+AH9)/AH36</f>
        <v>1.3025429096342931</v>
      </c>
      <c r="AI78" s="419">
        <f>(AI8+AI9)/AI36</f>
        <v>1.1581149926256926</v>
      </c>
      <c r="AJ78" s="420">
        <f>(AJ8+AJ9)/AJ36</f>
        <v>1.1024622672271498</v>
      </c>
      <c r="AK78" s="421">
        <f>(AK8+AK9)/AK36</f>
        <v>1.1024622672271498</v>
      </c>
      <c r="AL78" s="419"/>
      <c r="AM78" s="418">
        <f>(AM8+AM9)/AM36</f>
        <v>1.253685281133377</v>
      </c>
      <c r="AN78" s="419">
        <f>(AN8+AN9)/AN36</f>
        <v>1.2889535307839719</v>
      </c>
      <c r="AO78" s="419">
        <f>(AO8+AO9)/AO36</f>
        <v>1.3582117854440263</v>
      </c>
      <c r="AP78" s="420">
        <f>(AP8+AP9)/AP36</f>
        <v>1.2244131455399061</v>
      </c>
      <c r="AQ78" s="421">
        <f>(AQ8+AQ9)/AQ36</f>
        <v>1.2244131455399061</v>
      </c>
      <c r="AR78" s="419"/>
      <c r="AS78" s="418">
        <f>(AS8+AS9)/AS36</f>
        <v>1.2583875813720582</v>
      </c>
      <c r="AT78" s="419">
        <f>(AT8+AT9)/AT36</f>
        <v>1.3025793650793651</v>
      </c>
      <c r="AU78" s="419">
        <f>(AU8+AU9)/AU36</f>
        <v>1.2608695652173914</v>
      </c>
      <c r="AV78" s="420">
        <f>(AV8+AV9)/AV36</f>
        <v>1.2287376902417189</v>
      </c>
      <c r="AW78" s="421">
        <f>(AW8+AW9)/AW36</f>
        <v>1.2287376902417189</v>
      </c>
      <c r="AX78" s="419"/>
      <c r="AY78" s="418">
        <f>(AY8+AY9)/AY36</f>
        <v>4.2230769230769232</v>
      </c>
      <c r="AZ78" s="419">
        <f>(AZ8+AZ9)/AZ36</f>
        <v>0.43406715588169892</v>
      </c>
      <c r="BA78" s="419">
        <f>(BA8+BA9)/BA36</f>
        <v>0.351560770422847</v>
      </c>
      <c r="BB78" s="420">
        <f>(BB8+BB9)/BB36</f>
        <v>0.32915289020636185</v>
      </c>
      <c r="BC78" s="421">
        <f>(BC8+BC9)/BC36</f>
        <v>0.32915289020636185</v>
      </c>
      <c r="BD78" s="419"/>
      <c r="BE78" s="418">
        <f>(BE8+BE9)/BE36</f>
        <v>0.35173327445352176</v>
      </c>
      <c r="BF78" s="419">
        <f>(BF8+BF9)/BF36</f>
        <v>0.39072847682119205</v>
      </c>
      <c r="BG78" s="419">
        <f>(BG8+BG9)/BG36</f>
        <v>0.403176108082484</v>
      </c>
      <c r="BH78" s="420">
        <f>(BH8+BH9)/BH36</f>
        <v>0.35636363636363638</v>
      </c>
      <c r="BI78" s="421">
        <f>(BI8+BI9)/BI36</f>
        <v>0.35636363636363638</v>
      </c>
      <c r="BJ78" s="419"/>
      <c r="BK78" s="418">
        <f>(BK8+BK9)/BK36</f>
        <v>0.2050328227571116</v>
      </c>
      <c r="BL78" s="419">
        <f>(BL8+BL9)/BL36</f>
        <v>0.13837730214036834</v>
      </c>
      <c r="BM78" s="419">
        <f>(BM8+BM9)/BM36</f>
        <v>4.2370913534983199</v>
      </c>
      <c r="BN78" s="420">
        <f>(BN8+BN9)/BN36</f>
        <v>4.2489527229204072</v>
      </c>
      <c r="BO78" s="421">
        <f>(BO8+BO9)/BO36</f>
        <v>4.2489527229204072</v>
      </c>
      <c r="BP78" s="419"/>
      <c r="BQ78" s="418">
        <f>(BQ8+BQ9)/BQ36</f>
        <v>0.24673202614379086</v>
      </c>
      <c r="BR78" s="419">
        <f>(BR8+BR9)/BR36</f>
        <v>0.19975111753515018</v>
      </c>
      <c r="BS78" s="419">
        <f>(BS8+BS9)/BS36</f>
        <v>0.27029258295575725</v>
      </c>
      <c r="BT78" s="420">
        <f>(BT8+BT9)/BT36</f>
        <v>0.34924143844198197</v>
      </c>
      <c r="BU78" s="421">
        <f>(BU8+BU9)/BU36</f>
        <v>0.34924143844198197</v>
      </c>
      <c r="BV78" s="419"/>
      <c r="BW78" s="418">
        <f>(BW8+BW9)/BW36</f>
        <v>0.39014768555441315</v>
      </c>
      <c r="BX78" s="419">
        <f>(BX8+BX9)/BX36</f>
        <v>0.42673078158501621</v>
      </c>
      <c r="BY78" s="419">
        <f>(BY8+BY9)/BY36</f>
        <v>0.36885581711547366</v>
      </c>
      <c r="BZ78" s="420">
        <f>(BZ8+BZ9)/BZ36</f>
        <v>0.40834235901356475</v>
      </c>
      <c r="CA78" s="421">
        <f>(CA8+CA9)/CA36</f>
        <v>0.40834235901356475</v>
      </c>
      <c r="CB78" s="419"/>
      <c r="CC78" s="418">
        <f>(CC8+CC9)/CC36</f>
        <v>0.39470554234139149</v>
      </c>
      <c r="CD78" s="419">
        <f>(CD8+CD9)/CD36</f>
        <v>0.25390364725452996</v>
      </c>
      <c r="CE78" s="419">
        <f>(CE8+CE9)/CE36</f>
        <v>0.30112948026891911</v>
      </c>
      <c r="CF78" s="420">
        <f>(CF8+CF9)/CF36</f>
        <v>0.27950187421753836</v>
      </c>
      <c r="CG78" s="421">
        <f>(CG8+CG9)/CG36</f>
        <v>0.27950187421753836</v>
      </c>
      <c r="CH78" s="419"/>
      <c r="CI78" s="418">
        <f>(CI8+CI9)/CI36</f>
        <v>0.44158787226309715</v>
      </c>
      <c r="CJ78" s="419">
        <f>(CJ8+CJ9)/CJ36</f>
        <v>0.54973565961210724</v>
      </c>
      <c r="CK78" s="419">
        <f>(CK8+CK9)/CK36</f>
        <v>0.58509333594141821</v>
      </c>
      <c r="CL78" s="420">
        <f>(CL8+CL9)/CL36</f>
        <v>0.79614477284843932</v>
      </c>
      <c r="CM78" s="421">
        <f>(CM8+CM9)/CM36</f>
        <v>0.79614477284843932</v>
      </c>
      <c r="CQ78"/>
      <c r="CR78"/>
      <c r="CS78"/>
      <c r="CT78"/>
      <c r="CU78"/>
      <c r="CV78"/>
    </row>
    <row r="79" spans="1:100" s="11" customFormat="1" collapsed="1" x14ac:dyDescent="0.2">
      <c r="A79" s="225"/>
      <c r="B79" s="15"/>
      <c r="C79" s="15"/>
      <c r="D79" s="15"/>
      <c r="E79" s="15"/>
      <c r="F79" s="15"/>
      <c r="G79" s="15"/>
      <c r="H79" s="15"/>
      <c r="I79" s="390"/>
      <c r="J79" s="390"/>
      <c r="K79" s="390"/>
      <c r="L79" s="390"/>
      <c r="M79" s="390"/>
      <c r="N79" s="390"/>
      <c r="O79" s="390"/>
      <c r="P79" s="390"/>
      <c r="Q79" s="390"/>
      <c r="R79" s="390"/>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Q79"/>
      <c r="CR79"/>
      <c r="CS79"/>
      <c r="CT79"/>
      <c r="CU79"/>
      <c r="CV79"/>
    </row>
    <row r="80" spans="1:100" s="11" customFormat="1" x14ac:dyDescent="0.2">
      <c r="A80" s="176" t="s">
        <v>176</v>
      </c>
      <c r="B80" s="371"/>
      <c r="C80" s="372"/>
      <c r="D80" s="371"/>
      <c r="E80" s="371"/>
      <c r="F80" s="373"/>
      <c r="G80" s="374"/>
      <c r="H80" s="371"/>
      <c r="I80" s="372"/>
      <c r="J80" s="371"/>
      <c r="K80" s="371"/>
      <c r="L80" s="373"/>
      <c r="M80" s="374"/>
      <c r="N80" s="376"/>
      <c r="O80" s="372"/>
      <c r="P80" s="371"/>
      <c r="Q80" s="371"/>
      <c r="R80" s="373"/>
      <c r="S80" s="374"/>
      <c r="T80" s="371"/>
      <c r="U80" s="372"/>
      <c r="V80" s="371"/>
      <c r="W80" s="371"/>
      <c r="X80" s="373"/>
      <c r="Y80" s="374"/>
      <c r="Z80" s="371"/>
      <c r="AA80" s="372"/>
      <c r="AB80" s="371"/>
      <c r="AC80" s="371"/>
      <c r="AD80" s="373"/>
      <c r="AE80" s="374"/>
      <c r="AF80" s="371"/>
      <c r="AG80" s="372"/>
      <c r="AH80" s="371"/>
      <c r="AI80" s="371"/>
      <c r="AJ80" s="373"/>
      <c r="AK80" s="374"/>
      <c r="AL80" s="371"/>
      <c r="AM80" s="372"/>
      <c r="AN80" s="371"/>
      <c r="AO80" s="371"/>
      <c r="AP80" s="373"/>
      <c r="AQ80" s="374"/>
      <c r="AR80" s="371"/>
      <c r="AS80" s="372"/>
      <c r="AT80" s="371"/>
      <c r="AU80" s="371"/>
      <c r="AV80" s="373"/>
      <c r="AW80" s="374"/>
      <c r="AX80" s="371"/>
      <c r="AY80" s="372"/>
      <c r="AZ80" s="371"/>
      <c r="BA80" s="371"/>
      <c r="BB80" s="373"/>
      <c r="BC80" s="374"/>
      <c r="BD80" s="371"/>
      <c r="BE80" s="372"/>
      <c r="BF80" s="371"/>
      <c r="BG80" s="371"/>
      <c r="BH80" s="373"/>
      <c r="BI80" s="374"/>
      <c r="BJ80" s="371"/>
      <c r="BK80" s="372"/>
      <c r="BL80" s="371"/>
      <c r="BM80" s="371"/>
      <c r="BN80" s="373"/>
      <c r="BO80" s="374"/>
      <c r="BP80" s="371"/>
      <c r="BQ80" s="372"/>
      <c r="BR80" s="371"/>
      <c r="BS80" s="371"/>
      <c r="BT80" s="373"/>
      <c r="BU80" s="374"/>
      <c r="BV80" s="371"/>
      <c r="BW80" s="372"/>
      <c r="BX80" s="371"/>
      <c r="BY80" s="371"/>
      <c r="BZ80" s="373"/>
      <c r="CA80" s="374"/>
      <c r="CB80" s="371"/>
      <c r="CC80" s="372"/>
      <c r="CD80" s="371"/>
      <c r="CE80" s="371"/>
      <c r="CF80" s="373"/>
      <c r="CG80" s="374"/>
      <c r="CH80" s="371"/>
      <c r="CI80" s="372"/>
      <c r="CJ80" s="371"/>
      <c r="CK80" s="371"/>
      <c r="CL80" s="373"/>
      <c r="CM80" s="374"/>
      <c r="CQ80"/>
      <c r="CR80"/>
      <c r="CS80"/>
      <c r="CT80"/>
      <c r="CU80"/>
      <c r="CV80"/>
    </row>
    <row r="81" spans="1:101" s="11" customFormat="1" hidden="1" outlineLevel="1" x14ac:dyDescent="0.2">
      <c r="A81" s="189" t="s">
        <v>177</v>
      </c>
      <c r="B81" s="15"/>
      <c r="C81" s="88">
        <f>C10/IS!C7*365/4</f>
        <v>56.4397184812332</v>
      </c>
      <c r="D81" s="89">
        <f>D10/IS!D7*365/4</f>
        <v>56.401428814370249</v>
      </c>
      <c r="E81" s="89">
        <f>E10/IS!E7*365/4</f>
        <v>57.846469136362543</v>
      </c>
      <c r="F81" s="90">
        <f>F10/IS!F7*365/4</f>
        <v>59.861643836446099</v>
      </c>
      <c r="G81" s="91">
        <f>G10/IS!G7*365</f>
        <v>62.164801069733301</v>
      </c>
      <c r="H81" s="92"/>
      <c r="I81" s="88">
        <f>I10/IS!I7*365/4</f>
        <v>54.605071354997492</v>
      </c>
      <c r="J81" s="89">
        <f>J10/IS!J7*365/4</f>
        <v>61.016276457203368</v>
      </c>
      <c r="K81" s="89">
        <f>K10/IS!K7*365/4</f>
        <v>57.422788109583053</v>
      </c>
      <c r="L81" s="90">
        <f>L10/IS!L7*365/4</f>
        <v>53.640085480142794</v>
      </c>
      <c r="M81" s="91">
        <f>M10/IS!M7*365</f>
        <v>55.038920271646752</v>
      </c>
      <c r="N81" s="382"/>
      <c r="O81" s="88">
        <f>O10/IS!O7*365/4</f>
        <v>58.465188076607689</v>
      </c>
      <c r="P81" s="89">
        <f>P10/IS!P7*365/4</f>
        <v>57.581102782771744</v>
      </c>
      <c r="Q81" s="89">
        <f>Q10/IS!Q7*365/4</f>
        <v>58.813111169781287</v>
      </c>
      <c r="R81" s="90">
        <f>R10/IS!R7*365/4</f>
        <v>57.518384345825268</v>
      </c>
      <c r="S81" s="91">
        <f>S10/IS!S7*365</f>
        <v>61.053184884127354</v>
      </c>
      <c r="T81" s="92"/>
      <c r="U81" s="88">
        <f>U10/IS!U7*365/4</f>
        <v>52.502570475027532</v>
      </c>
      <c r="V81" s="89">
        <f>V10/IS!V7*365/4</f>
        <v>57.919930238205978</v>
      </c>
      <c r="W81" s="89">
        <f>W10/IS!W7*365/4</f>
        <v>54.328684600179912</v>
      </c>
      <c r="X81" s="90">
        <f>X10/IS!X7*365/4</f>
        <v>58.718206727009203</v>
      </c>
      <c r="Y81" s="91">
        <f>Y10/IS!Y7*365</f>
        <v>59.677527452978588</v>
      </c>
      <c r="Z81" s="92"/>
      <c r="AA81" s="88">
        <f>AA10/IS!AA7*365/4</f>
        <v>55.935952301554089</v>
      </c>
      <c r="AB81" s="89">
        <f>AB10/IS!AB7*365/4</f>
        <v>59.32725702375668</v>
      </c>
      <c r="AC81" s="89">
        <f>AC10/IS!AC7*365/4</f>
        <v>58.446096960431667</v>
      </c>
      <c r="AD81" s="90">
        <f>AD10/IS!AD7*365/4</f>
        <v>56.389798640063454</v>
      </c>
      <c r="AE81" s="91">
        <f>AE10/IS!AE7*365</f>
        <v>59.13110176126893</v>
      </c>
      <c r="AF81" s="92"/>
      <c r="AG81" s="88">
        <f>AG10/IS!AG7*365/4</f>
        <v>56.745103645753716</v>
      </c>
      <c r="AH81" s="89">
        <f>AH10/IS!AH7*365/4</f>
        <v>58.556815041880057</v>
      </c>
      <c r="AI81" s="89">
        <f>AI10/IS!AI7*365/4</f>
        <v>53.461139190014805</v>
      </c>
      <c r="AJ81" s="90">
        <f>AJ10/IS!AJ7*365/4</f>
        <v>57.962091882200383</v>
      </c>
      <c r="AK81" s="91">
        <f>AK10/IS!AK7*365</f>
        <v>59.167460175170355</v>
      </c>
      <c r="AL81" s="92"/>
      <c r="AM81" s="88">
        <f>AM10/IS!AM7*365/4</f>
        <v>56.075718927350493</v>
      </c>
      <c r="AN81" s="89">
        <f>AN10/IS!AN7*365/4</f>
        <v>55.652703868024744</v>
      </c>
      <c r="AO81" s="89">
        <f>AO10/IS!AO7*365/4</f>
        <v>55.772300654174288</v>
      </c>
      <c r="AP81" s="90">
        <f>AP10/IS!AP7*365/4</f>
        <v>53.88095238095238</v>
      </c>
      <c r="AQ81" s="91">
        <f>AQ10/IS!AQ7*365</f>
        <v>56.201045269904711</v>
      </c>
      <c r="AR81" s="92"/>
      <c r="AS81" s="88">
        <f>AS10/IS!AS7*365/4</f>
        <v>50.405106953198668</v>
      </c>
      <c r="AT81" s="89">
        <f>AT10/IS!AT7*365/4</f>
        <v>49.764720077220076</v>
      </c>
      <c r="AU81" s="89">
        <f>AU10/IS!AU7*365/4</f>
        <v>50.938890949554896</v>
      </c>
      <c r="AV81" s="90">
        <f>AV10/IS!AV7*365/4</f>
        <v>49.189029014664008</v>
      </c>
      <c r="AW81" s="91">
        <f>AW10/IS!AW7*365</f>
        <v>51.298946563276651</v>
      </c>
      <c r="AX81" s="92"/>
      <c r="AY81" s="88">
        <f>AY10/IS!AY7*365/4</f>
        <v>45.866566884756764</v>
      </c>
      <c r="AZ81" s="89">
        <f>AZ10/IS!AZ7*365/4</f>
        <v>69.957814138359879</v>
      </c>
      <c r="BA81" s="89">
        <f>BA10/IS!BA7*365/4</f>
        <v>47.911346951803388</v>
      </c>
      <c r="BB81" s="90">
        <f>BB10/IS!BB7*365/4</f>
        <v>48.139060971633519</v>
      </c>
      <c r="BC81" s="91">
        <f>BC10/IS!BC7*365</f>
        <v>57.32804353502712</v>
      </c>
      <c r="BD81" s="92"/>
      <c r="BE81" s="88">
        <f>BE10/IS!BE7*365/4</f>
        <v>46.139764858433814</v>
      </c>
      <c r="BF81" s="89">
        <f>BF10/IS!BF7*365/4</f>
        <v>46.768967762943674</v>
      </c>
      <c r="BG81" s="89">
        <f>BG10/IS!BG7*365/4</f>
        <v>46.152539062499997</v>
      </c>
      <c r="BH81" s="90">
        <f>BH10/IS!BH7*365/4</f>
        <v>45.653215831787257</v>
      </c>
      <c r="BI81" s="91">
        <f>BI10/IS!BI7*365</f>
        <v>47.256034132336424</v>
      </c>
      <c r="BJ81" s="92"/>
      <c r="BK81" s="88">
        <f>BK10/IS!BK7*365/4</f>
        <v>47.405030800821351</v>
      </c>
      <c r="BL81" s="89">
        <f>BL10/IS!BL7*365/4</f>
        <v>48.222044459413944</v>
      </c>
      <c r="BM81" s="89">
        <f>BM10/IS!BM7*365/4</f>
        <v>52.585255354200989</v>
      </c>
      <c r="BN81" s="90">
        <f>BN10/IS!BN7*365/4</f>
        <v>50.257540683848688</v>
      </c>
      <c r="BO81" s="91">
        <f>BO10/IS!BO7*365</f>
        <v>52.6409366474564</v>
      </c>
      <c r="BP81" s="92"/>
      <c r="BQ81" s="88">
        <f>BQ10/IS!BQ7*365/4</f>
        <v>59.253246753246749</v>
      </c>
      <c r="BR81" s="96">
        <v>48</v>
      </c>
      <c r="BS81" s="96">
        <v>48</v>
      </c>
      <c r="BT81" s="97">
        <v>48</v>
      </c>
      <c r="BU81" s="91">
        <f>BU10/IS!BU7*365</f>
        <v>52.644859995880616</v>
      </c>
      <c r="BV81" s="92"/>
      <c r="BW81" s="95">
        <v>47.953246753246745</v>
      </c>
      <c r="BX81" s="96">
        <v>48</v>
      </c>
      <c r="BY81" s="96">
        <v>48</v>
      </c>
      <c r="BZ81" s="97">
        <v>48</v>
      </c>
      <c r="CA81" s="91">
        <f>CA10/IS!CA7*365</f>
        <v>49.439400755661495</v>
      </c>
      <c r="CB81" s="92"/>
      <c r="CC81" s="98">
        <f t="shared" ref="CC81:CF83" si="44">BW81+CC86</f>
        <v>48.953246753246745</v>
      </c>
      <c r="CD81" s="92">
        <f t="shared" si="44"/>
        <v>49</v>
      </c>
      <c r="CE81" s="92">
        <f t="shared" si="44"/>
        <v>49</v>
      </c>
      <c r="CF81" s="99">
        <f t="shared" si="44"/>
        <v>49</v>
      </c>
      <c r="CG81" s="91">
        <f>CG10/IS!CG7*365</f>
        <v>50.471411114927982</v>
      </c>
      <c r="CH81" s="92"/>
      <c r="CI81" s="98">
        <f t="shared" ref="CI81:CL83" si="45">CC81+CI86</f>
        <v>49.953246753246745</v>
      </c>
      <c r="CJ81" s="92">
        <f t="shared" si="45"/>
        <v>50</v>
      </c>
      <c r="CK81" s="92">
        <f t="shared" si="45"/>
        <v>50</v>
      </c>
      <c r="CL81" s="99">
        <f t="shared" si="45"/>
        <v>50</v>
      </c>
      <c r="CM81" s="91">
        <f>CM10/IS!CM7*365</f>
        <v>51.50343521594133</v>
      </c>
      <c r="CQ81"/>
      <c r="CR81"/>
      <c r="CS81"/>
      <c r="CT81"/>
      <c r="CU81"/>
      <c r="CV81"/>
    </row>
    <row r="82" spans="1:101" s="11" customFormat="1" hidden="1" outlineLevel="1" x14ac:dyDescent="0.2">
      <c r="A82" s="189" t="s">
        <v>178</v>
      </c>
      <c r="B82" s="15"/>
      <c r="C82" s="88">
        <f>C31/IS!C10*365/4</f>
        <v>163.00463513477297</v>
      </c>
      <c r="D82" s="89">
        <f>D31/IS!D10*365/4</f>
        <v>135.87362989510035</v>
      </c>
      <c r="E82" s="89">
        <f>E31/IS!E10*365/4</f>
        <v>139.45901189653014</v>
      </c>
      <c r="F82" s="90">
        <f>F31/IS!F10*365/4</f>
        <v>143.66859441128497</v>
      </c>
      <c r="G82" s="91">
        <f>G31/IS!G10*365</f>
        <v>151.038674171634</v>
      </c>
      <c r="H82" s="92"/>
      <c r="I82" s="88">
        <f>I31/IS!I10*365/4</f>
        <v>141.69466382919239</v>
      </c>
      <c r="J82" s="89">
        <f>J31/IS!J10*365/4</f>
        <v>125.113326255231</v>
      </c>
      <c r="K82" s="89">
        <f>K31/IS!K10*365/4</f>
        <v>125.49135455796075</v>
      </c>
      <c r="L82" s="90">
        <f>L31/IS!L10*365/4</f>
        <v>124.38294126158381</v>
      </c>
      <c r="M82" s="91">
        <f>M31/IS!M10*365</f>
        <v>127.00492704350764</v>
      </c>
      <c r="N82" s="382"/>
      <c r="O82" s="88">
        <f>O31/IS!O10*365/4</f>
        <v>144.63853666210213</v>
      </c>
      <c r="P82" s="89">
        <f>P31/IS!P10*365/4</f>
        <v>124.90170235402822</v>
      </c>
      <c r="Q82" s="89">
        <f>Q31/IS!Q10*365/4</f>
        <v>135.01339357585368</v>
      </c>
      <c r="R82" s="90">
        <f>R31/IS!R10*365/4</f>
        <v>140.85554096452807</v>
      </c>
      <c r="S82" s="91">
        <f>S31/IS!S10*365</f>
        <v>151.451023590472</v>
      </c>
      <c r="T82" s="92"/>
      <c r="U82" s="88">
        <f>U31/IS!U10*365/4</f>
        <v>136.04853777825485</v>
      </c>
      <c r="V82" s="89">
        <f>V31/IS!V10*365/4</f>
        <v>133.72476118923021</v>
      </c>
      <c r="W82" s="89">
        <f>W31/IS!W10*365/4</f>
        <v>137.29373812871137</v>
      </c>
      <c r="X82" s="90">
        <f>X31/IS!X10*365/4</f>
        <v>148.77742712277163</v>
      </c>
      <c r="Y82" s="91">
        <f>Y31/IS!Y10*365</f>
        <v>151.31986549946757</v>
      </c>
      <c r="Z82" s="92"/>
      <c r="AA82" s="88">
        <f>AA31/IS!AA10*365/4</f>
        <v>149.5615658096138</v>
      </c>
      <c r="AB82" s="89">
        <f>AB31/IS!AB10*365/4</f>
        <v>136.93509877005866</v>
      </c>
      <c r="AC82" s="89">
        <f>AC31/IS!AC10*365/4</f>
        <v>140.25380912846879</v>
      </c>
      <c r="AD82" s="90">
        <f>AD31/IS!AD10*365/4</f>
        <v>149.25426423807025</v>
      </c>
      <c r="AE82" s="91">
        <f>AE31/IS!AE10*365</f>
        <v>159.91963854447889</v>
      </c>
      <c r="AF82" s="92"/>
      <c r="AG82" s="88">
        <f>AG31/IS!AG10*365/4</f>
        <v>142.1224589517638</v>
      </c>
      <c r="AH82" s="89">
        <f>AH31/IS!AH10*365/4</f>
        <v>137.20298979795663</v>
      </c>
      <c r="AI82" s="89">
        <f>AI31/IS!AI10*365/4</f>
        <v>142.4459122119074</v>
      </c>
      <c r="AJ82" s="90">
        <f>AJ31/IS!AJ10*365/4</f>
        <v>150.08005609900192</v>
      </c>
      <c r="AK82" s="91">
        <f>AK31/IS!AK10*365</f>
        <v>153.28534499353739</v>
      </c>
      <c r="AL82" s="92"/>
      <c r="AM82" s="88">
        <f>AM31/IS!AM10*365/4</f>
        <v>166.16538389647465</v>
      </c>
      <c r="AN82" s="89">
        <f>AN31/IS!AN10*365/4</f>
        <v>139.43985463988068</v>
      </c>
      <c r="AO82" s="89">
        <f>AO31/IS!AO10*365/4</f>
        <v>139.34095120870157</v>
      </c>
      <c r="AP82" s="90">
        <f>AP31/IS!AP10*365/4</f>
        <v>176.36904778806036</v>
      </c>
      <c r="AQ82" s="91">
        <f>AQ31/IS!AQ10*365</f>
        <v>184.40751013407802</v>
      </c>
      <c r="AR82" s="92"/>
      <c r="AS82" s="88">
        <f>AS31/IS!AS10*365/4</f>
        <v>170.06406523005242</v>
      </c>
      <c r="AT82" s="89">
        <f>AT31/IS!AT10*365/4</f>
        <v>165.44147043537362</v>
      </c>
      <c r="AU82" s="89">
        <f>AU31/IS!AU10*365/4</f>
        <v>167.66583618810341</v>
      </c>
      <c r="AV82" s="90">
        <f>AV31/IS!AV10*365/4</f>
        <v>174.82524903780848</v>
      </c>
      <c r="AW82" s="91">
        <f>AW31/IS!AW10*365</f>
        <v>183.05701247518303</v>
      </c>
      <c r="AX82" s="92"/>
      <c r="AY82" s="88">
        <f>AY31/IS!AY10*365/4</f>
        <v>173.44888663967609</v>
      </c>
      <c r="AZ82" s="89">
        <f>AZ31/IS!AZ10*365/4</f>
        <v>257.40258097165992</v>
      </c>
      <c r="BA82" s="89">
        <f>BA31/IS!BA10*365/4</f>
        <v>164.5581294868386</v>
      </c>
      <c r="BB82" s="90">
        <f>BB31/IS!BB10*365/4</f>
        <v>183.46941398217959</v>
      </c>
      <c r="BC82" s="91">
        <f>BC31/IS!BC10*365</f>
        <v>216.77278616836054</v>
      </c>
      <c r="BD82" s="92"/>
      <c r="BE82" s="88">
        <f>BE31/IS!BE10*365/4</f>
        <v>164.96669004207573</v>
      </c>
      <c r="BF82" s="89">
        <f>BF31/IS!BF10*365/4</f>
        <v>172.18052913712606</v>
      </c>
      <c r="BG82" s="89">
        <f>BG31/IS!BG10*365/4</f>
        <v>172.62862796833772</v>
      </c>
      <c r="BH82" s="90">
        <f>BH31/IS!BH10*365/4</f>
        <v>200.75000000000003</v>
      </c>
      <c r="BI82" s="91">
        <f>BI31/IS!BI10*365</f>
        <v>209.11634570814545</v>
      </c>
      <c r="BJ82" s="92"/>
      <c r="BK82" s="88">
        <f>BK31/IS!BK10*365/4</f>
        <v>177.44194756554307</v>
      </c>
      <c r="BL82" s="89">
        <f>BL31/IS!BL10*365/4</f>
        <v>181.33179231863443</v>
      </c>
      <c r="BM82" s="89">
        <f>BM31/IS!BM10*365/4</f>
        <v>183.80357142857142</v>
      </c>
      <c r="BN82" s="90">
        <f>BN31/IS!BN10*365/4</f>
        <v>193.40563808237675</v>
      </c>
      <c r="BO82" s="91">
        <f>BO31/IS!BO10*365</f>
        <v>203.79491284240484</v>
      </c>
      <c r="BP82" s="92"/>
      <c r="BQ82" s="88">
        <f>BQ31/IS!BQ10*365/4</f>
        <v>275.06200575125808</v>
      </c>
      <c r="BR82" s="96">
        <v>210</v>
      </c>
      <c r="BS82" s="96">
        <v>210</v>
      </c>
      <c r="BT82" s="97">
        <v>210</v>
      </c>
      <c r="BU82" s="91">
        <f>BU31/IS!BU10*365</f>
        <v>225.90177182378474</v>
      </c>
      <c r="BV82" s="92"/>
      <c r="BW82" s="95">
        <v>210</v>
      </c>
      <c r="BX82" s="96">
        <v>210</v>
      </c>
      <c r="BY82" s="96">
        <v>210</v>
      </c>
      <c r="BZ82" s="97">
        <v>210</v>
      </c>
      <c r="CA82" s="91">
        <f>CA31/IS!CA10*365</f>
        <v>215.66569273675969</v>
      </c>
      <c r="CB82" s="92"/>
      <c r="CC82" s="98">
        <f t="shared" si="44"/>
        <v>209</v>
      </c>
      <c r="CD82" s="92">
        <f t="shared" si="44"/>
        <v>209</v>
      </c>
      <c r="CE82" s="92">
        <f t="shared" si="44"/>
        <v>209</v>
      </c>
      <c r="CF82" s="99">
        <f t="shared" si="44"/>
        <v>209</v>
      </c>
      <c r="CG82" s="91">
        <f>CG31/IS!CG10*365</f>
        <v>214.63365966031634</v>
      </c>
      <c r="CH82" s="92"/>
      <c r="CI82" s="98">
        <f t="shared" si="45"/>
        <v>208</v>
      </c>
      <c r="CJ82" s="92">
        <f t="shared" si="45"/>
        <v>208</v>
      </c>
      <c r="CK82" s="92">
        <f t="shared" si="45"/>
        <v>208</v>
      </c>
      <c r="CL82" s="99">
        <f t="shared" si="45"/>
        <v>208</v>
      </c>
      <c r="CM82" s="91">
        <f>CM31/IS!CM10*365</f>
        <v>211.68592152766885</v>
      </c>
      <c r="CQ82"/>
      <c r="CR82"/>
      <c r="CS82"/>
      <c r="CT82"/>
      <c r="CU82"/>
      <c r="CV82"/>
    </row>
    <row r="83" spans="1:101" s="11" customFormat="1" hidden="1" outlineLevel="1" x14ac:dyDescent="0.2">
      <c r="A83" s="189" t="s">
        <v>179</v>
      </c>
      <c r="B83" s="15"/>
      <c r="C83" s="88">
        <f>C12/IS!C10*365/4</f>
        <v>119.26665495893126</v>
      </c>
      <c r="D83" s="89">
        <f>D12/IS!D10*365/4</f>
        <v>116.4384564574777</v>
      </c>
      <c r="E83" s="89">
        <f>E12/IS!E10*365/4</f>
        <v>118.04314024910532</v>
      </c>
      <c r="F83" s="90">
        <f>F12/IS!F10*365/4</f>
        <v>118.89273381580105</v>
      </c>
      <c r="G83" s="91">
        <f>G12/IS!G10*365</f>
        <v>124.99183247225436</v>
      </c>
      <c r="H83" s="92"/>
      <c r="I83" s="88">
        <f>I12/IS!I10*365/4</f>
        <v>118.75642438476534</v>
      </c>
      <c r="J83" s="89">
        <f>J12/IS!J10*365/4</f>
        <v>122.57420734428273</v>
      </c>
      <c r="K83" s="89">
        <f>K12/IS!K10*365/4</f>
        <v>113.83466396035588</v>
      </c>
      <c r="L83" s="90">
        <f>L12/IS!L10*365/4</f>
        <v>110.58192454455518</v>
      </c>
      <c r="M83" s="91">
        <f>M12/IS!M10*365</f>
        <v>112.91298562859747</v>
      </c>
      <c r="N83" s="382"/>
      <c r="O83" s="88">
        <f>O12/IS!O10*365/4</f>
        <v>137.673556042097</v>
      </c>
      <c r="P83" s="89">
        <f>P12/IS!P10*365/4</f>
        <v>133.44677612332205</v>
      </c>
      <c r="Q83" s="89">
        <f>Q12/IS!Q10*365/4</f>
        <v>131.34426334587477</v>
      </c>
      <c r="R83" s="90">
        <f>R12/IS!R10*365/4</f>
        <v>118.5743520816179</v>
      </c>
      <c r="S83" s="91">
        <f>S12/IS!S10*365</f>
        <v>127.49379166319412</v>
      </c>
      <c r="T83" s="92"/>
      <c r="U83" s="88">
        <f>U12/IS!U10*365/4</f>
        <v>118.76558020359512</v>
      </c>
      <c r="V83" s="89">
        <f>V12/IS!V10*365/4</f>
        <v>123.07981450377794</v>
      </c>
      <c r="W83" s="89">
        <f>W12/IS!W10*365/4</f>
        <v>115.85463515101297</v>
      </c>
      <c r="X83" s="90">
        <f>X12/IS!X10*365/4</f>
        <v>116.00418815827592</v>
      </c>
      <c r="Y83" s="91">
        <f>Y12/IS!Y10*365</f>
        <v>117.98656885630801</v>
      </c>
      <c r="Z83" s="92"/>
      <c r="AA83" s="88">
        <f>AA12/IS!AA10*365/4</f>
        <v>129.84014617349428</v>
      </c>
      <c r="AB83" s="89">
        <f>AB12/IS!AB10*365/4</f>
        <v>130.73591575765602</v>
      </c>
      <c r="AC83" s="89">
        <f>AC12/IS!AC10*365/4</f>
        <v>131.64567870659792</v>
      </c>
      <c r="AD83" s="90">
        <f>AD12/IS!AD10*365/4</f>
        <v>116.99165637702221</v>
      </c>
      <c r="AE83" s="91">
        <f>AE12/IS!AE10*365</f>
        <v>125.35161722877665</v>
      </c>
      <c r="AF83" s="92"/>
      <c r="AG83" s="88">
        <f>AG12/IS!AG10*365/4</f>
        <v>127.85934211768364</v>
      </c>
      <c r="AH83" s="89">
        <f>AH12/IS!AH10*365/4</f>
        <v>128.03333354583162</v>
      </c>
      <c r="AI83" s="89">
        <f>AI12/IS!AI10*365/4</f>
        <v>119.34780899202549</v>
      </c>
      <c r="AJ83" s="90">
        <f>AJ12/IS!AJ10*365/4</f>
        <v>118.37983023908735</v>
      </c>
      <c r="AK83" s="91">
        <f>AK12/IS!AK10*365</f>
        <v>120.90809125567465</v>
      </c>
      <c r="AL83" s="92"/>
      <c r="AM83" s="88">
        <f>AM12/IS!AM10*365/4</f>
        <v>141.61693613310106</v>
      </c>
      <c r="AN83" s="89">
        <f>AN12/IS!AN10*365/4</f>
        <v>131.97027048370765</v>
      </c>
      <c r="AO83" s="89">
        <f>AO12/IS!AO10*365/4</f>
        <v>132.18556069691766</v>
      </c>
      <c r="AP83" s="90">
        <f>AP12/IS!AP10*365/4</f>
        <v>128.58523400876786</v>
      </c>
      <c r="AQ83" s="91">
        <f>AQ12/IS!AQ10*365</f>
        <v>134.44582902130907</v>
      </c>
      <c r="AR83" s="92"/>
      <c r="AS83" s="88">
        <f>AS12/IS!AS10*365/4</f>
        <v>139.22097304268243</v>
      </c>
      <c r="AT83" s="89">
        <f>AT12/IS!AT10*365/4</f>
        <v>137.8982928876984</v>
      </c>
      <c r="AU83" s="89">
        <f>AU12/IS!AU10*365/4</f>
        <v>137.91580699159141</v>
      </c>
      <c r="AV83" s="90">
        <f>AV12/IS!AV10*365/4</f>
        <v>128.68722171911554</v>
      </c>
      <c r="AW83" s="91">
        <f>AW12/IS!AW10*365</f>
        <v>134.74654537193433</v>
      </c>
      <c r="AX83" s="92"/>
      <c r="AY83" s="88">
        <f>AY12/IS!AY10*365/4</f>
        <v>139.64574898785426</v>
      </c>
      <c r="AZ83" s="89">
        <f>AZ12/IS!AZ10*365/4</f>
        <v>210.48456477732793</v>
      </c>
      <c r="BA83" s="89">
        <f>BA12/IS!BA10*365/4</f>
        <v>122.46327439510767</v>
      </c>
      <c r="BB83" s="90">
        <f>BB12/IS!BB10*365/4</f>
        <v>122.52141877998629</v>
      </c>
      <c r="BC83" s="91">
        <f>BC12/IS!BC10*365</f>
        <v>144.76150949508039</v>
      </c>
      <c r="BD83" s="92"/>
      <c r="BE83" s="88">
        <f>BE12/IS!BE10*365/4</f>
        <v>127.02051192145863</v>
      </c>
      <c r="BF83" s="89">
        <f>BF12/IS!BF10*365/4</f>
        <v>116.51219090437489</v>
      </c>
      <c r="BG83" s="89">
        <f>BG12/IS!BG10*365/4</f>
        <v>110.45102242744063</v>
      </c>
      <c r="BH83" s="90">
        <f>BH12/IS!BH10*365/4</f>
        <v>101.52669902912621</v>
      </c>
      <c r="BI83" s="91">
        <f>BI12/IS!BI10*365</f>
        <v>105.75786945345752</v>
      </c>
      <c r="BJ83" s="92"/>
      <c r="BK83" s="88">
        <f>BK12/IS!BK10*365/4</f>
        <v>115.65168539325842</v>
      </c>
      <c r="BL83" s="89">
        <f>BL12/IS!BL10*365/4</f>
        <v>113.38104551920343</v>
      </c>
      <c r="BM83" s="89">
        <f>BM12/IS!BM10*365/4</f>
        <v>119.21160714285715</v>
      </c>
      <c r="BN83" s="90">
        <f>BN12/IS!BN10*365/4</f>
        <v>112.01384199864957</v>
      </c>
      <c r="BO83" s="91">
        <f>BO12/IS!BO10*365</f>
        <v>118.03094983991463</v>
      </c>
      <c r="BP83" s="92"/>
      <c r="BQ83" s="88">
        <f>BQ12/IS!BQ10*365/4</f>
        <v>194.63605319913731</v>
      </c>
      <c r="BR83" s="96">
        <v>150</v>
      </c>
      <c r="BS83" s="96">
        <v>150</v>
      </c>
      <c r="BT83" s="97">
        <v>150</v>
      </c>
      <c r="BU83" s="91">
        <f>BU12/IS!BU10*365</f>
        <v>161.35840844556051</v>
      </c>
      <c r="BV83" s="92"/>
      <c r="BW83" s="95">
        <v>150</v>
      </c>
      <c r="BX83" s="96">
        <v>150</v>
      </c>
      <c r="BY83" s="96">
        <v>150</v>
      </c>
      <c r="BZ83" s="97">
        <v>150</v>
      </c>
      <c r="CA83" s="91">
        <f>CA12/IS!CA10*365</f>
        <v>154.04692338339981</v>
      </c>
      <c r="CB83" s="92"/>
      <c r="CC83" s="98">
        <f t="shared" si="44"/>
        <v>151</v>
      </c>
      <c r="CD83" s="92">
        <f t="shared" si="44"/>
        <v>151</v>
      </c>
      <c r="CE83" s="92">
        <f t="shared" si="44"/>
        <v>151</v>
      </c>
      <c r="CF83" s="99">
        <f t="shared" si="44"/>
        <v>151</v>
      </c>
      <c r="CG83" s="91">
        <f>CG12/IS!CG10*365</f>
        <v>155.07025171630511</v>
      </c>
      <c r="CH83" s="92"/>
      <c r="CI83" s="98">
        <f t="shared" si="45"/>
        <v>152</v>
      </c>
      <c r="CJ83" s="92">
        <f t="shared" si="45"/>
        <v>152</v>
      </c>
      <c r="CK83" s="92">
        <f t="shared" si="45"/>
        <v>152</v>
      </c>
      <c r="CL83" s="99">
        <f t="shared" si="45"/>
        <v>152</v>
      </c>
      <c r="CM83" s="91">
        <f>CM12/IS!CM10*365</f>
        <v>154.69355803945029</v>
      </c>
      <c r="CQ83"/>
      <c r="CR83"/>
      <c r="CS83"/>
      <c r="CT83"/>
      <c r="CU83"/>
      <c r="CV83"/>
    </row>
    <row r="84" spans="1:101" s="11" customFormat="1" hidden="1" outlineLevel="1" x14ac:dyDescent="0.2">
      <c r="A84" s="189" t="s">
        <v>180</v>
      </c>
      <c r="B84" s="15"/>
      <c r="C84" s="98">
        <f>C81+C83-C82</f>
        <v>12.701738305391473</v>
      </c>
      <c r="D84" s="92">
        <f>D81+D83-D82</f>
        <v>36.966255376747597</v>
      </c>
      <c r="E84" s="92">
        <f>E81+E83-E82</f>
        <v>36.430597488937707</v>
      </c>
      <c r="F84" s="99">
        <f>F81+F83-F82</f>
        <v>35.085783240962172</v>
      </c>
      <c r="G84" s="93">
        <f>G81+G83-G82</f>
        <v>36.117959370353674</v>
      </c>
      <c r="H84" s="92"/>
      <c r="I84" s="98">
        <f>I81+I83-I82</f>
        <v>31.666831910570437</v>
      </c>
      <c r="J84" s="92">
        <f>J81+J83-J82</f>
        <v>58.4771575462551</v>
      </c>
      <c r="K84" s="92">
        <f>K81+K83-K82</f>
        <v>45.766097511978202</v>
      </c>
      <c r="L84" s="99">
        <f>L81+L83-L82</f>
        <v>39.839068763114156</v>
      </c>
      <c r="M84" s="93">
        <f>M81+M83-M82</f>
        <v>40.946978856736578</v>
      </c>
      <c r="N84" s="382"/>
      <c r="O84" s="98">
        <f>O81+O83-O82</f>
        <v>51.500207456602567</v>
      </c>
      <c r="P84" s="92">
        <f>P81+P83-P82</f>
        <v>66.126176552065587</v>
      </c>
      <c r="Q84" s="92">
        <f>Q81+Q83-Q82</f>
        <v>55.143980939802361</v>
      </c>
      <c r="R84" s="99">
        <f>R81+R83-R82</f>
        <v>35.237195462915111</v>
      </c>
      <c r="S84" s="93">
        <f>S81+S83-S82</f>
        <v>37.095952956849459</v>
      </c>
      <c r="T84" s="92"/>
      <c r="U84" s="98">
        <f>U81+U83-U82</f>
        <v>35.219612900367792</v>
      </c>
      <c r="V84" s="92">
        <f>V81+V83-V82</f>
        <v>47.274983552753724</v>
      </c>
      <c r="W84" s="92">
        <f>W81+W83-W82</f>
        <v>32.889581622481501</v>
      </c>
      <c r="X84" s="99">
        <f>X81+X83-X82</f>
        <v>25.9449677625135</v>
      </c>
      <c r="Y84" s="93">
        <f>Y81+Y83-Y82</f>
        <v>26.344230809819038</v>
      </c>
      <c r="Z84" s="92"/>
      <c r="AA84" s="98">
        <f>AA81+AA83-AA82</f>
        <v>36.214532665434575</v>
      </c>
      <c r="AB84" s="92">
        <f>AB81+AB83-AB82</f>
        <v>53.128074011354045</v>
      </c>
      <c r="AC84" s="92">
        <f>AC81+AC83-AC82</f>
        <v>49.837966538560806</v>
      </c>
      <c r="AD84" s="99">
        <f>AD81+AD83-AD82</f>
        <v>24.127190779015422</v>
      </c>
      <c r="AE84" s="93">
        <f>AE81+AE83-AE82</f>
        <v>24.563080445566698</v>
      </c>
      <c r="AF84" s="92"/>
      <c r="AG84" s="98">
        <f>AG81+AG83-AG82</f>
        <v>42.481986811673551</v>
      </c>
      <c r="AH84" s="92">
        <f>AH81+AH83-AH82</f>
        <v>49.387158789755034</v>
      </c>
      <c r="AI84" s="92">
        <f>AI81+AI83-AI82</f>
        <v>30.363035970132898</v>
      </c>
      <c r="AJ84" s="99">
        <f>AJ81+AJ83-AJ82</f>
        <v>26.261866022285801</v>
      </c>
      <c r="AK84" s="93">
        <f>AK81+AK83-AK82</f>
        <v>26.790206437307603</v>
      </c>
      <c r="AL84" s="92"/>
      <c r="AM84" s="98">
        <f>AM81+AM83-AM82</f>
        <v>31.527271163976906</v>
      </c>
      <c r="AN84" s="92">
        <f>AN81+AN83-AN82</f>
        <v>48.183119711851731</v>
      </c>
      <c r="AO84" s="92">
        <f>AO81+AO83-AO82</f>
        <v>48.616910142390367</v>
      </c>
      <c r="AP84" s="99">
        <f>AP81+AP83-AP82</f>
        <v>6.0971386016598785</v>
      </c>
      <c r="AQ84" s="93">
        <f>AQ81+AQ83-AQ82</f>
        <v>6.2393641571357534</v>
      </c>
      <c r="AR84" s="92"/>
      <c r="AS84" s="98">
        <f>AS81+AS83-AS82</f>
        <v>19.562014765828678</v>
      </c>
      <c r="AT84" s="92">
        <f>AT81+AT83-AT82</f>
        <v>22.221542529544877</v>
      </c>
      <c r="AU84" s="92">
        <f>AU81+AU83-AU82</f>
        <v>21.188861753042886</v>
      </c>
      <c r="AV84" s="99">
        <f>AV81+AV83-AV82</f>
        <v>3.0510016959710811</v>
      </c>
      <c r="AW84" s="93">
        <f>AW81+AW83-AW82</f>
        <v>2.9884794600279463</v>
      </c>
      <c r="AX84" s="92"/>
      <c r="AY84" s="98">
        <f>AY81+AY83-AY82</f>
        <v>12.063429232934936</v>
      </c>
      <c r="AZ84" s="92">
        <f>AZ81+AZ83-AZ82</f>
        <v>23.039797944027896</v>
      </c>
      <c r="BA84" s="92">
        <f>BA81+BA83-BA82</f>
        <v>5.8164918600724604</v>
      </c>
      <c r="BB84" s="99">
        <f>BB81+BB83-BB82</f>
        <v>-12.808934230559771</v>
      </c>
      <c r="BC84" s="93">
        <f>BC81+BC83-BC82</f>
        <v>-14.68323313825303</v>
      </c>
      <c r="BD84" s="92"/>
      <c r="BE84" s="98">
        <f>BE81+BE83-BE82</f>
        <v>8.1935867378167302</v>
      </c>
      <c r="BF84" s="92">
        <f>BF81+BF83-BF82</f>
        <v>-8.8993704698075078</v>
      </c>
      <c r="BG84" s="92">
        <f>BG81+BG83-BG82</f>
        <v>-16.025066478397093</v>
      </c>
      <c r="BH84" s="99">
        <f>BH81+BH83-BH82</f>
        <v>-53.570085139086558</v>
      </c>
      <c r="BI84" s="93">
        <f>BI81+BI83-BI82</f>
        <v>-56.102442122351505</v>
      </c>
      <c r="BJ84" s="92"/>
      <c r="BK84" s="98">
        <f>BK81+BK83-BK82</f>
        <v>-14.385231371463306</v>
      </c>
      <c r="BL84" s="92">
        <f>BL81+BL83-BL82</f>
        <v>-19.728702340017065</v>
      </c>
      <c r="BM84" s="92">
        <f>BM81+BM83-BM82</f>
        <v>-12.006708931513288</v>
      </c>
      <c r="BN84" s="99">
        <f>BN81+BN83-BN82</f>
        <v>-31.134255399878498</v>
      </c>
      <c r="BO84" s="93">
        <f>BO81+BO83-BO82</f>
        <v>-33.123026355033829</v>
      </c>
      <c r="BP84" s="92"/>
      <c r="BQ84" s="98">
        <f>BQ81+BQ83-BQ82</f>
        <v>-21.172705798874034</v>
      </c>
      <c r="BR84" s="92">
        <f>BR81+BR83-BR82</f>
        <v>-12</v>
      </c>
      <c r="BS84" s="92">
        <f>BS81+BS83-BS82</f>
        <v>-12</v>
      </c>
      <c r="BT84" s="99">
        <f>BT81+BT83-BT82</f>
        <v>-12</v>
      </c>
      <c r="BU84" s="93">
        <f>BU81+BU83-BU82</f>
        <v>-11.89850338234362</v>
      </c>
      <c r="BV84" s="92"/>
      <c r="BW84" s="98">
        <f>BW81+BW83-BW82</f>
        <v>-12.046753246753269</v>
      </c>
      <c r="BX84" s="92">
        <f>BX81+BX83-BX82</f>
        <v>-12</v>
      </c>
      <c r="BY84" s="92">
        <f>BY81+BY83-BY82</f>
        <v>-12</v>
      </c>
      <c r="BZ84" s="99">
        <f>BZ81+BZ83-BZ82</f>
        <v>-12</v>
      </c>
      <c r="CA84" s="93">
        <f>CA81+CA83-CA82</f>
        <v>-12.179368597698385</v>
      </c>
      <c r="CB84" s="92"/>
      <c r="CC84" s="98">
        <f>CC81+CC83-CC82</f>
        <v>-9.0467532467532692</v>
      </c>
      <c r="CD84" s="92">
        <f>CD81+CD83-CD82</f>
        <v>-9</v>
      </c>
      <c r="CE84" s="92">
        <f>CE81+CE83-CE82</f>
        <v>-9</v>
      </c>
      <c r="CF84" s="99">
        <f>CF81+CF83-CF82</f>
        <v>-9</v>
      </c>
      <c r="CG84" s="93">
        <f>CG81+CG83-CG82</f>
        <v>-9.0919968290832571</v>
      </c>
      <c r="CH84" s="92"/>
      <c r="CI84" s="98">
        <f>CI81+CI83-CI82</f>
        <v>-6.0467532467532692</v>
      </c>
      <c r="CJ84" s="92">
        <f>CJ81+CJ83-CJ82</f>
        <v>-6</v>
      </c>
      <c r="CK84" s="92">
        <f>CK81+CK83-CK82</f>
        <v>-6</v>
      </c>
      <c r="CL84" s="99">
        <f>CL81+CL83-CL82</f>
        <v>-6</v>
      </c>
      <c r="CM84" s="93">
        <f>CM81+CM83-CM82</f>
        <v>-5.488928272277235</v>
      </c>
      <c r="CQ84"/>
      <c r="CR84"/>
      <c r="CS84"/>
      <c r="CT84"/>
      <c r="CU84"/>
      <c r="CV84"/>
    </row>
    <row r="85" spans="1:101" s="11" customFormat="1" collapsed="1" x14ac:dyDescent="0.2">
      <c r="A85" s="423" t="s">
        <v>181</v>
      </c>
      <c r="B85" s="304"/>
      <c r="C85" s="424"/>
      <c r="D85" s="425"/>
      <c r="E85" s="425"/>
      <c r="F85" s="426"/>
      <c r="G85" s="427"/>
      <c r="H85" s="425"/>
      <c r="I85" s="424"/>
      <c r="J85" s="425"/>
      <c r="K85" s="425"/>
      <c r="L85" s="426"/>
      <c r="M85" s="427"/>
      <c r="N85" s="425"/>
      <c r="O85" s="424"/>
      <c r="P85" s="425"/>
      <c r="Q85" s="425"/>
      <c r="R85" s="426"/>
      <c r="S85" s="427"/>
      <c r="T85" s="425"/>
      <c r="U85" s="424"/>
      <c r="V85" s="425"/>
      <c r="W85" s="425"/>
      <c r="X85" s="426"/>
      <c r="Y85" s="427"/>
      <c r="Z85" s="425"/>
      <c r="AA85" s="424"/>
      <c r="AB85" s="425"/>
      <c r="AC85" s="425"/>
      <c r="AD85" s="426"/>
      <c r="AE85" s="427"/>
      <c r="AF85" s="425"/>
      <c r="AG85" s="424"/>
      <c r="AH85" s="425"/>
      <c r="AI85" s="425"/>
      <c r="AJ85" s="426"/>
      <c r="AK85" s="427"/>
      <c r="AL85" s="425"/>
      <c r="AM85" s="424"/>
      <c r="AN85" s="425"/>
      <c r="AO85" s="425"/>
      <c r="AP85" s="426"/>
      <c r="AQ85" s="427"/>
      <c r="AR85" s="425"/>
      <c r="AS85" s="424"/>
      <c r="AT85" s="425"/>
      <c r="AU85" s="425"/>
      <c r="AV85" s="426"/>
      <c r="AW85" s="427"/>
      <c r="AX85" s="425"/>
      <c r="AY85" s="424"/>
      <c r="AZ85" s="425"/>
      <c r="BA85" s="425"/>
      <c r="BB85" s="426"/>
      <c r="BC85" s="427"/>
      <c r="BD85" s="425"/>
      <c r="BE85" s="424"/>
      <c r="BF85" s="425"/>
      <c r="BG85" s="425"/>
      <c r="BH85" s="426"/>
      <c r="BI85" s="427"/>
      <c r="BJ85" s="425"/>
      <c r="BK85" s="424"/>
      <c r="BL85" s="425"/>
      <c r="BM85" s="425"/>
      <c r="BN85" s="426"/>
      <c r="BO85" s="427"/>
      <c r="BP85" s="425"/>
      <c r="BQ85" s="424"/>
      <c r="BR85" s="425"/>
      <c r="BS85" s="425"/>
      <c r="BT85" s="426"/>
      <c r="BU85" s="427"/>
      <c r="BV85" s="425"/>
      <c r="BW85" s="424"/>
      <c r="BX85" s="425"/>
      <c r="BY85" s="425"/>
      <c r="BZ85" s="426"/>
      <c r="CA85" s="427"/>
      <c r="CB85" s="425"/>
      <c r="CC85" s="424"/>
      <c r="CD85" s="425"/>
      <c r="CE85" s="425"/>
      <c r="CF85" s="426"/>
      <c r="CG85" s="427"/>
      <c r="CH85" s="425"/>
      <c r="CI85" s="424"/>
      <c r="CJ85" s="425"/>
      <c r="CK85" s="425"/>
      <c r="CL85" s="426"/>
      <c r="CM85" s="427"/>
      <c r="CQ85"/>
      <c r="CR85"/>
      <c r="CS85"/>
      <c r="CT85"/>
      <c r="CU85"/>
      <c r="CV85"/>
    </row>
    <row r="86" spans="1:101" s="11" customFormat="1" hidden="1" outlineLevel="1" x14ac:dyDescent="0.2">
      <c r="A86" s="189" t="s">
        <v>182</v>
      </c>
      <c r="C86" s="104">
        <v>0.53558199794709083</v>
      </c>
      <c r="D86" s="105">
        <v>0.99964996480695589</v>
      </c>
      <c r="E86" s="105">
        <v>2.1685210759130129</v>
      </c>
      <c r="F86" s="106">
        <v>4.6056015264319825</v>
      </c>
      <c r="G86" s="161">
        <v>5.8226801357623827</v>
      </c>
      <c r="H86" s="61"/>
      <c r="I86" s="98">
        <f t="shared" ref="I86:M88" si="46">I81-C81</f>
        <v>-1.8346471262357085</v>
      </c>
      <c r="J86" s="92">
        <f t="shared" si="46"/>
        <v>4.6148476428331193</v>
      </c>
      <c r="K86" s="92">
        <f t="shared" si="46"/>
        <v>-0.42368102677949082</v>
      </c>
      <c r="L86" s="99">
        <f t="shared" si="46"/>
        <v>-6.221558356303305</v>
      </c>
      <c r="M86" s="93">
        <f t="shared" si="46"/>
        <v>-7.1258807980865484</v>
      </c>
      <c r="N86" s="61"/>
      <c r="O86" s="98">
        <f t="shared" ref="O86:S88" si="47">O81-I81</f>
        <v>3.860116721610197</v>
      </c>
      <c r="P86" s="92">
        <f t="shared" si="47"/>
        <v>-3.4351736744316241</v>
      </c>
      <c r="Q86" s="92">
        <f t="shared" si="47"/>
        <v>1.3903230601982344</v>
      </c>
      <c r="R86" s="99">
        <f t="shared" si="47"/>
        <v>3.8782988656824742</v>
      </c>
      <c r="S86" s="93">
        <f t="shared" si="47"/>
        <v>6.0142646124806021</v>
      </c>
      <c r="T86" s="61"/>
      <c r="U86" s="98">
        <f t="shared" ref="U86:Y88" si="48">U81-O81</f>
        <v>-5.9626176015801562</v>
      </c>
      <c r="V86" s="92">
        <f t="shared" si="48"/>
        <v>0.33882745543423454</v>
      </c>
      <c r="W86" s="92">
        <f t="shared" si="48"/>
        <v>-4.484426569601375</v>
      </c>
      <c r="X86" s="99">
        <f t="shared" si="48"/>
        <v>1.1998223811839352</v>
      </c>
      <c r="Y86" s="93">
        <f t="shared" si="48"/>
        <v>-1.3756574311487668</v>
      </c>
      <c r="Z86" s="61"/>
      <c r="AA86" s="98">
        <f t="shared" ref="AA86:AE88" si="49">AA81-U81</f>
        <v>3.4333818265265563</v>
      </c>
      <c r="AB86" s="92">
        <f t="shared" si="49"/>
        <v>1.4073267855507012</v>
      </c>
      <c r="AC86" s="92">
        <f t="shared" si="49"/>
        <v>4.1174123602517554</v>
      </c>
      <c r="AD86" s="99">
        <f t="shared" si="49"/>
        <v>-2.3284080869457497</v>
      </c>
      <c r="AE86" s="93">
        <f t="shared" si="49"/>
        <v>-0.54642569170965771</v>
      </c>
      <c r="AF86" s="61"/>
      <c r="AG86" s="98">
        <f t="shared" ref="AG86:AK88" si="50">AG81-AA81</f>
        <v>0.80915134419962698</v>
      </c>
      <c r="AH86" s="92">
        <f t="shared" si="50"/>
        <v>-0.77044198187662261</v>
      </c>
      <c r="AI86" s="92">
        <f t="shared" si="50"/>
        <v>-4.9849577704168624</v>
      </c>
      <c r="AJ86" s="99">
        <f t="shared" si="50"/>
        <v>1.5722932421369293</v>
      </c>
      <c r="AK86" s="93">
        <f t="shared" si="50"/>
        <v>3.6358413901425024E-2</v>
      </c>
      <c r="AL86" s="61"/>
      <c r="AM86" s="98">
        <f t="shared" ref="AM86:AQ88" si="51">AM81-AG81</f>
        <v>-0.66938471840322222</v>
      </c>
      <c r="AN86" s="92">
        <f t="shared" si="51"/>
        <v>-2.9041111738553127</v>
      </c>
      <c r="AO86" s="92">
        <f t="shared" si="51"/>
        <v>2.3111614641594826</v>
      </c>
      <c r="AP86" s="99">
        <f t="shared" si="51"/>
        <v>-4.0811395012480034</v>
      </c>
      <c r="AQ86" s="93">
        <f t="shared" si="51"/>
        <v>-2.9664149052656441</v>
      </c>
      <c r="AR86" s="61"/>
      <c r="AS86" s="98">
        <f t="shared" ref="AS86:AV88" si="52">AS81-AM81</f>
        <v>-5.6706119741518251</v>
      </c>
      <c r="AT86" s="92">
        <f t="shared" si="52"/>
        <v>-5.8879837908046682</v>
      </c>
      <c r="AU86" s="92">
        <f t="shared" si="52"/>
        <v>-4.8334097046193918</v>
      </c>
      <c r="AV86" s="428">
        <f t="shared" si="52"/>
        <v>-4.6919233662883713</v>
      </c>
      <c r="AW86" s="93">
        <f>AW81-AQ81</f>
        <v>-4.9020987066280597</v>
      </c>
      <c r="AX86" s="61"/>
      <c r="AY86" s="98">
        <f t="shared" ref="AY86:BI88" si="53">AY81-AS81</f>
        <v>-4.5385400684419039</v>
      </c>
      <c r="AZ86" s="92">
        <f t="shared" si="53"/>
        <v>20.193094061139803</v>
      </c>
      <c r="BA86" s="92">
        <f t="shared" si="53"/>
        <v>-3.0275439977515077</v>
      </c>
      <c r="BB86" s="428">
        <f t="shared" si="53"/>
        <v>-1.0499680430304892</v>
      </c>
      <c r="BC86" s="93">
        <f t="shared" si="53"/>
        <v>6.0290969717504694</v>
      </c>
      <c r="BD86" s="61"/>
      <c r="BE86" s="98">
        <f t="shared" si="53"/>
        <v>0.27319797367704979</v>
      </c>
      <c r="BF86" s="92">
        <f t="shared" si="53"/>
        <v>-23.188846375416205</v>
      </c>
      <c r="BG86" s="92">
        <f t="shared" si="53"/>
        <v>-1.7588078893033909</v>
      </c>
      <c r="BH86" s="428">
        <f t="shared" si="53"/>
        <v>-2.485845139846262</v>
      </c>
      <c r="BI86" s="93">
        <f t="shared" si="53"/>
        <v>-10.072009402690696</v>
      </c>
      <c r="BJ86" s="61"/>
      <c r="BK86" s="98">
        <f t="shared" ref="BK86:BQ88" si="54">BK81-BE81</f>
        <v>1.2652659423875363</v>
      </c>
      <c r="BL86" s="92">
        <f t="shared" si="54"/>
        <v>1.4530766964702693</v>
      </c>
      <c r="BM86" s="92">
        <f t="shared" si="54"/>
        <v>6.4327162917009915</v>
      </c>
      <c r="BN86" s="428">
        <f t="shared" si="54"/>
        <v>4.6043248520614313</v>
      </c>
      <c r="BO86" s="93">
        <f t="shared" si="54"/>
        <v>5.3849025151199754</v>
      </c>
      <c r="BP86" s="61"/>
      <c r="BQ86" s="98">
        <f t="shared" si="54"/>
        <v>11.848215952425399</v>
      </c>
      <c r="BR86" s="92">
        <f t="shared" ref="BR86:BU88" si="55">BR81-BL81</f>
        <v>-0.22204445941394368</v>
      </c>
      <c r="BS86" s="92">
        <f t="shared" si="55"/>
        <v>-4.5852553542009886</v>
      </c>
      <c r="BT86" s="428">
        <f t="shared" si="55"/>
        <v>-2.2575406838486884</v>
      </c>
      <c r="BU86" s="93">
        <f t="shared" si="55"/>
        <v>3.9233484242160444E-3</v>
      </c>
      <c r="BV86" s="61"/>
      <c r="BW86" s="98">
        <f t="shared" ref="BW86:BW88" si="56">BW81-BQ81</f>
        <v>-11.300000000000004</v>
      </c>
      <c r="BX86" s="92">
        <f t="shared" ref="BX86:BX88" si="57">BX81-BR81</f>
        <v>0</v>
      </c>
      <c r="BY86" s="92">
        <f t="shared" ref="BY86:BY88" si="58">BY81-BS81</f>
        <v>0</v>
      </c>
      <c r="BZ86" s="428">
        <f t="shared" ref="BZ86:BZ88" si="59">BZ81-BT81</f>
        <v>0</v>
      </c>
      <c r="CA86" s="93">
        <f t="shared" ref="CA86:CA88" si="60">CA81-BU81</f>
        <v>-3.2054592402191204</v>
      </c>
      <c r="CB86" s="61"/>
      <c r="CC86" s="432">
        <f>CG86</f>
        <v>1</v>
      </c>
      <c r="CD86" s="61">
        <f>CG86</f>
        <v>1</v>
      </c>
      <c r="CE86" s="61">
        <f>CG86</f>
        <v>1</v>
      </c>
      <c r="CF86" s="428">
        <f>CG86</f>
        <v>1</v>
      </c>
      <c r="CG86" s="161">
        <v>1</v>
      </c>
      <c r="CH86" s="61"/>
      <c r="CI86" s="432">
        <f>CM86</f>
        <v>1</v>
      </c>
      <c r="CJ86" s="61">
        <f>CM86</f>
        <v>1</v>
      </c>
      <c r="CK86" s="61">
        <f>CM86</f>
        <v>1</v>
      </c>
      <c r="CL86" s="428">
        <f>CM86</f>
        <v>1</v>
      </c>
      <c r="CM86" s="161">
        <v>1</v>
      </c>
      <c r="CQ86"/>
      <c r="CR86"/>
      <c r="CS86"/>
      <c r="CT86"/>
      <c r="CU86"/>
      <c r="CV86"/>
    </row>
    <row r="87" spans="1:101" s="11" customFormat="1" hidden="1" outlineLevel="1" x14ac:dyDescent="0.2">
      <c r="A87" s="189" t="s">
        <v>178</v>
      </c>
      <c r="C87" s="104">
        <v>5.8961158253995336</v>
      </c>
      <c r="D87" s="105">
        <v>7.7281330478009522</v>
      </c>
      <c r="E87" s="105">
        <v>5.2912078896644061</v>
      </c>
      <c r="F87" s="106">
        <v>-4.2168204042820605</v>
      </c>
      <c r="G87" s="161">
        <v>0.88266856529156712</v>
      </c>
      <c r="H87" s="61"/>
      <c r="I87" s="98">
        <f t="shared" si="46"/>
        <v>-21.309971305580575</v>
      </c>
      <c r="J87" s="92">
        <f t="shared" si="46"/>
        <v>-10.760303639869349</v>
      </c>
      <c r="K87" s="92">
        <f t="shared" si="46"/>
        <v>-13.967657338569396</v>
      </c>
      <c r="L87" s="99">
        <f t="shared" si="46"/>
        <v>-19.285653149701162</v>
      </c>
      <c r="M87" s="93">
        <f t="shared" si="46"/>
        <v>-24.033747128126365</v>
      </c>
      <c r="N87" s="61"/>
      <c r="O87" s="98">
        <f t="shared" si="47"/>
        <v>2.943872832909733</v>
      </c>
      <c r="P87" s="92">
        <f t="shared" si="47"/>
        <v>-0.21162390120278474</v>
      </c>
      <c r="Q87" s="92">
        <f t="shared" si="47"/>
        <v>9.5220390178929364</v>
      </c>
      <c r="R87" s="99">
        <f t="shared" si="47"/>
        <v>16.472599702944265</v>
      </c>
      <c r="S87" s="93">
        <f t="shared" si="47"/>
        <v>24.44609654696437</v>
      </c>
      <c r="T87" s="61"/>
      <c r="U87" s="98">
        <f t="shared" si="48"/>
        <v>-8.5899988838472723</v>
      </c>
      <c r="V87" s="92">
        <f t="shared" si="48"/>
        <v>8.8230588352019907</v>
      </c>
      <c r="W87" s="92">
        <f t="shared" si="48"/>
        <v>2.2803445528576844</v>
      </c>
      <c r="X87" s="99">
        <f t="shared" si="48"/>
        <v>7.9218861582435522</v>
      </c>
      <c r="Y87" s="93">
        <f t="shared" si="48"/>
        <v>-0.13115809100443698</v>
      </c>
      <c r="Z87" s="61"/>
      <c r="AA87" s="98">
        <f t="shared" si="49"/>
        <v>13.513028031358942</v>
      </c>
      <c r="AB87" s="92">
        <f t="shared" si="49"/>
        <v>3.2103375808284511</v>
      </c>
      <c r="AC87" s="92">
        <f t="shared" si="49"/>
        <v>2.9600709997574199</v>
      </c>
      <c r="AD87" s="99">
        <f t="shared" si="49"/>
        <v>0.47683711529862194</v>
      </c>
      <c r="AE87" s="93">
        <f t="shared" si="49"/>
        <v>8.5997730450113181</v>
      </c>
      <c r="AF87" s="61"/>
      <c r="AG87" s="98">
        <f t="shared" si="50"/>
        <v>-7.4391068578499926</v>
      </c>
      <c r="AH87" s="92">
        <f t="shared" si="50"/>
        <v>0.26789102789797425</v>
      </c>
      <c r="AI87" s="92">
        <f t="shared" si="50"/>
        <v>2.1921030834386102</v>
      </c>
      <c r="AJ87" s="99">
        <f t="shared" si="50"/>
        <v>0.82579186093167323</v>
      </c>
      <c r="AK87" s="93">
        <f t="shared" si="50"/>
        <v>-6.6342935509414929</v>
      </c>
      <c r="AL87" s="61"/>
      <c r="AM87" s="98">
        <f t="shared" si="51"/>
        <v>24.042924944710848</v>
      </c>
      <c r="AN87" s="92">
        <f t="shared" si="51"/>
        <v>2.2368648419240458</v>
      </c>
      <c r="AO87" s="92">
        <f t="shared" si="51"/>
        <v>-3.1049610032058297</v>
      </c>
      <c r="AP87" s="99">
        <f t="shared" si="51"/>
        <v>26.288991689058435</v>
      </c>
      <c r="AQ87" s="93">
        <f t="shared" si="51"/>
        <v>31.122165140540631</v>
      </c>
      <c r="AR87" s="61"/>
      <c r="AS87" s="98">
        <f t="shared" si="52"/>
        <v>3.8986813335777697</v>
      </c>
      <c r="AT87" s="92">
        <f t="shared" si="52"/>
        <v>26.001615795492938</v>
      </c>
      <c r="AU87" s="92">
        <f t="shared" si="52"/>
        <v>28.324884979401844</v>
      </c>
      <c r="AV87" s="428">
        <f t="shared" si="52"/>
        <v>-1.5437987502518808</v>
      </c>
      <c r="AW87" s="93">
        <f>AW82-AQ82</f>
        <v>-1.3504976588949944</v>
      </c>
      <c r="AX87" s="61"/>
      <c r="AY87" s="98">
        <f t="shared" si="53"/>
        <v>3.3848214096236688</v>
      </c>
      <c r="AZ87" s="92">
        <f t="shared" si="53"/>
        <v>91.961110536286299</v>
      </c>
      <c r="BA87" s="92">
        <f t="shared" si="53"/>
        <v>-3.1077067012648172</v>
      </c>
      <c r="BB87" s="428">
        <f t="shared" si="53"/>
        <v>8.6441649443711128</v>
      </c>
      <c r="BC87" s="93">
        <f t="shared" si="53"/>
        <v>33.71577369317751</v>
      </c>
      <c r="BD87" s="61"/>
      <c r="BE87" s="98">
        <f t="shared" si="53"/>
        <v>-8.4821965976003639</v>
      </c>
      <c r="BF87" s="92">
        <f t="shared" si="53"/>
        <v>-85.222051834533858</v>
      </c>
      <c r="BG87" s="92">
        <f t="shared" si="53"/>
        <v>8.0704984814991292</v>
      </c>
      <c r="BH87" s="428">
        <f t="shared" si="53"/>
        <v>17.28058601782044</v>
      </c>
      <c r="BI87" s="93">
        <f t="shared" si="53"/>
        <v>-7.6564404602150944</v>
      </c>
      <c r="BJ87" s="61"/>
      <c r="BK87" s="98">
        <f t="shared" si="54"/>
        <v>12.475257523467349</v>
      </c>
      <c r="BL87" s="92">
        <f t="shared" si="54"/>
        <v>9.1512631815083694</v>
      </c>
      <c r="BM87" s="92">
        <f t="shared" si="54"/>
        <v>11.174943460233692</v>
      </c>
      <c r="BN87" s="428">
        <f t="shared" si="54"/>
        <v>-7.3443619176232744</v>
      </c>
      <c r="BO87" s="93">
        <f t="shared" si="54"/>
        <v>-5.3214328657406043</v>
      </c>
      <c r="BP87" s="61"/>
      <c r="BQ87" s="98">
        <f t="shared" si="54"/>
        <v>97.62005818571501</v>
      </c>
      <c r="BR87" s="92">
        <f t="shared" si="55"/>
        <v>28.668207681365573</v>
      </c>
      <c r="BS87" s="92">
        <f t="shared" si="55"/>
        <v>26.196428571428584</v>
      </c>
      <c r="BT87" s="428">
        <f t="shared" si="55"/>
        <v>16.594361917623246</v>
      </c>
      <c r="BU87" s="93">
        <f t="shared" si="55"/>
        <v>22.106858981379901</v>
      </c>
      <c r="BV87" s="61"/>
      <c r="BW87" s="98">
        <f t="shared" si="56"/>
        <v>-65.062005751258084</v>
      </c>
      <c r="BX87" s="92">
        <f t="shared" si="57"/>
        <v>0</v>
      </c>
      <c r="BY87" s="92">
        <f t="shared" si="58"/>
        <v>0</v>
      </c>
      <c r="BZ87" s="428">
        <f t="shared" si="59"/>
        <v>0</v>
      </c>
      <c r="CA87" s="93">
        <f t="shared" si="60"/>
        <v>-10.236079087025047</v>
      </c>
      <c r="CB87" s="61"/>
      <c r="CC87" s="432">
        <f>CG87</f>
        <v>-1</v>
      </c>
      <c r="CD87" s="61">
        <f>CG87</f>
        <v>-1</v>
      </c>
      <c r="CE87" s="61">
        <f>CG87</f>
        <v>-1</v>
      </c>
      <c r="CF87" s="428">
        <f>CG87</f>
        <v>-1</v>
      </c>
      <c r="CG87" s="161">
        <v>-1</v>
      </c>
      <c r="CH87" s="61"/>
      <c r="CI87" s="432">
        <f>CM87</f>
        <v>-1</v>
      </c>
      <c r="CJ87" s="61">
        <f>CM87</f>
        <v>-1</v>
      </c>
      <c r="CK87" s="61">
        <f>CM87</f>
        <v>-1</v>
      </c>
      <c r="CL87" s="428">
        <f>CM87</f>
        <v>-1</v>
      </c>
      <c r="CM87" s="161">
        <v>-1</v>
      </c>
      <c r="CQ87"/>
      <c r="CR87"/>
      <c r="CS87"/>
      <c r="CT87"/>
      <c r="CU87"/>
      <c r="CV87"/>
    </row>
    <row r="88" spans="1:101" s="11" customFormat="1" hidden="1" outlineLevel="1" x14ac:dyDescent="0.2">
      <c r="A88" s="196" t="s">
        <v>179</v>
      </c>
      <c r="B88" s="5"/>
      <c r="C88" s="124">
        <v>8.0855456798005179</v>
      </c>
      <c r="D88" s="125">
        <v>6.3909298176583462</v>
      </c>
      <c r="E88" s="125">
        <v>6.8985185247493206</v>
      </c>
      <c r="F88" s="126">
        <v>6.1891939491084287</v>
      </c>
      <c r="G88" s="300">
        <v>10.557874362300581</v>
      </c>
      <c r="H88" s="352"/>
      <c r="I88" s="131">
        <f t="shared" si="46"/>
        <v>-0.51023057416591655</v>
      </c>
      <c r="J88" s="123">
        <f t="shared" si="46"/>
        <v>6.1357508868050274</v>
      </c>
      <c r="K88" s="123">
        <f t="shared" si="46"/>
        <v>-4.2084762887494378</v>
      </c>
      <c r="L88" s="132">
        <f t="shared" si="46"/>
        <v>-8.3108092712458728</v>
      </c>
      <c r="M88" s="303">
        <f t="shared" si="46"/>
        <v>-12.078846843656891</v>
      </c>
      <c r="N88" s="352"/>
      <c r="O88" s="131">
        <f t="shared" si="47"/>
        <v>18.917131657331666</v>
      </c>
      <c r="P88" s="123">
        <f t="shared" si="47"/>
        <v>10.872568779039327</v>
      </c>
      <c r="Q88" s="123">
        <f t="shared" si="47"/>
        <v>17.509599385518882</v>
      </c>
      <c r="R88" s="132">
        <f t="shared" si="47"/>
        <v>7.9924275370627242</v>
      </c>
      <c r="S88" s="303">
        <f t="shared" si="47"/>
        <v>14.580806034596648</v>
      </c>
      <c r="T88" s="352"/>
      <c r="U88" s="131">
        <f t="shared" si="48"/>
        <v>-18.907975838501883</v>
      </c>
      <c r="V88" s="123">
        <f t="shared" si="48"/>
        <v>-10.366961619544114</v>
      </c>
      <c r="W88" s="123">
        <f t="shared" si="48"/>
        <v>-15.489628194861794</v>
      </c>
      <c r="X88" s="132">
        <f t="shared" si="48"/>
        <v>-2.5701639233419797</v>
      </c>
      <c r="Y88" s="303">
        <f t="shared" si="48"/>
        <v>-9.5072228068861051</v>
      </c>
      <c r="Z88" s="352"/>
      <c r="AA88" s="131">
        <f t="shared" si="49"/>
        <v>11.074565969899155</v>
      </c>
      <c r="AB88" s="123">
        <f t="shared" si="49"/>
        <v>7.6561012538780773</v>
      </c>
      <c r="AC88" s="123">
        <f t="shared" si="49"/>
        <v>15.791043555584949</v>
      </c>
      <c r="AD88" s="132">
        <f t="shared" si="49"/>
        <v>0.98746821874628665</v>
      </c>
      <c r="AE88" s="303">
        <f t="shared" si="49"/>
        <v>7.3650483724686353</v>
      </c>
      <c r="AF88" s="352"/>
      <c r="AG88" s="131">
        <f t="shared" si="50"/>
        <v>-1.980804055810637</v>
      </c>
      <c r="AH88" s="123">
        <f t="shared" si="50"/>
        <v>-2.7025822118243923</v>
      </c>
      <c r="AI88" s="123">
        <f t="shared" si="50"/>
        <v>-12.297869714572428</v>
      </c>
      <c r="AJ88" s="132">
        <f t="shared" si="50"/>
        <v>1.3881738620651447</v>
      </c>
      <c r="AK88" s="303">
        <f t="shared" si="50"/>
        <v>-4.4435259731019983</v>
      </c>
      <c r="AL88" s="352"/>
      <c r="AM88" s="131">
        <f t="shared" si="51"/>
        <v>13.757594015417425</v>
      </c>
      <c r="AN88" s="123">
        <f t="shared" si="51"/>
        <v>3.9369369378760268</v>
      </c>
      <c r="AO88" s="123">
        <f t="shared" si="51"/>
        <v>12.83775170489217</v>
      </c>
      <c r="AP88" s="132">
        <f t="shared" si="51"/>
        <v>10.205403769680501</v>
      </c>
      <c r="AQ88" s="303">
        <f t="shared" si="51"/>
        <v>13.537737765634418</v>
      </c>
      <c r="AR88" s="352"/>
      <c r="AS88" s="131">
        <f t="shared" si="52"/>
        <v>-2.3959630904186326</v>
      </c>
      <c r="AT88" s="123">
        <f t="shared" si="52"/>
        <v>5.9280224039907523</v>
      </c>
      <c r="AU88" s="123">
        <f t="shared" si="52"/>
        <v>5.7302462946737478</v>
      </c>
      <c r="AV88" s="433">
        <f t="shared" si="52"/>
        <v>0.10198771034768583</v>
      </c>
      <c r="AW88" s="303">
        <f>AW83-AQ83</f>
        <v>0.30071635062526525</v>
      </c>
      <c r="AX88" s="352"/>
      <c r="AY88" s="131">
        <f t="shared" si="53"/>
        <v>0.42477594517183093</v>
      </c>
      <c r="AZ88" s="123">
        <f t="shared" si="53"/>
        <v>72.586271889629529</v>
      </c>
      <c r="BA88" s="123">
        <f t="shared" si="53"/>
        <v>-15.452532596483735</v>
      </c>
      <c r="BB88" s="433">
        <f t="shared" si="53"/>
        <v>-6.1658029391292501</v>
      </c>
      <c r="BC88" s="303">
        <f t="shared" si="53"/>
        <v>10.014964123146058</v>
      </c>
      <c r="BD88" s="352"/>
      <c r="BE88" s="131">
        <f t="shared" si="53"/>
        <v>-12.625237066395627</v>
      </c>
      <c r="BF88" s="123">
        <f t="shared" si="53"/>
        <v>-93.972373872953042</v>
      </c>
      <c r="BG88" s="123">
        <f t="shared" si="53"/>
        <v>-12.012251967667041</v>
      </c>
      <c r="BH88" s="433">
        <f t="shared" si="53"/>
        <v>-20.994719750860085</v>
      </c>
      <c r="BI88" s="303">
        <f t="shared" si="53"/>
        <v>-39.003640041622873</v>
      </c>
      <c r="BJ88" s="352"/>
      <c r="BK88" s="131">
        <f t="shared" si="54"/>
        <v>-11.368826528200216</v>
      </c>
      <c r="BL88" s="123">
        <f t="shared" si="54"/>
        <v>-3.1311453851714646</v>
      </c>
      <c r="BM88" s="123">
        <f t="shared" si="54"/>
        <v>8.7605847154165133</v>
      </c>
      <c r="BN88" s="433">
        <f t="shared" si="54"/>
        <v>10.487142969523362</v>
      </c>
      <c r="BO88" s="303">
        <f t="shared" si="54"/>
        <v>12.27308038645711</v>
      </c>
      <c r="BP88" s="352"/>
      <c r="BQ88" s="131">
        <f t="shared" si="54"/>
        <v>78.98436780587889</v>
      </c>
      <c r="BR88" s="123">
        <f t="shared" si="55"/>
        <v>36.618954480796575</v>
      </c>
      <c r="BS88" s="123">
        <f t="shared" si="55"/>
        <v>30.788392857142853</v>
      </c>
      <c r="BT88" s="433">
        <f t="shared" si="55"/>
        <v>37.986158001350432</v>
      </c>
      <c r="BU88" s="303">
        <f t="shared" si="55"/>
        <v>43.327458605645887</v>
      </c>
      <c r="BV88" s="352"/>
      <c r="BW88" s="131">
        <f t="shared" si="56"/>
        <v>-44.636053199137308</v>
      </c>
      <c r="BX88" s="123">
        <f t="shared" si="57"/>
        <v>0</v>
      </c>
      <c r="BY88" s="123">
        <f t="shared" si="58"/>
        <v>0</v>
      </c>
      <c r="BZ88" s="433">
        <f t="shared" si="59"/>
        <v>0</v>
      </c>
      <c r="CA88" s="303">
        <f t="shared" si="60"/>
        <v>-7.311485062160699</v>
      </c>
      <c r="CB88" s="352"/>
      <c r="CC88" s="434">
        <f>CG88</f>
        <v>1</v>
      </c>
      <c r="CD88" s="352">
        <f>CG88</f>
        <v>1</v>
      </c>
      <c r="CE88" s="352">
        <f>CG88</f>
        <v>1</v>
      </c>
      <c r="CF88" s="433">
        <f>CG88</f>
        <v>1</v>
      </c>
      <c r="CG88" s="300">
        <v>1</v>
      </c>
      <c r="CH88" s="352"/>
      <c r="CI88" s="434">
        <f>CM88</f>
        <v>1</v>
      </c>
      <c r="CJ88" s="352">
        <f>CM88</f>
        <v>1</v>
      </c>
      <c r="CK88" s="352">
        <f>CM88</f>
        <v>1</v>
      </c>
      <c r="CL88" s="433">
        <f>CM88</f>
        <v>1</v>
      </c>
      <c r="CM88" s="300">
        <v>1</v>
      </c>
      <c r="CQ88"/>
      <c r="CR88"/>
      <c r="CS88"/>
      <c r="CT88"/>
      <c r="CU88"/>
      <c r="CV88"/>
    </row>
    <row r="89" spans="1:101" s="11" customFormat="1" collapsed="1" x14ac:dyDescent="0.2">
      <c r="A89" s="171"/>
      <c r="B89" s="172"/>
      <c r="C89" s="172"/>
      <c r="D89" s="172"/>
      <c r="E89" s="172"/>
      <c r="F89" s="172"/>
      <c r="G89" s="172"/>
      <c r="H89" s="172"/>
      <c r="I89" s="172"/>
      <c r="J89" s="172"/>
      <c r="K89" s="172"/>
      <c r="L89" s="172"/>
      <c r="M89" s="172"/>
      <c r="N89" s="172"/>
      <c r="O89" s="172"/>
      <c r="P89" s="172"/>
      <c r="Q89" s="172"/>
      <c r="R89" s="172"/>
      <c r="S89" s="172"/>
      <c r="T89" s="172"/>
      <c r="U89" s="172"/>
      <c r="V89" s="172"/>
      <c r="W89" s="172"/>
      <c r="X89" s="172"/>
      <c r="Y89" s="172"/>
      <c r="Z89" s="172"/>
      <c r="AA89" s="172"/>
      <c r="AB89" s="172"/>
      <c r="AC89" s="172"/>
      <c r="AD89" s="172"/>
      <c r="AE89" s="172"/>
      <c r="AF89" s="172"/>
      <c r="AG89" s="172"/>
      <c r="AH89" s="172"/>
      <c r="AI89" s="172"/>
      <c r="AJ89" s="172"/>
      <c r="AK89" s="172"/>
      <c r="AL89" s="172"/>
      <c r="AM89" s="172"/>
      <c r="AN89" s="172"/>
      <c r="AO89" s="172"/>
      <c r="AP89" s="172"/>
      <c r="AQ89" s="172"/>
      <c r="AR89" s="172"/>
      <c r="AS89" s="172"/>
      <c r="AT89" s="172"/>
      <c r="AU89" s="172"/>
      <c r="AV89" s="172"/>
      <c r="AW89" s="172"/>
      <c r="AX89" s="172"/>
      <c r="AY89" s="172"/>
      <c r="AZ89" s="172"/>
      <c r="BA89" s="172"/>
      <c r="BB89" s="172"/>
      <c r="BC89" s="172"/>
      <c r="BD89" s="172"/>
      <c r="BE89" s="172"/>
      <c r="BF89" s="172"/>
      <c r="BG89" s="172"/>
      <c r="BH89" s="172"/>
      <c r="BI89" s="172"/>
      <c r="BJ89" s="172"/>
      <c r="BK89" s="172"/>
      <c r="BL89" s="172"/>
      <c r="BM89" s="172"/>
      <c r="BN89" s="172"/>
      <c r="BO89" s="172"/>
      <c r="BP89" s="172"/>
      <c r="BQ89" s="172"/>
      <c r="BR89" s="172"/>
      <c r="BS89" s="172"/>
      <c r="BT89" s="172"/>
      <c r="BU89" s="172"/>
      <c r="BV89" s="172"/>
      <c r="BW89" s="172"/>
      <c r="BX89" s="172"/>
      <c r="BY89" s="172"/>
      <c r="BZ89" s="172"/>
      <c r="CA89" s="172"/>
      <c r="CB89" s="172"/>
      <c r="CC89" s="172"/>
      <c r="CD89" s="172"/>
      <c r="CE89" s="172"/>
      <c r="CF89" s="172"/>
      <c r="CG89" s="172"/>
      <c r="CH89" s="172"/>
      <c r="CI89" s="172"/>
      <c r="CJ89" s="172"/>
      <c r="CK89" s="172"/>
      <c r="CL89" s="172"/>
      <c r="CM89" s="172"/>
      <c r="CQ89"/>
      <c r="CR89"/>
      <c r="CS89"/>
      <c r="CT89"/>
      <c r="CU89"/>
      <c r="CV89"/>
    </row>
    <row r="90" spans="1:101" s="11" customFormat="1" x14ac:dyDescent="0.2">
      <c r="A90" s="176" t="s">
        <v>183</v>
      </c>
      <c r="B90" s="371"/>
      <c r="C90" s="372"/>
      <c r="D90" s="371"/>
      <c r="E90" s="371"/>
      <c r="F90" s="373"/>
      <c r="G90" s="374"/>
      <c r="H90" s="371"/>
      <c r="I90" s="375"/>
      <c r="J90" s="376"/>
      <c r="K90" s="376"/>
      <c r="L90" s="377"/>
      <c r="M90" s="378"/>
      <c r="N90" s="376"/>
      <c r="O90" s="375"/>
      <c r="P90" s="376"/>
      <c r="Q90" s="376"/>
      <c r="R90" s="377"/>
      <c r="S90" s="374"/>
      <c r="T90" s="371"/>
      <c r="U90" s="372"/>
      <c r="V90" s="371"/>
      <c r="W90" s="371"/>
      <c r="X90" s="373"/>
      <c r="Y90" s="374"/>
      <c r="Z90" s="371"/>
      <c r="AA90" s="372"/>
      <c r="AB90" s="371"/>
      <c r="AC90" s="371"/>
      <c r="AD90" s="373"/>
      <c r="AE90" s="374"/>
      <c r="AF90" s="371"/>
      <c r="AG90" s="372"/>
      <c r="AH90" s="371"/>
      <c r="AI90" s="371"/>
      <c r="AJ90" s="373"/>
      <c r="AK90" s="374"/>
      <c r="AL90" s="371"/>
      <c r="AM90" s="372"/>
      <c r="AN90" s="371"/>
      <c r="AO90" s="371"/>
      <c r="AP90" s="373"/>
      <c r="AQ90" s="374"/>
      <c r="AR90" s="371"/>
      <c r="AS90" s="372"/>
      <c r="AT90" s="371"/>
      <c r="AU90" s="371"/>
      <c r="AV90" s="373"/>
      <c r="AW90" s="374"/>
      <c r="AX90" s="371"/>
      <c r="AY90" s="372"/>
      <c r="AZ90" s="371"/>
      <c r="BA90" s="371"/>
      <c r="BB90" s="373"/>
      <c r="BC90" s="374"/>
      <c r="BD90" s="371"/>
      <c r="BE90" s="372"/>
      <c r="BF90" s="371"/>
      <c r="BG90" s="371"/>
      <c r="BH90" s="373"/>
      <c r="BI90" s="374"/>
      <c r="BJ90" s="371"/>
      <c r="BK90" s="372"/>
      <c r="BL90" s="371"/>
      <c r="BM90" s="371"/>
      <c r="BN90" s="373"/>
      <c r="BO90" s="374"/>
      <c r="BP90" s="371"/>
      <c r="BQ90" s="372"/>
      <c r="BR90" s="371"/>
      <c r="BS90" s="371"/>
      <c r="BT90" s="373"/>
      <c r="BU90" s="374"/>
      <c r="BV90" s="371"/>
      <c r="BW90" s="372"/>
      <c r="BX90" s="371"/>
      <c r="BY90" s="371"/>
      <c r="BZ90" s="373"/>
      <c r="CA90" s="374"/>
      <c r="CB90" s="371"/>
      <c r="CC90" s="372"/>
      <c r="CD90" s="371"/>
      <c r="CE90" s="371"/>
      <c r="CF90" s="373"/>
      <c r="CG90" s="374"/>
      <c r="CH90" s="371"/>
      <c r="CI90" s="372"/>
      <c r="CJ90" s="371"/>
      <c r="CK90" s="371"/>
      <c r="CL90" s="373"/>
      <c r="CM90" s="374"/>
      <c r="CQ90"/>
      <c r="CR90"/>
      <c r="CS90"/>
      <c r="CT90"/>
      <c r="CU90"/>
      <c r="CV90"/>
    </row>
    <row r="91" spans="1:101" s="11" customFormat="1" x14ac:dyDescent="0.2">
      <c r="A91" s="423" t="s">
        <v>184</v>
      </c>
      <c r="B91" s="359"/>
      <c r="C91" s="435"/>
      <c r="D91" s="359"/>
      <c r="E91" s="359"/>
      <c r="F91" s="436"/>
      <c r="G91" s="437"/>
      <c r="H91" s="359"/>
      <c r="I91" s="438"/>
      <c r="J91" s="439"/>
      <c r="K91" s="439"/>
      <c r="L91" s="440"/>
      <c r="M91" s="441"/>
      <c r="N91" s="439"/>
      <c r="O91" s="438"/>
      <c r="P91" s="439"/>
      <c r="Q91" s="439"/>
      <c r="R91" s="440"/>
      <c r="S91" s="437"/>
      <c r="T91" s="359"/>
      <c r="U91" s="435"/>
      <c r="V91" s="359"/>
      <c r="W91" s="359"/>
      <c r="X91" s="436"/>
      <c r="Y91" s="437"/>
      <c r="Z91" s="359"/>
      <c r="AA91" s="435"/>
      <c r="AB91" s="359"/>
      <c r="AC91" s="359"/>
      <c r="AD91" s="436"/>
      <c r="AE91" s="437"/>
      <c r="AF91" s="359"/>
      <c r="AG91" s="435"/>
      <c r="AH91" s="359"/>
      <c r="AI91" s="359"/>
      <c r="AJ91" s="436"/>
      <c r="AK91" s="437"/>
      <c r="AL91" s="359"/>
      <c r="AM91" s="435"/>
      <c r="AN91" s="359"/>
      <c r="AO91" s="359"/>
      <c r="AP91" s="436"/>
      <c r="AQ91" s="437"/>
      <c r="AR91" s="359"/>
      <c r="AS91" s="435"/>
      <c r="AT91" s="359"/>
      <c r="AU91" s="359"/>
      <c r="AV91" s="436"/>
      <c r="AW91" s="437"/>
      <c r="AX91" s="359"/>
      <c r="AY91" s="435"/>
      <c r="AZ91" s="359"/>
      <c r="BA91" s="359"/>
      <c r="BB91" s="436"/>
      <c r="BC91" s="437"/>
      <c r="BD91" s="359"/>
      <c r="BE91" s="435"/>
      <c r="BF91" s="359"/>
      <c r="BG91" s="359"/>
      <c r="BH91" s="436"/>
      <c r="BI91" s="437"/>
      <c r="BJ91" s="359"/>
      <c r="BK91" s="435"/>
      <c r="BL91" s="359"/>
      <c r="BM91" s="359"/>
      <c r="BN91" s="436"/>
      <c r="BO91" s="437"/>
      <c r="BP91" s="359"/>
      <c r="BQ91" s="435"/>
      <c r="BR91" s="359"/>
      <c r="BS91" s="359"/>
      <c r="BT91" s="436"/>
      <c r="BU91" s="437"/>
      <c r="BV91" s="359"/>
      <c r="BW91" s="435"/>
      <c r="BX91" s="359"/>
      <c r="BY91" s="359"/>
      <c r="BZ91" s="436"/>
      <c r="CA91" s="437"/>
      <c r="CB91" s="359"/>
      <c r="CC91" s="435"/>
      <c r="CD91" s="359"/>
      <c r="CE91" s="359"/>
      <c r="CF91" s="436"/>
      <c r="CG91" s="437"/>
      <c r="CH91" s="359"/>
      <c r="CI91" s="435"/>
      <c r="CJ91" s="359"/>
      <c r="CK91" s="359"/>
      <c r="CL91" s="436"/>
      <c r="CM91" s="437"/>
      <c r="CQ91"/>
      <c r="CR91"/>
      <c r="CS91"/>
      <c r="CT91"/>
      <c r="CU91"/>
      <c r="CV91"/>
    </row>
    <row r="92" spans="1:101" s="11" customFormat="1" hidden="1" outlineLevel="1" x14ac:dyDescent="0.2">
      <c r="A92" s="189" t="s">
        <v>185</v>
      </c>
      <c r="B92" s="15"/>
      <c r="C92" s="278"/>
      <c r="D92" s="15"/>
      <c r="E92" s="15"/>
      <c r="F92" s="279"/>
      <c r="G92" s="442"/>
      <c r="H92" s="15"/>
      <c r="I92" s="443"/>
      <c r="J92" s="390"/>
      <c r="K92" s="390"/>
      <c r="L92" s="444"/>
      <c r="M92" s="445"/>
      <c r="N92" s="390"/>
      <c r="O92" s="443"/>
      <c r="P92" s="390"/>
      <c r="Q92" s="390"/>
      <c r="R92" s="444"/>
      <c r="S92" s="442"/>
      <c r="T92" s="15"/>
      <c r="U92" s="278"/>
      <c r="V92" s="15"/>
      <c r="W92" s="15"/>
      <c r="X92" s="279"/>
      <c r="Y92" s="442"/>
      <c r="Z92" s="15"/>
      <c r="AA92" s="278"/>
      <c r="AB92" s="15"/>
      <c r="AC92" s="15"/>
      <c r="AD92" s="279"/>
      <c r="AE92" s="442"/>
      <c r="AF92" s="15"/>
      <c r="AG92" s="278"/>
      <c r="AH92" s="15"/>
      <c r="AI92" s="15"/>
      <c r="AJ92" s="279"/>
      <c r="AK92" s="442"/>
      <c r="AL92" s="15"/>
      <c r="AM92" s="278"/>
      <c r="AN92" s="15"/>
      <c r="AO92" s="15"/>
      <c r="AP92" s="279"/>
      <c r="AQ92" s="442"/>
      <c r="AR92" s="15"/>
      <c r="AS92" s="278"/>
      <c r="AT92" s="15"/>
      <c r="AU92" s="15"/>
      <c r="AV92" s="279"/>
      <c r="AW92" s="442"/>
      <c r="AX92" s="15"/>
      <c r="AY92" s="278"/>
      <c r="AZ92" s="15"/>
      <c r="BA92" s="92">
        <f>AZ95</f>
        <v>177</v>
      </c>
      <c r="BB92" s="99">
        <f>BA95</f>
        <v>130</v>
      </c>
      <c r="BC92" s="93">
        <f>AY92</f>
        <v>0</v>
      </c>
      <c r="BD92" s="15"/>
      <c r="BE92" s="98">
        <f>BB95</f>
        <v>75</v>
      </c>
      <c r="BF92" s="92">
        <f>BE95</f>
        <v>36</v>
      </c>
      <c r="BG92" s="92">
        <f>BF95</f>
        <v>311</v>
      </c>
      <c r="BH92" s="99">
        <f>BG95</f>
        <v>345</v>
      </c>
      <c r="BI92" s="93">
        <f>BE92</f>
        <v>75</v>
      </c>
      <c r="BJ92" s="15"/>
      <c r="BK92" s="98">
        <f>BH95</f>
        <v>339</v>
      </c>
      <c r="BL92" s="92">
        <f>BK95</f>
        <v>346</v>
      </c>
      <c r="BM92" s="92">
        <f>BL95</f>
        <v>355</v>
      </c>
      <c r="BN92" s="99">
        <f>BM95</f>
        <v>35</v>
      </c>
      <c r="BO92" s="93">
        <f>BK92</f>
        <v>339</v>
      </c>
      <c r="BP92" s="15"/>
      <c r="BQ92" s="98">
        <f>BN95</f>
        <v>16</v>
      </c>
      <c r="BR92" s="92">
        <f>BQ95</f>
        <v>0</v>
      </c>
      <c r="BS92" s="92">
        <f>BR95</f>
        <v>0</v>
      </c>
      <c r="BT92" s="99">
        <f>BS95</f>
        <v>0</v>
      </c>
      <c r="BU92" s="93">
        <f>BQ92</f>
        <v>16</v>
      </c>
      <c r="BV92" s="15"/>
      <c r="BW92" s="98">
        <f>BT95</f>
        <v>0</v>
      </c>
      <c r="BX92" s="92">
        <f>BW95</f>
        <v>0</v>
      </c>
      <c r="BY92" s="92">
        <f>BX95</f>
        <v>0</v>
      </c>
      <c r="BZ92" s="99">
        <f>BY95</f>
        <v>0</v>
      </c>
      <c r="CA92" s="93">
        <f>BW92</f>
        <v>0</v>
      </c>
      <c r="CB92" s="15"/>
      <c r="CC92" s="98">
        <f>BZ95</f>
        <v>0</v>
      </c>
      <c r="CD92" s="92">
        <f>CC95</f>
        <v>0</v>
      </c>
      <c r="CE92" s="92">
        <f>CD95</f>
        <v>0</v>
      </c>
      <c r="CF92" s="99">
        <f>CE95</f>
        <v>0</v>
      </c>
      <c r="CG92" s="93">
        <f>CC92</f>
        <v>0</v>
      </c>
      <c r="CH92" s="15"/>
      <c r="CI92" s="98">
        <f>CF95</f>
        <v>0</v>
      </c>
      <c r="CJ92" s="92">
        <f>CI95</f>
        <v>0</v>
      </c>
      <c r="CK92" s="92">
        <f>CJ95</f>
        <v>0</v>
      </c>
      <c r="CL92" s="99">
        <f>CK95</f>
        <v>0</v>
      </c>
      <c r="CM92" s="93">
        <f>CI92</f>
        <v>0</v>
      </c>
      <c r="CQ92"/>
      <c r="CR92"/>
      <c r="CS92"/>
      <c r="CT92"/>
      <c r="CU92"/>
      <c r="CV92"/>
    </row>
    <row r="93" spans="1:101" s="11" customFormat="1" hidden="1" outlineLevel="1" x14ac:dyDescent="0.2">
      <c r="A93" s="86" t="s">
        <v>186</v>
      </c>
      <c r="B93" s="15"/>
      <c r="C93" s="278"/>
      <c r="D93" s="15"/>
      <c r="E93" s="15"/>
      <c r="F93" s="279"/>
      <c r="G93" s="442"/>
      <c r="H93" s="15"/>
      <c r="I93" s="443"/>
      <c r="J93" s="390"/>
      <c r="K93" s="390"/>
      <c r="L93" s="444"/>
      <c r="M93" s="445"/>
      <c r="N93" s="390"/>
      <c r="O93" s="443"/>
      <c r="P93" s="390"/>
      <c r="Q93" s="390"/>
      <c r="R93" s="444"/>
      <c r="S93" s="442"/>
      <c r="T93" s="15"/>
      <c r="U93" s="278"/>
      <c r="V93" s="15"/>
      <c r="W93" s="15"/>
      <c r="X93" s="279"/>
      <c r="Y93" s="442"/>
      <c r="Z93" s="15"/>
      <c r="AA93" s="278"/>
      <c r="AB93" s="15"/>
      <c r="AC93" s="15"/>
      <c r="AD93" s="279"/>
      <c r="AE93" s="442"/>
      <c r="AF93" s="15"/>
      <c r="AG93" s="278"/>
      <c r="AH93" s="15"/>
      <c r="AI93" s="15"/>
      <c r="AJ93" s="279"/>
      <c r="AK93" s="442"/>
      <c r="AL93" s="15"/>
      <c r="AM93" s="278"/>
      <c r="AN93" s="15"/>
      <c r="AO93" s="15"/>
      <c r="AP93" s="279"/>
      <c r="AQ93" s="442"/>
      <c r="AR93" s="15"/>
      <c r="AS93" s="278"/>
      <c r="AT93" s="15"/>
      <c r="AU93" s="15"/>
      <c r="AV93" s="279"/>
      <c r="AW93" s="442"/>
      <c r="AX93" s="15"/>
      <c r="AY93" s="278"/>
      <c r="AZ93" s="92">
        <f>AZ11</f>
        <v>177</v>
      </c>
      <c r="BA93" s="105">
        <v>0</v>
      </c>
      <c r="BB93" s="99">
        <v>0</v>
      </c>
      <c r="BC93" s="93">
        <f>SUM(AY93:BB93)</f>
        <v>177</v>
      </c>
      <c r="BD93" s="15"/>
      <c r="BE93" s="95">
        <v>0</v>
      </c>
      <c r="BF93" s="105">
        <v>0</v>
      </c>
      <c r="BG93" s="105">
        <v>0</v>
      </c>
      <c r="BH93" s="99">
        <v>0</v>
      </c>
      <c r="BI93" s="93">
        <f>SUM(BE93:BH93)</f>
        <v>0</v>
      </c>
      <c r="BJ93" s="15"/>
      <c r="BK93" s="95">
        <v>0</v>
      </c>
      <c r="BL93" s="105">
        <v>0</v>
      </c>
      <c r="BM93" s="105">
        <v>0</v>
      </c>
      <c r="BN93" s="106">
        <v>0</v>
      </c>
      <c r="BO93" s="93">
        <f>SUM(BK93:BN93)</f>
        <v>0</v>
      </c>
      <c r="BP93" s="15"/>
      <c r="BQ93" s="95">
        <v>0</v>
      </c>
      <c r="BR93" s="105">
        <v>0</v>
      </c>
      <c r="BS93" s="105">
        <v>0</v>
      </c>
      <c r="BT93" s="106">
        <v>0</v>
      </c>
      <c r="BU93" s="93">
        <f>SUM(BQ93:BT93)</f>
        <v>0</v>
      </c>
      <c r="BV93" s="15"/>
      <c r="BW93" s="104">
        <v>0</v>
      </c>
      <c r="BX93" s="105">
        <v>0</v>
      </c>
      <c r="BY93" s="105">
        <v>0</v>
      </c>
      <c r="BZ93" s="106">
        <v>0</v>
      </c>
      <c r="CA93" s="93">
        <f>SUM(BW93:BZ93)</f>
        <v>0</v>
      </c>
      <c r="CB93" s="15"/>
      <c r="CC93" s="104">
        <v>0</v>
      </c>
      <c r="CD93" s="105">
        <v>0</v>
      </c>
      <c r="CE93" s="105">
        <v>0</v>
      </c>
      <c r="CF93" s="106">
        <v>0</v>
      </c>
      <c r="CG93" s="93">
        <f>SUM(CC93:CF93)</f>
        <v>0</v>
      </c>
      <c r="CH93" s="15"/>
      <c r="CI93" s="104">
        <v>0</v>
      </c>
      <c r="CJ93" s="105">
        <v>0</v>
      </c>
      <c r="CK93" s="105">
        <v>0</v>
      </c>
      <c r="CL93" s="106">
        <v>0</v>
      </c>
      <c r="CM93" s="93">
        <f>SUM(CI93:CL93)</f>
        <v>0</v>
      </c>
      <c r="CQ93"/>
      <c r="CR93"/>
      <c r="CS93"/>
      <c r="CT93"/>
      <c r="CU93"/>
      <c r="CV93"/>
    </row>
    <row r="94" spans="1:101" s="11" customFormat="1" hidden="1" outlineLevel="1" x14ac:dyDescent="0.2">
      <c r="A94" s="86" t="s">
        <v>187</v>
      </c>
      <c r="B94" s="15"/>
      <c r="C94" s="278"/>
      <c r="D94" s="15"/>
      <c r="E94" s="15"/>
      <c r="F94" s="279"/>
      <c r="G94" s="442"/>
      <c r="H94" s="15"/>
      <c r="I94" s="443"/>
      <c r="J94" s="390"/>
      <c r="K94" s="390"/>
      <c r="L94" s="444"/>
      <c r="M94" s="445"/>
      <c r="N94" s="390"/>
      <c r="O94" s="443"/>
      <c r="P94" s="390"/>
      <c r="Q94" s="390"/>
      <c r="R94" s="444"/>
      <c r="S94" s="442"/>
      <c r="T94" s="15"/>
      <c r="U94" s="278"/>
      <c r="V94" s="15"/>
      <c r="W94" s="15"/>
      <c r="X94" s="279"/>
      <c r="Y94" s="442"/>
      <c r="Z94" s="15"/>
      <c r="AA94" s="278"/>
      <c r="AB94" s="15"/>
      <c r="AC94" s="15"/>
      <c r="AD94" s="279"/>
      <c r="AE94" s="442"/>
      <c r="AF94" s="15"/>
      <c r="AG94" s="278"/>
      <c r="AH94" s="15"/>
      <c r="AI94" s="15"/>
      <c r="AJ94" s="279"/>
      <c r="AK94" s="442"/>
      <c r="AL94" s="15"/>
      <c r="AM94" s="278"/>
      <c r="AN94" s="15"/>
      <c r="AO94" s="15"/>
      <c r="AP94" s="279"/>
      <c r="AQ94" s="442"/>
      <c r="AR94" s="15"/>
      <c r="AS94" s="278"/>
      <c r="AT94" s="15"/>
      <c r="AU94" s="15"/>
      <c r="AV94" s="279"/>
      <c r="AW94" s="442"/>
      <c r="AX94" s="15"/>
      <c r="AY94" s="278"/>
      <c r="AZ94" s="105">
        <v>0</v>
      </c>
      <c r="BA94" s="92">
        <f>BA95-BA92-BA93</f>
        <v>-47</v>
      </c>
      <c r="BB94" s="99">
        <f>BB95-BB92-BB93</f>
        <v>-55</v>
      </c>
      <c r="BC94" s="93">
        <f>SUM(AY94:BB94)</f>
        <v>-102</v>
      </c>
      <c r="BD94" s="15"/>
      <c r="BE94" s="98">
        <f>BE95-BE92-BE93</f>
        <v>-39</v>
      </c>
      <c r="BF94" s="92">
        <f>BF95-BF92-BF93</f>
        <v>275</v>
      </c>
      <c r="BG94" s="92">
        <f>BG95-BG92-BG93</f>
        <v>34</v>
      </c>
      <c r="BH94" s="99">
        <f>BH95-BH92-BH93</f>
        <v>-6</v>
      </c>
      <c r="BI94" s="93">
        <f>SUM(BE94:BH94)</f>
        <v>264</v>
      </c>
      <c r="BJ94" s="15"/>
      <c r="BK94" s="98">
        <f>BK95-BK92-BK93</f>
        <v>7</v>
      </c>
      <c r="BL94" s="92">
        <f>BL95-BL92-BL93</f>
        <v>9</v>
      </c>
      <c r="BM94" s="92">
        <f>BM95-BM92-BM93</f>
        <v>-320</v>
      </c>
      <c r="BN94" s="99">
        <f>BN95-BN92-BN93</f>
        <v>-19</v>
      </c>
      <c r="BO94" s="93">
        <f>SUM(BK94:BN94)</f>
        <v>-323</v>
      </c>
      <c r="BP94" s="15"/>
      <c r="BQ94" s="98">
        <f>BQ95-BQ92-BQ93</f>
        <v>-16</v>
      </c>
      <c r="BR94" s="105">
        <v>0</v>
      </c>
      <c r="BS94" s="105">
        <v>0</v>
      </c>
      <c r="BT94" s="106">
        <v>0</v>
      </c>
      <c r="BU94" s="93">
        <f>SUM(BQ94:BT94)</f>
        <v>-16</v>
      </c>
      <c r="BV94" s="15"/>
      <c r="BW94" s="104">
        <v>0</v>
      </c>
      <c r="BX94" s="105">
        <v>0</v>
      </c>
      <c r="BY94" s="105">
        <v>0</v>
      </c>
      <c r="BZ94" s="106">
        <v>0</v>
      </c>
      <c r="CA94" s="93">
        <f>SUM(BW94:BZ94)</f>
        <v>0</v>
      </c>
      <c r="CB94" s="15"/>
      <c r="CC94" s="104">
        <v>0</v>
      </c>
      <c r="CD94" s="105">
        <v>0</v>
      </c>
      <c r="CE94" s="105">
        <v>0</v>
      </c>
      <c r="CF94" s="106">
        <v>0</v>
      </c>
      <c r="CG94" s="93">
        <f>SUM(CC94:CF94)</f>
        <v>0</v>
      </c>
      <c r="CH94" s="15"/>
      <c r="CI94" s="104">
        <v>0</v>
      </c>
      <c r="CJ94" s="105">
        <v>0</v>
      </c>
      <c r="CK94" s="105">
        <v>0</v>
      </c>
      <c r="CL94" s="106">
        <v>0</v>
      </c>
      <c r="CM94" s="93">
        <f>SUM(CI94:CL94)</f>
        <v>0</v>
      </c>
      <c r="CQ94"/>
      <c r="CR94"/>
      <c r="CS94"/>
      <c r="CT94"/>
      <c r="CU94"/>
      <c r="CV94"/>
    </row>
    <row r="95" spans="1:101" s="11" customFormat="1" collapsed="1" x14ac:dyDescent="0.2">
      <c r="A95" s="446" t="s">
        <v>185</v>
      </c>
      <c r="B95" s="447"/>
      <c r="C95" s="448"/>
      <c r="D95" s="447"/>
      <c r="E95" s="447"/>
      <c r="F95" s="449"/>
      <c r="G95" s="450"/>
      <c r="H95" s="447"/>
      <c r="I95" s="451"/>
      <c r="J95" s="452"/>
      <c r="K95" s="452"/>
      <c r="L95" s="453"/>
      <c r="M95" s="454"/>
      <c r="N95" s="452"/>
      <c r="O95" s="451"/>
      <c r="P95" s="452"/>
      <c r="Q95" s="452"/>
      <c r="R95" s="453"/>
      <c r="S95" s="450"/>
      <c r="T95" s="447"/>
      <c r="U95" s="448"/>
      <c r="V95" s="447"/>
      <c r="W95" s="447"/>
      <c r="X95" s="449"/>
      <c r="Y95" s="450"/>
      <c r="Z95" s="447"/>
      <c r="AA95" s="448"/>
      <c r="AB95" s="447"/>
      <c r="AC95" s="447"/>
      <c r="AD95" s="449"/>
      <c r="AE95" s="450"/>
      <c r="AF95" s="447"/>
      <c r="AG95" s="448"/>
      <c r="AH95" s="447"/>
      <c r="AI95" s="447"/>
      <c r="AJ95" s="449"/>
      <c r="AK95" s="450"/>
      <c r="AL95" s="447"/>
      <c r="AM95" s="448"/>
      <c r="AN95" s="447"/>
      <c r="AO95" s="447"/>
      <c r="AP95" s="449"/>
      <c r="AQ95" s="450"/>
      <c r="AR95" s="447"/>
      <c r="AS95" s="448"/>
      <c r="AT95" s="447"/>
      <c r="AU95" s="447"/>
      <c r="AV95" s="449"/>
      <c r="AW95" s="450"/>
      <c r="AX95" s="447"/>
      <c r="AY95" s="448"/>
      <c r="AZ95" s="455">
        <f>AZ11</f>
        <v>177</v>
      </c>
      <c r="BA95" s="455">
        <f>BA11</f>
        <v>130</v>
      </c>
      <c r="BB95" s="456">
        <f>BB11</f>
        <v>75</v>
      </c>
      <c r="BC95" s="457">
        <f>BC92+BC93-BC94</f>
        <v>279</v>
      </c>
      <c r="BD95" s="447"/>
      <c r="BE95" s="458">
        <f>BE11</f>
        <v>36</v>
      </c>
      <c r="BF95" s="455">
        <f>BF11</f>
        <v>311</v>
      </c>
      <c r="BG95" s="455">
        <f>BG11</f>
        <v>345</v>
      </c>
      <c r="BH95" s="456">
        <f>BH11</f>
        <v>339</v>
      </c>
      <c r="BI95" s="457">
        <f>BI92+BI93-BI94</f>
        <v>-189</v>
      </c>
      <c r="BJ95" s="447"/>
      <c r="BK95" s="458">
        <f>BK11</f>
        <v>346</v>
      </c>
      <c r="BL95" s="455">
        <f>BL11</f>
        <v>355</v>
      </c>
      <c r="BM95" s="455">
        <f>BM11</f>
        <v>35</v>
      </c>
      <c r="BN95" s="456">
        <f>BN11</f>
        <v>16</v>
      </c>
      <c r="BO95" s="457">
        <f>BO92+BO93-BO94</f>
        <v>662</v>
      </c>
      <c r="BP95" s="447"/>
      <c r="BQ95" s="458">
        <f>BQ11</f>
        <v>0</v>
      </c>
      <c r="BR95" s="455">
        <f>BR92+BR93+BR94</f>
        <v>0</v>
      </c>
      <c r="BS95" s="455">
        <f>BS92+BS93+BS94</f>
        <v>0</v>
      </c>
      <c r="BT95" s="456">
        <f>BT92+BT93+BT94</f>
        <v>0</v>
      </c>
      <c r="BU95" s="457">
        <f>BU92+BU93-BU94</f>
        <v>32</v>
      </c>
      <c r="BV95" s="447"/>
      <c r="BW95" s="458">
        <f>BW92+BW93+BW94</f>
        <v>0</v>
      </c>
      <c r="BX95" s="455">
        <f>BX92+BX93+BX94</f>
        <v>0</v>
      </c>
      <c r="BY95" s="455">
        <f>BY92+BY93+BY94</f>
        <v>0</v>
      </c>
      <c r="BZ95" s="456">
        <f>BZ92+BZ93+BZ94</f>
        <v>0</v>
      </c>
      <c r="CA95" s="457">
        <f>CA92+CA93-CA94</f>
        <v>0</v>
      </c>
      <c r="CB95" s="447"/>
      <c r="CC95" s="458">
        <f>CC92+CC93+CC94</f>
        <v>0</v>
      </c>
      <c r="CD95" s="455">
        <f>CD92+CD93+CD94</f>
        <v>0</v>
      </c>
      <c r="CE95" s="455">
        <f>CE92+CE93+CE94</f>
        <v>0</v>
      </c>
      <c r="CF95" s="456">
        <f>CF92+CF93+CF94</f>
        <v>0</v>
      </c>
      <c r="CG95" s="457">
        <f>CG92+CG93-CG94</f>
        <v>0</v>
      </c>
      <c r="CH95" s="447"/>
      <c r="CI95" s="458">
        <f>CI92+CI93+CI94</f>
        <v>0</v>
      </c>
      <c r="CJ95" s="455">
        <f>CJ92+CJ93+CJ94</f>
        <v>0</v>
      </c>
      <c r="CK95" s="455">
        <f>CK92+CK93+CK94</f>
        <v>0</v>
      </c>
      <c r="CL95" s="456">
        <f>CL92+CL93+CL94</f>
        <v>0</v>
      </c>
      <c r="CM95" s="457">
        <f>CM92+CM93-CM94</f>
        <v>0</v>
      </c>
      <c r="CQ95"/>
      <c r="CR95"/>
      <c r="CS95"/>
      <c r="CT95"/>
      <c r="CU95"/>
      <c r="CV95"/>
    </row>
    <row r="96" spans="1:101" s="11" customFormat="1" hidden="1" outlineLevel="1" x14ac:dyDescent="0.2">
      <c r="A96" s="459" t="s">
        <v>188</v>
      </c>
      <c r="B96" s="460"/>
      <c r="C96" s="461"/>
      <c r="D96" s="460"/>
      <c r="E96" s="460"/>
      <c r="F96" s="462"/>
      <c r="G96" s="463"/>
      <c r="H96" s="460"/>
      <c r="I96" s="464"/>
      <c r="J96" s="465"/>
      <c r="K96" s="465"/>
      <c r="L96" s="466"/>
      <c r="M96" s="467"/>
      <c r="N96" s="465"/>
      <c r="O96" s="464"/>
      <c r="P96" s="465"/>
      <c r="Q96" s="465"/>
      <c r="R96" s="466"/>
      <c r="S96" s="463"/>
      <c r="T96" s="460"/>
      <c r="U96" s="461"/>
      <c r="V96" s="460"/>
      <c r="W96" s="460"/>
      <c r="X96" s="462"/>
      <c r="Y96" s="463"/>
      <c r="Z96" s="460"/>
      <c r="AA96" s="461"/>
      <c r="AB96" s="460"/>
      <c r="AC96" s="460"/>
      <c r="AD96" s="462"/>
      <c r="AE96" s="463"/>
      <c r="AF96" s="460"/>
      <c r="AG96" s="461"/>
      <c r="AH96" s="460"/>
      <c r="AI96" s="460"/>
      <c r="AJ96" s="462"/>
      <c r="AK96" s="463"/>
      <c r="AL96" s="460"/>
      <c r="AM96" s="461"/>
      <c r="AN96" s="460"/>
      <c r="AO96" s="460"/>
      <c r="AP96" s="462"/>
      <c r="AQ96" s="463"/>
      <c r="AR96" s="460"/>
      <c r="AS96" s="461"/>
      <c r="AT96" s="460"/>
      <c r="AU96" s="460"/>
      <c r="AV96" s="462"/>
      <c r="AW96" s="463"/>
      <c r="AX96" s="460"/>
      <c r="AY96" s="461"/>
      <c r="AZ96" s="460"/>
      <c r="BA96" s="468">
        <f>AZ99</f>
        <v>1044</v>
      </c>
      <c r="BB96" s="469">
        <f>BA99</f>
        <v>1082</v>
      </c>
      <c r="BC96" s="470">
        <f>AY96</f>
        <v>0</v>
      </c>
      <c r="BD96" s="460"/>
      <c r="BE96" s="471">
        <f>BB99</f>
        <v>1118</v>
      </c>
      <c r="BF96" s="472">
        <f>BE99</f>
        <v>1132</v>
      </c>
      <c r="BG96" s="472">
        <f>BF99</f>
        <v>826</v>
      </c>
      <c r="BH96" s="469">
        <f>BG99</f>
        <v>785</v>
      </c>
      <c r="BI96" s="470">
        <f>BE96</f>
        <v>1118</v>
      </c>
      <c r="BJ96" s="460"/>
      <c r="BK96" s="471">
        <f>BH99</f>
        <v>796</v>
      </c>
      <c r="BL96" s="472">
        <f>BK99</f>
        <v>816</v>
      </c>
      <c r="BM96" s="472">
        <f>BL99</f>
        <v>817</v>
      </c>
      <c r="BN96" s="469">
        <f>BM99</f>
        <v>43</v>
      </c>
      <c r="BO96" s="470">
        <f>BK96</f>
        <v>796</v>
      </c>
      <c r="BP96" s="460"/>
      <c r="BQ96" s="471">
        <f>BN99</f>
        <v>38</v>
      </c>
      <c r="BR96" s="472">
        <f>BQ99</f>
        <v>0</v>
      </c>
      <c r="BS96" s="472">
        <f>BR99</f>
        <v>0</v>
      </c>
      <c r="BT96" s="469">
        <f>BS99</f>
        <v>0</v>
      </c>
      <c r="BU96" s="470">
        <f>BQ96</f>
        <v>38</v>
      </c>
      <c r="BV96" s="460"/>
      <c r="BW96" s="471">
        <f>BT99</f>
        <v>0</v>
      </c>
      <c r="BX96" s="472">
        <f>BW99</f>
        <v>0</v>
      </c>
      <c r="BY96" s="472">
        <f>BX99</f>
        <v>0</v>
      </c>
      <c r="BZ96" s="469">
        <f>BY99</f>
        <v>0</v>
      </c>
      <c r="CA96" s="470">
        <f>BW96</f>
        <v>0</v>
      </c>
      <c r="CB96" s="460"/>
      <c r="CC96" s="471">
        <f>BZ99</f>
        <v>0</v>
      </c>
      <c r="CD96" s="472">
        <f>CC99</f>
        <v>0</v>
      </c>
      <c r="CE96" s="472">
        <f>CD99</f>
        <v>0</v>
      </c>
      <c r="CF96" s="469">
        <f>CE99</f>
        <v>0</v>
      </c>
      <c r="CG96" s="470">
        <f>CC96</f>
        <v>0</v>
      </c>
      <c r="CH96" s="460"/>
      <c r="CI96" s="471">
        <f>CF99</f>
        <v>0</v>
      </c>
      <c r="CJ96" s="472">
        <f>CI99</f>
        <v>0</v>
      </c>
      <c r="CK96" s="472">
        <f>CJ99</f>
        <v>0</v>
      </c>
      <c r="CL96" s="469">
        <f>CK99</f>
        <v>0</v>
      </c>
      <c r="CM96" s="470">
        <f>CI96</f>
        <v>0</v>
      </c>
      <c r="CQ96"/>
      <c r="CR96"/>
      <c r="CS96"/>
      <c r="CT96"/>
      <c r="CU96"/>
      <c r="CV96"/>
      <c r="CW96" s="61"/>
    </row>
    <row r="97" spans="1:101" s="11" customFormat="1" hidden="1" outlineLevel="1" x14ac:dyDescent="0.2">
      <c r="A97" s="86" t="s">
        <v>186</v>
      </c>
      <c r="B97" s="15"/>
      <c r="C97" s="278"/>
      <c r="D97" s="15"/>
      <c r="E97" s="15"/>
      <c r="F97" s="279"/>
      <c r="G97" s="442"/>
      <c r="H97" s="15"/>
      <c r="I97" s="443"/>
      <c r="J97" s="390"/>
      <c r="K97" s="390"/>
      <c r="L97" s="444"/>
      <c r="M97" s="445"/>
      <c r="N97" s="390"/>
      <c r="O97" s="443"/>
      <c r="P97" s="390"/>
      <c r="Q97" s="390"/>
      <c r="R97" s="444"/>
      <c r="S97" s="442"/>
      <c r="T97" s="15"/>
      <c r="U97" s="278"/>
      <c r="V97" s="15"/>
      <c r="W97" s="15"/>
      <c r="X97" s="279"/>
      <c r="Y97" s="442"/>
      <c r="Z97" s="15"/>
      <c r="AA97" s="278"/>
      <c r="AB97" s="15"/>
      <c r="AC97" s="15"/>
      <c r="AD97" s="279"/>
      <c r="AE97" s="442"/>
      <c r="AF97" s="15"/>
      <c r="AG97" s="278"/>
      <c r="AH97" s="15"/>
      <c r="AI97" s="15"/>
      <c r="AJ97" s="279"/>
      <c r="AK97" s="442"/>
      <c r="AL97" s="15"/>
      <c r="AM97" s="278"/>
      <c r="AN97" s="15"/>
      <c r="AO97" s="15"/>
      <c r="AP97" s="279"/>
      <c r="AQ97" s="442"/>
      <c r="AR97" s="15"/>
      <c r="AS97" s="278"/>
      <c r="AT97" s="15"/>
      <c r="AU97" s="15"/>
      <c r="AV97" s="279"/>
      <c r="AW97" s="442"/>
      <c r="AX97" s="15"/>
      <c r="AY97" s="278"/>
      <c r="AZ97" s="92">
        <f>AZ20</f>
        <v>1044</v>
      </c>
      <c r="BA97" s="102">
        <f>Med!BA8*0.035</f>
        <v>16.765000000000001</v>
      </c>
      <c r="BB97" s="90">
        <f>Med!BB8*0.035</f>
        <v>16.835000000000001</v>
      </c>
      <c r="BC97" s="93">
        <f>SUM(AY97:BB97)</f>
        <v>1077.6000000000001</v>
      </c>
      <c r="BD97" s="15"/>
      <c r="BE97" s="88">
        <f>Med!BE8*0.035</f>
        <v>16.380000000000003</v>
      </c>
      <c r="BF97" s="89">
        <f>Med!BF8*0.075</f>
        <v>34.35</v>
      </c>
      <c r="BG97" s="89">
        <f>Med!BG8*0.075</f>
        <v>34.875</v>
      </c>
      <c r="BH97" s="90">
        <f>Med!BH8*0.035</f>
        <v>17.220000000000002</v>
      </c>
      <c r="BI97" s="93">
        <f>SUM(BE97:BH97)</f>
        <v>102.825</v>
      </c>
      <c r="BJ97" s="15"/>
      <c r="BK97" s="88">
        <f>Med!BK8*0.035</f>
        <v>16.835000000000001</v>
      </c>
      <c r="BL97" s="89">
        <f>Med!BL8*0</f>
        <v>0</v>
      </c>
      <c r="BM97" s="89">
        <f>Med!BM8*0</f>
        <v>0</v>
      </c>
      <c r="BN97" s="90">
        <f>Med!BN8*0</f>
        <v>0</v>
      </c>
      <c r="BO97" s="93">
        <f>SUM(BK97:BN97)</f>
        <v>16.835000000000001</v>
      </c>
      <c r="BP97" s="15"/>
      <c r="BQ97" s="88">
        <f>Med!BQ8*0.035</f>
        <v>17.920000000000002</v>
      </c>
      <c r="BR97" s="89">
        <f>Med!BR8*0</f>
        <v>0</v>
      </c>
      <c r="BS97" s="89">
        <f>Med!BS8*0</f>
        <v>0</v>
      </c>
      <c r="BT97" s="90">
        <f>Med!BT8*0</f>
        <v>0</v>
      </c>
      <c r="BU97" s="93">
        <f>SUM(BQ97:BT97)</f>
        <v>17.920000000000002</v>
      </c>
      <c r="BV97" s="15"/>
      <c r="BW97" s="88">
        <f>Med!BW8*0</f>
        <v>0</v>
      </c>
      <c r="BX97" s="89">
        <f>Med!BX8*0</f>
        <v>0</v>
      </c>
      <c r="BY97" s="89">
        <f>Med!BY8*0</f>
        <v>0</v>
      </c>
      <c r="BZ97" s="90">
        <f>Med!BZ8*0</f>
        <v>0</v>
      </c>
      <c r="CA97" s="93">
        <f>SUM(BW97:BZ97)</f>
        <v>0</v>
      </c>
      <c r="CB97" s="15"/>
      <c r="CC97" s="88">
        <f>Med!CC8*0</f>
        <v>0</v>
      </c>
      <c r="CD97" s="89">
        <f>Med!CD8*0</f>
        <v>0</v>
      </c>
      <c r="CE97" s="89">
        <f>Med!CE8*0</f>
        <v>0</v>
      </c>
      <c r="CF97" s="90">
        <f>Med!CF8*0</f>
        <v>0</v>
      </c>
      <c r="CG97" s="93">
        <f>SUM(CC97:CF97)</f>
        <v>0</v>
      </c>
      <c r="CH97" s="15"/>
      <c r="CI97" s="88">
        <f>Med!CI8*0</f>
        <v>0</v>
      </c>
      <c r="CJ97" s="89">
        <f>Med!CJ8*0</f>
        <v>0</v>
      </c>
      <c r="CK97" s="89">
        <f>Med!CK8*0</f>
        <v>0</v>
      </c>
      <c r="CL97" s="90">
        <f>Med!CL8*0</f>
        <v>0</v>
      </c>
      <c r="CM97" s="93">
        <f>SUM(CI97:CL97)</f>
        <v>0</v>
      </c>
      <c r="CQ97"/>
      <c r="CR97"/>
      <c r="CS97"/>
      <c r="CT97"/>
      <c r="CU97"/>
      <c r="CV97"/>
    </row>
    <row r="98" spans="1:101" s="11" customFormat="1" hidden="1" outlineLevel="1" x14ac:dyDescent="0.2">
      <c r="A98" s="86" t="s">
        <v>187</v>
      </c>
      <c r="B98" s="15"/>
      <c r="C98" s="278"/>
      <c r="D98" s="15"/>
      <c r="E98" s="15"/>
      <c r="F98" s="279"/>
      <c r="G98" s="442"/>
      <c r="H98" s="15"/>
      <c r="I98" s="443"/>
      <c r="J98" s="390"/>
      <c r="K98" s="390"/>
      <c r="L98" s="444"/>
      <c r="M98" s="445"/>
      <c r="N98" s="390"/>
      <c r="O98" s="443"/>
      <c r="P98" s="390"/>
      <c r="Q98" s="390"/>
      <c r="R98" s="444"/>
      <c r="S98" s="442"/>
      <c r="T98" s="15"/>
      <c r="U98" s="278"/>
      <c r="V98" s="15"/>
      <c r="W98" s="15"/>
      <c r="X98" s="279"/>
      <c r="Y98" s="442"/>
      <c r="Z98" s="15"/>
      <c r="AA98" s="278"/>
      <c r="AB98" s="15"/>
      <c r="AC98" s="15"/>
      <c r="AD98" s="279"/>
      <c r="AE98" s="442"/>
      <c r="AF98" s="15"/>
      <c r="AG98" s="278"/>
      <c r="AH98" s="15"/>
      <c r="AI98" s="15"/>
      <c r="AJ98" s="279"/>
      <c r="AK98" s="442"/>
      <c r="AL98" s="15"/>
      <c r="AM98" s="278"/>
      <c r="AN98" s="15"/>
      <c r="AO98" s="15"/>
      <c r="AP98" s="279"/>
      <c r="AQ98" s="442"/>
      <c r="AR98" s="15"/>
      <c r="AS98" s="278"/>
      <c r="AT98" s="15"/>
      <c r="AU98" s="15"/>
      <c r="AV98" s="279"/>
      <c r="AW98" s="442"/>
      <c r="AX98" s="15"/>
      <c r="AY98" s="278"/>
      <c r="AZ98" s="15"/>
      <c r="BA98" s="92">
        <f>BA99-BA96-BA97</f>
        <v>21.234999999999999</v>
      </c>
      <c r="BB98" s="99">
        <f>BB99-BB96-BB97</f>
        <v>19.164999999999999</v>
      </c>
      <c r="BC98" s="93">
        <f>SUM(AY98:BB98)</f>
        <v>40.4</v>
      </c>
      <c r="BD98" s="15"/>
      <c r="BE98" s="98">
        <f>BE99-BE96-BE97</f>
        <v>-2.3800000000000026</v>
      </c>
      <c r="BF98" s="92">
        <f>BF99-BF96-BF97</f>
        <v>-340.35</v>
      </c>
      <c r="BG98" s="92">
        <f>BG99-BG96-BG97</f>
        <v>-75.875</v>
      </c>
      <c r="BH98" s="99">
        <f>BH99-BH96-BH97</f>
        <v>-6.2200000000000024</v>
      </c>
      <c r="BI98" s="93">
        <f>SUM(BE98:BH98)</f>
        <v>-424.82500000000005</v>
      </c>
      <c r="BJ98" s="15"/>
      <c r="BK98" s="98">
        <f>BK99-BK96-BK97</f>
        <v>3.1649999999999991</v>
      </c>
      <c r="BL98" s="92">
        <f>BL99-BL96-BL97</f>
        <v>1</v>
      </c>
      <c r="BM98" s="92">
        <f>BM99-BM96-BM97</f>
        <v>-774</v>
      </c>
      <c r="BN98" s="99">
        <f>BN99-BN96-BN97</f>
        <v>-5</v>
      </c>
      <c r="BO98" s="93">
        <f>SUM(BK98:BN98)</f>
        <v>-774.83500000000004</v>
      </c>
      <c r="BP98" s="15"/>
      <c r="BQ98" s="98">
        <f>BQ99-BQ96-BQ97</f>
        <v>-55.92</v>
      </c>
      <c r="BR98" s="92">
        <f>-BR93</f>
        <v>0</v>
      </c>
      <c r="BS98" s="92">
        <f>-BS93</f>
        <v>0</v>
      </c>
      <c r="BT98" s="99">
        <f>-BT93</f>
        <v>0</v>
      </c>
      <c r="BU98" s="93">
        <f>SUM(BQ98:BT98)</f>
        <v>-55.92</v>
      </c>
      <c r="BV98" s="15"/>
      <c r="BW98" s="98">
        <f>-BW93</f>
        <v>0</v>
      </c>
      <c r="BX98" s="92">
        <f>-BX93</f>
        <v>0</v>
      </c>
      <c r="BY98" s="92">
        <f>-BY93</f>
        <v>0</v>
      </c>
      <c r="BZ98" s="99">
        <f>-BZ93</f>
        <v>0</v>
      </c>
      <c r="CA98" s="93">
        <f>SUM(BW98:BZ98)</f>
        <v>0</v>
      </c>
      <c r="CB98" s="15"/>
      <c r="CC98" s="98">
        <f>-CC93</f>
        <v>0</v>
      </c>
      <c r="CD98" s="92">
        <f>-CD93</f>
        <v>0</v>
      </c>
      <c r="CE98" s="92">
        <f>-CE93</f>
        <v>0</v>
      </c>
      <c r="CF98" s="99">
        <f>-CF93</f>
        <v>0</v>
      </c>
      <c r="CG98" s="93">
        <f>SUM(CC98:CF98)</f>
        <v>0</v>
      </c>
      <c r="CH98" s="15"/>
      <c r="CI98" s="98">
        <f>-CI93</f>
        <v>0</v>
      </c>
      <c r="CJ98" s="92">
        <f>-CJ93</f>
        <v>0</v>
      </c>
      <c r="CK98" s="92">
        <f>-CK93</f>
        <v>0</v>
      </c>
      <c r="CL98" s="99">
        <f>-CL93</f>
        <v>0</v>
      </c>
      <c r="CM98" s="93">
        <f>SUM(CI98:CL98)</f>
        <v>0</v>
      </c>
      <c r="CQ98"/>
      <c r="CR98"/>
      <c r="CS98"/>
      <c r="CT98"/>
      <c r="CU98"/>
      <c r="CV98"/>
    </row>
    <row r="99" spans="1:101" s="11" customFormat="1" collapsed="1" x14ac:dyDescent="0.2">
      <c r="A99" s="189" t="s">
        <v>188</v>
      </c>
      <c r="B99" s="15"/>
      <c r="C99" s="278"/>
      <c r="D99" s="15"/>
      <c r="E99" s="15"/>
      <c r="F99" s="279"/>
      <c r="G99" s="442"/>
      <c r="H99" s="15"/>
      <c r="I99" s="443"/>
      <c r="J99" s="390"/>
      <c r="K99" s="390"/>
      <c r="L99" s="444"/>
      <c r="M99" s="445"/>
      <c r="N99" s="390"/>
      <c r="O99" s="443"/>
      <c r="P99" s="390"/>
      <c r="Q99" s="390"/>
      <c r="R99" s="444"/>
      <c r="S99" s="442"/>
      <c r="T99" s="15"/>
      <c r="U99" s="278"/>
      <c r="V99" s="15"/>
      <c r="W99" s="15"/>
      <c r="X99" s="279"/>
      <c r="Y99" s="442"/>
      <c r="Z99" s="15"/>
      <c r="AA99" s="278"/>
      <c r="AB99" s="15"/>
      <c r="AC99" s="15"/>
      <c r="AD99" s="279"/>
      <c r="AE99" s="442"/>
      <c r="AF99" s="15"/>
      <c r="AG99" s="278"/>
      <c r="AH99" s="15"/>
      <c r="AI99" s="15"/>
      <c r="AJ99" s="279"/>
      <c r="AK99" s="442"/>
      <c r="AL99" s="15"/>
      <c r="AM99" s="278"/>
      <c r="AN99" s="15"/>
      <c r="AO99" s="15"/>
      <c r="AP99" s="279"/>
      <c r="AQ99" s="442"/>
      <c r="AR99" s="15"/>
      <c r="AS99" s="278"/>
      <c r="AT99" s="15"/>
      <c r="AU99" s="15"/>
      <c r="AV99" s="279"/>
      <c r="AW99" s="442"/>
      <c r="AX99" s="15"/>
      <c r="AY99" s="278"/>
      <c r="AZ99" s="92">
        <f>AZ20</f>
        <v>1044</v>
      </c>
      <c r="BA99" s="92">
        <f>BA20</f>
        <v>1082</v>
      </c>
      <c r="BB99" s="99">
        <f>BB20</f>
        <v>1118</v>
      </c>
      <c r="BC99" s="93">
        <f>BC96+BC97-BC98</f>
        <v>1037.2</v>
      </c>
      <c r="BD99" s="15"/>
      <c r="BE99" s="98">
        <f>BE20</f>
        <v>1132</v>
      </c>
      <c r="BF99" s="92">
        <f>BF20</f>
        <v>826</v>
      </c>
      <c r="BG99" s="92">
        <f>BG20</f>
        <v>785</v>
      </c>
      <c r="BH99" s="99">
        <f>BH20</f>
        <v>796</v>
      </c>
      <c r="BI99" s="93">
        <f>BI96+BI97-BI98</f>
        <v>1645.65</v>
      </c>
      <c r="BJ99" s="15"/>
      <c r="BK99" s="98">
        <f>BK20</f>
        <v>816</v>
      </c>
      <c r="BL99" s="92">
        <f>BL20</f>
        <v>817</v>
      </c>
      <c r="BM99" s="92">
        <f>BM20</f>
        <v>43</v>
      </c>
      <c r="BN99" s="99">
        <f>BN20</f>
        <v>38</v>
      </c>
      <c r="BO99" s="93">
        <f>BO96+BO97-BO98</f>
        <v>1587.67</v>
      </c>
      <c r="BP99" s="15"/>
      <c r="BQ99" s="98">
        <f>BQ20</f>
        <v>0</v>
      </c>
      <c r="BR99" s="92">
        <f>BR96+BR97+BR98</f>
        <v>0</v>
      </c>
      <c r="BS99" s="92">
        <f>BS96+BS97+BS98</f>
        <v>0</v>
      </c>
      <c r="BT99" s="99">
        <f>BT96+BT97+BT98</f>
        <v>0</v>
      </c>
      <c r="BU99" s="93">
        <f>BU96+BU97-BU98</f>
        <v>111.84</v>
      </c>
      <c r="BV99" s="15"/>
      <c r="BW99" s="98">
        <f>BW96+BW97+BW98</f>
        <v>0</v>
      </c>
      <c r="BX99" s="92">
        <f>BX96+BX97+BX98</f>
        <v>0</v>
      </c>
      <c r="BY99" s="92">
        <f>BY96+BY97+BY98</f>
        <v>0</v>
      </c>
      <c r="BZ99" s="99">
        <f>BZ96+BZ97+BZ98</f>
        <v>0</v>
      </c>
      <c r="CA99" s="93">
        <f>CA96+CA97-CA98</f>
        <v>0</v>
      </c>
      <c r="CB99" s="15"/>
      <c r="CC99" s="98">
        <f>CC96+CC97+CC98</f>
        <v>0</v>
      </c>
      <c r="CD99" s="92">
        <f>CD96+CD97+CD98</f>
        <v>0</v>
      </c>
      <c r="CE99" s="92">
        <f>CE96+CE97+CE98</f>
        <v>0</v>
      </c>
      <c r="CF99" s="99">
        <f>CF96+CF97+CF98</f>
        <v>0</v>
      </c>
      <c r="CG99" s="93">
        <f>CG96+CG97-CG98</f>
        <v>0</v>
      </c>
      <c r="CH99" s="15"/>
      <c r="CI99" s="98">
        <f>CI96+CI97+CI98</f>
        <v>0</v>
      </c>
      <c r="CJ99" s="92">
        <f>CJ96+CJ97+CJ98</f>
        <v>0</v>
      </c>
      <c r="CK99" s="92">
        <f>CK96+CK97+CK98</f>
        <v>0</v>
      </c>
      <c r="CL99" s="99">
        <f>CL96+CL97+CL98</f>
        <v>0</v>
      </c>
      <c r="CM99" s="93">
        <f>CM96+CM97-CM98</f>
        <v>0</v>
      </c>
      <c r="CQ99"/>
      <c r="CR99"/>
      <c r="CS99"/>
      <c r="CT99"/>
      <c r="CU99"/>
      <c r="CV99"/>
    </row>
    <row r="100" spans="1:101" s="11" customFormat="1" x14ac:dyDescent="0.2">
      <c r="A100" s="423" t="s">
        <v>189</v>
      </c>
      <c r="B100" s="359"/>
      <c r="C100" s="435"/>
      <c r="D100" s="359"/>
      <c r="E100" s="359"/>
      <c r="F100" s="436"/>
      <c r="G100" s="437"/>
      <c r="H100" s="359"/>
      <c r="I100" s="438"/>
      <c r="J100" s="439"/>
      <c r="K100" s="439"/>
      <c r="L100" s="440"/>
      <c r="M100" s="441"/>
      <c r="N100" s="439"/>
      <c r="O100" s="438"/>
      <c r="P100" s="439"/>
      <c r="Q100" s="439"/>
      <c r="R100" s="440"/>
      <c r="S100" s="437"/>
      <c r="T100" s="359"/>
      <c r="U100" s="435"/>
      <c r="V100" s="359"/>
      <c r="W100" s="359"/>
      <c r="X100" s="436"/>
      <c r="Y100" s="437"/>
      <c r="Z100" s="359"/>
      <c r="AA100" s="435"/>
      <c r="AB100" s="359"/>
      <c r="AC100" s="359"/>
      <c r="AD100" s="436"/>
      <c r="AE100" s="437"/>
      <c r="AF100" s="359"/>
      <c r="AG100" s="435"/>
      <c r="AH100" s="359"/>
      <c r="AI100" s="359"/>
      <c r="AJ100" s="436"/>
      <c r="AK100" s="437"/>
      <c r="AL100" s="359"/>
      <c r="AM100" s="435"/>
      <c r="AN100" s="359"/>
      <c r="AO100" s="359"/>
      <c r="AP100" s="436"/>
      <c r="AQ100" s="437"/>
      <c r="AR100" s="359"/>
      <c r="AS100" s="435"/>
      <c r="AT100" s="359"/>
      <c r="AU100" s="359"/>
      <c r="AV100" s="436"/>
      <c r="AW100" s="437"/>
      <c r="AX100" s="359"/>
      <c r="AY100" s="435"/>
      <c r="AZ100" s="359"/>
      <c r="BA100" s="359"/>
      <c r="BB100" s="436"/>
      <c r="BC100" s="437"/>
      <c r="BD100" s="359"/>
      <c r="BE100" s="435"/>
      <c r="BF100" s="359"/>
      <c r="BG100" s="359"/>
      <c r="BH100" s="436"/>
      <c r="BI100" s="437"/>
      <c r="BJ100" s="359"/>
      <c r="BK100" s="435"/>
      <c r="BL100" s="359"/>
      <c r="BM100" s="359"/>
      <c r="BN100" s="436"/>
      <c r="BO100" s="437"/>
      <c r="BP100" s="359"/>
      <c r="BQ100" s="435"/>
      <c r="BR100" s="359"/>
      <c r="BS100" s="359"/>
      <c r="BT100" s="436"/>
      <c r="BU100" s="437"/>
      <c r="BV100" s="359"/>
      <c r="BW100" s="435"/>
      <c r="BX100" s="359"/>
      <c r="BY100" s="359"/>
      <c r="BZ100" s="436"/>
      <c r="CA100" s="437"/>
      <c r="CB100" s="359"/>
      <c r="CC100" s="435"/>
      <c r="CD100" s="359"/>
      <c r="CE100" s="359"/>
      <c r="CF100" s="436"/>
      <c r="CG100" s="437"/>
      <c r="CH100" s="359"/>
      <c r="CI100" s="435"/>
      <c r="CJ100" s="359"/>
      <c r="CK100" s="359"/>
      <c r="CL100" s="436"/>
      <c r="CM100" s="437"/>
      <c r="CQ100"/>
      <c r="CR100"/>
      <c r="CS100"/>
      <c r="CT100"/>
      <c r="CU100"/>
      <c r="CV100"/>
    </row>
    <row r="101" spans="1:101" s="11" customFormat="1" hidden="1" outlineLevel="1" x14ac:dyDescent="0.2">
      <c r="A101" s="189" t="s">
        <v>190</v>
      </c>
      <c r="B101" s="15"/>
      <c r="C101" s="104">
        <v>4742.9570000000003</v>
      </c>
      <c r="D101" s="92">
        <f>C104</f>
        <v>4853.5360000000001</v>
      </c>
      <c r="E101" s="92">
        <f>D104</f>
        <v>4978.1940000000004</v>
      </c>
      <c r="F101" s="99">
        <f>E104</f>
        <v>5108.8960000000006</v>
      </c>
      <c r="G101" s="93">
        <f>C101</f>
        <v>4742.9570000000003</v>
      </c>
      <c r="H101" s="92"/>
      <c r="I101" s="98">
        <f>F104</f>
        <v>5299.3510000000006</v>
      </c>
      <c r="J101" s="92">
        <f>I104</f>
        <v>5420.527000000001</v>
      </c>
      <c r="K101" s="92">
        <f>J104</f>
        <v>5565.3010000000013</v>
      </c>
      <c r="L101" s="99">
        <f>K104</f>
        <v>5717.7620000000015</v>
      </c>
      <c r="M101" s="93">
        <f>I101</f>
        <v>5299.3510000000006</v>
      </c>
      <c r="N101" s="382"/>
      <c r="O101" s="98">
        <f>L104</f>
        <v>5901.3320000000012</v>
      </c>
      <c r="P101" s="92">
        <f>O104</f>
        <v>5996.7600000000011</v>
      </c>
      <c r="Q101" s="92">
        <f>P104</f>
        <v>6124.5220000000008</v>
      </c>
      <c r="R101" s="99">
        <f>Q104</f>
        <v>6255.4000000000005</v>
      </c>
      <c r="S101" s="93">
        <f>O101</f>
        <v>5901.3320000000012</v>
      </c>
      <c r="T101" s="92"/>
      <c r="U101" s="98">
        <f>R104</f>
        <v>6492.4350000000004</v>
      </c>
      <c r="V101" s="92">
        <f>U104</f>
        <v>6603.9990000000007</v>
      </c>
      <c r="W101" s="92">
        <f>V104</f>
        <v>6722.0320000000011</v>
      </c>
      <c r="X101" s="99">
        <f>W104</f>
        <v>6822.420000000001</v>
      </c>
      <c r="Y101" s="93">
        <f>U101</f>
        <v>6492.4350000000004</v>
      </c>
      <c r="Z101" s="92"/>
      <c r="AA101" s="98">
        <f>X104</f>
        <v>7029.7410000000009</v>
      </c>
      <c r="AB101" s="92">
        <f>AA104</f>
        <v>7109.5830000000005</v>
      </c>
      <c r="AC101" s="92">
        <f>AB104</f>
        <v>7223.4290000000001</v>
      </c>
      <c r="AD101" s="99">
        <f>AC104</f>
        <v>7351.009</v>
      </c>
      <c r="AE101" s="93">
        <f>AA101</f>
        <v>7029.7410000000009</v>
      </c>
      <c r="AF101" s="92"/>
      <c r="AG101" s="98">
        <f>AD104</f>
        <v>7545.1260000000002</v>
      </c>
      <c r="AH101" s="92">
        <f>AG104</f>
        <v>7648.7790000000005</v>
      </c>
      <c r="AI101" s="92">
        <f>AH104</f>
        <v>7759.6420000000007</v>
      </c>
      <c r="AJ101" s="99">
        <f>AI104</f>
        <v>7858.6070000000009</v>
      </c>
      <c r="AK101" s="93">
        <f>AG101</f>
        <v>7545.1260000000002</v>
      </c>
      <c r="AL101" s="92"/>
      <c r="AM101" s="98">
        <f>AJ104</f>
        <v>7046.0450000000001</v>
      </c>
      <c r="AN101" s="92">
        <f>AM104</f>
        <v>7132.4030000000002</v>
      </c>
      <c r="AO101" s="92">
        <f>AN104</f>
        <v>7168.38</v>
      </c>
      <c r="AP101" s="99">
        <f>AO104</f>
        <v>7239.0039999999999</v>
      </c>
      <c r="AQ101" s="93">
        <f>AM101</f>
        <v>7046.0450000000001</v>
      </c>
      <c r="AR101" s="92"/>
      <c r="AS101" s="98">
        <f>AP104</f>
        <v>7437</v>
      </c>
      <c r="AT101" s="92">
        <f>AS104</f>
        <v>7541</v>
      </c>
      <c r="AU101" s="92">
        <f>AT104</f>
        <v>7632</v>
      </c>
      <c r="AV101" s="99">
        <f>AU104</f>
        <v>7741</v>
      </c>
      <c r="AW101" s="93">
        <f>AS101</f>
        <v>7437</v>
      </c>
      <c r="AX101" s="92"/>
      <c r="AY101" s="98">
        <f>AV104</f>
        <v>7764.5</v>
      </c>
      <c r="AZ101" s="92">
        <f>AY104</f>
        <v>7758</v>
      </c>
      <c r="BA101" s="92">
        <f>AZ104</f>
        <v>8130</v>
      </c>
      <c r="BB101" s="99">
        <f>BA104</f>
        <v>8283</v>
      </c>
      <c r="BC101" s="93">
        <f>AY101</f>
        <v>7764.5</v>
      </c>
      <c r="BD101" s="92"/>
      <c r="BE101" s="98">
        <f>BB104</f>
        <v>8277</v>
      </c>
      <c r="BF101" s="92">
        <f>BE104</f>
        <v>8241</v>
      </c>
      <c r="BG101" s="92">
        <f>BF104</f>
        <v>8170</v>
      </c>
      <c r="BH101" s="99">
        <f>BG104</f>
        <v>8282</v>
      </c>
      <c r="BI101" s="93">
        <f>BE101</f>
        <v>8277</v>
      </c>
      <c r="BJ101" s="92"/>
      <c r="BK101" s="98">
        <f>BH104</f>
        <v>8419</v>
      </c>
      <c r="BL101" s="92">
        <f>BK104</f>
        <v>8101</v>
      </c>
      <c r="BM101" s="92">
        <f>BL104</f>
        <v>8351</v>
      </c>
      <c r="BN101" s="99">
        <f>BM104</f>
        <v>8975</v>
      </c>
      <c r="BO101" s="93">
        <f>BK101</f>
        <v>8419</v>
      </c>
      <c r="BP101" s="92"/>
      <c r="BQ101" s="98">
        <f>BN104</f>
        <v>9389</v>
      </c>
      <c r="BR101" s="92">
        <f>BQ104</f>
        <v>10109</v>
      </c>
      <c r="BS101" s="92">
        <f>BR104</f>
        <v>10334</v>
      </c>
      <c r="BT101" s="99">
        <f>BS104</f>
        <v>10559</v>
      </c>
      <c r="BU101" s="93">
        <f>BQ101</f>
        <v>9389</v>
      </c>
      <c r="BV101" s="92"/>
      <c r="BW101" s="98">
        <f>BT104</f>
        <v>10784</v>
      </c>
      <c r="BX101" s="92">
        <f>BW104</f>
        <v>10994</v>
      </c>
      <c r="BY101" s="92">
        <f>BX104</f>
        <v>11204</v>
      </c>
      <c r="BZ101" s="99">
        <f>BY104</f>
        <v>11414</v>
      </c>
      <c r="CA101" s="93">
        <f>BW101</f>
        <v>10784</v>
      </c>
      <c r="CB101" s="92"/>
      <c r="CC101" s="98">
        <f>BZ104</f>
        <v>11624</v>
      </c>
      <c r="CD101" s="92">
        <f>CC104</f>
        <v>11834</v>
      </c>
      <c r="CE101" s="92">
        <f>CD104</f>
        <v>12044</v>
      </c>
      <c r="CF101" s="99">
        <f>CE104</f>
        <v>12254</v>
      </c>
      <c r="CG101" s="93">
        <f>CC101</f>
        <v>11624</v>
      </c>
      <c r="CH101" s="92"/>
      <c r="CI101" s="98">
        <f>CF104</f>
        <v>12464</v>
      </c>
      <c r="CJ101" s="92">
        <f>CI104</f>
        <v>12674</v>
      </c>
      <c r="CK101" s="92">
        <f>CJ104</f>
        <v>12884</v>
      </c>
      <c r="CL101" s="99">
        <f>CK104</f>
        <v>13094</v>
      </c>
      <c r="CM101" s="93">
        <f>CI101</f>
        <v>12464</v>
      </c>
      <c r="CQ101"/>
      <c r="CR101"/>
      <c r="CS101"/>
      <c r="CT101"/>
      <c r="CU101"/>
      <c r="CV101"/>
    </row>
    <row r="102" spans="1:101" s="11" customFormat="1" hidden="1" outlineLevel="1" x14ac:dyDescent="0.2">
      <c r="A102" s="189" t="s">
        <v>191</v>
      </c>
      <c r="B102" s="15"/>
      <c r="C102" s="88">
        <f>-CFS!C30</f>
        <v>110.57899999999999</v>
      </c>
      <c r="D102" s="89">
        <f>-CFS!D30</f>
        <v>124.658</v>
      </c>
      <c r="E102" s="89">
        <f>-CFS!E30</f>
        <v>130.702</v>
      </c>
      <c r="F102" s="90">
        <f>-CFS!F30</f>
        <v>190.45499999999998</v>
      </c>
      <c r="G102" s="93">
        <f>SUM(C102:F102)</f>
        <v>556.39400000000001</v>
      </c>
      <c r="H102" s="92"/>
      <c r="I102" s="88">
        <f>-CFS!I30</f>
        <v>121.176</v>
      </c>
      <c r="J102" s="89">
        <f>-CFS!J30</f>
        <v>144.774</v>
      </c>
      <c r="K102" s="89">
        <f>-CFS!K30</f>
        <v>152.46100000000001</v>
      </c>
      <c r="L102" s="90">
        <f>-CFS!L30</f>
        <v>183.57</v>
      </c>
      <c r="M102" s="93">
        <f>SUM(I102:L102)</f>
        <v>601.98099999999999</v>
      </c>
      <c r="N102" s="382"/>
      <c r="O102" s="88">
        <f>-CFS!O30</f>
        <v>95.427999999999997</v>
      </c>
      <c r="P102" s="89">
        <f>-CFS!P30</f>
        <v>127.762</v>
      </c>
      <c r="Q102" s="89">
        <f>-CFS!Q30</f>
        <v>130.87799999999999</v>
      </c>
      <c r="R102" s="90">
        <f>-CFS!R30</f>
        <v>237.03499999999997</v>
      </c>
      <c r="S102" s="93">
        <f>SUM(O102:R102)</f>
        <v>591.10299999999995</v>
      </c>
      <c r="T102" s="92"/>
      <c r="U102" s="88">
        <f>-CFS!U30</f>
        <v>111.56399999999999</v>
      </c>
      <c r="V102" s="89">
        <f>-CFS!V30</f>
        <v>118.03300000000002</v>
      </c>
      <c r="W102" s="89">
        <f>-CFS!W30</f>
        <v>100.38800000000001</v>
      </c>
      <c r="X102" s="90">
        <f>-CFS!X30</f>
        <v>207.32100000000005</v>
      </c>
      <c r="Y102" s="93">
        <f>SUM(U102:X102)</f>
        <v>537.30600000000004</v>
      </c>
      <c r="Z102" s="92"/>
      <c r="AA102" s="88">
        <f>-CFS!AA30</f>
        <v>79.841999999999999</v>
      </c>
      <c r="AB102" s="89">
        <f>-CFS!AB30</f>
        <v>113.84599999999999</v>
      </c>
      <c r="AC102" s="89">
        <f>-CFS!AC30</f>
        <v>127.57999999999997</v>
      </c>
      <c r="AD102" s="90">
        <f>-CFS!AD30</f>
        <v>194.11700000000002</v>
      </c>
      <c r="AE102" s="93">
        <f>SUM(AA102:AD102)</f>
        <v>515.38499999999999</v>
      </c>
      <c r="AF102" s="92"/>
      <c r="AG102" s="88">
        <f>-CFS!AG30</f>
        <v>103.65300000000001</v>
      </c>
      <c r="AH102" s="89">
        <f>-CFS!AH30</f>
        <v>110.86299999999999</v>
      </c>
      <c r="AI102" s="89">
        <f>-CFS!AI30</f>
        <v>98.964999999999989</v>
      </c>
      <c r="AJ102" s="90">
        <f>-CFS!AJ30</f>
        <v>173.94900000000001</v>
      </c>
      <c r="AK102" s="93">
        <f>SUM(AG102:AJ102)</f>
        <v>487.43</v>
      </c>
      <c r="AL102" s="92"/>
      <c r="AM102" s="88">
        <f>-CFS!AM30</f>
        <v>80.385000000000005</v>
      </c>
      <c r="AN102" s="89">
        <f>-CFS!AN30</f>
        <v>116.94799999999999</v>
      </c>
      <c r="AO102" s="89">
        <f>-CFS!AO30</f>
        <v>141.69100000000003</v>
      </c>
      <c r="AP102" s="90">
        <f>-CFS!AP30</f>
        <v>182.976</v>
      </c>
      <c r="AQ102" s="93">
        <f>SUM(AM102:AP102)</f>
        <v>522</v>
      </c>
      <c r="AR102" s="92"/>
      <c r="AS102" s="88">
        <f>-CFS!AS30</f>
        <v>99</v>
      </c>
      <c r="AT102" s="89">
        <f>-CFS!AT30</f>
        <v>115</v>
      </c>
      <c r="AU102" s="89">
        <f>-CFS!AU30</f>
        <v>125</v>
      </c>
      <c r="AV102" s="90">
        <f>-CFS!AV30</f>
        <v>253</v>
      </c>
      <c r="AW102" s="93">
        <f>SUM(AS102:AV102)</f>
        <v>592</v>
      </c>
      <c r="AX102" s="92"/>
      <c r="AY102" s="88">
        <f>-CFS!AY30</f>
        <v>105</v>
      </c>
      <c r="AZ102" s="102">
        <f>-CFS!AZ30</f>
        <v>147</v>
      </c>
      <c r="BA102" s="102">
        <f>-CFS!BA30</f>
        <v>135</v>
      </c>
      <c r="BB102" s="103">
        <f>-CFS!BB30</f>
        <v>209</v>
      </c>
      <c r="BC102" s="93">
        <f>SUM(AY102:BB102)</f>
        <v>596</v>
      </c>
      <c r="BD102" s="92"/>
      <c r="BE102" s="88">
        <f>-CFS!BE30</f>
        <v>134</v>
      </c>
      <c r="BF102" s="102">
        <f>-CFS!BF30</f>
        <v>124</v>
      </c>
      <c r="BG102" s="102">
        <f>-CFS!BG30</f>
        <v>147</v>
      </c>
      <c r="BH102" s="103">
        <f>-CFS!BH30</f>
        <v>288</v>
      </c>
      <c r="BI102" s="93">
        <f>SUM(BE102:BH102)</f>
        <v>693</v>
      </c>
      <c r="BJ102" s="92"/>
      <c r="BK102" s="88">
        <f>-CFS!BK30</f>
        <v>112</v>
      </c>
      <c r="BL102" s="102">
        <f>-CFS!BL30</f>
        <v>160</v>
      </c>
      <c r="BM102" s="102">
        <f>-CFS!BM30</f>
        <v>195</v>
      </c>
      <c r="BN102" s="103">
        <f>-CFS!BN30</f>
        <v>260</v>
      </c>
      <c r="BO102" s="93">
        <f>SUM(BK102:BN102)</f>
        <v>727</v>
      </c>
      <c r="BP102" s="92"/>
      <c r="BQ102" s="88">
        <f>-CFS!BQ30</f>
        <v>178</v>
      </c>
      <c r="BR102" s="105">
        <v>225</v>
      </c>
      <c r="BS102" s="105">
        <v>225</v>
      </c>
      <c r="BT102" s="106">
        <v>225</v>
      </c>
      <c r="BU102" s="93">
        <f>SUM(BQ102:BT102)</f>
        <v>853</v>
      </c>
      <c r="BV102" s="92"/>
      <c r="BW102" s="104">
        <v>210</v>
      </c>
      <c r="BX102" s="105">
        <f>BW102</f>
        <v>210</v>
      </c>
      <c r="BY102" s="105">
        <f>BX102</f>
        <v>210</v>
      </c>
      <c r="BZ102" s="106">
        <f>BY102</f>
        <v>210</v>
      </c>
      <c r="CA102" s="93">
        <f>SUM(BW102:BZ102)</f>
        <v>840</v>
      </c>
      <c r="CB102" s="92"/>
      <c r="CC102" s="104">
        <v>210</v>
      </c>
      <c r="CD102" s="105">
        <f>CC102</f>
        <v>210</v>
      </c>
      <c r="CE102" s="105">
        <f>CD102</f>
        <v>210</v>
      </c>
      <c r="CF102" s="106">
        <f>CE102</f>
        <v>210</v>
      </c>
      <c r="CG102" s="93">
        <f>SUM(CC102:CF102)</f>
        <v>840</v>
      </c>
      <c r="CH102" s="92"/>
      <c r="CI102" s="104">
        <v>210</v>
      </c>
      <c r="CJ102" s="105">
        <f>CI102</f>
        <v>210</v>
      </c>
      <c r="CK102" s="105">
        <f>CJ102</f>
        <v>210</v>
      </c>
      <c r="CL102" s="106">
        <f>CK102</f>
        <v>210</v>
      </c>
      <c r="CM102" s="93">
        <f>SUM(CI102:CL102)</f>
        <v>840</v>
      </c>
      <c r="CQ102"/>
      <c r="CR102"/>
      <c r="CS102"/>
      <c r="CT102"/>
      <c r="CU102"/>
      <c r="CV102"/>
    </row>
    <row r="103" spans="1:101" s="11" customFormat="1" hidden="1" outlineLevel="1" x14ac:dyDescent="0.2">
      <c r="A103" s="189" t="s">
        <v>88</v>
      </c>
      <c r="B103" s="15"/>
      <c r="C103" s="104">
        <v>0</v>
      </c>
      <c r="D103" s="105">
        <v>0</v>
      </c>
      <c r="E103" s="105">
        <v>0</v>
      </c>
      <c r="F103" s="106">
        <v>0</v>
      </c>
      <c r="G103" s="93">
        <f>SUM(C103:F103)</f>
        <v>0</v>
      </c>
      <c r="H103" s="92"/>
      <c r="I103" s="104">
        <v>0</v>
      </c>
      <c r="J103" s="105">
        <v>0</v>
      </c>
      <c r="K103" s="105">
        <v>0</v>
      </c>
      <c r="L103" s="106">
        <v>0</v>
      </c>
      <c r="M103" s="93">
        <f>SUM(I103:L103)</f>
        <v>0</v>
      </c>
      <c r="N103" s="382"/>
      <c r="O103" s="104">
        <v>0</v>
      </c>
      <c r="P103" s="105">
        <v>0</v>
      </c>
      <c r="Q103" s="105">
        <v>0</v>
      </c>
      <c r="R103" s="106">
        <v>0</v>
      </c>
      <c r="S103" s="93">
        <f>SUM(O103:R103)</f>
        <v>0</v>
      </c>
      <c r="T103" s="92"/>
      <c r="U103" s="104">
        <v>0</v>
      </c>
      <c r="V103" s="105">
        <v>0</v>
      </c>
      <c r="W103" s="105">
        <v>0</v>
      </c>
      <c r="X103" s="106">
        <v>0</v>
      </c>
      <c r="Y103" s="93">
        <f>SUM(U103:X103)</f>
        <v>0</v>
      </c>
      <c r="Z103" s="92"/>
      <c r="AA103" s="104">
        <v>0</v>
      </c>
      <c r="AB103" s="105">
        <v>0</v>
      </c>
      <c r="AC103" s="105">
        <v>0</v>
      </c>
      <c r="AD103" s="106">
        <v>0</v>
      </c>
      <c r="AE103" s="93">
        <f>SUM(AA103:AD103)</f>
        <v>0</v>
      </c>
      <c r="AF103" s="92"/>
      <c r="AG103" s="104">
        <v>0</v>
      </c>
      <c r="AH103" s="105">
        <v>0</v>
      </c>
      <c r="AI103" s="105">
        <v>0</v>
      </c>
      <c r="AJ103" s="106">
        <v>0</v>
      </c>
      <c r="AK103" s="93">
        <f>SUM(AG103:AJ103)</f>
        <v>0</v>
      </c>
      <c r="AL103" s="92"/>
      <c r="AM103" s="98">
        <f>AM104-AM101-AM102</f>
        <v>5.9730000000001695</v>
      </c>
      <c r="AN103" s="92">
        <f>AN104-AN101-AN102</f>
        <v>-80.971000000000132</v>
      </c>
      <c r="AO103" s="92">
        <f>AO104-AO101-AO102</f>
        <v>-71.067000000000235</v>
      </c>
      <c r="AP103" s="99">
        <f>AP104-AP101-AP102</f>
        <v>15.020000000000095</v>
      </c>
      <c r="AQ103" s="93">
        <f>SUM(AM103:AP103)</f>
        <v>-131.0450000000001</v>
      </c>
      <c r="AR103" s="92"/>
      <c r="AS103" s="98">
        <f>AS104-AS101-AS102</f>
        <v>5</v>
      </c>
      <c r="AT103" s="92">
        <f>AT104-AT101-AT102</f>
        <v>-24</v>
      </c>
      <c r="AU103" s="92">
        <f>AU104-AU101-AU102</f>
        <v>-16</v>
      </c>
      <c r="AV103" s="99">
        <f>AV104-AV101-AV102</f>
        <v>-229.5</v>
      </c>
      <c r="AW103" s="93">
        <f>SUM(AS103:AV103)</f>
        <v>-264.5</v>
      </c>
      <c r="AX103" s="92"/>
      <c r="AY103" s="98">
        <f>AY104-AY101-AY102</f>
        <v>-111.5</v>
      </c>
      <c r="AZ103" s="92">
        <f>AZ104-AZ101-AZ102</f>
        <v>225</v>
      </c>
      <c r="BA103" s="92">
        <f>BA104-BA101-BA102</f>
        <v>18</v>
      </c>
      <c r="BB103" s="99">
        <f>BB104-BB101-BB102</f>
        <v>-215</v>
      </c>
      <c r="BC103" s="93">
        <f>SUM(AY103:BB103)</f>
        <v>-83.5</v>
      </c>
      <c r="BD103" s="92"/>
      <c r="BE103" s="98">
        <f>BE104-BE101-BE102</f>
        <v>-170</v>
      </c>
      <c r="BF103" s="92">
        <f>BF104-BF101-BF102</f>
        <v>-195</v>
      </c>
      <c r="BG103" s="92">
        <f>BG104-BG101-BG102</f>
        <v>-35</v>
      </c>
      <c r="BH103" s="99">
        <f>BH104-BH101-BH102</f>
        <v>-151</v>
      </c>
      <c r="BI103" s="93">
        <f>SUM(BE103:BH103)</f>
        <v>-551</v>
      </c>
      <c r="BJ103" s="92"/>
      <c r="BK103" s="98">
        <f>BK104-BK101-BK102</f>
        <v>-430</v>
      </c>
      <c r="BL103" s="92">
        <f>BL104-BL101-BL102</f>
        <v>90</v>
      </c>
      <c r="BM103" s="92">
        <f>BM104-BM101-BM102</f>
        <v>429</v>
      </c>
      <c r="BN103" s="99">
        <f>BN104-BN101-BN102</f>
        <v>154</v>
      </c>
      <c r="BO103" s="93">
        <f>SUM(BK103:BN103)</f>
        <v>243</v>
      </c>
      <c r="BP103" s="92"/>
      <c r="BQ103" s="98">
        <f>BQ104-BQ101-BQ102</f>
        <v>542</v>
      </c>
      <c r="BR103" s="105">
        <v>0</v>
      </c>
      <c r="BS103" s="105">
        <v>0</v>
      </c>
      <c r="BT103" s="106">
        <v>0</v>
      </c>
      <c r="BU103" s="93">
        <f>SUM(BQ103:BT103)</f>
        <v>542</v>
      </c>
      <c r="BV103" s="92"/>
      <c r="BW103" s="104">
        <v>0</v>
      </c>
      <c r="BX103" s="105">
        <v>0</v>
      </c>
      <c r="BY103" s="105">
        <v>0</v>
      </c>
      <c r="BZ103" s="106">
        <v>0</v>
      </c>
      <c r="CA103" s="93">
        <f>SUM(BW103:BZ103)</f>
        <v>0</v>
      </c>
      <c r="CB103" s="92"/>
      <c r="CC103" s="104">
        <v>0</v>
      </c>
      <c r="CD103" s="105">
        <v>0</v>
      </c>
      <c r="CE103" s="105">
        <v>0</v>
      </c>
      <c r="CF103" s="106">
        <v>0</v>
      </c>
      <c r="CG103" s="93">
        <f>SUM(CC103:CF103)</f>
        <v>0</v>
      </c>
      <c r="CH103" s="92"/>
      <c r="CI103" s="104">
        <v>0</v>
      </c>
      <c r="CJ103" s="105">
        <v>0</v>
      </c>
      <c r="CK103" s="105">
        <v>0</v>
      </c>
      <c r="CL103" s="106">
        <v>0</v>
      </c>
      <c r="CM103" s="93">
        <f>SUM(CI103:CL103)</f>
        <v>0</v>
      </c>
      <c r="CQ103"/>
      <c r="CR103"/>
      <c r="CS103"/>
      <c r="CT103"/>
      <c r="CU103"/>
      <c r="CV103"/>
    </row>
    <row r="104" spans="1:101" s="11" customFormat="1" hidden="1" outlineLevel="1" x14ac:dyDescent="0.2">
      <c r="A104" s="189" t="s">
        <v>192</v>
      </c>
      <c r="B104" s="15"/>
      <c r="C104" s="98">
        <f>SUM(C101:C103)</f>
        <v>4853.5360000000001</v>
      </c>
      <c r="D104" s="92">
        <f>SUM(D101:D103)</f>
        <v>4978.1940000000004</v>
      </c>
      <c r="E104" s="92">
        <f>SUM(E101:E103)</f>
        <v>5108.8960000000006</v>
      </c>
      <c r="F104" s="99">
        <f>SUM(F101:F103)</f>
        <v>5299.3510000000006</v>
      </c>
      <c r="G104" s="93">
        <f>SUM(G101:G103)</f>
        <v>5299.3510000000006</v>
      </c>
      <c r="H104" s="92"/>
      <c r="I104" s="98">
        <f>SUM(I101:I103)</f>
        <v>5420.527000000001</v>
      </c>
      <c r="J104" s="92">
        <f>SUM(J101:J103)</f>
        <v>5565.3010000000013</v>
      </c>
      <c r="K104" s="92">
        <f>SUM(K101:K103)</f>
        <v>5717.7620000000015</v>
      </c>
      <c r="L104" s="99">
        <f>SUM(L101:L103)</f>
        <v>5901.3320000000012</v>
      </c>
      <c r="M104" s="93">
        <f>SUM(M101:M103)</f>
        <v>5901.3320000000003</v>
      </c>
      <c r="N104" s="382"/>
      <c r="O104" s="98">
        <f>SUM(O101:O103)</f>
        <v>5996.7600000000011</v>
      </c>
      <c r="P104" s="92">
        <f>SUM(P101:P103)</f>
        <v>6124.5220000000008</v>
      </c>
      <c r="Q104" s="92">
        <f>SUM(Q101:Q103)</f>
        <v>6255.4000000000005</v>
      </c>
      <c r="R104" s="99">
        <f>SUM(R101:R103)</f>
        <v>6492.4350000000004</v>
      </c>
      <c r="S104" s="93">
        <f>SUM(S101:S103)</f>
        <v>6492.4350000000013</v>
      </c>
      <c r="T104" s="92"/>
      <c r="U104" s="98">
        <f>SUM(U101:U103)</f>
        <v>6603.9990000000007</v>
      </c>
      <c r="V104" s="92">
        <f>SUM(V101:V103)</f>
        <v>6722.0320000000011</v>
      </c>
      <c r="W104" s="92">
        <f>SUM(W101:W103)</f>
        <v>6822.420000000001</v>
      </c>
      <c r="X104" s="99">
        <f>SUM(X101:X103)</f>
        <v>7029.7410000000009</v>
      </c>
      <c r="Y104" s="93">
        <f>SUM(Y101:Y103)</f>
        <v>7029.741</v>
      </c>
      <c r="Z104" s="92"/>
      <c r="AA104" s="98">
        <f>SUM(AA101:AA103)</f>
        <v>7109.5830000000005</v>
      </c>
      <c r="AB104" s="92">
        <f>SUM(AB101:AB103)</f>
        <v>7223.4290000000001</v>
      </c>
      <c r="AC104" s="92">
        <f>SUM(AC101:AC103)</f>
        <v>7351.009</v>
      </c>
      <c r="AD104" s="99">
        <f>SUM(AD101:AD103)</f>
        <v>7545.1260000000002</v>
      </c>
      <c r="AE104" s="93">
        <f>SUM(AE101:AE103)</f>
        <v>7545.1260000000011</v>
      </c>
      <c r="AF104" s="92"/>
      <c r="AG104" s="98">
        <f>SUM(AG101:AG103)</f>
        <v>7648.7790000000005</v>
      </c>
      <c r="AH104" s="92">
        <f>SUM(AH101:AH103)</f>
        <v>7759.6420000000007</v>
      </c>
      <c r="AI104" s="92">
        <f>SUM(AI101:AI103)</f>
        <v>7858.6070000000009</v>
      </c>
      <c r="AJ104" s="106">
        <v>7046.0450000000001</v>
      </c>
      <c r="AK104" s="93">
        <f>SUM(AK101:AK103)</f>
        <v>8032.5560000000005</v>
      </c>
      <c r="AL104" s="92"/>
      <c r="AM104" s="104">
        <v>7132.4030000000002</v>
      </c>
      <c r="AN104" s="105">
        <v>7168.38</v>
      </c>
      <c r="AO104" s="105">
        <v>7239.0039999999999</v>
      </c>
      <c r="AP104" s="106">
        <v>7437</v>
      </c>
      <c r="AQ104" s="93">
        <f>SUM(AQ101:AQ103)</f>
        <v>7437</v>
      </c>
      <c r="AR104" s="92"/>
      <c r="AS104" s="104">
        <v>7541</v>
      </c>
      <c r="AT104" s="105">
        <v>7632</v>
      </c>
      <c r="AU104" s="360">
        <v>7741</v>
      </c>
      <c r="AV104" s="106">
        <v>7764.5</v>
      </c>
      <c r="AW104" s="93">
        <f>SUM(AW101:AW103)</f>
        <v>7764.5</v>
      </c>
      <c r="AX104" s="92"/>
      <c r="AY104" s="95">
        <v>7758</v>
      </c>
      <c r="AZ104" s="96">
        <v>8130</v>
      </c>
      <c r="BA104" s="96">
        <v>8283</v>
      </c>
      <c r="BB104" s="97">
        <v>8277</v>
      </c>
      <c r="BC104" s="93">
        <f>SUM(BC101:BC103)</f>
        <v>8277</v>
      </c>
      <c r="BD104" s="92"/>
      <c r="BE104" s="95">
        <v>8241</v>
      </c>
      <c r="BF104" s="96">
        <v>8170</v>
      </c>
      <c r="BG104" s="96">
        <v>8282</v>
      </c>
      <c r="BH104" s="97">
        <v>8419</v>
      </c>
      <c r="BI104" s="93">
        <f>SUM(BI101:BI103)</f>
        <v>8419</v>
      </c>
      <c r="BJ104" s="92"/>
      <c r="BK104" s="95">
        <v>8101</v>
      </c>
      <c r="BL104" s="96">
        <v>8351</v>
      </c>
      <c r="BM104" s="96">
        <v>8975</v>
      </c>
      <c r="BN104" s="97">
        <v>9389</v>
      </c>
      <c r="BO104" s="93">
        <f>SUM(BO101:BO103)</f>
        <v>9389</v>
      </c>
      <c r="BP104" s="92"/>
      <c r="BQ104" s="95">
        <v>10109</v>
      </c>
      <c r="BR104" s="92">
        <f>SUM(BR101:BR103)</f>
        <v>10334</v>
      </c>
      <c r="BS104" s="92">
        <f>SUM(BS101:BS103)</f>
        <v>10559</v>
      </c>
      <c r="BT104" s="99">
        <f>SUM(BT101:BT103)</f>
        <v>10784</v>
      </c>
      <c r="BU104" s="93">
        <f>SUM(BU101:BU103)</f>
        <v>10784</v>
      </c>
      <c r="BV104" s="92"/>
      <c r="BW104" s="98">
        <f>SUM(BW101:BW103)</f>
        <v>10994</v>
      </c>
      <c r="BX104" s="92">
        <f>SUM(BX101:BX103)</f>
        <v>11204</v>
      </c>
      <c r="BY104" s="92">
        <f>SUM(BY101:BY103)</f>
        <v>11414</v>
      </c>
      <c r="BZ104" s="99">
        <f>SUM(BZ101:BZ103)</f>
        <v>11624</v>
      </c>
      <c r="CA104" s="93">
        <f>SUM(CA101:CA103)</f>
        <v>11624</v>
      </c>
      <c r="CB104" s="92"/>
      <c r="CC104" s="98">
        <f>SUM(CC101:CC103)</f>
        <v>11834</v>
      </c>
      <c r="CD104" s="92">
        <f>SUM(CD101:CD103)</f>
        <v>12044</v>
      </c>
      <c r="CE104" s="92">
        <f>SUM(CE101:CE103)</f>
        <v>12254</v>
      </c>
      <c r="CF104" s="99">
        <f>SUM(CF101:CF103)</f>
        <v>12464</v>
      </c>
      <c r="CG104" s="93">
        <f>SUM(CG101:CG103)</f>
        <v>12464</v>
      </c>
      <c r="CH104" s="92"/>
      <c r="CI104" s="98">
        <f>SUM(CI101:CI103)</f>
        <v>12674</v>
      </c>
      <c r="CJ104" s="92">
        <f>SUM(CJ101:CJ103)</f>
        <v>12884</v>
      </c>
      <c r="CK104" s="92">
        <f>SUM(CK101:CK103)</f>
        <v>13094</v>
      </c>
      <c r="CL104" s="99">
        <f>SUM(CL101:CL103)</f>
        <v>13304</v>
      </c>
      <c r="CM104" s="93">
        <f>SUM(CM101:CM103)</f>
        <v>13304</v>
      </c>
      <c r="CQ104"/>
      <c r="CR104"/>
      <c r="CS104"/>
      <c r="CT104"/>
      <c r="CU104"/>
      <c r="CV104"/>
    </row>
    <row r="105" spans="1:101" s="11" customFormat="1" hidden="1" outlineLevel="1" x14ac:dyDescent="0.2">
      <c r="A105" s="189"/>
      <c r="B105" s="15"/>
      <c r="C105" s="98"/>
      <c r="D105" s="92"/>
      <c r="E105" s="92"/>
      <c r="F105" s="99"/>
      <c r="G105" s="93"/>
      <c r="H105" s="92"/>
      <c r="I105" s="98"/>
      <c r="J105" s="92"/>
      <c r="K105" s="92"/>
      <c r="L105" s="99"/>
      <c r="M105" s="93"/>
      <c r="N105" s="382"/>
      <c r="O105" s="98"/>
      <c r="P105" s="92"/>
      <c r="Q105" s="92"/>
      <c r="R105" s="99"/>
      <c r="S105" s="93"/>
      <c r="T105" s="92"/>
      <c r="U105" s="98"/>
      <c r="V105" s="92"/>
      <c r="W105" s="92"/>
      <c r="X105" s="99"/>
      <c r="Y105" s="93"/>
      <c r="Z105" s="92"/>
      <c r="AA105" s="98"/>
      <c r="AB105" s="92"/>
      <c r="AC105" s="92"/>
      <c r="AD105" s="99"/>
      <c r="AE105" s="93"/>
      <c r="AF105" s="92"/>
      <c r="AG105" s="98"/>
      <c r="AH105" s="92"/>
      <c r="AI105" s="92"/>
      <c r="AJ105" s="99"/>
      <c r="AK105" s="93"/>
      <c r="AL105" s="92"/>
      <c r="AM105" s="98"/>
      <c r="AN105" s="92"/>
      <c r="AO105" s="92"/>
      <c r="AP105" s="99"/>
      <c r="AQ105" s="93"/>
      <c r="AR105" s="92"/>
      <c r="AS105" s="98"/>
      <c r="AT105" s="92"/>
      <c r="AU105" s="92"/>
      <c r="AV105" s="99"/>
      <c r="AW105" s="93"/>
      <c r="AX105" s="92"/>
      <c r="AY105" s="98"/>
      <c r="AZ105" s="92"/>
      <c r="BA105" s="92"/>
      <c r="BB105" s="99"/>
      <c r="BC105" s="93"/>
      <c r="BD105" s="92"/>
      <c r="BE105" s="98"/>
      <c r="BF105" s="92"/>
      <c r="BG105" s="92"/>
      <c r="BH105" s="99"/>
      <c r="BI105" s="93"/>
      <c r="BJ105" s="92"/>
      <c r="BK105" s="98"/>
      <c r="BL105" s="92"/>
      <c r="BM105" s="92"/>
      <c r="BN105" s="99"/>
      <c r="BO105" s="93"/>
      <c r="BP105" s="92"/>
      <c r="BQ105" s="98"/>
      <c r="BR105" s="92"/>
      <c r="BS105" s="92"/>
      <c r="BT105" s="99"/>
      <c r="BU105" s="93"/>
      <c r="BV105" s="92"/>
      <c r="BW105" s="98"/>
      <c r="BX105" s="92"/>
      <c r="BY105" s="92"/>
      <c r="BZ105" s="99"/>
      <c r="CA105" s="93"/>
      <c r="CB105" s="92"/>
      <c r="CC105" s="98"/>
      <c r="CD105" s="92"/>
      <c r="CE105" s="92"/>
      <c r="CF105" s="99"/>
      <c r="CG105" s="93"/>
      <c r="CH105" s="92"/>
      <c r="CI105" s="98"/>
      <c r="CJ105" s="92"/>
      <c r="CK105" s="92"/>
      <c r="CL105" s="99"/>
      <c r="CM105" s="93"/>
      <c r="CQ105"/>
      <c r="CR105"/>
      <c r="CS105"/>
      <c r="CT105"/>
      <c r="CU105"/>
      <c r="CV105"/>
    </row>
    <row r="106" spans="1:101" s="11" customFormat="1" hidden="1" outlineLevel="1" x14ac:dyDescent="0.2">
      <c r="A106" s="189" t="s">
        <v>193</v>
      </c>
      <c r="B106" s="15"/>
      <c r="C106" s="104">
        <v>2609.4090000000001</v>
      </c>
      <c r="D106" s="92">
        <f>C109</f>
        <v>2682.42</v>
      </c>
      <c r="E106" s="92">
        <f>D109</f>
        <v>2741.3649999999998</v>
      </c>
      <c r="F106" s="99">
        <f>E109</f>
        <v>2802.1550000000002</v>
      </c>
      <c r="G106" s="93">
        <f>C106</f>
        <v>2609.4090000000001</v>
      </c>
      <c r="H106" s="92"/>
      <c r="I106" s="98">
        <f>F109</f>
        <v>2856.777</v>
      </c>
      <c r="J106" s="92">
        <f>I109</f>
        <v>2924.1750000000002</v>
      </c>
      <c r="K106" s="92">
        <f>J109</f>
        <v>3035.3939999999998</v>
      </c>
      <c r="L106" s="99">
        <f>K109</f>
        <v>3104.1759999999999</v>
      </c>
      <c r="M106" s="93">
        <f>I106</f>
        <v>2856.777</v>
      </c>
      <c r="N106" s="382"/>
      <c r="O106" s="98">
        <f>L109</f>
        <v>3053.5210000000002</v>
      </c>
      <c r="P106" s="92">
        <f>O109</f>
        <v>3072.2510000000002</v>
      </c>
      <c r="Q106" s="92">
        <f>P109</f>
        <v>3069.1419999999998</v>
      </c>
      <c r="R106" s="99">
        <f>Q109</f>
        <v>3196.14</v>
      </c>
      <c r="S106" s="93">
        <f>O106</f>
        <v>3053.5210000000002</v>
      </c>
      <c r="T106" s="92"/>
      <c r="U106" s="98">
        <f>R109</f>
        <v>3274.7</v>
      </c>
      <c r="V106" s="92">
        <f>U109</f>
        <v>3364.7919999999999</v>
      </c>
      <c r="W106" s="92">
        <f>V109</f>
        <v>3339.12</v>
      </c>
      <c r="X106" s="99">
        <f>W109</f>
        <v>3304.1</v>
      </c>
      <c r="Y106" s="93">
        <f>U106</f>
        <v>3274.7</v>
      </c>
      <c r="Z106" s="92"/>
      <c r="AA106" s="98">
        <f>X109</f>
        <v>3431.57</v>
      </c>
      <c r="AB106" s="92">
        <f>AA109</f>
        <v>3493.5259999999998</v>
      </c>
      <c r="AC106" s="92">
        <f>AB109</f>
        <v>3623.8829999999998</v>
      </c>
      <c r="AD106" s="99">
        <f>AC109</f>
        <v>3721.2080000000001</v>
      </c>
      <c r="AE106" s="93">
        <f>AA106</f>
        <v>3431.57</v>
      </c>
      <c r="AF106" s="92"/>
      <c r="AG106" s="98">
        <f>AD109</f>
        <v>3669.0120000000002</v>
      </c>
      <c r="AH106" s="92">
        <f>AG109</f>
        <v>3708.2950000000001</v>
      </c>
      <c r="AI106" s="92">
        <f>AH109</f>
        <v>3807.3359999999998</v>
      </c>
      <c r="AJ106" s="99">
        <f>AI109</f>
        <v>3676.2</v>
      </c>
      <c r="AK106" s="93">
        <f>AG106</f>
        <v>3669.0120000000002</v>
      </c>
      <c r="AL106" s="92"/>
      <c r="AM106" s="98">
        <f>AJ109</f>
        <v>3742.1170000000002</v>
      </c>
      <c r="AN106" s="92">
        <f>AM109</f>
        <v>3815.625</v>
      </c>
      <c r="AO106" s="92">
        <f>AN109</f>
        <v>3853.4160000000002</v>
      </c>
      <c r="AP106" s="99">
        <f>AO109</f>
        <v>3887.3420000000001</v>
      </c>
      <c r="AQ106" s="93">
        <f>AM106</f>
        <v>3742.1170000000002</v>
      </c>
      <c r="AR106" s="92"/>
      <c r="AS106" s="98">
        <f>AP109</f>
        <v>3961</v>
      </c>
      <c r="AT106" s="92">
        <f>AS109</f>
        <v>4046</v>
      </c>
      <c r="AU106" s="92">
        <f>AT109</f>
        <v>4120</v>
      </c>
      <c r="AV106" s="99">
        <f>AU109</f>
        <v>4190</v>
      </c>
      <c r="AW106" s="93">
        <f>AS106</f>
        <v>3961</v>
      </c>
      <c r="AX106" s="92"/>
      <c r="AY106" s="98">
        <f>AV109</f>
        <v>4160.5</v>
      </c>
      <c r="AZ106" s="92">
        <f>AY109</f>
        <v>4193</v>
      </c>
      <c r="BA106" s="92">
        <f>AZ109</f>
        <v>4138</v>
      </c>
      <c r="BB106" s="99">
        <f>BA109</f>
        <v>4236</v>
      </c>
      <c r="BC106" s="93">
        <f>AY106</f>
        <v>4160.5</v>
      </c>
      <c r="BD106" s="92"/>
      <c r="BE106" s="98">
        <f>BB109</f>
        <v>4217</v>
      </c>
      <c r="BF106" s="92">
        <f>BE109</f>
        <v>4284</v>
      </c>
      <c r="BG106" s="92">
        <f>BF109</f>
        <v>4391</v>
      </c>
      <c r="BH106" s="99">
        <f>BG109</f>
        <v>4469</v>
      </c>
      <c r="BI106" s="93">
        <f>BE106</f>
        <v>4217</v>
      </c>
      <c r="BJ106" s="92"/>
      <c r="BK106" s="98">
        <f>BH109</f>
        <v>4518</v>
      </c>
      <c r="BL106" s="92">
        <f>BK109</f>
        <v>4274</v>
      </c>
      <c r="BM106" s="92">
        <f>BL109</f>
        <v>4411</v>
      </c>
      <c r="BN106" s="99">
        <f>BM109</f>
        <v>4565</v>
      </c>
      <c r="BO106" s="93">
        <f>BK106</f>
        <v>4518</v>
      </c>
      <c r="BP106" s="92"/>
      <c r="BQ106" s="98">
        <f>BN109</f>
        <v>4751</v>
      </c>
      <c r="BR106" s="92">
        <f>BQ109</f>
        <v>4848</v>
      </c>
      <c r="BS106" s="92">
        <f>BR109</f>
        <v>5022.2931034482763</v>
      </c>
      <c r="BT106" s="99">
        <f>BS109</f>
        <v>5200.4655172413795</v>
      </c>
      <c r="BU106" s="93">
        <f>BQ106</f>
        <v>4751</v>
      </c>
      <c r="BV106" s="92"/>
      <c r="BW106" s="98">
        <f>BT109</f>
        <v>5382.5172413793107</v>
      </c>
      <c r="BX106" s="92">
        <f>BW109</f>
        <v>5568.4482758620697</v>
      </c>
      <c r="BY106" s="92">
        <f>BX109</f>
        <v>5758.0000000000009</v>
      </c>
      <c r="BZ106" s="99">
        <f>BY109</f>
        <v>5951.1724137931042</v>
      </c>
      <c r="CA106" s="93">
        <f>BW106</f>
        <v>5382.5172413793107</v>
      </c>
      <c r="CB106" s="92"/>
      <c r="CC106" s="98">
        <f>BZ109</f>
        <v>6147.9655172413804</v>
      </c>
      <c r="CD106" s="92">
        <f>CC109</f>
        <v>6348.3793103448288</v>
      </c>
      <c r="CE106" s="92">
        <f>CD109</f>
        <v>6552.4137931034493</v>
      </c>
      <c r="CF106" s="99">
        <f>CE109</f>
        <v>6760.0689655172428</v>
      </c>
      <c r="CG106" s="93">
        <f>CC106</f>
        <v>6147.9655172413804</v>
      </c>
      <c r="CH106" s="92"/>
      <c r="CI106" s="98">
        <f>CF109</f>
        <v>6971.3448275862083</v>
      </c>
      <c r="CJ106" s="92">
        <f>CI109</f>
        <v>7186.241379310346</v>
      </c>
      <c r="CK106" s="92">
        <f>CJ109</f>
        <v>7404.7586206896567</v>
      </c>
      <c r="CL106" s="99">
        <f>CK109</f>
        <v>7626.8965517241395</v>
      </c>
      <c r="CM106" s="93">
        <f>CI106</f>
        <v>6971.3448275862083</v>
      </c>
      <c r="CQ106"/>
      <c r="CR106"/>
      <c r="CS106"/>
      <c r="CT106"/>
      <c r="CU106"/>
      <c r="CV106"/>
    </row>
    <row r="107" spans="1:101" s="11" customFormat="1" hidden="1" outlineLevel="1" x14ac:dyDescent="0.2">
      <c r="A107" s="189" t="s">
        <v>194</v>
      </c>
      <c r="B107" s="15"/>
      <c r="C107" s="88">
        <f>CFS!C12</f>
        <v>82.087000000000018</v>
      </c>
      <c r="D107" s="89">
        <f>CFS!D12</f>
        <v>82.087000000000018</v>
      </c>
      <c r="E107" s="89">
        <f>CFS!E12</f>
        <v>82.087000000000018</v>
      </c>
      <c r="F107" s="90">
        <f>CFS!F12</f>
        <v>82.087000000000018</v>
      </c>
      <c r="G107" s="93">
        <f>SUM(C107:F107)</f>
        <v>328.34800000000007</v>
      </c>
      <c r="H107" s="92"/>
      <c r="I107" s="88">
        <f>CFS!I12</f>
        <v>91.638250000000014</v>
      </c>
      <c r="J107" s="89">
        <f>CFS!J12</f>
        <v>91.638250000000014</v>
      </c>
      <c r="K107" s="89">
        <f>CFS!K12</f>
        <v>91.638250000000014</v>
      </c>
      <c r="L107" s="90">
        <f>CFS!L12</f>
        <v>91.638250000000014</v>
      </c>
      <c r="M107" s="93">
        <f>SUM(I107:L107)</f>
        <v>366.55300000000005</v>
      </c>
      <c r="N107" s="382"/>
      <c r="O107" s="88">
        <f>CFS!O12</f>
        <v>93.110250000000008</v>
      </c>
      <c r="P107" s="89">
        <f>CFS!P12</f>
        <v>93.985249999999994</v>
      </c>
      <c r="Q107" s="89">
        <f>CFS!Q12</f>
        <v>94.819249999999997</v>
      </c>
      <c r="R107" s="90">
        <f>CFS!R12</f>
        <v>94.075249999999983</v>
      </c>
      <c r="S107" s="93">
        <f>SUM(O107:R107)</f>
        <v>375.99</v>
      </c>
      <c r="T107" s="92"/>
      <c r="U107" s="88">
        <f>CFS!U12</f>
        <v>104.84075</v>
      </c>
      <c r="V107" s="89">
        <f>CFS!V12</f>
        <v>106.60374999999999</v>
      </c>
      <c r="W107" s="89">
        <f>CFS!W12</f>
        <v>110.15375000000002</v>
      </c>
      <c r="X107" s="90">
        <f>CFS!X12</f>
        <v>99.934750000000008</v>
      </c>
      <c r="Y107" s="93">
        <f>SUM(U107:X107)</f>
        <v>421.53300000000002</v>
      </c>
      <c r="Z107" s="92"/>
      <c r="AA107" s="88">
        <f>CFS!AA12</f>
        <v>105.66475</v>
      </c>
      <c r="AB107" s="89">
        <f>CFS!AB12</f>
        <v>103.71074999999999</v>
      </c>
      <c r="AC107" s="89">
        <f>CFS!AC12</f>
        <v>106.40375</v>
      </c>
      <c r="AD107" s="90">
        <f>CFS!AD12</f>
        <v>109.98575000000002</v>
      </c>
      <c r="AE107" s="93">
        <f>SUM(AA107:AD107)</f>
        <v>425.76499999999999</v>
      </c>
      <c r="AF107" s="92"/>
      <c r="AG107" s="88">
        <f>CFS!AG12</f>
        <v>110.19799999999999</v>
      </c>
      <c r="AH107" s="89">
        <f>CFS!AH12</f>
        <v>104.53299999999997</v>
      </c>
      <c r="AI107" s="89">
        <f>CFS!AI12</f>
        <v>91.210000000000051</v>
      </c>
      <c r="AJ107" s="90">
        <f>CFS!AJ12</f>
        <v>98.007999999999953</v>
      </c>
      <c r="AK107" s="93">
        <f>SUM(AG107:AJ107)</f>
        <v>403.94899999999996</v>
      </c>
      <c r="AL107" s="92"/>
      <c r="AM107" s="88">
        <f>CFS!AM12</f>
        <v>100.014</v>
      </c>
      <c r="AN107" s="89">
        <f>CFS!AN12</f>
        <v>105.64399999999998</v>
      </c>
      <c r="AO107" s="89">
        <f>CFS!AO12</f>
        <v>107.14600000000004</v>
      </c>
      <c r="AP107" s="90">
        <f>CFS!AP12</f>
        <v>112.19599999999993</v>
      </c>
      <c r="AQ107" s="93">
        <f>SUM(AM107:AP107)</f>
        <v>424.99999999999989</v>
      </c>
      <c r="AR107" s="92"/>
      <c r="AS107" s="88">
        <f>CFS!AS12</f>
        <v>110.75</v>
      </c>
      <c r="AT107" s="89">
        <f>CFS!AT12</f>
        <v>98.75</v>
      </c>
      <c r="AU107" s="89">
        <f>CFS!AU12</f>
        <v>109.75</v>
      </c>
      <c r="AV107" s="90">
        <f>CFS!AV12</f>
        <v>117.75</v>
      </c>
      <c r="AW107" s="93">
        <f>SUM(AS107:AV107)</f>
        <v>437</v>
      </c>
      <c r="AX107" s="92"/>
      <c r="AY107" s="88">
        <f>CFS!AY12</f>
        <v>109</v>
      </c>
      <c r="AZ107" s="102">
        <f>CFS!AZ12</f>
        <v>108</v>
      </c>
      <c r="BA107" s="102">
        <f>CFS!BA12</f>
        <v>124.5</v>
      </c>
      <c r="BB107" s="103">
        <f>CFS!BB12</f>
        <v>138.5</v>
      </c>
      <c r="BC107" s="93">
        <f>SUM(AY107:BB107)</f>
        <v>480</v>
      </c>
      <c r="BD107" s="92"/>
      <c r="BE107" s="88">
        <f>CFS!BE12</f>
        <v>137</v>
      </c>
      <c r="BF107" s="102">
        <f>CFS!BF12</f>
        <v>142</v>
      </c>
      <c r="BG107" s="102">
        <f>CFS!BG12</f>
        <v>139</v>
      </c>
      <c r="BH107" s="103">
        <f>CFS!BH12</f>
        <v>144</v>
      </c>
      <c r="BI107" s="93">
        <f>SUM(BE107:BH107)</f>
        <v>562</v>
      </c>
      <c r="BJ107" s="92"/>
      <c r="BK107" s="88">
        <f>CFS!BK12</f>
        <v>125</v>
      </c>
      <c r="BL107" s="102">
        <f>CFS!BL12</f>
        <v>130</v>
      </c>
      <c r="BM107" s="102">
        <f>CFS!BM12</f>
        <v>147</v>
      </c>
      <c r="BN107" s="103">
        <f>CFS!BN12</f>
        <v>153</v>
      </c>
      <c r="BO107" s="93">
        <f>SUM(BK107:BN107)</f>
        <v>555</v>
      </c>
      <c r="BP107" s="92"/>
      <c r="BQ107" s="88">
        <f>CFS!BQ12</f>
        <v>155</v>
      </c>
      <c r="BR107" s="92">
        <f>BR101/BR112/4</f>
        <v>174.29310344827587</v>
      </c>
      <c r="BS107" s="92">
        <f>BS101/BS112/4</f>
        <v>178.17241379310346</v>
      </c>
      <c r="BT107" s="99">
        <f>BT101/BT112/4</f>
        <v>182.05172413793105</v>
      </c>
      <c r="BU107" s="93">
        <f>SUM(BQ107:BT107)</f>
        <v>689.51724137931035</v>
      </c>
      <c r="BV107" s="92"/>
      <c r="BW107" s="98">
        <f>BW101/BW112/4</f>
        <v>185.93103448275863</v>
      </c>
      <c r="BX107" s="92">
        <f>BX101/BX112/4</f>
        <v>189.55172413793105</v>
      </c>
      <c r="BY107" s="92">
        <f>BY101/BY112/4</f>
        <v>193.17241379310346</v>
      </c>
      <c r="BZ107" s="99">
        <f>BZ101/BZ112/4</f>
        <v>196.79310344827587</v>
      </c>
      <c r="CA107" s="93">
        <f>SUM(BW107:BZ107)</f>
        <v>765.44827586206907</v>
      </c>
      <c r="CB107" s="92"/>
      <c r="CC107" s="98">
        <f>CC101/CC112/4</f>
        <v>200.41379310344828</v>
      </c>
      <c r="CD107" s="92">
        <f>CD101/CD112/4</f>
        <v>204.0344827586207</v>
      </c>
      <c r="CE107" s="92">
        <f>CE101/CE112/4</f>
        <v>207.65517241379311</v>
      </c>
      <c r="CF107" s="99">
        <f>CF101/CF112/4</f>
        <v>211.27586206896552</v>
      </c>
      <c r="CG107" s="93">
        <f>SUM(CC107:CF107)</f>
        <v>823.37931034482767</v>
      </c>
      <c r="CH107" s="92"/>
      <c r="CI107" s="98">
        <f>CI101/CI112/4</f>
        <v>214.89655172413794</v>
      </c>
      <c r="CJ107" s="92">
        <f>CJ101/CJ112/4</f>
        <v>218.51724137931035</v>
      </c>
      <c r="CK107" s="92">
        <f>CK101/CK112/4</f>
        <v>222.13793103448276</v>
      </c>
      <c r="CL107" s="99">
        <f>CL101/CL112/4</f>
        <v>225.75862068965517</v>
      </c>
      <c r="CM107" s="93">
        <f>SUM(CI107:CL107)</f>
        <v>881.31034482758628</v>
      </c>
      <c r="CQ107"/>
      <c r="CR107"/>
      <c r="CS107"/>
      <c r="CT107"/>
      <c r="CU107"/>
      <c r="CV107"/>
    </row>
    <row r="108" spans="1:101" s="11" customFormat="1" hidden="1" outlineLevel="1" x14ac:dyDescent="0.2">
      <c r="A108" s="189" t="s">
        <v>88</v>
      </c>
      <c r="B108" s="15"/>
      <c r="C108" s="98">
        <f>C109-C106-C107</f>
        <v>-9.0760000000000502</v>
      </c>
      <c r="D108" s="92">
        <f>D109-D106-D107</f>
        <v>-23.142000000000309</v>
      </c>
      <c r="E108" s="92">
        <f>E109-E106-E107</f>
        <v>-21.296999999999599</v>
      </c>
      <c r="F108" s="99">
        <f>F109-F106-F107</f>
        <v>-27.465000000000174</v>
      </c>
      <c r="G108" s="93">
        <f>SUM(C108:F108)</f>
        <v>-80.980000000000132</v>
      </c>
      <c r="H108" s="92"/>
      <c r="I108" s="98">
        <f>I109-I106-I107</f>
        <v>-24.240249999999875</v>
      </c>
      <c r="J108" s="92">
        <f>J109-J106-J107</f>
        <v>19.580749999999583</v>
      </c>
      <c r="K108" s="92">
        <f>K109-K106-K107</f>
        <v>-22.856249999999861</v>
      </c>
      <c r="L108" s="99">
        <f>L109-L106-L107</f>
        <v>-142.29324999999977</v>
      </c>
      <c r="M108" s="93">
        <f>SUM(I108:L108)</f>
        <v>-169.80899999999991</v>
      </c>
      <c r="N108" s="382"/>
      <c r="O108" s="98">
        <f>O109-O106-O107</f>
        <v>-74.38024999999999</v>
      </c>
      <c r="P108" s="92">
        <f>P109-P106-P107</f>
        <v>-97.094250000000372</v>
      </c>
      <c r="Q108" s="92">
        <f>Q109-Q106-Q107</f>
        <v>32.178750000000051</v>
      </c>
      <c r="R108" s="99">
        <f>R109-R106-R107</f>
        <v>-15.515250000000037</v>
      </c>
      <c r="S108" s="93">
        <f>SUM(O108:R108)</f>
        <v>-154.81100000000038</v>
      </c>
      <c r="T108" s="92"/>
      <c r="U108" s="98">
        <f>U109-U106-U107</f>
        <v>-14.748749999999902</v>
      </c>
      <c r="V108" s="92">
        <f>V109-V106-V107</f>
        <v>-132.27575000000002</v>
      </c>
      <c r="W108" s="92">
        <f>W109-W106-W107</f>
        <v>-145.17374999999998</v>
      </c>
      <c r="X108" s="99">
        <f>X109-X106-X107</f>
        <v>27.535250000000246</v>
      </c>
      <c r="Y108" s="93">
        <f>SUM(U108:X108)</f>
        <v>-264.66299999999967</v>
      </c>
      <c r="Z108" s="92"/>
      <c r="AA108" s="98">
        <f>AA109-AA106-AA107</f>
        <v>-43.708750000000322</v>
      </c>
      <c r="AB108" s="92">
        <f>AB109-AB106-AB107</f>
        <v>26.646249999999981</v>
      </c>
      <c r="AC108" s="92">
        <f>AC109-AC106-AC107</f>
        <v>-9.0787499999997294</v>
      </c>
      <c r="AD108" s="99">
        <f>AD109-AD106-AD107</f>
        <v>-162.18174999999994</v>
      </c>
      <c r="AE108" s="93">
        <f>SUM(AA108:AD108)</f>
        <v>-188.32300000000001</v>
      </c>
      <c r="AF108" s="92"/>
      <c r="AG108" s="98">
        <f>AG109-AG106-AG107</f>
        <v>-70.915000000000092</v>
      </c>
      <c r="AH108" s="92">
        <f>AH109-AH106-AH107</f>
        <v>-5.4920000000002602</v>
      </c>
      <c r="AI108" s="92">
        <f>AI109-AI106-AI107</f>
        <v>-222.346</v>
      </c>
      <c r="AJ108" s="99">
        <f>AJ109-AJ106-AJ107</f>
        <v>-32.090999999999582</v>
      </c>
      <c r="AK108" s="93">
        <f>SUM(AG108:AJ108)</f>
        <v>-330.84399999999994</v>
      </c>
      <c r="AL108" s="92"/>
      <c r="AM108" s="98">
        <f>AM109-AM106-AM107</f>
        <v>-26.506000000000185</v>
      </c>
      <c r="AN108" s="92">
        <f>AN109-AN106-AN107</f>
        <v>-67.85299999999981</v>
      </c>
      <c r="AO108" s="92">
        <f>AO109-AO106-AO107</f>
        <v>-73.220000000000113</v>
      </c>
      <c r="AP108" s="99">
        <f>AP109-AP106-AP107</f>
        <v>-38.538000000000025</v>
      </c>
      <c r="AQ108" s="93">
        <f>SUM(AM108:AP108)</f>
        <v>-206.11700000000013</v>
      </c>
      <c r="AR108" s="92"/>
      <c r="AS108" s="98">
        <f>AS109-AS106-AS107</f>
        <v>-25.75</v>
      </c>
      <c r="AT108" s="92">
        <f>AT109-AT106-AT107</f>
        <v>-24.75</v>
      </c>
      <c r="AU108" s="92">
        <f>AU109-AU106-AU107</f>
        <v>-39.75</v>
      </c>
      <c r="AV108" s="99">
        <f>AV109-AV106-AV107</f>
        <v>-147.25</v>
      </c>
      <c r="AW108" s="93">
        <f>SUM(AS108:AV108)</f>
        <v>-237.5</v>
      </c>
      <c r="AX108" s="92"/>
      <c r="AY108" s="98">
        <f>AY109-AY106-AY107</f>
        <v>-76.5</v>
      </c>
      <c r="AZ108" s="92">
        <f>AZ109-AZ106-AZ107</f>
        <v>-163</v>
      </c>
      <c r="BA108" s="92">
        <f>BA109-BA106-BA107</f>
        <v>-26.5</v>
      </c>
      <c r="BB108" s="99">
        <f>BB109-BB106-BB107</f>
        <v>-157.5</v>
      </c>
      <c r="BC108" s="93">
        <f>SUM(AY108:BB108)</f>
        <v>-423.5</v>
      </c>
      <c r="BD108" s="92"/>
      <c r="BE108" s="98">
        <f>BE109-BE106-BE107</f>
        <v>-70</v>
      </c>
      <c r="BF108" s="92">
        <f>BF109-BF106-BF107</f>
        <v>-35</v>
      </c>
      <c r="BG108" s="92">
        <f>BG109-BG106-BG107</f>
        <v>-61</v>
      </c>
      <c r="BH108" s="99">
        <f>BH109-BH106-BH107</f>
        <v>-95</v>
      </c>
      <c r="BI108" s="93">
        <f>SUM(BE108:BH108)</f>
        <v>-261</v>
      </c>
      <c r="BJ108" s="92"/>
      <c r="BK108" s="98">
        <f>BK109-BK106-BK107</f>
        <v>-369</v>
      </c>
      <c r="BL108" s="92">
        <f>BL109-BL106-BL107</f>
        <v>7</v>
      </c>
      <c r="BM108" s="92">
        <f>BM109-BM106-BM107</f>
        <v>7</v>
      </c>
      <c r="BN108" s="99">
        <f>BN109-BN106-BN107</f>
        <v>33</v>
      </c>
      <c r="BO108" s="93">
        <f>SUM(BK108:BN108)</f>
        <v>-322</v>
      </c>
      <c r="BP108" s="92"/>
      <c r="BQ108" s="98">
        <f>BQ109-BQ106-BQ107</f>
        <v>-58</v>
      </c>
      <c r="BR108" s="105">
        <v>0</v>
      </c>
      <c r="BS108" s="105">
        <v>0</v>
      </c>
      <c r="BT108" s="106">
        <v>0</v>
      </c>
      <c r="BU108" s="93">
        <f>SUM(BQ108:BT108)</f>
        <v>-58</v>
      </c>
      <c r="BV108" s="92"/>
      <c r="BW108" s="104">
        <v>0</v>
      </c>
      <c r="BX108" s="105">
        <v>0</v>
      </c>
      <c r="BY108" s="105">
        <v>0</v>
      </c>
      <c r="BZ108" s="106">
        <v>0</v>
      </c>
      <c r="CA108" s="93">
        <f>SUM(BW108:BZ108)</f>
        <v>0</v>
      </c>
      <c r="CB108" s="92"/>
      <c r="CC108" s="104">
        <v>0</v>
      </c>
      <c r="CD108" s="105">
        <v>0</v>
      </c>
      <c r="CE108" s="105">
        <v>0</v>
      </c>
      <c r="CF108" s="106">
        <v>0</v>
      </c>
      <c r="CG108" s="93">
        <f>SUM(CC108:CF108)</f>
        <v>0</v>
      </c>
      <c r="CH108" s="92"/>
      <c r="CI108" s="104">
        <v>0</v>
      </c>
      <c r="CJ108" s="105">
        <v>0</v>
      </c>
      <c r="CK108" s="105">
        <v>0</v>
      </c>
      <c r="CL108" s="106">
        <v>0</v>
      </c>
      <c r="CM108" s="93">
        <f>SUM(CI108:CL108)</f>
        <v>0</v>
      </c>
      <c r="CQ108"/>
      <c r="CR108"/>
      <c r="CS108"/>
      <c r="CT108"/>
      <c r="CU108"/>
      <c r="CV108"/>
    </row>
    <row r="109" spans="1:101" s="61" customFormat="1" hidden="1" outlineLevel="1" x14ac:dyDescent="0.2">
      <c r="A109" s="189" t="s">
        <v>195</v>
      </c>
      <c r="B109" s="92"/>
      <c r="C109" s="104">
        <v>2682.42</v>
      </c>
      <c r="D109" s="105">
        <v>2741.3649999999998</v>
      </c>
      <c r="E109" s="105">
        <v>2802.1550000000002</v>
      </c>
      <c r="F109" s="106">
        <v>2856.777</v>
      </c>
      <c r="G109" s="93">
        <f>SUM(G106:G108)</f>
        <v>2856.777</v>
      </c>
      <c r="H109" s="92"/>
      <c r="I109" s="104">
        <v>2924.1750000000002</v>
      </c>
      <c r="J109" s="105">
        <v>3035.3939999999998</v>
      </c>
      <c r="K109" s="105">
        <v>3104.1759999999999</v>
      </c>
      <c r="L109" s="106">
        <v>3053.5210000000002</v>
      </c>
      <c r="M109" s="93">
        <f>SUM(M106:M108)</f>
        <v>3053.5210000000002</v>
      </c>
      <c r="N109" s="92"/>
      <c r="O109" s="104">
        <v>3072.2510000000002</v>
      </c>
      <c r="P109" s="105">
        <v>3069.1419999999998</v>
      </c>
      <c r="Q109" s="105">
        <v>3196.14</v>
      </c>
      <c r="R109" s="106">
        <v>3274.7</v>
      </c>
      <c r="S109" s="93">
        <f>SUM(S106:S108)</f>
        <v>3274.7</v>
      </c>
      <c r="T109" s="92"/>
      <c r="U109" s="104">
        <v>3364.7919999999999</v>
      </c>
      <c r="V109" s="105">
        <v>3339.12</v>
      </c>
      <c r="W109" s="105">
        <v>3304.1</v>
      </c>
      <c r="X109" s="106">
        <v>3431.57</v>
      </c>
      <c r="Y109" s="93">
        <f>SUM(Y106:Y108)</f>
        <v>3431.57</v>
      </c>
      <c r="Z109" s="92"/>
      <c r="AA109" s="104">
        <v>3493.5259999999998</v>
      </c>
      <c r="AB109" s="105">
        <v>3623.8829999999998</v>
      </c>
      <c r="AC109" s="105">
        <v>3721.2080000000001</v>
      </c>
      <c r="AD109" s="106">
        <v>3669.0120000000002</v>
      </c>
      <c r="AE109" s="93">
        <f>SUM(AE106:AE108)</f>
        <v>3669.0120000000002</v>
      </c>
      <c r="AF109" s="92"/>
      <c r="AG109" s="104">
        <v>3708.2950000000001</v>
      </c>
      <c r="AH109" s="105">
        <v>3807.3359999999998</v>
      </c>
      <c r="AI109" s="105">
        <v>3676.2</v>
      </c>
      <c r="AJ109" s="106">
        <v>3742.1170000000002</v>
      </c>
      <c r="AK109" s="93">
        <f>SUM(AK106:AK108)</f>
        <v>3742.1170000000002</v>
      </c>
      <c r="AL109" s="92"/>
      <c r="AM109" s="104">
        <v>3815.625</v>
      </c>
      <c r="AN109" s="105">
        <v>3853.4160000000002</v>
      </c>
      <c r="AO109" s="105">
        <v>3887.3420000000001</v>
      </c>
      <c r="AP109" s="106">
        <v>3961</v>
      </c>
      <c r="AQ109" s="93">
        <f>SUM(AQ106:AQ108)</f>
        <v>3961</v>
      </c>
      <c r="AR109" s="473"/>
      <c r="AS109" s="104">
        <v>4046</v>
      </c>
      <c r="AT109" s="105">
        <v>4120</v>
      </c>
      <c r="AU109" s="360">
        <v>4190</v>
      </c>
      <c r="AV109" s="106">
        <v>4160.5</v>
      </c>
      <c r="AW109" s="93">
        <f>AV109</f>
        <v>4160.5</v>
      </c>
      <c r="AX109" s="473"/>
      <c r="AY109" s="95">
        <v>4193</v>
      </c>
      <c r="AZ109" s="96">
        <v>4138</v>
      </c>
      <c r="BA109" s="96">
        <v>4236</v>
      </c>
      <c r="BB109" s="97">
        <v>4217</v>
      </c>
      <c r="BC109" s="93">
        <f>BB109</f>
        <v>4217</v>
      </c>
      <c r="BD109" s="473"/>
      <c r="BE109" s="95">
        <v>4284</v>
      </c>
      <c r="BF109" s="96">
        <v>4391</v>
      </c>
      <c r="BG109" s="96">
        <v>4469</v>
      </c>
      <c r="BH109" s="97">
        <v>4518</v>
      </c>
      <c r="BI109" s="93">
        <f>BH109</f>
        <v>4518</v>
      </c>
      <c r="BJ109" s="473"/>
      <c r="BK109" s="95">
        <v>4274</v>
      </c>
      <c r="BL109" s="96">
        <v>4411</v>
      </c>
      <c r="BM109" s="96">
        <v>4565</v>
      </c>
      <c r="BN109" s="97">
        <f>4752-1</f>
        <v>4751</v>
      </c>
      <c r="BO109" s="93">
        <f>BN109</f>
        <v>4751</v>
      </c>
      <c r="BP109" s="473"/>
      <c r="BQ109" s="95">
        <v>4848</v>
      </c>
      <c r="BR109" s="92">
        <f>SUM(BR106:BR108)</f>
        <v>5022.2931034482763</v>
      </c>
      <c r="BS109" s="92">
        <f>SUM(BS106:BS108)</f>
        <v>5200.4655172413795</v>
      </c>
      <c r="BT109" s="99">
        <f>SUM(BT106:BT108)</f>
        <v>5382.5172413793107</v>
      </c>
      <c r="BU109" s="93">
        <f>BT109</f>
        <v>5382.5172413793107</v>
      </c>
      <c r="BV109" s="473"/>
      <c r="BW109" s="98">
        <f>SUM(BW106:BW108)</f>
        <v>5568.4482758620697</v>
      </c>
      <c r="BX109" s="92">
        <f>SUM(BX106:BX108)</f>
        <v>5758.0000000000009</v>
      </c>
      <c r="BY109" s="92">
        <f>SUM(BY106:BY108)</f>
        <v>5951.1724137931042</v>
      </c>
      <c r="BZ109" s="99">
        <f>SUM(BZ106:BZ108)</f>
        <v>6147.9655172413804</v>
      </c>
      <c r="CA109" s="93">
        <f>BZ109</f>
        <v>6147.9655172413804</v>
      </c>
      <c r="CB109" s="473"/>
      <c r="CC109" s="98">
        <f>SUM(CC106:CC108)</f>
        <v>6348.3793103448288</v>
      </c>
      <c r="CD109" s="92">
        <f>SUM(CD106:CD108)</f>
        <v>6552.4137931034493</v>
      </c>
      <c r="CE109" s="92">
        <f>SUM(CE106:CE108)</f>
        <v>6760.0689655172428</v>
      </c>
      <c r="CF109" s="99">
        <f>SUM(CF106:CF108)</f>
        <v>6971.3448275862083</v>
      </c>
      <c r="CG109" s="93">
        <f>CF109</f>
        <v>6971.3448275862083</v>
      </c>
      <c r="CH109" s="473"/>
      <c r="CI109" s="98">
        <f>SUM(CI106:CI108)</f>
        <v>7186.241379310346</v>
      </c>
      <c r="CJ109" s="92">
        <f>SUM(CJ106:CJ108)</f>
        <v>7404.7586206896567</v>
      </c>
      <c r="CK109" s="92">
        <f>SUM(CK106:CK108)</f>
        <v>7626.8965517241395</v>
      </c>
      <c r="CL109" s="99">
        <f>SUM(CL106:CL108)</f>
        <v>7852.6551724137944</v>
      </c>
      <c r="CM109" s="93">
        <f>CL109</f>
        <v>7852.6551724137944</v>
      </c>
      <c r="CQ109"/>
      <c r="CR109"/>
      <c r="CS109"/>
      <c r="CT109"/>
      <c r="CU109"/>
      <c r="CV109"/>
      <c r="CW109" s="11"/>
    </row>
    <row r="110" spans="1:101" s="11" customFormat="1" hidden="1" outlineLevel="1" x14ac:dyDescent="0.2">
      <c r="A110" s="189"/>
      <c r="B110" s="15"/>
      <c r="C110" s="98"/>
      <c r="D110" s="92"/>
      <c r="E110" s="92"/>
      <c r="F110" s="99"/>
      <c r="G110" s="93"/>
      <c r="H110" s="92"/>
      <c r="I110" s="98"/>
      <c r="J110" s="92"/>
      <c r="K110" s="92"/>
      <c r="L110" s="99"/>
      <c r="M110" s="93"/>
      <c r="N110" s="382"/>
      <c r="O110" s="98"/>
      <c r="P110" s="92"/>
      <c r="Q110" s="92"/>
      <c r="R110" s="99"/>
      <c r="S110" s="93"/>
      <c r="T110" s="92"/>
      <c r="U110" s="98"/>
      <c r="V110" s="92"/>
      <c r="W110" s="92"/>
      <c r="X110" s="99"/>
      <c r="Y110" s="93"/>
      <c r="Z110" s="92"/>
      <c r="AA110" s="98"/>
      <c r="AB110" s="92"/>
      <c r="AC110" s="92"/>
      <c r="AD110" s="99"/>
      <c r="AE110" s="93"/>
      <c r="AF110" s="92"/>
      <c r="AG110" s="98"/>
      <c r="AH110" s="92"/>
      <c r="AI110" s="92"/>
      <c r="AJ110" s="99"/>
      <c r="AK110" s="93"/>
      <c r="AL110" s="92"/>
      <c r="AM110" s="98"/>
      <c r="AN110" s="92"/>
      <c r="AO110" s="92"/>
      <c r="AP110" s="99"/>
      <c r="AQ110" s="93"/>
      <c r="AR110" s="92"/>
      <c r="AS110" s="98"/>
      <c r="AT110" s="92"/>
      <c r="AU110" s="92"/>
      <c r="AV110" s="99"/>
      <c r="AW110" s="93"/>
      <c r="AX110" s="92"/>
      <c r="AY110" s="98"/>
      <c r="AZ110" s="92"/>
      <c r="BA110" s="92"/>
      <c r="BB110" s="99"/>
      <c r="BC110" s="93"/>
      <c r="BD110" s="92"/>
      <c r="BE110" s="98"/>
      <c r="BF110" s="92"/>
      <c r="BG110" s="92"/>
      <c r="BH110" s="99"/>
      <c r="BI110" s="93"/>
      <c r="BJ110" s="92"/>
      <c r="BK110" s="98"/>
      <c r="BL110" s="92"/>
      <c r="BM110" s="92"/>
      <c r="BN110" s="99"/>
      <c r="BO110" s="93"/>
      <c r="BP110" s="92"/>
      <c r="BQ110" s="98"/>
      <c r="BR110" s="92"/>
      <c r="BS110" s="92"/>
      <c r="BT110" s="99"/>
      <c r="BU110" s="93"/>
      <c r="BV110" s="92"/>
      <c r="BW110" s="98"/>
      <c r="BX110" s="92"/>
      <c r="BY110" s="92"/>
      <c r="BZ110" s="99"/>
      <c r="CA110" s="93"/>
      <c r="CB110" s="92"/>
      <c r="CC110" s="98"/>
      <c r="CD110" s="92"/>
      <c r="CE110" s="92"/>
      <c r="CF110" s="99"/>
      <c r="CG110" s="93"/>
      <c r="CH110" s="92"/>
      <c r="CI110" s="98"/>
      <c r="CJ110" s="92"/>
      <c r="CK110" s="92"/>
      <c r="CL110" s="99"/>
      <c r="CM110" s="93"/>
      <c r="CQ110"/>
      <c r="CR110"/>
      <c r="CS110"/>
      <c r="CT110"/>
      <c r="CU110"/>
      <c r="CV110"/>
    </row>
    <row r="111" spans="1:101" s="11" customFormat="1" hidden="1" outlineLevel="1" x14ac:dyDescent="0.2">
      <c r="A111" s="189" t="s">
        <v>196</v>
      </c>
      <c r="B111" s="15"/>
      <c r="C111" s="391">
        <f>C102/IS!C7</f>
        <v>7.3644020048830069E-2</v>
      </c>
      <c r="D111" s="392">
        <f>D102/IS!D7</f>
        <v>7.9101630664461825E-2</v>
      </c>
      <c r="E111" s="392">
        <f>E102/IS!E7</f>
        <v>8.0128301410224256E-2</v>
      </c>
      <c r="F111" s="393">
        <f>F102/IS!F7</f>
        <v>0.11535030261625423</v>
      </c>
      <c r="G111" s="394">
        <f>G102/IS!G7</f>
        <v>8.7487239996251395E-2</v>
      </c>
      <c r="H111" s="92"/>
      <c r="I111" s="391">
        <f>I102/IS!I7</f>
        <v>7.1039010603441144E-2</v>
      </c>
      <c r="J111" s="392">
        <f>J102/IS!J7</f>
        <v>8.2873620790818156E-2</v>
      </c>
      <c r="K111" s="392">
        <f>K102/IS!K7</f>
        <v>8.1635242890830309E-2</v>
      </c>
      <c r="L111" s="393">
        <f>L102/IS!L7</f>
        <v>0.10000375892540495</v>
      </c>
      <c r="M111" s="394">
        <f>M102/IS!M7</f>
        <v>8.41236007546768E-2</v>
      </c>
      <c r="N111" s="382"/>
      <c r="O111" s="391">
        <f>O102/IS!O7</f>
        <v>5.7035002283121396E-2</v>
      </c>
      <c r="P111" s="392">
        <f>P102/IS!P7</f>
        <v>7.5906845649386684E-2</v>
      </c>
      <c r="Q111" s="392">
        <f>Q102/IS!Q7</f>
        <v>7.3675600607742919E-2</v>
      </c>
      <c r="R111" s="393">
        <f>R102/IS!R7</f>
        <v>0.12784900726690013</v>
      </c>
      <c r="S111" s="394">
        <f>S102/IS!S7</f>
        <v>8.4603766973982933E-2</v>
      </c>
      <c r="T111" s="92"/>
      <c r="U111" s="391">
        <f>U102/IS!U7</f>
        <v>5.9697627056246247E-2</v>
      </c>
      <c r="V111" s="392">
        <f>V102/IS!V7</f>
        <v>6.5595426053776551E-2</v>
      </c>
      <c r="W111" s="392">
        <f>W102/IS!W7</f>
        <v>5.4829535679232905E-2</v>
      </c>
      <c r="X111" s="393">
        <f>X102/IS!X7</f>
        <v>0.11067774577660097</v>
      </c>
      <c r="Y111" s="394">
        <f>Y102/IS!Y7</f>
        <v>7.2881406740579954E-2</v>
      </c>
      <c r="Z111" s="92"/>
      <c r="AA111" s="391">
        <f>AA102/IS!AA7</f>
        <v>4.477070364673031E-2</v>
      </c>
      <c r="AB111" s="392">
        <f>AB102/IS!AB7</f>
        <v>6.1187328484038059E-2</v>
      </c>
      <c r="AC111" s="392">
        <f>AC102/IS!AC7</f>
        <v>6.5362323369822756E-2</v>
      </c>
      <c r="AD111" s="393">
        <f>AD102/IS!AD7</f>
        <v>9.7635476850447725E-2</v>
      </c>
      <c r="AE111" s="394">
        <f>AE102/IS!AE7</f>
        <v>6.7956545099980184E-2</v>
      </c>
      <c r="AF111" s="92"/>
      <c r="AG111" s="391">
        <f>AG102/IS!AG7</f>
        <v>5.6587797261590203E-2</v>
      </c>
      <c r="AH111" s="392">
        <f>AH102/IS!AH7</f>
        <v>5.7472908990902356E-2</v>
      </c>
      <c r="AI111" s="392">
        <f>AI102/IS!AI7</f>
        <v>4.9968947705917102E-2</v>
      </c>
      <c r="AJ111" s="393">
        <f>AJ102/IS!AJ7</f>
        <v>8.8425968052599405E-2</v>
      </c>
      <c r="AK111" s="394">
        <f>AK102/IS!AK7</f>
        <v>6.323376293494537E-2</v>
      </c>
      <c r="AL111" s="92"/>
      <c r="AM111" s="391">
        <f>AM102/IS!AM7</f>
        <v>4.230361984473148E-2</v>
      </c>
      <c r="AN111" s="392">
        <f>AN102/IS!AN7</f>
        <v>5.8463038180341181E-2</v>
      </c>
      <c r="AO111" s="392">
        <f>AO102/IS!AO7</f>
        <v>6.902785843177453E-2</v>
      </c>
      <c r="AP111" s="393">
        <f>AP102/IS!AP7</f>
        <v>8.7131428571428568E-2</v>
      </c>
      <c r="AQ111" s="394">
        <f>AQ102/IS!AQ7</f>
        <v>6.4818704442974509E-2</v>
      </c>
      <c r="AR111" s="92"/>
      <c r="AS111" s="391">
        <f>AS102/IS!AS7</f>
        <v>4.9133952057174052E-2</v>
      </c>
      <c r="AT111" s="392">
        <f>AT102/IS!AT7</f>
        <v>5.5501930501930502E-2</v>
      </c>
      <c r="AU111" s="392">
        <f>AU102/IS!AU7</f>
        <v>5.7956231454005927E-2</v>
      </c>
      <c r="AV111" s="393">
        <f>AV102/IS!AV7</f>
        <v>0.11489607128097765</v>
      </c>
      <c r="AW111" s="394">
        <f>AW102/IS!AW7</f>
        <v>7.0094924156581639E-2</v>
      </c>
      <c r="AX111" s="92"/>
      <c r="AY111" s="391">
        <f>AY102/IS!AY7</f>
        <v>5.1191044979864847E-2</v>
      </c>
      <c r="AZ111" s="392">
        <f>AZ102/IS!AZ7</f>
        <v>7.1691579897095764E-2</v>
      </c>
      <c r="BA111" s="392">
        <f>BA102/IS!BA7</f>
        <v>4.3089690392594956E-2</v>
      </c>
      <c r="BB111" s="393">
        <f>BB102/IS!BB7</f>
        <v>6.8144766873165966E-2</v>
      </c>
      <c r="BC111" s="394">
        <f>BC102/IS!BC7</f>
        <v>5.7855146632704274E-2</v>
      </c>
      <c r="BD111" s="92"/>
      <c r="BE111" s="391">
        <f>BE102/IS!BE7</f>
        <v>4.4782504077213063E-2</v>
      </c>
      <c r="BF111" s="392">
        <f>BF102/IS!BF7</f>
        <v>4.0377727124715074E-2</v>
      </c>
      <c r="BG111" s="392">
        <f>BG102/IS!BG7</f>
        <v>4.5937499999999999E-2</v>
      </c>
      <c r="BH111" s="393">
        <f>BH102/IS!BH7</f>
        <v>8.9053803339517623E-2</v>
      </c>
      <c r="BI111" s="394">
        <f>BI102/IS!BI7</f>
        <v>5.5452243855443284E-2</v>
      </c>
      <c r="BJ111" s="92"/>
      <c r="BK111" s="391">
        <f>BK102/IS!BK7</f>
        <v>3.8329911019849415E-2</v>
      </c>
      <c r="BL111" s="392">
        <f>BL102/IS!BL7</f>
        <v>5.3890198720107779E-2</v>
      </c>
      <c r="BM111" s="392">
        <f>BM102/IS!BM7</f>
        <v>6.4250411861614495E-2</v>
      </c>
      <c r="BN111" s="393">
        <f>BN102/IS!BN7</f>
        <v>8.2109844022877077E-2</v>
      </c>
      <c r="BO111" s="394">
        <f>BO102/IS!BO7</f>
        <v>6.0119958751258015E-2</v>
      </c>
      <c r="BP111" s="92"/>
      <c r="BQ111" s="391">
        <f>BQ102/IS!BQ7</f>
        <v>5.7792207792207791E-2</v>
      </c>
      <c r="BR111" s="392">
        <f>BR102/IS!BR7</f>
        <v>5.4079375544248832E-2</v>
      </c>
      <c r="BS111" s="392">
        <f>BS102/IS!BS7</f>
        <v>5.2324303708862915E-2</v>
      </c>
      <c r="BT111" s="393">
        <f>BT102/IS!BT7</f>
        <v>5.1608238876876274E-2</v>
      </c>
      <c r="BU111" s="394">
        <f>BU102/IS!BU7</f>
        <v>5.3646364798425203E-2</v>
      </c>
      <c r="BV111" s="92"/>
      <c r="BW111" s="391">
        <f>BW102/IS!BW7</f>
        <v>4.8585992664050767E-2</v>
      </c>
      <c r="BX111" s="392">
        <f>BX102/IS!BX7</f>
        <v>4.78798353732761E-2</v>
      </c>
      <c r="BY111" s="392">
        <f>BY102/IS!BY7</f>
        <v>4.6378277970087749E-2</v>
      </c>
      <c r="BZ111" s="393">
        <f>BZ102/IS!BZ7</f>
        <v>4.5749088428519533E-2</v>
      </c>
      <c r="CA111" s="394">
        <f>CA102/IS!CA7</f>
        <v>4.7120989937995267E-2</v>
      </c>
      <c r="CB111" s="92"/>
      <c r="CC111" s="391">
        <f>CC102/IS!CC7</f>
        <v>4.6124419285199954E-2</v>
      </c>
      <c r="CD111" s="392">
        <f>CD102/IS!CD7</f>
        <v>4.5473567595010721E-2</v>
      </c>
      <c r="CE111" s="392">
        <f>CE102/IS!CE7</f>
        <v>4.4026386078634232E-2</v>
      </c>
      <c r="CF111" s="393">
        <f>CF102/IS!CF7</f>
        <v>4.343434863673349E-2</v>
      </c>
      <c r="CG111" s="394">
        <f>CG102/IS!CG7</f>
        <v>4.4738629929667102E-2</v>
      </c>
      <c r="CH111" s="92"/>
      <c r="CI111" s="391">
        <f>CI102/IS!CI7</f>
        <v>4.3775083592653842E-2</v>
      </c>
      <c r="CJ111" s="392">
        <f>CJ102/IS!CJ7</f>
        <v>4.3176409830350974E-2</v>
      </c>
      <c r="CK111" s="392">
        <f>CK102/IS!CK7</f>
        <v>4.1782018693136497E-2</v>
      </c>
      <c r="CL111" s="393">
        <f>CL102/IS!CL7</f>
        <v>4.1225258681878089E-2</v>
      </c>
      <c r="CM111" s="394">
        <f>CM102/IS!CM7</f>
        <v>4.2464848795650614E-2</v>
      </c>
      <c r="CQ111"/>
      <c r="CR111"/>
      <c r="CS111"/>
      <c r="CT111"/>
      <c r="CU111"/>
      <c r="CV111"/>
    </row>
    <row r="112" spans="1:101" s="11" customFormat="1" hidden="1" outlineLevel="1" x14ac:dyDescent="0.2">
      <c r="A112" s="189" t="s">
        <v>197</v>
      </c>
      <c r="B112" s="15"/>
      <c r="C112" s="98">
        <f>C104/C107/4</f>
        <v>14.781682848684929</v>
      </c>
      <c r="D112" s="92">
        <f>D104/D107/4</f>
        <v>15.161334925140398</v>
      </c>
      <c r="E112" s="92">
        <f>E104/E107/4</f>
        <v>15.559394301168272</v>
      </c>
      <c r="F112" s="99">
        <f>F104/F107/4</f>
        <v>16.139434380596196</v>
      </c>
      <c r="G112" s="93">
        <f>G104/G107</f>
        <v>16.139434380596196</v>
      </c>
      <c r="H112" s="92"/>
      <c r="I112" s="98">
        <f>I104/I107/4</f>
        <v>14.787839684847757</v>
      </c>
      <c r="J112" s="92">
        <f>J104/J107/4</f>
        <v>15.18280030445802</v>
      </c>
      <c r="K112" s="92">
        <f>K104/K107/4</f>
        <v>15.598731970547234</v>
      </c>
      <c r="L112" s="99">
        <f>L104/L107/4</f>
        <v>16.099532673310545</v>
      </c>
      <c r="M112" s="93">
        <f>M104/M107</f>
        <v>16.099532673310541</v>
      </c>
      <c r="N112" s="382"/>
      <c r="O112" s="98">
        <f>O104/O107/4</f>
        <v>16.101234826455734</v>
      </c>
      <c r="P112" s="92">
        <f>P104/P107/4</f>
        <v>16.291178668993275</v>
      </c>
      <c r="Q112" s="92">
        <f>Q104/Q107/4</f>
        <v>16.492958971938716</v>
      </c>
      <c r="R112" s="99">
        <f>R104/R107/4</f>
        <v>17.253302542379643</v>
      </c>
      <c r="S112" s="93">
        <f>S104/S107</f>
        <v>17.267573605681005</v>
      </c>
      <c r="T112" s="92"/>
      <c r="U112" s="98">
        <f>U104/U107/4</f>
        <v>15.747691141087794</v>
      </c>
      <c r="V112" s="92">
        <f>V104/V107/4</f>
        <v>15.764060832756826</v>
      </c>
      <c r="W112" s="92">
        <f>W104/W107/4</f>
        <v>15.483857789680332</v>
      </c>
      <c r="X112" s="99">
        <f>X104/X107/4</f>
        <v>17.585827252282115</v>
      </c>
      <c r="Y112" s="93">
        <f>Y104/Y107</f>
        <v>16.676608948765576</v>
      </c>
      <c r="Z112" s="92"/>
      <c r="AA112" s="98">
        <f>AA104/AA107/4</f>
        <v>16.821085082773585</v>
      </c>
      <c r="AB112" s="92">
        <f>AB104/AB107/4</f>
        <v>17.412440369007072</v>
      </c>
      <c r="AC112" s="92">
        <f>AC104/AC107/4</f>
        <v>17.271498889841759</v>
      </c>
      <c r="AD112" s="99">
        <f>AD104/AD107/4</f>
        <v>17.150235371400381</v>
      </c>
      <c r="AE112" s="93">
        <f>AE104/AE107</f>
        <v>17.721339236433248</v>
      </c>
      <c r="AF112" s="92"/>
      <c r="AG112" s="98">
        <f>AG104/AG107/4</f>
        <v>17.352354398446433</v>
      </c>
      <c r="AH112" s="92">
        <f>AH104/AH107/4</f>
        <v>18.557876460065248</v>
      </c>
      <c r="AI112" s="92">
        <f>AI104/AI107/4</f>
        <v>21.539872272777099</v>
      </c>
      <c r="AJ112" s="99">
        <f>AJ104/AJ107/4</f>
        <v>17.973137396947198</v>
      </c>
      <c r="AK112" s="93">
        <f>AK104/AK107</f>
        <v>19.885074601001616</v>
      </c>
      <c r="AL112" s="92"/>
      <c r="AM112" s="98">
        <f>AM104/AM107/4</f>
        <v>17.828511508388829</v>
      </c>
      <c r="AN112" s="92">
        <f>AN104/AN107/4</f>
        <v>16.96352845405324</v>
      </c>
      <c r="AO112" s="92">
        <f>AO104/AO107/4</f>
        <v>16.890513878259565</v>
      </c>
      <c r="AP112" s="99">
        <f>AP104/AP107/4</f>
        <v>16.571446397376032</v>
      </c>
      <c r="AQ112" s="93">
        <f>AQ104/AQ107</f>
        <v>17.498823529411769</v>
      </c>
      <c r="AR112" s="92"/>
      <c r="AS112" s="98">
        <f>AS104/AS107/4</f>
        <v>17.02257336343115</v>
      </c>
      <c r="AT112" s="92">
        <f>AT104/AT107/4</f>
        <v>19.321518987341772</v>
      </c>
      <c r="AU112" s="92">
        <f>AU104/AU107/4</f>
        <v>17.633257403189067</v>
      </c>
      <c r="AV112" s="99">
        <f>AV104/AV107/4</f>
        <v>16.485138004246284</v>
      </c>
      <c r="AW112" s="93">
        <f>AW104/AW107</f>
        <v>17.767734553775743</v>
      </c>
      <c r="AX112" s="92"/>
      <c r="AY112" s="98">
        <f>AY104/AY107/4</f>
        <v>17.793577981651374</v>
      </c>
      <c r="AZ112" s="92">
        <f>AZ104/AZ107/4</f>
        <v>18.819444444444443</v>
      </c>
      <c r="BA112" s="92">
        <f>BA104/BA107/4</f>
        <v>16.632530120481928</v>
      </c>
      <c r="BB112" s="99">
        <f>BB104/BB107/4</f>
        <v>14.940433212996389</v>
      </c>
      <c r="BC112" s="93">
        <f>BC104/BC107</f>
        <v>17.243749999999999</v>
      </c>
      <c r="BD112" s="92"/>
      <c r="BE112" s="98">
        <f>BE104/BE107/4</f>
        <v>15.038321167883211</v>
      </c>
      <c r="BF112" s="92">
        <f>BF104/BF107/4</f>
        <v>14.383802816901408</v>
      </c>
      <c r="BG112" s="92">
        <f>BG104/BG107/4</f>
        <v>14.89568345323741</v>
      </c>
      <c r="BH112" s="99">
        <f>BH104/BH107/4</f>
        <v>14.616319444444445</v>
      </c>
      <c r="BI112" s="93">
        <f>BI104/BI107</f>
        <v>14.980427046263346</v>
      </c>
      <c r="BJ112" s="92"/>
      <c r="BK112" s="98">
        <f>BK104/BK107/4</f>
        <v>16.202000000000002</v>
      </c>
      <c r="BL112" s="92">
        <f>BL104/BL107/4</f>
        <v>16.059615384615384</v>
      </c>
      <c r="BM112" s="92">
        <f>BM104/BM107/4</f>
        <v>15.263605442176871</v>
      </c>
      <c r="BN112" s="99">
        <f>BN104/BN107/4</f>
        <v>15.341503267973856</v>
      </c>
      <c r="BO112" s="93">
        <f>BO104/BO107</f>
        <v>16.917117117117119</v>
      </c>
      <c r="BP112" s="92"/>
      <c r="BQ112" s="104">
        <v>14.5</v>
      </c>
      <c r="BR112" s="105">
        <f>BQ112</f>
        <v>14.5</v>
      </c>
      <c r="BS112" s="105">
        <f>BR112</f>
        <v>14.5</v>
      </c>
      <c r="BT112" s="106">
        <f>BS112</f>
        <v>14.5</v>
      </c>
      <c r="BU112" s="93">
        <f>BU104/BU107</f>
        <v>15.639927985597119</v>
      </c>
      <c r="BV112" s="92"/>
      <c r="BW112" s="104">
        <v>14.5</v>
      </c>
      <c r="BX112" s="105">
        <f>BW112</f>
        <v>14.5</v>
      </c>
      <c r="BY112" s="105">
        <f>BX112</f>
        <v>14.5</v>
      </c>
      <c r="BZ112" s="106">
        <f>BY112</f>
        <v>14.5</v>
      </c>
      <c r="CA112" s="93">
        <f>CA104/CA107</f>
        <v>15.185872601135236</v>
      </c>
      <c r="CB112" s="92"/>
      <c r="CC112" s="104">
        <v>14.5</v>
      </c>
      <c r="CD112" s="105">
        <f>CC112</f>
        <v>14.5</v>
      </c>
      <c r="CE112" s="105">
        <f>CD112</f>
        <v>14.5</v>
      </c>
      <c r="CF112" s="106">
        <f>CE112</f>
        <v>14.5</v>
      </c>
      <c r="CG112" s="93">
        <f>CG104/CG107</f>
        <v>15.137616215763464</v>
      </c>
      <c r="CH112" s="92"/>
      <c r="CI112" s="104">
        <v>14.5</v>
      </c>
      <c r="CJ112" s="105">
        <f>CI112</f>
        <v>14.5</v>
      </c>
      <c r="CK112" s="105">
        <f>CJ112</f>
        <v>14.5</v>
      </c>
      <c r="CL112" s="106">
        <f>CK112</f>
        <v>14.5</v>
      </c>
      <c r="CM112" s="93">
        <f>CM104/CM107</f>
        <v>15.095703889193206</v>
      </c>
      <c r="CQ112"/>
      <c r="CR112"/>
      <c r="CS112"/>
      <c r="CT112"/>
      <c r="CU112"/>
      <c r="CV112"/>
    </row>
    <row r="113" spans="1:100" s="11" customFormat="1" hidden="1" outlineLevel="1" x14ac:dyDescent="0.2">
      <c r="A113" s="189"/>
      <c r="B113" s="15"/>
      <c r="C113" s="98"/>
      <c r="D113" s="92"/>
      <c r="E113" s="92"/>
      <c r="F113" s="99"/>
      <c r="G113" s="93"/>
      <c r="H113" s="92"/>
      <c r="I113" s="98"/>
      <c r="J113" s="92"/>
      <c r="K113" s="92"/>
      <c r="L113" s="99"/>
      <c r="M113" s="93"/>
      <c r="N113" s="382"/>
      <c r="O113" s="98"/>
      <c r="P113" s="92"/>
      <c r="Q113" s="92"/>
      <c r="R113" s="99"/>
      <c r="S113" s="93"/>
      <c r="T113" s="92"/>
      <c r="U113" s="98"/>
      <c r="V113" s="92"/>
      <c r="W113" s="92"/>
      <c r="X113" s="99"/>
      <c r="Y113" s="93"/>
      <c r="Z113" s="92"/>
      <c r="AA113" s="98"/>
      <c r="AB113" s="92"/>
      <c r="AC113" s="92"/>
      <c r="AD113" s="99"/>
      <c r="AE113" s="93"/>
      <c r="AF113" s="92"/>
      <c r="AG113" s="98"/>
      <c r="AH113" s="92"/>
      <c r="AI113" s="92"/>
      <c r="AJ113" s="99"/>
      <c r="AK113" s="93"/>
      <c r="AL113" s="92"/>
      <c r="AM113" s="98"/>
      <c r="AN113" s="92"/>
      <c r="AO113" s="92"/>
      <c r="AP113" s="99"/>
      <c r="AQ113" s="93"/>
      <c r="AR113" s="92"/>
      <c r="AS113" s="98"/>
      <c r="AT113" s="92"/>
      <c r="AU113" s="92"/>
      <c r="AV113" s="99"/>
      <c r="AW113" s="93"/>
      <c r="AX113" s="92"/>
      <c r="AY113" s="98"/>
      <c r="AZ113" s="92"/>
      <c r="BA113" s="92"/>
      <c r="BB113" s="99"/>
      <c r="BC113" s="93"/>
      <c r="BD113" s="92"/>
      <c r="BE113" s="98"/>
      <c r="BF113" s="92"/>
      <c r="BG113" s="92"/>
      <c r="BH113" s="99"/>
      <c r="BI113" s="93"/>
      <c r="BJ113" s="92"/>
      <c r="BK113" s="98"/>
      <c r="BL113" s="92"/>
      <c r="BM113" s="92"/>
      <c r="BN113" s="99"/>
      <c r="BO113" s="93"/>
      <c r="BP113" s="92"/>
      <c r="BQ113" s="98"/>
      <c r="BR113" s="92"/>
      <c r="BS113" s="92"/>
      <c r="BT113" s="99"/>
      <c r="BU113" s="93"/>
      <c r="BV113" s="92"/>
      <c r="BW113" s="98"/>
      <c r="BX113" s="92"/>
      <c r="BY113" s="92"/>
      <c r="BZ113" s="99"/>
      <c r="CA113" s="93"/>
      <c r="CB113" s="92"/>
      <c r="CC113" s="98"/>
      <c r="CD113" s="92"/>
      <c r="CE113" s="92"/>
      <c r="CF113" s="99"/>
      <c r="CG113" s="93"/>
      <c r="CH113" s="92"/>
      <c r="CI113" s="98"/>
      <c r="CJ113" s="92"/>
      <c r="CK113" s="92"/>
      <c r="CL113" s="99"/>
      <c r="CM113" s="93"/>
      <c r="CQ113"/>
      <c r="CR113"/>
      <c r="CS113"/>
      <c r="CT113"/>
      <c r="CU113"/>
      <c r="CV113"/>
    </row>
    <row r="114" spans="1:100" s="11" customFormat="1" hidden="1" outlineLevel="1" x14ac:dyDescent="0.2">
      <c r="A114" s="189" t="s">
        <v>198</v>
      </c>
      <c r="B114" s="15"/>
      <c r="C114" s="98">
        <f>C19</f>
        <v>2206.13</v>
      </c>
      <c r="D114" s="92">
        <f>D19</f>
        <v>2266.2269999999999</v>
      </c>
      <c r="E114" s="92">
        <f>E19</f>
        <v>2334.848</v>
      </c>
      <c r="F114" s="99">
        <f>F19</f>
        <v>2497.3380000000002</v>
      </c>
      <c r="G114" s="93">
        <f>F114</f>
        <v>2497.3380000000002</v>
      </c>
      <c r="H114" s="92"/>
      <c r="I114" s="98">
        <f>I19</f>
        <v>2543.9989999999998</v>
      </c>
      <c r="J114" s="92">
        <f>J19</f>
        <v>2670.4349999999999</v>
      </c>
      <c r="K114" s="92">
        <f>K19</f>
        <v>2741.2249999999999</v>
      </c>
      <c r="L114" s="99">
        <f>L19</f>
        <v>2744.4740000000002</v>
      </c>
      <c r="M114" s="93">
        <f>L114</f>
        <v>2744.4740000000002</v>
      </c>
      <c r="N114" s="382"/>
      <c r="O114" s="98">
        <f>O19</f>
        <v>2694.8110000000001</v>
      </c>
      <c r="P114" s="92">
        <f>P19</f>
        <v>2663.0729999999999</v>
      </c>
      <c r="Q114" s="92">
        <f>Q19</f>
        <v>2782.5010000000002</v>
      </c>
      <c r="R114" s="99">
        <f>R19</f>
        <v>2966.6289999999999</v>
      </c>
      <c r="S114" s="93">
        <f>R114</f>
        <v>2966.6289999999999</v>
      </c>
      <c r="T114" s="92"/>
      <c r="U114" s="98">
        <f>U19</f>
        <v>2999.4259999999999</v>
      </c>
      <c r="V114" s="92">
        <f>V19</f>
        <v>2967.6770000000001</v>
      </c>
      <c r="W114" s="92">
        <f>W19</f>
        <v>2887.393</v>
      </c>
      <c r="X114" s="99">
        <f>X19</f>
        <v>3100.4920000000002</v>
      </c>
      <c r="Y114" s="93">
        <f>X114</f>
        <v>3100.4920000000002</v>
      </c>
      <c r="Z114" s="92"/>
      <c r="AA114" s="98">
        <f>AA19</f>
        <v>3081.855</v>
      </c>
      <c r="AB114" s="92">
        <f>AB19</f>
        <v>3165.683</v>
      </c>
      <c r="AC114" s="92">
        <f>AC19</f>
        <v>3217.123</v>
      </c>
      <c r="AD114" s="99">
        <f>AD19</f>
        <v>3211.1970000000001</v>
      </c>
      <c r="AE114" s="93">
        <f>AD114</f>
        <v>3211.1970000000001</v>
      </c>
      <c r="AF114" s="92"/>
      <c r="AG114" s="98">
        <f>AG19</f>
        <v>3212.3119999999999</v>
      </c>
      <c r="AH114" s="92">
        <f>AH19</f>
        <v>3274.1219999999998</v>
      </c>
      <c r="AI114" s="92">
        <f>AI19</f>
        <v>3149.9749999999999</v>
      </c>
      <c r="AJ114" s="99">
        <f>AJ19</f>
        <v>3303.9279999999999</v>
      </c>
      <c r="AK114" s="93">
        <f>AJ114</f>
        <v>3303.9279999999999</v>
      </c>
      <c r="AL114" s="92"/>
      <c r="AM114" s="98">
        <f>AM104-AM109</f>
        <v>3316.7780000000002</v>
      </c>
      <c r="AN114" s="92">
        <f>AN104-AN109</f>
        <v>3314.9639999999999</v>
      </c>
      <c r="AO114" s="92">
        <f>AO104-AO109</f>
        <v>3351.6619999999998</v>
      </c>
      <c r="AP114" s="99">
        <f>AP104-AP109</f>
        <v>3476</v>
      </c>
      <c r="AQ114" s="93">
        <f>AQ104-AQ109</f>
        <v>3476</v>
      </c>
      <c r="AR114" s="92"/>
      <c r="AS114" s="98">
        <f>AS104-AS109</f>
        <v>3495</v>
      </c>
      <c r="AT114" s="92">
        <f>AT104-AT109</f>
        <v>3512</v>
      </c>
      <c r="AU114" s="92">
        <f>AU104-AU109</f>
        <v>3551</v>
      </c>
      <c r="AV114" s="99">
        <f>AV104-AV109</f>
        <v>3604</v>
      </c>
      <c r="AW114" s="93">
        <f>AW104-AW109</f>
        <v>3604</v>
      </c>
      <c r="AX114" s="92"/>
      <c r="AY114" s="98">
        <f>AY104-AY109</f>
        <v>3565</v>
      </c>
      <c r="AZ114" s="92">
        <f>AZ104-AZ109</f>
        <v>3992</v>
      </c>
      <c r="BA114" s="92">
        <f>BA104-BA109</f>
        <v>4047</v>
      </c>
      <c r="BB114" s="99">
        <f>BB104-BB109</f>
        <v>4060</v>
      </c>
      <c r="BC114" s="93">
        <f>BC104-BC109</f>
        <v>4060</v>
      </c>
      <c r="BD114" s="92"/>
      <c r="BE114" s="98">
        <f>BE104-BE109</f>
        <v>3957</v>
      </c>
      <c r="BF114" s="92">
        <f>BF104-BF109</f>
        <v>3779</v>
      </c>
      <c r="BG114" s="92">
        <f>BG104-BG109</f>
        <v>3813</v>
      </c>
      <c r="BH114" s="99">
        <f>BH104-BH109</f>
        <v>3901</v>
      </c>
      <c r="BI114" s="93">
        <f>BI104-BI109</f>
        <v>3901</v>
      </c>
      <c r="BJ114" s="92"/>
      <c r="BK114" s="98">
        <f>BK104-BK109</f>
        <v>3827</v>
      </c>
      <c r="BL114" s="92">
        <f>BL104-BL109</f>
        <v>3940</v>
      </c>
      <c r="BM114" s="92">
        <f>BM104-BM109</f>
        <v>4410</v>
      </c>
      <c r="BN114" s="99">
        <f>BN104-BN109</f>
        <v>4638</v>
      </c>
      <c r="BO114" s="93">
        <f>BO104-BO109</f>
        <v>4638</v>
      </c>
      <c r="BP114" s="92"/>
      <c r="BQ114" s="98">
        <f>BQ104-BQ109</f>
        <v>5261</v>
      </c>
      <c r="BR114" s="92">
        <f>BR104-BR109</f>
        <v>5311.7068965517237</v>
      </c>
      <c r="BS114" s="92">
        <f>BS104-BS109</f>
        <v>5358.5344827586205</v>
      </c>
      <c r="BT114" s="99">
        <f>BT104-BT109</f>
        <v>5401.4827586206893</v>
      </c>
      <c r="BU114" s="93">
        <f>BU104-BU109</f>
        <v>5401.4827586206893</v>
      </c>
      <c r="BV114" s="92"/>
      <c r="BW114" s="98">
        <f>BW104-BW109</f>
        <v>5425.5517241379303</v>
      </c>
      <c r="BX114" s="92">
        <f>BX104-BX109</f>
        <v>5445.9999999999991</v>
      </c>
      <c r="BY114" s="92">
        <f>BY104-BY109</f>
        <v>5462.8275862068958</v>
      </c>
      <c r="BZ114" s="99">
        <f>BZ104-BZ109</f>
        <v>5476.0344827586196</v>
      </c>
      <c r="CA114" s="93">
        <f>CA104-CA109</f>
        <v>5476.0344827586196</v>
      </c>
      <c r="CB114" s="92"/>
      <c r="CC114" s="98">
        <f>CC104-CC109</f>
        <v>5485.6206896551712</v>
      </c>
      <c r="CD114" s="92">
        <f>CD104-CD109</f>
        <v>5491.5862068965507</v>
      </c>
      <c r="CE114" s="92">
        <f>CE104-CE109</f>
        <v>5493.9310344827572</v>
      </c>
      <c r="CF114" s="99">
        <f>CF104-CF109</f>
        <v>5492.6551724137917</v>
      </c>
      <c r="CG114" s="93">
        <f>CG104-CG109</f>
        <v>5492.6551724137917</v>
      </c>
      <c r="CH114" s="92"/>
      <c r="CI114" s="98">
        <f>CI104-CI109</f>
        <v>5487.758620689654</v>
      </c>
      <c r="CJ114" s="92">
        <f>CJ104-CJ109</f>
        <v>5479.2413793103433</v>
      </c>
      <c r="CK114" s="92">
        <f>CK104-CK109</f>
        <v>5467.1034482758605</v>
      </c>
      <c r="CL114" s="99">
        <f>CL104-CL109</f>
        <v>5451.3448275862056</v>
      </c>
      <c r="CM114" s="93">
        <f>CM104-CM109</f>
        <v>5451.3448275862056</v>
      </c>
      <c r="CQ114"/>
      <c r="CR114"/>
      <c r="CS114"/>
      <c r="CT114"/>
      <c r="CU114"/>
      <c r="CV114"/>
    </row>
    <row r="115" spans="1:100" s="11" customFormat="1" hidden="1" outlineLevel="1" x14ac:dyDescent="0.2">
      <c r="A115" s="474" t="s">
        <v>199</v>
      </c>
      <c r="B115" s="383"/>
      <c r="C115" s="475">
        <f>C19-C114</f>
        <v>0</v>
      </c>
      <c r="D115" s="476">
        <f>D19-D114</f>
        <v>0</v>
      </c>
      <c r="E115" s="476">
        <f>E19-E114</f>
        <v>0</v>
      </c>
      <c r="F115" s="477">
        <f>F19-F114</f>
        <v>0</v>
      </c>
      <c r="G115" s="478">
        <f>G19-G114</f>
        <v>0</v>
      </c>
      <c r="H115" s="383"/>
      <c r="I115" s="475">
        <f>I19-I114</f>
        <v>0</v>
      </c>
      <c r="J115" s="476">
        <f>J19-J114</f>
        <v>0</v>
      </c>
      <c r="K115" s="476">
        <f>K19-K114</f>
        <v>0</v>
      </c>
      <c r="L115" s="477">
        <f>L19-L114</f>
        <v>0</v>
      </c>
      <c r="M115" s="478">
        <f>M19-M114</f>
        <v>0</v>
      </c>
      <c r="N115" s="479"/>
      <c r="O115" s="475">
        <f>O19-O114</f>
        <v>0</v>
      </c>
      <c r="P115" s="476">
        <f>P19-P114</f>
        <v>0</v>
      </c>
      <c r="Q115" s="476">
        <f>Q19-Q114</f>
        <v>0</v>
      </c>
      <c r="R115" s="477">
        <f>R19-R114</f>
        <v>0</v>
      </c>
      <c r="S115" s="478">
        <f>S19-S114</f>
        <v>0</v>
      </c>
      <c r="T115" s="383"/>
      <c r="U115" s="475">
        <f>U19-U114</f>
        <v>0</v>
      </c>
      <c r="V115" s="476">
        <f>V19-V114</f>
        <v>0</v>
      </c>
      <c r="W115" s="476">
        <f>W19-W114</f>
        <v>0</v>
      </c>
      <c r="X115" s="477">
        <f>X19-X114</f>
        <v>0</v>
      </c>
      <c r="Y115" s="478">
        <f>Y19-Y114</f>
        <v>0</v>
      </c>
      <c r="Z115" s="383"/>
      <c r="AA115" s="475">
        <f>AA19-AA114</f>
        <v>0</v>
      </c>
      <c r="AB115" s="476">
        <f>AB19-AB114</f>
        <v>0</v>
      </c>
      <c r="AC115" s="476">
        <f>AC19-AC114</f>
        <v>0</v>
      </c>
      <c r="AD115" s="477">
        <f>AD19-AD114</f>
        <v>0</v>
      </c>
      <c r="AE115" s="478">
        <f>AE19-AE114</f>
        <v>0</v>
      </c>
      <c r="AF115" s="383"/>
      <c r="AG115" s="475">
        <f>AG19-AG114</f>
        <v>0</v>
      </c>
      <c r="AH115" s="476">
        <f>AH19-AH114</f>
        <v>0</v>
      </c>
      <c r="AI115" s="476">
        <f>AI19-AI114</f>
        <v>0</v>
      </c>
      <c r="AJ115" s="477">
        <f>AJ19-AJ114</f>
        <v>0</v>
      </c>
      <c r="AK115" s="478">
        <f>AK19-AK114</f>
        <v>0</v>
      </c>
      <c r="AL115" s="383"/>
      <c r="AM115" s="475">
        <f>AM19-AM114</f>
        <v>0</v>
      </c>
      <c r="AN115" s="476">
        <f>AN19-AN114</f>
        <v>0</v>
      </c>
      <c r="AO115" s="476">
        <f>AO19-AO114</f>
        <v>0</v>
      </c>
      <c r="AP115" s="477">
        <f>AP19-AP114</f>
        <v>0</v>
      </c>
      <c r="AQ115" s="478">
        <f>AQ19-AQ114</f>
        <v>0</v>
      </c>
      <c r="AR115" s="383"/>
      <c r="AS115" s="475">
        <f>AS19-AS114</f>
        <v>0</v>
      </c>
      <c r="AT115" s="476">
        <f>AT19-AT114</f>
        <v>0</v>
      </c>
      <c r="AU115" s="476">
        <f>AU19-AU114</f>
        <v>0</v>
      </c>
      <c r="AV115" s="477">
        <f>AV19-AV114</f>
        <v>0</v>
      </c>
      <c r="AW115" s="478">
        <f>AW19-AW114</f>
        <v>0</v>
      </c>
      <c r="AX115" s="383"/>
      <c r="AY115" s="475">
        <f>AY19-AY114</f>
        <v>0</v>
      </c>
      <c r="AZ115" s="476">
        <f>AZ19-AZ114</f>
        <v>0</v>
      </c>
      <c r="BA115" s="476">
        <f>BA19-BA114</f>
        <v>0</v>
      </c>
      <c r="BB115" s="477">
        <f>BB19-BB114</f>
        <v>0</v>
      </c>
      <c r="BC115" s="478">
        <f>BC19-BC114</f>
        <v>0</v>
      </c>
      <c r="BD115" s="383"/>
      <c r="BE115" s="475">
        <f>BE19-BE114</f>
        <v>0</v>
      </c>
      <c r="BF115" s="476">
        <f>BF19-BF114</f>
        <v>0</v>
      </c>
      <c r="BG115" s="476">
        <f>BG19-BG114</f>
        <v>0</v>
      </c>
      <c r="BH115" s="477">
        <f>BH19-BH114</f>
        <v>0</v>
      </c>
      <c r="BI115" s="478">
        <f>BI19-BI114</f>
        <v>0</v>
      </c>
      <c r="BJ115" s="383"/>
      <c r="BK115" s="475">
        <f>BK19-BK114</f>
        <v>0</v>
      </c>
      <c r="BL115" s="476">
        <f>BL19-BL114</f>
        <v>0</v>
      </c>
      <c r="BM115" s="476">
        <f>BM19-BM114</f>
        <v>0</v>
      </c>
      <c r="BN115" s="477">
        <f>BN19-BN114</f>
        <v>0</v>
      </c>
      <c r="BO115" s="478">
        <f>BO19-BO114</f>
        <v>0</v>
      </c>
      <c r="BP115" s="383"/>
      <c r="BQ115" s="475">
        <f>BQ19-BQ114</f>
        <v>0</v>
      </c>
      <c r="BR115" s="476">
        <f>BR19-BR114</f>
        <v>0</v>
      </c>
      <c r="BS115" s="476">
        <f>BS19-BS114</f>
        <v>0</v>
      </c>
      <c r="BT115" s="477">
        <f>BT19-BT114</f>
        <v>0</v>
      </c>
      <c r="BU115" s="478">
        <f>BU19-BU114</f>
        <v>0</v>
      </c>
      <c r="BV115" s="383"/>
      <c r="BW115" s="475">
        <f>BW19-BW114</f>
        <v>0</v>
      </c>
      <c r="BX115" s="476">
        <f>BX19-BX114</f>
        <v>0</v>
      </c>
      <c r="BY115" s="476">
        <f>BY19-BY114</f>
        <v>0</v>
      </c>
      <c r="BZ115" s="477">
        <f>BZ19-BZ114</f>
        <v>0</v>
      </c>
      <c r="CA115" s="478">
        <f>CA19-CA114</f>
        <v>0</v>
      </c>
      <c r="CB115" s="383"/>
      <c r="CC115" s="475">
        <f>CC19-CC114</f>
        <v>0</v>
      </c>
      <c r="CD115" s="476">
        <f>CD19-CD114</f>
        <v>0</v>
      </c>
      <c r="CE115" s="476">
        <f>CE19-CE114</f>
        <v>0</v>
      </c>
      <c r="CF115" s="477">
        <f>CF19-CF114</f>
        <v>0</v>
      </c>
      <c r="CG115" s="478">
        <f>CG19-CG114</f>
        <v>0</v>
      </c>
      <c r="CH115" s="383"/>
      <c r="CI115" s="475">
        <f>CI19-CI114</f>
        <v>0</v>
      </c>
      <c r="CJ115" s="476">
        <f>CJ19-CJ114</f>
        <v>0</v>
      </c>
      <c r="CK115" s="476">
        <f>CK19-CK114</f>
        <v>0</v>
      </c>
      <c r="CL115" s="477">
        <f>CL19-CL114</f>
        <v>0</v>
      </c>
      <c r="CM115" s="478">
        <f>CM19-CM114</f>
        <v>0</v>
      </c>
      <c r="CQ115"/>
      <c r="CR115"/>
      <c r="CS115"/>
      <c r="CT115"/>
      <c r="CU115"/>
      <c r="CV115"/>
    </row>
    <row r="116" spans="1:100" s="11" customFormat="1" collapsed="1" x14ac:dyDescent="0.2">
      <c r="A116" s="284" t="s">
        <v>200</v>
      </c>
      <c r="B116" s="285"/>
      <c r="C116" s="286"/>
      <c r="D116" s="285"/>
      <c r="E116" s="285"/>
      <c r="F116" s="287"/>
      <c r="G116" s="288"/>
      <c r="H116" s="285"/>
      <c r="I116" s="480"/>
      <c r="J116" s="481"/>
      <c r="K116" s="481"/>
      <c r="L116" s="482"/>
      <c r="M116" s="483"/>
      <c r="N116" s="481"/>
      <c r="O116" s="480"/>
      <c r="P116" s="481"/>
      <c r="Q116" s="481"/>
      <c r="R116" s="482"/>
      <c r="S116" s="288"/>
      <c r="T116" s="285"/>
      <c r="U116" s="286"/>
      <c r="V116" s="285"/>
      <c r="W116" s="285"/>
      <c r="X116" s="287"/>
      <c r="Y116" s="288"/>
      <c r="Z116" s="285"/>
      <c r="AA116" s="286"/>
      <c r="AB116" s="285"/>
      <c r="AC116" s="285"/>
      <c r="AD116" s="287"/>
      <c r="AE116" s="288"/>
      <c r="AF116" s="285"/>
      <c r="AG116" s="286"/>
      <c r="AH116" s="285"/>
      <c r="AI116" s="285"/>
      <c r="AJ116" s="287"/>
      <c r="AK116" s="288"/>
      <c r="AL116" s="285"/>
      <c r="AM116" s="286"/>
      <c r="AN116" s="285"/>
      <c r="AO116" s="285"/>
      <c r="AP116" s="287"/>
      <c r="AQ116" s="288"/>
      <c r="AR116" s="285"/>
      <c r="AS116" s="286"/>
      <c r="AT116" s="285"/>
      <c r="AU116" s="285"/>
      <c r="AV116" s="287"/>
      <c r="AW116" s="288"/>
      <c r="AX116" s="285"/>
      <c r="AY116" s="286"/>
      <c r="AZ116" s="285"/>
      <c r="BA116" s="285"/>
      <c r="BB116" s="287"/>
      <c r="BC116" s="288"/>
      <c r="BD116" s="285"/>
      <c r="BE116" s="286"/>
      <c r="BF116" s="285"/>
      <c r="BG116" s="285"/>
      <c r="BH116" s="287"/>
      <c r="BI116" s="288"/>
      <c r="BJ116" s="285"/>
      <c r="BK116" s="286"/>
      <c r="BL116" s="285"/>
      <c r="BM116" s="285"/>
      <c r="BN116" s="287"/>
      <c r="BO116" s="288"/>
      <c r="BP116" s="285"/>
      <c r="BQ116" s="286"/>
      <c r="BR116" s="285"/>
      <c r="BS116" s="285"/>
      <c r="BT116" s="287"/>
      <c r="BU116" s="288"/>
      <c r="BV116" s="285"/>
      <c r="BW116" s="286"/>
      <c r="BX116" s="285"/>
      <c r="BY116" s="285"/>
      <c r="BZ116" s="287"/>
      <c r="CA116" s="288"/>
      <c r="CB116" s="285"/>
      <c r="CC116" s="286"/>
      <c r="CD116" s="285"/>
      <c r="CE116" s="285"/>
      <c r="CF116" s="287"/>
      <c r="CG116" s="288"/>
      <c r="CH116" s="285"/>
      <c r="CI116" s="286"/>
      <c r="CJ116" s="285"/>
      <c r="CK116" s="285"/>
      <c r="CL116" s="287"/>
      <c r="CM116" s="288"/>
      <c r="CQ116"/>
      <c r="CR116"/>
      <c r="CS116"/>
      <c r="CT116"/>
      <c r="CU116"/>
      <c r="CV116"/>
    </row>
    <row r="117" spans="1:100" s="11" customFormat="1" hidden="1" outlineLevel="1" x14ac:dyDescent="0.2">
      <c r="A117" s="189" t="s">
        <v>201</v>
      </c>
      <c r="B117" s="15"/>
      <c r="C117" s="278"/>
      <c r="D117" s="15"/>
      <c r="E117" s="15"/>
      <c r="F117" s="279"/>
      <c r="G117" s="442"/>
      <c r="H117" s="15"/>
      <c r="I117" s="443"/>
      <c r="J117" s="390"/>
      <c r="K117" s="390"/>
      <c r="L117" s="444"/>
      <c r="M117" s="445"/>
      <c r="N117" s="390"/>
      <c r="O117" s="443"/>
      <c r="P117" s="390"/>
      <c r="Q117" s="390"/>
      <c r="R117" s="444"/>
      <c r="S117" s="442"/>
      <c r="T117" s="15"/>
      <c r="U117" s="278"/>
      <c r="V117" s="15"/>
      <c r="W117" s="15"/>
      <c r="X117" s="279"/>
      <c r="Y117" s="442"/>
      <c r="Z117" s="15"/>
      <c r="AA117" s="278"/>
      <c r="AB117" s="15"/>
      <c r="AC117" s="15"/>
      <c r="AD117" s="279"/>
      <c r="AE117" s="442"/>
      <c r="AF117" s="15"/>
      <c r="AG117" s="278"/>
      <c r="AH117" s="15"/>
      <c r="AI117" s="15"/>
      <c r="AJ117" s="99"/>
      <c r="AK117" s="442"/>
      <c r="AL117" s="15"/>
      <c r="AM117" s="98"/>
      <c r="AN117" s="92"/>
      <c r="AO117" s="92"/>
      <c r="AP117" s="99"/>
      <c r="AQ117" s="93"/>
      <c r="AR117" s="15"/>
      <c r="AS117" s="98"/>
      <c r="AT117" s="92"/>
      <c r="AU117" s="92"/>
      <c r="AV117" s="99"/>
      <c r="AW117" s="93"/>
      <c r="AX117" s="15"/>
      <c r="AY117" s="98">
        <v>10</v>
      </c>
      <c r="AZ117" s="92">
        <f>AY119</f>
        <v>10</v>
      </c>
      <c r="BA117" s="92">
        <f>AZ119</f>
        <v>3564.5</v>
      </c>
      <c r="BB117" s="99">
        <f>BA119</f>
        <v>3375</v>
      </c>
      <c r="BC117" s="93">
        <f>AY117</f>
        <v>10</v>
      </c>
      <c r="BD117" s="15"/>
      <c r="BE117" s="98">
        <f>BB119</f>
        <v>3370</v>
      </c>
      <c r="BF117" s="92">
        <f>BE119</f>
        <v>3370</v>
      </c>
      <c r="BG117" s="92">
        <f>BF119</f>
        <v>3361</v>
      </c>
      <c r="BH117" s="99">
        <f>BG119</f>
        <v>3361</v>
      </c>
      <c r="BI117" s="93">
        <f>BE117</f>
        <v>3370</v>
      </c>
      <c r="BJ117" s="15"/>
      <c r="BK117" s="98">
        <f>BH119</f>
        <v>3360</v>
      </c>
      <c r="BL117" s="92">
        <f>BK119</f>
        <v>3360</v>
      </c>
      <c r="BM117" s="92">
        <f>BL119</f>
        <v>3374</v>
      </c>
      <c r="BN117" s="99">
        <f>BM119</f>
        <v>3375</v>
      </c>
      <c r="BO117" s="93">
        <f>BK117</f>
        <v>3360</v>
      </c>
      <c r="BP117" s="15"/>
      <c r="BQ117" s="98">
        <f>BN119</f>
        <v>3393</v>
      </c>
      <c r="BR117" s="92">
        <f>BQ119</f>
        <v>4559</v>
      </c>
      <c r="BS117" s="92">
        <f>BR119</f>
        <v>4559</v>
      </c>
      <c r="BT117" s="99">
        <f>BS119</f>
        <v>4559</v>
      </c>
      <c r="BU117" s="93">
        <f>BQ117</f>
        <v>3393</v>
      </c>
      <c r="BV117" s="15"/>
      <c r="BW117" s="98">
        <f>BT119</f>
        <v>4559</v>
      </c>
      <c r="BX117" s="92">
        <f>BW119</f>
        <v>4559</v>
      </c>
      <c r="BY117" s="92">
        <f>BX119</f>
        <v>4559</v>
      </c>
      <c r="BZ117" s="99">
        <f>BY119</f>
        <v>4559</v>
      </c>
      <c r="CA117" s="93">
        <f>BW117</f>
        <v>4559</v>
      </c>
      <c r="CB117" s="15"/>
      <c r="CC117" s="98">
        <f>BZ119</f>
        <v>4559</v>
      </c>
      <c r="CD117" s="92">
        <f>CC119</f>
        <v>4559</v>
      </c>
      <c r="CE117" s="92">
        <f>CD119</f>
        <v>4559</v>
      </c>
      <c r="CF117" s="99">
        <f>CE119</f>
        <v>4559</v>
      </c>
      <c r="CG117" s="93">
        <f>CC117</f>
        <v>4559</v>
      </c>
      <c r="CH117" s="15"/>
      <c r="CI117" s="98">
        <f>CF119</f>
        <v>4559</v>
      </c>
      <c r="CJ117" s="92">
        <f>CI119</f>
        <v>4559</v>
      </c>
      <c r="CK117" s="92">
        <f>CJ119</f>
        <v>4559</v>
      </c>
      <c r="CL117" s="99">
        <f>CK119</f>
        <v>4559</v>
      </c>
      <c r="CM117" s="93">
        <f>CI117</f>
        <v>4559</v>
      </c>
      <c r="CQ117"/>
      <c r="CR117"/>
      <c r="CS117"/>
      <c r="CT117"/>
      <c r="CU117"/>
      <c r="CV117"/>
    </row>
    <row r="118" spans="1:100" s="11" customFormat="1" hidden="1" outlineLevel="1" x14ac:dyDescent="0.2">
      <c r="A118" s="189" t="s">
        <v>202</v>
      </c>
      <c r="B118" s="15"/>
      <c r="C118" s="278"/>
      <c r="D118" s="15"/>
      <c r="E118" s="15"/>
      <c r="F118" s="279"/>
      <c r="G118" s="442"/>
      <c r="H118" s="15"/>
      <c r="I118" s="443"/>
      <c r="J118" s="390"/>
      <c r="K118" s="390"/>
      <c r="L118" s="444"/>
      <c r="M118" s="445"/>
      <c r="N118" s="390"/>
      <c r="O118" s="443"/>
      <c r="P118" s="390"/>
      <c r="Q118" s="390"/>
      <c r="R118" s="444"/>
      <c r="S118" s="442"/>
      <c r="T118" s="15"/>
      <c r="U118" s="278"/>
      <c r="V118" s="15"/>
      <c r="W118" s="15"/>
      <c r="X118" s="279"/>
      <c r="Y118" s="442"/>
      <c r="Z118" s="15"/>
      <c r="AA118" s="278"/>
      <c r="AB118" s="15"/>
      <c r="AC118" s="15"/>
      <c r="AD118" s="279"/>
      <c r="AE118" s="442"/>
      <c r="AF118" s="15"/>
      <c r="AG118" s="278"/>
      <c r="AH118" s="15"/>
      <c r="AI118" s="15"/>
      <c r="AJ118" s="99"/>
      <c r="AK118" s="442"/>
      <c r="AL118" s="15"/>
      <c r="AM118" s="98"/>
      <c r="AN118" s="92"/>
      <c r="AO118" s="92"/>
      <c r="AP118" s="99"/>
      <c r="AQ118" s="93"/>
      <c r="AR118" s="15"/>
      <c r="AS118" s="98"/>
      <c r="AT118" s="92"/>
      <c r="AU118" s="92"/>
      <c r="AV118" s="106"/>
      <c r="AW118" s="93"/>
      <c r="AX118" s="15"/>
      <c r="AY118" s="98"/>
      <c r="AZ118" s="92">
        <f>AZ119-AZ117</f>
        <v>3554.5</v>
      </c>
      <c r="BA118" s="92">
        <f>BA119-BA117</f>
        <v>-189.5</v>
      </c>
      <c r="BB118" s="99">
        <f>BB119-BB117</f>
        <v>-5</v>
      </c>
      <c r="BC118" s="93">
        <f>SUM(AY118:BB118)</f>
        <v>3360</v>
      </c>
      <c r="BD118" s="15"/>
      <c r="BE118" s="98">
        <f>BE119-BE117</f>
        <v>0</v>
      </c>
      <c r="BF118" s="92">
        <f>BF119-BF117</f>
        <v>-9</v>
      </c>
      <c r="BG118" s="92">
        <f>BG119-BG117</f>
        <v>0</v>
      </c>
      <c r="BH118" s="99">
        <f>BH119-BH117</f>
        <v>-1</v>
      </c>
      <c r="BI118" s="93">
        <f>SUM(BE118:BH118)</f>
        <v>-10</v>
      </c>
      <c r="BJ118" s="15"/>
      <c r="BK118" s="98">
        <f>BK119-BK117</f>
        <v>0</v>
      </c>
      <c r="BL118" s="92">
        <f>BL119-BL117</f>
        <v>14</v>
      </c>
      <c r="BM118" s="92">
        <f>BM119-BM117</f>
        <v>1</v>
      </c>
      <c r="BN118" s="99">
        <f>BN119-BN117</f>
        <v>18</v>
      </c>
      <c r="BO118" s="93">
        <f>SUM(BK118:BN118)</f>
        <v>33</v>
      </c>
      <c r="BP118" s="15"/>
      <c r="BQ118" s="98">
        <f>BQ119-BQ117</f>
        <v>1166</v>
      </c>
      <c r="BR118" s="105">
        <v>0</v>
      </c>
      <c r="BS118" s="105">
        <v>0</v>
      </c>
      <c r="BT118" s="106">
        <v>0</v>
      </c>
      <c r="BU118" s="93">
        <f>SUM(BQ118:BT118)</f>
        <v>1166</v>
      </c>
      <c r="BV118" s="15"/>
      <c r="BW118" s="104">
        <v>0</v>
      </c>
      <c r="BX118" s="105">
        <v>0</v>
      </c>
      <c r="BY118" s="105">
        <v>0</v>
      </c>
      <c r="BZ118" s="106">
        <v>0</v>
      </c>
      <c r="CA118" s="93">
        <f>SUM(BW118:BZ118)</f>
        <v>0</v>
      </c>
      <c r="CB118" s="15"/>
      <c r="CC118" s="104">
        <v>0</v>
      </c>
      <c r="CD118" s="105">
        <v>0</v>
      </c>
      <c r="CE118" s="105">
        <v>0</v>
      </c>
      <c r="CF118" s="106">
        <v>0</v>
      </c>
      <c r="CG118" s="93">
        <f>SUM(CC118:CF118)</f>
        <v>0</v>
      </c>
      <c r="CH118" s="15"/>
      <c r="CI118" s="104">
        <v>0</v>
      </c>
      <c r="CJ118" s="105">
        <v>0</v>
      </c>
      <c r="CK118" s="105">
        <v>0</v>
      </c>
      <c r="CL118" s="106">
        <v>0</v>
      </c>
      <c r="CM118" s="93">
        <f>SUM(CI118:CL118)</f>
        <v>0</v>
      </c>
      <c r="CQ118"/>
      <c r="CR118"/>
      <c r="CS118"/>
      <c r="CT118"/>
      <c r="CU118"/>
      <c r="CV118"/>
    </row>
    <row r="119" spans="1:100" s="11" customFormat="1" hidden="1" outlineLevel="1" x14ac:dyDescent="0.2">
      <c r="A119" s="189" t="s">
        <v>203</v>
      </c>
      <c r="B119" s="15"/>
      <c r="C119" s="278"/>
      <c r="D119" s="15"/>
      <c r="E119" s="15"/>
      <c r="F119" s="279"/>
      <c r="G119" s="442"/>
      <c r="H119" s="15"/>
      <c r="I119" s="443"/>
      <c r="J119" s="390"/>
      <c r="K119" s="390"/>
      <c r="L119" s="444"/>
      <c r="M119" s="445"/>
      <c r="N119" s="390"/>
      <c r="O119" s="443"/>
      <c r="P119" s="390"/>
      <c r="Q119" s="390"/>
      <c r="R119" s="444"/>
      <c r="S119" s="442"/>
      <c r="T119" s="15"/>
      <c r="U119" s="278"/>
      <c r="V119" s="15"/>
      <c r="W119" s="15"/>
      <c r="X119" s="279"/>
      <c r="Y119" s="442"/>
      <c r="Z119" s="15"/>
      <c r="AA119" s="278"/>
      <c r="AB119" s="15"/>
      <c r="AC119" s="15"/>
      <c r="AD119" s="279"/>
      <c r="AE119" s="442"/>
      <c r="AF119" s="15"/>
      <c r="AG119" s="278"/>
      <c r="AH119" s="15"/>
      <c r="AI119" s="15"/>
      <c r="AJ119" s="106"/>
      <c r="AK119" s="442"/>
      <c r="AL119" s="15"/>
      <c r="AM119" s="104"/>
      <c r="AN119" s="105"/>
      <c r="AO119" s="105"/>
      <c r="AP119" s="106"/>
      <c r="AQ119" s="93"/>
      <c r="AR119" s="15"/>
      <c r="AS119" s="104"/>
      <c r="AT119" s="105"/>
      <c r="AU119" s="105"/>
      <c r="AV119" s="106"/>
      <c r="AW119" s="93"/>
      <c r="AX119" s="15"/>
      <c r="AY119" s="95">
        <v>10</v>
      </c>
      <c r="AZ119" s="96">
        <v>3564.5</v>
      </c>
      <c r="BA119" s="96">
        <v>3375</v>
      </c>
      <c r="BB119" s="97">
        <v>3370</v>
      </c>
      <c r="BC119" s="93">
        <f>SUM(BC117:BC118)</f>
        <v>3370</v>
      </c>
      <c r="BD119" s="15"/>
      <c r="BE119" s="95">
        <v>3370</v>
      </c>
      <c r="BF119" s="96">
        <v>3361</v>
      </c>
      <c r="BG119" s="96">
        <v>3361</v>
      </c>
      <c r="BH119" s="97">
        <v>3360</v>
      </c>
      <c r="BI119" s="93">
        <f>SUM(BI117:BI118)</f>
        <v>3360</v>
      </c>
      <c r="BJ119" s="15"/>
      <c r="BK119" s="95">
        <v>3360</v>
      </c>
      <c r="BL119" s="96">
        <v>3374</v>
      </c>
      <c r="BM119" s="96">
        <v>3375</v>
      </c>
      <c r="BN119" s="97">
        <v>3393</v>
      </c>
      <c r="BO119" s="93">
        <f>SUM(BO117:BO118)</f>
        <v>3393</v>
      </c>
      <c r="BP119" s="15"/>
      <c r="BQ119" s="95">
        <v>4559</v>
      </c>
      <c r="BR119" s="92">
        <f>BR117+BR118</f>
        <v>4559</v>
      </c>
      <c r="BS119" s="92">
        <f>BS117+BS118</f>
        <v>4559</v>
      </c>
      <c r="BT119" s="99">
        <f>BT117+BT118</f>
        <v>4559</v>
      </c>
      <c r="BU119" s="93">
        <f>SUM(BU117:BU118)</f>
        <v>4559</v>
      </c>
      <c r="BV119" s="15"/>
      <c r="BW119" s="98">
        <f>BW117+BW118</f>
        <v>4559</v>
      </c>
      <c r="BX119" s="92">
        <f>BX117+BX118</f>
        <v>4559</v>
      </c>
      <c r="BY119" s="92">
        <f>BY117+BY118</f>
        <v>4559</v>
      </c>
      <c r="BZ119" s="99">
        <f>BZ117+BZ118</f>
        <v>4559</v>
      </c>
      <c r="CA119" s="93">
        <f>SUM(CA117:CA118)</f>
        <v>4559</v>
      </c>
      <c r="CB119" s="15"/>
      <c r="CC119" s="98">
        <f>CC117+CC118</f>
        <v>4559</v>
      </c>
      <c r="CD119" s="92">
        <f>CD117+CD118</f>
        <v>4559</v>
      </c>
      <c r="CE119" s="92">
        <f>CE117+CE118</f>
        <v>4559</v>
      </c>
      <c r="CF119" s="99">
        <f>CF117+CF118</f>
        <v>4559</v>
      </c>
      <c r="CG119" s="93">
        <f>SUM(CG117:CG118)</f>
        <v>4559</v>
      </c>
      <c r="CH119" s="15"/>
      <c r="CI119" s="98">
        <f>CI117+CI118</f>
        <v>4559</v>
      </c>
      <c r="CJ119" s="92">
        <f>CJ117+CJ118</f>
        <v>4559</v>
      </c>
      <c r="CK119" s="92">
        <f>CK117+CK118</f>
        <v>4559</v>
      </c>
      <c r="CL119" s="99">
        <f>CL117+CL118</f>
        <v>4559</v>
      </c>
      <c r="CM119" s="93">
        <f>SUM(CM117:CM118)</f>
        <v>4559</v>
      </c>
      <c r="CQ119"/>
      <c r="CR119"/>
      <c r="CS119"/>
      <c r="CT119"/>
      <c r="CU119"/>
      <c r="CV119"/>
    </row>
    <row r="120" spans="1:100" s="11" customFormat="1" hidden="1" outlineLevel="1" x14ac:dyDescent="0.2">
      <c r="A120" s="189"/>
      <c r="B120" s="15"/>
      <c r="C120" s="278"/>
      <c r="D120" s="15"/>
      <c r="E120" s="15"/>
      <c r="F120" s="279"/>
      <c r="G120" s="442"/>
      <c r="H120" s="15"/>
      <c r="I120" s="443"/>
      <c r="J120" s="390"/>
      <c r="K120" s="390"/>
      <c r="L120" s="444"/>
      <c r="M120" s="445"/>
      <c r="N120" s="390"/>
      <c r="O120" s="443"/>
      <c r="P120" s="390"/>
      <c r="Q120" s="390"/>
      <c r="R120" s="444"/>
      <c r="S120" s="442"/>
      <c r="T120" s="15"/>
      <c r="U120" s="278"/>
      <c r="V120" s="15"/>
      <c r="W120" s="15"/>
      <c r="X120" s="279"/>
      <c r="Y120" s="442"/>
      <c r="Z120" s="15"/>
      <c r="AA120" s="278"/>
      <c r="AB120" s="15"/>
      <c r="AC120" s="15"/>
      <c r="AD120" s="279"/>
      <c r="AE120" s="442"/>
      <c r="AF120" s="15"/>
      <c r="AG120" s="278"/>
      <c r="AH120" s="15"/>
      <c r="AI120" s="15"/>
      <c r="AJ120" s="279"/>
      <c r="AK120" s="442"/>
      <c r="AL120" s="15"/>
      <c r="AM120" s="278"/>
      <c r="AN120" s="15"/>
      <c r="AO120" s="15"/>
      <c r="AP120" s="279"/>
      <c r="AQ120" s="442"/>
      <c r="AR120" s="15"/>
      <c r="AS120" s="278"/>
      <c r="AT120" s="15"/>
      <c r="AU120" s="15"/>
      <c r="AV120" s="279"/>
      <c r="AW120" s="442"/>
      <c r="AX120" s="15"/>
      <c r="AY120" s="278"/>
      <c r="AZ120" s="15"/>
      <c r="BA120" s="15"/>
      <c r="BB120" s="279"/>
      <c r="BC120" s="442"/>
      <c r="BD120" s="15"/>
      <c r="BE120" s="278"/>
      <c r="BF120" s="15"/>
      <c r="BG120" s="15"/>
      <c r="BH120" s="279"/>
      <c r="BI120" s="442"/>
      <c r="BJ120" s="15"/>
      <c r="BK120" s="278"/>
      <c r="BL120" s="15"/>
      <c r="BM120" s="15"/>
      <c r="BN120" s="279"/>
      <c r="BO120" s="442"/>
      <c r="BP120" s="15"/>
      <c r="BQ120" s="278"/>
      <c r="BR120" s="15"/>
      <c r="BS120" s="15"/>
      <c r="BT120" s="279"/>
      <c r="BU120" s="442"/>
      <c r="BV120" s="15"/>
      <c r="BW120" s="278"/>
      <c r="BX120" s="15"/>
      <c r="BY120" s="15"/>
      <c r="BZ120" s="279"/>
      <c r="CA120" s="442"/>
      <c r="CB120" s="15"/>
      <c r="CC120" s="278"/>
      <c r="CD120" s="15"/>
      <c r="CE120" s="15"/>
      <c r="CF120" s="279"/>
      <c r="CG120" s="442"/>
      <c r="CH120" s="15"/>
      <c r="CI120" s="278"/>
      <c r="CJ120" s="15"/>
      <c r="CK120" s="15"/>
      <c r="CL120" s="279"/>
      <c r="CM120" s="442"/>
      <c r="CQ120"/>
      <c r="CR120"/>
      <c r="CS120"/>
      <c r="CT120"/>
      <c r="CU120"/>
      <c r="CV120"/>
    </row>
    <row r="121" spans="1:100" s="11" customFormat="1" hidden="1" outlineLevel="1" x14ac:dyDescent="0.2">
      <c r="A121" s="189" t="s">
        <v>204</v>
      </c>
      <c r="B121" s="15"/>
      <c r="C121" s="278"/>
      <c r="D121" s="15"/>
      <c r="E121" s="15"/>
      <c r="F121" s="279"/>
      <c r="G121" s="442"/>
      <c r="H121" s="15"/>
      <c r="I121" s="443"/>
      <c r="J121" s="390"/>
      <c r="K121" s="390"/>
      <c r="L121" s="444"/>
      <c r="M121" s="445"/>
      <c r="N121" s="390"/>
      <c r="O121" s="443"/>
      <c r="P121" s="390"/>
      <c r="Q121" s="390"/>
      <c r="R121" s="444"/>
      <c r="S121" s="442"/>
      <c r="T121" s="15"/>
      <c r="U121" s="278"/>
      <c r="V121" s="15"/>
      <c r="W121" s="15"/>
      <c r="X121" s="279"/>
      <c r="Y121" s="442"/>
      <c r="Z121" s="15"/>
      <c r="AA121" s="278"/>
      <c r="AB121" s="15"/>
      <c r="AC121" s="15"/>
      <c r="AD121" s="279"/>
      <c r="AE121" s="442"/>
      <c r="AF121" s="15"/>
      <c r="AG121" s="278"/>
      <c r="AH121" s="15"/>
      <c r="AI121" s="15"/>
      <c r="AJ121" s="99"/>
      <c r="AK121" s="442"/>
      <c r="AL121" s="15"/>
      <c r="AM121" s="98"/>
      <c r="AN121" s="92"/>
      <c r="AO121" s="92"/>
      <c r="AP121" s="99"/>
      <c r="AQ121" s="93"/>
      <c r="AR121" s="15"/>
      <c r="AS121" s="98"/>
      <c r="AT121" s="92"/>
      <c r="AU121" s="92"/>
      <c r="AV121" s="99"/>
      <c r="AW121" s="93"/>
      <c r="AX121" s="15"/>
      <c r="AY121" s="98">
        <v>2</v>
      </c>
      <c r="AZ121" s="92">
        <f>AY123</f>
        <v>2</v>
      </c>
      <c r="BA121" s="92">
        <f>AZ123</f>
        <v>2.5</v>
      </c>
      <c r="BB121" s="99">
        <f>BA123</f>
        <v>62</v>
      </c>
      <c r="BC121" s="93">
        <f>AY121</f>
        <v>2</v>
      </c>
      <c r="BD121" s="15"/>
      <c r="BE121" s="98">
        <f>BB123</f>
        <v>120</v>
      </c>
      <c r="BF121" s="92">
        <f>BE123</f>
        <v>176</v>
      </c>
      <c r="BG121" s="92">
        <f>BF123</f>
        <v>233</v>
      </c>
      <c r="BH121" s="99">
        <f>BG123</f>
        <v>286</v>
      </c>
      <c r="BI121" s="93">
        <f>BE121</f>
        <v>120</v>
      </c>
      <c r="BJ121" s="15"/>
      <c r="BK121" s="98">
        <f>BH123</f>
        <v>339</v>
      </c>
      <c r="BL121" s="92">
        <f>BK123</f>
        <v>395</v>
      </c>
      <c r="BM121" s="92">
        <f>BL123</f>
        <v>451</v>
      </c>
      <c r="BN121" s="99">
        <f>BM123</f>
        <v>508</v>
      </c>
      <c r="BO121" s="93">
        <f>BK121</f>
        <v>339</v>
      </c>
      <c r="BP121" s="15"/>
      <c r="BQ121" s="98">
        <f>BN123</f>
        <v>563</v>
      </c>
      <c r="BR121" s="92">
        <f>BQ123</f>
        <v>621</v>
      </c>
      <c r="BS121" s="92">
        <f>BR123</f>
        <v>686.12857142857138</v>
      </c>
      <c r="BT121" s="99">
        <f>BS123</f>
        <v>751.25714285714275</v>
      </c>
      <c r="BU121" s="93">
        <f>BQ121</f>
        <v>563</v>
      </c>
      <c r="BV121" s="15"/>
      <c r="BW121" s="98">
        <f>BT123</f>
        <v>816.38571428571413</v>
      </c>
      <c r="BX121" s="92">
        <f>BW123</f>
        <v>881.51428571428551</v>
      </c>
      <c r="BY121" s="92">
        <f>BX123</f>
        <v>946.64285714285688</v>
      </c>
      <c r="BZ121" s="99">
        <f>BY123</f>
        <v>1011.7714285714283</v>
      </c>
      <c r="CA121" s="93">
        <f>BW121</f>
        <v>816.38571428571413</v>
      </c>
      <c r="CB121" s="15"/>
      <c r="CC121" s="98">
        <f>BZ123</f>
        <v>1076.8999999999996</v>
      </c>
      <c r="CD121" s="92">
        <f>CC123</f>
        <v>1142.028571428571</v>
      </c>
      <c r="CE121" s="92">
        <f>CD123</f>
        <v>1207.1571428571424</v>
      </c>
      <c r="CF121" s="99">
        <f>CE123</f>
        <v>1272.2857142857138</v>
      </c>
      <c r="CG121" s="93">
        <f>CC121</f>
        <v>1076.8999999999996</v>
      </c>
      <c r="CH121" s="15"/>
      <c r="CI121" s="98">
        <f>CF123</f>
        <v>1337.4142857142851</v>
      </c>
      <c r="CJ121" s="92">
        <f>CI123</f>
        <v>1402.5428571428565</v>
      </c>
      <c r="CK121" s="92">
        <f>CJ123</f>
        <v>1467.6714285714279</v>
      </c>
      <c r="CL121" s="99">
        <f>CK123</f>
        <v>1532.7999999999993</v>
      </c>
      <c r="CM121" s="93">
        <f>CI121</f>
        <v>1337.4142857142851</v>
      </c>
      <c r="CQ121"/>
      <c r="CR121"/>
      <c r="CS121"/>
      <c r="CT121"/>
      <c r="CU121"/>
      <c r="CV121"/>
    </row>
    <row r="122" spans="1:100" s="11" customFormat="1" hidden="1" outlineLevel="1" x14ac:dyDescent="0.2">
      <c r="A122" s="189" t="s">
        <v>37</v>
      </c>
      <c r="B122" s="15"/>
      <c r="C122" s="278"/>
      <c r="D122" s="15"/>
      <c r="E122" s="15"/>
      <c r="F122" s="279"/>
      <c r="G122" s="442"/>
      <c r="H122" s="15"/>
      <c r="I122" s="443"/>
      <c r="J122" s="390"/>
      <c r="K122" s="390"/>
      <c r="L122" s="444"/>
      <c r="M122" s="445"/>
      <c r="N122" s="390"/>
      <c r="O122" s="443"/>
      <c r="P122" s="390"/>
      <c r="Q122" s="390"/>
      <c r="R122" s="444"/>
      <c r="S122" s="442"/>
      <c r="T122" s="15"/>
      <c r="U122" s="278"/>
      <c r="V122" s="15"/>
      <c r="W122" s="15"/>
      <c r="X122" s="279"/>
      <c r="Y122" s="442"/>
      <c r="Z122" s="15"/>
      <c r="AA122" s="278"/>
      <c r="AB122" s="15"/>
      <c r="AC122" s="15"/>
      <c r="AD122" s="279"/>
      <c r="AE122" s="442"/>
      <c r="AF122" s="15"/>
      <c r="AG122" s="278"/>
      <c r="AH122" s="15"/>
      <c r="AI122" s="15"/>
      <c r="AJ122" s="99"/>
      <c r="AK122" s="442"/>
      <c r="AL122" s="15"/>
      <c r="AM122" s="98"/>
      <c r="AN122" s="92"/>
      <c r="AO122" s="92"/>
      <c r="AP122" s="99"/>
      <c r="AQ122" s="93"/>
      <c r="AR122" s="15"/>
      <c r="AS122" s="98"/>
      <c r="AT122" s="92"/>
      <c r="AU122" s="92"/>
      <c r="AV122" s="99"/>
      <c r="AW122" s="93"/>
      <c r="AX122" s="15"/>
      <c r="AY122" s="98"/>
      <c r="AZ122" s="92">
        <f>AZ123-AZ121</f>
        <v>0.5</v>
      </c>
      <c r="BA122" s="92">
        <f>BA123-BA121</f>
        <v>59.5</v>
      </c>
      <c r="BB122" s="99">
        <f>BB123-BB121</f>
        <v>58</v>
      </c>
      <c r="BC122" s="93">
        <f>SUM(AY122:BB122)</f>
        <v>118</v>
      </c>
      <c r="BD122" s="15"/>
      <c r="BE122" s="98">
        <f>BE123-BE121</f>
        <v>56</v>
      </c>
      <c r="BF122" s="92">
        <f>BF123-BF121</f>
        <v>57</v>
      </c>
      <c r="BG122" s="92">
        <f>BG123-BG121</f>
        <v>53</v>
      </c>
      <c r="BH122" s="99">
        <f>BH123-BH121</f>
        <v>53</v>
      </c>
      <c r="BI122" s="93">
        <f>SUM(BE122:BH122)</f>
        <v>219</v>
      </c>
      <c r="BJ122" s="15"/>
      <c r="BK122" s="98">
        <f>BK123-BK121</f>
        <v>56</v>
      </c>
      <c r="BL122" s="92">
        <f>BL123-BL121</f>
        <v>56</v>
      </c>
      <c r="BM122" s="92">
        <f>BM123-BM121</f>
        <v>57</v>
      </c>
      <c r="BN122" s="99">
        <f>BN123-BN121</f>
        <v>55</v>
      </c>
      <c r="BO122" s="93">
        <f>SUM(BK122:BN122)</f>
        <v>224</v>
      </c>
      <c r="BP122" s="15"/>
      <c r="BQ122" s="98">
        <f>BQ123-BQ121</f>
        <v>58</v>
      </c>
      <c r="BR122" s="92">
        <f>BR117/BR125/4</f>
        <v>65.128571428571433</v>
      </c>
      <c r="BS122" s="92">
        <f>BS117/BS125/4</f>
        <v>65.128571428571433</v>
      </c>
      <c r="BT122" s="99">
        <f>BT117/BT125/4</f>
        <v>65.128571428571433</v>
      </c>
      <c r="BU122" s="93">
        <f>SUM(BQ122:BT122)</f>
        <v>253.3857142857143</v>
      </c>
      <c r="BV122" s="15"/>
      <c r="BW122" s="98">
        <f>BW117/BW125/4</f>
        <v>65.128571428571433</v>
      </c>
      <c r="BX122" s="92">
        <f>BX117/BX125/4</f>
        <v>65.128571428571433</v>
      </c>
      <c r="BY122" s="92">
        <f>BY117/BY125/4</f>
        <v>65.128571428571433</v>
      </c>
      <c r="BZ122" s="99">
        <f>BZ117/BZ125/4</f>
        <v>65.128571428571433</v>
      </c>
      <c r="CA122" s="93">
        <f>SUM(BW122:BZ122)</f>
        <v>260.51428571428573</v>
      </c>
      <c r="CB122" s="15"/>
      <c r="CC122" s="98">
        <f>CC117/CC125/4</f>
        <v>65.128571428571433</v>
      </c>
      <c r="CD122" s="92">
        <f>CD117/CD125/4</f>
        <v>65.128571428571433</v>
      </c>
      <c r="CE122" s="92">
        <f>CE117/CE125/4</f>
        <v>65.128571428571433</v>
      </c>
      <c r="CF122" s="99">
        <f>CF117/CF125/4</f>
        <v>65.128571428571433</v>
      </c>
      <c r="CG122" s="93">
        <f>SUM(CC122:CF122)</f>
        <v>260.51428571428573</v>
      </c>
      <c r="CH122" s="15"/>
      <c r="CI122" s="98">
        <f>CI117/CI125/4</f>
        <v>65.128571428571433</v>
      </c>
      <c r="CJ122" s="92">
        <f>CJ117/CJ125/4</f>
        <v>65.128571428571433</v>
      </c>
      <c r="CK122" s="92">
        <f>CK117/CK125/4</f>
        <v>65.128571428571433</v>
      </c>
      <c r="CL122" s="99">
        <f>CL117/CL125/4</f>
        <v>65.128571428571433</v>
      </c>
      <c r="CM122" s="93">
        <f>SUM(CI122:CL122)</f>
        <v>260.51428571428573</v>
      </c>
      <c r="CQ122"/>
      <c r="CR122"/>
      <c r="CS122"/>
      <c r="CT122"/>
      <c r="CU122"/>
      <c r="CV122"/>
    </row>
    <row r="123" spans="1:100" s="11" customFormat="1" hidden="1" outlineLevel="1" x14ac:dyDescent="0.2">
      <c r="A123" s="189" t="s">
        <v>205</v>
      </c>
      <c r="B123" s="15"/>
      <c r="C123" s="278"/>
      <c r="D123" s="15"/>
      <c r="E123" s="15"/>
      <c r="F123" s="279"/>
      <c r="G123" s="442"/>
      <c r="H123" s="15"/>
      <c r="I123" s="443"/>
      <c r="J123" s="390"/>
      <c r="K123" s="390"/>
      <c r="L123" s="444"/>
      <c r="M123" s="445"/>
      <c r="N123" s="390"/>
      <c r="O123" s="443"/>
      <c r="P123" s="390"/>
      <c r="Q123" s="390"/>
      <c r="R123" s="444"/>
      <c r="S123" s="442"/>
      <c r="T123" s="15"/>
      <c r="U123" s="278"/>
      <c r="V123" s="15"/>
      <c r="W123" s="15"/>
      <c r="X123" s="279"/>
      <c r="Y123" s="442"/>
      <c r="Z123" s="15"/>
      <c r="AA123" s="278"/>
      <c r="AB123" s="15"/>
      <c r="AC123" s="15"/>
      <c r="AD123" s="279"/>
      <c r="AE123" s="442"/>
      <c r="AF123" s="15"/>
      <c r="AG123" s="278"/>
      <c r="AH123" s="15"/>
      <c r="AI123" s="15"/>
      <c r="AJ123" s="106"/>
      <c r="AK123" s="442"/>
      <c r="AL123" s="15"/>
      <c r="AM123" s="104"/>
      <c r="AN123" s="105"/>
      <c r="AO123" s="105"/>
      <c r="AP123" s="106"/>
      <c r="AQ123" s="93"/>
      <c r="AR123" s="15"/>
      <c r="AS123" s="104"/>
      <c r="AT123" s="105"/>
      <c r="AU123" s="105"/>
      <c r="AV123" s="106"/>
      <c r="AW123" s="93"/>
      <c r="AX123" s="15"/>
      <c r="AY123" s="104">
        <v>2</v>
      </c>
      <c r="AZ123" s="96">
        <v>2.5</v>
      </c>
      <c r="BA123" s="96">
        <v>62</v>
      </c>
      <c r="BB123" s="97">
        <v>120</v>
      </c>
      <c r="BC123" s="93">
        <f>SUM(BC121:BC122)</f>
        <v>120</v>
      </c>
      <c r="BD123" s="15"/>
      <c r="BE123" s="95">
        <v>176</v>
      </c>
      <c r="BF123" s="96">
        <v>233</v>
      </c>
      <c r="BG123" s="96">
        <v>286</v>
      </c>
      <c r="BH123" s="97">
        <v>339</v>
      </c>
      <c r="BI123" s="93">
        <f>SUM(BI121:BI122)</f>
        <v>339</v>
      </c>
      <c r="BJ123" s="15"/>
      <c r="BK123" s="95">
        <v>395</v>
      </c>
      <c r="BL123" s="96">
        <v>451</v>
      </c>
      <c r="BM123" s="96">
        <v>508</v>
      </c>
      <c r="BN123" s="97">
        <f>564-1</f>
        <v>563</v>
      </c>
      <c r="BO123" s="93">
        <f>SUM(BO121:BO122)</f>
        <v>563</v>
      </c>
      <c r="BP123" s="15"/>
      <c r="BQ123" s="95">
        <v>621</v>
      </c>
      <c r="BR123" s="92">
        <f>SUM(BR121:BR122)</f>
        <v>686.12857142857138</v>
      </c>
      <c r="BS123" s="92">
        <f>SUM(BS121:BS122)</f>
        <v>751.25714285714275</v>
      </c>
      <c r="BT123" s="99">
        <f>SUM(BT121:BT122)</f>
        <v>816.38571428571413</v>
      </c>
      <c r="BU123" s="93">
        <f>SUM(BU121:BU122)</f>
        <v>816.38571428571436</v>
      </c>
      <c r="BV123" s="15"/>
      <c r="BW123" s="98">
        <f>SUM(BW121:BW122)</f>
        <v>881.51428571428551</v>
      </c>
      <c r="BX123" s="92">
        <f>SUM(BX121:BX122)</f>
        <v>946.64285714285688</v>
      </c>
      <c r="BY123" s="92">
        <f>SUM(BY121:BY122)</f>
        <v>1011.7714285714283</v>
      </c>
      <c r="BZ123" s="99">
        <f>SUM(BZ121:BZ122)</f>
        <v>1076.8999999999996</v>
      </c>
      <c r="CA123" s="93">
        <f>SUM(CA121:CA122)</f>
        <v>1076.8999999999999</v>
      </c>
      <c r="CB123" s="15"/>
      <c r="CC123" s="98">
        <f>SUM(CC121:CC122)</f>
        <v>1142.028571428571</v>
      </c>
      <c r="CD123" s="92">
        <f>SUM(CD121:CD122)</f>
        <v>1207.1571428571424</v>
      </c>
      <c r="CE123" s="92">
        <f>SUM(CE121:CE122)</f>
        <v>1272.2857142857138</v>
      </c>
      <c r="CF123" s="99">
        <f>SUM(CF121:CF122)</f>
        <v>1337.4142857142851</v>
      </c>
      <c r="CG123" s="93">
        <f>SUM(CG121:CG122)</f>
        <v>1337.4142857142854</v>
      </c>
      <c r="CH123" s="15"/>
      <c r="CI123" s="98">
        <f>SUM(CI121:CI122)</f>
        <v>1402.5428571428565</v>
      </c>
      <c r="CJ123" s="92">
        <f>SUM(CJ121:CJ122)</f>
        <v>1467.6714285714279</v>
      </c>
      <c r="CK123" s="92">
        <f>SUM(CK121:CK122)</f>
        <v>1532.7999999999993</v>
      </c>
      <c r="CL123" s="99">
        <f>SUM(CL121:CL122)</f>
        <v>1597.9285714285706</v>
      </c>
      <c r="CM123" s="93">
        <f>SUM(CM121:CM122)</f>
        <v>1597.9285714285709</v>
      </c>
      <c r="CQ123"/>
      <c r="CR123"/>
      <c r="CS123"/>
      <c r="CT123"/>
      <c r="CU123"/>
      <c r="CV123"/>
    </row>
    <row r="124" spans="1:100" s="11" customFormat="1" hidden="1" outlineLevel="1" x14ac:dyDescent="0.2">
      <c r="A124" s="189"/>
      <c r="B124" s="15"/>
      <c r="C124" s="278"/>
      <c r="D124" s="15"/>
      <c r="E124" s="15"/>
      <c r="F124" s="279"/>
      <c r="G124" s="442"/>
      <c r="H124" s="15"/>
      <c r="I124" s="443"/>
      <c r="J124" s="390"/>
      <c r="K124" s="390"/>
      <c r="L124" s="444"/>
      <c r="M124" s="445"/>
      <c r="N124" s="390"/>
      <c r="O124" s="443"/>
      <c r="P124" s="390"/>
      <c r="Q124" s="390"/>
      <c r="R124" s="444"/>
      <c r="S124" s="442"/>
      <c r="T124" s="15"/>
      <c r="U124" s="278"/>
      <c r="V124" s="15"/>
      <c r="W124" s="15"/>
      <c r="X124" s="279"/>
      <c r="Y124" s="442"/>
      <c r="Z124" s="15"/>
      <c r="AA124" s="278"/>
      <c r="AB124" s="15"/>
      <c r="AC124" s="15"/>
      <c r="AD124" s="279"/>
      <c r="AE124" s="442"/>
      <c r="AF124" s="15"/>
      <c r="AG124" s="278"/>
      <c r="AH124" s="15"/>
      <c r="AI124" s="15"/>
      <c r="AJ124" s="279"/>
      <c r="AK124" s="442"/>
      <c r="AL124" s="15"/>
      <c r="AM124" s="278"/>
      <c r="AN124" s="15"/>
      <c r="AO124" s="15"/>
      <c r="AP124" s="279"/>
      <c r="AQ124" s="442"/>
      <c r="AR124" s="15"/>
      <c r="AS124" s="278"/>
      <c r="AT124" s="15"/>
      <c r="AU124" s="15"/>
      <c r="AV124" s="279"/>
      <c r="AW124" s="442"/>
      <c r="AX124" s="15"/>
      <c r="AY124" s="278"/>
      <c r="AZ124" s="15"/>
      <c r="BA124" s="15"/>
      <c r="BB124" s="279"/>
      <c r="BC124" s="442"/>
      <c r="BD124" s="15"/>
      <c r="BE124" s="278"/>
      <c r="BF124" s="15"/>
      <c r="BG124" s="15"/>
      <c r="BH124" s="279"/>
      <c r="BI124" s="442"/>
      <c r="BJ124" s="15"/>
      <c r="BK124" s="278"/>
      <c r="BL124" s="15"/>
      <c r="BM124" s="15"/>
      <c r="BN124" s="279"/>
      <c r="BO124" s="442"/>
      <c r="BP124" s="15"/>
      <c r="BQ124" s="278"/>
      <c r="BR124" s="15"/>
      <c r="BS124" s="15"/>
      <c r="BT124" s="279"/>
      <c r="BU124" s="442"/>
      <c r="BV124" s="15"/>
      <c r="BW124" s="278"/>
      <c r="BX124" s="15"/>
      <c r="BY124" s="15"/>
      <c r="BZ124" s="279"/>
      <c r="CA124" s="442"/>
      <c r="CB124" s="15"/>
      <c r="CC124" s="278"/>
      <c r="CD124" s="15"/>
      <c r="CE124" s="15"/>
      <c r="CF124" s="279"/>
      <c r="CG124" s="442"/>
      <c r="CH124" s="15"/>
      <c r="CI124" s="278"/>
      <c r="CJ124" s="15"/>
      <c r="CK124" s="15"/>
      <c r="CL124" s="279"/>
      <c r="CM124" s="442"/>
      <c r="CQ124"/>
      <c r="CR124"/>
      <c r="CS124"/>
      <c r="CT124"/>
      <c r="CU124"/>
      <c r="CV124"/>
    </row>
    <row r="125" spans="1:100" s="11" customFormat="1" hidden="1" outlineLevel="1" x14ac:dyDescent="0.2">
      <c r="A125" s="189" t="s">
        <v>206</v>
      </c>
      <c r="B125" s="15"/>
      <c r="C125" s="278"/>
      <c r="D125" s="15"/>
      <c r="E125" s="15"/>
      <c r="F125" s="279"/>
      <c r="G125" s="442"/>
      <c r="H125" s="15"/>
      <c r="I125" s="443"/>
      <c r="J125" s="390"/>
      <c r="K125" s="390"/>
      <c r="L125" s="444"/>
      <c r="M125" s="445"/>
      <c r="N125" s="390"/>
      <c r="O125" s="443"/>
      <c r="P125" s="390"/>
      <c r="Q125" s="390"/>
      <c r="R125" s="444"/>
      <c r="S125" s="442"/>
      <c r="T125" s="15"/>
      <c r="U125" s="278"/>
      <c r="V125" s="15"/>
      <c r="W125" s="15"/>
      <c r="X125" s="279"/>
      <c r="Y125" s="442"/>
      <c r="Z125" s="15"/>
      <c r="AA125" s="278"/>
      <c r="AB125" s="15"/>
      <c r="AC125" s="15"/>
      <c r="AD125" s="279"/>
      <c r="AE125" s="442"/>
      <c r="AF125" s="15"/>
      <c r="AG125" s="278"/>
      <c r="AH125" s="15"/>
      <c r="AI125" s="15"/>
      <c r="AJ125" s="279"/>
      <c r="AK125" s="442"/>
      <c r="AL125" s="15"/>
      <c r="AM125" s="98"/>
      <c r="AN125" s="92"/>
      <c r="AO125" s="92"/>
      <c r="AP125" s="99"/>
      <c r="AQ125" s="93"/>
      <c r="AR125" s="15"/>
      <c r="AS125" s="98"/>
      <c r="AT125" s="92"/>
      <c r="AU125" s="92"/>
      <c r="AV125" s="99"/>
      <c r="AW125" s="93"/>
      <c r="AX125" s="15"/>
      <c r="AY125" s="98"/>
      <c r="AZ125" s="92">
        <f>AZ117/AZ122/4</f>
        <v>5</v>
      </c>
      <c r="BA125" s="92">
        <f>BA117/BA122/4</f>
        <v>14.97689075630252</v>
      </c>
      <c r="BB125" s="99">
        <f>BB117/BB122/4</f>
        <v>14.547413793103448</v>
      </c>
      <c r="BC125" s="93">
        <f>BC117/BC122</f>
        <v>8.4745762711864403E-2</v>
      </c>
      <c r="BD125" s="15"/>
      <c r="BE125" s="98">
        <f>BE117/BE122/4</f>
        <v>15.044642857142858</v>
      </c>
      <c r="BF125" s="92">
        <f>BF117/BF122/4</f>
        <v>14.780701754385966</v>
      </c>
      <c r="BG125" s="92">
        <f>BG117/BG122/4</f>
        <v>15.85377358490566</v>
      </c>
      <c r="BH125" s="99">
        <f>BH117/BH122/4</f>
        <v>15.85377358490566</v>
      </c>
      <c r="BI125" s="93">
        <f>BI117/BI122</f>
        <v>15.388127853881279</v>
      </c>
      <c r="BJ125" s="15"/>
      <c r="BK125" s="98">
        <f>BK117/BK122/4</f>
        <v>15</v>
      </c>
      <c r="BL125" s="92">
        <f>BL117/BL122/4</f>
        <v>15</v>
      </c>
      <c r="BM125" s="92">
        <f>BM117/BM122/4</f>
        <v>14.798245614035087</v>
      </c>
      <c r="BN125" s="99">
        <f>BN117/BN122/4</f>
        <v>15.340909090909092</v>
      </c>
      <c r="BO125" s="93">
        <f>BO117/BO122</f>
        <v>15</v>
      </c>
      <c r="BP125" s="15"/>
      <c r="BQ125" s="98">
        <f>BQ117/BQ122/4</f>
        <v>14.625</v>
      </c>
      <c r="BR125" s="105">
        <v>17.5</v>
      </c>
      <c r="BS125" s="105">
        <f>BR125</f>
        <v>17.5</v>
      </c>
      <c r="BT125" s="106">
        <f>BS125</f>
        <v>17.5</v>
      </c>
      <c r="BU125" s="93">
        <f>BU117/BU122</f>
        <v>13.390652308733156</v>
      </c>
      <c r="BV125" s="15"/>
      <c r="BW125" s="104">
        <v>17.5</v>
      </c>
      <c r="BX125" s="105">
        <f>BW125</f>
        <v>17.5</v>
      </c>
      <c r="BY125" s="105">
        <f>BX125</f>
        <v>17.5</v>
      </c>
      <c r="BZ125" s="106">
        <f>BY125</f>
        <v>17.5</v>
      </c>
      <c r="CA125" s="93">
        <f>CA117/CA122</f>
        <v>17.5</v>
      </c>
      <c r="CB125" s="15"/>
      <c r="CC125" s="104">
        <v>17.5</v>
      </c>
      <c r="CD125" s="105">
        <f>CC125</f>
        <v>17.5</v>
      </c>
      <c r="CE125" s="105">
        <f>CD125</f>
        <v>17.5</v>
      </c>
      <c r="CF125" s="106">
        <f>CE125</f>
        <v>17.5</v>
      </c>
      <c r="CG125" s="93">
        <f>CG117/CG122</f>
        <v>17.5</v>
      </c>
      <c r="CH125" s="15"/>
      <c r="CI125" s="104">
        <v>17.5</v>
      </c>
      <c r="CJ125" s="105">
        <f>CI125</f>
        <v>17.5</v>
      </c>
      <c r="CK125" s="105">
        <f>CJ125</f>
        <v>17.5</v>
      </c>
      <c r="CL125" s="106">
        <f>CK125</f>
        <v>17.5</v>
      </c>
      <c r="CM125" s="93">
        <f>CM117/CM122</f>
        <v>17.5</v>
      </c>
      <c r="CQ125"/>
      <c r="CR125"/>
      <c r="CS125"/>
      <c r="CT125"/>
      <c r="CU125"/>
      <c r="CV125"/>
    </row>
    <row r="126" spans="1:100" s="11" customFormat="1" hidden="1" outlineLevel="1" x14ac:dyDescent="0.2">
      <c r="A126" s="189"/>
      <c r="B126" s="15"/>
      <c r="C126" s="278"/>
      <c r="D126" s="15"/>
      <c r="E126" s="15"/>
      <c r="F126" s="279"/>
      <c r="G126" s="442"/>
      <c r="H126" s="15"/>
      <c r="I126" s="443"/>
      <c r="J126" s="390"/>
      <c r="K126" s="390"/>
      <c r="L126" s="444"/>
      <c r="M126" s="445"/>
      <c r="N126" s="390"/>
      <c r="O126" s="443"/>
      <c r="P126" s="390"/>
      <c r="Q126" s="390"/>
      <c r="R126" s="444"/>
      <c r="S126" s="442"/>
      <c r="T126" s="15"/>
      <c r="U126" s="278"/>
      <c r="V126" s="15"/>
      <c r="W126" s="15"/>
      <c r="X126" s="279"/>
      <c r="Y126" s="442"/>
      <c r="Z126" s="15"/>
      <c r="AA126" s="278"/>
      <c r="AB126" s="15"/>
      <c r="AC126" s="15"/>
      <c r="AD126" s="279"/>
      <c r="AE126" s="442"/>
      <c r="AF126" s="15"/>
      <c r="AG126" s="278"/>
      <c r="AH126" s="15"/>
      <c r="AI126" s="15"/>
      <c r="AJ126" s="279"/>
      <c r="AK126" s="442"/>
      <c r="AL126" s="15"/>
      <c r="AM126" s="278"/>
      <c r="AN126" s="15"/>
      <c r="AO126" s="15"/>
      <c r="AP126" s="279"/>
      <c r="AQ126" s="442"/>
      <c r="AR126" s="15"/>
      <c r="AS126" s="278"/>
      <c r="AT126" s="15"/>
      <c r="AU126" s="15"/>
      <c r="AV126" s="279"/>
      <c r="AW126" s="442"/>
      <c r="AX126" s="15"/>
      <c r="AY126" s="278"/>
      <c r="AZ126" s="15"/>
      <c r="BA126" s="15"/>
      <c r="BB126" s="279"/>
      <c r="BC126" s="442"/>
      <c r="BD126" s="15"/>
      <c r="BE126" s="278"/>
      <c r="BF126" s="15"/>
      <c r="BG126" s="15"/>
      <c r="BH126" s="279"/>
      <c r="BI126" s="442"/>
      <c r="BJ126" s="15"/>
      <c r="BK126" s="278"/>
      <c r="BL126" s="15"/>
      <c r="BM126" s="15"/>
      <c r="BN126" s="279"/>
      <c r="BO126" s="442"/>
      <c r="BP126" s="15"/>
      <c r="BQ126" s="278"/>
      <c r="BR126" s="15"/>
      <c r="BS126" s="15"/>
      <c r="BT126" s="279"/>
      <c r="BU126" s="442"/>
      <c r="BV126" s="15"/>
      <c r="BW126" s="278"/>
      <c r="BX126" s="15"/>
      <c r="BY126" s="15"/>
      <c r="BZ126" s="279"/>
      <c r="CA126" s="442"/>
      <c r="CB126" s="15"/>
      <c r="CC126" s="278"/>
      <c r="CD126" s="15"/>
      <c r="CE126" s="15"/>
      <c r="CF126" s="279"/>
      <c r="CG126" s="442"/>
      <c r="CH126" s="15"/>
      <c r="CI126" s="278"/>
      <c r="CJ126" s="15"/>
      <c r="CK126" s="15"/>
      <c r="CL126" s="279"/>
      <c r="CM126" s="442"/>
      <c r="CQ126"/>
      <c r="CR126"/>
      <c r="CS126"/>
      <c r="CT126"/>
      <c r="CU126"/>
      <c r="CV126"/>
    </row>
    <row r="127" spans="1:100" s="11" customFormat="1" hidden="1" outlineLevel="1" x14ac:dyDescent="0.2">
      <c r="A127" s="189" t="s">
        <v>207</v>
      </c>
      <c r="B127" s="15"/>
      <c r="C127" s="278"/>
      <c r="D127" s="15"/>
      <c r="E127" s="15"/>
      <c r="F127" s="279"/>
      <c r="G127" s="442"/>
      <c r="H127" s="15"/>
      <c r="I127" s="443"/>
      <c r="J127" s="390"/>
      <c r="K127" s="390"/>
      <c r="L127" s="444"/>
      <c r="M127" s="445"/>
      <c r="N127" s="390"/>
      <c r="O127" s="443"/>
      <c r="P127" s="390"/>
      <c r="Q127" s="390"/>
      <c r="R127" s="444"/>
      <c r="S127" s="442"/>
      <c r="T127" s="15"/>
      <c r="U127" s="278"/>
      <c r="V127" s="15"/>
      <c r="W127" s="15"/>
      <c r="X127" s="279"/>
      <c r="Y127" s="442"/>
      <c r="Z127" s="15"/>
      <c r="AA127" s="278"/>
      <c r="AB127" s="15"/>
      <c r="AC127" s="15"/>
      <c r="AD127" s="279"/>
      <c r="AE127" s="442"/>
      <c r="AF127" s="15"/>
      <c r="AG127" s="278"/>
      <c r="AH127" s="15"/>
      <c r="AI127" s="15"/>
      <c r="AJ127" s="99"/>
      <c r="AK127" s="442"/>
      <c r="AL127" s="15"/>
      <c r="AM127" s="98"/>
      <c r="AN127" s="92"/>
      <c r="AO127" s="92"/>
      <c r="AP127" s="99"/>
      <c r="AQ127" s="93"/>
      <c r="AR127" s="15"/>
      <c r="AS127" s="98"/>
      <c r="AT127" s="92"/>
      <c r="AU127" s="92"/>
      <c r="AV127" s="99"/>
      <c r="AW127" s="93"/>
      <c r="AX127" s="15"/>
      <c r="AY127" s="98"/>
      <c r="AZ127" s="92">
        <f>AZ119-AZ123</f>
        <v>3562</v>
      </c>
      <c r="BA127" s="92">
        <f>BA119-BA123</f>
        <v>3313</v>
      </c>
      <c r="BB127" s="99">
        <f>BB119-BB123</f>
        <v>3250</v>
      </c>
      <c r="BC127" s="93">
        <f>BC119-BC123</f>
        <v>3250</v>
      </c>
      <c r="BD127" s="15"/>
      <c r="BE127" s="98">
        <f>BE119-BE123</f>
        <v>3194</v>
      </c>
      <c r="BF127" s="92">
        <f>BF119-BF123</f>
        <v>3128</v>
      </c>
      <c r="BG127" s="92">
        <f>BG119-BG123</f>
        <v>3075</v>
      </c>
      <c r="BH127" s="99">
        <f>BH119-BH123</f>
        <v>3021</v>
      </c>
      <c r="BI127" s="93">
        <f>BI119-BI123</f>
        <v>3021</v>
      </c>
      <c r="BJ127" s="15"/>
      <c r="BK127" s="98">
        <f>BK119-BK123</f>
        <v>2965</v>
      </c>
      <c r="BL127" s="92">
        <f>BL119-BL123</f>
        <v>2923</v>
      </c>
      <c r="BM127" s="92">
        <f>BM119-BM123</f>
        <v>2867</v>
      </c>
      <c r="BN127" s="99">
        <f>BN119-BN123</f>
        <v>2830</v>
      </c>
      <c r="BO127" s="93">
        <f>BO119-BO123</f>
        <v>2830</v>
      </c>
      <c r="BP127" s="15"/>
      <c r="BQ127" s="98">
        <f>BQ119-BQ123</f>
        <v>3938</v>
      </c>
      <c r="BR127" s="92">
        <f>BR119-BR123</f>
        <v>3872.8714285714286</v>
      </c>
      <c r="BS127" s="92">
        <f>BS119-BS123</f>
        <v>3807.7428571428572</v>
      </c>
      <c r="BT127" s="99">
        <f>BT119-BT123</f>
        <v>3742.6142857142859</v>
      </c>
      <c r="BU127" s="93">
        <f>BU119-BU123</f>
        <v>3742.6142857142859</v>
      </c>
      <c r="BV127" s="15"/>
      <c r="BW127" s="98">
        <f>BW119-BW123</f>
        <v>3677.4857142857145</v>
      </c>
      <c r="BX127" s="92">
        <f>BX119-BX123</f>
        <v>3612.3571428571431</v>
      </c>
      <c r="BY127" s="92">
        <f>BY119-BY123</f>
        <v>3547.2285714285717</v>
      </c>
      <c r="BZ127" s="99">
        <f>BZ119-BZ123</f>
        <v>3482.1000000000004</v>
      </c>
      <c r="CA127" s="93">
        <f>CA119-CA123</f>
        <v>3482.1000000000004</v>
      </c>
      <c r="CB127" s="15"/>
      <c r="CC127" s="98">
        <f>CC119-CC123</f>
        <v>3416.971428571429</v>
      </c>
      <c r="CD127" s="92">
        <f>CD119-CD123</f>
        <v>3351.8428571428576</v>
      </c>
      <c r="CE127" s="92">
        <f>CE119-CE123</f>
        <v>3286.7142857142862</v>
      </c>
      <c r="CF127" s="99">
        <f>CF119-CF123</f>
        <v>3221.5857142857149</v>
      </c>
      <c r="CG127" s="93">
        <f>CG119-CG123</f>
        <v>3221.5857142857149</v>
      </c>
      <c r="CH127" s="15"/>
      <c r="CI127" s="98">
        <f>CI119-CI123</f>
        <v>3156.4571428571435</v>
      </c>
      <c r="CJ127" s="92">
        <f>CJ119-CJ123</f>
        <v>3091.3285714285721</v>
      </c>
      <c r="CK127" s="92">
        <f>CK119-CK123</f>
        <v>3026.2000000000007</v>
      </c>
      <c r="CL127" s="99">
        <f>CL119-CL123</f>
        <v>2961.0714285714294</v>
      </c>
      <c r="CM127" s="93">
        <f>CM119-CM123</f>
        <v>2961.0714285714294</v>
      </c>
      <c r="CQ127"/>
      <c r="CR127"/>
      <c r="CS127"/>
      <c r="CT127"/>
      <c r="CU127"/>
      <c r="CV127"/>
    </row>
    <row r="128" spans="1:100" s="11" customFormat="1" hidden="1" outlineLevel="1" x14ac:dyDescent="0.2">
      <c r="A128" s="474" t="s">
        <v>199</v>
      </c>
      <c r="B128" s="484"/>
      <c r="C128" s="485"/>
      <c r="D128" s="484"/>
      <c r="E128" s="484"/>
      <c r="F128" s="486"/>
      <c r="G128" s="487"/>
      <c r="H128" s="484"/>
      <c r="I128" s="488"/>
      <c r="J128" s="489"/>
      <c r="K128" s="489"/>
      <c r="L128" s="490"/>
      <c r="M128" s="491"/>
      <c r="N128" s="489"/>
      <c r="O128" s="488"/>
      <c r="P128" s="489"/>
      <c r="Q128" s="489"/>
      <c r="R128" s="490"/>
      <c r="S128" s="487"/>
      <c r="T128" s="484"/>
      <c r="U128" s="485"/>
      <c r="V128" s="484"/>
      <c r="W128" s="484"/>
      <c r="X128" s="486"/>
      <c r="Y128" s="487"/>
      <c r="Z128" s="484"/>
      <c r="AA128" s="485"/>
      <c r="AB128" s="484"/>
      <c r="AC128" s="484"/>
      <c r="AD128" s="486"/>
      <c r="AE128" s="487"/>
      <c r="AF128" s="484"/>
      <c r="AG128" s="485"/>
      <c r="AH128" s="484"/>
      <c r="AI128" s="484"/>
      <c r="AJ128" s="477"/>
      <c r="AK128" s="487"/>
      <c r="AL128" s="484"/>
      <c r="AM128" s="475"/>
      <c r="AN128" s="476"/>
      <c r="AO128" s="476"/>
      <c r="AP128" s="477"/>
      <c r="AQ128" s="478"/>
      <c r="AR128" s="484"/>
      <c r="AS128" s="475"/>
      <c r="AT128" s="476"/>
      <c r="AU128" s="476"/>
      <c r="AV128" s="477"/>
      <c r="AW128" s="478"/>
      <c r="AX128" s="484"/>
      <c r="AY128" s="475"/>
      <c r="AZ128" s="476">
        <f>AZ22-AZ127</f>
        <v>0</v>
      </c>
      <c r="BA128" s="476">
        <f>BA22-BA127</f>
        <v>0</v>
      </c>
      <c r="BB128" s="477">
        <f>BB22-BB127</f>
        <v>0</v>
      </c>
      <c r="BC128" s="478">
        <f>BC22-BC127</f>
        <v>0</v>
      </c>
      <c r="BD128" s="484"/>
      <c r="BE128" s="475">
        <f>BE22-BE127</f>
        <v>0</v>
      </c>
      <c r="BF128" s="476">
        <f>BF22-BF127</f>
        <v>0</v>
      </c>
      <c r="BG128" s="476">
        <f>BG22-BG127</f>
        <v>0</v>
      </c>
      <c r="BH128" s="477">
        <f>BH22-BH127</f>
        <v>1</v>
      </c>
      <c r="BI128" s="478">
        <f>BI22-BI127</f>
        <v>1</v>
      </c>
      <c r="BJ128" s="484"/>
      <c r="BK128" s="475">
        <f>BK22-BK127</f>
        <v>0</v>
      </c>
      <c r="BL128" s="476">
        <f>BL22-BL127</f>
        <v>0</v>
      </c>
      <c r="BM128" s="476">
        <f>BM22-BM127</f>
        <v>0</v>
      </c>
      <c r="BN128" s="477">
        <f>BN22-BN127</f>
        <v>0</v>
      </c>
      <c r="BO128" s="478">
        <f>BO22-BO127</f>
        <v>0</v>
      </c>
      <c r="BP128" s="484"/>
      <c r="BQ128" s="475">
        <f>BQ22-BQ127</f>
        <v>0</v>
      </c>
      <c r="BR128" s="476">
        <f>BR22-BR127</f>
        <v>0</v>
      </c>
      <c r="BS128" s="476">
        <f>BS22-BS127</f>
        <v>0</v>
      </c>
      <c r="BT128" s="477">
        <f>BT22-BT127</f>
        <v>0</v>
      </c>
      <c r="BU128" s="478">
        <f>BU22-BU127</f>
        <v>0</v>
      </c>
      <c r="BV128" s="484"/>
      <c r="BW128" s="475">
        <f>BW22-BW127</f>
        <v>0</v>
      </c>
      <c r="BX128" s="476">
        <f>BX22-BX127</f>
        <v>0</v>
      </c>
      <c r="BY128" s="476">
        <f>BY22-BY127</f>
        <v>0</v>
      </c>
      <c r="BZ128" s="477">
        <f>BZ22-BZ127</f>
        <v>0</v>
      </c>
      <c r="CA128" s="478">
        <f>CA22-CA127</f>
        <v>0</v>
      </c>
      <c r="CB128" s="484"/>
      <c r="CC128" s="475">
        <f>CC22-CC127</f>
        <v>0</v>
      </c>
      <c r="CD128" s="476">
        <f>CD22-CD127</f>
        <v>0</v>
      </c>
      <c r="CE128" s="476">
        <f>CE22-CE127</f>
        <v>0</v>
      </c>
      <c r="CF128" s="477">
        <f>CF22-CF127</f>
        <v>0</v>
      </c>
      <c r="CG128" s="478">
        <f>CG22-CG127</f>
        <v>0</v>
      </c>
      <c r="CH128" s="484"/>
      <c r="CI128" s="475">
        <f>CI22-CI127</f>
        <v>0</v>
      </c>
      <c r="CJ128" s="476">
        <f>CJ22-CJ127</f>
        <v>0</v>
      </c>
      <c r="CK128" s="476">
        <f>CK22-CK127</f>
        <v>0</v>
      </c>
      <c r="CL128" s="477">
        <f>CL22-CL127</f>
        <v>0</v>
      </c>
      <c r="CM128" s="478">
        <f>CM22-CM127</f>
        <v>0</v>
      </c>
      <c r="CQ128"/>
      <c r="CR128"/>
      <c r="CS128"/>
      <c r="CT128"/>
      <c r="CU128"/>
      <c r="CV128"/>
    </row>
    <row r="129" spans="1:100" s="11" customFormat="1" collapsed="1" x14ac:dyDescent="0.2">
      <c r="A129" s="284" t="s">
        <v>208</v>
      </c>
      <c r="B129" s="285"/>
      <c r="C129" s="286"/>
      <c r="D129" s="285"/>
      <c r="E129" s="285"/>
      <c r="F129" s="287"/>
      <c r="G129" s="288"/>
      <c r="H129" s="285"/>
      <c r="I129" s="480"/>
      <c r="J129" s="481"/>
      <c r="K129" s="481"/>
      <c r="L129" s="482"/>
      <c r="M129" s="483"/>
      <c r="N129" s="481"/>
      <c r="O129" s="480"/>
      <c r="P129" s="481"/>
      <c r="Q129" s="481"/>
      <c r="R129" s="482"/>
      <c r="S129" s="288"/>
      <c r="T129" s="285"/>
      <c r="U129" s="286"/>
      <c r="V129" s="285"/>
      <c r="W129" s="285"/>
      <c r="X129" s="287"/>
      <c r="Y129" s="288"/>
      <c r="Z129" s="285"/>
      <c r="AA129" s="286"/>
      <c r="AB129" s="285"/>
      <c r="AC129" s="285"/>
      <c r="AD129" s="287"/>
      <c r="AE129" s="288"/>
      <c r="AF129" s="285"/>
      <c r="AG129" s="286"/>
      <c r="AH129" s="285"/>
      <c r="AI129" s="285"/>
      <c r="AJ129" s="287"/>
      <c r="AK129" s="288"/>
      <c r="AL129" s="285"/>
      <c r="AM129" s="286"/>
      <c r="AN129" s="285"/>
      <c r="AO129" s="285"/>
      <c r="AP129" s="287"/>
      <c r="AQ129" s="288"/>
      <c r="AR129" s="285"/>
      <c r="AS129" s="286"/>
      <c r="AT129" s="285"/>
      <c r="AU129" s="285"/>
      <c r="AV129" s="287"/>
      <c r="AW129" s="288"/>
      <c r="AX129" s="285"/>
      <c r="AY129" s="286"/>
      <c r="AZ129" s="285"/>
      <c r="BA129" s="285"/>
      <c r="BB129" s="287"/>
      <c r="BC129" s="288"/>
      <c r="BD129" s="285"/>
      <c r="BE129" s="286"/>
      <c r="BF129" s="285"/>
      <c r="BG129" s="285"/>
      <c r="BH129" s="287"/>
      <c r="BI129" s="288"/>
      <c r="BJ129" s="285"/>
      <c r="BK129" s="286"/>
      <c r="BL129" s="285"/>
      <c r="BM129" s="285"/>
      <c r="BN129" s="287"/>
      <c r="BO129" s="288"/>
      <c r="BP129" s="285"/>
      <c r="BQ129" s="286"/>
      <c r="BR129" s="285"/>
      <c r="BS129" s="285"/>
      <c r="BT129" s="287"/>
      <c r="BU129" s="288"/>
      <c r="BV129" s="285"/>
      <c r="BW129" s="286"/>
      <c r="BX129" s="285"/>
      <c r="BY129" s="285"/>
      <c r="BZ129" s="287"/>
      <c r="CA129" s="288"/>
      <c r="CB129" s="285"/>
      <c r="CC129" s="286"/>
      <c r="CD129" s="285"/>
      <c r="CE129" s="285"/>
      <c r="CF129" s="287"/>
      <c r="CG129" s="288"/>
      <c r="CH129" s="285"/>
      <c r="CI129" s="286"/>
      <c r="CJ129" s="285"/>
      <c r="CK129" s="285"/>
      <c r="CL129" s="287"/>
      <c r="CM129" s="288"/>
      <c r="CQ129"/>
      <c r="CR129"/>
      <c r="CS129"/>
      <c r="CT129"/>
      <c r="CU129"/>
      <c r="CV129"/>
    </row>
    <row r="130" spans="1:100" s="11" customFormat="1" hidden="1" outlineLevel="1" x14ac:dyDescent="0.2">
      <c r="A130" s="189" t="s">
        <v>201</v>
      </c>
      <c r="B130" s="15"/>
      <c r="C130" s="278"/>
      <c r="D130" s="15"/>
      <c r="E130" s="15"/>
      <c r="F130" s="279"/>
      <c r="G130" s="442"/>
      <c r="H130" s="15"/>
      <c r="I130" s="443"/>
      <c r="J130" s="390"/>
      <c r="K130" s="390"/>
      <c r="L130" s="444"/>
      <c r="M130" s="445"/>
      <c r="N130" s="390"/>
      <c r="O130" s="443"/>
      <c r="P130" s="390"/>
      <c r="Q130" s="390"/>
      <c r="R130" s="444"/>
      <c r="S130" s="442"/>
      <c r="T130" s="15"/>
      <c r="U130" s="278"/>
      <c r="V130" s="15"/>
      <c r="W130" s="15"/>
      <c r="X130" s="279"/>
      <c r="Y130" s="442"/>
      <c r="Z130" s="15"/>
      <c r="AA130" s="278"/>
      <c r="AB130" s="15"/>
      <c r="AC130" s="15"/>
      <c r="AD130" s="279"/>
      <c r="AE130" s="442"/>
      <c r="AF130" s="15"/>
      <c r="AG130" s="278"/>
      <c r="AH130" s="15"/>
      <c r="AI130" s="15"/>
      <c r="AJ130" s="99"/>
      <c r="AK130" s="442"/>
      <c r="AL130" s="15"/>
      <c r="AM130" s="98">
        <f>AJ132</f>
        <v>856.58500000000004</v>
      </c>
      <c r="AN130" s="92">
        <f>AM132</f>
        <v>924.88499999999999</v>
      </c>
      <c r="AO130" s="92">
        <f>AN132</f>
        <v>930.45299999999997</v>
      </c>
      <c r="AP130" s="99">
        <f>AO132</f>
        <v>922.58199999999999</v>
      </c>
      <c r="AQ130" s="93">
        <f>AM130</f>
        <v>856.58500000000004</v>
      </c>
      <c r="AR130" s="15"/>
      <c r="AS130" s="98">
        <f>AP132</f>
        <v>942</v>
      </c>
      <c r="AT130" s="92">
        <f>AS132</f>
        <v>934</v>
      </c>
      <c r="AU130" s="92">
        <f>AT132</f>
        <v>965</v>
      </c>
      <c r="AV130" s="99">
        <f>AU132</f>
        <v>966</v>
      </c>
      <c r="AW130" s="93">
        <f>AS130</f>
        <v>942</v>
      </c>
      <c r="AX130" s="15"/>
      <c r="AY130" s="98">
        <f>AV132</f>
        <v>892.5</v>
      </c>
      <c r="AZ130" s="92">
        <f>AY132</f>
        <v>880</v>
      </c>
      <c r="BA130" s="92">
        <f>AZ132</f>
        <v>3406</v>
      </c>
      <c r="BB130" s="99">
        <f>BA132</f>
        <v>3411</v>
      </c>
      <c r="BC130" s="93">
        <f>AY130</f>
        <v>892.5</v>
      </c>
      <c r="BD130" s="15"/>
      <c r="BE130" s="98">
        <f>BB132</f>
        <v>3487</v>
      </c>
      <c r="BF130" s="92">
        <f>BE132</f>
        <v>3478</v>
      </c>
      <c r="BG130" s="92">
        <f>BF132</f>
        <v>3355.5</v>
      </c>
      <c r="BH130" s="99">
        <f>BG132</f>
        <v>3358</v>
      </c>
      <c r="BI130" s="93">
        <f>BE130</f>
        <v>3487</v>
      </c>
      <c r="BJ130" s="15"/>
      <c r="BK130" s="98">
        <f>BH132</f>
        <v>3409</v>
      </c>
      <c r="BL130" s="92">
        <f>BK132</f>
        <v>3385</v>
      </c>
      <c r="BM130" s="92">
        <f>BL132</f>
        <v>3417</v>
      </c>
      <c r="BN130" s="99">
        <f>BM132</f>
        <v>3484</v>
      </c>
      <c r="BO130" s="93">
        <f>BK130</f>
        <v>3409</v>
      </c>
      <c r="BP130" s="15"/>
      <c r="BQ130" s="98">
        <f>BN132</f>
        <v>3508</v>
      </c>
      <c r="BR130" s="92">
        <f>BQ132</f>
        <v>15269</v>
      </c>
      <c r="BS130" s="92">
        <f>BR132</f>
        <v>15269</v>
      </c>
      <c r="BT130" s="99">
        <f>BS132</f>
        <v>15269</v>
      </c>
      <c r="BU130" s="93">
        <f>BQ130</f>
        <v>3508</v>
      </c>
      <c r="BV130" s="15"/>
      <c r="BW130" s="98">
        <f>BT132</f>
        <v>15269</v>
      </c>
      <c r="BX130" s="92">
        <f>BW132</f>
        <v>15269</v>
      </c>
      <c r="BY130" s="92">
        <f>BX132</f>
        <v>15269</v>
      </c>
      <c r="BZ130" s="99">
        <f>BY132</f>
        <v>15269</v>
      </c>
      <c r="CA130" s="93">
        <f>BW130</f>
        <v>15269</v>
      </c>
      <c r="CB130" s="15"/>
      <c r="CC130" s="98">
        <f>BZ132</f>
        <v>15269</v>
      </c>
      <c r="CD130" s="92">
        <f>CC132</f>
        <v>15269</v>
      </c>
      <c r="CE130" s="92">
        <f>CD132</f>
        <v>15269</v>
      </c>
      <c r="CF130" s="99">
        <f>CE132</f>
        <v>15269</v>
      </c>
      <c r="CG130" s="93">
        <f>CC130</f>
        <v>15269</v>
      </c>
      <c r="CH130" s="15"/>
      <c r="CI130" s="98">
        <f>CF132</f>
        <v>15269</v>
      </c>
      <c r="CJ130" s="92">
        <f>CI132</f>
        <v>15269</v>
      </c>
      <c r="CK130" s="92">
        <f>CJ132</f>
        <v>15269</v>
      </c>
      <c r="CL130" s="99">
        <f>CK132</f>
        <v>15269</v>
      </c>
      <c r="CM130" s="93">
        <f>CI130</f>
        <v>15269</v>
      </c>
      <c r="CQ130"/>
      <c r="CR130"/>
      <c r="CS130"/>
      <c r="CT130"/>
      <c r="CU130"/>
      <c r="CV130"/>
    </row>
    <row r="131" spans="1:100" s="11" customFormat="1" hidden="1" outlineLevel="1" x14ac:dyDescent="0.2">
      <c r="A131" s="189" t="s">
        <v>202</v>
      </c>
      <c r="B131" s="15"/>
      <c r="C131" s="278"/>
      <c r="D131" s="15"/>
      <c r="E131" s="15"/>
      <c r="F131" s="279"/>
      <c r="G131" s="442"/>
      <c r="H131" s="15"/>
      <c r="I131" s="443"/>
      <c r="J131" s="390"/>
      <c r="K131" s="390"/>
      <c r="L131" s="444"/>
      <c r="M131" s="445"/>
      <c r="N131" s="390"/>
      <c r="O131" s="443"/>
      <c r="P131" s="390"/>
      <c r="Q131" s="390"/>
      <c r="R131" s="444"/>
      <c r="S131" s="442"/>
      <c r="T131" s="15"/>
      <c r="U131" s="278"/>
      <c r="V131" s="15"/>
      <c r="W131" s="15"/>
      <c r="X131" s="279"/>
      <c r="Y131" s="442"/>
      <c r="Z131" s="15"/>
      <c r="AA131" s="278"/>
      <c r="AB131" s="15"/>
      <c r="AC131" s="15"/>
      <c r="AD131" s="279"/>
      <c r="AE131" s="442"/>
      <c r="AF131" s="15"/>
      <c r="AG131" s="278"/>
      <c r="AH131" s="15"/>
      <c r="AI131" s="15"/>
      <c r="AJ131" s="99"/>
      <c r="AK131" s="442"/>
      <c r="AL131" s="15"/>
      <c r="AM131" s="98">
        <f>AM132-AM130</f>
        <v>68.299999999999955</v>
      </c>
      <c r="AN131" s="92">
        <f>AN132-AN130</f>
        <v>5.5679999999999836</v>
      </c>
      <c r="AO131" s="92">
        <f>AO132-AO130</f>
        <v>-7.8709999999999809</v>
      </c>
      <c r="AP131" s="99">
        <f>AP132-AP130</f>
        <v>19.418000000000006</v>
      </c>
      <c r="AQ131" s="93">
        <f>SUM(AM131:AP131)</f>
        <v>85.414999999999964</v>
      </c>
      <c r="AR131" s="15"/>
      <c r="AS131" s="98">
        <f>AS132-AS130</f>
        <v>-8</v>
      </c>
      <c r="AT131" s="92">
        <f>AT132-AT130</f>
        <v>31</v>
      </c>
      <c r="AU131" s="92">
        <f>AU132-AU130</f>
        <v>1</v>
      </c>
      <c r="AV131" s="106">
        <f>AV132-AV130</f>
        <v>-73.5</v>
      </c>
      <c r="AW131" s="93">
        <f>SUM(AS131:AV131)</f>
        <v>-49.5</v>
      </c>
      <c r="AX131" s="15"/>
      <c r="AY131" s="98">
        <f>AY132-AY130</f>
        <v>-12.5</v>
      </c>
      <c r="AZ131" s="92">
        <f>AZ132-AZ130</f>
        <v>2526</v>
      </c>
      <c r="BA131" s="92">
        <f>BA132-BA130</f>
        <v>5</v>
      </c>
      <c r="BB131" s="99">
        <f>BB132-BB130</f>
        <v>76</v>
      </c>
      <c r="BC131" s="93">
        <f>SUM(AY131:BB131)</f>
        <v>2594.5</v>
      </c>
      <c r="BD131" s="15"/>
      <c r="BE131" s="98">
        <f>BE132-BE130</f>
        <v>-9</v>
      </c>
      <c r="BF131" s="92">
        <f>BF132-BF130</f>
        <v>-122.5</v>
      </c>
      <c r="BG131" s="92">
        <f>BG132-BG130</f>
        <v>2.5</v>
      </c>
      <c r="BH131" s="99">
        <f>BH132-BH130</f>
        <v>51</v>
      </c>
      <c r="BI131" s="93">
        <f>SUM(BE131:BH131)</f>
        <v>-78</v>
      </c>
      <c r="BJ131" s="15"/>
      <c r="BK131" s="98">
        <f>BK132-BK130</f>
        <v>-24</v>
      </c>
      <c r="BL131" s="92">
        <f>BL132-BL130</f>
        <v>32</v>
      </c>
      <c r="BM131" s="92">
        <f>BM132-BM130</f>
        <v>67</v>
      </c>
      <c r="BN131" s="99">
        <f>BN132-BN130</f>
        <v>24</v>
      </c>
      <c r="BO131" s="93">
        <f>SUM(BK131:BN131)</f>
        <v>99</v>
      </c>
      <c r="BP131" s="15"/>
      <c r="BQ131" s="98">
        <f>BQ132-BQ130</f>
        <v>11761</v>
      </c>
      <c r="BR131" s="105">
        <v>0</v>
      </c>
      <c r="BS131" s="105">
        <v>0</v>
      </c>
      <c r="BT131" s="106">
        <v>0</v>
      </c>
      <c r="BU131" s="93">
        <f>SUM(BQ131:BT131)</f>
        <v>11761</v>
      </c>
      <c r="BV131" s="15"/>
      <c r="BW131" s="104">
        <v>0</v>
      </c>
      <c r="BX131" s="105">
        <v>0</v>
      </c>
      <c r="BY131" s="105">
        <v>0</v>
      </c>
      <c r="BZ131" s="106">
        <v>0</v>
      </c>
      <c r="CA131" s="93">
        <f>SUM(BW131:BZ131)</f>
        <v>0</v>
      </c>
      <c r="CB131" s="15"/>
      <c r="CC131" s="104">
        <v>0</v>
      </c>
      <c r="CD131" s="105">
        <v>0</v>
      </c>
      <c r="CE131" s="105">
        <v>0</v>
      </c>
      <c r="CF131" s="106">
        <v>0</v>
      </c>
      <c r="CG131" s="93">
        <f>SUM(CC131:CF131)</f>
        <v>0</v>
      </c>
      <c r="CH131" s="15"/>
      <c r="CI131" s="104">
        <v>0</v>
      </c>
      <c r="CJ131" s="105">
        <v>0</v>
      </c>
      <c r="CK131" s="105">
        <v>0</v>
      </c>
      <c r="CL131" s="106">
        <v>0</v>
      </c>
      <c r="CM131" s="93">
        <f>SUM(CI131:CL131)</f>
        <v>0</v>
      </c>
      <c r="CQ131"/>
      <c r="CR131"/>
      <c r="CS131"/>
      <c r="CT131"/>
      <c r="CU131"/>
      <c r="CV131"/>
    </row>
    <row r="132" spans="1:100" s="11" customFormat="1" hidden="1" outlineLevel="1" x14ac:dyDescent="0.2">
      <c r="A132" s="189" t="s">
        <v>203</v>
      </c>
      <c r="B132" s="15"/>
      <c r="C132" s="278"/>
      <c r="D132" s="15"/>
      <c r="E132" s="15"/>
      <c r="F132" s="279"/>
      <c r="G132" s="442"/>
      <c r="H132" s="15"/>
      <c r="I132" s="443"/>
      <c r="J132" s="390"/>
      <c r="K132" s="390"/>
      <c r="L132" s="444"/>
      <c r="M132" s="445"/>
      <c r="N132" s="390"/>
      <c r="O132" s="443"/>
      <c r="P132" s="390"/>
      <c r="Q132" s="390"/>
      <c r="R132" s="444"/>
      <c r="S132" s="442"/>
      <c r="T132" s="15"/>
      <c r="U132" s="278"/>
      <c r="V132" s="15"/>
      <c r="W132" s="15"/>
      <c r="X132" s="279"/>
      <c r="Y132" s="442"/>
      <c r="Z132" s="15"/>
      <c r="AA132" s="278"/>
      <c r="AB132" s="15"/>
      <c r="AC132" s="15"/>
      <c r="AD132" s="279"/>
      <c r="AE132" s="442"/>
      <c r="AF132" s="15"/>
      <c r="AG132" s="278"/>
      <c r="AH132" s="15"/>
      <c r="AI132" s="15"/>
      <c r="AJ132" s="106">
        <v>856.58500000000004</v>
      </c>
      <c r="AK132" s="442"/>
      <c r="AL132" s="15"/>
      <c r="AM132" s="104">
        <v>924.88499999999999</v>
      </c>
      <c r="AN132" s="105">
        <v>930.45299999999997</v>
      </c>
      <c r="AO132" s="105">
        <v>922.58199999999999</v>
      </c>
      <c r="AP132" s="106">
        <v>942</v>
      </c>
      <c r="AQ132" s="93">
        <f>SUM(AQ130:AQ131)</f>
        <v>942</v>
      </c>
      <c r="AR132" s="15"/>
      <c r="AS132" s="104">
        <v>934</v>
      </c>
      <c r="AT132" s="105">
        <v>965</v>
      </c>
      <c r="AU132" s="105">
        <v>966</v>
      </c>
      <c r="AV132" s="106">
        <v>892.5</v>
      </c>
      <c r="AW132" s="93">
        <f>SUM(AW130:AW131)</f>
        <v>892.5</v>
      </c>
      <c r="AX132" s="15"/>
      <c r="AY132" s="95">
        <v>880</v>
      </c>
      <c r="AZ132" s="96">
        <v>3406</v>
      </c>
      <c r="BA132" s="96">
        <f>3412-1</f>
        <v>3411</v>
      </c>
      <c r="BB132" s="97">
        <v>3487</v>
      </c>
      <c r="BC132" s="93">
        <f>SUM(BC130:BC131)</f>
        <v>3487</v>
      </c>
      <c r="BD132" s="15"/>
      <c r="BE132" s="95">
        <v>3478</v>
      </c>
      <c r="BF132" s="96">
        <v>3355.5</v>
      </c>
      <c r="BG132" s="96">
        <v>3358</v>
      </c>
      <c r="BH132" s="97">
        <v>3409</v>
      </c>
      <c r="BI132" s="93">
        <f>SUM(BI130:BI131)</f>
        <v>3409</v>
      </c>
      <c r="BJ132" s="15"/>
      <c r="BK132" s="95">
        <v>3385</v>
      </c>
      <c r="BL132" s="96">
        <v>3417</v>
      </c>
      <c r="BM132" s="96">
        <v>3484</v>
      </c>
      <c r="BN132" s="97">
        <v>3508</v>
      </c>
      <c r="BO132" s="93">
        <f>SUM(BO130:BO131)</f>
        <v>3508</v>
      </c>
      <c r="BP132" s="15"/>
      <c r="BQ132" s="95">
        <v>15269</v>
      </c>
      <c r="BR132" s="92">
        <f>BR130+BR131</f>
        <v>15269</v>
      </c>
      <c r="BS132" s="92">
        <f>BS130+BS131</f>
        <v>15269</v>
      </c>
      <c r="BT132" s="99">
        <f>BT130+BT131</f>
        <v>15269</v>
      </c>
      <c r="BU132" s="93">
        <f>SUM(BU130:BU131)</f>
        <v>15269</v>
      </c>
      <c r="BV132" s="15"/>
      <c r="BW132" s="98">
        <f>BW130+BW131</f>
        <v>15269</v>
      </c>
      <c r="BX132" s="92">
        <f>BX130+BX131</f>
        <v>15269</v>
      </c>
      <c r="BY132" s="92">
        <f>BY130+BY131</f>
        <v>15269</v>
      </c>
      <c r="BZ132" s="99">
        <f>BZ130+BZ131</f>
        <v>15269</v>
      </c>
      <c r="CA132" s="93">
        <f>SUM(CA130:CA131)</f>
        <v>15269</v>
      </c>
      <c r="CB132" s="15"/>
      <c r="CC132" s="98">
        <f>CC130+CC131</f>
        <v>15269</v>
      </c>
      <c r="CD132" s="92">
        <f>CD130+CD131</f>
        <v>15269</v>
      </c>
      <c r="CE132" s="92">
        <f>CE130+CE131</f>
        <v>15269</v>
      </c>
      <c r="CF132" s="99">
        <f>CF130+CF131</f>
        <v>15269</v>
      </c>
      <c r="CG132" s="93">
        <f>SUM(CG130:CG131)</f>
        <v>15269</v>
      </c>
      <c r="CH132" s="15"/>
      <c r="CI132" s="98">
        <f>CI130+CI131</f>
        <v>15269</v>
      </c>
      <c r="CJ132" s="92">
        <f>CJ130+CJ131</f>
        <v>15269</v>
      </c>
      <c r="CK132" s="92">
        <f>CK130+CK131</f>
        <v>15269</v>
      </c>
      <c r="CL132" s="99">
        <f>CL130+CL131</f>
        <v>15269</v>
      </c>
      <c r="CM132" s="93">
        <f>SUM(CM130:CM131)</f>
        <v>15269</v>
      </c>
      <c r="CQ132"/>
      <c r="CR132"/>
      <c r="CS132"/>
      <c r="CT132"/>
      <c r="CU132"/>
      <c r="CV132"/>
    </row>
    <row r="133" spans="1:100" s="11" customFormat="1" hidden="1" outlineLevel="1" x14ac:dyDescent="0.2">
      <c r="A133" s="189"/>
      <c r="B133" s="15"/>
      <c r="C133" s="278"/>
      <c r="D133" s="15"/>
      <c r="E133" s="15"/>
      <c r="F133" s="279"/>
      <c r="G133" s="442"/>
      <c r="H133" s="15"/>
      <c r="I133" s="443"/>
      <c r="J133" s="390"/>
      <c r="K133" s="390"/>
      <c r="L133" s="444"/>
      <c r="M133" s="445"/>
      <c r="N133" s="390"/>
      <c r="O133" s="443"/>
      <c r="P133" s="390"/>
      <c r="Q133" s="390"/>
      <c r="R133" s="444"/>
      <c r="S133" s="442"/>
      <c r="T133" s="15"/>
      <c r="U133" s="278"/>
      <c r="V133" s="15"/>
      <c r="W133" s="15"/>
      <c r="X133" s="279"/>
      <c r="Y133" s="442"/>
      <c r="Z133" s="15"/>
      <c r="AA133" s="278"/>
      <c r="AB133" s="15"/>
      <c r="AC133" s="15"/>
      <c r="AD133" s="279"/>
      <c r="AE133" s="442"/>
      <c r="AF133" s="15"/>
      <c r="AG133" s="278"/>
      <c r="AH133" s="15"/>
      <c r="AI133" s="15"/>
      <c r="AJ133" s="279"/>
      <c r="AK133" s="442"/>
      <c r="AL133" s="15"/>
      <c r="AM133" s="278"/>
      <c r="AN133" s="15"/>
      <c r="AO133" s="15"/>
      <c r="AP133" s="279"/>
      <c r="AQ133" s="442"/>
      <c r="AR133" s="15"/>
      <c r="AS133" s="278"/>
      <c r="AT133" s="15"/>
      <c r="AU133" s="15"/>
      <c r="AV133" s="279"/>
      <c r="AW133" s="442"/>
      <c r="AX133" s="15"/>
      <c r="AY133" s="278"/>
      <c r="AZ133" s="15"/>
      <c r="BA133" s="15"/>
      <c r="BB133" s="279"/>
      <c r="BC133" s="442"/>
      <c r="BD133" s="15"/>
      <c r="BE133" s="278"/>
      <c r="BF133" s="15"/>
      <c r="BG133" s="15"/>
      <c r="BH133" s="279"/>
      <c r="BI133" s="442"/>
      <c r="BJ133" s="15"/>
      <c r="BK133" s="278"/>
      <c r="BL133" s="15"/>
      <c r="BM133" s="15"/>
      <c r="BN133" s="279"/>
      <c r="BO133" s="442"/>
      <c r="BP133" s="15"/>
      <c r="BQ133" s="278"/>
      <c r="BR133" s="15"/>
      <c r="BS133" s="15"/>
      <c r="BT133" s="279"/>
      <c r="BU133" s="442"/>
      <c r="BV133" s="15"/>
      <c r="BW133" s="278"/>
      <c r="BX133" s="15"/>
      <c r="BY133" s="15"/>
      <c r="BZ133" s="279"/>
      <c r="CA133" s="442"/>
      <c r="CB133" s="15"/>
      <c r="CC133" s="278"/>
      <c r="CD133" s="15"/>
      <c r="CE133" s="15"/>
      <c r="CF133" s="279"/>
      <c r="CG133" s="442"/>
      <c r="CH133" s="15"/>
      <c r="CI133" s="278"/>
      <c r="CJ133" s="15"/>
      <c r="CK133" s="15"/>
      <c r="CL133" s="279"/>
      <c r="CM133" s="442"/>
      <c r="CQ133"/>
      <c r="CR133"/>
      <c r="CS133"/>
      <c r="CT133"/>
      <c r="CU133"/>
      <c r="CV133"/>
    </row>
    <row r="134" spans="1:100" s="11" customFormat="1" hidden="1" outlineLevel="1" x14ac:dyDescent="0.2">
      <c r="A134" s="189" t="s">
        <v>204</v>
      </c>
      <c r="B134" s="15"/>
      <c r="C134" s="278"/>
      <c r="D134" s="15"/>
      <c r="E134" s="15"/>
      <c r="F134" s="279"/>
      <c r="G134" s="442"/>
      <c r="H134" s="15"/>
      <c r="I134" s="443"/>
      <c r="J134" s="390"/>
      <c r="K134" s="390"/>
      <c r="L134" s="444"/>
      <c r="M134" s="445"/>
      <c r="N134" s="390"/>
      <c r="O134" s="443"/>
      <c r="P134" s="390"/>
      <c r="Q134" s="390"/>
      <c r="R134" s="444"/>
      <c r="S134" s="442"/>
      <c r="T134" s="15"/>
      <c r="U134" s="278"/>
      <c r="V134" s="15"/>
      <c r="W134" s="15"/>
      <c r="X134" s="279"/>
      <c r="Y134" s="442"/>
      <c r="Z134" s="15"/>
      <c r="AA134" s="278"/>
      <c r="AB134" s="15"/>
      <c r="AC134" s="15"/>
      <c r="AD134" s="279"/>
      <c r="AE134" s="442"/>
      <c r="AF134" s="15"/>
      <c r="AG134" s="278"/>
      <c r="AH134" s="15"/>
      <c r="AI134" s="15"/>
      <c r="AJ134" s="99"/>
      <c r="AK134" s="442"/>
      <c r="AL134" s="15"/>
      <c r="AM134" s="98">
        <f>AJ136</f>
        <v>344.911</v>
      </c>
      <c r="AN134" s="92">
        <f>AM136</f>
        <v>356.077</v>
      </c>
      <c r="AO134" s="92">
        <f>AN136</f>
        <v>370.32299999999998</v>
      </c>
      <c r="AP134" s="99">
        <f>AO136</f>
        <v>379.10599999999999</v>
      </c>
      <c r="AQ134" s="93">
        <f>AM134</f>
        <v>344.911</v>
      </c>
      <c r="AR134" s="15"/>
      <c r="AS134" s="98">
        <f>AP136</f>
        <v>401</v>
      </c>
      <c r="AT134" s="92">
        <f>AS136</f>
        <v>410</v>
      </c>
      <c r="AU134" s="92">
        <f>AT136</f>
        <v>425</v>
      </c>
      <c r="AV134" s="99">
        <f>AU136</f>
        <v>435</v>
      </c>
      <c r="AW134" s="93">
        <f>AS134</f>
        <v>401</v>
      </c>
      <c r="AX134" s="15"/>
      <c r="AY134" s="98">
        <f>AV136</f>
        <v>379.5</v>
      </c>
      <c r="AZ134" s="92">
        <f>AY136</f>
        <v>384</v>
      </c>
      <c r="BA134" s="92">
        <f>AZ136</f>
        <v>378</v>
      </c>
      <c r="BB134" s="99">
        <f>BA136</f>
        <v>449</v>
      </c>
      <c r="BC134" s="93">
        <f>AY134</f>
        <v>379.5</v>
      </c>
      <c r="BD134" s="15"/>
      <c r="BE134" s="98">
        <f>BB136</f>
        <v>510</v>
      </c>
      <c r="BF134" s="92">
        <f>BE136</f>
        <v>572</v>
      </c>
      <c r="BG134" s="92">
        <f>BF136</f>
        <v>634.5</v>
      </c>
      <c r="BH134" s="99">
        <f>BG136</f>
        <v>700</v>
      </c>
      <c r="BI134" s="93">
        <f>BE134</f>
        <v>510</v>
      </c>
      <c r="BJ134" s="15"/>
      <c r="BK134" s="98">
        <f>BH136</f>
        <v>754</v>
      </c>
      <c r="BL134" s="92">
        <f>BK136</f>
        <v>805</v>
      </c>
      <c r="BM134" s="92">
        <f>BL136</f>
        <v>878</v>
      </c>
      <c r="BN134" s="99">
        <f>BM136</f>
        <v>951</v>
      </c>
      <c r="BO134" s="93">
        <f>BK134</f>
        <v>754</v>
      </c>
      <c r="BP134" s="15"/>
      <c r="BQ134" s="98">
        <f>BN136</f>
        <v>1030</v>
      </c>
      <c r="BR134" s="92">
        <f>BQ136</f>
        <v>1096</v>
      </c>
      <c r="BS134" s="92">
        <f>BR136</f>
        <v>1314.1285714285714</v>
      </c>
      <c r="BT134" s="99">
        <f>BS136</f>
        <v>1532.2571428571428</v>
      </c>
      <c r="BU134" s="93">
        <f>BQ134</f>
        <v>1030</v>
      </c>
      <c r="BV134" s="15"/>
      <c r="BW134" s="98">
        <f>BT136</f>
        <v>1750.3857142857141</v>
      </c>
      <c r="BX134" s="92">
        <f>BW136</f>
        <v>1968.5142857142855</v>
      </c>
      <c r="BY134" s="92">
        <f>BX136</f>
        <v>2186.6428571428569</v>
      </c>
      <c r="BZ134" s="99">
        <f>BY136</f>
        <v>2404.7714285714283</v>
      </c>
      <c r="CA134" s="93">
        <f>BW134</f>
        <v>1750.3857142857141</v>
      </c>
      <c r="CB134" s="15"/>
      <c r="CC134" s="98">
        <f>BZ136</f>
        <v>2622.8999999999996</v>
      </c>
      <c r="CD134" s="92">
        <f>CC136</f>
        <v>2841.028571428571</v>
      </c>
      <c r="CE134" s="92">
        <f>CD136</f>
        <v>3059.1571428571424</v>
      </c>
      <c r="CF134" s="99">
        <f>CE136</f>
        <v>3277.2857142857138</v>
      </c>
      <c r="CG134" s="93">
        <f>CC134</f>
        <v>2622.8999999999996</v>
      </c>
      <c r="CH134" s="15"/>
      <c r="CI134" s="98">
        <f>CF136</f>
        <v>3495.4142857142851</v>
      </c>
      <c r="CJ134" s="92">
        <f>CI136</f>
        <v>3713.5428571428565</v>
      </c>
      <c r="CK134" s="92">
        <f>CJ136</f>
        <v>3931.6714285714279</v>
      </c>
      <c r="CL134" s="99">
        <f>CK136</f>
        <v>4149.7999999999993</v>
      </c>
      <c r="CM134" s="93">
        <f>CI134</f>
        <v>3495.4142857142851</v>
      </c>
      <c r="CQ134"/>
      <c r="CR134"/>
      <c r="CS134"/>
      <c r="CT134"/>
      <c r="CU134"/>
      <c r="CV134"/>
    </row>
    <row r="135" spans="1:100" s="11" customFormat="1" hidden="1" outlineLevel="1" x14ac:dyDescent="0.2">
      <c r="A135" s="189" t="s">
        <v>37</v>
      </c>
      <c r="B135" s="15"/>
      <c r="C135" s="278"/>
      <c r="D135" s="15"/>
      <c r="E135" s="15"/>
      <c r="F135" s="279"/>
      <c r="G135" s="442"/>
      <c r="H135" s="15"/>
      <c r="I135" s="443"/>
      <c r="J135" s="390"/>
      <c r="K135" s="390"/>
      <c r="L135" s="444"/>
      <c r="M135" s="445"/>
      <c r="N135" s="390"/>
      <c r="O135" s="443"/>
      <c r="P135" s="390"/>
      <c r="Q135" s="390"/>
      <c r="R135" s="444"/>
      <c r="S135" s="442"/>
      <c r="T135" s="15"/>
      <c r="U135" s="278"/>
      <c r="V135" s="15"/>
      <c r="W135" s="15"/>
      <c r="X135" s="279"/>
      <c r="Y135" s="442"/>
      <c r="Z135" s="15"/>
      <c r="AA135" s="278"/>
      <c r="AB135" s="15"/>
      <c r="AC135" s="15"/>
      <c r="AD135" s="279"/>
      <c r="AE135" s="442"/>
      <c r="AF135" s="15"/>
      <c r="AG135" s="278"/>
      <c r="AH135" s="15"/>
      <c r="AI135" s="15"/>
      <c r="AJ135" s="99"/>
      <c r="AK135" s="442"/>
      <c r="AL135" s="15"/>
      <c r="AM135" s="98">
        <f>AM136-AM134</f>
        <v>11.165999999999997</v>
      </c>
      <c r="AN135" s="92">
        <f>AN136-AN134</f>
        <v>14.245999999999981</v>
      </c>
      <c r="AO135" s="92">
        <f>AO136-AO134</f>
        <v>8.7830000000000155</v>
      </c>
      <c r="AP135" s="99">
        <f>AP136-AP134</f>
        <v>21.894000000000005</v>
      </c>
      <c r="AQ135" s="93">
        <f>SUM(AM135:AP135)</f>
        <v>56.088999999999999</v>
      </c>
      <c r="AR135" s="15"/>
      <c r="AS135" s="98">
        <f>AS136-AS134</f>
        <v>9</v>
      </c>
      <c r="AT135" s="92">
        <f>AT136-AT134</f>
        <v>15</v>
      </c>
      <c r="AU135" s="92">
        <f>AU136-AU134</f>
        <v>10</v>
      </c>
      <c r="AV135" s="99">
        <f>AV136-AV134</f>
        <v>-55.5</v>
      </c>
      <c r="AW135" s="93">
        <f>SUM(AS135:AV135)</f>
        <v>-21.5</v>
      </c>
      <c r="AX135" s="15"/>
      <c r="AY135" s="98">
        <f>AY136-AY134</f>
        <v>4.5</v>
      </c>
      <c r="AZ135" s="92">
        <f>AZ136-AZ134</f>
        <v>-6</v>
      </c>
      <c r="BA135" s="92">
        <f>BA136-BA134</f>
        <v>71</v>
      </c>
      <c r="BB135" s="99">
        <f>BB136-BB134</f>
        <v>61</v>
      </c>
      <c r="BC135" s="93">
        <f>SUM(AY135:BB135)</f>
        <v>130.5</v>
      </c>
      <c r="BD135" s="15"/>
      <c r="BE135" s="98">
        <f>BE136-BE134</f>
        <v>62</v>
      </c>
      <c r="BF135" s="92">
        <f>BF136-BF134</f>
        <v>62.5</v>
      </c>
      <c r="BG135" s="92">
        <f>BG136-BG134</f>
        <v>65.5</v>
      </c>
      <c r="BH135" s="99">
        <f>BH136-BH134</f>
        <v>54</v>
      </c>
      <c r="BI135" s="93">
        <f>SUM(BE135:BH135)</f>
        <v>244</v>
      </c>
      <c r="BJ135" s="15"/>
      <c r="BK135" s="98">
        <f>BK136-BK134</f>
        <v>51</v>
      </c>
      <c r="BL135" s="92">
        <f>BL136-BL134</f>
        <v>73</v>
      </c>
      <c r="BM135" s="92">
        <f>BM136-BM134</f>
        <v>73</v>
      </c>
      <c r="BN135" s="99">
        <f>BN136-BN134</f>
        <v>79</v>
      </c>
      <c r="BO135" s="93">
        <f>SUM(BK135:BN135)</f>
        <v>276</v>
      </c>
      <c r="BP135" s="15"/>
      <c r="BQ135" s="98">
        <f>BQ136-BQ134</f>
        <v>66</v>
      </c>
      <c r="BR135" s="92">
        <f>BR130/BR138/4</f>
        <v>218.12857142857143</v>
      </c>
      <c r="BS135" s="92">
        <f>BS130/BS138/4</f>
        <v>218.12857142857143</v>
      </c>
      <c r="BT135" s="99">
        <f>BT130/BT138/4</f>
        <v>218.12857142857143</v>
      </c>
      <c r="BU135" s="93">
        <f>SUM(BQ135:BT135)</f>
        <v>720.38571428571436</v>
      </c>
      <c r="BV135" s="15"/>
      <c r="BW135" s="98">
        <f>BW130/BW138/4</f>
        <v>218.12857142857143</v>
      </c>
      <c r="BX135" s="92">
        <f>BX130/BX138/4</f>
        <v>218.12857142857143</v>
      </c>
      <c r="BY135" s="92">
        <f>BY130/BY138/4</f>
        <v>218.12857142857143</v>
      </c>
      <c r="BZ135" s="99">
        <f>BZ130/BZ138/4</f>
        <v>218.12857142857143</v>
      </c>
      <c r="CA135" s="93">
        <f>SUM(BW135:BZ135)</f>
        <v>872.51428571428573</v>
      </c>
      <c r="CB135" s="15"/>
      <c r="CC135" s="98">
        <f>CC130/CC138/4</f>
        <v>218.12857142857143</v>
      </c>
      <c r="CD135" s="92">
        <f>CD130/CD138/4</f>
        <v>218.12857142857143</v>
      </c>
      <c r="CE135" s="92">
        <f>CE130/CE138/4</f>
        <v>218.12857142857143</v>
      </c>
      <c r="CF135" s="99">
        <f>CF130/CF138/4</f>
        <v>218.12857142857143</v>
      </c>
      <c r="CG135" s="93">
        <f>SUM(CC135:CF135)</f>
        <v>872.51428571428573</v>
      </c>
      <c r="CH135" s="15"/>
      <c r="CI135" s="98">
        <f>CI130/CI138/4</f>
        <v>218.12857142857143</v>
      </c>
      <c r="CJ135" s="92">
        <f>CJ130/CJ138/4</f>
        <v>218.12857142857143</v>
      </c>
      <c r="CK135" s="92">
        <f>CK130/CK138/4</f>
        <v>218.12857142857143</v>
      </c>
      <c r="CL135" s="99">
        <f>CL130/CL138/4</f>
        <v>218.12857142857143</v>
      </c>
      <c r="CM135" s="93">
        <f>SUM(CI135:CL135)</f>
        <v>872.51428571428573</v>
      </c>
      <c r="CQ135"/>
      <c r="CR135"/>
      <c r="CS135"/>
      <c r="CT135"/>
      <c r="CU135"/>
      <c r="CV135"/>
    </row>
    <row r="136" spans="1:100" s="11" customFormat="1" hidden="1" outlineLevel="1" x14ac:dyDescent="0.2">
      <c r="A136" s="189" t="s">
        <v>205</v>
      </c>
      <c r="B136" s="15"/>
      <c r="C136" s="278"/>
      <c r="D136" s="15"/>
      <c r="E136" s="15"/>
      <c r="F136" s="279"/>
      <c r="G136" s="442"/>
      <c r="H136" s="15"/>
      <c r="I136" s="443"/>
      <c r="J136" s="390"/>
      <c r="K136" s="390"/>
      <c r="L136" s="444"/>
      <c r="M136" s="445"/>
      <c r="N136" s="390"/>
      <c r="O136" s="443"/>
      <c r="P136" s="390"/>
      <c r="Q136" s="390"/>
      <c r="R136" s="444"/>
      <c r="S136" s="442"/>
      <c r="T136" s="15"/>
      <c r="U136" s="278"/>
      <c r="V136" s="15"/>
      <c r="W136" s="15"/>
      <c r="X136" s="279"/>
      <c r="Y136" s="442"/>
      <c r="Z136" s="15"/>
      <c r="AA136" s="278"/>
      <c r="AB136" s="15"/>
      <c r="AC136" s="15"/>
      <c r="AD136" s="279"/>
      <c r="AE136" s="442"/>
      <c r="AF136" s="15"/>
      <c r="AG136" s="278"/>
      <c r="AH136" s="15"/>
      <c r="AI136" s="15"/>
      <c r="AJ136" s="106">
        <v>344.911</v>
      </c>
      <c r="AK136" s="442"/>
      <c r="AL136" s="15"/>
      <c r="AM136" s="104">
        <v>356.077</v>
      </c>
      <c r="AN136" s="105">
        <v>370.32299999999998</v>
      </c>
      <c r="AO136" s="105">
        <v>379.10599999999999</v>
      </c>
      <c r="AP136" s="106">
        <v>401</v>
      </c>
      <c r="AQ136" s="93">
        <f>SUM(AQ134:AQ135)</f>
        <v>401</v>
      </c>
      <c r="AR136" s="15"/>
      <c r="AS136" s="104">
        <v>410</v>
      </c>
      <c r="AT136" s="105">
        <v>425</v>
      </c>
      <c r="AU136" s="105">
        <v>435</v>
      </c>
      <c r="AV136" s="106">
        <v>379.5</v>
      </c>
      <c r="AW136" s="93">
        <f>SUM(AW134:AW135)</f>
        <v>379.5</v>
      </c>
      <c r="AX136" s="15"/>
      <c r="AY136" s="104">
        <v>384</v>
      </c>
      <c r="AZ136" s="96">
        <v>378</v>
      </c>
      <c r="BA136" s="96">
        <v>449</v>
      </c>
      <c r="BB136" s="97">
        <v>510</v>
      </c>
      <c r="BC136" s="93">
        <f>SUM(BC134:BC135)</f>
        <v>510</v>
      </c>
      <c r="BD136" s="15"/>
      <c r="BE136" s="95">
        <v>572</v>
      </c>
      <c r="BF136" s="96">
        <v>634.5</v>
      </c>
      <c r="BG136" s="96">
        <v>700</v>
      </c>
      <c r="BH136" s="97">
        <v>754</v>
      </c>
      <c r="BI136" s="93">
        <f>SUM(BI134:BI135)</f>
        <v>754</v>
      </c>
      <c r="BJ136" s="15"/>
      <c r="BK136" s="95">
        <v>805</v>
      </c>
      <c r="BL136" s="96">
        <f>879-1</f>
        <v>878</v>
      </c>
      <c r="BM136" s="96">
        <v>951</v>
      </c>
      <c r="BN136" s="97">
        <f>1029+1</f>
        <v>1030</v>
      </c>
      <c r="BO136" s="93">
        <f>SUM(BO134:BO135)</f>
        <v>1030</v>
      </c>
      <c r="BP136" s="15"/>
      <c r="BQ136" s="95">
        <v>1096</v>
      </c>
      <c r="BR136" s="92">
        <f>SUM(BR134:BR135)</f>
        <v>1314.1285714285714</v>
      </c>
      <c r="BS136" s="92">
        <f>SUM(BS134:BS135)</f>
        <v>1532.2571428571428</v>
      </c>
      <c r="BT136" s="99">
        <f>SUM(BT134:BT135)</f>
        <v>1750.3857142857141</v>
      </c>
      <c r="BU136" s="93">
        <f>SUM(BU134:BU135)</f>
        <v>1750.3857142857144</v>
      </c>
      <c r="BV136" s="15"/>
      <c r="BW136" s="98">
        <f>SUM(BW134:BW135)</f>
        <v>1968.5142857142855</v>
      </c>
      <c r="BX136" s="92">
        <f>SUM(BX134:BX135)</f>
        <v>2186.6428571428569</v>
      </c>
      <c r="BY136" s="92">
        <f>SUM(BY134:BY135)</f>
        <v>2404.7714285714283</v>
      </c>
      <c r="BZ136" s="99">
        <f>SUM(BZ134:BZ135)</f>
        <v>2622.8999999999996</v>
      </c>
      <c r="CA136" s="93">
        <f>SUM(CA134:CA135)</f>
        <v>2622.8999999999996</v>
      </c>
      <c r="CB136" s="15"/>
      <c r="CC136" s="98">
        <f>SUM(CC134:CC135)</f>
        <v>2841.028571428571</v>
      </c>
      <c r="CD136" s="92">
        <f>SUM(CD134:CD135)</f>
        <v>3059.1571428571424</v>
      </c>
      <c r="CE136" s="92">
        <f>SUM(CE134:CE135)</f>
        <v>3277.2857142857138</v>
      </c>
      <c r="CF136" s="99">
        <f>SUM(CF134:CF135)</f>
        <v>3495.4142857142851</v>
      </c>
      <c r="CG136" s="93">
        <f>SUM(CG134:CG135)</f>
        <v>3495.4142857142851</v>
      </c>
      <c r="CH136" s="15"/>
      <c r="CI136" s="98">
        <f>SUM(CI134:CI135)</f>
        <v>3713.5428571428565</v>
      </c>
      <c r="CJ136" s="92">
        <f>SUM(CJ134:CJ135)</f>
        <v>3931.6714285714279</v>
      </c>
      <c r="CK136" s="92">
        <f>SUM(CK134:CK135)</f>
        <v>4149.7999999999993</v>
      </c>
      <c r="CL136" s="99">
        <f>SUM(CL134:CL135)</f>
        <v>4367.9285714285706</v>
      </c>
      <c r="CM136" s="93">
        <f>SUM(CM134:CM135)</f>
        <v>4367.9285714285706</v>
      </c>
      <c r="CQ136"/>
      <c r="CR136"/>
      <c r="CS136"/>
      <c r="CT136"/>
      <c r="CU136"/>
      <c r="CV136"/>
    </row>
    <row r="137" spans="1:100" s="11" customFormat="1" hidden="1" outlineLevel="1" x14ac:dyDescent="0.2">
      <c r="A137" s="189"/>
      <c r="B137" s="15"/>
      <c r="C137" s="278"/>
      <c r="D137" s="15"/>
      <c r="E137" s="15"/>
      <c r="F137" s="279"/>
      <c r="G137" s="442"/>
      <c r="H137" s="15"/>
      <c r="I137" s="443"/>
      <c r="J137" s="390"/>
      <c r="K137" s="390"/>
      <c r="L137" s="444"/>
      <c r="M137" s="445"/>
      <c r="N137" s="390"/>
      <c r="O137" s="443"/>
      <c r="P137" s="390"/>
      <c r="Q137" s="390"/>
      <c r="R137" s="444"/>
      <c r="S137" s="442"/>
      <c r="T137" s="15"/>
      <c r="U137" s="278"/>
      <c r="V137" s="15"/>
      <c r="W137" s="15"/>
      <c r="X137" s="279"/>
      <c r="Y137" s="442"/>
      <c r="Z137" s="15"/>
      <c r="AA137" s="278"/>
      <c r="AB137" s="15"/>
      <c r="AC137" s="15"/>
      <c r="AD137" s="279"/>
      <c r="AE137" s="442"/>
      <c r="AF137" s="15"/>
      <c r="AG137" s="278"/>
      <c r="AH137" s="15"/>
      <c r="AI137" s="15"/>
      <c r="AJ137" s="279"/>
      <c r="AK137" s="442"/>
      <c r="AL137" s="15"/>
      <c r="AM137" s="278"/>
      <c r="AN137" s="15"/>
      <c r="AO137" s="15"/>
      <c r="AP137" s="279"/>
      <c r="AQ137" s="442"/>
      <c r="AR137" s="15"/>
      <c r="AS137" s="278"/>
      <c r="AT137" s="15"/>
      <c r="AU137" s="15"/>
      <c r="AV137" s="279"/>
      <c r="AW137" s="442"/>
      <c r="AX137" s="15"/>
      <c r="AY137" s="278"/>
      <c r="AZ137" s="15"/>
      <c r="BA137" s="15"/>
      <c r="BB137" s="279"/>
      <c r="BC137" s="442"/>
      <c r="BD137" s="15"/>
      <c r="BE137" s="278"/>
      <c r="BF137" s="15"/>
      <c r="BG137" s="15"/>
      <c r="BH137" s="279"/>
      <c r="BI137" s="442"/>
      <c r="BJ137" s="15"/>
      <c r="BK137" s="278"/>
      <c r="BL137" s="15"/>
      <c r="BM137" s="15"/>
      <c r="BN137" s="279"/>
      <c r="BO137" s="442"/>
      <c r="BP137" s="15"/>
      <c r="BQ137" s="278"/>
      <c r="BR137" s="15"/>
      <c r="BS137" s="15"/>
      <c r="BT137" s="279"/>
      <c r="BU137" s="442"/>
      <c r="BV137" s="15"/>
      <c r="BW137" s="278"/>
      <c r="BX137" s="15"/>
      <c r="BY137" s="15"/>
      <c r="BZ137" s="279"/>
      <c r="CA137" s="442"/>
      <c r="CB137" s="15"/>
      <c r="CC137" s="278"/>
      <c r="CD137" s="15"/>
      <c r="CE137" s="15"/>
      <c r="CF137" s="279"/>
      <c r="CG137" s="442"/>
      <c r="CH137" s="15"/>
      <c r="CI137" s="278"/>
      <c r="CJ137" s="15"/>
      <c r="CK137" s="15"/>
      <c r="CL137" s="279"/>
      <c r="CM137" s="442"/>
      <c r="CQ137"/>
      <c r="CR137"/>
      <c r="CS137"/>
      <c r="CT137"/>
      <c r="CU137"/>
      <c r="CV137"/>
    </row>
    <row r="138" spans="1:100" s="11" customFormat="1" hidden="1" outlineLevel="1" x14ac:dyDescent="0.2">
      <c r="A138" s="189" t="s">
        <v>206</v>
      </c>
      <c r="B138" s="15"/>
      <c r="C138" s="278"/>
      <c r="D138" s="15"/>
      <c r="E138" s="15"/>
      <c r="F138" s="279"/>
      <c r="G138" s="442"/>
      <c r="H138" s="15"/>
      <c r="I138" s="443"/>
      <c r="J138" s="390"/>
      <c r="K138" s="390"/>
      <c r="L138" s="444"/>
      <c r="M138" s="445"/>
      <c r="N138" s="390"/>
      <c r="O138" s="443"/>
      <c r="P138" s="390"/>
      <c r="Q138" s="390"/>
      <c r="R138" s="444"/>
      <c r="S138" s="442"/>
      <c r="T138" s="15"/>
      <c r="U138" s="278"/>
      <c r="V138" s="15"/>
      <c r="W138" s="15"/>
      <c r="X138" s="279"/>
      <c r="Y138" s="442"/>
      <c r="Z138" s="15"/>
      <c r="AA138" s="278"/>
      <c r="AB138" s="15"/>
      <c r="AC138" s="15"/>
      <c r="AD138" s="279"/>
      <c r="AE138" s="442"/>
      <c r="AF138" s="15"/>
      <c r="AG138" s="278"/>
      <c r="AH138" s="15"/>
      <c r="AI138" s="15"/>
      <c r="AJ138" s="279"/>
      <c r="AK138" s="442"/>
      <c r="AL138" s="15"/>
      <c r="AM138" s="98">
        <f>AM130/AM135/4</f>
        <v>19.178421099767156</v>
      </c>
      <c r="AN138" s="92">
        <f>AN130/AN135/4</f>
        <v>16.230608591885463</v>
      </c>
      <c r="AO138" s="92">
        <f>AO130/AO135/4</f>
        <v>26.48448707730839</v>
      </c>
      <c r="AP138" s="99">
        <f>AP130/AP135/4</f>
        <v>10.534644194756552</v>
      </c>
      <c r="AQ138" s="93">
        <f>AQ130/AQ135</f>
        <v>15.271889318761255</v>
      </c>
      <c r="AR138" s="15"/>
      <c r="AS138" s="98">
        <f>AS130/AS135/4</f>
        <v>26.166666666666668</v>
      </c>
      <c r="AT138" s="92">
        <f>AT130/AT135/4</f>
        <v>15.566666666666666</v>
      </c>
      <c r="AU138" s="92">
        <f>AU130/AU135/4</f>
        <v>24.125</v>
      </c>
      <c r="AV138" s="99">
        <f>AV130/AV135/4</f>
        <v>-4.3513513513513518</v>
      </c>
      <c r="AW138" s="93">
        <f>AW130/AW135</f>
        <v>-43.813953488372093</v>
      </c>
      <c r="AX138" s="15"/>
      <c r="AY138" s="98">
        <f>AY130/AY135/4</f>
        <v>49.583333333333336</v>
      </c>
      <c r="AZ138" s="92">
        <f>AZ130/AZ135/4</f>
        <v>-36.666666666666664</v>
      </c>
      <c r="BA138" s="92">
        <f>BA130/BA135/4</f>
        <v>11.992957746478874</v>
      </c>
      <c r="BB138" s="99">
        <f>BB130/BB135/4</f>
        <v>13.979508196721312</v>
      </c>
      <c r="BC138" s="93">
        <f>BC130/BC135</f>
        <v>6.8390804597701154</v>
      </c>
      <c r="BD138" s="15"/>
      <c r="BE138" s="98">
        <f>BE130/BE135/4</f>
        <v>14.060483870967742</v>
      </c>
      <c r="BF138" s="92">
        <f>BF130/BF135/4</f>
        <v>13.912000000000001</v>
      </c>
      <c r="BG138" s="92">
        <f>BG130/BG135/4</f>
        <v>12.807251908396946</v>
      </c>
      <c r="BH138" s="99">
        <f>BH130/BH135/4</f>
        <v>15.546296296296296</v>
      </c>
      <c r="BI138" s="93">
        <f>BI130/BI135</f>
        <v>14.290983606557377</v>
      </c>
      <c r="BJ138" s="15"/>
      <c r="BK138" s="98">
        <f>BK130/BK135/4</f>
        <v>16.71078431372549</v>
      </c>
      <c r="BL138" s="92">
        <f>BL130/BL135/4</f>
        <v>11.592465753424657</v>
      </c>
      <c r="BM138" s="92">
        <f>BM130/BM135/4</f>
        <v>11.702054794520548</v>
      </c>
      <c r="BN138" s="99">
        <f>BN130/BN135/4</f>
        <v>11.025316455696203</v>
      </c>
      <c r="BO138" s="93">
        <f>BO130/BO135</f>
        <v>12.351449275362318</v>
      </c>
      <c r="BP138" s="15"/>
      <c r="BQ138" s="98">
        <f>BQ130/BQ135/4</f>
        <v>13.287878787878787</v>
      </c>
      <c r="BR138" s="105">
        <v>17.5</v>
      </c>
      <c r="BS138" s="105">
        <f>BR138</f>
        <v>17.5</v>
      </c>
      <c r="BT138" s="106">
        <f>BS138</f>
        <v>17.5</v>
      </c>
      <c r="BU138" s="93">
        <f>BU130/BU135</f>
        <v>4.8696135007039878</v>
      </c>
      <c r="BV138" s="15"/>
      <c r="BW138" s="104">
        <v>17.5</v>
      </c>
      <c r="BX138" s="105">
        <f>BW138</f>
        <v>17.5</v>
      </c>
      <c r="BY138" s="105">
        <f>BX138</f>
        <v>17.5</v>
      </c>
      <c r="BZ138" s="106">
        <f>BY138</f>
        <v>17.5</v>
      </c>
      <c r="CA138" s="93">
        <f>CA130/CA135</f>
        <v>17.5</v>
      </c>
      <c r="CB138" s="15"/>
      <c r="CC138" s="104">
        <v>17.5</v>
      </c>
      <c r="CD138" s="105">
        <f>CC138</f>
        <v>17.5</v>
      </c>
      <c r="CE138" s="105">
        <f>CD138</f>
        <v>17.5</v>
      </c>
      <c r="CF138" s="106">
        <f>CE138</f>
        <v>17.5</v>
      </c>
      <c r="CG138" s="93">
        <f>CG130/CG135</f>
        <v>17.5</v>
      </c>
      <c r="CH138" s="15"/>
      <c r="CI138" s="104">
        <v>17.5</v>
      </c>
      <c r="CJ138" s="105">
        <f>CI138</f>
        <v>17.5</v>
      </c>
      <c r="CK138" s="105">
        <f>CJ138</f>
        <v>17.5</v>
      </c>
      <c r="CL138" s="106">
        <f>CK138</f>
        <v>17.5</v>
      </c>
      <c r="CM138" s="93">
        <f>CM130/CM135</f>
        <v>17.5</v>
      </c>
      <c r="CQ138"/>
      <c r="CR138"/>
      <c r="CS138"/>
      <c r="CT138"/>
      <c r="CU138"/>
      <c r="CV138"/>
    </row>
    <row r="139" spans="1:100" s="11" customFormat="1" hidden="1" outlineLevel="1" x14ac:dyDescent="0.2">
      <c r="A139" s="189"/>
      <c r="B139" s="15"/>
      <c r="C139" s="278"/>
      <c r="D139" s="15"/>
      <c r="E139" s="15"/>
      <c r="F139" s="279"/>
      <c r="G139" s="442"/>
      <c r="H139" s="15"/>
      <c r="I139" s="443"/>
      <c r="J139" s="390"/>
      <c r="K139" s="390"/>
      <c r="L139" s="444"/>
      <c r="M139" s="445"/>
      <c r="N139" s="390"/>
      <c r="O139" s="443"/>
      <c r="P139" s="390"/>
      <c r="Q139" s="390"/>
      <c r="R139" s="444"/>
      <c r="S139" s="442"/>
      <c r="T139" s="15"/>
      <c r="U139" s="278"/>
      <c r="V139" s="15"/>
      <c r="W139" s="15"/>
      <c r="X139" s="279"/>
      <c r="Y139" s="442"/>
      <c r="Z139" s="15"/>
      <c r="AA139" s="278"/>
      <c r="AB139" s="15"/>
      <c r="AC139" s="15"/>
      <c r="AD139" s="279"/>
      <c r="AE139" s="442"/>
      <c r="AF139" s="15"/>
      <c r="AG139" s="278"/>
      <c r="AH139" s="15"/>
      <c r="AI139" s="15"/>
      <c r="AJ139" s="279"/>
      <c r="AK139" s="442"/>
      <c r="AL139" s="15"/>
      <c r="AM139" s="278"/>
      <c r="AN139" s="15"/>
      <c r="AO139" s="15"/>
      <c r="AP139" s="279"/>
      <c r="AQ139" s="442"/>
      <c r="AR139" s="15"/>
      <c r="AS139" s="278"/>
      <c r="AT139" s="15"/>
      <c r="AU139" s="15"/>
      <c r="AV139" s="279"/>
      <c r="AW139" s="442"/>
      <c r="AX139" s="15"/>
      <c r="AY139" s="278"/>
      <c r="AZ139" s="15"/>
      <c r="BA139" s="15"/>
      <c r="BB139" s="279"/>
      <c r="BC139" s="442"/>
      <c r="BD139" s="15"/>
      <c r="BE139" s="278"/>
      <c r="BF139" s="15"/>
      <c r="BG139" s="15"/>
      <c r="BH139" s="279"/>
      <c r="BI139" s="442"/>
      <c r="BJ139" s="15"/>
      <c r="BK139" s="278"/>
      <c r="BL139" s="15"/>
      <c r="BM139" s="15"/>
      <c r="BN139" s="279"/>
      <c r="BO139" s="442"/>
      <c r="BP139" s="15"/>
      <c r="BQ139" s="278"/>
      <c r="BR139" s="15"/>
      <c r="BS139" s="15"/>
      <c r="BT139" s="279"/>
      <c r="BU139" s="442"/>
      <c r="BV139" s="15"/>
      <c r="BW139" s="278"/>
      <c r="BX139" s="15"/>
      <c r="BY139" s="15"/>
      <c r="BZ139" s="279"/>
      <c r="CA139" s="442"/>
      <c r="CB139" s="15"/>
      <c r="CC139" s="278"/>
      <c r="CD139" s="15"/>
      <c r="CE139" s="15"/>
      <c r="CF139" s="279"/>
      <c r="CG139" s="442"/>
      <c r="CH139" s="15"/>
      <c r="CI139" s="278"/>
      <c r="CJ139" s="15"/>
      <c r="CK139" s="15"/>
      <c r="CL139" s="279"/>
      <c r="CM139" s="442"/>
      <c r="CQ139"/>
      <c r="CR139"/>
      <c r="CS139"/>
      <c r="CT139"/>
      <c r="CU139"/>
      <c r="CV139"/>
    </row>
    <row r="140" spans="1:100" s="11" customFormat="1" hidden="1" outlineLevel="1" x14ac:dyDescent="0.2">
      <c r="A140" s="189" t="s">
        <v>209</v>
      </c>
      <c r="B140" s="15"/>
      <c r="C140" s="278"/>
      <c r="D140" s="15"/>
      <c r="E140" s="15"/>
      <c r="F140" s="279"/>
      <c r="G140" s="442"/>
      <c r="H140" s="15"/>
      <c r="I140" s="443"/>
      <c r="J140" s="390"/>
      <c r="K140" s="390"/>
      <c r="L140" s="444"/>
      <c r="M140" s="445"/>
      <c r="N140" s="390"/>
      <c r="O140" s="443"/>
      <c r="P140" s="390"/>
      <c r="Q140" s="390"/>
      <c r="R140" s="444"/>
      <c r="S140" s="442"/>
      <c r="T140" s="15"/>
      <c r="U140" s="278"/>
      <c r="V140" s="15"/>
      <c r="W140" s="15"/>
      <c r="X140" s="279"/>
      <c r="Y140" s="442"/>
      <c r="Z140" s="15"/>
      <c r="AA140" s="278"/>
      <c r="AB140" s="15"/>
      <c r="AC140" s="15"/>
      <c r="AD140" s="279"/>
      <c r="AE140" s="442"/>
      <c r="AF140" s="15"/>
      <c r="AG140" s="278"/>
      <c r="AH140" s="15"/>
      <c r="AI140" s="15"/>
      <c r="AJ140" s="99"/>
      <c r="AK140" s="442"/>
      <c r="AL140" s="15"/>
      <c r="AM140" s="98">
        <f>AM132-AM136</f>
        <v>568.80799999999999</v>
      </c>
      <c r="AN140" s="92">
        <f>AN132-AN136</f>
        <v>560.13</v>
      </c>
      <c r="AO140" s="92">
        <f>AO132-AO136</f>
        <v>543.476</v>
      </c>
      <c r="AP140" s="99">
        <f>AP132-AP136</f>
        <v>541</v>
      </c>
      <c r="AQ140" s="93">
        <f>AQ132-AQ136</f>
        <v>541</v>
      </c>
      <c r="AR140" s="15"/>
      <c r="AS140" s="98">
        <f>AS132-AS136</f>
        <v>524</v>
      </c>
      <c r="AT140" s="92">
        <f>AT132-AT136</f>
        <v>540</v>
      </c>
      <c r="AU140" s="92">
        <f>AU132-AU136</f>
        <v>531</v>
      </c>
      <c r="AV140" s="99">
        <f>AV132-AV136</f>
        <v>513</v>
      </c>
      <c r="AW140" s="93">
        <f>AW132-AW136</f>
        <v>513</v>
      </c>
      <c r="AX140" s="15"/>
      <c r="AY140" s="98">
        <f>AY132-AY136</f>
        <v>496</v>
      </c>
      <c r="AZ140" s="92">
        <f>AZ132-AZ136</f>
        <v>3028</v>
      </c>
      <c r="BA140" s="92">
        <f>BA132-BA136</f>
        <v>2962</v>
      </c>
      <c r="BB140" s="99">
        <f>BB132-BB136</f>
        <v>2977</v>
      </c>
      <c r="BC140" s="93">
        <f>BC132-BC136</f>
        <v>2977</v>
      </c>
      <c r="BD140" s="15"/>
      <c r="BE140" s="98">
        <f>BE132-BE136</f>
        <v>2906</v>
      </c>
      <c r="BF140" s="92">
        <f>BF132-BF136</f>
        <v>2721</v>
      </c>
      <c r="BG140" s="92">
        <f>BG132-BG136</f>
        <v>2658</v>
      </c>
      <c r="BH140" s="99">
        <f>BH132-BH136</f>
        <v>2655</v>
      </c>
      <c r="BI140" s="93">
        <f>BI132-BI136</f>
        <v>2655</v>
      </c>
      <c r="BJ140" s="15"/>
      <c r="BK140" s="98">
        <f>BK132-BK136</f>
        <v>2580</v>
      </c>
      <c r="BL140" s="92">
        <f>BL132-BL136</f>
        <v>2539</v>
      </c>
      <c r="BM140" s="92">
        <f>BM132-BM136</f>
        <v>2533</v>
      </c>
      <c r="BN140" s="99">
        <f>BN132-BN136</f>
        <v>2478</v>
      </c>
      <c r="BO140" s="93">
        <f>BO132-BO136</f>
        <v>2478</v>
      </c>
      <c r="BP140" s="15"/>
      <c r="BQ140" s="98">
        <f>BQ132-BQ136</f>
        <v>14173</v>
      </c>
      <c r="BR140" s="92">
        <f>BR132-BR136</f>
        <v>13954.871428571429</v>
      </c>
      <c r="BS140" s="92">
        <f>BS132-BS136</f>
        <v>13736.742857142857</v>
      </c>
      <c r="BT140" s="99">
        <f>BT132-BT136</f>
        <v>13518.614285714286</v>
      </c>
      <c r="BU140" s="93">
        <f>BU132-BU136</f>
        <v>13518.614285714286</v>
      </c>
      <c r="BV140" s="15"/>
      <c r="BW140" s="98">
        <f>BW132-BW136</f>
        <v>13300.485714285714</v>
      </c>
      <c r="BX140" s="92">
        <f>BX132-BX136</f>
        <v>13082.357142857143</v>
      </c>
      <c r="BY140" s="92">
        <f>BY132-BY136</f>
        <v>12864.228571428572</v>
      </c>
      <c r="BZ140" s="99">
        <f>BZ132-BZ136</f>
        <v>12646.1</v>
      </c>
      <c r="CA140" s="93">
        <f>CA132-CA136</f>
        <v>12646.1</v>
      </c>
      <c r="CB140" s="15"/>
      <c r="CC140" s="98">
        <f>CC132-CC136</f>
        <v>12427.971428571429</v>
      </c>
      <c r="CD140" s="92">
        <f>CD132-CD136</f>
        <v>12209.842857142858</v>
      </c>
      <c r="CE140" s="92">
        <f>CE132-CE136</f>
        <v>11991.714285714286</v>
      </c>
      <c r="CF140" s="99">
        <f>CF132-CF136</f>
        <v>11773.585714285715</v>
      </c>
      <c r="CG140" s="93">
        <f>CG132-CG136</f>
        <v>11773.585714285715</v>
      </c>
      <c r="CH140" s="15"/>
      <c r="CI140" s="98">
        <f>CI132-CI136</f>
        <v>11555.457142857143</v>
      </c>
      <c r="CJ140" s="92">
        <f>CJ132-CJ136</f>
        <v>11337.328571428572</v>
      </c>
      <c r="CK140" s="92">
        <f>CK132-CK136</f>
        <v>11119.2</v>
      </c>
      <c r="CL140" s="99">
        <f>CL132-CL136</f>
        <v>10901.071428571429</v>
      </c>
      <c r="CM140" s="93">
        <f>CM132-CM136</f>
        <v>10901.071428571429</v>
      </c>
      <c r="CQ140"/>
      <c r="CR140"/>
      <c r="CS140"/>
      <c r="CT140"/>
      <c r="CU140"/>
      <c r="CV140"/>
    </row>
    <row r="141" spans="1:100" s="11" customFormat="1" hidden="1" outlineLevel="1" x14ac:dyDescent="0.2">
      <c r="A141" s="474" t="s">
        <v>199</v>
      </c>
      <c r="B141" s="484"/>
      <c r="C141" s="485"/>
      <c r="D141" s="484"/>
      <c r="E141" s="484"/>
      <c r="F141" s="486"/>
      <c r="G141" s="487"/>
      <c r="H141" s="484"/>
      <c r="I141" s="488"/>
      <c r="J141" s="489"/>
      <c r="K141" s="489"/>
      <c r="L141" s="490"/>
      <c r="M141" s="491"/>
      <c r="N141" s="489"/>
      <c r="O141" s="488"/>
      <c r="P141" s="489"/>
      <c r="Q141" s="489"/>
      <c r="R141" s="490"/>
      <c r="S141" s="487"/>
      <c r="T141" s="484"/>
      <c r="U141" s="485"/>
      <c r="V141" s="484"/>
      <c r="W141" s="484"/>
      <c r="X141" s="486"/>
      <c r="Y141" s="487"/>
      <c r="Z141" s="484"/>
      <c r="AA141" s="485"/>
      <c r="AB141" s="484"/>
      <c r="AC141" s="484"/>
      <c r="AD141" s="486"/>
      <c r="AE141" s="487"/>
      <c r="AF141" s="484"/>
      <c r="AG141" s="485"/>
      <c r="AH141" s="484"/>
      <c r="AI141" s="484"/>
      <c r="AJ141" s="477"/>
      <c r="AK141" s="487"/>
      <c r="AL141" s="484"/>
      <c r="AM141" s="475">
        <f>AM23-AM140</f>
        <v>0</v>
      </c>
      <c r="AN141" s="476">
        <f>AN23-AN140</f>
        <v>0</v>
      </c>
      <c r="AO141" s="476">
        <f>AO23-AO140</f>
        <v>0</v>
      </c>
      <c r="AP141" s="477">
        <f>AP23-AP140</f>
        <v>0</v>
      </c>
      <c r="AQ141" s="478">
        <f>AQ23-AQ140</f>
        <v>0</v>
      </c>
      <c r="AR141" s="484"/>
      <c r="AS141" s="475">
        <f>AS23-AS140</f>
        <v>0</v>
      </c>
      <c r="AT141" s="476">
        <f>AT23-AT140</f>
        <v>0</v>
      </c>
      <c r="AU141" s="476">
        <f>AU23-AU140</f>
        <v>0</v>
      </c>
      <c r="AV141" s="477">
        <f>AV23-AV140</f>
        <v>0</v>
      </c>
      <c r="AW141" s="478">
        <f>AW23-AW140</f>
        <v>0</v>
      </c>
      <c r="AX141" s="484"/>
      <c r="AY141" s="475">
        <f>AY23-AY140</f>
        <v>0</v>
      </c>
      <c r="AZ141" s="476">
        <f>AZ23-AZ140</f>
        <v>0</v>
      </c>
      <c r="BA141" s="476">
        <f>BA23-BA140</f>
        <v>0</v>
      </c>
      <c r="BB141" s="477">
        <f>BB23-BB140</f>
        <v>0</v>
      </c>
      <c r="BC141" s="478">
        <f>BC23-BC140</f>
        <v>0</v>
      </c>
      <c r="BD141" s="484"/>
      <c r="BE141" s="475">
        <f>BE23-BE140</f>
        <v>0</v>
      </c>
      <c r="BF141" s="476">
        <f>BF23-BF140</f>
        <v>0</v>
      </c>
      <c r="BG141" s="476">
        <f>BG23-BG140</f>
        <v>0</v>
      </c>
      <c r="BH141" s="477">
        <f>BH23-BH140</f>
        <v>0</v>
      </c>
      <c r="BI141" s="478">
        <f>BI23-BI140</f>
        <v>0</v>
      </c>
      <c r="BJ141" s="484"/>
      <c r="BK141" s="475">
        <f>BK23-BK140</f>
        <v>0</v>
      </c>
      <c r="BL141" s="476">
        <f>BL23-BL140</f>
        <v>0</v>
      </c>
      <c r="BM141" s="476">
        <f>BM23-BM140</f>
        <v>0</v>
      </c>
      <c r="BN141" s="477">
        <f>BN23-BN140</f>
        <v>0</v>
      </c>
      <c r="BO141" s="478">
        <f>BO23-BO140</f>
        <v>0</v>
      </c>
      <c r="BP141" s="484"/>
      <c r="BQ141" s="475">
        <f>BQ23-BQ140</f>
        <v>0</v>
      </c>
      <c r="BR141" s="476">
        <f>BR23-BR140</f>
        <v>0</v>
      </c>
      <c r="BS141" s="476">
        <f>BS23-BS140</f>
        <v>0</v>
      </c>
      <c r="BT141" s="477">
        <f>BT23-BT140</f>
        <v>0</v>
      </c>
      <c r="BU141" s="478">
        <f>BU23-BU140</f>
        <v>0</v>
      </c>
      <c r="BV141" s="484"/>
      <c r="BW141" s="475">
        <f>BW23-BW140</f>
        <v>0</v>
      </c>
      <c r="BX141" s="476">
        <f>BX23-BX140</f>
        <v>0</v>
      </c>
      <c r="BY141" s="476">
        <f>BY23-BY140</f>
        <v>0</v>
      </c>
      <c r="BZ141" s="477">
        <f>BZ23-BZ140</f>
        <v>0</v>
      </c>
      <c r="CA141" s="478">
        <f>CA23-CA140</f>
        <v>0</v>
      </c>
      <c r="CB141" s="484"/>
      <c r="CC141" s="475">
        <f>CC23-CC140</f>
        <v>0</v>
      </c>
      <c r="CD141" s="476">
        <f>CD23-CD140</f>
        <v>0</v>
      </c>
      <c r="CE141" s="476">
        <f>CE23-CE140</f>
        <v>0</v>
      </c>
      <c r="CF141" s="477">
        <f>CF23-CF140</f>
        <v>0</v>
      </c>
      <c r="CG141" s="478">
        <f>CG23-CG140</f>
        <v>0</v>
      </c>
      <c r="CH141" s="484"/>
      <c r="CI141" s="475">
        <f>CI23-CI140</f>
        <v>0</v>
      </c>
      <c r="CJ141" s="476">
        <f>CJ23-CJ140</f>
        <v>0</v>
      </c>
      <c r="CK141" s="476">
        <f>CK23-CK140</f>
        <v>0</v>
      </c>
      <c r="CL141" s="477">
        <f>CL23-CL140</f>
        <v>0</v>
      </c>
      <c r="CM141" s="478">
        <f>CM23-CM140</f>
        <v>0</v>
      </c>
      <c r="CQ141"/>
      <c r="CR141"/>
      <c r="CS141"/>
      <c r="CT141"/>
      <c r="CU141"/>
      <c r="CV141"/>
    </row>
    <row r="142" spans="1:100" s="11" customFormat="1" collapsed="1" x14ac:dyDescent="0.2">
      <c r="A142" s="284" t="s">
        <v>210</v>
      </c>
      <c r="B142" s="285"/>
      <c r="C142" s="286"/>
      <c r="D142" s="285"/>
      <c r="E142" s="285"/>
      <c r="F142" s="287"/>
      <c r="G142" s="288"/>
      <c r="H142" s="285"/>
      <c r="I142" s="480"/>
      <c r="J142" s="481"/>
      <c r="K142" s="481"/>
      <c r="L142" s="482"/>
      <c r="M142" s="483"/>
      <c r="N142" s="481"/>
      <c r="O142" s="480"/>
      <c r="P142" s="481"/>
      <c r="Q142" s="481"/>
      <c r="R142" s="482"/>
      <c r="S142" s="288"/>
      <c r="T142" s="285"/>
      <c r="U142" s="286"/>
      <c r="V142" s="285"/>
      <c r="W142" s="285"/>
      <c r="X142" s="287"/>
      <c r="Y142" s="288"/>
      <c r="Z142" s="285"/>
      <c r="AA142" s="286"/>
      <c r="AB142" s="285"/>
      <c r="AC142" s="285"/>
      <c r="AD142" s="287"/>
      <c r="AE142" s="288"/>
      <c r="AF142" s="285"/>
      <c r="AG142" s="286"/>
      <c r="AH142" s="285"/>
      <c r="AI142" s="285"/>
      <c r="AJ142" s="287"/>
      <c r="AK142" s="288"/>
      <c r="AL142" s="285"/>
      <c r="AM142" s="286"/>
      <c r="AN142" s="285"/>
      <c r="AO142" s="285"/>
      <c r="AP142" s="287"/>
      <c r="AQ142" s="288"/>
      <c r="AR142" s="285"/>
      <c r="AS142" s="286"/>
      <c r="AT142" s="285"/>
      <c r="AU142" s="285"/>
      <c r="AV142" s="287"/>
      <c r="AW142" s="288"/>
      <c r="AX142" s="285"/>
      <c r="AY142" s="286"/>
      <c r="AZ142" s="285"/>
      <c r="BA142" s="285"/>
      <c r="BB142" s="287"/>
      <c r="BC142" s="288"/>
      <c r="BD142" s="285"/>
      <c r="BE142" s="286"/>
      <c r="BF142" s="285"/>
      <c r="BG142" s="285"/>
      <c r="BH142" s="287"/>
      <c r="BI142" s="288"/>
      <c r="BJ142" s="285"/>
      <c r="BK142" s="286"/>
      <c r="BL142" s="285"/>
      <c r="BM142" s="285"/>
      <c r="BN142" s="287"/>
      <c r="BO142" s="288"/>
      <c r="BP142" s="285"/>
      <c r="BQ142" s="286"/>
      <c r="BR142" s="285"/>
      <c r="BS142" s="285"/>
      <c r="BT142" s="287"/>
      <c r="BU142" s="288"/>
      <c r="BV142" s="285"/>
      <c r="BW142" s="286"/>
      <c r="BX142" s="285"/>
      <c r="BY142" s="285"/>
      <c r="BZ142" s="287"/>
      <c r="CA142" s="288"/>
      <c r="CB142" s="285"/>
      <c r="CC142" s="286"/>
      <c r="CD142" s="285"/>
      <c r="CE142" s="285"/>
      <c r="CF142" s="287"/>
      <c r="CG142" s="288"/>
      <c r="CH142" s="285"/>
      <c r="CI142" s="286"/>
      <c r="CJ142" s="285"/>
      <c r="CK142" s="285"/>
      <c r="CL142" s="287"/>
      <c r="CM142" s="288"/>
      <c r="CQ142"/>
      <c r="CR142"/>
      <c r="CS142"/>
      <c r="CT142"/>
      <c r="CU142"/>
      <c r="CV142"/>
    </row>
    <row r="143" spans="1:100" s="11" customFormat="1" hidden="1" outlineLevel="1" x14ac:dyDescent="0.2">
      <c r="A143" s="189" t="s">
        <v>201</v>
      </c>
      <c r="B143" s="15"/>
      <c r="C143" s="278"/>
      <c r="D143" s="15"/>
      <c r="E143" s="15"/>
      <c r="F143" s="279"/>
      <c r="G143" s="442"/>
      <c r="H143" s="15"/>
      <c r="I143" s="443"/>
      <c r="J143" s="390"/>
      <c r="K143" s="390"/>
      <c r="L143" s="444"/>
      <c r="M143" s="445"/>
      <c r="N143" s="390"/>
      <c r="O143" s="443"/>
      <c r="P143" s="390"/>
      <c r="Q143" s="390"/>
      <c r="R143" s="444"/>
      <c r="S143" s="442"/>
      <c r="T143" s="15"/>
      <c r="U143" s="278"/>
      <c r="V143" s="15"/>
      <c r="W143" s="15"/>
      <c r="X143" s="279"/>
      <c r="Y143" s="442"/>
      <c r="Z143" s="15"/>
      <c r="AA143" s="278"/>
      <c r="AB143" s="15"/>
      <c r="AC143" s="15"/>
      <c r="AD143" s="279"/>
      <c r="AE143" s="442"/>
      <c r="AF143" s="15"/>
      <c r="AG143" s="278"/>
      <c r="AH143" s="15"/>
      <c r="AI143" s="15"/>
      <c r="AJ143" s="99"/>
      <c r="AK143" s="442"/>
      <c r="AL143" s="15"/>
      <c r="AM143" s="98">
        <f>AJ145</f>
        <v>553.27800000000002</v>
      </c>
      <c r="AN143" s="92">
        <f>AM145</f>
        <v>563.25299999999993</v>
      </c>
      <c r="AO143" s="92">
        <f>AN145</f>
        <v>569.61099999999999</v>
      </c>
      <c r="AP143" s="99">
        <f>AO145</f>
        <v>569.23500000000001</v>
      </c>
      <c r="AQ143" s="93">
        <f>AM143</f>
        <v>553.27800000000002</v>
      </c>
      <c r="AR143" s="15"/>
      <c r="AS143" s="98">
        <f>AP145</f>
        <v>572</v>
      </c>
      <c r="AT143" s="92">
        <f>AS145</f>
        <v>547</v>
      </c>
      <c r="AU143" s="92">
        <f>AT145</f>
        <v>548</v>
      </c>
      <c r="AV143" s="99">
        <f>AU145</f>
        <v>537</v>
      </c>
      <c r="AW143" s="93">
        <f>AS143</f>
        <v>572</v>
      </c>
      <c r="AX143" s="15"/>
      <c r="AY143" s="98">
        <f>AV145</f>
        <v>462</v>
      </c>
      <c r="AZ143" s="92">
        <f>AY145</f>
        <v>543</v>
      </c>
      <c r="BA143" s="92">
        <f>AZ145</f>
        <v>1184</v>
      </c>
      <c r="BB143" s="99">
        <f>BA145</f>
        <v>1094</v>
      </c>
      <c r="BC143" s="93">
        <f>AY143</f>
        <v>462</v>
      </c>
      <c r="BD143" s="15"/>
      <c r="BE143" s="98">
        <f>BB145</f>
        <v>1070.5</v>
      </c>
      <c r="BF143" s="92">
        <f>BE145</f>
        <v>1067</v>
      </c>
      <c r="BG143" s="92">
        <f>BF145</f>
        <v>999.5</v>
      </c>
      <c r="BH143" s="99">
        <f>BG145</f>
        <v>1005</v>
      </c>
      <c r="BI143" s="93">
        <f>BE143</f>
        <v>1070.5</v>
      </c>
      <c r="BJ143" s="15"/>
      <c r="BK143" s="98">
        <f>BH145</f>
        <v>947</v>
      </c>
      <c r="BL143" s="92">
        <f>BK145</f>
        <v>937</v>
      </c>
      <c r="BM143" s="92">
        <f>BL145</f>
        <v>945</v>
      </c>
      <c r="BN143" s="99">
        <f>BM145</f>
        <v>962</v>
      </c>
      <c r="BO143" s="93">
        <f>BK143</f>
        <v>947</v>
      </c>
      <c r="BP143" s="15"/>
      <c r="BQ143" s="98">
        <f>BN145</f>
        <v>978</v>
      </c>
      <c r="BR143" s="92">
        <f>BQ145</f>
        <v>959</v>
      </c>
      <c r="BS143" s="92">
        <f>BR145</f>
        <v>959</v>
      </c>
      <c r="BT143" s="99">
        <f>BS145</f>
        <v>959</v>
      </c>
      <c r="BU143" s="93">
        <f>BQ143</f>
        <v>978</v>
      </c>
      <c r="BV143" s="15"/>
      <c r="BW143" s="98">
        <f>BT145</f>
        <v>959</v>
      </c>
      <c r="BX143" s="92">
        <f>BW145</f>
        <v>959</v>
      </c>
      <c r="BY143" s="92">
        <f>BX145</f>
        <v>959</v>
      </c>
      <c r="BZ143" s="99">
        <f>BY145</f>
        <v>959</v>
      </c>
      <c r="CA143" s="93">
        <f>BW143</f>
        <v>959</v>
      </c>
      <c r="CB143" s="15"/>
      <c r="CC143" s="98">
        <f>BZ145</f>
        <v>959</v>
      </c>
      <c r="CD143" s="92">
        <f>CC145</f>
        <v>959</v>
      </c>
      <c r="CE143" s="92">
        <f>CD145</f>
        <v>959</v>
      </c>
      <c r="CF143" s="99">
        <f>CE145</f>
        <v>959</v>
      </c>
      <c r="CG143" s="93">
        <f>CC143</f>
        <v>959</v>
      </c>
      <c r="CH143" s="15"/>
      <c r="CI143" s="98">
        <f>CF145</f>
        <v>959</v>
      </c>
      <c r="CJ143" s="92">
        <f>CI145</f>
        <v>959</v>
      </c>
      <c r="CK143" s="92">
        <f>CJ145</f>
        <v>959</v>
      </c>
      <c r="CL143" s="99">
        <f>CK145</f>
        <v>959</v>
      </c>
      <c r="CM143" s="93">
        <f>CI143</f>
        <v>959</v>
      </c>
      <c r="CQ143"/>
      <c r="CR143"/>
      <c r="CS143"/>
      <c r="CT143"/>
      <c r="CU143"/>
      <c r="CV143"/>
    </row>
    <row r="144" spans="1:100" s="11" customFormat="1" hidden="1" outlineLevel="1" x14ac:dyDescent="0.2">
      <c r="A144" s="189" t="s">
        <v>202</v>
      </c>
      <c r="B144" s="15"/>
      <c r="C144" s="278"/>
      <c r="D144" s="15"/>
      <c r="E144" s="15"/>
      <c r="F144" s="279"/>
      <c r="G144" s="442"/>
      <c r="H144" s="15"/>
      <c r="I144" s="443"/>
      <c r="J144" s="390"/>
      <c r="K144" s="390"/>
      <c r="L144" s="444"/>
      <c r="M144" s="445"/>
      <c r="N144" s="390"/>
      <c r="O144" s="443"/>
      <c r="P144" s="390"/>
      <c r="Q144" s="390"/>
      <c r="R144" s="444"/>
      <c r="S144" s="442"/>
      <c r="T144" s="15"/>
      <c r="U144" s="278"/>
      <c r="V144" s="15"/>
      <c r="W144" s="15"/>
      <c r="X144" s="279"/>
      <c r="Y144" s="442"/>
      <c r="Z144" s="15"/>
      <c r="AA144" s="278"/>
      <c r="AB144" s="15"/>
      <c r="AC144" s="15"/>
      <c r="AD144" s="279"/>
      <c r="AE144" s="442"/>
      <c r="AF144" s="15"/>
      <c r="AG144" s="278"/>
      <c r="AH144" s="15"/>
      <c r="AI144" s="15"/>
      <c r="AJ144" s="99"/>
      <c r="AK144" s="442"/>
      <c r="AL144" s="15"/>
      <c r="AM144" s="98">
        <f>AM145-AM143</f>
        <v>9.9749999999999091</v>
      </c>
      <c r="AN144" s="92">
        <f>AN145-AN143</f>
        <v>6.3580000000000609</v>
      </c>
      <c r="AO144" s="92">
        <f>AO145-AO143</f>
        <v>-0.37599999999997635</v>
      </c>
      <c r="AP144" s="99">
        <f>AP145-AP143</f>
        <v>2.7649999999999864</v>
      </c>
      <c r="AQ144" s="93">
        <f>SUM(AM144:AP144)</f>
        <v>18.72199999999998</v>
      </c>
      <c r="AR144" s="15"/>
      <c r="AS144" s="98">
        <f>AS145-AS143</f>
        <v>-25</v>
      </c>
      <c r="AT144" s="92">
        <f>AT145-AT143</f>
        <v>1</v>
      </c>
      <c r="AU144" s="92">
        <f>AU145-AU143</f>
        <v>-11</v>
      </c>
      <c r="AV144" s="99">
        <f>AV145-AV143</f>
        <v>-75</v>
      </c>
      <c r="AW144" s="93">
        <f>SUM(AS144:AV144)</f>
        <v>-110</v>
      </c>
      <c r="AX144" s="15"/>
      <c r="AY144" s="98">
        <f>AY145-AY143</f>
        <v>81</v>
      </c>
      <c r="AZ144" s="92">
        <f>AZ145-AZ143</f>
        <v>641</v>
      </c>
      <c r="BA144" s="92">
        <f>BA145-BA143</f>
        <v>-90</v>
      </c>
      <c r="BB144" s="99">
        <f>BB145-BB143</f>
        <v>-23.5</v>
      </c>
      <c r="BC144" s="93">
        <f>SUM(AY144:BB144)</f>
        <v>608.5</v>
      </c>
      <c r="BD144" s="15"/>
      <c r="BE144" s="98">
        <f>BE145-BE143</f>
        <v>-3.5</v>
      </c>
      <c r="BF144" s="92">
        <f>BF145-BF143</f>
        <v>-67.5</v>
      </c>
      <c r="BG144" s="92">
        <f>BG145-BG143</f>
        <v>5.5</v>
      </c>
      <c r="BH144" s="99">
        <f>BH145-BH143</f>
        <v>-58</v>
      </c>
      <c r="BI144" s="93">
        <f>SUM(BE144:BH144)</f>
        <v>-123.5</v>
      </c>
      <c r="BJ144" s="15"/>
      <c r="BK144" s="98">
        <f>BK145-BK143</f>
        <v>-10</v>
      </c>
      <c r="BL144" s="92">
        <f>BL145-BL143</f>
        <v>8</v>
      </c>
      <c r="BM144" s="92">
        <f>BM145-BM143</f>
        <v>17</v>
      </c>
      <c r="BN144" s="99">
        <f>BN145-BN143</f>
        <v>16</v>
      </c>
      <c r="BO144" s="93">
        <f>SUM(BK144:BN144)</f>
        <v>31</v>
      </c>
      <c r="BP144" s="15"/>
      <c r="BQ144" s="98">
        <f>BQ145-BQ143</f>
        <v>-19</v>
      </c>
      <c r="BR144" s="105">
        <v>0</v>
      </c>
      <c r="BS144" s="105">
        <v>0</v>
      </c>
      <c r="BT144" s="106">
        <v>0</v>
      </c>
      <c r="BU144" s="93">
        <f>SUM(BQ144:BT144)</f>
        <v>-19</v>
      </c>
      <c r="BV144" s="15"/>
      <c r="BW144" s="104">
        <v>0</v>
      </c>
      <c r="BX144" s="105">
        <v>0</v>
      </c>
      <c r="BY144" s="105">
        <v>0</v>
      </c>
      <c r="BZ144" s="106">
        <v>0</v>
      </c>
      <c r="CA144" s="93">
        <f>SUM(BW144:BZ144)</f>
        <v>0</v>
      </c>
      <c r="CB144" s="15"/>
      <c r="CC144" s="104">
        <v>0</v>
      </c>
      <c r="CD144" s="105">
        <v>0</v>
      </c>
      <c r="CE144" s="105">
        <v>0</v>
      </c>
      <c r="CF144" s="106">
        <v>0</v>
      </c>
      <c r="CG144" s="93">
        <f>SUM(CC144:CF144)</f>
        <v>0</v>
      </c>
      <c r="CH144" s="15"/>
      <c r="CI144" s="104">
        <v>0</v>
      </c>
      <c r="CJ144" s="105">
        <v>0</v>
      </c>
      <c r="CK144" s="105">
        <v>0</v>
      </c>
      <c r="CL144" s="106">
        <v>0</v>
      </c>
      <c r="CM144" s="93">
        <f>SUM(CI144:CL144)</f>
        <v>0</v>
      </c>
      <c r="CQ144"/>
      <c r="CR144"/>
      <c r="CS144"/>
      <c r="CT144"/>
      <c r="CU144"/>
      <c r="CV144"/>
    </row>
    <row r="145" spans="1:101" s="11" customFormat="1" hidden="1" outlineLevel="1" x14ac:dyDescent="0.2">
      <c r="A145" s="189" t="s">
        <v>203</v>
      </c>
      <c r="B145" s="15"/>
      <c r="C145" s="278"/>
      <c r="D145" s="15"/>
      <c r="E145" s="15"/>
      <c r="F145" s="279"/>
      <c r="G145" s="442"/>
      <c r="H145" s="15"/>
      <c r="I145" s="443"/>
      <c r="J145" s="390"/>
      <c r="K145" s="390"/>
      <c r="L145" s="444"/>
      <c r="M145" s="445"/>
      <c r="N145" s="390"/>
      <c r="O145" s="443"/>
      <c r="P145" s="390"/>
      <c r="Q145" s="390"/>
      <c r="R145" s="444"/>
      <c r="S145" s="442"/>
      <c r="T145" s="15"/>
      <c r="U145" s="278"/>
      <c r="V145" s="15"/>
      <c r="W145" s="15"/>
      <c r="X145" s="279"/>
      <c r="Y145" s="442"/>
      <c r="Z145" s="15"/>
      <c r="AA145" s="278"/>
      <c r="AB145" s="15"/>
      <c r="AC145" s="15"/>
      <c r="AD145" s="279"/>
      <c r="AE145" s="442"/>
      <c r="AF145" s="15"/>
      <c r="AG145" s="278"/>
      <c r="AH145" s="15"/>
      <c r="AI145" s="15"/>
      <c r="AJ145" s="106">
        <f>163.465+325.998+63.815</f>
        <v>553.27800000000002</v>
      </c>
      <c r="AK145" s="442"/>
      <c r="AL145" s="15"/>
      <c r="AM145" s="104">
        <f>161.495+337.799+63.959</f>
        <v>563.25299999999993</v>
      </c>
      <c r="AN145" s="105">
        <f>163.654+342.139+63.818</f>
        <v>569.61099999999999</v>
      </c>
      <c r="AO145" s="105">
        <f>159.299+346.027+63.909</f>
        <v>569.23500000000001</v>
      </c>
      <c r="AP145" s="106">
        <f>167+349+56</f>
        <v>572</v>
      </c>
      <c r="AQ145" s="93">
        <f>SUM(AQ143:AQ144)</f>
        <v>572</v>
      </c>
      <c r="AR145" s="15"/>
      <c r="AS145" s="104">
        <f>162+329+56</f>
        <v>547</v>
      </c>
      <c r="AT145" s="105">
        <f>166+326+56</f>
        <v>548</v>
      </c>
      <c r="AU145" s="105">
        <f>159+328+48+2</f>
        <v>537</v>
      </c>
      <c r="AV145" s="106">
        <f>148+268+44+2</f>
        <v>462</v>
      </c>
      <c r="AW145" s="93">
        <f>SUM(AW143:AW144)</f>
        <v>462</v>
      </c>
      <c r="AX145" s="15"/>
      <c r="AY145" s="95">
        <f>141+276+126</f>
        <v>543</v>
      </c>
      <c r="AZ145" s="96">
        <f>126+791+264+3</f>
        <v>1184</v>
      </c>
      <c r="BA145" s="96">
        <f>130+405+331+226+2</f>
        <v>1094</v>
      </c>
      <c r="BB145" s="97">
        <f>128+405+333+203+2-0.5</f>
        <v>1070.5</v>
      </c>
      <c r="BC145" s="93">
        <f>SUM(BC143:BC144)</f>
        <v>1070.5</v>
      </c>
      <c r="BD145" s="15"/>
      <c r="BE145" s="95">
        <f>125+405+335+201+2-1</f>
        <v>1067</v>
      </c>
      <c r="BF145" s="96">
        <v>999.5</v>
      </c>
      <c r="BG145" s="96">
        <f>131+405+342+124+2+1</f>
        <v>1005</v>
      </c>
      <c r="BH145" s="97">
        <f>125+405+349+66+2</f>
        <v>947</v>
      </c>
      <c r="BI145" s="93">
        <f>SUM(BI143:BI144)</f>
        <v>947</v>
      </c>
      <c r="BJ145" s="15"/>
      <c r="BK145" s="95">
        <f>115+405+351+64+2</f>
        <v>937</v>
      </c>
      <c r="BL145" s="96">
        <f>122+405+351+65+2</f>
        <v>945</v>
      </c>
      <c r="BM145" s="96">
        <f>123+408+363+66+2</f>
        <v>962</v>
      </c>
      <c r="BN145" s="97">
        <f>131+408+370+67+2</f>
        <v>978</v>
      </c>
      <c r="BO145" s="93">
        <f>SUM(BO143:BO144)</f>
        <v>978</v>
      </c>
      <c r="BP145" s="15"/>
      <c r="BQ145" s="95">
        <f>128+408+375+48</f>
        <v>959</v>
      </c>
      <c r="BR145" s="92">
        <f>BR143+BR144</f>
        <v>959</v>
      </c>
      <c r="BS145" s="92">
        <f>BS143+BS144</f>
        <v>959</v>
      </c>
      <c r="BT145" s="99">
        <f>BT143+BT144</f>
        <v>959</v>
      </c>
      <c r="BU145" s="93">
        <f>SUM(BU143:BU144)</f>
        <v>959</v>
      </c>
      <c r="BV145" s="15"/>
      <c r="BW145" s="98">
        <f>BW143+BW144</f>
        <v>959</v>
      </c>
      <c r="BX145" s="92">
        <f>BX143+BX144</f>
        <v>959</v>
      </c>
      <c r="BY145" s="92">
        <f>BY143+BY144</f>
        <v>959</v>
      </c>
      <c r="BZ145" s="99">
        <f>BZ143+BZ144</f>
        <v>959</v>
      </c>
      <c r="CA145" s="93">
        <f>SUM(CA143:CA144)</f>
        <v>959</v>
      </c>
      <c r="CB145" s="15"/>
      <c r="CC145" s="98">
        <f>CC143+CC144</f>
        <v>959</v>
      </c>
      <c r="CD145" s="92">
        <f>CD143+CD144</f>
        <v>959</v>
      </c>
      <c r="CE145" s="92">
        <f>CE143+CE144</f>
        <v>959</v>
      </c>
      <c r="CF145" s="99">
        <f>CF143+CF144</f>
        <v>959</v>
      </c>
      <c r="CG145" s="93">
        <f>SUM(CG143:CG144)</f>
        <v>959</v>
      </c>
      <c r="CH145" s="15"/>
      <c r="CI145" s="98">
        <f>CI143+CI144</f>
        <v>959</v>
      </c>
      <c r="CJ145" s="92">
        <f>CJ143+CJ144</f>
        <v>959</v>
      </c>
      <c r="CK145" s="92">
        <f>CK143+CK144</f>
        <v>959</v>
      </c>
      <c r="CL145" s="99">
        <f>CL143+CL144</f>
        <v>959</v>
      </c>
      <c r="CM145" s="93">
        <f>SUM(CM143:CM144)</f>
        <v>959</v>
      </c>
      <c r="CQ145"/>
      <c r="CR145"/>
      <c r="CS145"/>
      <c r="CT145"/>
      <c r="CU145"/>
      <c r="CV145"/>
    </row>
    <row r="146" spans="1:101" s="11" customFormat="1" hidden="1" outlineLevel="1" x14ac:dyDescent="0.2">
      <c r="A146" s="189"/>
      <c r="B146" s="15"/>
      <c r="C146" s="278"/>
      <c r="D146" s="15"/>
      <c r="E146" s="15"/>
      <c r="F146" s="279"/>
      <c r="G146" s="442"/>
      <c r="H146" s="15"/>
      <c r="I146" s="443"/>
      <c r="J146" s="390"/>
      <c r="K146" s="390"/>
      <c r="L146" s="444"/>
      <c r="M146" s="445"/>
      <c r="N146" s="390"/>
      <c r="O146" s="443"/>
      <c r="P146" s="390"/>
      <c r="Q146" s="390"/>
      <c r="R146" s="444"/>
      <c r="S146" s="442"/>
      <c r="T146" s="15"/>
      <c r="U146" s="278"/>
      <c r="V146" s="15"/>
      <c r="W146" s="15"/>
      <c r="X146" s="279"/>
      <c r="Y146" s="442"/>
      <c r="Z146" s="15"/>
      <c r="AA146" s="278"/>
      <c r="AB146" s="15"/>
      <c r="AC146" s="15"/>
      <c r="AD146" s="279"/>
      <c r="AE146" s="442"/>
      <c r="AF146" s="15"/>
      <c r="AG146" s="278"/>
      <c r="AH146" s="15"/>
      <c r="AI146" s="15"/>
      <c r="AJ146" s="279"/>
      <c r="AK146" s="442"/>
      <c r="AL146" s="15"/>
      <c r="AM146" s="278"/>
      <c r="AN146" s="15"/>
      <c r="AO146" s="15"/>
      <c r="AP146" s="279"/>
      <c r="AQ146" s="442"/>
      <c r="AR146" s="15"/>
      <c r="AS146" s="278"/>
      <c r="AT146" s="15"/>
      <c r="AU146" s="15"/>
      <c r="AV146" s="279"/>
      <c r="AW146" s="442"/>
      <c r="AX146" s="15"/>
      <c r="AY146" s="278"/>
      <c r="AZ146" s="15"/>
      <c r="BA146" s="15"/>
      <c r="BB146" s="279"/>
      <c r="BC146" s="442"/>
      <c r="BD146" s="15"/>
      <c r="BE146" s="278"/>
      <c r="BF146" s="15"/>
      <c r="BG146" s="15"/>
      <c r="BH146" s="279"/>
      <c r="BI146" s="442"/>
      <c r="BJ146" s="15"/>
      <c r="BK146" s="278"/>
      <c r="BL146" s="15"/>
      <c r="BM146" s="15"/>
      <c r="BN146" s="279"/>
      <c r="BO146" s="442"/>
      <c r="BP146" s="15"/>
      <c r="BQ146" s="278"/>
      <c r="BR146" s="15"/>
      <c r="BS146" s="15"/>
      <c r="BT146" s="279"/>
      <c r="BU146" s="442"/>
      <c r="BV146" s="15"/>
      <c r="BW146" s="278"/>
      <c r="BX146" s="15"/>
      <c r="BY146" s="15"/>
      <c r="BZ146" s="279"/>
      <c r="CA146" s="442"/>
      <c r="CB146" s="15"/>
      <c r="CC146" s="278"/>
      <c r="CD146" s="15"/>
      <c r="CE146" s="15"/>
      <c r="CF146" s="279"/>
      <c r="CG146" s="442"/>
      <c r="CH146" s="15"/>
      <c r="CI146" s="278"/>
      <c r="CJ146" s="15"/>
      <c r="CK146" s="15"/>
      <c r="CL146" s="279"/>
      <c r="CM146" s="442"/>
      <c r="CQ146"/>
      <c r="CR146"/>
      <c r="CS146"/>
      <c r="CT146"/>
      <c r="CU146"/>
      <c r="CV146"/>
    </row>
    <row r="147" spans="1:101" s="11" customFormat="1" hidden="1" outlineLevel="1" x14ac:dyDescent="0.2">
      <c r="A147" s="189" t="s">
        <v>204</v>
      </c>
      <c r="B147" s="15"/>
      <c r="C147" s="278"/>
      <c r="D147" s="15"/>
      <c r="E147" s="15"/>
      <c r="F147" s="279"/>
      <c r="G147" s="442"/>
      <c r="H147" s="15"/>
      <c r="I147" s="443"/>
      <c r="J147" s="390"/>
      <c r="K147" s="390"/>
      <c r="L147" s="444"/>
      <c r="M147" s="445"/>
      <c r="N147" s="390"/>
      <c r="O147" s="443"/>
      <c r="P147" s="390"/>
      <c r="Q147" s="390"/>
      <c r="R147" s="444"/>
      <c r="S147" s="442"/>
      <c r="T147" s="15"/>
      <c r="U147" s="278"/>
      <c r="V147" s="15"/>
      <c r="W147" s="15"/>
      <c r="X147" s="279"/>
      <c r="Y147" s="442"/>
      <c r="Z147" s="15"/>
      <c r="AA147" s="278"/>
      <c r="AB147" s="15"/>
      <c r="AC147" s="15"/>
      <c r="AD147" s="279"/>
      <c r="AE147" s="442"/>
      <c r="AF147" s="15"/>
      <c r="AG147" s="278"/>
      <c r="AH147" s="15"/>
      <c r="AI147" s="15"/>
      <c r="AJ147" s="99"/>
      <c r="AK147" s="442"/>
      <c r="AL147" s="15"/>
      <c r="AM147" s="98">
        <f>AJ149</f>
        <v>252.268</v>
      </c>
      <c r="AN147" s="92">
        <f>AM149</f>
        <v>259.17899999999997</v>
      </c>
      <c r="AO147" s="92">
        <f>AN149</f>
        <v>265.40100000000001</v>
      </c>
      <c r="AP147" s="99">
        <f>AO149</f>
        <v>271.56299999999999</v>
      </c>
      <c r="AQ147" s="93">
        <f>AM147</f>
        <v>252.268</v>
      </c>
      <c r="AR147" s="15"/>
      <c r="AS147" s="98">
        <f>AP149</f>
        <v>279</v>
      </c>
      <c r="AT147" s="92">
        <f>AS149</f>
        <v>262</v>
      </c>
      <c r="AU147" s="92">
        <f>AT149</f>
        <v>267</v>
      </c>
      <c r="AV147" s="99">
        <f>AU149</f>
        <v>273</v>
      </c>
      <c r="AW147" s="93">
        <f>AS147</f>
        <v>279</v>
      </c>
      <c r="AX147" s="15"/>
      <c r="AY147" s="98">
        <f>AV149</f>
        <v>215</v>
      </c>
      <c r="AZ147" s="92">
        <f>AY149</f>
        <v>219</v>
      </c>
      <c r="BA147" s="92">
        <f>AZ149</f>
        <v>217</v>
      </c>
      <c r="BB147" s="99">
        <f>BA149</f>
        <v>245</v>
      </c>
      <c r="BC147" s="93">
        <f>AY147</f>
        <v>215</v>
      </c>
      <c r="BD147" s="15"/>
      <c r="BE147" s="98">
        <f>BB149</f>
        <v>273.5</v>
      </c>
      <c r="BF147" s="92">
        <f>BE149</f>
        <v>300</v>
      </c>
      <c r="BG147" s="92">
        <f>BF149</f>
        <v>317.5</v>
      </c>
      <c r="BH147" s="99">
        <f>BG149</f>
        <v>332</v>
      </c>
      <c r="BI147" s="93">
        <f>BE147</f>
        <v>273.5</v>
      </c>
      <c r="BJ147" s="15"/>
      <c r="BK147" s="98">
        <f>BH149</f>
        <v>342</v>
      </c>
      <c r="BL147" s="92">
        <f>BK149</f>
        <v>353</v>
      </c>
      <c r="BM147" s="92">
        <f>BL149</f>
        <v>366</v>
      </c>
      <c r="BN147" s="99">
        <f>BM149</f>
        <v>374</v>
      </c>
      <c r="BO147" s="93">
        <f>BK147</f>
        <v>342</v>
      </c>
      <c r="BP147" s="15"/>
      <c r="BQ147" s="98">
        <f>BN149</f>
        <v>393</v>
      </c>
      <c r="BR147" s="92">
        <f>BQ149</f>
        <v>394</v>
      </c>
      <c r="BS147" s="92">
        <f>BR149</f>
        <v>405.98750000000001</v>
      </c>
      <c r="BT147" s="99">
        <f>BS149</f>
        <v>417.97500000000002</v>
      </c>
      <c r="BU147" s="93">
        <f>BQ147</f>
        <v>393</v>
      </c>
      <c r="BV147" s="15"/>
      <c r="BW147" s="98">
        <f>BT149</f>
        <v>429.96250000000003</v>
      </c>
      <c r="BX147" s="92">
        <f>BW149</f>
        <v>441.95000000000005</v>
      </c>
      <c r="BY147" s="92">
        <f>BX149</f>
        <v>453.93750000000006</v>
      </c>
      <c r="BZ147" s="99">
        <f>BY149</f>
        <v>465.92500000000007</v>
      </c>
      <c r="CA147" s="93">
        <f>BW147</f>
        <v>429.96250000000003</v>
      </c>
      <c r="CB147" s="15"/>
      <c r="CC147" s="98">
        <f>BZ149</f>
        <v>477.91250000000008</v>
      </c>
      <c r="CD147" s="92">
        <f>CC149</f>
        <v>489.90000000000009</v>
      </c>
      <c r="CE147" s="92">
        <f>CD149</f>
        <v>501.8875000000001</v>
      </c>
      <c r="CF147" s="99">
        <f>CE149</f>
        <v>513.87500000000011</v>
      </c>
      <c r="CG147" s="93">
        <f>CC147</f>
        <v>477.91250000000008</v>
      </c>
      <c r="CH147" s="15"/>
      <c r="CI147" s="98">
        <f>CF149</f>
        <v>525.86250000000007</v>
      </c>
      <c r="CJ147" s="92">
        <f>CI149</f>
        <v>537.85</v>
      </c>
      <c r="CK147" s="92">
        <f>CJ149</f>
        <v>549.83749999999998</v>
      </c>
      <c r="CL147" s="99">
        <f>CK149</f>
        <v>561.82499999999993</v>
      </c>
      <c r="CM147" s="93">
        <f>CI147</f>
        <v>525.86250000000007</v>
      </c>
      <c r="CQ147"/>
      <c r="CR147"/>
      <c r="CS147"/>
      <c r="CT147"/>
      <c r="CU147"/>
      <c r="CV147"/>
    </row>
    <row r="148" spans="1:101" s="11" customFormat="1" hidden="1" outlineLevel="1" x14ac:dyDescent="0.2">
      <c r="A148" s="189" t="s">
        <v>37</v>
      </c>
      <c r="B148" s="15"/>
      <c r="C148" s="278"/>
      <c r="D148" s="15"/>
      <c r="E148" s="15"/>
      <c r="F148" s="279"/>
      <c r="G148" s="442"/>
      <c r="H148" s="15"/>
      <c r="I148" s="443"/>
      <c r="J148" s="390"/>
      <c r="K148" s="390"/>
      <c r="L148" s="444"/>
      <c r="M148" s="445"/>
      <c r="N148" s="390"/>
      <c r="O148" s="443"/>
      <c r="P148" s="390"/>
      <c r="Q148" s="390"/>
      <c r="R148" s="444"/>
      <c r="S148" s="442"/>
      <c r="T148" s="15"/>
      <c r="U148" s="278"/>
      <c r="V148" s="15"/>
      <c r="W148" s="15"/>
      <c r="X148" s="279"/>
      <c r="Y148" s="442"/>
      <c r="Z148" s="15"/>
      <c r="AA148" s="278"/>
      <c r="AB148" s="15"/>
      <c r="AC148" s="15"/>
      <c r="AD148" s="279"/>
      <c r="AE148" s="442"/>
      <c r="AF148" s="15"/>
      <c r="AG148" s="278"/>
      <c r="AH148" s="15"/>
      <c r="AI148" s="15"/>
      <c r="AJ148" s="99"/>
      <c r="AK148" s="442"/>
      <c r="AL148" s="15"/>
      <c r="AM148" s="98">
        <f>AM149-AM147</f>
        <v>6.9109999999999729</v>
      </c>
      <c r="AN148" s="92">
        <f>AN149-AN147</f>
        <v>6.2220000000000368</v>
      </c>
      <c r="AO148" s="92">
        <f>AO149-AO147</f>
        <v>6.1619999999999777</v>
      </c>
      <c r="AP148" s="99">
        <f>AP149-AP147</f>
        <v>7.4370000000000118</v>
      </c>
      <c r="AQ148" s="93">
        <f>SUM(AM148:AP148)</f>
        <v>26.731999999999999</v>
      </c>
      <c r="AR148" s="15"/>
      <c r="AS148" s="98">
        <f>AS149-AS147</f>
        <v>-17</v>
      </c>
      <c r="AT148" s="92">
        <f>AT149-AT147</f>
        <v>5</v>
      </c>
      <c r="AU148" s="92">
        <f>AU149-AU147</f>
        <v>6</v>
      </c>
      <c r="AV148" s="99">
        <f>AV149-AV147</f>
        <v>-58</v>
      </c>
      <c r="AW148" s="93">
        <f>SUM(AS148:AV148)</f>
        <v>-64</v>
      </c>
      <c r="AX148" s="15"/>
      <c r="AY148" s="98">
        <f>AY149-AY147</f>
        <v>4</v>
      </c>
      <c r="AZ148" s="92">
        <f>AZ149-AZ147</f>
        <v>-2</v>
      </c>
      <c r="BA148" s="92">
        <f>BA149-BA147</f>
        <v>28</v>
      </c>
      <c r="BB148" s="99">
        <f>BB149-BB147</f>
        <v>28.5</v>
      </c>
      <c r="BC148" s="93">
        <f>SUM(AY148:BB148)</f>
        <v>58.5</v>
      </c>
      <c r="BD148" s="15"/>
      <c r="BE148" s="98">
        <f>BE149-BE147</f>
        <v>26.5</v>
      </c>
      <c r="BF148" s="92">
        <f>BF149-BF147</f>
        <v>17.5</v>
      </c>
      <c r="BG148" s="92">
        <f>BG149-BG147</f>
        <v>14.5</v>
      </c>
      <c r="BH148" s="99">
        <f>BH149-BH147</f>
        <v>10</v>
      </c>
      <c r="BI148" s="93">
        <f>SUM(BE148:BH148)</f>
        <v>68.5</v>
      </c>
      <c r="BJ148" s="15"/>
      <c r="BK148" s="98">
        <f>BK149-BK147</f>
        <v>11</v>
      </c>
      <c r="BL148" s="92">
        <f>BL149-BL147</f>
        <v>13</v>
      </c>
      <c r="BM148" s="92">
        <f>BM149-BM147</f>
        <v>8</v>
      </c>
      <c r="BN148" s="99">
        <f>BN149-BN147</f>
        <v>19</v>
      </c>
      <c r="BO148" s="93">
        <f>SUM(BK148:BN148)</f>
        <v>51</v>
      </c>
      <c r="BP148" s="15"/>
      <c r="BQ148" s="98">
        <f>BQ149-BQ147</f>
        <v>1</v>
      </c>
      <c r="BR148" s="92">
        <f>BR143/BR151/4</f>
        <v>11.987500000000001</v>
      </c>
      <c r="BS148" s="92">
        <f>BS143/BS151/4</f>
        <v>11.987500000000001</v>
      </c>
      <c r="BT148" s="99">
        <f>BT143/BT151/4</f>
        <v>11.987500000000001</v>
      </c>
      <c r="BU148" s="93">
        <f>SUM(BQ148:BT148)</f>
        <v>36.962500000000006</v>
      </c>
      <c r="BV148" s="15"/>
      <c r="BW148" s="98">
        <f>BW143/BW151/4</f>
        <v>11.987500000000001</v>
      </c>
      <c r="BX148" s="92">
        <f>BX143/BX151/4</f>
        <v>11.987500000000001</v>
      </c>
      <c r="BY148" s="92">
        <f>BY143/BY151/4</f>
        <v>11.987500000000001</v>
      </c>
      <c r="BZ148" s="99">
        <f>BZ143/BZ151/4</f>
        <v>11.987500000000001</v>
      </c>
      <c r="CA148" s="93">
        <f>SUM(BW148:BZ148)</f>
        <v>47.95</v>
      </c>
      <c r="CB148" s="15"/>
      <c r="CC148" s="98">
        <f>CC143/CC151/4</f>
        <v>11.987500000000001</v>
      </c>
      <c r="CD148" s="92">
        <f>CD143/CD151/4</f>
        <v>11.987500000000001</v>
      </c>
      <c r="CE148" s="92">
        <f>CE143/CE151/4</f>
        <v>11.987500000000001</v>
      </c>
      <c r="CF148" s="99">
        <f>CF143/CF151/4</f>
        <v>11.987500000000001</v>
      </c>
      <c r="CG148" s="93">
        <f>SUM(CC148:CF148)</f>
        <v>47.95</v>
      </c>
      <c r="CH148" s="15"/>
      <c r="CI148" s="98">
        <f>CI143/CI151/4</f>
        <v>11.987500000000001</v>
      </c>
      <c r="CJ148" s="92">
        <f>CJ143/CJ151/4</f>
        <v>11.987500000000001</v>
      </c>
      <c r="CK148" s="92">
        <f>CK143/CK151/4</f>
        <v>11.987500000000001</v>
      </c>
      <c r="CL148" s="99">
        <f>CL143/CL151/4</f>
        <v>11.987500000000001</v>
      </c>
      <c r="CM148" s="93">
        <f>SUM(CI148:CL148)</f>
        <v>47.95</v>
      </c>
      <c r="CQ148"/>
      <c r="CR148"/>
      <c r="CS148"/>
      <c r="CT148"/>
      <c r="CU148"/>
      <c r="CV148"/>
      <c r="CW148" s="3"/>
    </row>
    <row r="149" spans="1:101" s="11" customFormat="1" hidden="1" outlineLevel="1" x14ac:dyDescent="0.2">
      <c r="A149" s="189" t="s">
        <v>205</v>
      </c>
      <c r="B149" s="15"/>
      <c r="C149" s="278"/>
      <c r="D149" s="15"/>
      <c r="E149" s="15"/>
      <c r="F149" s="279"/>
      <c r="G149" s="442"/>
      <c r="H149" s="15"/>
      <c r="I149" s="443"/>
      <c r="J149" s="390"/>
      <c r="K149" s="390"/>
      <c r="L149" s="444"/>
      <c r="M149" s="445"/>
      <c r="N149" s="390"/>
      <c r="O149" s="443"/>
      <c r="P149" s="390"/>
      <c r="Q149" s="390"/>
      <c r="R149" s="444"/>
      <c r="S149" s="442"/>
      <c r="T149" s="15"/>
      <c r="U149" s="278"/>
      <c r="V149" s="15"/>
      <c r="W149" s="15"/>
      <c r="X149" s="279"/>
      <c r="Y149" s="442"/>
      <c r="Z149" s="15"/>
      <c r="AA149" s="278"/>
      <c r="AB149" s="15"/>
      <c r="AC149" s="15"/>
      <c r="AD149" s="279"/>
      <c r="AE149" s="442"/>
      <c r="AF149" s="15"/>
      <c r="AG149" s="278"/>
      <c r="AH149" s="15"/>
      <c r="AI149" s="15"/>
      <c r="AJ149" s="106">
        <f>12.232+240.036</f>
        <v>252.268</v>
      </c>
      <c r="AK149" s="442"/>
      <c r="AL149" s="15"/>
      <c r="AM149" s="104">
        <f>14.789+244.39</f>
        <v>259.17899999999997</v>
      </c>
      <c r="AN149" s="105">
        <f>17.727+247.674</f>
        <v>265.40100000000001</v>
      </c>
      <c r="AO149" s="105">
        <f>19.923+251.64</f>
        <v>271.56299999999999</v>
      </c>
      <c r="AP149" s="106">
        <f>24+254+1</f>
        <v>279</v>
      </c>
      <c r="AQ149" s="93">
        <f>SUM(AQ147:AQ148)</f>
        <v>279</v>
      </c>
      <c r="AR149" s="15"/>
      <c r="AS149" s="104">
        <f>26+236</f>
        <v>262</v>
      </c>
      <c r="AT149" s="105">
        <f>29+238</f>
        <v>267</v>
      </c>
      <c r="AU149" s="105">
        <f>31+242</f>
        <v>273</v>
      </c>
      <c r="AV149" s="106">
        <f>31+184</f>
        <v>215</v>
      </c>
      <c r="AW149" s="93">
        <f>SUM(AW147:AW148)</f>
        <v>215</v>
      </c>
      <c r="AX149" s="15"/>
      <c r="AY149" s="95">
        <f>32+187</f>
        <v>219</v>
      </c>
      <c r="AZ149" s="96">
        <f>31+186</f>
        <v>217</v>
      </c>
      <c r="BA149" s="96">
        <f>34+22+189</f>
        <v>245</v>
      </c>
      <c r="BB149" s="97">
        <f>35+26+212+0.5</f>
        <v>273.5</v>
      </c>
      <c r="BC149" s="93">
        <f>SUM(BC147:BC148)</f>
        <v>273.5</v>
      </c>
      <c r="BD149" s="15"/>
      <c r="BE149" s="95">
        <f>37+31+232</f>
        <v>300</v>
      </c>
      <c r="BF149" s="96">
        <v>317.5</v>
      </c>
      <c r="BG149" s="96">
        <f>43+41+248</f>
        <v>332</v>
      </c>
      <c r="BH149" s="97">
        <f>43+45+254</f>
        <v>342</v>
      </c>
      <c r="BI149" s="93">
        <f>SUM(BI147:BI148)</f>
        <v>342</v>
      </c>
      <c r="BJ149" s="15"/>
      <c r="BK149" s="95">
        <f>41+50+261+1</f>
        <v>353</v>
      </c>
      <c r="BL149" s="96">
        <f>46+56+265-1</f>
        <v>366</v>
      </c>
      <c r="BM149" s="96">
        <f>49+61+264</f>
        <v>374</v>
      </c>
      <c r="BN149" s="97">
        <f>54+65+274</f>
        <v>393</v>
      </c>
      <c r="BO149" s="93">
        <f>SUM(BO147:BO148)</f>
        <v>393</v>
      </c>
      <c r="BP149" s="15"/>
      <c r="BQ149" s="95">
        <f>54+66+274</f>
        <v>394</v>
      </c>
      <c r="BR149" s="92">
        <f>SUM(BR147:BR148)</f>
        <v>405.98750000000001</v>
      </c>
      <c r="BS149" s="92">
        <f>SUM(BS147:BS148)</f>
        <v>417.97500000000002</v>
      </c>
      <c r="BT149" s="99">
        <f>SUM(BT147:BT148)</f>
        <v>429.96250000000003</v>
      </c>
      <c r="BU149" s="93">
        <f>SUM(BU147:BU148)</f>
        <v>429.96249999999998</v>
      </c>
      <c r="BV149" s="15"/>
      <c r="BW149" s="98">
        <f>SUM(BW147:BW148)</f>
        <v>441.95000000000005</v>
      </c>
      <c r="BX149" s="92">
        <f>SUM(BX147:BX148)</f>
        <v>453.93750000000006</v>
      </c>
      <c r="BY149" s="92">
        <f>SUM(BY147:BY148)</f>
        <v>465.92500000000007</v>
      </c>
      <c r="BZ149" s="99">
        <f>SUM(BZ147:BZ148)</f>
        <v>477.91250000000008</v>
      </c>
      <c r="CA149" s="93">
        <f>SUM(CA147:CA148)</f>
        <v>477.91250000000002</v>
      </c>
      <c r="CB149" s="15"/>
      <c r="CC149" s="98">
        <f>SUM(CC147:CC148)</f>
        <v>489.90000000000009</v>
      </c>
      <c r="CD149" s="92">
        <f>SUM(CD147:CD148)</f>
        <v>501.8875000000001</v>
      </c>
      <c r="CE149" s="92">
        <f>SUM(CE147:CE148)</f>
        <v>513.87500000000011</v>
      </c>
      <c r="CF149" s="99">
        <f>SUM(CF147:CF148)</f>
        <v>525.86250000000007</v>
      </c>
      <c r="CG149" s="93">
        <f>SUM(CG147:CG148)</f>
        <v>525.86250000000007</v>
      </c>
      <c r="CH149" s="15"/>
      <c r="CI149" s="98">
        <f>SUM(CI147:CI148)</f>
        <v>537.85</v>
      </c>
      <c r="CJ149" s="92">
        <f>SUM(CJ147:CJ148)</f>
        <v>549.83749999999998</v>
      </c>
      <c r="CK149" s="92">
        <f>SUM(CK147:CK148)</f>
        <v>561.82499999999993</v>
      </c>
      <c r="CL149" s="99">
        <f>SUM(CL147:CL148)</f>
        <v>573.81249999999989</v>
      </c>
      <c r="CM149" s="93">
        <f>SUM(CM147:CM148)</f>
        <v>573.81250000000011</v>
      </c>
      <c r="CQ149"/>
      <c r="CR149"/>
      <c r="CS149"/>
      <c r="CT149"/>
      <c r="CU149"/>
      <c r="CV149"/>
    </row>
    <row r="150" spans="1:101" s="11" customFormat="1" hidden="1" outlineLevel="1" x14ac:dyDescent="0.2">
      <c r="A150" s="189"/>
      <c r="B150" s="15"/>
      <c r="C150" s="278"/>
      <c r="D150" s="15"/>
      <c r="E150" s="15"/>
      <c r="F150" s="279"/>
      <c r="G150" s="442"/>
      <c r="H150" s="15"/>
      <c r="I150" s="443"/>
      <c r="J150" s="390"/>
      <c r="K150" s="390"/>
      <c r="L150" s="444"/>
      <c r="M150" s="445"/>
      <c r="N150" s="390"/>
      <c r="O150" s="443"/>
      <c r="P150" s="390"/>
      <c r="Q150" s="390"/>
      <c r="R150" s="444"/>
      <c r="S150" s="442"/>
      <c r="T150" s="15"/>
      <c r="U150" s="278"/>
      <c r="V150" s="15"/>
      <c r="W150" s="15"/>
      <c r="X150" s="279"/>
      <c r="Y150" s="442"/>
      <c r="Z150" s="15"/>
      <c r="AA150" s="278"/>
      <c r="AB150" s="15"/>
      <c r="AC150" s="15"/>
      <c r="AD150" s="279"/>
      <c r="AE150" s="442"/>
      <c r="AF150" s="15"/>
      <c r="AG150" s="278"/>
      <c r="AH150" s="15"/>
      <c r="AI150" s="15"/>
      <c r="AJ150" s="99"/>
      <c r="AK150" s="442"/>
      <c r="AL150" s="15"/>
      <c r="AM150" s="98"/>
      <c r="AN150" s="92"/>
      <c r="AO150" s="92"/>
      <c r="AP150" s="99"/>
      <c r="AQ150" s="442"/>
      <c r="AR150" s="15"/>
      <c r="AS150" s="278"/>
      <c r="AT150" s="92"/>
      <c r="AU150" s="15"/>
      <c r="AV150" s="279"/>
      <c r="AW150" s="442"/>
      <c r="AX150" s="15"/>
      <c r="AY150" s="278"/>
      <c r="AZ150" s="15"/>
      <c r="BA150" s="15"/>
      <c r="BB150" s="279"/>
      <c r="BC150" s="442"/>
      <c r="BD150" s="15"/>
      <c r="BE150" s="278"/>
      <c r="BF150" s="15"/>
      <c r="BG150" s="15"/>
      <c r="BH150" s="279"/>
      <c r="BI150" s="442"/>
      <c r="BJ150" s="15"/>
      <c r="BK150" s="278"/>
      <c r="BL150" s="15"/>
      <c r="BM150" s="15"/>
      <c r="BN150" s="279"/>
      <c r="BO150" s="442"/>
      <c r="BP150" s="15"/>
      <c r="BQ150" s="278"/>
      <c r="BR150" s="15"/>
      <c r="BS150" s="15"/>
      <c r="BT150" s="279"/>
      <c r="BU150" s="442"/>
      <c r="BV150" s="15"/>
      <c r="BW150" s="278"/>
      <c r="BX150" s="15"/>
      <c r="BY150" s="15"/>
      <c r="BZ150" s="279"/>
      <c r="CA150" s="442"/>
      <c r="CB150" s="15"/>
      <c r="CC150" s="278"/>
      <c r="CD150" s="15"/>
      <c r="CE150" s="15"/>
      <c r="CF150" s="279"/>
      <c r="CG150" s="442"/>
      <c r="CH150" s="15"/>
      <c r="CI150" s="278"/>
      <c r="CJ150" s="15"/>
      <c r="CK150" s="15"/>
      <c r="CL150" s="279"/>
      <c r="CM150" s="442"/>
      <c r="CQ150"/>
      <c r="CR150"/>
      <c r="CS150"/>
      <c r="CT150"/>
      <c r="CU150"/>
      <c r="CV150"/>
    </row>
    <row r="151" spans="1:101" s="11" customFormat="1" hidden="1" outlineLevel="1" x14ac:dyDescent="0.2">
      <c r="A151" s="189" t="s">
        <v>206</v>
      </c>
      <c r="B151" s="15"/>
      <c r="C151" s="278"/>
      <c r="D151" s="15"/>
      <c r="E151" s="15"/>
      <c r="F151" s="279"/>
      <c r="G151" s="442"/>
      <c r="H151" s="15"/>
      <c r="I151" s="443"/>
      <c r="J151" s="390"/>
      <c r="K151" s="390"/>
      <c r="L151" s="444"/>
      <c r="M151" s="445"/>
      <c r="N151" s="390"/>
      <c r="O151" s="443"/>
      <c r="P151" s="390"/>
      <c r="Q151" s="390"/>
      <c r="R151" s="444"/>
      <c r="S151" s="442"/>
      <c r="T151" s="15"/>
      <c r="U151" s="278"/>
      <c r="V151" s="15"/>
      <c r="W151" s="15"/>
      <c r="X151" s="279"/>
      <c r="Y151" s="442"/>
      <c r="Z151" s="15"/>
      <c r="AA151" s="278"/>
      <c r="AB151" s="15"/>
      <c r="AC151" s="15"/>
      <c r="AD151" s="279"/>
      <c r="AE151" s="442"/>
      <c r="AF151" s="15"/>
      <c r="AG151" s="278"/>
      <c r="AH151" s="15"/>
      <c r="AI151" s="15"/>
      <c r="AJ151" s="99"/>
      <c r="AK151" s="442"/>
      <c r="AL151" s="15"/>
      <c r="AM151" s="98">
        <f>AM143/AM148/4</f>
        <v>20.014397337577854</v>
      </c>
      <c r="AN151" s="92">
        <f>AN143/AN148/4</f>
        <v>22.631509161041329</v>
      </c>
      <c r="AO151" s="92">
        <f>AO143/AO148/4</f>
        <v>23.109826355079601</v>
      </c>
      <c r="AP151" s="99">
        <f>AP143/AP148/4</f>
        <v>19.135235982250876</v>
      </c>
      <c r="AQ151" s="93">
        <f>AQ143/AQ148</f>
        <v>20.697216818793954</v>
      </c>
      <c r="AR151" s="15"/>
      <c r="AS151" s="98">
        <f>AS143/AS148/4</f>
        <v>-8.4117647058823533</v>
      </c>
      <c r="AT151" s="92">
        <f>AT143/AT148/4</f>
        <v>27.35</v>
      </c>
      <c r="AU151" s="92">
        <f>AU143/AU148/4</f>
        <v>22.833333333333332</v>
      </c>
      <c r="AV151" s="106">
        <v>22</v>
      </c>
      <c r="AW151" s="93">
        <f>AW143/AW148</f>
        <v>-8.9375</v>
      </c>
      <c r="AX151" s="15"/>
      <c r="AY151" s="98">
        <f>AY143/AY148/4</f>
        <v>28.875</v>
      </c>
      <c r="AZ151" s="92">
        <f>AZ143/AZ148/4</f>
        <v>-67.875</v>
      </c>
      <c r="BA151" s="92">
        <f>BA143/BA148/4</f>
        <v>10.571428571428571</v>
      </c>
      <c r="BB151" s="99">
        <f>BB143/BB148/4</f>
        <v>9.5964912280701746</v>
      </c>
      <c r="BC151" s="93">
        <f>BC143/BC148</f>
        <v>7.8974358974358978</v>
      </c>
      <c r="BD151" s="15"/>
      <c r="BE151" s="98">
        <f>BE143/BE148/4</f>
        <v>10.099056603773585</v>
      </c>
      <c r="BF151" s="92">
        <f>BF143/BF148/4</f>
        <v>15.242857142857142</v>
      </c>
      <c r="BG151" s="92">
        <f>BG143/BG148/4</f>
        <v>17.232758620689655</v>
      </c>
      <c r="BH151" s="99">
        <f>BH143/BH148/4</f>
        <v>25.125</v>
      </c>
      <c r="BI151" s="93">
        <f>BI143/BI148</f>
        <v>15.627737226277372</v>
      </c>
      <c r="BJ151" s="15"/>
      <c r="BK151" s="98">
        <f>BK143/BK148/4</f>
        <v>21.522727272727273</v>
      </c>
      <c r="BL151" s="92">
        <f>BL143/BL148/4</f>
        <v>18.01923076923077</v>
      </c>
      <c r="BM151" s="92">
        <f>BM143/BM148/4</f>
        <v>29.53125</v>
      </c>
      <c r="BN151" s="99">
        <f>BN143/BN148/4</f>
        <v>12.657894736842104</v>
      </c>
      <c r="BO151" s="93">
        <f>BO143/BO148</f>
        <v>18.568627450980394</v>
      </c>
      <c r="BP151" s="15"/>
      <c r="BQ151" s="98">
        <f>BQ143/BQ148/4</f>
        <v>244.5</v>
      </c>
      <c r="BR151" s="105">
        <v>20</v>
      </c>
      <c r="BS151" s="105">
        <f>BR151</f>
        <v>20</v>
      </c>
      <c r="BT151" s="106">
        <f>BS151</f>
        <v>20</v>
      </c>
      <c r="BU151" s="93">
        <f>BU143/BU148</f>
        <v>26.459249239093673</v>
      </c>
      <c r="BV151" s="15"/>
      <c r="BW151" s="104">
        <v>20</v>
      </c>
      <c r="BX151" s="105">
        <f>BW151</f>
        <v>20</v>
      </c>
      <c r="BY151" s="105">
        <f>BX151</f>
        <v>20</v>
      </c>
      <c r="BZ151" s="106">
        <f>BY151</f>
        <v>20</v>
      </c>
      <c r="CA151" s="93">
        <f>CA143/CA148</f>
        <v>20</v>
      </c>
      <c r="CB151" s="15"/>
      <c r="CC151" s="104">
        <v>20</v>
      </c>
      <c r="CD151" s="105">
        <f>CC151</f>
        <v>20</v>
      </c>
      <c r="CE151" s="105">
        <f>CD151</f>
        <v>20</v>
      </c>
      <c r="CF151" s="106">
        <f>CE151</f>
        <v>20</v>
      </c>
      <c r="CG151" s="93">
        <f>CG143/CG148</f>
        <v>20</v>
      </c>
      <c r="CH151" s="15"/>
      <c r="CI151" s="104">
        <v>20</v>
      </c>
      <c r="CJ151" s="105">
        <f>CI151</f>
        <v>20</v>
      </c>
      <c r="CK151" s="105">
        <f>CJ151</f>
        <v>20</v>
      </c>
      <c r="CL151" s="106">
        <f>CK151</f>
        <v>20</v>
      </c>
      <c r="CM151" s="93">
        <f>CM143/CM148</f>
        <v>20</v>
      </c>
      <c r="CQ151"/>
      <c r="CR151"/>
      <c r="CS151"/>
      <c r="CT151"/>
      <c r="CU151"/>
      <c r="CV151"/>
    </row>
    <row r="152" spans="1:101" s="11" customFormat="1" hidden="1" outlineLevel="1" x14ac:dyDescent="0.2">
      <c r="A152" s="189"/>
      <c r="B152" s="15"/>
      <c r="C152" s="278"/>
      <c r="D152" s="15"/>
      <c r="E152" s="15"/>
      <c r="F152" s="279"/>
      <c r="G152" s="442"/>
      <c r="H152" s="15"/>
      <c r="I152" s="443"/>
      <c r="J152" s="390"/>
      <c r="K152" s="390"/>
      <c r="L152" s="444"/>
      <c r="M152" s="445"/>
      <c r="N152" s="390"/>
      <c r="O152" s="443"/>
      <c r="P152" s="390"/>
      <c r="Q152" s="390"/>
      <c r="R152" s="444"/>
      <c r="S152" s="442"/>
      <c r="T152" s="15"/>
      <c r="U152" s="278"/>
      <c r="V152" s="15"/>
      <c r="W152" s="15"/>
      <c r="X152" s="279"/>
      <c r="Y152" s="442"/>
      <c r="Z152" s="15"/>
      <c r="AA152" s="278"/>
      <c r="AB152" s="15"/>
      <c r="AC152" s="15"/>
      <c r="AD152" s="279"/>
      <c r="AE152" s="442"/>
      <c r="AF152" s="15"/>
      <c r="AG152" s="278"/>
      <c r="AH152" s="15"/>
      <c r="AI152" s="15"/>
      <c r="AJ152" s="99"/>
      <c r="AK152" s="442"/>
      <c r="AL152" s="15"/>
      <c r="AM152" s="98"/>
      <c r="AN152" s="92"/>
      <c r="AO152" s="92"/>
      <c r="AP152" s="99"/>
      <c r="AQ152" s="442"/>
      <c r="AR152" s="15"/>
      <c r="AS152" s="278"/>
      <c r="AT152" s="92"/>
      <c r="AU152" s="92"/>
      <c r="AV152" s="279"/>
      <c r="AW152" s="442"/>
      <c r="AX152" s="15"/>
      <c r="AY152" s="278"/>
      <c r="AZ152" s="15"/>
      <c r="BA152" s="15"/>
      <c r="BB152" s="279"/>
      <c r="BC152" s="442"/>
      <c r="BD152" s="15"/>
      <c r="BE152" s="278"/>
      <c r="BF152" s="15"/>
      <c r="BG152" s="15"/>
      <c r="BH152" s="279"/>
      <c r="BI152" s="442"/>
      <c r="BJ152" s="15"/>
      <c r="BK152" s="278"/>
      <c r="BL152" s="15"/>
      <c r="BM152" s="15"/>
      <c r="BN152" s="279"/>
      <c r="BO152" s="442"/>
      <c r="BP152" s="15"/>
      <c r="BQ152" s="278"/>
      <c r="BR152" s="15"/>
      <c r="BS152" s="15"/>
      <c r="BT152" s="279"/>
      <c r="BU152" s="442"/>
      <c r="BV152" s="15"/>
      <c r="BW152" s="278"/>
      <c r="BX152" s="15"/>
      <c r="BY152" s="15"/>
      <c r="BZ152" s="279"/>
      <c r="CA152" s="442"/>
      <c r="CB152" s="15"/>
      <c r="CC152" s="278"/>
      <c r="CD152" s="15"/>
      <c r="CE152" s="15"/>
      <c r="CF152" s="279"/>
      <c r="CG152" s="442"/>
      <c r="CH152" s="15"/>
      <c r="CI152" s="278"/>
      <c r="CJ152" s="15"/>
      <c r="CK152" s="15"/>
      <c r="CL152" s="279"/>
      <c r="CM152" s="442"/>
      <c r="CQ152"/>
      <c r="CR152"/>
      <c r="CS152"/>
      <c r="CT152"/>
      <c r="CU152"/>
      <c r="CV152"/>
    </row>
    <row r="153" spans="1:101" s="11" customFormat="1" hidden="1" outlineLevel="1" x14ac:dyDescent="0.2">
      <c r="A153" s="189" t="s">
        <v>211</v>
      </c>
      <c r="B153" s="15"/>
      <c r="C153" s="278"/>
      <c r="D153" s="15"/>
      <c r="E153" s="15"/>
      <c r="F153" s="279"/>
      <c r="G153" s="442"/>
      <c r="H153" s="15"/>
      <c r="I153" s="443"/>
      <c r="J153" s="390"/>
      <c r="K153" s="390"/>
      <c r="L153" s="444"/>
      <c r="M153" s="445"/>
      <c r="N153" s="390"/>
      <c r="O153" s="443"/>
      <c r="P153" s="390"/>
      <c r="Q153" s="390"/>
      <c r="R153" s="444"/>
      <c r="S153" s="442"/>
      <c r="T153" s="15"/>
      <c r="U153" s="278"/>
      <c r="V153" s="15"/>
      <c r="W153" s="15"/>
      <c r="X153" s="279"/>
      <c r="Y153" s="442"/>
      <c r="Z153" s="15"/>
      <c r="AA153" s="278"/>
      <c r="AB153" s="15"/>
      <c r="AC153" s="15"/>
      <c r="AD153" s="279"/>
      <c r="AE153" s="442"/>
      <c r="AF153" s="15"/>
      <c r="AG153" s="278"/>
      <c r="AH153" s="15"/>
      <c r="AI153" s="15"/>
      <c r="AJ153" s="99"/>
      <c r="AK153" s="442"/>
      <c r="AL153" s="15"/>
      <c r="AM153" s="98">
        <f>AM145-AM149</f>
        <v>304.07399999999996</v>
      </c>
      <c r="AN153" s="92">
        <f>AN145-AN149</f>
        <v>304.20999999999998</v>
      </c>
      <c r="AO153" s="92">
        <f>AO145-AO149</f>
        <v>297.67200000000003</v>
      </c>
      <c r="AP153" s="99">
        <f>AP145-AP149</f>
        <v>293</v>
      </c>
      <c r="AQ153" s="93">
        <f>AQ145-AQ149</f>
        <v>293</v>
      </c>
      <c r="AR153" s="15"/>
      <c r="AS153" s="98">
        <f>AS145-AS149</f>
        <v>285</v>
      </c>
      <c r="AT153" s="92">
        <f>AT145-AT149</f>
        <v>281</v>
      </c>
      <c r="AU153" s="92">
        <f>AU145-AU149</f>
        <v>264</v>
      </c>
      <c r="AV153" s="99">
        <f>AV145-AV149</f>
        <v>247</v>
      </c>
      <c r="AW153" s="93">
        <f>AW145-AW149</f>
        <v>247</v>
      </c>
      <c r="AX153" s="15"/>
      <c r="AY153" s="98">
        <f>AY145-AY149</f>
        <v>324</v>
      </c>
      <c r="AZ153" s="92">
        <f>AZ145-AZ149</f>
        <v>967</v>
      </c>
      <c r="BA153" s="92">
        <f>BA145-BA149</f>
        <v>849</v>
      </c>
      <c r="BB153" s="99">
        <f>BB145-BB149</f>
        <v>797</v>
      </c>
      <c r="BC153" s="93">
        <f>BC145-BC149</f>
        <v>797</v>
      </c>
      <c r="BD153" s="15"/>
      <c r="BE153" s="98">
        <f>BE145-BE149</f>
        <v>767</v>
      </c>
      <c r="BF153" s="92">
        <f>BF145-BF149</f>
        <v>682</v>
      </c>
      <c r="BG153" s="92">
        <f>BG145-BG149</f>
        <v>673</v>
      </c>
      <c r="BH153" s="99">
        <f>BH145-BH149</f>
        <v>605</v>
      </c>
      <c r="BI153" s="93">
        <f>BI145-BI149</f>
        <v>605</v>
      </c>
      <c r="BJ153" s="15"/>
      <c r="BK153" s="98">
        <f>BK145-BK149</f>
        <v>584</v>
      </c>
      <c r="BL153" s="92">
        <f>BL145-BL149</f>
        <v>579</v>
      </c>
      <c r="BM153" s="92">
        <f>BM145-BM149</f>
        <v>588</v>
      </c>
      <c r="BN153" s="99">
        <f>BN145-BN149</f>
        <v>585</v>
      </c>
      <c r="BO153" s="93">
        <f>BO145-BO149</f>
        <v>585</v>
      </c>
      <c r="BP153" s="15"/>
      <c r="BQ153" s="98">
        <f>BQ145-BQ149</f>
        <v>565</v>
      </c>
      <c r="BR153" s="92">
        <f>BR145-BR149</f>
        <v>553.01250000000005</v>
      </c>
      <c r="BS153" s="92">
        <f>BS145-BS149</f>
        <v>541.02499999999998</v>
      </c>
      <c r="BT153" s="99">
        <f>BT145-BT149</f>
        <v>529.03749999999991</v>
      </c>
      <c r="BU153" s="93">
        <f>BU145-BU149</f>
        <v>529.03750000000002</v>
      </c>
      <c r="BV153" s="15"/>
      <c r="BW153" s="98">
        <f>BW145-BW149</f>
        <v>517.04999999999995</v>
      </c>
      <c r="BX153" s="92">
        <f>BX145-BX149</f>
        <v>505.06249999999994</v>
      </c>
      <c r="BY153" s="92">
        <f>BY145-BY149</f>
        <v>493.07499999999993</v>
      </c>
      <c r="BZ153" s="99">
        <f>BZ145-BZ149</f>
        <v>481.08749999999992</v>
      </c>
      <c r="CA153" s="93">
        <f>CA145-CA149</f>
        <v>481.08749999999998</v>
      </c>
      <c r="CB153" s="15"/>
      <c r="CC153" s="98">
        <f>CC145-CC149</f>
        <v>469.09999999999991</v>
      </c>
      <c r="CD153" s="92">
        <f>CD145-CD149</f>
        <v>457.1124999999999</v>
      </c>
      <c r="CE153" s="92">
        <f>CE145-CE149</f>
        <v>445.12499999999989</v>
      </c>
      <c r="CF153" s="99">
        <f>CF145-CF149</f>
        <v>433.13749999999993</v>
      </c>
      <c r="CG153" s="93">
        <f>CG145-CG149</f>
        <v>433.13749999999993</v>
      </c>
      <c r="CH153" s="15"/>
      <c r="CI153" s="98">
        <f>CI145-CI149</f>
        <v>421.15</v>
      </c>
      <c r="CJ153" s="92">
        <f>CJ145-CJ149</f>
        <v>409.16250000000002</v>
      </c>
      <c r="CK153" s="92">
        <f>CK145-CK149</f>
        <v>397.17500000000007</v>
      </c>
      <c r="CL153" s="99">
        <f>CL145-CL149</f>
        <v>385.18750000000011</v>
      </c>
      <c r="CM153" s="93">
        <f>CM145-CM149</f>
        <v>385.18749999999989</v>
      </c>
      <c r="CQ153"/>
      <c r="CR153"/>
      <c r="CS153"/>
      <c r="CT153"/>
      <c r="CU153"/>
      <c r="CV153"/>
    </row>
    <row r="154" spans="1:101" s="11" customFormat="1" hidden="1" outlineLevel="1" x14ac:dyDescent="0.2">
      <c r="A154" s="474" t="s">
        <v>199</v>
      </c>
      <c r="B154" s="484"/>
      <c r="C154" s="485"/>
      <c r="D154" s="484"/>
      <c r="E154" s="484"/>
      <c r="F154" s="486"/>
      <c r="G154" s="487"/>
      <c r="H154" s="484"/>
      <c r="I154" s="488"/>
      <c r="J154" s="489"/>
      <c r="K154" s="489"/>
      <c r="L154" s="490"/>
      <c r="M154" s="491"/>
      <c r="N154" s="489"/>
      <c r="O154" s="488"/>
      <c r="P154" s="489"/>
      <c r="Q154" s="489"/>
      <c r="R154" s="490"/>
      <c r="S154" s="487"/>
      <c r="T154" s="484"/>
      <c r="U154" s="485"/>
      <c r="V154" s="484"/>
      <c r="W154" s="484"/>
      <c r="X154" s="486"/>
      <c r="Y154" s="487"/>
      <c r="Z154" s="484"/>
      <c r="AA154" s="485"/>
      <c r="AB154" s="484"/>
      <c r="AC154" s="484"/>
      <c r="AD154" s="486"/>
      <c r="AE154" s="487"/>
      <c r="AF154" s="484"/>
      <c r="AG154" s="485"/>
      <c r="AH154" s="484"/>
      <c r="AI154" s="484"/>
      <c r="AJ154" s="477"/>
      <c r="AK154" s="487"/>
      <c r="AL154" s="484"/>
      <c r="AM154" s="475">
        <f>AM24-AM153</f>
        <v>0</v>
      </c>
      <c r="AN154" s="476">
        <f>AN24-AN153</f>
        <v>0</v>
      </c>
      <c r="AO154" s="476">
        <f>AO24-AO153</f>
        <v>0</v>
      </c>
      <c r="AP154" s="477">
        <f>AP24-AP153</f>
        <v>0</v>
      </c>
      <c r="AQ154" s="478">
        <f>AQ24-AQ153</f>
        <v>0</v>
      </c>
      <c r="AR154" s="484"/>
      <c r="AS154" s="475">
        <f>AS24-AS153</f>
        <v>0</v>
      </c>
      <c r="AT154" s="476">
        <f>AT24-AT153</f>
        <v>0</v>
      </c>
      <c r="AU154" s="476">
        <f>AU24-AU153</f>
        <v>0</v>
      </c>
      <c r="AV154" s="477">
        <f>AV24-AV153</f>
        <v>0</v>
      </c>
      <c r="AW154" s="478">
        <f>AW24-AW153</f>
        <v>0</v>
      </c>
      <c r="AX154" s="484"/>
      <c r="AY154" s="475">
        <f>AY24-AY153</f>
        <v>0</v>
      </c>
      <c r="AZ154" s="476">
        <f>AZ24-AZ153</f>
        <v>0</v>
      </c>
      <c r="BA154" s="476">
        <f>BA24-BA153</f>
        <v>0</v>
      </c>
      <c r="BB154" s="477">
        <f>BB24-BB153</f>
        <v>0</v>
      </c>
      <c r="BC154" s="478">
        <f>BC24-BC153</f>
        <v>0</v>
      </c>
      <c r="BD154" s="484"/>
      <c r="BE154" s="475">
        <f>BE24-BE153</f>
        <v>0</v>
      </c>
      <c r="BF154" s="476">
        <f>BF24-BF153</f>
        <v>0</v>
      </c>
      <c r="BG154" s="476">
        <f>BG24-BG153</f>
        <v>0</v>
      </c>
      <c r="BH154" s="477">
        <f>BH24-BH153</f>
        <v>-1</v>
      </c>
      <c r="BI154" s="478">
        <f>BI24-BI153</f>
        <v>-1</v>
      </c>
      <c r="BJ154" s="484"/>
      <c r="BK154" s="475">
        <f>BK24-BK153</f>
        <v>0</v>
      </c>
      <c r="BL154" s="476">
        <f>BL24-BL153</f>
        <v>0</v>
      </c>
      <c r="BM154" s="476">
        <f>BM24-BM153</f>
        <v>0</v>
      </c>
      <c r="BN154" s="477">
        <f>BN24-BN153</f>
        <v>0</v>
      </c>
      <c r="BO154" s="478">
        <f>BO24-BO153</f>
        <v>0</v>
      </c>
      <c r="BP154" s="484"/>
      <c r="BQ154" s="475">
        <f>BQ24-BQ153</f>
        <v>0</v>
      </c>
      <c r="BR154" s="476">
        <f>BR24-BR153</f>
        <v>0</v>
      </c>
      <c r="BS154" s="476">
        <f>BS24-BS153</f>
        <v>0</v>
      </c>
      <c r="BT154" s="477">
        <f>BT24-BT153</f>
        <v>0</v>
      </c>
      <c r="BU154" s="478">
        <f>BU24-BU153</f>
        <v>0</v>
      </c>
      <c r="BV154" s="484"/>
      <c r="BW154" s="475">
        <f>BW24-BW153</f>
        <v>0</v>
      </c>
      <c r="BX154" s="476">
        <f>BX24-BX153</f>
        <v>0</v>
      </c>
      <c r="BY154" s="476">
        <f>BY24-BY153</f>
        <v>0</v>
      </c>
      <c r="BZ154" s="477">
        <f>BZ24-BZ153</f>
        <v>0</v>
      </c>
      <c r="CA154" s="478">
        <f>CA24-CA153</f>
        <v>0</v>
      </c>
      <c r="CB154" s="484"/>
      <c r="CC154" s="475">
        <f>CC24-CC153</f>
        <v>0</v>
      </c>
      <c r="CD154" s="476">
        <f>CD24-CD153</f>
        <v>0</v>
      </c>
      <c r="CE154" s="476">
        <f>CE24-CE153</f>
        <v>0</v>
      </c>
      <c r="CF154" s="477">
        <f>CF24-CF153</f>
        <v>0</v>
      </c>
      <c r="CG154" s="478">
        <f>CG24-CG153</f>
        <v>0</v>
      </c>
      <c r="CH154" s="484"/>
      <c r="CI154" s="475">
        <f>CI24-CI153</f>
        <v>0</v>
      </c>
      <c r="CJ154" s="476">
        <f>CJ24-CJ153</f>
        <v>0</v>
      </c>
      <c r="CK154" s="476">
        <f>CK24-CK153</f>
        <v>0</v>
      </c>
      <c r="CL154" s="477">
        <f>CL24-CL153</f>
        <v>0</v>
      </c>
      <c r="CM154" s="478">
        <f>CM24-CM153</f>
        <v>0</v>
      </c>
      <c r="CQ154"/>
      <c r="CR154"/>
      <c r="CS154"/>
      <c r="CT154"/>
      <c r="CU154"/>
      <c r="CV154"/>
    </row>
    <row r="155" spans="1:101" s="11" customFormat="1" collapsed="1" x14ac:dyDescent="0.2">
      <c r="A155" s="284" t="s">
        <v>212</v>
      </c>
      <c r="B155" s="285"/>
      <c r="C155" s="286"/>
      <c r="D155" s="285"/>
      <c r="E155" s="285"/>
      <c r="F155" s="287"/>
      <c r="G155" s="288"/>
      <c r="H155" s="285"/>
      <c r="I155" s="480"/>
      <c r="J155" s="481"/>
      <c r="K155" s="481"/>
      <c r="L155" s="482"/>
      <c r="M155" s="483"/>
      <c r="N155" s="481"/>
      <c r="O155" s="480"/>
      <c r="P155" s="481"/>
      <c r="Q155" s="481"/>
      <c r="R155" s="482"/>
      <c r="S155" s="288"/>
      <c r="T155" s="285"/>
      <c r="U155" s="286"/>
      <c r="V155" s="285"/>
      <c r="W155" s="285"/>
      <c r="X155" s="287"/>
      <c r="Y155" s="288"/>
      <c r="Z155" s="285"/>
      <c r="AA155" s="286"/>
      <c r="AB155" s="285"/>
      <c r="AC155" s="285"/>
      <c r="AD155" s="287"/>
      <c r="AE155" s="288"/>
      <c r="AF155" s="285"/>
      <c r="AG155" s="286"/>
      <c r="AH155" s="285"/>
      <c r="AI155" s="285"/>
      <c r="AJ155" s="287"/>
      <c r="AK155" s="288"/>
      <c r="AL155" s="285"/>
      <c r="AM155" s="286"/>
      <c r="AN155" s="285"/>
      <c r="AO155" s="285"/>
      <c r="AP155" s="287"/>
      <c r="AQ155" s="288"/>
      <c r="AR155" s="285"/>
      <c r="AS155" s="286"/>
      <c r="AT155" s="285"/>
      <c r="AU155" s="285"/>
      <c r="AV155" s="287"/>
      <c r="AW155" s="288"/>
      <c r="AX155" s="285"/>
      <c r="AY155" s="286"/>
      <c r="AZ155" s="285"/>
      <c r="BA155" s="285"/>
      <c r="BB155" s="287"/>
      <c r="BC155" s="288"/>
      <c r="BD155" s="285"/>
      <c r="BE155" s="286"/>
      <c r="BF155" s="285"/>
      <c r="BG155" s="285"/>
      <c r="BH155" s="287"/>
      <c r="BI155" s="288"/>
      <c r="BJ155" s="285"/>
      <c r="BK155" s="286"/>
      <c r="BL155" s="285"/>
      <c r="BM155" s="285"/>
      <c r="BN155" s="287"/>
      <c r="BO155" s="288"/>
      <c r="BP155" s="285"/>
      <c r="BQ155" s="286"/>
      <c r="BR155" s="285"/>
      <c r="BS155" s="285"/>
      <c r="BT155" s="287"/>
      <c r="BU155" s="288"/>
      <c r="BV155" s="285"/>
      <c r="BW155" s="286"/>
      <c r="BX155" s="285"/>
      <c r="BY155" s="285"/>
      <c r="BZ155" s="287"/>
      <c r="CA155" s="288"/>
      <c r="CB155" s="285"/>
      <c r="CC155" s="286"/>
      <c r="CD155" s="285"/>
      <c r="CE155" s="285"/>
      <c r="CF155" s="287"/>
      <c r="CG155" s="288"/>
      <c r="CH155" s="285"/>
      <c r="CI155" s="286"/>
      <c r="CJ155" s="285"/>
      <c r="CK155" s="285"/>
      <c r="CL155" s="287"/>
      <c r="CM155" s="288"/>
      <c r="CQ155"/>
      <c r="CR155"/>
      <c r="CS155"/>
      <c r="CT155"/>
      <c r="CU155"/>
      <c r="CV155"/>
    </row>
    <row r="156" spans="1:101" s="11" customFormat="1" hidden="1" outlineLevel="1" x14ac:dyDescent="0.2">
      <c r="A156" s="189" t="s">
        <v>203</v>
      </c>
      <c r="B156" s="15"/>
      <c r="C156" s="278"/>
      <c r="D156" s="15"/>
      <c r="E156" s="15"/>
      <c r="F156" s="279"/>
      <c r="G156" s="442"/>
      <c r="H156" s="15"/>
      <c r="I156" s="443"/>
      <c r="J156" s="390"/>
      <c r="K156" s="390"/>
      <c r="L156" s="444"/>
      <c r="M156" s="445"/>
      <c r="N156" s="390"/>
      <c r="O156" s="443"/>
      <c r="P156" s="390"/>
      <c r="Q156" s="390"/>
      <c r="R156" s="444"/>
      <c r="S156" s="442"/>
      <c r="T156" s="15"/>
      <c r="U156" s="278"/>
      <c r="V156" s="15"/>
      <c r="W156" s="15"/>
      <c r="X156" s="279"/>
      <c r="Y156" s="442"/>
      <c r="Z156" s="15"/>
      <c r="AA156" s="278"/>
      <c r="AB156" s="15"/>
      <c r="AC156" s="15"/>
      <c r="AD156" s="279"/>
      <c r="AE156" s="442"/>
      <c r="AF156" s="15"/>
      <c r="AG156" s="278"/>
      <c r="AH156" s="15"/>
      <c r="AI156" s="15"/>
      <c r="AJ156" s="279"/>
      <c r="AK156" s="442"/>
      <c r="AL156" s="15"/>
      <c r="AM156" s="98">
        <f>AM132+AM145</f>
        <v>1488.1379999999999</v>
      </c>
      <c r="AN156" s="92">
        <f>AN132+AN145</f>
        <v>1500.0639999999999</v>
      </c>
      <c r="AO156" s="92">
        <f>AO132+AO145</f>
        <v>1491.817</v>
      </c>
      <c r="AP156" s="99">
        <f>AP132+AP145</f>
        <v>1514</v>
      </c>
      <c r="AQ156" s="93">
        <f>AQ132+AQ145</f>
        <v>1514</v>
      </c>
      <c r="AR156" s="15"/>
      <c r="AS156" s="98">
        <f>AS132+AS145</f>
        <v>1481</v>
      </c>
      <c r="AT156" s="92">
        <f>AT132+AT145</f>
        <v>1513</v>
      </c>
      <c r="AU156" s="92">
        <f>AU132+AU145</f>
        <v>1503</v>
      </c>
      <c r="AV156" s="99">
        <f>AV132+AV145</f>
        <v>1354.5</v>
      </c>
      <c r="AW156" s="93">
        <f>AW132+AW145</f>
        <v>1354.5</v>
      </c>
      <c r="AX156" s="15"/>
      <c r="AY156" s="98">
        <f>AY132+AY145</f>
        <v>1423</v>
      </c>
      <c r="AZ156" s="92">
        <f>AZ132+AZ145</f>
        <v>4590</v>
      </c>
      <c r="BA156" s="92">
        <f>BA132+BA145</f>
        <v>4505</v>
      </c>
      <c r="BB156" s="99">
        <f>BB132+BB145</f>
        <v>4557.5</v>
      </c>
      <c r="BC156" s="93">
        <f>BC132+BC145</f>
        <v>4557.5</v>
      </c>
      <c r="BD156" s="15"/>
      <c r="BE156" s="98">
        <f>BE132+BE145</f>
        <v>4545</v>
      </c>
      <c r="BF156" s="92">
        <f>BF132+BF145</f>
        <v>4355</v>
      </c>
      <c r="BG156" s="92">
        <f>BG132+BG145</f>
        <v>4363</v>
      </c>
      <c r="BH156" s="99">
        <f>BH132+BH145</f>
        <v>4356</v>
      </c>
      <c r="BI156" s="93">
        <f>BI132+BI145</f>
        <v>4356</v>
      </c>
      <c r="BJ156" s="15"/>
      <c r="BK156" s="98">
        <f>BK132+BK145</f>
        <v>4322</v>
      </c>
      <c r="BL156" s="92">
        <f>BL132+BL145</f>
        <v>4362</v>
      </c>
      <c r="BM156" s="92">
        <f>BM132+BM145</f>
        <v>4446</v>
      </c>
      <c r="BN156" s="99">
        <f>BN132+BN145</f>
        <v>4486</v>
      </c>
      <c r="BO156" s="93">
        <f>BO132+BO145</f>
        <v>4486</v>
      </c>
      <c r="BP156" s="15"/>
      <c r="BQ156" s="98">
        <f>BQ132+BQ145</f>
        <v>16228</v>
      </c>
      <c r="BR156" s="92">
        <f>BR132+BR145</f>
        <v>16228</v>
      </c>
      <c r="BS156" s="92">
        <f>BS132+BS145</f>
        <v>16228</v>
      </c>
      <c r="BT156" s="99">
        <f>BT132+BT145</f>
        <v>16228</v>
      </c>
      <c r="BU156" s="93">
        <f>BU132+BU145</f>
        <v>16228</v>
      </c>
      <c r="BV156" s="15"/>
      <c r="BW156" s="98">
        <f>BW132+BW145</f>
        <v>16228</v>
      </c>
      <c r="BX156" s="92">
        <f>BX132+BX145</f>
        <v>16228</v>
      </c>
      <c r="BY156" s="92">
        <f>BY132+BY145</f>
        <v>16228</v>
      </c>
      <c r="BZ156" s="99">
        <f>BZ132+BZ145</f>
        <v>16228</v>
      </c>
      <c r="CA156" s="93">
        <f>CA132+CA145</f>
        <v>16228</v>
      </c>
      <c r="CB156" s="15"/>
      <c r="CC156" s="98">
        <f>CC132+CC145</f>
        <v>16228</v>
      </c>
      <c r="CD156" s="92">
        <f>CD132+CD145</f>
        <v>16228</v>
      </c>
      <c r="CE156" s="92">
        <f>CE132+CE145</f>
        <v>16228</v>
      </c>
      <c r="CF156" s="99">
        <f>CF132+CF145</f>
        <v>16228</v>
      </c>
      <c r="CG156" s="93">
        <f>CG132+CG145</f>
        <v>16228</v>
      </c>
      <c r="CH156" s="15"/>
      <c r="CI156" s="98">
        <f>CI132+CI145</f>
        <v>16228</v>
      </c>
      <c r="CJ156" s="92">
        <f>CJ132+CJ145</f>
        <v>16228</v>
      </c>
      <c r="CK156" s="92">
        <f>CK132+CK145</f>
        <v>16228</v>
      </c>
      <c r="CL156" s="99">
        <f>CL132+CL145</f>
        <v>16228</v>
      </c>
      <c r="CM156" s="93">
        <f>CM132+CM145</f>
        <v>16228</v>
      </c>
      <c r="CQ156"/>
      <c r="CR156"/>
      <c r="CS156"/>
      <c r="CT156"/>
      <c r="CU156"/>
      <c r="CV156"/>
    </row>
    <row r="157" spans="1:101" s="11" customFormat="1" hidden="1" outlineLevel="1" x14ac:dyDescent="0.2">
      <c r="A157" s="189" t="s">
        <v>205</v>
      </c>
      <c r="B157" s="15"/>
      <c r="C157" s="278"/>
      <c r="D157" s="15"/>
      <c r="E157" s="15"/>
      <c r="F157" s="279"/>
      <c r="G157" s="442"/>
      <c r="H157" s="15"/>
      <c r="I157" s="443"/>
      <c r="J157" s="390"/>
      <c r="K157" s="390"/>
      <c r="L157" s="444"/>
      <c r="M157" s="445"/>
      <c r="N157" s="390"/>
      <c r="O157" s="443"/>
      <c r="P157" s="390"/>
      <c r="Q157" s="390"/>
      <c r="R157" s="444"/>
      <c r="S157" s="442"/>
      <c r="T157" s="15"/>
      <c r="U157" s="278"/>
      <c r="V157" s="15"/>
      <c r="W157" s="15"/>
      <c r="X157" s="279"/>
      <c r="Y157" s="442"/>
      <c r="Z157" s="15"/>
      <c r="AA157" s="278"/>
      <c r="AB157" s="15"/>
      <c r="AC157" s="15"/>
      <c r="AD157" s="279"/>
      <c r="AE157" s="442"/>
      <c r="AF157" s="15"/>
      <c r="AG157" s="278"/>
      <c r="AH157" s="15"/>
      <c r="AI157" s="15"/>
      <c r="AJ157" s="279"/>
      <c r="AK157" s="442"/>
      <c r="AL157" s="15"/>
      <c r="AM157" s="98">
        <f>AM136+AM149</f>
        <v>615.25599999999997</v>
      </c>
      <c r="AN157" s="92">
        <f>AN136+AN149</f>
        <v>635.72399999999993</v>
      </c>
      <c r="AO157" s="92">
        <f>AO136+AO149</f>
        <v>650.66899999999998</v>
      </c>
      <c r="AP157" s="99">
        <f>AP136+AP149</f>
        <v>680</v>
      </c>
      <c r="AQ157" s="93">
        <f>AQ136+AQ149</f>
        <v>680</v>
      </c>
      <c r="AR157" s="15"/>
      <c r="AS157" s="98">
        <f>AS136+AS149</f>
        <v>672</v>
      </c>
      <c r="AT157" s="92">
        <f>AT136+AT149</f>
        <v>692</v>
      </c>
      <c r="AU157" s="92">
        <f>AU136+AU149</f>
        <v>708</v>
      </c>
      <c r="AV157" s="99">
        <f>AV136+AV149</f>
        <v>594.5</v>
      </c>
      <c r="AW157" s="93">
        <f>AW136+AW149</f>
        <v>594.5</v>
      </c>
      <c r="AX157" s="15"/>
      <c r="AY157" s="98">
        <f>AY136+AY149</f>
        <v>603</v>
      </c>
      <c r="AZ157" s="92">
        <f>AZ136+AZ149</f>
        <v>595</v>
      </c>
      <c r="BA157" s="92">
        <f>BA136+BA149</f>
        <v>694</v>
      </c>
      <c r="BB157" s="99">
        <f>BB136+BB149</f>
        <v>783.5</v>
      </c>
      <c r="BC157" s="93">
        <f>BC136+BC149</f>
        <v>783.5</v>
      </c>
      <c r="BD157" s="15"/>
      <c r="BE157" s="98">
        <f>BE136+BE149</f>
        <v>872</v>
      </c>
      <c r="BF157" s="92">
        <f>BF136+BF149</f>
        <v>952</v>
      </c>
      <c r="BG157" s="92">
        <f>BG136+BG149</f>
        <v>1032</v>
      </c>
      <c r="BH157" s="99">
        <f>BH136+BH149</f>
        <v>1096</v>
      </c>
      <c r="BI157" s="93">
        <f>BI136+BI149</f>
        <v>1096</v>
      </c>
      <c r="BJ157" s="15"/>
      <c r="BK157" s="98">
        <f>BK136+BK149</f>
        <v>1158</v>
      </c>
      <c r="BL157" s="92">
        <f>BL136+BL149</f>
        <v>1244</v>
      </c>
      <c r="BM157" s="92">
        <f>BM136+BM149</f>
        <v>1325</v>
      </c>
      <c r="BN157" s="99">
        <f>BN136+BN149</f>
        <v>1423</v>
      </c>
      <c r="BO157" s="93">
        <f>BO136+BO149</f>
        <v>1423</v>
      </c>
      <c r="BP157" s="15"/>
      <c r="BQ157" s="98">
        <f>BQ136+BQ149</f>
        <v>1490</v>
      </c>
      <c r="BR157" s="92">
        <f>BR136+BR149</f>
        <v>1720.1160714285713</v>
      </c>
      <c r="BS157" s="92">
        <f>BS136+BS149</f>
        <v>1950.2321428571427</v>
      </c>
      <c r="BT157" s="99">
        <f>BT136+BT149</f>
        <v>2180.3482142857142</v>
      </c>
      <c r="BU157" s="93">
        <f>BU136+BU149</f>
        <v>2180.3482142857142</v>
      </c>
      <c r="BV157" s="15"/>
      <c r="BW157" s="98">
        <f>BW136+BW149</f>
        <v>2410.4642857142853</v>
      </c>
      <c r="BX157" s="92">
        <f>BX136+BX149</f>
        <v>2640.5803571428569</v>
      </c>
      <c r="BY157" s="92">
        <f>BY136+BY149</f>
        <v>2870.6964285714284</v>
      </c>
      <c r="BZ157" s="99">
        <f>BZ136+BZ149</f>
        <v>3100.8124999999995</v>
      </c>
      <c r="CA157" s="93">
        <f>CA136+CA149</f>
        <v>3100.8124999999995</v>
      </c>
      <c r="CB157" s="15"/>
      <c r="CC157" s="98">
        <f>CC136+CC149</f>
        <v>3330.9285714285711</v>
      </c>
      <c r="CD157" s="92">
        <f>CD136+CD149</f>
        <v>3561.0446428571427</v>
      </c>
      <c r="CE157" s="92">
        <f>CE136+CE149</f>
        <v>3791.1607142857138</v>
      </c>
      <c r="CF157" s="99">
        <f>CF136+CF149</f>
        <v>4021.2767857142853</v>
      </c>
      <c r="CG157" s="93">
        <f>CG136+CG149</f>
        <v>4021.2767857142853</v>
      </c>
      <c r="CH157" s="15"/>
      <c r="CI157" s="98">
        <f>CI136+CI149</f>
        <v>4251.3928571428569</v>
      </c>
      <c r="CJ157" s="92">
        <f>CJ136+CJ149</f>
        <v>4481.5089285714275</v>
      </c>
      <c r="CK157" s="92">
        <f>CK136+CK149</f>
        <v>4711.6249999999991</v>
      </c>
      <c r="CL157" s="99">
        <f>CL136+CL149</f>
        <v>4941.7410714285706</v>
      </c>
      <c r="CM157" s="93">
        <f>CM136+CM149</f>
        <v>4941.7410714285706</v>
      </c>
      <c r="CQ157"/>
      <c r="CR157"/>
      <c r="CS157"/>
      <c r="CT157"/>
      <c r="CU157"/>
      <c r="CV157"/>
    </row>
    <row r="158" spans="1:101" s="11" customFormat="1" hidden="1" outlineLevel="1" x14ac:dyDescent="0.2">
      <c r="A158" s="196" t="s">
        <v>213</v>
      </c>
      <c r="B158" s="383"/>
      <c r="C158" s="492"/>
      <c r="D158" s="383"/>
      <c r="E158" s="383"/>
      <c r="F158" s="493"/>
      <c r="G158" s="494"/>
      <c r="H158" s="383"/>
      <c r="I158" s="495"/>
      <c r="J158" s="479"/>
      <c r="K158" s="479"/>
      <c r="L158" s="496"/>
      <c r="M158" s="497"/>
      <c r="N158" s="479"/>
      <c r="O158" s="495"/>
      <c r="P158" s="479"/>
      <c r="Q158" s="479"/>
      <c r="R158" s="496"/>
      <c r="S158" s="494"/>
      <c r="T158" s="383"/>
      <c r="U158" s="492"/>
      <c r="V158" s="383"/>
      <c r="W158" s="383"/>
      <c r="X158" s="493"/>
      <c r="Y158" s="494"/>
      <c r="Z158" s="383"/>
      <c r="AA158" s="492"/>
      <c r="AB158" s="383"/>
      <c r="AC158" s="383"/>
      <c r="AD158" s="493"/>
      <c r="AE158" s="494"/>
      <c r="AF158" s="383"/>
      <c r="AG158" s="492"/>
      <c r="AH158" s="383"/>
      <c r="AI158" s="383"/>
      <c r="AJ158" s="493"/>
      <c r="AK158" s="494"/>
      <c r="AL158" s="383"/>
      <c r="AM158" s="131">
        <f>AM156-AM157</f>
        <v>872.88199999999995</v>
      </c>
      <c r="AN158" s="123">
        <f>AN156-AN157</f>
        <v>864.33999999999992</v>
      </c>
      <c r="AO158" s="123">
        <f>AO156-AO157</f>
        <v>841.14800000000002</v>
      </c>
      <c r="AP158" s="132">
        <f>AP156-AP157</f>
        <v>834</v>
      </c>
      <c r="AQ158" s="303">
        <f>AQ156-AQ157</f>
        <v>834</v>
      </c>
      <c r="AR158" s="383"/>
      <c r="AS158" s="131">
        <f>AS156-AS157</f>
        <v>809</v>
      </c>
      <c r="AT158" s="123">
        <f>AT156-AT157</f>
        <v>821</v>
      </c>
      <c r="AU158" s="123">
        <f>AU156-AU157</f>
        <v>795</v>
      </c>
      <c r="AV158" s="132">
        <f>AV156-AV157</f>
        <v>760</v>
      </c>
      <c r="AW158" s="303">
        <f>AW156-AW157</f>
        <v>760</v>
      </c>
      <c r="AX158" s="383"/>
      <c r="AY158" s="131">
        <f>AY156-AY157</f>
        <v>820</v>
      </c>
      <c r="AZ158" s="123">
        <f>AZ156-AZ157</f>
        <v>3995</v>
      </c>
      <c r="BA158" s="123">
        <f>BA156-BA157</f>
        <v>3811</v>
      </c>
      <c r="BB158" s="132">
        <f>BB156-BB157</f>
        <v>3774</v>
      </c>
      <c r="BC158" s="303">
        <f>BC156-BC157</f>
        <v>3774</v>
      </c>
      <c r="BD158" s="383"/>
      <c r="BE158" s="131">
        <f>BE156-BE157</f>
        <v>3673</v>
      </c>
      <c r="BF158" s="123">
        <f>BF156-BF157</f>
        <v>3403</v>
      </c>
      <c r="BG158" s="123">
        <f>BG156-BG157</f>
        <v>3331</v>
      </c>
      <c r="BH158" s="132">
        <f>BH156-BH157</f>
        <v>3260</v>
      </c>
      <c r="BI158" s="303">
        <f>BI156-BI157</f>
        <v>3260</v>
      </c>
      <c r="BJ158" s="383"/>
      <c r="BK158" s="131">
        <f>BK156-BK157</f>
        <v>3164</v>
      </c>
      <c r="BL158" s="123">
        <f>BL156-BL157</f>
        <v>3118</v>
      </c>
      <c r="BM158" s="123">
        <f>BM156-BM157</f>
        <v>3121</v>
      </c>
      <c r="BN158" s="132">
        <f>BN156-BN157</f>
        <v>3063</v>
      </c>
      <c r="BO158" s="303">
        <f>BO156-BO157</f>
        <v>3063</v>
      </c>
      <c r="BP158" s="383"/>
      <c r="BQ158" s="131">
        <f>BQ156-BQ157</f>
        <v>14738</v>
      </c>
      <c r="BR158" s="123">
        <f>BR156-BR157</f>
        <v>14507.883928571429</v>
      </c>
      <c r="BS158" s="123">
        <f>BS156-BS157</f>
        <v>14277.767857142857</v>
      </c>
      <c r="BT158" s="132">
        <f>BT156-BT157</f>
        <v>14047.651785714286</v>
      </c>
      <c r="BU158" s="303">
        <f>BU156-BU157</f>
        <v>14047.651785714286</v>
      </c>
      <c r="BV158" s="383"/>
      <c r="BW158" s="131">
        <f>BW156-BW157</f>
        <v>13817.535714285714</v>
      </c>
      <c r="BX158" s="123">
        <f>BX156-BX157</f>
        <v>13587.419642857143</v>
      </c>
      <c r="BY158" s="123">
        <f>BY156-BY157</f>
        <v>13357.303571428572</v>
      </c>
      <c r="BZ158" s="132">
        <f>BZ156-BZ157</f>
        <v>13127.1875</v>
      </c>
      <c r="CA158" s="303">
        <f>CA156-CA157</f>
        <v>13127.1875</v>
      </c>
      <c r="CB158" s="383"/>
      <c r="CC158" s="131">
        <f>CC156-CC157</f>
        <v>12897.071428571429</v>
      </c>
      <c r="CD158" s="123">
        <f>CD156-CD157</f>
        <v>12666.955357142857</v>
      </c>
      <c r="CE158" s="123">
        <f>CE156-CE157</f>
        <v>12436.839285714286</v>
      </c>
      <c r="CF158" s="132">
        <f>CF156-CF157</f>
        <v>12206.723214285714</v>
      </c>
      <c r="CG158" s="303">
        <f>CG156-CG157</f>
        <v>12206.723214285714</v>
      </c>
      <c r="CH158" s="383"/>
      <c r="CI158" s="131">
        <f>CI156-CI157</f>
        <v>11976.607142857143</v>
      </c>
      <c r="CJ158" s="123">
        <f>CJ156-CJ157</f>
        <v>11746.491071428572</v>
      </c>
      <c r="CK158" s="123">
        <f>CK156-CK157</f>
        <v>11516.375</v>
      </c>
      <c r="CL158" s="132">
        <f>CL156-CL157</f>
        <v>11286.258928571429</v>
      </c>
      <c r="CM158" s="303">
        <f>CM156-CM157</f>
        <v>11286.258928571429</v>
      </c>
      <c r="CQ158"/>
      <c r="CR158"/>
      <c r="CS158"/>
      <c r="CT158"/>
      <c r="CU158"/>
      <c r="CV158"/>
      <c r="CW158" s="3"/>
    </row>
    <row r="159" spans="1:101" s="11" customFormat="1" collapsed="1" x14ac:dyDescent="0.2">
      <c r="A159" s="498"/>
      <c r="B159" s="356"/>
      <c r="C159" s="356"/>
      <c r="D159" s="356"/>
      <c r="E159" s="356"/>
      <c r="F159" s="356"/>
      <c r="G159" s="356"/>
      <c r="H159" s="356"/>
      <c r="I159" s="356"/>
      <c r="J159" s="356"/>
      <c r="K159" s="356"/>
      <c r="L159" s="356"/>
      <c r="M159" s="499"/>
      <c r="N159" s="499"/>
      <c r="O159" s="499"/>
      <c r="P159" s="499"/>
      <c r="Q159" s="499"/>
      <c r="R159" s="499"/>
      <c r="S159" s="356"/>
      <c r="T159" s="356"/>
      <c r="U159" s="356"/>
      <c r="V159" s="356"/>
      <c r="W159" s="356"/>
      <c r="X159" s="356"/>
      <c r="Y159" s="356"/>
      <c r="Z159" s="356"/>
      <c r="AA159" s="356"/>
      <c r="AB159" s="356"/>
      <c r="AC159" s="356"/>
      <c r="AD159" s="356"/>
      <c r="AE159" s="356"/>
      <c r="AF159" s="356"/>
      <c r="AG159" s="356"/>
      <c r="AH159" s="356"/>
      <c r="AI159" s="356"/>
      <c r="AJ159" s="356"/>
      <c r="AK159" s="356"/>
      <c r="AL159" s="356"/>
      <c r="AM159" s="356"/>
      <c r="AN159" s="356"/>
      <c r="AO159" s="356"/>
      <c r="AP159" s="356"/>
      <c r="AQ159" s="356"/>
      <c r="AR159" s="356"/>
      <c r="AS159" s="356"/>
      <c r="AT159" s="356"/>
      <c r="AU159" s="356"/>
      <c r="AV159" s="356"/>
      <c r="AW159" s="356"/>
      <c r="AX159" s="356"/>
      <c r="AY159" s="356"/>
      <c r="AZ159" s="356"/>
      <c r="BA159" s="356"/>
      <c r="BB159" s="356"/>
      <c r="BC159" s="356"/>
      <c r="BD159" s="356"/>
      <c r="BE159" s="356"/>
      <c r="BF159" s="356"/>
      <c r="BG159" s="356"/>
      <c r="BH159" s="356"/>
      <c r="BI159" s="356"/>
      <c r="BJ159" s="356"/>
      <c r="BK159" s="356"/>
      <c r="BL159" s="356"/>
      <c r="BM159" s="356"/>
      <c r="BN159" s="356"/>
      <c r="BO159" s="356"/>
      <c r="BP159" s="356"/>
      <c r="BQ159" s="356"/>
      <c r="BR159" s="356"/>
      <c r="BS159" s="356"/>
      <c r="BT159" s="356"/>
      <c r="BU159" s="356"/>
      <c r="CQ159"/>
      <c r="CR159"/>
      <c r="CS159"/>
      <c r="CT159"/>
      <c r="CU159"/>
      <c r="CV159"/>
      <c r="CW159" s="3"/>
    </row>
    <row r="161" customFormat="1" hidden="1" outlineLevel="1" x14ac:dyDescent="0.2"/>
    <row r="162" collapsed="1" x14ac:dyDescent="0.2"/>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CW122"/>
  <sheetViews>
    <sheetView showGridLines="0" workbookViewId="0">
      <pane xSplit="2" ySplit="6" topLeftCell="C7" activePane="bottomRight" state="frozen"/>
      <selection pane="topRight" activeCell="C1" sqref="C1"/>
      <selection pane="bottomLeft" activeCell="A7" sqref="A7"/>
      <selection pane="bottomRight"/>
    </sheetView>
  </sheetViews>
  <sheetFormatPr defaultRowHeight="12.75" outlineLevelRow="1" outlineLevelCol="1" x14ac:dyDescent="0.2"/>
  <cols>
    <col min="1" max="1" width="25.7109375" style="3" customWidth="1"/>
    <col min="2" max="2" width="0.85546875" style="11" customWidth="1"/>
    <col min="3" max="7" width="8.28515625" style="3" hidden="1" customWidth="1" outlineLevel="1"/>
    <col min="8" max="8" width="0.85546875" style="11" hidden="1" customWidth="1" outlineLevel="1"/>
    <col min="9" max="13" width="8.28515625" style="3" hidden="1" customWidth="1" outlineLevel="1"/>
    <col min="14" max="14" width="0.85546875" style="11" hidden="1" customWidth="1" outlineLevel="1"/>
    <col min="15" max="19" width="8.28515625" style="3" hidden="1" customWidth="1" outlineLevel="1"/>
    <col min="20" max="20" width="0.85546875" style="11" hidden="1" customWidth="1" outlineLevel="1"/>
    <col min="21" max="25" width="8.28515625" style="3" hidden="1" customWidth="1" outlineLevel="1"/>
    <col min="26" max="26" width="0.85546875" style="11" hidden="1" customWidth="1" outlineLevel="1"/>
    <col min="27" max="31" width="8.28515625" style="3" hidden="1" customWidth="1" outlineLevel="1"/>
    <col min="32" max="32" width="0.85546875" style="11" hidden="1" customWidth="1" outlineLevel="1"/>
    <col min="33" max="37" width="8.28515625" style="3" hidden="1" customWidth="1" outlineLevel="1"/>
    <col min="38" max="38" width="0.85546875" style="11" hidden="1" customWidth="1" outlineLevel="1"/>
    <col min="39" max="43" width="8.28515625" style="3" hidden="1" customWidth="1" outlineLevel="1"/>
    <col min="44" max="44" width="0.85546875" style="11" hidden="1" customWidth="1" outlineLevel="1"/>
    <col min="45" max="49" width="8.28515625" style="3" hidden="1" customWidth="1" outlineLevel="1"/>
    <col min="50" max="50" width="0.85546875" style="11" hidden="1" customWidth="1" outlineLevel="1"/>
    <col min="51" max="54" width="8.28515625" style="3" hidden="1" customWidth="1" outlineLevel="1"/>
    <col min="55" max="55" width="8.28515625" style="3" customWidth="1" collapsed="1"/>
    <col min="56" max="56" width="0.85546875" style="11" customWidth="1"/>
    <col min="57" max="60" width="8.28515625" style="3" hidden="1" customWidth="1" outlineLevel="1"/>
    <col min="61" max="61" width="8.28515625" style="3" customWidth="1" collapsed="1"/>
    <col min="62" max="62" width="0.85546875" style="11" customWidth="1"/>
    <col min="63" max="66" width="8.28515625" style="3" hidden="1" customWidth="1" outlineLevel="1"/>
    <col min="67" max="67" width="8.28515625" style="3" customWidth="1" collapsed="1"/>
    <col min="68" max="68" width="0.85546875" style="11" customWidth="1"/>
    <col min="69" max="72" width="8.28515625" style="3" hidden="1" customWidth="1" outlineLevel="1"/>
    <col min="73" max="73" width="8.28515625" style="3" customWidth="1" collapsed="1"/>
    <col min="74" max="74" width="0.85546875" style="3" customWidth="1"/>
    <col min="75" max="78" width="8.28515625" style="3" hidden="1" customWidth="1" outlineLevel="1"/>
    <col min="79" max="79" width="8.28515625" style="3" customWidth="1" collapsed="1"/>
    <col min="80" max="80" width="0.85546875" style="3" customWidth="1"/>
    <col min="81" max="84" width="8.28515625" style="3" hidden="1" customWidth="1" outlineLevel="1"/>
    <col min="85" max="85" width="8.28515625" style="3" customWidth="1" collapsed="1"/>
    <col min="86" max="86" width="0.85546875" style="3" customWidth="1"/>
    <col min="87" max="90" width="8.28515625" style="3" hidden="1" customWidth="1" outlineLevel="1"/>
    <col min="91" max="91" width="8.28515625" style="3" customWidth="1" collapsed="1"/>
    <col min="92" max="94" width="9.140625" style="3" customWidth="1"/>
    <col min="95" max="95" width="29.7109375" hidden="1" customWidth="1" outlineLevel="1"/>
    <col min="96" max="100" width="9.140625" hidden="1" customWidth="1" outlineLevel="1"/>
    <col min="101" max="101" width="9.140625" style="3" collapsed="1"/>
    <col min="102" max="256" width="9.140625" style="3"/>
    <col min="257" max="257" width="25.7109375" style="3" customWidth="1"/>
    <col min="258" max="258" width="0.85546875" style="3" customWidth="1"/>
    <col min="259" max="263" width="8.28515625" style="3" customWidth="1"/>
    <col min="264" max="264" width="0.85546875" style="3" customWidth="1"/>
    <col min="265" max="269" width="8.28515625" style="3" customWidth="1"/>
    <col min="270" max="270" width="0.85546875" style="3" customWidth="1"/>
    <col min="271" max="275" width="8.28515625" style="3" customWidth="1"/>
    <col min="276" max="276" width="0.85546875" style="3" customWidth="1"/>
    <col min="277" max="281" width="8.28515625" style="3" customWidth="1"/>
    <col min="282" max="282" width="0.85546875" style="3" customWidth="1"/>
    <col min="283" max="287" width="8.28515625" style="3" customWidth="1"/>
    <col min="288" max="288" width="0.85546875" style="3" customWidth="1"/>
    <col min="289" max="293" width="8.28515625" style="3" customWidth="1"/>
    <col min="294" max="294" width="0.85546875" style="3" customWidth="1"/>
    <col min="295" max="299" width="8.28515625" style="3" customWidth="1"/>
    <col min="300" max="300" width="0.85546875" style="3" customWidth="1"/>
    <col min="301" max="305" width="8.28515625" style="3" customWidth="1"/>
    <col min="306" max="306" width="0.85546875" style="3" customWidth="1"/>
    <col min="307" max="311" width="8.28515625" style="3" customWidth="1"/>
    <col min="312" max="312" width="0.85546875" style="3" customWidth="1"/>
    <col min="313" max="317" width="8.28515625" style="3" customWidth="1"/>
    <col min="318" max="318" width="0.85546875" style="3" customWidth="1"/>
    <col min="319" max="323" width="8.28515625" style="3" customWidth="1"/>
    <col min="324" max="324" width="0.85546875" style="3" customWidth="1"/>
    <col min="325" max="329" width="8.28515625" style="3" customWidth="1"/>
    <col min="330" max="330" width="0.85546875" style="3" customWidth="1"/>
    <col min="331" max="335" width="8.28515625" style="3" customWidth="1"/>
    <col min="336" max="336" width="0.85546875" style="3" customWidth="1"/>
    <col min="337" max="341" width="8.28515625" style="3" customWidth="1"/>
    <col min="342" max="342" width="0.85546875" style="3" customWidth="1"/>
    <col min="343" max="347" width="8.28515625" style="3" customWidth="1"/>
    <col min="348" max="350" width="9.140625" style="3" customWidth="1"/>
    <col min="351" max="351" width="29.7109375" style="3" customWidth="1"/>
    <col min="352" max="356" width="9.140625" style="3" customWidth="1"/>
    <col min="357" max="512" width="9.140625" style="3"/>
    <col min="513" max="513" width="25.7109375" style="3" customWidth="1"/>
    <col min="514" max="514" width="0.85546875" style="3" customWidth="1"/>
    <col min="515" max="519" width="8.28515625" style="3" customWidth="1"/>
    <col min="520" max="520" width="0.85546875" style="3" customWidth="1"/>
    <col min="521" max="525" width="8.28515625" style="3" customWidth="1"/>
    <col min="526" max="526" width="0.85546875" style="3" customWidth="1"/>
    <col min="527" max="531" width="8.28515625" style="3" customWidth="1"/>
    <col min="532" max="532" width="0.85546875" style="3" customWidth="1"/>
    <col min="533" max="537" width="8.28515625" style="3" customWidth="1"/>
    <col min="538" max="538" width="0.85546875" style="3" customWidth="1"/>
    <col min="539" max="543" width="8.28515625" style="3" customWidth="1"/>
    <col min="544" max="544" width="0.85546875" style="3" customWidth="1"/>
    <col min="545" max="549" width="8.28515625" style="3" customWidth="1"/>
    <col min="550" max="550" width="0.85546875" style="3" customWidth="1"/>
    <col min="551" max="555" width="8.28515625" style="3" customWidth="1"/>
    <col min="556" max="556" width="0.85546875" style="3" customWidth="1"/>
    <col min="557" max="561" width="8.28515625" style="3" customWidth="1"/>
    <col min="562" max="562" width="0.85546875" style="3" customWidth="1"/>
    <col min="563" max="567" width="8.28515625" style="3" customWidth="1"/>
    <col min="568" max="568" width="0.85546875" style="3" customWidth="1"/>
    <col min="569" max="573" width="8.28515625" style="3" customWidth="1"/>
    <col min="574" max="574" width="0.85546875" style="3" customWidth="1"/>
    <col min="575" max="579" width="8.28515625" style="3" customWidth="1"/>
    <col min="580" max="580" width="0.85546875" style="3" customWidth="1"/>
    <col min="581" max="585" width="8.28515625" style="3" customWidth="1"/>
    <col min="586" max="586" width="0.85546875" style="3" customWidth="1"/>
    <col min="587" max="591" width="8.28515625" style="3" customWidth="1"/>
    <col min="592" max="592" width="0.85546875" style="3" customWidth="1"/>
    <col min="593" max="597" width="8.28515625" style="3" customWidth="1"/>
    <col min="598" max="598" width="0.85546875" style="3" customWidth="1"/>
    <col min="599" max="603" width="8.28515625" style="3" customWidth="1"/>
    <col min="604" max="606" width="9.140625" style="3" customWidth="1"/>
    <col min="607" max="607" width="29.7109375" style="3" customWidth="1"/>
    <col min="608" max="612" width="9.140625" style="3" customWidth="1"/>
    <col min="613" max="768" width="9.140625" style="3"/>
    <col min="769" max="769" width="25.7109375" style="3" customWidth="1"/>
    <col min="770" max="770" width="0.85546875" style="3" customWidth="1"/>
    <col min="771" max="775" width="8.28515625" style="3" customWidth="1"/>
    <col min="776" max="776" width="0.85546875" style="3" customWidth="1"/>
    <col min="777" max="781" width="8.28515625" style="3" customWidth="1"/>
    <col min="782" max="782" width="0.85546875" style="3" customWidth="1"/>
    <col min="783" max="787" width="8.28515625" style="3" customWidth="1"/>
    <col min="788" max="788" width="0.85546875" style="3" customWidth="1"/>
    <col min="789" max="793" width="8.28515625" style="3" customWidth="1"/>
    <col min="794" max="794" width="0.85546875" style="3" customWidth="1"/>
    <col min="795" max="799" width="8.28515625" style="3" customWidth="1"/>
    <col min="800" max="800" width="0.85546875" style="3" customWidth="1"/>
    <col min="801" max="805" width="8.28515625" style="3" customWidth="1"/>
    <col min="806" max="806" width="0.85546875" style="3" customWidth="1"/>
    <col min="807" max="811" width="8.28515625" style="3" customWidth="1"/>
    <col min="812" max="812" width="0.85546875" style="3" customWidth="1"/>
    <col min="813" max="817" width="8.28515625" style="3" customWidth="1"/>
    <col min="818" max="818" width="0.85546875" style="3" customWidth="1"/>
    <col min="819" max="823" width="8.28515625" style="3" customWidth="1"/>
    <col min="824" max="824" width="0.85546875" style="3" customWidth="1"/>
    <col min="825" max="829" width="8.28515625" style="3" customWidth="1"/>
    <col min="830" max="830" width="0.85546875" style="3" customWidth="1"/>
    <col min="831" max="835" width="8.28515625" style="3" customWidth="1"/>
    <col min="836" max="836" width="0.85546875" style="3" customWidth="1"/>
    <col min="837" max="841" width="8.28515625" style="3" customWidth="1"/>
    <col min="842" max="842" width="0.85546875" style="3" customWidth="1"/>
    <col min="843" max="847" width="8.28515625" style="3" customWidth="1"/>
    <col min="848" max="848" width="0.85546875" style="3" customWidth="1"/>
    <col min="849" max="853" width="8.28515625" style="3" customWidth="1"/>
    <col min="854" max="854" width="0.85546875" style="3" customWidth="1"/>
    <col min="855" max="859" width="8.28515625" style="3" customWidth="1"/>
    <col min="860" max="862" width="9.140625" style="3" customWidth="1"/>
    <col min="863" max="863" width="29.7109375" style="3" customWidth="1"/>
    <col min="864" max="868" width="9.140625" style="3" customWidth="1"/>
    <col min="869" max="1024" width="9.140625" style="3"/>
    <col min="1025" max="1025" width="25.7109375" style="3" customWidth="1"/>
    <col min="1026" max="1026" width="0.85546875" style="3" customWidth="1"/>
    <col min="1027" max="1031" width="8.28515625" style="3" customWidth="1"/>
    <col min="1032" max="1032" width="0.85546875" style="3" customWidth="1"/>
    <col min="1033" max="1037" width="8.28515625" style="3" customWidth="1"/>
    <col min="1038" max="1038" width="0.85546875" style="3" customWidth="1"/>
    <col min="1039" max="1043" width="8.28515625" style="3" customWidth="1"/>
    <col min="1044" max="1044" width="0.85546875" style="3" customWidth="1"/>
    <col min="1045" max="1049" width="8.28515625" style="3" customWidth="1"/>
    <col min="1050" max="1050" width="0.85546875" style="3" customWidth="1"/>
    <col min="1051" max="1055" width="8.28515625" style="3" customWidth="1"/>
    <col min="1056" max="1056" width="0.85546875" style="3" customWidth="1"/>
    <col min="1057" max="1061" width="8.28515625" style="3" customWidth="1"/>
    <col min="1062" max="1062" width="0.85546875" style="3" customWidth="1"/>
    <col min="1063" max="1067" width="8.28515625" style="3" customWidth="1"/>
    <col min="1068" max="1068" width="0.85546875" style="3" customWidth="1"/>
    <col min="1069" max="1073" width="8.28515625" style="3" customWidth="1"/>
    <col min="1074" max="1074" width="0.85546875" style="3" customWidth="1"/>
    <col min="1075" max="1079" width="8.28515625" style="3" customWidth="1"/>
    <col min="1080" max="1080" width="0.85546875" style="3" customWidth="1"/>
    <col min="1081" max="1085" width="8.28515625" style="3" customWidth="1"/>
    <col min="1086" max="1086" width="0.85546875" style="3" customWidth="1"/>
    <col min="1087" max="1091" width="8.28515625" style="3" customWidth="1"/>
    <col min="1092" max="1092" width="0.85546875" style="3" customWidth="1"/>
    <col min="1093" max="1097" width="8.28515625" style="3" customWidth="1"/>
    <col min="1098" max="1098" width="0.85546875" style="3" customWidth="1"/>
    <col min="1099" max="1103" width="8.28515625" style="3" customWidth="1"/>
    <col min="1104" max="1104" width="0.85546875" style="3" customWidth="1"/>
    <col min="1105" max="1109" width="8.28515625" style="3" customWidth="1"/>
    <col min="1110" max="1110" width="0.85546875" style="3" customWidth="1"/>
    <col min="1111" max="1115" width="8.28515625" style="3" customWidth="1"/>
    <col min="1116" max="1118" width="9.140625" style="3" customWidth="1"/>
    <col min="1119" max="1119" width="29.7109375" style="3" customWidth="1"/>
    <col min="1120" max="1124" width="9.140625" style="3" customWidth="1"/>
    <col min="1125" max="1280" width="9.140625" style="3"/>
    <col min="1281" max="1281" width="25.7109375" style="3" customWidth="1"/>
    <col min="1282" max="1282" width="0.85546875" style="3" customWidth="1"/>
    <col min="1283" max="1287" width="8.28515625" style="3" customWidth="1"/>
    <col min="1288" max="1288" width="0.85546875" style="3" customWidth="1"/>
    <col min="1289" max="1293" width="8.28515625" style="3" customWidth="1"/>
    <col min="1294" max="1294" width="0.85546875" style="3" customWidth="1"/>
    <col min="1295" max="1299" width="8.28515625" style="3" customWidth="1"/>
    <col min="1300" max="1300" width="0.85546875" style="3" customWidth="1"/>
    <col min="1301" max="1305" width="8.28515625" style="3" customWidth="1"/>
    <col min="1306" max="1306" width="0.85546875" style="3" customWidth="1"/>
    <col min="1307" max="1311" width="8.28515625" style="3" customWidth="1"/>
    <col min="1312" max="1312" width="0.85546875" style="3" customWidth="1"/>
    <col min="1313" max="1317" width="8.28515625" style="3" customWidth="1"/>
    <col min="1318" max="1318" width="0.85546875" style="3" customWidth="1"/>
    <col min="1319" max="1323" width="8.28515625" style="3" customWidth="1"/>
    <col min="1324" max="1324" width="0.85546875" style="3" customWidth="1"/>
    <col min="1325" max="1329" width="8.28515625" style="3" customWidth="1"/>
    <col min="1330" max="1330" width="0.85546875" style="3" customWidth="1"/>
    <col min="1331" max="1335" width="8.28515625" style="3" customWidth="1"/>
    <col min="1336" max="1336" width="0.85546875" style="3" customWidth="1"/>
    <col min="1337" max="1341" width="8.28515625" style="3" customWidth="1"/>
    <col min="1342" max="1342" width="0.85546875" style="3" customWidth="1"/>
    <col min="1343" max="1347" width="8.28515625" style="3" customWidth="1"/>
    <col min="1348" max="1348" width="0.85546875" style="3" customWidth="1"/>
    <col min="1349" max="1353" width="8.28515625" style="3" customWidth="1"/>
    <col min="1354" max="1354" width="0.85546875" style="3" customWidth="1"/>
    <col min="1355" max="1359" width="8.28515625" style="3" customWidth="1"/>
    <col min="1360" max="1360" width="0.85546875" style="3" customWidth="1"/>
    <col min="1361" max="1365" width="8.28515625" style="3" customWidth="1"/>
    <col min="1366" max="1366" width="0.85546875" style="3" customWidth="1"/>
    <col min="1367" max="1371" width="8.28515625" style="3" customWidth="1"/>
    <col min="1372" max="1374" width="9.140625" style="3" customWidth="1"/>
    <col min="1375" max="1375" width="29.7109375" style="3" customWidth="1"/>
    <col min="1376" max="1380" width="9.140625" style="3" customWidth="1"/>
    <col min="1381" max="1536" width="9.140625" style="3"/>
    <col min="1537" max="1537" width="25.7109375" style="3" customWidth="1"/>
    <col min="1538" max="1538" width="0.85546875" style="3" customWidth="1"/>
    <col min="1539" max="1543" width="8.28515625" style="3" customWidth="1"/>
    <col min="1544" max="1544" width="0.85546875" style="3" customWidth="1"/>
    <col min="1545" max="1549" width="8.28515625" style="3" customWidth="1"/>
    <col min="1550" max="1550" width="0.85546875" style="3" customWidth="1"/>
    <col min="1551" max="1555" width="8.28515625" style="3" customWidth="1"/>
    <col min="1556" max="1556" width="0.85546875" style="3" customWidth="1"/>
    <col min="1557" max="1561" width="8.28515625" style="3" customWidth="1"/>
    <col min="1562" max="1562" width="0.85546875" style="3" customWidth="1"/>
    <col min="1563" max="1567" width="8.28515625" style="3" customWidth="1"/>
    <col min="1568" max="1568" width="0.85546875" style="3" customWidth="1"/>
    <col min="1569" max="1573" width="8.28515625" style="3" customWidth="1"/>
    <col min="1574" max="1574" width="0.85546875" style="3" customWidth="1"/>
    <col min="1575" max="1579" width="8.28515625" style="3" customWidth="1"/>
    <col min="1580" max="1580" width="0.85546875" style="3" customWidth="1"/>
    <col min="1581" max="1585" width="8.28515625" style="3" customWidth="1"/>
    <col min="1586" max="1586" width="0.85546875" style="3" customWidth="1"/>
    <col min="1587" max="1591" width="8.28515625" style="3" customWidth="1"/>
    <col min="1592" max="1592" width="0.85546875" style="3" customWidth="1"/>
    <col min="1593" max="1597" width="8.28515625" style="3" customWidth="1"/>
    <col min="1598" max="1598" width="0.85546875" style="3" customWidth="1"/>
    <col min="1599" max="1603" width="8.28515625" style="3" customWidth="1"/>
    <col min="1604" max="1604" width="0.85546875" style="3" customWidth="1"/>
    <col min="1605" max="1609" width="8.28515625" style="3" customWidth="1"/>
    <col min="1610" max="1610" width="0.85546875" style="3" customWidth="1"/>
    <col min="1611" max="1615" width="8.28515625" style="3" customWidth="1"/>
    <col min="1616" max="1616" width="0.85546875" style="3" customWidth="1"/>
    <col min="1617" max="1621" width="8.28515625" style="3" customWidth="1"/>
    <col min="1622" max="1622" width="0.85546875" style="3" customWidth="1"/>
    <col min="1623" max="1627" width="8.28515625" style="3" customWidth="1"/>
    <col min="1628" max="1630" width="9.140625" style="3" customWidth="1"/>
    <col min="1631" max="1631" width="29.7109375" style="3" customWidth="1"/>
    <col min="1632" max="1636" width="9.140625" style="3" customWidth="1"/>
    <col min="1637" max="1792" width="9.140625" style="3"/>
    <col min="1793" max="1793" width="25.7109375" style="3" customWidth="1"/>
    <col min="1794" max="1794" width="0.85546875" style="3" customWidth="1"/>
    <col min="1795" max="1799" width="8.28515625" style="3" customWidth="1"/>
    <col min="1800" max="1800" width="0.85546875" style="3" customWidth="1"/>
    <col min="1801" max="1805" width="8.28515625" style="3" customWidth="1"/>
    <col min="1806" max="1806" width="0.85546875" style="3" customWidth="1"/>
    <col min="1807" max="1811" width="8.28515625" style="3" customWidth="1"/>
    <col min="1812" max="1812" width="0.85546875" style="3" customWidth="1"/>
    <col min="1813" max="1817" width="8.28515625" style="3" customWidth="1"/>
    <col min="1818" max="1818" width="0.85546875" style="3" customWidth="1"/>
    <col min="1819" max="1823" width="8.28515625" style="3" customWidth="1"/>
    <col min="1824" max="1824" width="0.85546875" style="3" customWidth="1"/>
    <col min="1825" max="1829" width="8.28515625" style="3" customWidth="1"/>
    <col min="1830" max="1830" width="0.85546875" style="3" customWidth="1"/>
    <col min="1831" max="1835" width="8.28515625" style="3" customWidth="1"/>
    <col min="1836" max="1836" width="0.85546875" style="3" customWidth="1"/>
    <col min="1837" max="1841" width="8.28515625" style="3" customWidth="1"/>
    <col min="1842" max="1842" width="0.85546875" style="3" customWidth="1"/>
    <col min="1843" max="1847" width="8.28515625" style="3" customWidth="1"/>
    <col min="1848" max="1848" width="0.85546875" style="3" customWidth="1"/>
    <col min="1849" max="1853" width="8.28515625" style="3" customWidth="1"/>
    <col min="1854" max="1854" width="0.85546875" style="3" customWidth="1"/>
    <col min="1855" max="1859" width="8.28515625" style="3" customWidth="1"/>
    <col min="1860" max="1860" width="0.85546875" style="3" customWidth="1"/>
    <col min="1861" max="1865" width="8.28515625" style="3" customWidth="1"/>
    <col min="1866" max="1866" width="0.85546875" style="3" customWidth="1"/>
    <col min="1867" max="1871" width="8.28515625" style="3" customWidth="1"/>
    <col min="1872" max="1872" width="0.85546875" style="3" customWidth="1"/>
    <col min="1873" max="1877" width="8.28515625" style="3" customWidth="1"/>
    <col min="1878" max="1878" width="0.85546875" style="3" customWidth="1"/>
    <col min="1879" max="1883" width="8.28515625" style="3" customWidth="1"/>
    <col min="1884" max="1886" width="9.140625" style="3" customWidth="1"/>
    <col min="1887" max="1887" width="29.7109375" style="3" customWidth="1"/>
    <col min="1888" max="1892" width="9.140625" style="3" customWidth="1"/>
    <col min="1893" max="2048" width="9.140625" style="3"/>
    <col min="2049" max="2049" width="25.7109375" style="3" customWidth="1"/>
    <col min="2050" max="2050" width="0.85546875" style="3" customWidth="1"/>
    <col min="2051" max="2055" width="8.28515625" style="3" customWidth="1"/>
    <col min="2056" max="2056" width="0.85546875" style="3" customWidth="1"/>
    <col min="2057" max="2061" width="8.28515625" style="3" customWidth="1"/>
    <col min="2062" max="2062" width="0.85546875" style="3" customWidth="1"/>
    <col min="2063" max="2067" width="8.28515625" style="3" customWidth="1"/>
    <col min="2068" max="2068" width="0.85546875" style="3" customWidth="1"/>
    <col min="2069" max="2073" width="8.28515625" style="3" customWidth="1"/>
    <col min="2074" max="2074" width="0.85546875" style="3" customWidth="1"/>
    <col min="2075" max="2079" width="8.28515625" style="3" customWidth="1"/>
    <col min="2080" max="2080" width="0.85546875" style="3" customWidth="1"/>
    <col min="2081" max="2085" width="8.28515625" style="3" customWidth="1"/>
    <col min="2086" max="2086" width="0.85546875" style="3" customWidth="1"/>
    <col min="2087" max="2091" width="8.28515625" style="3" customWidth="1"/>
    <col min="2092" max="2092" width="0.85546875" style="3" customWidth="1"/>
    <col min="2093" max="2097" width="8.28515625" style="3" customWidth="1"/>
    <col min="2098" max="2098" width="0.85546875" style="3" customWidth="1"/>
    <col min="2099" max="2103" width="8.28515625" style="3" customWidth="1"/>
    <col min="2104" max="2104" width="0.85546875" style="3" customWidth="1"/>
    <col min="2105" max="2109" width="8.28515625" style="3" customWidth="1"/>
    <col min="2110" max="2110" width="0.85546875" style="3" customWidth="1"/>
    <col min="2111" max="2115" width="8.28515625" style="3" customWidth="1"/>
    <col min="2116" max="2116" width="0.85546875" style="3" customWidth="1"/>
    <col min="2117" max="2121" width="8.28515625" style="3" customWidth="1"/>
    <col min="2122" max="2122" width="0.85546875" style="3" customWidth="1"/>
    <col min="2123" max="2127" width="8.28515625" style="3" customWidth="1"/>
    <col min="2128" max="2128" width="0.85546875" style="3" customWidth="1"/>
    <col min="2129" max="2133" width="8.28515625" style="3" customWidth="1"/>
    <col min="2134" max="2134" width="0.85546875" style="3" customWidth="1"/>
    <col min="2135" max="2139" width="8.28515625" style="3" customWidth="1"/>
    <col min="2140" max="2142" width="9.140625" style="3" customWidth="1"/>
    <col min="2143" max="2143" width="29.7109375" style="3" customWidth="1"/>
    <col min="2144" max="2148" width="9.140625" style="3" customWidth="1"/>
    <col min="2149" max="2304" width="9.140625" style="3"/>
    <col min="2305" max="2305" width="25.7109375" style="3" customWidth="1"/>
    <col min="2306" max="2306" width="0.85546875" style="3" customWidth="1"/>
    <col min="2307" max="2311" width="8.28515625" style="3" customWidth="1"/>
    <col min="2312" max="2312" width="0.85546875" style="3" customWidth="1"/>
    <col min="2313" max="2317" width="8.28515625" style="3" customWidth="1"/>
    <col min="2318" max="2318" width="0.85546875" style="3" customWidth="1"/>
    <col min="2319" max="2323" width="8.28515625" style="3" customWidth="1"/>
    <col min="2324" max="2324" width="0.85546875" style="3" customWidth="1"/>
    <col min="2325" max="2329" width="8.28515625" style="3" customWidth="1"/>
    <col min="2330" max="2330" width="0.85546875" style="3" customWidth="1"/>
    <col min="2331" max="2335" width="8.28515625" style="3" customWidth="1"/>
    <col min="2336" max="2336" width="0.85546875" style="3" customWidth="1"/>
    <col min="2337" max="2341" width="8.28515625" style="3" customWidth="1"/>
    <col min="2342" max="2342" width="0.85546875" style="3" customWidth="1"/>
    <col min="2343" max="2347" width="8.28515625" style="3" customWidth="1"/>
    <col min="2348" max="2348" width="0.85546875" style="3" customWidth="1"/>
    <col min="2349" max="2353" width="8.28515625" style="3" customWidth="1"/>
    <col min="2354" max="2354" width="0.85546875" style="3" customWidth="1"/>
    <col min="2355" max="2359" width="8.28515625" style="3" customWidth="1"/>
    <col min="2360" max="2360" width="0.85546875" style="3" customWidth="1"/>
    <col min="2361" max="2365" width="8.28515625" style="3" customWidth="1"/>
    <col min="2366" max="2366" width="0.85546875" style="3" customWidth="1"/>
    <col min="2367" max="2371" width="8.28515625" style="3" customWidth="1"/>
    <col min="2372" max="2372" width="0.85546875" style="3" customWidth="1"/>
    <col min="2373" max="2377" width="8.28515625" style="3" customWidth="1"/>
    <col min="2378" max="2378" width="0.85546875" style="3" customWidth="1"/>
    <col min="2379" max="2383" width="8.28515625" style="3" customWidth="1"/>
    <col min="2384" max="2384" width="0.85546875" style="3" customWidth="1"/>
    <col min="2385" max="2389" width="8.28515625" style="3" customWidth="1"/>
    <col min="2390" max="2390" width="0.85546875" style="3" customWidth="1"/>
    <col min="2391" max="2395" width="8.28515625" style="3" customWidth="1"/>
    <col min="2396" max="2398" width="9.140625" style="3" customWidth="1"/>
    <col min="2399" max="2399" width="29.7109375" style="3" customWidth="1"/>
    <col min="2400" max="2404" width="9.140625" style="3" customWidth="1"/>
    <col min="2405" max="2560" width="9.140625" style="3"/>
    <col min="2561" max="2561" width="25.7109375" style="3" customWidth="1"/>
    <col min="2562" max="2562" width="0.85546875" style="3" customWidth="1"/>
    <col min="2563" max="2567" width="8.28515625" style="3" customWidth="1"/>
    <col min="2568" max="2568" width="0.85546875" style="3" customWidth="1"/>
    <col min="2569" max="2573" width="8.28515625" style="3" customWidth="1"/>
    <col min="2574" max="2574" width="0.85546875" style="3" customWidth="1"/>
    <col min="2575" max="2579" width="8.28515625" style="3" customWidth="1"/>
    <col min="2580" max="2580" width="0.85546875" style="3" customWidth="1"/>
    <col min="2581" max="2585" width="8.28515625" style="3" customWidth="1"/>
    <col min="2586" max="2586" width="0.85546875" style="3" customWidth="1"/>
    <col min="2587" max="2591" width="8.28515625" style="3" customWidth="1"/>
    <col min="2592" max="2592" width="0.85546875" style="3" customWidth="1"/>
    <col min="2593" max="2597" width="8.28515625" style="3" customWidth="1"/>
    <col min="2598" max="2598" width="0.85546875" style="3" customWidth="1"/>
    <col min="2599" max="2603" width="8.28515625" style="3" customWidth="1"/>
    <col min="2604" max="2604" width="0.85546875" style="3" customWidth="1"/>
    <col min="2605" max="2609" width="8.28515625" style="3" customWidth="1"/>
    <col min="2610" max="2610" width="0.85546875" style="3" customWidth="1"/>
    <col min="2611" max="2615" width="8.28515625" style="3" customWidth="1"/>
    <col min="2616" max="2616" width="0.85546875" style="3" customWidth="1"/>
    <col min="2617" max="2621" width="8.28515625" style="3" customWidth="1"/>
    <col min="2622" max="2622" width="0.85546875" style="3" customWidth="1"/>
    <col min="2623" max="2627" width="8.28515625" style="3" customWidth="1"/>
    <col min="2628" max="2628" width="0.85546875" style="3" customWidth="1"/>
    <col min="2629" max="2633" width="8.28515625" style="3" customWidth="1"/>
    <col min="2634" max="2634" width="0.85546875" style="3" customWidth="1"/>
    <col min="2635" max="2639" width="8.28515625" style="3" customWidth="1"/>
    <col min="2640" max="2640" width="0.85546875" style="3" customWidth="1"/>
    <col min="2641" max="2645" width="8.28515625" style="3" customWidth="1"/>
    <col min="2646" max="2646" width="0.85546875" style="3" customWidth="1"/>
    <col min="2647" max="2651" width="8.28515625" style="3" customWidth="1"/>
    <col min="2652" max="2654" width="9.140625" style="3" customWidth="1"/>
    <col min="2655" max="2655" width="29.7109375" style="3" customWidth="1"/>
    <col min="2656" max="2660" width="9.140625" style="3" customWidth="1"/>
    <col min="2661" max="2816" width="9.140625" style="3"/>
    <col min="2817" max="2817" width="25.7109375" style="3" customWidth="1"/>
    <col min="2818" max="2818" width="0.85546875" style="3" customWidth="1"/>
    <col min="2819" max="2823" width="8.28515625" style="3" customWidth="1"/>
    <col min="2824" max="2824" width="0.85546875" style="3" customWidth="1"/>
    <col min="2825" max="2829" width="8.28515625" style="3" customWidth="1"/>
    <col min="2830" max="2830" width="0.85546875" style="3" customWidth="1"/>
    <col min="2831" max="2835" width="8.28515625" style="3" customWidth="1"/>
    <col min="2836" max="2836" width="0.85546875" style="3" customWidth="1"/>
    <col min="2837" max="2841" width="8.28515625" style="3" customWidth="1"/>
    <col min="2842" max="2842" width="0.85546875" style="3" customWidth="1"/>
    <col min="2843" max="2847" width="8.28515625" style="3" customWidth="1"/>
    <col min="2848" max="2848" width="0.85546875" style="3" customWidth="1"/>
    <col min="2849" max="2853" width="8.28515625" style="3" customWidth="1"/>
    <col min="2854" max="2854" width="0.85546875" style="3" customWidth="1"/>
    <col min="2855" max="2859" width="8.28515625" style="3" customWidth="1"/>
    <col min="2860" max="2860" width="0.85546875" style="3" customWidth="1"/>
    <col min="2861" max="2865" width="8.28515625" style="3" customWidth="1"/>
    <col min="2866" max="2866" width="0.85546875" style="3" customWidth="1"/>
    <col min="2867" max="2871" width="8.28515625" style="3" customWidth="1"/>
    <col min="2872" max="2872" width="0.85546875" style="3" customWidth="1"/>
    <col min="2873" max="2877" width="8.28515625" style="3" customWidth="1"/>
    <col min="2878" max="2878" width="0.85546875" style="3" customWidth="1"/>
    <col min="2879" max="2883" width="8.28515625" style="3" customWidth="1"/>
    <col min="2884" max="2884" width="0.85546875" style="3" customWidth="1"/>
    <col min="2885" max="2889" width="8.28515625" style="3" customWidth="1"/>
    <col min="2890" max="2890" width="0.85546875" style="3" customWidth="1"/>
    <col min="2891" max="2895" width="8.28515625" style="3" customWidth="1"/>
    <col min="2896" max="2896" width="0.85546875" style="3" customWidth="1"/>
    <col min="2897" max="2901" width="8.28515625" style="3" customWidth="1"/>
    <col min="2902" max="2902" width="0.85546875" style="3" customWidth="1"/>
    <col min="2903" max="2907" width="8.28515625" style="3" customWidth="1"/>
    <col min="2908" max="2910" width="9.140625" style="3" customWidth="1"/>
    <col min="2911" max="2911" width="29.7109375" style="3" customWidth="1"/>
    <col min="2912" max="2916" width="9.140625" style="3" customWidth="1"/>
    <col min="2917" max="3072" width="9.140625" style="3"/>
    <col min="3073" max="3073" width="25.7109375" style="3" customWidth="1"/>
    <col min="3074" max="3074" width="0.85546875" style="3" customWidth="1"/>
    <col min="3075" max="3079" width="8.28515625" style="3" customWidth="1"/>
    <col min="3080" max="3080" width="0.85546875" style="3" customWidth="1"/>
    <col min="3081" max="3085" width="8.28515625" style="3" customWidth="1"/>
    <col min="3086" max="3086" width="0.85546875" style="3" customWidth="1"/>
    <col min="3087" max="3091" width="8.28515625" style="3" customWidth="1"/>
    <col min="3092" max="3092" width="0.85546875" style="3" customWidth="1"/>
    <col min="3093" max="3097" width="8.28515625" style="3" customWidth="1"/>
    <col min="3098" max="3098" width="0.85546875" style="3" customWidth="1"/>
    <col min="3099" max="3103" width="8.28515625" style="3" customWidth="1"/>
    <col min="3104" max="3104" width="0.85546875" style="3" customWidth="1"/>
    <col min="3105" max="3109" width="8.28515625" style="3" customWidth="1"/>
    <col min="3110" max="3110" width="0.85546875" style="3" customWidth="1"/>
    <col min="3111" max="3115" width="8.28515625" style="3" customWidth="1"/>
    <col min="3116" max="3116" width="0.85546875" style="3" customWidth="1"/>
    <col min="3117" max="3121" width="8.28515625" style="3" customWidth="1"/>
    <col min="3122" max="3122" width="0.85546875" style="3" customWidth="1"/>
    <col min="3123" max="3127" width="8.28515625" style="3" customWidth="1"/>
    <col min="3128" max="3128" width="0.85546875" style="3" customWidth="1"/>
    <col min="3129" max="3133" width="8.28515625" style="3" customWidth="1"/>
    <col min="3134" max="3134" width="0.85546875" style="3" customWidth="1"/>
    <col min="3135" max="3139" width="8.28515625" style="3" customWidth="1"/>
    <col min="3140" max="3140" width="0.85546875" style="3" customWidth="1"/>
    <col min="3141" max="3145" width="8.28515625" style="3" customWidth="1"/>
    <col min="3146" max="3146" width="0.85546875" style="3" customWidth="1"/>
    <col min="3147" max="3151" width="8.28515625" style="3" customWidth="1"/>
    <col min="3152" max="3152" width="0.85546875" style="3" customWidth="1"/>
    <col min="3153" max="3157" width="8.28515625" style="3" customWidth="1"/>
    <col min="3158" max="3158" width="0.85546875" style="3" customWidth="1"/>
    <col min="3159" max="3163" width="8.28515625" style="3" customWidth="1"/>
    <col min="3164" max="3166" width="9.140625" style="3" customWidth="1"/>
    <col min="3167" max="3167" width="29.7109375" style="3" customWidth="1"/>
    <col min="3168" max="3172" width="9.140625" style="3" customWidth="1"/>
    <col min="3173" max="3328" width="9.140625" style="3"/>
    <col min="3329" max="3329" width="25.7109375" style="3" customWidth="1"/>
    <col min="3330" max="3330" width="0.85546875" style="3" customWidth="1"/>
    <col min="3331" max="3335" width="8.28515625" style="3" customWidth="1"/>
    <col min="3336" max="3336" width="0.85546875" style="3" customWidth="1"/>
    <col min="3337" max="3341" width="8.28515625" style="3" customWidth="1"/>
    <col min="3342" max="3342" width="0.85546875" style="3" customWidth="1"/>
    <col min="3343" max="3347" width="8.28515625" style="3" customWidth="1"/>
    <col min="3348" max="3348" width="0.85546875" style="3" customWidth="1"/>
    <col min="3349" max="3353" width="8.28515625" style="3" customWidth="1"/>
    <col min="3354" max="3354" width="0.85546875" style="3" customWidth="1"/>
    <col min="3355" max="3359" width="8.28515625" style="3" customWidth="1"/>
    <col min="3360" max="3360" width="0.85546875" style="3" customWidth="1"/>
    <col min="3361" max="3365" width="8.28515625" style="3" customWidth="1"/>
    <col min="3366" max="3366" width="0.85546875" style="3" customWidth="1"/>
    <col min="3367" max="3371" width="8.28515625" style="3" customWidth="1"/>
    <col min="3372" max="3372" width="0.85546875" style="3" customWidth="1"/>
    <col min="3373" max="3377" width="8.28515625" style="3" customWidth="1"/>
    <col min="3378" max="3378" width="0.85546875" style="3" customWidth="1"/>
    <col min="3379" max="3383" width="8.28515625" style="3" customWidth="1"/>
    <col min="3384" max="3384" width="0.85546875" style="3" customWidth="1"/>
    <col min="3385" max="3389" width="8.28515625" style="3" customWidth="1"/>
    <col min="3390" max="3390" width="0.85546875" style="3" customWidth="1"/>
    <col min="3391" max="3395" width="8.28515625" style="3" customWidth="1"/>
    <col min="3396" max="3396" width="0.85546875" style="3" customWidth="1"/>
    <col min="3397" max="3401" width="8.28515625" style="3" customWidth="1"/>
    <col min="3402" max="3402" width="0.85546875" style="3" customWidth="1"/>
    <col min="3403" max="3407" width="8.28515625" style="3" customWidth="1"/>
    <col min="3408" max="3408" width="0.85546875" style="3" customWidth="1"/>
    <col min="3409" max="3413" width="8.28515625" style="3" customWidth="1"/>
    <col min="3414" max="3414" width="0.85546875" style="3" customWidth="1"/>
    <col min="3415" max="3419" width="8.28515625" style="3" customWidth="1"/>
    <col min="3420" max="3422" width="9.140625" style="3" customWidth="1"/>
    <col min="3423" max="3423" width="29.7109375" style="3" customWidth="1"/>
    <col min="3424" max="3428" width="9.140625" style="3" customWidth="1"/>
    <col min="3429" max="3584" width="9.140625" style="3"/>
    <col min="3585" max="3585" width="25.7109375" style="3" customWidth="1"/>
    <col min="3586" max="3586" width="0.85546875" style="3" customWidth="1"/>
    <col min="3587" max="3591" width="8.28515625" style="3" customWidth="1"/>
    <col min="3592" max="3592" width="0.85546875" style="3" customWidth="1"/>
    <col min="3593" max="3597" width="8.28515625" style="3" customWidth="1"/>
    <col min="3598" max="3598" width="0.85546875" style="3" customWidth="1"/>
    <col min="3599" max="3603" width="8.28515625" style="3" customWidth="1"/>
    <col min="3604" max="3604" width="0.85546875" style="3" customWidth="1"/>
    <col min="3605" max="3609" width="8.28515625" style="3" customWidth="1"/>
    <col min="3610" max="3610" width="0.85546875" style="3" customWidth="1"/>
    <col min="3611" max="3615" width="8.28515625" style="3" customWidth="1"/>
    <col min="3616" max="3616" width="0.85546875" style="3" customWidth="1"/>
    <col min="3617" max="3621" width="8.28515625" style="3" customWidth="1"/>
    <col min="3622" max="3622" width="0.85546875" style="3" customWidth="1"/>
    <col min="3623" max="3627" width="8.28515625" style="3" customWidth="1"/>
    <col min="3628" max="3628" width="0.85546875" style="3" customWidth="1"/>
    <col min="3629" max="3633" width="8.28515625" style="3" customWidth="1"/>
    <col min="3634" max="3634" width="0.85546875" style="3" customWidth="1"/>
    <col min="3635" max="3639" width="8.28515625" style="3" customWidth="1"/>
    <col min="3640" max="3640" width="0.85546875" style="3" customWidth="1"/>
    <col min="3641" max="3645" width="8.28515625" style="3" customWidth="1"/>
    <col min="3646" max="3646" width="0.85546875" style="3" customWidth="1"/>
    <col min="3647" max="3651" width="8.28515625" style="3" customWidth="1"/>
    <col min="3652" max="3652" width="0.85546875" style="3" customWidth="1"/>
    <col min="3653" max="3657" width="8.28515625" style="3" customWidth="1"/>
    <col min="3658" max="3658" width="0.85546875" style="3" customWidth="1"/>
    <col min="3659" max="3663" width="8.28515625" style="3" customWidth="1"/>
    <col min="3664" max="3664" width="0.85546875" style="3" customWidth="1"/>
    <col min="3665" max="3669" width="8.28515625" style="3" customWidth="1"/>
    <col min="3670" max="3670" width="0.85546875" style="3" customWidth="1"/>
    <col min="3671" max="3675" width="8.28515625" style="3" customWidth="1"/>
    <col min="3676" max="3678" width="9.140625" style="3" customWidth="1"/>
    <col min="3679" max="3679" width="29.7109375" style="3" customWidth="1"/>
    <col min="3680" max="3684" width="9.140625" style="3" customWidth="1"/>
    <col min="3685" max="3840" width="9.140625" style="3"/>
    <col min="3841" max="3841" width="25.7109375" style="3" customWidth="1"/>
    <col min="3842" max="3842" width="0.85546875" style="3" customWidth="1"/>
    <col min="3843" max="3847" width="8.28515625" style="3" customWidth="1"/>
    <col min="3848" max="3848" width="0.85546875" style="3" customWidth="1"/>
    <col min="3849" max="3853" width="8.28515625" style="3" customWidth="1"/>
    <col min="3854" max="3854" width="0.85546875" style="3" customWidth="1"/>
    <col min="3855" max="3859" width="8.28515625" style="3" customWidth="1"/>
    <col min="3860" max="3860" width="0.85546875" style="3" customWidth="1"/>
    <col min="3861" max="3865" width="8.28515625" style="3" customWidth="1"/>
    <col min="3866" max="3866" width="0.85546875" style="3" customWidth="1"/>
    <col min="3867" max="3871" width="8.28515625" style="3" customWidth="1"/>
    <col min="3872" max="3872" width="0.85546875" style="3" customWidth="1"/>
    <col min="3873" max="3877" width="8.28515625" style="3" customWidth="1"/>
    <col min="3878" max="3878" width="0.85546875" style="3" customWidth="1"/>
    <col min="3879" max="3883" width="8.28515625" style="3" customWidth="1"/>
    <col min="3884" max="3884" width="0.85546875" style="3" customWidth="1"/>
    <col min="3885" max="3889" width="8.28515625" style="3" customWidth="1"/>
    <col min="3890" max="3890" width="0.85546875" style="3" customWidth="1"/>
    <col min="3891" max="3895" width="8.28515625" style="3" customWidth="1"/>
    <col min="3896" max="3896" width="0.85546875" style="3" customWidth="1"/>
    <col min="3897" max="3901" width="8.28515625" style="3" customWidth="1"/>
    <col min="3902" max="3902" width="0.85546875" style="3" customWidth="1"/>
    <col min="3903" max="3907" width="8.28515625" style="3" customWidth="1"/>
    <col min="3908" max="3908" width="0.85546875" style="3" customWidth="1"/>
    <col min="3909" max="3913" width="8.28515625" style="3" customWidth="1"/>
    <col min="3914" max="3914" width="0.85546875" style="3" customWidth="1"/>
    <col min="3915" max="3919" width="8.28515625" style="3" customWidth="1"/>
    <col min="3920" max="3920" width="0.85546875" style="3" customWidth="1"/>
    <col min="3921" max="3925" width="8.28515625" style="3" customWidth="1"/>
    <col min="3926" max="3926" width="0.85546875" style="3" customWidth="1"/>
    <col min="3927" max="3931" width="8.28515625" style="3" customWidth="1"/>
    <col min="3932" max="3934" width="9.140625" style="3" customWidth="1"/>
    <col min="3935" max="3935" width="29.7109375" style="3" customWidth="1"/>
    <col min="3936" max="3940" width="9.140625" style="3" customWidth="1"/>
    <col min="3941" max="4096" width="9.140625" style="3"/>
    <col min="4097" max="4097" width="25.7109375" style="3" customWidth="1"/>
    <col min="4098" max="4098" width="0.85546875" style="3" customWidth="1"/>
    <col min="4099" max="4103" width="8.28515625" style="3" customWidth="1"/>
    <col min="4104" max="4104" width="0.85546875" style="3" customWidth="1"/>
    <col min="4105" max="4109" width="8.28515625" style="3" customWidth="1"/>
    <col min="4110" max="4110" width="0.85546875" style="3" customWidth="1"/>
    <col min="4111" max="4115" width="8.28515625" style="3" customWidth="1"/>
    <col min="4116" max="4116" width="0.85546875" style="3" customWidth="1"/>
    <col min="4117" max="4121" width="8.28515625" style="3" customWidth="1"/>
    <col min="4122" max="4122" width="0.85546875" style="3" customWidth="1"/>
    <col min="4123" max="4127" width="8.28515625" style="3" customWidth="1"/>
    <col min="4128" max="4128" width="0.85546875" style="3" customWidth="1"/>
    <col min="4129" max="4133" width="8.28515625" style="3" customWidth="1"/>
    <col min="4134" max="4134" width="0.85546875" style="3" customWidth="1"/>
    <col min="4135" max="4139" width="8.28515625" style="3" customWidth="1"/>
    <col min="4140" max="4140" width="0.85546875" style="3" customWidth="1"/>
    <col min="4141" max="4145" width="8.28515625" style="3" customWidth="1"/>
    <col min="4146" max="4146" width="0.85546875" style="3" customWidth="1"/>
    <col min="4147" max="4151" width="8.28515625" style="3" customWidth="1"/>
    <col min="4152" max="4152" width="0.85546875" style="3" customWidth="1"/>
    <col min="4153" max="4157" width="8.28515625" style="3" customWidth="1"/>
    <col min="4158" max="4158" width="0.85546875" style="3" customWidth="1"/>
    <col min="4159" max="4163" width="8.28515625" style="3" customWidth="1"/>
    <col min="4164" max="4164" width="0.85546875" style="3" customWidth="1"/>
    <col min="4165" max="4169" width="8.28515625" style="3" customWidth="1"/>
    <col min="4170" max="4170" width="0.85546875" style="3" customWidth="1"/>
    <col min="4171" max="4175" width="8.28515625" style="3" customWidth="1"/>
    <col min="4176" max="4176" width="0.85546875" style="3" customWidth="1"/>
    <col min="4177" max="4181" width="8.28515625" style="3" customWidth="1"/>
    <col min="4182" max="4182" width="0.85546875" style="3" customWidth="1"/>
    <col min="4183" max="4187" width="8.28515625" style="3" customWidth="1"/>
    <col min="4188" max="4190" width="9.140625" style="3" customWidth="1"/>
    <col min="4191" max="4191" width="29.7109375" style="3" customWidth="1"/>
    <col min="4192" max="4196" width="9.140625" style="3" customWidth="1"/>
    <col min="4197" max="4352" width="9.140625" style="3"/>
    <col min="4353" max="4353" width="25.7109375" style="3" customWidth="1"/>
    <col min="4354" max="4354" width="0.85546875" style="3" customWidth="1"/>
    <col min="4355" max="4359" width="8.28515625" style="3" customWidth="1"/>
    <col min="4360" max="4360" width="0.85546875" style="3" customWidth="1"/>
    <col min="4361" max="4365" width="8.28515625" style="3" customWidth="1"/>
    <col min="4366" max="4366" width="0.85546875" style="3" customWidth="1"/>
    <col min="4367" max="4371" width="8.28515625" style="3" customWidth="1"/>
    <col min="4372" max="4372" width="0.85546875" style="3" customWidth="1"/>
    <col min="4373" max="4377" width="8.28515625" style="3" customWidth="1"/>
    <col min="4378" max="4378" width="0.85546875" style="3" customWidth="1"/>
    <col min="4379" max="4383" width="8.28515625" style="3" customWidth="1"/>
    <col min="4384" max="4384" width="0.85546875" style="3" customWidth="1"/>
    <col min="4385" max="4389" width="8.28515625" style="3" customWidth="1"/>
    <col min="4390" max="4390" width="0.85546875" style="3" customWidth="1"/>
    <col min="4391" max="4395" width="8.28515625" style="3" customWidth="1"/>
    <col min="4396" max="4396" width="0.85546875" style="3" customWidth="1"/>
    <col min="4397" max="4401" width="8.28515625" style="3" customWidth="1"/>
    <col min="4402" max="4402" width="0.85546875" style="3" customWidth="1"/>
    <col min="4403" max="4407" width="8.28515625" style="3" customWidth="1"/>
    <col min="4408" max="4408" width="0.85546875" style="3" customWidth="1"/>
    <col min="4409" max="4413" width="8.28515625" style="3" customWidth="1"/>
    <col min="4414" max="4414" width="0.85546875" style="3" customWidth="1"/>
    <col min="4415" max="4419" width="8.28515625" style="3" customWidth="1"/>
    <col min="4420" max="4420" width="0.85546875" style="3" customWidth="1"/>
    <col min="4421" max="4425" width="8.28515625" style="3" customWidth="1"/>
    <col min="4426" max="4426" width="0.85546875" style="3" customWidth="1"/>
    <col min="4427" max="4431" width="8.28515625" style="3" customWidth="1"/>
    <col min="4432" max="4432" width="0.85546875" style="3" customWidth="1"/>
    <col min="4433" max="4437" width="8.28515625" style="3" customWidth="1"/>
    <col min="4438" max="4438" width="0.85546875" style="3" customWidth="1"/>
    <col min="4439" max="4443" width="8.28515625" style="3" customWidth="1"/>
    <col min="4444" max="4446" width="9.140625" style="3" customWidth="1"/>
    <col min="4447" max="4447" width="29.7109375" style="3" customWidth="1"/>
    <col min="4448" max="4452" width="9.140625" style="3" customWidth="1"/>
    <col min="4453" max="4608" width="9.140625" style="3"/>
    <col min="4609" max="4609" width="25.7109375" style="3" customWidth="1"/>
    <col min="4610" max="4610" width="0.85546875" style="3" customWidth="1"/>
    <col min="4611" max="4615" width="8.28515625" style="3" customWidth="1"/>
    <col min="4616" max="4616" width="0.85546875" style="3" customWidth="1"/>
    <col min="4617" max="4621" width="8.28515625" style="3" customWidth="1"/>
    <col min="4622" max="4622" width="0.85546875" style="3" customWidth="1"/>
    <col min="4623" max="4627" width="8.28515625" style="3" customWidth="1"/>
    <col min="4628" max="4628" width="0.85546875" style="3" customWidth="1"/>
    <col min="4629" max="4633" width="8.28515625" style="3" customWidth="1"/>
    <col min="4634" max="4634" width="0.85546875" style="3" customWidth="1"/>
    <col min="4635" max="4639" width="8.28515625" style="3" customWidth="1"/>
    <col min="4640" max="4640" width="0.85546875" style="3" customWidth="1"/>
    <col min="4641" max="4645" width="8.28515625" style="3" customWidth="1"/>
    <col min="4646" max="4646" width="0.85546875" style="3" customWidth="1"/>
    <col min="4647" max="4651" width="8.28515625" style="3" customWidth="1"/>
    <col min="4652" max="4652" width="0.85546875" style="3" customWidth="1"/>
    <col min="4653" max="4657" width="8.28515625" style="3" customWidth="1"/>
    <col min="4658" max="4658" width="0.85546875" style="3" customWidth="1"/>
    <col min="4659" max="4663" width="8.28515625" style="3" customWidth="1"/>
    <col min="4664" max="4664" width="0.85546875" style="3" customWidth="1"/>
    <col min="4665" max="4669" width="8.28515625" style="3" customWidth="1"/>
    <col min="4670" max="4670" width="0.85546875" style="3" customWidth="1"/>
    <col min="4671" max="4675" width="8.28515625" style="3" customWidth="1"/>
    <col min="4676" max="4676" width="0.85546875" style="3" customWidth="1"/>
    <col min="4677" max="4681" width="8.28515625" style="3" customWidth="1"/>
    <col min="4682" max="4682" width="0.85546875" style="3" customWidth="1"/>
    <col min="4683" max="4687" width="8.28515625" style="3" customWidth="1"/>
    <col min="4688" max="4688" width="0.85546875" style="3" customWidth="1"/>
    <col min="4689" max="4693" width="8.28515625" style="3" customWidth="1"/>
    <col min="4694" max="4694" width="0.85546875" style="3" customWidth="1"/>
    <col min="4695" max="4699" width="8.28515625" style="3" customWidth="1"/>
    <col min="4700" max="4702" width="9.140625" style="3" customWidth="1"/>
    <col min="4703" max="4703" width="29.7109375" style="3" customWidth="1"/>
    <col min="4704" max="4708" width="9.140625" style="3" customWidth="1"/>
    <col min="4709" max="4864" width="9.140625" style="3"/>
    <col min="4865" max="4865" width="25.7109375" style="3" customWidth="1"/>
    <col min="4866" max="4866" width="0.85546875" style="3" customWidth="1"/>
    <col min="4867" max="4871" width="8.28515625" style="3" customWidth="1"/>
    <col min="4872" max="4872" width="0.85546875" style="3" customWidth="1"/>
    <col min="4873" max="4877" width="8.28515625" style="3" customWidth="1"/>
    <col min="4878" max="4878" width="0.85546875" style="3" customWidth="1"/>
    <col min="4879" max="4883" width="8.28515625" style="3" customWidth="1"/>
    <col min="4884" max="4884" width="0.85546875" style="3" customWidth="1"/>
    <col min="4885" max="4889" width="8.28515625" style="3" customWidth="1"/>
    <col min="4890" max="4890" width="0.85546875" style="3" customWidth="1"/>
    <col min="4891" max="4895" width="8.28515625" style="3" customWidth="1"/>
    <col min="4896" max="4896" width="0.85546875" style="3" customWidth="1"/>
    <col min="4897" max="4901" width="8.28515625" style="3" customWidth="1"/>
    <col min="4902" max="4902" width="0.85546875" style="3" customWidth="1"/>
    <col min="4903" max="4907" width="8.28515625" style="3" customWidth="1"/>
    <col min="4908" max="4908" width="0.85546875" style="3" customWidth="1"/>
    <col min="4909" max="4913" width="8.28515625" style="3" customWidth="1"/>
    <col min="4914" max="4914" width="0.85546875" style="3" customWidth="1"/>
    <col min="4915" max="4919" width="8.28515625" style="3" customWidth="1"/>
    <col min="4920" max="4920" width="0.85546875" style="3" customWidth="1"/>
    <col min="4921" max="4925" width="8.28515625" style="3" customWidth="1"/>
    <col min="4926" max="4926" width="0.85546875" style="3" customWidth="1"/>
    <col min="4927" max="4931" width="8.28515625" style="3" customWidth="1"/>
    <col min="4932" max="4932" width="0.85546875" style="3" customWidth="1"/>
    <col min="4933" max="4937" width="8.28515625" style="3" customWidth="1"/>
    <col min="4938" max="4938" width="0.85546875" style="3" customWidth="1"/>
    <col min="4939" max="4943" width="8.28515625" style="3" customWidth="1"/>
    <col min="4944" max="4944" width="0.85546875" style="3" customWidth="1"/>
    <col min="4945" max="4949" width="8.28515625" style="3" customWidth="1"/>
    <col min="4950" max="4950" width="0.85546875" style="3" customWidth="1"/>
    <col min="4951" max="4955" width="8.28515625" style="3" customWidth="1"/>
    <col min="4956" max="4958" width="9.140625" style="3" customWidth="1"/>
    <col min="4959" max="4959" width="29.7109375" style="3" customWidth="1"/>
    <col min="4960" max="4964" width="9.140625" style="3" customWidth="1"/>
    <col min="4965" max="5120" width="9.140625" style="3"/>
    <col min="5121" max="5121" width="25.7109375" style="3" customWidth="1"/>
    <col min="5122" max="5122" width="0.85546875" style="3" customWidth="1"/>
    <col min="5123" max="5127" width="8.28515625" style="3" customWidth="1"/>
    <col min="5128" max="5128" width="0.85546875" style="3" customWidth="1"/>
    <col min="5129" max="5133" width="8.28515625" style="3" customWidth="1"/>
    <col min="5134" max="5134" width="0.85546875" style="3" customWidth="1"/>
    <col min="5135" max="5139" width="8.28515625" style="3" customWidth="1"/>
    <col min="5140" max="5140" width="0.85546875" style="3" customWidth="1"/>
    <col min="5141" max="5145" width="8.28515625" style="3" customWidth="1"/>
    <col min="5146" max="5146" width="0.85546875" style="3" customWidth="1"/>
    <col min="5147" max="5151" width="8.28515625" style="3" customWidth="1"/>
    <col min="5152" max="5152" width="0.85546875" style="3" customWidth="1"/>
    <col min="5153" max="5157" width="8.28515625" style="3" customWidth="1"/>
    <col min="5158" max="5158" width="0.85546875" style="3" customWidth="1"/>
    <col min="5159" max="5163" width="8.28515625" style="3" customWidth="1"/>
    <col min="5164" max="5164" width="0.85546875" style="3" customWidth="1"/>
    <col min="5165" max="5169" width="8.28515625" style="3" customWidth="1"/>
    <col min="5170" max="5170" width="0.85546875" style="3" customWidth="1"/>
    <col min="5171" max="5175" width="8.28515625" style="3" customWidth="1"/>
    <col min="5176" max="5176" width="0.85546875" style="3" customWidth="1"/>
    <col min="5177" max="5181" width="8.28515625" style="3" customWidth="1"/>
    <col min="5182" max="5182" width="0.85546875" style="3" customWidth="1"/>
    <col min="5183" max="5187" width="8.28515625" style="3" customWidth="1"/>
    <col min="5188" max="5188" width="0.85546875" style="3" customWidth="1"/>
    <col min="5189" max="5193" width="8.28515625" style="3" customWidth="1"/>
    <col min="5194" max="5194" width="0.85546875" style="3" customWidth="1"/>
    <col min="5195" max="5199" width="8.28515625" style="3" customWidth="1"/>
    <col min="5200" max="5200" width="0.85546875" style="3" customWidth="1"/>
    <col min="5201" max="5205" width="8.28515625" style="3" customWidth="1"/>
    <col min="5206" max="5206" width="0.85546875" style="3" customWidth="1"/>
    <col min="5207" max="5211" width="8.28515625" style="3" customWidth="1"/>
    <col min="5212" max="5214" width="9.140625" style="3" customWidth="1"/>
    <col min="5215" max="5215" width="29.7109375" style="3" customWidth="1"/>
    <col min="5216" max="5220" width="9.140625" style="3" customWidth="1"/>
    <col min="5221" max="5376" width="9.140625" style="3"/>
    <col min="5377" max="5377" width="25.7109375" style="3" customWidth="1"/>
    <col min="5378" max="5378" width="0.85546875" style="3" customWidth="1"/>
    <col min="5379" max="5383" width="8.28515625" style="3" customWidth="1"/>
    <col min="5384" max="5384" width="0.85546875" style="3" customWidth="1"/>
    <col min="5385" max="5389" width="8.28515625" style="3" customWidth="1"/>
    <col min="5390" max="5390" width="0.85546875" style="3" customWidth="1"/>
    <col min="5391" max="5395" width="8.28515625" style="3" customWidth="1"/>
    <col min="5396" max="5396" width="0.85546875" style="3" customWidth="1"/>
    <col min="5397" max="5401" width="8.28515625" style="3" customWidth="1"/>
    <col min="5402" max="5402" width="0.85546875" style="3" customWidth="1"/>
    <col min="5403" max="5407" width="8.28515625" style="3" customWidth="1"/>
    <col min="5408" max="5408" width="0.85546875" style="3" customWidth="1"/>
    <col min="5409" max="5413" width="8.28515625" style="3" customWidth="1"/>
    <col min="5414" max="5414" width="0.85546875" style="3" customWidth="1"/>
    <col min="5415" max="5419" width="8.28515625" style="3" customWidth="1"/>
    <col min="5420" max="5420" width="0.85546875" style="3" customWidth="1"/>
    <col min="5421" max="5425" width="8.28515625" style="3" customWidth="1"/>
    <col min="5426" max="5426" width="0.85546875" style="3" customWidth="1"/>
    <col min="5427" max="5431" width="8.28515625" style="3" customWidth="1"/>
    <col min="5432" max="5432" width="0.85546875" style="3" customWidth="1"/>
    <col min="5433" max="5437" width="8.28515625" style="3" customWidth="1"/>
    <col min="5438" max="5438" width="0.85546875" style="3" customWidth="1"/>
    <col min="5439" max="5443" width="8.28515625" style="3" customWidth="1"/>
    <col min="5444" max="5444" width="0.85546875" style="3" customWidth="1"/>
    <col min="5445" max="5449" width="8.28515625" style="3" customWidth="1"/>
    <col min="5450" max="5450" width="0.85546875" style="3" customWidth="1"/>
    <col min="5451" max="5455" width="8.28515625" style="3" customWidth="1"/>
    <col min="5456" max="5456" width="0.85546875" style="3" customWidth="1"/>
    <col min="5457" max="5461" width="8.28515625" style="3" customWidth="1"/>
    <col min="5462" max="5462" width="0.85546875" style="3" customWidth="1"/>
    <col min="5463" max="5467" width="8.28515625" style="3" customWidth="1"/>
    <col min="5468" max="5470" width="9.140625" style="3" customWidth="1"/>
    <col min="5471" max="5471" width="29.7109375" style="3" customWidth="1"/>
    <col min="5472" max="5476" width="9.140625" style="3" customWidth="1"/>
    <col min="5477" max="5632" width="9.140625" style="3"/>
    <col min="5633" max="5633" width="25.7109375" style="3" customWidth="1"/>
    <col min="5634" max="5634" width="0.85546875" style="3" customWidth="1"/>
    <col min="5635" max="5639" width="8.28515625" style="3" customWidth="1"/>
    <col min="5640" max="5640" width="0.85546875" style="3" customWidth="1"/>
    <col min="5641" max="5645" width="8.28515625" style="3" customWidth="1"/>
    <col min="5646" max="5646" width="0.85546875" style="3" customWidth="1"/>
    <col min="5647" max="5651" width="8.28515625" style="3" customWidth="1"/>
    <col min="5652" max="5652" width="0.85546875" style="3" customWidth="1"/>
    <col min="5653" max="5657" width="8.28515625" style="3" customWidth="1"/>
    <col min="5658" max="5658" width="0.85546875" style="3" customWidth="1"/>
    <col min="5659" max="5663" width="8.28515625" style="3" customWidth="1"/>
    <col min="5664" max="5664" width="0.85546875" style="3" customWidth="1"/>
    <col min="5665" max="5669" width="8.28515625" style="3" customWidth="1"/>
    <col min="5670" max="5670" width="0.85546875" style="3" customWidth="1"/>
    <col min="5671" max="5675" width="8.28515625" style="3" customWidth="1"/>
    <col min="5676" max="5676" width="0.85546875" style="3" customWidth="1"/>
    <col min="5677" max="5681" width="8.28515625" style="3" customWidth="1"/>
    <col min="5682" max="5682" width="0.85546875" style="3" customWidth="1"/>
    <col min="5683" max="5687" width="8.28515625" style="3" customWidth="1"/>
    <col min="5688" max="5688" width="0.85546875" style="3" customWidth="1"/>
    <col min="5689" max="5693" width="8.28515625" style="3" customWidth="1"/>
    <col min="5694" max="5694" width="0.85546875" style="3" customWidth="1"/>
    <col min="5695" max="5699" width="8.28515625" style="3" customWidth="1"/>
    <col min="5700" max="5700" width="0.85546875" style="3" customWidth="1"/>
    <col min="5701" max="5705" width="8.28515625" style="3" customWidth="1"/>
    <col min="5706" max="5706" width="0.85546875" style="3" customWidth="1"/>
    <col min="5707" max="5711" width="8.28515625" style="3" customWidth="1"/>
    <col min="5712" max="5712" width="0.85546875" style="3" customWidth="1"/>
    <col min="5713" max="5717" width="8.28515625" style="3" customWidth="1"/>
    <col min="5718" max="5718" width="0.85546875" style="3" customWidth="1"/>
    <col min="5719" max="5723" width="8.28515625" style="3" customWidth="1"/>
    <col min="5724" max="5726" width="9.140625" style="3" customWidth="1"/>
    <col min="5727" max="5727" width="29.7109375" style="3" customWidth="1"/>
    <col min="5728" max="5732" width="9.140625" style="3" customWidth="1"/>
    <col min="5733" max="5888" width="9.140625" style="3"/>
    <col min="5889" max="5889" width="25.7109375" style="3" customWidth="1"/>
    <col min="5890" max="5890" width="0.85546875" style="3" customWidth="1"/>
    <col min="5891" max="5895" width="8.28515625" style="3" customWidth="1"/>
    <col min="5896" max="5896" width="0.85546875" style="3" customWidth="1"/>
    <col min="5897" max="5901" width="8.28515625" style="3" customWidth="1"/>
    <col min="5902" max="5902" width="0.85546875" style="3" customWidth="1"/>
    <col min="5903" max="5907" width="8.28515625" style="3" customWidth="1"/>
    <col min="5908" max="5908" width="0.85546875" style="3" customWidth="1"/>
    <col min="5909" max="5913" width="8.28515625" style="3" customWidth="1"/>
    <col min="5914" max="5914" width="0.85546875" style="3" customWidth="1"/>
    <col min="5915" max="5919" width="8.28515625" style="3" customWidth="1"/>
    <col min="5920" max="5920" width="0.85546875" style="3" customWidth="1"/>
    <col min="5921" max="5925" width="8.28515625" style="3" customWidth="1"/>
    <col min="5926" max="5926" width="0.85546875" style="3" customWidth="1"/>
    <col min="5927" max="5931" width="8.28515625" style="3" customWidth="1"/>
    <col min="5932" max="5932" width="0.85546875" style="3" customWidth="1"/>
    <col min="5933" max="5937" width="8.28515625" style="3" customWidth="1"/>
    <col min="5938" max="5938" width="0.85546875" style="3" customWidth="1"/>
    <col min="5939" max="5943" width="8.28515625" style="3" customWidth="1"/>
    <col min="5944" max="5944" width="0.85546875" style="3" customWidth="1"/>
    <col min="5945" max="5949" width="8.28515625" style="3" customWidth="1"/>
    <col min="5950" max="5950" width="0.85546875" style="3" customWidth="1"/>
    <col min="5951" max="5955" width="8.28515625" style="3" customWidth="1"/>
    <col min="5956" max="5956" width="0.85546875" style="3" customWidth="1"/>
    <col min="5957" max="5961" width="8.28515625" style="3" customWidth="1"/>
    <col min="5962" max="5962" width="0.85546875" style="3" customWidth="1"/>
    <col min="5963" max="5967" width="8.28515625" style="3" customWidth="1"/>
    <col min="5968" max="5968" width="0.85546875" style="3" customWidth="1"/>
    <col min="5969" max="5973" width="8.28515625" style="3" customWidth="1"/>
    <col min="5974" max="5974" width="0.85546875" style="3" customWidth="1"/>
    <col min="5975" max="5979" width="8.28515625" style="3" customWidth="1"/>
    <col min="5980" max="5982" width="9.140625" style="3" customWidth="1"/>
    <col min="5983" max="5983" width="29.7109375" style="3" customWidth="1"/>
    <col min="5984" max="5988" width="9.140625" style="3" customWidth="1"/>
    <col min="5989" max="6144" width="9.140625" style="3"/>
    <col min="6145" max="6145" width="25.7109375" style="3" customWidth="1"/>
    <col min="6146" max="6146" width="0.85546875" style="3" customWidth="1"/>
    <col min="6147" max="6151" width="8.28515625" style="3" customWidth="1"/>
    <col min="6152" max="6152" width="0.85546875" style="3" customWidth="1"/>
    <col min="6153" max="6157" width="8.28515625" style="3" customWidth="1"/>
    <col min="6158" max="6158" width="0.85546875" style="3" customWidth="1"/>
    <col min="6159" max="6163" width="8.28515625" style="3" customWidth="1"/>
    <col min="6164" max="6164" width="0.85546875" style="3" customWidth="1"/>
    <col min="6165" max="6169" width="8.28515625" style="3" customWidth="1"/>
    <col min="6170" max="6170" width="0.85546875" style="3" customWidth="1"/>
    <col min="6171" max="6175" width="8.28515625" style="3" customWidth="1"/>
    <col min="6176" max="6176" width="0.85546875" style="3" customWidth="1"/>
    <col min="6177" max="6181" width="8.28515625" style="3" customWidth="1"/>
    <col min="6182" max="6182" width="0.85546875" style="3" customWidth="1"/>
    <col min="6183" max="6187" width="8.28515625" style="3" customWidth="1"/>
    <col min="6188" max="6188" width="0.85546875" style="3" customWidth="1"/>
    <col min="6189" max="6193" width="8.28515625" style="3" customWidth="1"/>
    <col min="6194" max="6194" width="0.85546875" style="3" customWidth="1"/>
    <col min="6195" max="6199" width="8.28515625" style="3" customWidth="1"/>
    <col min="6200" max="6200" width="0.85546875" style="3" customWidth="1"/>
    <col min="6201" max="6205" width="8.28515625" style="3" customWidth="1"/>
    <col min="6206" max="6206" width="0.85546875" style="3" customWidth="1"/>
    <col min="6207" max="6211" width="8.28515625" style="3" customWidth="1"/>
    <col min="6212" max="6212" width="0.85546875" style="3" customWidth="1"/>
    <col min="6213" max="6217" width="8.28515625" style="3" customWidth="1"/>
    <col min="6218" max="6218" width="0.85546875" style="3" customWidth="1"/>
    <col min="6219" max="6223" width="8.28515625" style="3" customWidth="1"/>
    <col min="6224" max="6224" width="0.85546875" style="3" customWidth="1"/>
    <col min="6225" max="6229" width="8.28515625" style="3" customWidth="1"/>
    <col min="6230" max="6230" width="0.85546875" style="3" customWidth="1"/>
    <col min="6231" max="6235" width="8.28515625" style="3" customWidth="1"/>
    <col min="6236" max="6238" width="9.140625" style="3" customWidth="1"/>
    <col min="6239" max="6239" width="29.7109375" style="3" customWidth="1"/>
    <col min="6240" max="6244" width="9.140625" style="3" customWidth="1"/>
    <col min="6245" max="6400" width="9.140625" style="3"/>
    <col min="6401" max="6401" width="25.7109375" style="3" customWidth="1"/>
    <col min="6402" max="6402" width="0.85546875" style="3" customWidth="1"/>
    <col min="6403" max="6407" width="8.28515625" style="3" customWidth="1"/>
    <col min="6408" max="6408" width="0.85546875" style="3" customWidth="1"/>
    <col min="6409" max="6413" width="8.28515625" style="3" customWidth="1"/>
    <col min="6414" max="6414" width="0.85546875" style="3" customWidth="1"/>
    <col min="6415" max="6419" width="8.28515625" style="3" customWidth="1"/>
    <col min="6420" max="6420" width="0.85546875" style="3" customWidth="1"/>
    <col min="6421" max="6425" width="8.28515625" style="3" customWidth="1"/>
    <col min="6426" max="6426" width="0.85546875" style="3" customWidth="1"/>
    <col min="6427" max="6431" width="8.28515625" style="3" customWidth="1"/>
    <col min="6432" max="6432" width="0.85546875" style="3" customWidth="1"/>
    <col min="6433" max="6437" width="8.28515625" style="3" customWidth="1"/>
    <col min="6438" max="6438" width="0.85546875" style="3" customWidth="1"/>
    <col min="6439" max="6443" width="8.28515625" style="3" customWidth="1"/>
    <col min="6444" max="6444" width="0.85546875" style="3" customWidth="1"/>
    <col min="6445" max="6449" width="8.28515625" style="3" customWidth="1"/>
    <col min="6450" max="6450" width="0.85546875" style="3" customWidth="1"/>
    <col min="6451" max="6455" width="8.28515625" style="3" customWidth="1"/>
    <col min="6456" max="6456" width="0.85546875" style="3" customWidth="1"/>
    <col min="6457" max="6461" width="8.28515625" style="3" customWidth="1"/>
    <col min="6462" max="6462" width="0.85546875" style="3" customWidth="1"/>
    <col min="6463" max="6467" width="8.28515625" style="3" customWidth="1"/>
    <col min="6468" max="6468" width="0.85546875" style="3" customWidth="1"/>
    <col min="6469" max="6473" width="8.28515625" style="3" customWidth="1"/>
    <col min="6474" max="6474" width="0.85546875" style="3" customWidth="1"/>
    <col min="6475" max="6479" width="8.28515625" style="3" customWidth="1"/>
    <col min="6480" max="6480" width="0.85546875" style="3" customWidth="1"/>
    <col min="6481" max="6485" width="8.28515625" style="3" customWidth="1"/>
    <col min="6486" max="6486" width="0.85546875" style="3" customWidth="1"/>
    <col min="6487" max="6491" width="8.28515625" style="3" customWidth="1"/>
    <col min="6492" max="6494" width="9.140625" style="3" customWidth="1"/>
    <col min="6495" max="6495" width="29.7109375" style="3" customWidth="1"/>
    <col min="6496" max="6500" width="9.140625" style="3" customWidth="1"/>
    <col min="6501" max="6656" width="9.140625" style="3"/>
    <col min="6657" max="6657" width="25.7109375" style="3" customWidth="1"/>
    <col min="6658" max="6658" width="0.85546875" style="3" customWidth="1"/>
    <col min="6659" max="6663" width="8.28515625" style="3" customWidth="1"/>
    <col min="6664" max="6664" width="0.85546875" style="3" customWidth="1"/>
    <col min="6665" max="6669" width="8.28515625" style="3" customWidth="1"/>
    <col min="6670" max="6670" width="0.85546875" style="3" customWidth="1"/>
    <col min="6671" max="6675" width="8.28515625" style="3" customWidth="1"/>
    <col min="6676" max="6676" width="0.85546875" style="3" customWidth="1"/>
    <col min="6677" max="6681" width="8.28515625" style="3" customWidth="1"/>
    <col min="6682" max="6682" width="0.85546875" style="3" customWidth="1"/>
    <col min="6683" max="6687" width="8.28515625" style="3" customWidth="1"/>
    <col min="6688" max="6688" width="0.85546875" style="3" customWidth="1"/>
    <col min="6689" max="6693" width="8.28515625" style="3" customWidth="1"/>
    <col min="6694" max="6694" width="0.85546875" style="3" customWidth="1"/>
    <col min="6695" max="6699" width="8.28515625" style="3" customWidth="1"/>
    <col min="6700" max="6700" width="0.85546875" style="3" customWidth="1"/>
    <col min="6701" max="6705" width="8.28515625" style="3" customWidth="1"/>
    <col min="6706" max="6706" width="0.85546875" style="3" customWidth="1"/>
    <col min="6707" max="6711" width="8.28515625" style="3" customWidth="1"/>
    <col min="6712" max="6712" width="0.85546875" style="3" customWidth="1"/>
    <col min="6713" max="6717" width="8.28515625" style="3" customWidth="1"/>
    <col min="6718" max="6718" width="0.85546875" style="3" customWidth="1"/>
    <col min="6719" max="6723" width="8.28515625" style="3" customWidth="1"/>
    <col min="6724" max="6724" width="0.85546875" style="3" customWidth="1"/>
    <col min="6725" max="6729" width="8.28515625" style="3" customWidth="1"/>
    <col min="6730" max="6730" width="0.85546875" style="3" customWidth="1"/>
    <col min="6731" max="6735" width="8.28515625" style="3" customWidth="1"/>
    <col min="6736" max="6736" width="0.85546875" style="3" customWidth="1"/>
    <col min="6737" max="6741" width="8.28515625" style="3" customWidth="1"/>
    <col min="6742" max="6742" width="0.85546875" style="3" customWidth="1"/>
    <col min="6743" max="6747" width="8.28515625" style="3" customWidth="1"/>
    <col min="6748" max="6750" width="9.140625" style="3" customWidth="1"/>
    <col min="6751" max="6751" width="29.7109375" style="3" customWidth="1"/>
    <col min="6752" max="6756" width="9.140625" style="3" customWidth="1"/>
    <col min="6757" max="6912" width="9.140625" style="3"/>
    <col min="6913" max="6913" width="25.7109375" style="3" customWidth="1"/>
    <col min="6914" max="6914" width="0.85546875" style="3" customWidth="1"/>
    <col min="6915" max="6919" width="8.28515625" style="3" customWidth="1"/>
    <col min="6920" max="6920" width="0.85546875" style="3" customWidth="1"/>
    <col min="6921" max="6925" width="8.28515625" style="3" customWidth="1"/>
    <col min="6926" max="6926" width="0.85546875" style="3" customWidth="1"/>
    <col min="6927" max="6931" width="8.28515625" style="3" customWidth="1"/>
    <col min="6932" max="6932" width="0.85546875" style="3" customWidth="1"/>
    <col min="6933" max="6937" width="8.28515625" style="3" customWidth="1"/>
    <col min="6938" max="6938" width="0.85546875" style="3" customWidth="1"/>
    <col min="6939" max="6943" width="8.28515625" style="3" customWidth="1"/>
    <col min="6944" max="6944" width="0.85546875" style="3" customWidth="1"/>
    <col min="6945" max="6949" width="8.28515625" style="3" customWidth="1"/>
    <col min="6950" max="6950" width="0.85546875" style="3" customWidth="1"/>
    <col min="6951" max="6955" width="8.28515625" style="3" customWidth="1"/>
    <col min="6956" max="6956" width="0.85546875" style="3" customWidth="1"/>
    <col min="6957" max="6961" width="8.28515625" style="3" customWidth="1"/>
    <col min="6962" max="6962" width="0.85546875" style="3" customWidth="1"/>
    <col min="6963" max="6967" width="8.28515625" style="3" customWidth="1"/>
    <col min="6968" max="6968" width="0.85546875" style="3" customWidth="1"/>
    <col min="6969" max="6973" width="8.28515625" style="3" customWidth="1"/>
    <col min="6974" max="6974" width="0.85546875" style="3" customWidth="1"/>
    <col min="6975" max="6979" width="8.28515625" style="3" customWidth="1"/>
    <col min="6980" max="6980" width="0.85546875" style="3" customWidth="1"/>
    <col min="6981" max="6985" width="8.28515625" style="3" customWidth="1"/>
    <col min="6986" max="6986" width="0.85546875" style="3" customWidth="1"/>
    <col min="6987" max="6991" width="8.28515625" style="3" customWidth="1"/>
    <col min="6992" max="6992" width="0.85546875" style="3" customWidth="1"/>
    <col min="6993" max="6997" width="8.28515625" style="3" customWidth="1"/>
    <col min="6998" max="6998" width="0.85546875" style="3" customWidth="1"/>
    <col min="6999" max="7003" width="8.28515625" style="3" customWidth="1"/>
    <col min="7004" max="7006" width="9.140625" style="3" customWidth="1"/>
    <col min="7007" max="7007" width="29.7109375" style="3" customWidth="1"/>
    <col min="7008" max="7012" width="9.140625" style="3" customWidth="1"/>
    <col min="7013" max="7168" width="9.140625" style="3"/>
    <col min="7169" max="7169" width="25.7109375" style="3" customWidth="1"/>
    <col min="7170" max="7170" width="0.85546875" style="3" customWidth="1"/>
    <col min="7171" max="7175" width="8.28515625" style="3" customWidth="1"/>
    <col min="7176" max="7176" width="0.85546875" style="3" customWidth="1"/>
    <col min="7177" max="7181" width="8.28515625" style="3" customWidth="1"/>
    <col min="7182" max="7182" width="0.85546875" style="3" customWidth="1"/>
    <col min="7183" max="7187" width="8.28515625" style="3" customWidth="1"/>
    <col min="7188" max="7188" width="0.85546875" style="3" customWidth="1"/>
    <col min="7189" max="7193" width="8.28515625" style="3" customWidth="1"/>
    <col min="7194" max="7194" width="0.85546875" style="3" customWidth="1"/>
    <col min="7195" max="7199" width="8.28515625" style="3" customWidth="1"/>
    <col min="7200" max="7200" width="0.85546875" style="3" customWidth="1"/>
    <col min="7201" max="7205" width="8.28515625" style="3" customWidth="1"/>
    <col min="7206" max="7206" width="0.85546875" style="3" customWidth="1"/>
    <col min="7207" max="7211" width="8.28515625" style="3" customWidth="1"/>
    <col min="7212" max="7212" width="0.85546875" style="3" customWidth="1"/>
    <col min="7213" max="7217" width="8.28515625" style="3" customWidth="1"/>
    <col min="7218" max="7218" width="0.85546875" style="3" customWidth="1"/>
    <col min="7219" max="7223" width="8.28515625" style="3" customWidth="1"/>
    <col min="7224" max="7224" width="0.85546875" style="3" customWidth="1"/>
    <col min="7225" max="7229" width="8.28515625" style="3" customWidth="1"/>
    <col min="7230" max="7230" width="0.85546875" style="3" customWidth="1"/>
    <col min="7231" max="7235" width="8.28515625" style="3" customWidth="1"/>
    <col min="7236" max="7236" width="0.85546875" style="3" customWidth="1"/>
    <col min="7237" max="7241" width="8.28515625" style="3" customWidth="1"/>
    <col min="7242" max="7242" width="0.85546875" style="3" customWidth="1"/>
    <col min="7243" max="7247" width="8.28515625" style="3" customWidth="1"/>
    <col min="7248" max="7248" width="0.85546875" style="3" customWidth="1"/>
    <col min="7249" max="7253" width="8.28515625" style="3" customWidth="1"/>
    <col min="7254" max="7254" width="0.85546875" style="3" customWidth="1"/>
    <col min="7255" max="7259" width="8.28515625" style="3" customWidth="1"/>
    <col min="7260" max="7262" width="9.140625" style="3" customWidth="1"/>
    <col min="7263" max="7263" width="29.7109375" style="3" customWidth="1"/>
    <col min="7264" max="7268" width="9.140625" style="3" customWidth="1"/>
    <col min="7269" max="7424" width="9.140625" style="3"/>
    <col min="7425" max="7425" width="25.7109375" style="3" customWidth="1"/>
    <col min="7426" max="7426" width="0.85546875" style="3" customWidth="1"/>
    <col min="7427" max="7431" width="8.28515625" style="3" customWidth="1"/>
    <col min="7432" max="7432" width="0.85546875" style="3" customWidth="1"/>
    <col min="7433" max="7437" width="8.28515625" style="3" customWidth="1"/>
    <col min="7438" max="7438" width="0.85546875" style="3" customWidth="1"/>
    <col min="7439" max="7443" width="8.28515625" style="3" customWidth="1"/>
    <col min="7444" max="7444" width="0.85546875" style="3" customWidth="1"/>
    <col min="7445" max="7449" width="8.28515625" style="3" customWidth="1"/>
    <col min="7450" max="7450" width="0.85546875" style="3" customWidth="1"/>
    <col min="7451" max="7455" width="8.28515625" style="3" customWidth="1"/>
    <col min="7456" max="7456" width="0.85546875" style="3" customWidth="1"/>
    <col min="7457" max="7461" width="8.28515625" style="3" customWidth="1"/>
    <col min="7462" max="7462" width="0.85546875" style="3" customWidth="1"/>
    <col min="7463" max="7467" width="8.28515625" style="3" customWidth="1"/>
    <col min="7468" max="7468" width="0.85546875" style="3" customWidth="1"/>
    <col min="7469" max="7473" width="8.28515625" style="3" customWidth="1"/>
    <col min="7474" max="7474" width="0.85546875" style="3" customWidth="1"/>
    <col min="7475" max="7479" width="8.28515625" style="3" customWidth="1"/>
    <col min="7480" max="7480" width="0.85546875" style="3" customWidth="1"/>
    <col min="7481" max="7485" width="8.28515625" style="3" customWidth="1"/>
    <col min="7486" max="7486" width="0.85546875" style="3" customWidth="1"/>
    <col min="7487" max="7491" width="8.28515625" style="3" customWidth="1"/>
    <col min="7492" max="7492" width="0.85546875" style="3" customWidth="1"/>
    <col min="7493" max="7497" width="8.28515625" style="3" customWidth="1"/>
    <col min="7498" max="7498" width="0.85546875" style="3" customWidth="1"/>
    <col min="7499" max="7503" width="8.28515625" style="3" customWidth="1"/>
    <col min="7504" max="7504" width="0.85546875" style="3" customWidth="1"/>
    <col min="7505" max="7509" width="8.28515625" style="3" customWidth="1"/>
    <col min="7510" max="7510" width="0.85546875" style="3" customWidth="1"/>
    <col min="7511" max="7515" width="8.28515625" style="3" customWidth="1"/>
    <col min="7516" max="7518" width="9.140625" style="3" customWidth="1"/>
    <col min="7519" max="7519" width="29.7109375" style="3" customWidth="1"/>
    <col min="7520" max="7524" width="9.140625" style="3" customWidth="1"/>
    <col min="7525" max="7680" width="9.140625" style="3"/>
    <col min="7681" max="7681" width="25.7109375" style="3" customWidth="1"/>
    <col min="7682" max="7682" width="0.85546875" style="3" customWidth="1"/>
    <col min="7683" max="7687" width="8.28515625" style="3" customWidth="1"/>
    <col min="7688" max="7688" width="0.85546875" style="3" customWidth="1"/>
    <col min="7689" max="7693" width="8.28515625" style="3" customWidth="1"/>
    <col min="7694" max="7694" width="0.85546875" style="3" customWidth="1"/>
    <col min="7695" max="7699" width="8.28515625" style="3" customWidth="1"/>
    <col min="7700" max="7700" width="0.85546875" style="3" customWidth="1"/>
    <col min="7701" max="7705" width="8.28515625" style="3" customWidth="1"/>
    <col min="7706" max="7706" width="0.85546875" style="3" customWidth="1"/>
    <col min="7707" max="7711" width="8.28515625" style="3" customWidth="1"/>
    <col min="7712" max="7712" width="0.85546875" style="3" customWidth="1"/>
    <col min="7713" max="7717" width="8.28515625" style="3" customWidth="1"/>
    <col min="7718" max="7718" width="0.85546875" style="3" customWidth="1"/>
    <col min="7719" max="7723" width="8.28515625" style="3" customWidth="1"/>
    <col min="7724" max="7724" width="0.85546875" style="3" customWidth="1"/>
    <col min="7725" max="7729" width="8.28515625" style="3" customWidth="1"/>
    <col min="7730" max="7730" width="0.85546875" style="3" customWidth="1"/>
    <col min="7731" max="7735" width="8.28515625" style="3" customWidth="1"/>
    <col min="7736" max="7736" width="0.85546875" style="3" customWidth="1"/>
    <col min="7737" max="7741" width="8.28515625" style="3" customWidth="1"/>
    <col min="7742" max="7742" width="0.85546875" style="3" customWidth="1"/>
    <col min="7743" max="7747" width="8.28515625" style="3" customWidth="1"/>
    <col min="7748" max="7748" width="0.85546875" style="3" customWidth="1"/>
    <col min="7749" max="7753" width="8.28515625" style="3" customWidth="1"/>
    <col min="7754" max="7754" width="0.85546875" style="3" customWidth="1"/>
    <col min="7755" max="7759" width="8.28515625" style="3" customWidth="1"/>
    <col min="7760" max="7760" width="0.85546875" style="3" customWidth="1"/>
    <col min="7761" max="7765" width="8.28515625" style="3" customWidth="1"/>
    <col min="7766" max="7766" width="0.85546875" style="3" customWidth="1"/>
    <col min="7767" max="7771" width="8.28515625" style="3" customWidth="1"/>
    <col min="7772" max="7774" width="9.140625" style="3" customWidth="1"/>
    <col min="7775" max="7775" width="29.7109375" style="3" customWidth="1"/>
    <col min="7776" max="7780" width="9.140625" style="3" customWidth="1"/>
    <col min="7781" max="7936" width="9.140625" style="3"/>
    <col min="7937" max="7937" width="25.7109375" style="3" customWidth="1"/>
    <col min="7938" max="7938" width="0.85546875" style="3" customWidth="1"/>
    <col min="7939" max="7943" width="8.28515625" style="3" customWidth="1"/>
    <col min="7944" max="7944" width="0.85546875" style="3" customWidth="1"/>
    <col min="7945" max="7949" width="8.28515625" style="3" customWidth="1"/>
    <col min="7950" max="7950" width="0.85546875" style="3" customWidth="1"/>
    <col min="7951" max="7955" width="8.28515625" style="3" customWidth="1"/>
    <col min="7956" max="7956" width="0.85546875" style="3" customWidth="1"/>
    <col min="7957" max="7961" width="8.28515625" style="3" customWidth="1"/>
    <col min="7962" max="7962" width="0.85546875" style="3" customWidth="1"/>
    <col min="7963" max="7967" width="8.28515625" style="3" customWidth="1"/>
    <col min="7968" max="7968" width="0.85546875" style="3" customWidth="1"/>
    <col min="7969" max="7973" width="8.28515625" style="3" customWidth="1"/>
    <col min="7974" max="7974" width="0.85546875" style="3" customWidth="1"/>
    <col min="7975" max="7979" width="8.28515625" style="3" customWidth="1"/>
    <col min="7980" max="7980" width="0.85546875" style="3" customWidth="1"/>
    <col min="7981" max="7985" width="8.28515625" style="3" customWidth="1"/>
    <col min="7986" max="7986" width="0.85546875" style="3" customWidth="1"/>
    <col min="7987" max="7991" width="8.28515625" style="3" customWidth="1"/>
    <col min="7992" max="7992" width="0.85546875" style="3" customWidth="1"/>
    <col min="7993" max="7997" width="8.28515625" style="3" customWidth="1"/>
    <col min="7998" max="7998" width="0.85546875" style="3" customWidth="1"/>
    <col min="7999" max="8003" width="8.28515625" style="3" customWidth="1"/>
    <col min="8004" max="8004" width="0.85546875" style="3" customWidth="1"/>
    <col min="8005" max="8009" width="8.28515625" style="3" customWidth="1"/>
    <col min="8010" max="8010" width="0.85546875" style="3" customWidth="1"/>
    <col min="8011" max="8015" width="8.28515625" style="3" customWidth="1"/>
    <col min="8016" max="8016" width="0.85546875" style="3" customWidth="1"/>
    <col min="8017" max="8021" width="8.28515625" style="3" customWidth="1"/>
    <col min="8022" max="8022" width="0.85546875" style="3" customWidth="1"/>
    <col min="8023" max="8027" width="8.28515625" style="3" customWidth="1"/>
    <col min="8028" max="8030" width="9.140625" style="3" customWidth="1"/>
    <col min="8031" max="8031" width="29.7109375" style="3" customWidth="1"/>
    <col min="8032" max="8036" width="9.140625" style="3" customWidth="1"/>
    <col min="8037" max="8192" width="9.140625" style="3"/>
    <col min="8193" max="8193" width="25.7109375" style="3" customWidth="1"/>
    <col min="8194" max="8194" width="0.85546875" style="3" customWidth="1"/>
    <col min="8195" max="8199" width="8.28515625" style="3" customWidth="1"/>
    <col min="8200" max="8200" width="0.85546875" style="3" customWidth="1"/>
    <col min="8201" max="8205" width="8.28515625" style="3" customWidth="1"/>
    <col min="8206" max="8206" width="0.85546875" style="3" customWidth="1"/>
    <col min="8207" max="8211" width="8.28515625" style="3" customWidth="1"/>
    <col min="8212" max="8212" width="0.85546875" style="3" customWidth="1"/>
    <col min="8213" max="8217" width="8.28515625" style="3" customWidth="1"/>
    <col min="8218" max="8218" width="0.85546875" style="3" customWidth="1"/>
    <col min="8219" max="8223" width="8.28515625" style="3" customWidth="1"/>
    <col min="8224" max="8224" width="0.85546875" style="3" customWidth="1"/>
    <col min="8225" max="8229" width="8.28515625" style="3" customWidth="1"/>
    <col min="8230" max="8230" width="0.85546875" style="3" customWidth="1"/>
    <col min="8231" max="8235" width="8.28515625" style="3" customWidth="1"/>
    <col min="8236" max="8236" width="0.85546875" style="3" customWidth="1"/>
    <col min="8237" max="8241" width="8.28515625" style="3" customWidth="1"/>
    <col min="8242" max="8242" width="0.85546875" style="3" customWidth="1"/>
    <col min="8243" max="8247" width="8.28515625" style="3" customWidth="1"/>
    <col min="8248" max="8248" width="0.85546875" style="3" customWidth="1"/>
    <col min="8249" max="8253" width="8.28515625" style="3" customWidth="1"/>
    <col min="8254" max="8254" width="0.85546875" style="3" customWidth="1"/>
    <col min="8255" max="8259" width="8.28515625" style="3" customWidth="1"/>
    <col min="8260" max="8260" width="0.85546875" style="3" customWidth="1"/>
    <col min="8261" max="8265" width="8.28515625" style="3" customWidth="1"/>
    <col min="8266" max="8266" width="0.85546875" style="3" customWidth="1"/>
    <col min="8267" max="8271" width="8.28515625" style="3" customWidth="1"/>
    <col min="8272" max="8272" width="0.85546875" style="3" customWidth="1"/>
    <col min="8273" max="8277" width="8.28515625" style="3" customWidth="1"/>
    <col min="8278" max="8278" width="0.85546875" style="3" customWidth="1"/>
    <col min="8279" max="8283" width="8.28515625" style="3" customWidth="1"/>
    <col min="8284" max="8286" width="9.140625" style="3" customWidth="1"/>
    <col min="8287" max="8287" width="29.7109375" style="3" customWidth="1"/>
    <col min="8288" max="8292" width="9.140625" style="3" customWidth="1"/>
    <col min="8293" max="8448" width="9.140625" style="3"/>
    <col min="8449" max="8449" width="25.7109375" style="3" customWidth="1"/>
    <col min="8450" max="8450" width="0.85546875" style="3" customWidth="1"/>
    <col min="8451" max="8455" width="8.28515625" style="3" customWidth="1"/>
    <col min="8456" max="8456" width="0.85546875" style="3" customWidth="1"/>
    <col min="8457" max="8461" width="8.28515625" style="3" customWidth="1"/>
    <col min="8462" max="8462" width="0.85546875" style="3" customWidth="1"/>
    <col min="8463" max="8467" width="8.28515625" style="3" customWidth="1"/>
    <col min="8468" max="8468" width="0.85546875" style="3" customWidth="1"/>
    <col min="8469" max="8473" width="8.28515625" style="3" customWidth="1"/>
    <col min="8474" max="8474" width="0.85546875" style="3" customWidth="1"/>
    <col min="8475" max="8479" width="8.28515625" style="3" customWidth="1"/>
    <col min="8480" max="8480" width="0.85546875" style="3" customWidth="1"/>
    <col min="8481" max="8485" width="8.28515625" style="3" customWidth="1"/>
    <col min="8486" max="8486" width="0.85546875" style="3" customWidth="1"/>
    <col min="8487" max="8491" width="8.28515625" style="3" customWidth="1"/>
    <col min="8492" max="8492" width="0.85546875" style="3" customWidth="1"/>
    <col min="8493" max="8497" width="8.28515625" style="3" customWidth="1"/>
    <col min="8498" max="8498" width="0.85546875" style="3" customWidth="1"/>
    <col min="8499" max="8503" width="8.28515625" style="3" customWidth="1"/>
    <col min="8504" max="8504" width="0.85546875" style="3" customWidth="1"/>
    <col min="8505" max="8509" width="8.28515625" style="3" customWidth="1"/>
    <col min="8510" max="8510" width="0.85546875" style="3" customWidth="1"/>
    <col min="8511" max="8515" width="8.28515625" style="3" customWidth="1"/>
    <col min="8516" max="8516" width="0.85546875" style="3" customWidth="1"/>
    <col min="8517" max="8521" width="8.28515625" style="3" customWidth="1"/>
    <col min="8522" max="8522" width="0.85546875" style="3" customWidth="1"/>
    <col min="8523" max="8527" width="8.28515625" style="3" customWidth="1"/>
    <col min="8528" max="8528" width="0.85546875" style="3" customWidth="1"/>
    <col min="8529" max="8533" width="8.28515625" style="3" customWidth="1"/>
    <col min="8534" max="8534" width="0.85546875" style="3" customWidth="1"/>
    <col min="8535" max="8539" width="8.28515625" style="3" customWidth="1"/>
    <col min="8540" max="8542" width="9.140625" style="3" customWidth="1"/>
    <col min="8543" max="8543" width="29.7109375" style="3" customWidth="1"/>
    <col min="8544" max="8548" width="9.140625" style="3" customWidth="1"/>
    <col min="8549" max="8704" width="9.140625" style="3"/>
    <col min="8705" max="8705" width="25.7109375" style="3" customWidth="1"/>
    <col min="8706" max="8706" width="0.85546875" style="3" customWidth="1"/>
    <col min="8707" max="8711" width="8.28515625" style="3" customWidth="1"/>
    <col min="8712" max="8712" width="0.85546875" style="3" customWidth="1"/>
    <col min="8713" max="8717" width="8.28515625" style="3" customWidth="1"/>
    <col min="8718" max="8718" width="0.85546875" style="3" customWidth="1"/>
    <col min="8719" max="8723" width="8.28515625" style="3" customWidth="1"/>
    <col min="8724" max="8724" width="0.85546875" style="3" customWidth="1"/>
    <col min="8725" max="8729" width="8.28515625" style="3" customWidth="1"/>
    <col min="8730" max="8730" width="0.85546875" style="3" customWidth="1"/>
    <col min="8731" max="8735" width="8.28515625" style="3" customWidth="1"/>
    <col min="8736" max="8736" width="0.85546875" style="3" customWidth="1"/>
    <col min="8737" max="8741" width="8.28515625" style="3" customWidth="1"/>
    <col min="8742" max="8742" width="0.85546875" style="3" customWidth="1"/>
    <col min="8743" max="8747" width="8.28515625" style="3" customWidth="1"/>
    <col min="8748" max="8748" width="0.85546875" style="3" customWidth="1"/>
    <col min="8749" max="8753" width="8.28515625" style="3" customWidth="1"/>
    <col min="8754" max="8754" width="0.85546875" style="3" customWidth="1"/>
    <col min="8755" max="8759" width="8.28515625" style="3" customWidth="1"/>
    <col min="8760" max="8760" width="0.85546875" style="3" customWidth="1"/>
    <col min="8761" max="8765" width="8.28515625" style="3" customWidth="1"/>
    <col min="8766" max="8766" width="0.85546875" style="3" customWidth="1"/>
    <col min="8767" max="8771" width="8.28515625" style="3" customWidth="1"/>
    <col min="8772" max="8772" width="0.85546875" style="3" customWidth="1"/>
    <col min="8773" max="8777" width="8.28515625" style="3" customWidth="1"/>
    <col min="8778" max="8778" width="0.85546875" style="3" customWidth="1"/>
    <col min="8779" max="8783" width="8.28515625" style="3" customWidth="1"/>
    <col min="8784" max="8784" width="0.85546875" style="3" customWidth="1"/>
    <col min="8785" max="8789" width="8.28515625" style="3" customWidth="1"/>
    <col min="8790" max="8790" width="0.85546875" style="3" customWidth="1"/>
    <col min="8791" max="8795" width="8.28515625" style="3" customWidth="1"/>
    <col min="8796" max="8798" width="9.140625" style="3" customWidth="1"/>
    <col min="8799" max="8799" width="29.7109375" style="3" customWidth="1"/>
    <col min="8800" max="8804" width="9.140625" style="3" customWidth="1"/>
    <col min="8805" max="8960" width="9.140625" style="3"/>
    <col min="8961" max="8961" width="25.7109375" style="3" customWidth="1"/>
    <col min="8962" max="8962" width="0.85546875" style="3" customWidth="1"/>
    <col min="8963" max="8967" width="8.28515625" style="3" customWidth="1"/>
    <col min="8968" max="8968" width="0.85546875" style="3" customWidth="1"/>
    <col min="8969" max="8973" width="8.28515625" style="3" customWidth="1"/>
    <col min="8974" max="8974" width="0.85546875" style="3" customWidth="1"/>
    <col min="8975" max="8979" width="8.28515625" style="3" customWidth="1"/>
    <col min="8980" max="8980" width="0.85546875" style="3" customWidth="1"/>
    <col min="8981" max="8985" width="8.28515625" style="3" customWidth="1"/>
    <col min="8986" max="8986" width="0.85546875" style="3" customWidth="1"/>
    <col min="8987" max="8991" width="8.28515625" style="3" customWidth="1"/>
    <col min="8992" max="8992" width="0.85546875" style="3" customWidth="1"/>
    <col min="8993" max="8997" width="8.28515625" style="3" customWidth="1"/>
    <col min="8998" max="8998" width="0.85546875" style="3" customWidth="1"/>
    <col min="8999" max="9003" width="8.28515625" style="3" customWidth="1"/>
    <col min="9004" max="9004" width="0.85546875" style="3" customWidth="1"/>
    <col min="9005" max="9009" width="8.28515625" style="3" customWidth="1"/>
    <col min="9010" max="9010" width="0.85546875" style="3" customWidth="1"/>
    <col min="9011" max="9015" width="8.28515625" style="3" customWidth="1"/>
    <col min="9016" max="9016" width="0.85546875" style="3" customWidth="1"/>
    <col min="9017" max="9021" width="8.28515625" style="3" customWidth="1"/>
    <col min="9022" max="9022" width="0.85546875" style="3" customWidth="1"/>
    <col min="9023" max="9027" width="8.28515625" style="3" customWidth="1"/>
    <col min="9028" max="9028" width="0.85546875" style="3" customWidth="1"/>
    <col min="9029" max="9033" width="8.28515625" style="3" customWidth="1"/>
    <col min="9034" max="9034" width="0.85546875" style="3" customWidth="1"/>
    <col min="9035" max="9039" width="8.28515625" style="3" customWidth="1"/>
    <col min="9040" max="9040" width="0.85546875" style="3" customWidth="1"/>
    <col min="9041" max="9045" width="8.28515625" style="3" customWidth="1"/>
    <col min="9046" max="9046" width="0.85546875" style="3" customWidth="1"/>
    <col min="9047" max="9051" width="8.28515625" style="3" customWidth="1"/>
    <col min="9052" max="9054" width="9.140625" style="3" customWidth="1"/>
    <col min="9055" max="9055" width="29.7109375" style="3" customWidth="1"/>
    <col min="9056" max="9060" width="9.140625" style="3" customWidth="1"/>
    <col min="9061" max="9216" width="9.140625" style="3"/>
    <col min="9217" max="9217" width="25.7109375" style="3" customWidth="1"/>
    <col min="9218" max="9218" width="0.85546875" style="3" customWidth="1"/>
    <col min="9219" max="9223" width="8.28515625" style="3" customWidth="1"/>
    <col min="9224" max="9224" width="0.85546875" style="3" customWidth="1"/>
    <col min="9225" max="9229" width="8.28515625" style="3" customWidth="1"/>
    <col min="9230" max="9230" width="0.85546875" style="3" customWidth="1"/>
    <col min="9231" max="9235" width="8.28515625" style="3" customWidth="1"/>
    <col min="9236" max="9236" width="0.85546875" style="3" customWidth="1"/>
    <col min="9237" max="9241" width="8.28515625" style="3" customWidth="1"/>
    <col min="9242" max="9242" width="0.85546875" style="3" customWidth="1"/>
    <col min="9243" max="9247" width="8.28515625" style="3" customWidth="1"/>
    <col min="9248" max="9248" width="0.85546875" style="3" customWidth="1"/>
    <col min="9249" max="9253" width="8.28515625" style="3" customWidth="1"/>
    <col min="9254" max="9254" width="0.85546875" style="3" customWidth="1"/>
    <col min="9255" max="9259" width="8.28515625" style="3" customWidth="1"/>
    <col min="9260" max="9260" width="0.85546875" style="3" customWidth="1"/>
    <col min="9261" max="9265" width="8.28515625" style="3" customWidth="1"/>
    <col min="9266" max="9266" width="0.85546875" style="3" customWidth="1"/>
    <col min="9267" max="9271" width="8.28515625" style="3" customWidth="1"/>
    <col min="9272" max="9272" width="0.85546875" style="3" customWidth="1"/>
    <col min="9273" max="9277" width="8.28515625" style="3" customWidth="1"/>
    <col min="9278" max="9278" width="0.85546875" style="3" customWidth="1"/>
    <col min="9279" max="9283" width="8.28515625" style="3" customWidth="1"/>
    <col min="9284" max="9284" width="0.85546875" style="3" customWidth="1"/>
    <col min="9285" max="9289" width="8.28515625" style="3" customWidth="1"/>
    <col min="9290" max="9290" width="0.85546875" style="3" customWidth="1"/>
    <col min="9291" max="9295" width="8.28515625" style="3" customWidth="1"/>
    <col min="9296" max="9296" width="0.85546875" style="3" customWidth="1"/>
    <col min="9297" max="9301" width="8.28515625" style="3" customWidth="1"/>
    <col min="9302" max="9302" width="0.85546875" style="3" customWidth="1"/>
    <col min="9303" max="9307" width="8.28515625" style="3" customWidth="1"/>
    <col min="9308" max="9310" width="9.140625" style="3" customWidth="1"/>
    <col min="9311" max="9311" width="29.7109375" style="3" customWidth="1"/>
    <col min="9312" max="9316" width="9.140625" style="3" customWidth="1"/>
    <col min="9317" max="9472" width="9.140625" style="3"/>
    <col min="9473" max="9473" width="25.7109375" style="3" customWidth="1"/>
    <col min="9474" max="9474" width="0.85546875" style="3" customWidth="1"/>
    <col min="9475" max="9479" width="8.28515625" style="3" customWidth="1"/>
    <col min="9480" max="9480" width="0.85546875" style="3" customWidth="1"/>
    <col min="9481" max="9485" width="8.28515625" style="3" customWidth="1"/>
    <col min="9486" max="9486" width="0.85546875" style="3" customWidth="1"/>
    <col min="9487" max="9491" width="8.28515625" style="3" customWidth="1"/>
    <col min="9492" max="9492" width="0.85546875" style="3" customWidth="1"/>
    <col min="9493" max="9497" width="8.28515625" style="3" customWidth="1"/>
    <col min="9498" max="9498" width="0.85546875" style="3" customWidth="1"/>
    <col min="9499" max="9503" width="8.28515625" style="3" customWidth="1"/>
    <col min="9504" max="9504" width="0.85546875" style="3" customWidth="1"/>
    <col min="9505" max="9509" width="8.28515625" style="3" customWidth="1"/>
    <col min="9510" max="9510" width="0.85546875" style="3" customWidth="1"/>
    <col min="9511" max="9515" width="8.28515625" style="3" customWidth="1"/>
    <col min="9516" max="9516" width="0.85546875" style="3" customWidth="1"/>
    <col min="9517" max="9521" width="8.28515625" style="3" customWidth="1"/>
    <col min="9522" max="9522" width="0.85546875" style="3" customWidth="1"/>
    <col min="9523" max="9527" width="8.28515625" style="3" customWidth="1"/>
    <col min="9528" max="9528" width="0.85546875" style="3" customWidth="1"/>
    <col min="9529" max="9533" width="8.28515625" style="3" customWidth="1"/>
    <col min="9534" max="9534" width="0.85546875" style="3" customWidth="1"/>
    <col min="9535" max="9539" width="8.28515625" style="3" customWidth="1"/>
    <col min="9540" max="9540" width="0.85546875" style="3" customWidth="1"/>
    <col min="9541" max="9545" width="8.28515625" style="3" customWidth="1"/>
    <col min="9546" max="9546" width="0.85546875" style="3" customWidth="1"/>
    <col min="9547" max="9551" width="8.28515625" style="3" customWidth="1"/>
    <col min="9552" max="9552" width="0.85546875" style="3" customWidth="1"/>
    <col min="9553" max="9557" width="8.28515625" style="3" customWidth="1"/>
    <col min="9558" max="9558" width="0.85546875" style="3" customWidth="1"/>
    <col min="9559" max="9563" width="8.28515625" style="3" customWidth="1"/>
    <col min="9564" max="9566" width="9.140625" style="3" customWidth="1"/>
    <col min="9567" max="9567" width="29.7109375" style="3" customWidth="1"/>
    <col min="9568" max="9572" width="9.140625" style="3" customWidth="1"/>
    <col min="9573" max="9728" width="9.140625" style="3"/>
    <col min="9729" max="9729" width="25.7109375" style="3" customWidth="1"/>
    <col min="9730" max="9730" width="0.85546875" style="3" customWidth="1"/>
    <col min="9731" max="9735" width="8.28515625" style="3" customWidth="1"/>
    <col min="9736" max="9736" width="0.85546875" style="3" customWidth="1"/>
    <col min="9737" max="9741" width="8.28515625" style="3" customWidth="1"/>
    <col min="9742" max="9742" width="0.85546875" style="3" customWidth="1"/>
    <col min="9743" max="9747" width="8.28515625" style="3" customWidth="1"/>
    <col min="9748" max="9748" width="0.85546875" style="3" customWidth="1"/>
    <col min="9749" max="9753" width="8.28515625" style="3" customWidth="1"/>
    <col min="9754" max="9754" width="0.85546875" style="3" customWidth="1"/>
    <col min="9755" max="9759" width="8.28515625" style="3" customWidth="1"/>
    <col min="9760" max="9760" width="0.85546875" style="3" customWidth="1"/>
    <col min="9761" max="9765" width="8.28515625" style="3" customWidth="1"/>
    <col min="9766" max="9766" width="0.85546875" style="3" customWidth="1"/>
    <col min="9767" max="9771" width="8.28515625" style="3" customWidth="1"/>
    <col min="9772" max="9772" width="0.85546875" style="3" customWidth="1"/>
    <col min="9773" max="9777" width="8.28515625" style="3" customWidth="1"/>
    <col min="9778" max="9778" width="0.85546875" style="3" customWidth="1"/>
    <col min="9779" max="9783" width="8.28515625" style="3" customWidth="1"/>
    <col min="9784" max="9784" width="0.85546875" style="3" customWidth="1"/>
    <col min="9785" max="9789" width="8.28515625" style="3" customWidth="1"/>
    <col min="9790" max="9790" width="0.85546875" style="3" customWidth="1"/>
    <col min="9791" max="9795" width="8.28515625" style="3" customWidth="1"/>
    <col min="9796" max="9796" width="0.85546875" style="3" customWidth="1"/>
    <col min="9797" max="9801" width="8.28515625" style="3" customWidth="1"/>
    <col min="9802" max="9802" width="0.85546875" style="3" customWidth="1"/>
    <col min="9803" max="9807" width="8.28515625" style="3" customWidth="1"/>
    <col min="9808" max="9808" width="0.85546875" style="3" customWidth="1"/>
    <col min="9809" max="9813" width="8.28515625" style="3" customWidth="1"/>
    <col min="9814" max="9814" width="0.85546875" style="3" customWidth="1"/>
    <col min="9815" max="9819" width="8.28515625" style="3" customWidth="1"/>
    <col min="9820" max="9822" width="9.140625" style="3" customWidth="1"/>
    <col min="9823" max="9823" width="29.7109375" style="3" customWidth="1"/>
    <col min="9824" max="9828" width="9.140625" style="3" customWidth="1"/>
    <col min="9829" max="9984" width="9.140625" style="3"/>
    <col min="9985" max="9985" width="25.7109375" style="3" customWidth="1"/>
    <col min="9986" max="9986" width="0.85546875" style="3" customWidth="1"/>
    <col min="9987" max="9991" width="8.28515625" style="3" customWidth="1"/>
    <col min="9992" max="9992" width="0.85546875" style="3" customWidth="1"/>
    <col min="9993" max="9997" width="8.28515625" style="3" customWidth="1"/>
    <col min="9998" max="9998" width="0.85546875" style="3" customWidth="1"/>
    <col min="9999" max="10003" width="8.28515625" style="3" customWidth="1"/>
    <col min="10004" max="10004" width="0.85546875" style="3" customWidth="1"/>
    <col min="10005" max="10009" width="8.28515625" style="3" customWidth="1"/>
    <col min="10010" max="10010" width="0.85546875" style="3" customWidth="1"/>
    <col min="10011" max="10015" width="8.28515625" style="3" customWidth="1"/>
    <col min="10016" max="10016" width="0.85546875" style="3" customWidth="1"/>
    <col min="10017" max="10021" width="8.28515625" style="3" customWidth="1"/>
    <col min="10022" max="10022" width="0.85546875" style="3" customWidth="1"/>
    <col min="10023" max="10027" width="8.28515625" style="3" customWidth="1"/>
    <col min="10028" max="10028" width="0.85546875" style="3" customWidth="1"/>
    <col min="10029" max="10033" width="8.28515625" style="3" customWidth="1"/>
    <col min="10034" max="10034" width="0.85546875" style="3" customWidth="1"/>
    <col min="10035" max="10039" width="8.28515625" style="3" customWidth="1"/>
    <col min="10040" max="10040" width="0.85546875" style="3" customWidth="1"/>
    <col min="10041" max="10045" width="8.28515625" style="3" customWidth="1"/>
    <col min="10046" max="10046" width="0.85546875" style="3" customWidth="1"/>
    <col min="10047" max="10051" width="8.28515625" style="3" customWidth="1"/>
    <col min="10052" max="10052" width="0.85546875" style="3" customWidth="1"/>
    <col min="10053" max="10057" width="8.28515625" style="3" customWidth="1"/>
    <col min="10058" max="10058" width="0.85546875" style="3" customWidth="1"/>
    <col min="10059" max="10063" width="8.28515625" style="3" customWidth="1"/>
    <col min="10064" max="10064" width="0.85546875" style="3" customWidth="1"/>
    <col min="10065" max="10069" width="8.28515625" style="3" customWidth="1"/>
    <col min="10070" max="10070" width="0.85546875" style="3" customWidth="1"/>
    <col min="10071" max="10075" width="8.28515625" style="3" customWidth="1"/>
    <col min="10076" max="10078" width="9.140625" style="3" customWidth="1"/>
    <col min="10079" max="10079" width="29.7109375" style="3" customWidth="1"/>
    <col min="10080" max="10084" width="9.140625" style="3" customWidth="1"/>
    <col min="10085" max="10240" width="9.140625" style="3"/>
    <col min="10241" max="10241" width="25.7109375" style="3" customWidth="1"/>
    <col min="10242" max="10242" width="0.85546875" style="3" customWidth="1"/>
    <col min="10243" max="10247" width="8.28515625" style="3" customWidth="1"/>
    <col min="10248" max="10248" width="0.85546875" style="3" customWidth="1"/>
    <col min="10249" max="10253" width="8.28515625" style="3" customWidth="1"/>
    <col min="10254" max="10254" width="0.85546875" style="3" customWidth="1"/>
    <col min="10255" max="10259" width="8.28515625" style="3" customWidth="1"/>
    <col min="10260" max="10260" width="0.85546875" style="3" customWidth="1"/>
    <col min="10261" max="10265" width="8.28515625" style="3" customWidth="1"/>
    <col min="10266" max="10266" width="0.85546875" style="3" customWidth="1"/>
    <col min="10267" max="10271" width="8.28515625" style="3" customWidth="1"/>
    <col min="10272" max="10272" width="0.85546875" style="3" customWidth="1"/>
    <col min="10273" max="10277" width="8.28515625" style="3" customWidth="1"/>
    <col min="10278" max="10278" width="0.85546875" style="3" customWidth="1"/>
    <col min="10279" max="10283" width="8.28515625" style="3" customWidth="1"/>
    <col min="10284" max="10284" width="0.85546875" style="3" customWidth="1"/>
    <col min="10285" max="10289" width="8.28515625" style="3" customWidth="1"/>
    <col min="10290" max="10290" width="0.85546875" style="3" customWidth="1"/>
    <col min="10291" max="10295" width="8.28515625" style="3" customWidth="1"/>
    <col min="10296" max="10296" width="0.85546875" style="3" customWidth="1"/>
    <col min="10297" max="10301" width="8.28515625" style="3" customWidth="1"/>
    <col min="10302" max="10302" width="0.85546875" style="3" customWidth="1"/>
    <col min="10303" max="10307" width="8.28515625" style="3" customWidth="1"/>
    <col min="10308" max="10308" width="0.85546875" style="3" customWidth="1"/>
    <col min="10309" max="10313" width="8.28515625" style="3" customWidth="1"/>
    <col min="10314" max="10314" width="0.85546875" style="3" customWidth="1"/>
    <col min="10315" max="10319" width="8.28515625" style="3" customWidth="1"/>
    <col min="10320" max="10320" width="0.85546875" style="3" customWidth="1"/>
    <col min="10321" max="10325" width="8.28515625" style="3" customWidth="1"/>
    <col min="10326" max="10326" width="0.85546875" style="3" customWidth="1"/>
    <col min="10327" max="10331" width="8.28515625" style="3" customWidth="1"/>
    <col min="10332" max="10334" width="9.140625" style="3" customWidth="1"/>
    <col min="10335" max="10335" width="29.7109375" style="3" customWidth="1"/>
    <col min="10336" max="10340" width="9.140625" style="3" customWidth="1"/>
    <col min="10341" max="10496" width="9.140625" style="3"/>
    <col min="10497" max="10497" width="25.7109375" style="3" customWidth="1"/>
    <col min="10498" max="10498" width="0.85546875" style="3" customWidth="1"/>
    <col min="10499" max="10503" width="8.28515625" style="3" customWidth="1"/>
    <col min="10504" max="10504" width="0.85546875" style="3" customWidth="1"/>
    <col min="10505" max="10509" width="8.28515625" style="3" customWidth="1"/>
    <col min="10510" max="10510" width="0.85546875" style="3" customWidth="1"/>
    <col min="10511" max="10515" width="8.28515625" style="3" customWidth="1"/>
    <col min="10516" max="10516" width="0.85546875" style="3" customWidth="1"/>
    <col min="10517" max="10521" width="8.28515625" style="3" customWidth="1"/>
    <col min="10522" max="10522" width="0.85546875" style="3" customWidth="1"/>
    <col min="10523" max="10527" width="8.28515625" style="3" customWidth="1"/>
    <col min="10528" max="10528" width="0.85546875" style="3" customWidth="1"/>
    <col min="10529" max="10533" width="8.28515625" style="3" customWidth="1"/>
    <col min="10534" max="10534" width="0.85546875" style="3" customWidth="1"/>
    <col min="10535" max="10539" width="8.28515625" style="3" customWidth="1"/>
    <col min="10540" max="10540" width="0.85546875" style="3" customWidth="1"/>
    <col min="10541" max="10545" width="8.28515625" style="3" customWidth="1"/>
    <col min="10546" max="10546" width="0.85546875" style="3" customWidth="1"/>
    <col min="10547" max="10551" width="8.28515625" style="3" customWidth="1"/>
    <col min="10552" max="10552" width="0.85546875" style="3" customWidth="1"/>
    <col min="10553" max="10557" width="8.28515625" style="3" customWidth="1"/>
    <col min="10558" max="10558" width="0.85546875" style="3" customWidth="1"/>
    <col min="10559" max="10563" width="8.28515625" style="3" customWidth="1"/>
    <col min="10564" max="10564" width="0.85546875" style="3" customWidth="1"/>
    <col min="10565" max="10569" width="8.28515625" style="3" customWidth="1"/>
    <col min="10570" max="10570" width="0.85546875" style="3" customWidth="1"/>
    <col min="10571" max="10575" width="8.28515625" style="3" customWidth="1"/>
    <col min="10576" max="10576" width="0.85546875" style="3" customWidth="1"/>
    <col min="10577" max="10581" width="8.28515625" style="3" customWidth="1"/>
    <col min="10582" max="10582" width="0.85546875" style="3" customWidth="1"/>
    <col min="10583" max="10587" width="8.28515625" style="3" customWidth="1"/>
    <col min="10588" max="10590" width="9.140625" style="3" customWidth="1"/>
    <col min="10591" max="10591" width="29.7109375" style="3" customWidth="1"/>
    <col min="10592" max="10596" width="9.140625" style="3" customWidth="1"/>
    <col min="10597" max="10752" width="9.140625" style="3"/>
    <col min="10753" max="10753" width="25.7109375" style="3" customWidth="1"/>
    <col min="10754" max="10754" width="0.85546875" style="3" customWidth="1"/>
    <col min="10755" max="10759" width="8.28515625" style="3" customWidth="1"/>
    <col min="10760" max="10760" width="0.85546875" style="3" customWidth="1"/>
    <col min="10761" max="10765" width="8.28515625" style="3" customWidth="1"/>
    <col min="10766" max="10766" width="0.85546875" style="3" customWidth="1"/>
    <col min="10767" max="10771" width="8.28515625" style="3" customWidth="1"/>
    <col min="10772" max="10772" width="0.85546875" style="3" customWidth="1"/>
    <col min="10773" max="10777" width="8.28515625" style="3" customWidth="1"/>
    <col min="10778" max="10778" width="0.85546875" style="3" customWidth="1"/>
    <col min="10779" max="10783" width="8.28515625" style="3" customWidth="1"/>
    <col min="10784" max="10784" width="0.85546875" style="3" customWidth="1"/>
    <col min="10785" max="10789" width="8.28515625" style="3" customWidth="1"/>
    <col min="10790" max="10790" width="0.85546875" style="3" customWidth="1"/>
    <col min="10791" max="10795" width="8.28515625" style="3" customWidth="1"/>
    <col min="10796" max="10796" width="0.85546875" style="3" customWidth="1"/>
    <col min="10797" max="10801" width="8.28515625" style="3" customWidth="1"/>
    <col min="10802" max="10802" width="0.85546875" style="3" customWidth="1"/>
    <col min="10803" max="10807" width="8.28515625" style="3" customWidth="1"/>
    <col min="10808" max="10808" width="0.85546875" style="3" customWidth="1"/>
    <col min="10809" max="10813" width="8.28515625" style="3" customWidth="1"/>
    <col min="10814" max="10814" width="0.85546875" style="3" customWidth="1"/>
    <col min="10815" max="10819" width="8.28515625" style="3" customWidth="1"/>
    <col min="10820" max="10820" width="0.85546875" style="3" customWidth="1"/>
    <col min="10821" max="10825" width="8.28515625" style="3" customWidth="1"/>
    <col min="10826" max="10826" width="0.85546875" style="3" customWidth="1"/>
    <col min="10827" max="10831" width="8.28515625" style="3" customWidth="1"/>
    <col min="10832" max="10832" width="0.85546875" style="3" customWidth="1"/>
    <col min="10833" max="10837" width="8.28515625" style="3" customWidth="1"/>
    <col min="10838" max="10838" width="0.85546875" style="3" customWidth="1"/>
    <col min="10839" max="10843" width="8.28515625" style="3" customWidth="1"/>
    <col min="10844" max="10846" width="9.140625" style="3" customWidth="1"/>
    <col min="10847" max="10847" width="29.7109375" style="3" customWidth="1"/>
    <col min="10848" max="10852" width="9.140625" style="3" customWidth="1"/>
    <col min="10853" max="11008" width="9.140625" style="3"/>
    <col min="11009" max="11009" width="25.7109375" style="3" customWidth="1"/>
    <col min="11010" max="11010" width="0.85546875" style="3" customWidth="1"/>
    <col min="11011" max="11015" width="8.28515625" style="3" customWidth="1"/>
    <col min="11016" max="11016" width="0.85546875" style="3" customWidth="1"/>
    <col min="11017" max="11021" width="8.28515625" style="3" customWidth="1"/>
    <col min="11022" max="11022" width="0.85546875" style="3" customWidth="1"/>
    <col min="11023" max="11027" width="8.28515625" style="3" customWidth="1"/>
    <col min="11028" max="11028" width="0.85546875" style="3" customWidth="1"/>
    <col min="11029" max="11033" width="8.28515625" style="3" customWidth="1"/>
    <col min="11034" max="11034" width="0.85546875" style="3" customWidth="1"/>
    <col min="11035" max="11039" width="8.28515625" style="3" customWidth="1"/>
    <col min="11040" max="11040" width="0.85546875" style="3" customWidth="1"/>
    <col min="11041" max="11045" width="8.28515625" style="3" customWidth="1"/>
    <col min="11046" max="11046" width="0.85546875" style="3" customWidth="1"/>
    <col min="11047" max="11051" width="8.28515625" style="3" customWidth="1"/>
    <col min="11052" max="11052" width="0.85546875" style="3" customWidth="1"/>
    <col min="11053" max="11057" width="8.28515625" style="3" customWidth="1"/>
    <col min="11058" max="11058" width="0.85546875" style="3" customWidth="1"/>
    <col min="11059" max="11063" width="8.28515625" style="3" customWidth="1"/>
    <col min="11064" max="11064" width="0.85546875" style="3" customWidth="1"/>
    <col min="11065" max="11069" width="8.28515625" style="3" customWidth="1"/>
    <col min="11070" max="11070" width="0.85546875" style="3" customWidth="1"/>
    <col min="11071" max="11075" width="8.28515625" style="3" customWidth="1"/>
    <col min="11076" max="11076" width="0.85546875" style="3" customWidth="1"/>
    <col min="11077" max="11081" width="8.28515625" style="3" customWidth="1"/>
    <col min="11082" max="11082" width="0.85546875" style="3" customWidth="1"/>
    <col min="11083" max="11087" width="8.28515625" style="3" customWidth="1"/>
    <col min="11088" max="11088" width="0.85546875" style="3" customWidth="1"/>
    <col min="11089" max="11093" width="8.28515625" style="3" customWidth="1"/>
    <col min="11094" max="11094" width="0.85546875" style="3" customWidth="1"/>
    <col min="11095" max="11099" width="8.28515625" style="3" customWidth="1"/>
    <col min="11100" max="11102" width="9.140625" style="3" customWidth="1"/>
    <col min="11103" max="11103" width="29.7109375" style="3" customWidth="1"/>
    <col min="11104" max="11108" width="9.140625" style="3" customWidth="1"/>
    <col min="11109" max="11264" width="9.140625" style="3"/>
    <col min="11265" max="11265" width="25.7109375" style="3" customWidth="1"/>
    <col min="11266" max="11266" width="0.85546875" style="3" customWidth="1"/>
    <col min="11267" max="11271" width="8.28515625" style="3" customWidth="1"/>
    <col min="11272" max="11272" width="0.85546875" style="3" customWidth="1"/>
    <col min="11273" max="11277" width="8.28515625" style="3" customWidth="1"/>
    <col min="11278" max="11278" width="0.85546875" style="3" customWidth="1"/>
    <col min="11279" max="11283" width="8.28515625" style="3" customWidth="1"/>
    <col min="11284" max="11284" width="0.85546875" style="3" customWidth="1"/>
    <col min="11285" max="11289" width="8.28515625" style="3" customWidth="1"/>
    <col min="11290" max="11290" width="0.85546875" style="3" customWidth="1"/>
    <col min="11291" max="11295" width="8.28515625" style="3" customWidth="1"/>
    <col min="11296" max="11296" width="0.85546875" style="3" customWidth="1"/>
    <col min="11297" max="11301" width="8.28515625" style="3" customWidth="1"/>
    <col min="11302" max="11302" width="0.85546875" style="3" customWidth="1"/>
    <col min="11303" max="11307" width="8.28515625" style="3" customWidth="1"/>
    <col min="11308" max="11308" width="0.85546875" style="3" customWidth="1"/>
    <col min="11309" max="11313" width="8.28515625" style="3" customWidth="1"/>
    <col min="11314" max="11314" width="0.85546875" style="3" customWidth="1"/>
    <col min="11315" max="11319" width="8.28515625" style="3" customWidth="1"/>
    <col min="11320" max="11320" width="0.85546875" style="3" customWidth="1"/>
    <col min="11321" max="11325" width="8.28515625" style="3" customWidth="1"/>
    <col min="11326" max="11326" width="0.85546875" style="3" customWidth="1"/>
    <col min="11327" max="11331" width="8.28515625" style="3" customWidth="1"/>
    <col min="11332" max="11332" width="0.85546875" style="3" customWidth="1"/>
    <col min="11333" max="11337" width="8.28515625" style="3" customWidth="1"/>
    <col min="11338" max="11338" width="0.85546875" style="3" customWidth="1"/>
    <col min="11339" max="11343" width="8.28515625" style="3" customWidth="1"/>
    <col min="11344" max="11344" width="0.85546875" style="3" customWidth="1"/>
    <col min="11345" max="11349" width="8.28515625" style="3" customWidth="1"/>
    <col min="11350" max="11350" width="0.85546875" style="3" customWidth="1"/>
    <col min="11351" max="11355" width="8.28515625" style="3" customWidth="1"/>
    <col min="11356" max="11358" width="9.140625" style="3" customWidth="1"/>
    <col min="11359" max="11359" width="29.7109375" style="3" customWidth="1"/>
    <col min="11360" max="11364" width="9.140625" style="3" customWidth="1"/>
    <col min="11365" max="11520" width="9.140625" style="3"/>
    <col min="11521" max="11521" width="25.7109375" style="3" customWidth="1"/>
    <col min="11522" max="11522" width="0.85546875" style="3" customWidth="1"/>
    <col min="11523" max="11527" width="8.28515625" style="3" customWidth="1"/>
    <col min="11528" max="11528" width="0.85546875" style="3" customWidth="1"/>
    <col min="11529" max="11533" width="8.28515625" style="3" customWidth="1"/>
    <col min="11534" max="11534" width="0.85546875" style="3" customWidth="1"/>
    <col min="11535" max="11539" width="8.28515625" style="3" customWidth="1"/>
    <col min="11540" max="11540" width="0.85546875" style="3" customWidth="1"/>
    <col min="11541" max="11545" width="8.28515625" style="3" customWidth="1"/>
    <col min="11546" max="11546" width="0.85546875" style="3" customWidth="1"/>
    <col min="11547" max="11551" width="8.28515625" style="3" customWidth="1"/>
    <col min="11552" max="11552" width="0.85546875" style="3" customWidth="1"/>
    <col min="11553" max="11557" width="8.28515625" style="3" customWidth="1"/>
    <col min="11558" max="11558" width="0.85546875" style="3" customWidth="1"/>
    <col min="11559" max="11563" width="8.28515625" style="3" customWidth="1"/>
    <col min="11564" max="11564" width="0.85546875" style="3" customWidth="1"/>
    <col min="11565" max="11569" width="8.28515625" style="3" customWidth="1"/>
    <col min="11570" max="11570" width="0.85546875" style="3" customWidth="1"/>
    <col min="11571" max="11575" width="8.28515625" style="3" customWidth="1"/>
    <col min="11576" max="11576" width="0.85546875" style="3" customWidth="1"/>
    <col min="11577" max="11581" width="8.28515625" style="3" customWidth="1"/>
    <col min="11582" max="11582" width="0.85546875" style="3" customWidth="1"/>
    <col min="11583" max="11587" width="8.28515625" style="3" customWidth="1"/>
    <col min="11588" max="11588" width="0.85546875" style="3" customWidth="1"/>
    <col min="11589" max="11593" width="8.28515625" style="3" customWidth="1"/>
    <col min="11594" max="11594" width="0.85546875" style="3" customWidth="1"/>
    <col min="11595" max="11599" width="8.28515625" style="3" customWidth="1"/>
    <col min="11600" max="11600" width="0.85546875" style="3" customWidth="1"/>
    <col min="11601" max="11605" width="8.28515625" style="3" customWidth="1"/>
    <col min="11606" max="11606" width="0.85546875" style="3" customWidth="1"/>
    <col min="11607" max="11611" width="8.28515625" style="3" customWidth="1"/>
    <col min="11612" max="11614" width="9.140625" style="3" customWidth="1"/>
    <col min="11615" max="11615" width="29.7109375" style="3" customWidth="1"/>
    <col min="11616" max="11620" width="9.140625" style="3" customWidth="1"/>
    <col min="11621" max="11776" width="9.140625" style="3"/>
    <col min="11777" max="11777" width="25.7109375" style="3" customWidth="1"/>
    <col min="11778" max="11778" width="0.85546875" style="3" customWidth="1"/>
    <col min="11779" max="11783" width="8.28515625" style="3" customWidth="1"/>
    <col min="11784" max="11784" width="0.85546875" style="3" customWidth="1"/>
    <col min="11785" max="11789" width="8.28515625" style="3" customWidth="1"/>
    <col min="11790" max="11790" width="0.85546875" style="3" customWidth="1"/>
    <col min="11791" max="11795" width="8.28515625" style="3" customWidth="1"/>
    <col min="11796" max="11796" width="0.85546875" style="3" customWidth="1"/>
    <col min="11797" max="11801" width="8.28515625" style="3" customWidth="1"/>
    <col min="11802" max="11802" width="0.85546875" style="3" customWidth="1"/>
    <col min="11803" max="11807" width="8.28515625" style="3" customWidth="1"/>
    <col min="11808" max="11808" width="0.85546875" style="3" customWidth="1"/>
    <col min="11809" max="11813" width="8.28515625" style="3" customWidth="1"/>
    <col min="11814" max="11814" width="0.85546875" style="3" customWidth="1"/>
    <col min="11815" max="11819" width="8.28515625" style="3" customWidth="1"/>
    <col min="11820" max="11820" width="0.85546875" style="3" customWidth="1"/>
    <col min="11821" max="11825" width="8.28515625" style="3" customWidth="1"/>
    <col min="11826" max="11826" width="0.85546875" style="3" customWidth="1"/>
    <col min="11827" max="11831" width="8.28515625" style="3" customWidth="1"/>
    <col min="11832" max="11832" width="0.85546875" style="3" customWidth="1"/>
    <col min="11833" max="11837" width="8.28515625" style="3" customWidth="1"/>
    <col min="11838" max="11838" width="0.85546875" style="3" customWidth="1"/>
    <col min="11839" max="11843" width="8.28515625" style="3" customWidth="1"/>
    <col min="11844" max="11844" width="0.85546875" style="3" customWidth="1"/>
    <col min="11845" max="11849" width="8.28515625" style="3" customWidth="1"/>
    <col min="11850" max="11850" width="0.85546875" style="3" customWidth="1"/>
    <col min="11851" max="11855" width="8.28515625" style="3" customWidth="1"/>
    <col min="11856" max="11856" width="0.85546875" style="3" customWidth="1"/>
    <col min="11857" max="11861" width="8.28515625" style="3" customWidth="1"/>
    <col min="11862" max="11862" width="0.85546875" style="3" customWidth="1"/>
    <col min="11863" max="11867" width="8.28515625" style="3" customWidth="1"/>
    <col min="11868" max="11870" width="9.140625" style="3" customWidth="1"/>
    <col min="11871" max="11871" width="29.7109375" style="3" customWidth="1"/>
    <col min="11872" max="11876" width="9.140625" style="3" customWidth="1"/>
    <col min="11877" max="12032" width="9.140625" style="3"/>
    <col min="12033" max="12033" width="25.7109375" style="3" customWidth="1"/>
    <col min="12034" max="12034" width="0.85546875" style="3" customWidth="1"/>
    <col min="12035" max="12039" width="8.28515625" style="3" customWidth="1"/>
    <col min="12040" max="12040" width="0.85546875" style="3" customWidth="1"/>
    <col min="12041" max="12045" width="8.28515625" style="3" customWidth="1"/>
    <col min="12046" max="12046" width="0.85546875" style="3" customWidth="1"/>
    <col min="12047" max="12051" width="8.28515625" style="3" customWidth="1"/>
    <col min="12052" max="12052" width="0.85546875" style="3" customWidth="1"/>
    <col min="12053" max="12057" width="8.28515625" style="3" customWidth="1"/>
    <col min="12058" max="12058" width="0.85546875" style="3" customWidth="1"/>
    <col min="12059" max="12063" width="8.28515625" style="3" customWidth="1"/>
    <col min="12064" max="12064" width="0.85546875" style="3" customWidth="1"/>
    <col min="12065" max="12069" width="8.28515625" style="3" customWidth="1"/>
    <col min="12070" max="12070" width="0.85546875" style="3" customWidth="1"/>
    <col min="12071" max="12075" width="8.28515625" style="3" customWidth="1"/>
    <col min="12076" max="12076" width="0.85546875" style="3" customWidth="1"/>
    <col min="12077" max="12081" width="8.28515625" style="3" customWidth="1"/>
    <col min="12082" max="12082" width="0.85546875" style="3" customWidth="1"/>
    <col min="12083" max="12087" width="8.28515625" style="3" customWidth="1"/>
    <col min="12088" max="12088" width="0.85546875" style="3" customWidth="1"/>
    <col min="12089" max="12093" width="8.28515625" style="3" customWidth="1"/>
    <col min="12094" max="12094" width="0.85546875" style="3" customWidth="1"/>
    <col min="12095" max="12099" width="8.28515625" style="3" customWidth="1"/>
    <col min="12100" max="12100" width="0.85546875" style="3" customWidth="1"/>
    <col min="12101" max="12105" width="8.28515625" style="3" customWidth="1"/>
    <col min="12106" max="12106" width="0.85546875" style="3" customWidth="1"/>
    <col min="12107" max="12111" width="8.28515625" style="3" customWidth="1"/>
    <col min="12112" max="12112" width="0.85546875" style="3" customWidth="1"/>
    <col min="12113" max="12117" width="8.28515625" style="3" customWidth="1"/>
    <col min="12118" max="12118" width="0.85546875" style="3" customWidth="1"/>
    <col min="12119" max="12123" width="8.28515625" style="3" customWidth="1"/>
    <col min="12124" max="12126" width="9.140625" style="3" customWidth="1"/>
    <col min="12127" max="12127" width="29.7109375" style="3" customWidth="1"/>
    <col min="12128" max="12132" width="9.140625" style="3" customWidth="1"/>
    <col min="12133" max="12288" width="9.140625" style="3"/>
    <col min="12289" max="12289" width="25.7109375" style="3" customWidth="1"/>
    <col min="12290" max="12290" width="0.85546875" style="3" customWidth="1"/>
    <col min="12291" max="12295" width="8.28515625" style="3" customWidth="1"/>
    <col min="12296" max="12296" width="0.85546875" style="3" customWidth="1"/>
    <col min="12297" max="12301" width="8.28515625" style="3" customWidth="1"/>
    <col min="12302" max="12302" width="0.85546875" style="3" customWidth="1"/>
    <col min="12303" max="12307" width="8.28515625" style="3" customWidth="1"/>
    <col min="12308" max="12308" width="0.85546875" style="3" customWidth="1"/>
    <col min="12309" max="12313" width="8.28515625" style="3" customWidth="1"/>
    <col min="12314" max="12314" width="0.85546875" style="3" customWidth="1"/>
    <col min="12315" max="12319" width="8.28515625" style="3" customWidth="1"/>
    <col min="12320" max="12320" width="0.85546875" style="3" customWidth="1"/>
    <col min="12321" max="12325" width="8.28515625" style="3" customWidth="1"/>
    <col min="12326" max="12326" width="0.85546875" style="3" customWidth="1"/>
    <col min="12327" max="12331" width="8.28515625" style="3" customWidth="1"/>
    <col min="12332" max="12332" width="0.85546875" style="3" customWidth="1"/>
    <col min="12333" max="12337" width="8.28515625" style="3" customWidth="1"/>
    <col min="12338" max="12338" width="0.85546875" style="3" customWidth="1"/>
    <col min="12339" max="12343" width="8.28515625" style="3" customWidth="1"/>
    <col min="12344" max="12344" width="0.85546875" style="3" customWidth="1"/>
    <col min="12345" max="12349" width="8.28515625" style="3" customWidth="1"/>
    <col min="12350" max="12350" width="0.85546875" style="3" customWidth="1"/>
    <col min="12351" max="12355" width="8.28515625" style="3" customWidth="1"/>
    <col min="12356" max="12356" width="0.85546875" style="3" customWidth="1"/>
    <col min="12357" max="12361" width="8.28515625" style="3" customWidth="1"/>
    <col min="12362" max="12362" width="0.85546875" style="3" customWidth="1"/>
    <col min="12363" max="12367" width="8.28515625" style="3" customWidth="1"/>
    <col min="12368" max="12368" width="0.85546875" style="3" customWidth="1"/>
    <col min="12369" max="12373" width="8.28515625" style="3" customWidth="1"/>
    <col min="12374" max="12374" width="0.85546875" style="3" customWidth="1"/>
    <col min="12375" max="12379" width="8.28515625" style="3" customWidth="1"/>
    <col min="12380" max="12382" width="9.140625" style="3" customWidth="1"/>
    <col min="12383" max="12383" width="29.7109375" style="3" customWidth="1"/>
    <col min="12384" max="12388" width="9.140625" style="3" customWidth="1"/>
    <col min="12389" max="12544" width="9.140625" style="3"/>
    <col min="12545" max="12545" width="25.7109375" style="3" customWidth="1"/>
    <col min="12546" max="12546" width="0.85546875" style="3" customWidth="1"/>
    <col min="12547" max="12551" width="8.28515625" style="3" customWidth="1"/>
    <col min="12552" max="12552" width="0.85546875" style="3" customWidth="1"/>
    <col min="12553" max="12557" width="8.28515625" style="3" customWidth="1"/>
    <col min="12558" max="12558" width="0.85546875" style="3" customWidth="1"/>
    <col min="12559" max="12563" width="8.28515625" style="3" customWidth="1"/>
    <col min="12564" max="12564" width="0.85546875" style="3" customWidth="1"/>
    <col min="12565" max="12569" width="8.28515625" style="3" customWidth="1"/>
    <col min="12570" max="12570" width="0.85546875" style="3" customWidth="1"/>
    <col min="12571" max="12575" width="8.28515625" style="3" customWidth="1"/>
    <col min="12576" max="12576" width="0.85546875" style="3" customWidth="1"/>
    <col min="12577" max="12581" width="8.28515625" style="3" customWidth="1"/>
    <col min="12582" max="12582" width="0.85546875" style="3" customWidth="1"/>
    <col min="12583" max="12587" width="8.28515625" style="3" customWidth="1"/>
    <col min="12588" max="12588" width="0.85546875" style="3" customWidth="1"/>
    <col min="12589" max="12593" width="8.28515625" style="3" customWidth="1"/>
    <col min="12594" max="12594" width="0.85546875" style="3" customWidth="1"/>
    <col min="12595" max="12599" width="8.28515625" style="3" customWidth="1"/>
    <col min="12600" max="12600" width="0.85546875" style="3" customWidth="1"/>
    <col min="12601" max="12605" width="8.28515625" style="3" customWidth="1"/>
    <col min="12606" max="12606" width="0.85546875" style="3" customWidth="1"/>
    <col min="12607" max="12611" width="8.28515625" style="3" customWidth="1"/>
    <col min="12612" max="12612" width="0.85546875" style="3" customWidth="1"/>
    <col min="12613" max="12617" width="8.28515625" style="3" customWidth="1"/>
    <col min="12618" max="12618" width="0.85546875" style="3" customWidth="1"/>
    <col min="12619" max="12623" width="8.28515625" style="3" customWidth="1"/>
    <col min="12624" max="12624" width="0.85546875" style="3" customWidth="1"/>
    <col min="12625" max="12629" width="8.28515625" style="3" customWidth="1"/>
    <col min="12630" max="12630" width="0.85546875" style="3" customWidth="1"/>
    <col min="12631" max="12635" width="8.28515625" style="3" customWidth="1"/>
    <col min="12636" max="12638" width="9.140625" style="3" customWidth="1"/>
    <col min="12639" max="12639" width="29.7109375" style="3" customWidth="1"/>
    <col min="12640" max="12644" width="9.140625" style="3" customWidth="1"/>
    <col min="12645" max="12800" width="9.140625" style="3"/>
    <col min="12801" max="12801" width="25.7109375" style="3" customWidth="1"/>
    <col min="12802" max="12802" width="0.85546875" style="3" customWidth="1"/>
    <col min="12803" max="12807" width="8.28515625" style="3" customWidth="1"/>
    <col min="12808" max="12808" width="0.85546875" style="3" customWidth="1"/>
    <col min="12809" max="12813" width="8.28515625" style="3" customWidth="1"/>
    <col min="12814" max="12814" width="0.85546875" style="3" customWidth="1"/>
    <col min="12815" max="12819" width="8.28515625" style="3" customWidth="1"/>
    <col min="12820" max="12820" width="0.85546875" style="3" customWidth="1"/>
    <col min="12821" max="12825" width="8.28515625" style="3" customWidth="1"/>
    <col min="12826" max="12826" width="0.85546875" style="3" customWidth="1"/>
    <col min="12827" max="12831" width="8.28515625" style="3" customWidth="1"/>
    <col min="12832" max="12832" width="0.85546875" style="3" customWidth="1"/>
    <col min="12833" max="12837" width="8.28515625" style="3" customWidth="1"/>
    <col min="12838" max="12838" width="0.85546875" style="3" customWidth="1"/>
    <col min="12839" max="12843" width="8.28515625" style="3" customWidth="1"/>
    <col min="12844" max="12844" width="0.85546875" style="3" customWidth="1"/>
    <col min="12845" max="12849" width="8.28515625" style="3" customWidth="1"/>
    <col min="12850" max="12850" width="0.85546875" style="3" customWidth="1"/>
    <col min="12851" max="12855" width="8.28515625" style="3" customWidth="1"/>
    <col min="12856" max="12856" width="0.85546875" style="3" customWidth="1"/>
    <col min="12857" max="12861" width="8.28515625" style="3" customWidth="1"/>
    <col min="12862" max="12862" width="0.85546875" style="3" customWidth="1"/>
    <col min="12863" max="12867" width="8.28515625" style="3" customWidth="1"/>
    <col min="12868" max="12868" width="0.85546875" style="3" customWidth="1"/>
    <col min="12869" max="12873" width="8.28515625" style="3" customWidth="1"/>
    <col min="12874" max="12874" width="0.85546875" style="3" customWidth="1"/>
    <col min="12875" max="12879" width="8.28515625" style="3" customWidth="1"/>
    <col min="12880" max="12880" width="0.85546875" style="3" customWidth="1"/>
    <col min="12881" max="12885" width="8.28515625" style="3" customWidth="1"/>
    <col min="12886" max="12886" width="0.85546875" style="3" customWidth="1"/>
    <col min="12887" max="12891" width="8.28515625" style="3" customWidth="1"/>
    <col min="12892" max="12894" width="9.140625" style="3" customWidth="1"/>
    <col min="12895" max="12895" width="29.7109375" style="3" customWidth="1"/>
    <col min="12896" max="12900" width="9.140625" style="3" customWidth="1"/>
    <col min="12901" max="13056" width="9.140625" style="3"/>
    <col min="13057" max="13057" width="25.7109375" style="3" customWidth="1"/>
    <col min="13058" max="13058" width="0.85546875" style="3" customWidth="1"/>
    <col min="13059" max="13063" width="8.28515625" style="3" customWidth="1"/>
    <col min="13064" max="13064" width="0.85546875" style="3" customWidth="1"/>
    <col min="13065" max="13069" width="8.28515625" style="3" customWidth="1"/>
    <col min="13070" max="13070" width="0.85546875" style="3" customWidth="1"/>
    <col min="13071" max="13075" width="8.28515625" style="3" customWidth="1"/>
    <col min="13076" max="13076" width="0.85546875" style="3" customWidth="1"/>
    <col min="13077" max="13081" width="8.28515625" style="3" customWidth="1"/>
    <col min="13082" max="13082" width="0.85546875" style="3" customWidth="1"/>
    <col min="13083" max="13087" width="8.28515625" style="3" customWidth="1"/>
    <col min="13088" max="13088" width="0.85546875" style="3" customWidth="1"/>
    <col min="13089" max="13093" width="8.28515625" style="3" customWidth="1"/>
    <col min="13094" max="13094" width="0.85546875" style="3" customWidth="1"/>
    <col min="13095" max="13099" width="8.28515625" style="3" customWidth="1"/>
    <col min="13100" max="13100" width="0.85546875" style="3" customWidth="1"/>
    <col min="13101" max="13105" width="8.28515625" style="3" customWidth="1"/>
    <col min="13106" max="13106" width="0.85546875" style="3" customWidth="1"/>
    <col min="13107" max="13111" width="8.28515625" style="3" customWidth="1"/>
    <col min="13112" max="13112" width="0.85546875" style="3" customWidth="1"/>
    <col min="13113" max="13117" width="8.28515625" style="3" customWidth="1"/>
    <col min="13118" max="13118" width="0.85546875" style="3" customWidth="1"/>
    <col min="13119" max="13123" width="8.28515625" style="3" customWidth="1"/>
    <col min="13124" max="13124" width="0.85546875" style="3" customWidth="1"/>
    <col min="13125" max="13129" width="8.28515625" style="3" customWidth="1"/>
    <col min="13130" max="13130" width="0.85546875" style="3" customWidth="1"/>
    <col min="13131" max="13135" width="8.28515625" style="3" customWidth="1"/>
    <col min="13136" max="13136" width="0.85546875" style="3" customWidth="1"/>
    <col min="13137" max="13141" width="8.28515625" style="3" customWidth="1"/>
    <col min="13142" max="13142" width="0.85546875" style="3" customWidth="1"/>
    <col min="13143" max="13147" width="8.28515625" style="3" customWidth="1"/>
    <col min="13148" max="13150" width="9.140625" style="3" customWidth="1"/>
    <col min="13151" max="13151" width="29.7109375" style="3" customWidth="1"/>
    <col min="13152" max="13156" width="9.140625" style="3" customWidth="1"/>
    <col min="13157" max="13312" width="9.140625" style="3"/>
    <col min="13313" max="13313" width="25.7109375" style="3" customWidth="1"/>
    <col min="13314" max="13314" width="0.85546875" style="3" customWidth="1"/>
    <col min="13315" max="13319" width="8.28515625" style="3" customWidth="1"/>
    <col min="13320" max="13320" width="0.85546875" style="3" customWidth="1"/>
    <col min="13321" max="13325" width="8.28515625" style="3" customWidth="1"/>
    <col min="13326" max="13326" width="0.85546875" style="3" customWidth="1"/>
    <col min="13327" max="13331" width="8.28515625" style="3" customWidth="1"/>
    <col min="13332" max="13332" width="0.85546875" style="3" customWidth="1"/>
    <col min="13333" max="13337" width="8.28515625" style="3" customWidth="1"/>
    <col min="13338" max="13338" width="0.85546875" style="3" customWidth="1"/>
    <col min="13339" max="13343" width="8.28515625" style="3" customWidth="1"/>
    <col min="13344" max="13344" width="0.85546875" style="3" customWidth="1"/>
    <col min="13345" max="13349" width="8.28515625" style="3" customWidth="1"/>
    <col min="13350" max="13350" width="0.85546875" style="3" customWidth="1"/>
    <col min="13351" max="13355" width="8.28515625" style="3" customWidth="1"/>
    <col min="13356" max="13356" width="0.85546875" style="3" customWidth="1"/>
    <col min="13357" max="13361" width="8.28515625" style="3" customWidth="1"/>
    <col min="13362" max="13362" width="0.85546875" style="3" customWidth="1"/>
    <col min="13363" max="13367" width="8.28515625" style="3" customWidth="1"/>
    <col min="13368" max="13368" width="0.85546875" style="3" customWidth="1"/>
    <col min="13369" max="13373" width="8.28515625" style="3" customWidth="1"/>
    <col min="13374" max="13374" width="0.85546875" style="3" customWidth="1"/>
    <col min="13375" max="13379" width="8.28515625" style="3" customWidth="1"/>
    <col min="13380" max="13380" width="0.85546875" style="3" customWidth="1"/>
    <col min="13381" max="13385" width="8.28515625" style="3" customWidth="1"/>
    <col min="13386" max="13386" width="0.85546875" style="3" customWidth="1"/>
    <col min="13387" max="13391" width="8.28515625" style="3" customWidth="1"/>
    <col min="13392" max="13392" width="0.85546875" style="3" customWidth="1"/>
    <col min="13393" max="13397" width="8.28515625" style="3" customWidth="1"/>
    <col min="13398" max="13398" width="0.85546875" style="3" customWidth="1"/>
    <col min="13399" max="13403" width="8.28515625" style="3" customWidth="1"/>
    <col min="13404" max="13406" width="9.140625" style="3" customWidth="1"/>
    <col min="13407" max="13407" width="29.7109375" style="3" customWidth="1"/>
    <col min="13408" max="13412" width="9.140625" style="3" customWidth="1"/>
    <col min="13413" max="13568" width="9.140625" style="3"/>
    <col min="13569" max="13569" width="25.7109375" style="3" customWidth="1"/>
    <col min="13570" max="13570" width="0.85546875" style="3" customWidth="1"/>
    <col min="13571" max="13575" width="8.28515625" style="3" customWidth="1"/>
    <col min="13576" max="13576" width="0.85546875" style="3" customWidth="1"/>
    <col min="13577" max="13581" width="8.28515625" style="3" customWidth="1"/>
    <col min="13582" max="13582" width="0.85546875" style="3" customWidth="1"/>
    <col min="13583" max="13587" width="8.28515625" style="3" customWidth="1"/>
    <col min="13588" max="13588" width="0.85546875" style="3" customWidth="1"/>
    <col min="13589" max="13593" width="8.28515625" style="3" customWidth="1"/>
    <col min="13594" max="13594" width="0.85546875" style="3" customWidth="1"/>
    <col min="13595" max="13599" width="8.28515625" style="3" customWidth="1"/>
    <col min="13600" max="13600" width="0.85546875" style="3" customWidth="1"/>
    <col min="13601" max="13605" width="8.28515625" style="3" customWidth="1"/>
    <col min="13606" max="13606" width="0.85546875" style="3" customWidth="1"/>
    <col min="13607" max="13611" width="8.28515625" style="3" customWidth="1"/>
    <col min="13612" max="13612" width="0.85546875" style="3" customWidth="1"/>
    <col min="13613" max="13617" width="8.28515625" style="3" customWidth="1"/>
    <col min="13618" max="13618" width="0.85546875" style="3" customWidth="1"/>
    <col min="13619" max="13623" width="8.28515625" style="3" customWidth="1"/>
    <col min="13624" max="13624" width="0.85546875" style="3" customWidth="1"/>
    <col min="13625" max="13629" width="8.28515625" style="3" customWidth="1"/>
    <col min="13630" max="13630" width="0.85546875" style="3" customWidth="1"/>
    <col min="13631" max="13635" width="8.28515625" style="3" customWidth="1"/>
    <col min="13636" max="13636" width="0.85546875" style="3" customWidth="1"/>
    <col min="13637" max="13641" width="8.28515625" style="3" customWidth="1"/>
    <col min="13642" max="13642" width="0.85546875" style="3" customWidth="1"/>
    <col min="13643" max="13647" width="8.28515625" style="3" customWidth="1"/>
    <col min="13648" max="13648" width="0.85546875" style="3" customWidth="1"/>
    <col min="13649" max="13653" width="8.28515625" style="3" customWidth="1"/>
    <col min="13654" max="13654" width="0.85546875" style="3" customWidth="1"/>
    <col min="13655" max="13659" width="8.28515625" style="3" customWidth="1"/>
    <col min="13660" max="13662" width="9.140625" style="3" customWidth="1"/>
    <col min="13663" max="13663" width="29.7109375" style="3" customWidth="1"/>
    <col min="13664" max="13668" width="9.140625" style="3" customWidth="1"/>
    <col min="13669" max="13824" width="9.140625" style="3"/>
    <col min="13825" max="13825" width="25.7109375" style="3" customWidth="1"/>
    <col min="13826" max="13826" width="0.85546875" style="3" customWidth="1"/>
    <col min="13827" max="13831" width="8.28515625" style="3" customWidth="1"/>
    <col min="13832" max="13832" width="0.85546875" style="3" customWidth="1"/>
    <col min="13833" max="13837" width="8.28515625" style="3" customWidth="1"/>
    <col min="13838" max="13838" width="0.85546875" style="3" customWidth="1"/>
    <col min="13839" max="13843" width="8.28515625" style="3" customWidth="1"/>
    <col min="13844" max="13844" width="0.85546875" style="3" customWidth="1"/>
    <col min="13845" max="13849" width="8.28515625" style="3" customWidth="1"/>
    <col min="13850" max="13850" width="0.85546875" style="3" customWidth="1"/>
    <col min="13851" max="13855" width="8.28515625" style="3" customWidth="1"/>
    <col min="13856" max="13856" width="0.85546875" style="3" customWidth="1"/>
    <col min="13857" max="13861" width="8.28515625" style="3" customWidth="1"/>
    <col min="13862" max="13862" width="0.85546875" style="3" customWidth="1"/>
    <col min="13863" max="13867" width="8.28515625" style="3" customWidth="1"/>
    <col min="13868" max="13868" width="0.85546875" style="3" customWidth="1"/>
    <col min="13869" max="13873" width="8.28515625" style="3" customWidth="1"/>
    <col min="13874" max="13874" width="0.85546875" style="3" customWidth="1"/>
    <col min="13875" max="13879" width="8.28515625" style="3" customWidth="1"/>
    <col min="13880" max="13880" width="0.85546875" style="3" customWidth="1"/>
    <col min="13881" max="13885" width="8.28515625" style="3" customWidth="1"/>
    <col min="13886" max="13886" width="0.85546875" style="3" customWidth="1"/>
    <col min="13887" max="13891" width="8.28515625" style="3" customWidth="1"/>
    <col min="13892" max="13892" width="0.85546875" style="3" customWidth="1"/>
    <col min="13893" max="13897" width="8.28515625" style="3" customWidth="1"/>
    <col min="13898" max="13898" width="0.85546875" style="3" customWidth="1"/>
    <col min="13899" max="13903" width="8.28515625" style="3" customWidth="1"/>
    <col min="13904" max="13904" width="0.85546875" style="3" customWidth="1"/>
    <col min="13905" max="13909" width="8.28515625" style="3" customWidth="1"/>
    <col min="13910" max="13910" width="0.85546875" style="3" customWidth="1"/>
    <col min="13911" max="13915" width="8.28515625" style="3" customWidth="1"/>
    <col min="13916" max="13918" width="9.140625" style="3" customWidth="1"/>
    <col min="13919" max="13919" width="29.7109375" style="3" customWidth="1"/>
    <col min="13920" max="13924" width="9.140625" style="3" customWidth="1"/>
    <col min="13925" max="14080" width="9.140625" style="3"/>
    <col min="14081" max="14081" width="25.7109375" style="3" customWidth="1"/>
    <col min="14082" max="14082" width="0.85546875" style="3" customWidth="1"/>
    <col min="14083" max="14087" width="8.28515625" style="3" customWidth="1"/>
    <col min="14088" max="14088" width="0.85546875" style="3" customWidth="1"/>
    <col min="14089" max="14093" width="8.28515625" style="3" customWidth="1"/>
    <col min="14094" max="14094" width="0.85546875" style="3" customWidth="1"/>
    <col min="14095" max="14099" width="8.28515625" style="3" customWidth="1"/>
    <col min="14100" max="14100" width="0.85546875" style="3" customWidth="1"/>
    <col min="14101" max="14105" width="8.28515625" style="3" customWidth="1"/>
    <col min="14106" max="14106" width="0.85546875" style="3" customWidth="1"/>
    <col min="14107" max="14111" width="8.28515625" style="3" customWidth="1"/>
    <col min="14112" max="14112" width="0.85546875" style="3" customWidth="1"/>
    <col min="14113" max="14117" width="8.28515625" style="3" customWidth="1"/>
    <col min="14118" max="14118" width="0.85546875" style="3" customWidth="1"/>
    <col min="14119" max="14123" width="8.28515625" style="3" customWidth="1"/>
    <col min="14124" max="14124" width="0.85546875" style="3" customWidth="1"/>
    <col min="14125" max="14129" width="8.28515625" style="3" customWidth="1"/>
    <col min="14130" max="14130" width="0.85546875" style="3" customWidth="1"/>
    <col min="14131" max="14135" width="8.28515625" style="3" customWidth="1"/>
    <col min="14136" max="14136" width="0.85546875" style="3" customWidth="1"/>
    <col min="14137" max="14141" width="8.28515625" style="3" customWidth="1"/>
    <col min="14142" max="14142" width="0.85546875" style="3" customWidth="1"/>
    <col min="14143" max="14147" width="8.28515625" style="3" customWidth="1"/>
    <col min="14148" max="14148" width="0.85546875" style="3" customWidth="1"/>
    <col min="14149" max="14153" width="8.28515625" style="3" customWidth="1"/>
    <col min="14154" max="14154" width="0.85546875" style="3" customWidth="1"/>
    <col min="14155" max="14159" width="8.28515625" style="3" customWidth="1"/>
    <col min="14160" max="14160" width="0.85546875" style="3" customWidth="1"/>
    <col min="14161" max="14165" width="8.28515625" style="3" customWidth="1"/>
    <col min="14166" max="14166" width="0.85546875" style="3" customWidth="1"/>
    <col min="14167" max="14171" width="8.28515625" style="3" customWidth="1"/>
    <col min="14172" max="14174" width="9.140625" style="3" customWidth="1"/>
    <col min="14175" max="14175" width="29.7109375" style="3" customWidth="1"/>
    <col min="14176" max="14180" width="9.140625" style="3" customWidth="1"/>
    <col min="14181" max="14336" width="9.140625" style="3"/>
    <col min="14337" max="14337" width="25.7109375" style="3" customWidth="1"/>
    <col min="14338" max="14338" width="0.85546875" style="3" customWidth="1"/>
    <col min="14339" max="14343" width="8.28515625" style="3" customWidth="1"/>
    <col min="14344" max="14344" width="0.85546875" style="3" customWidth="1"/>
    <col min="14345" max="14349" width="8.28515625" style="3" customWidth="1"/>
    <col min="14350" max="14350" width="0.85546875" style="3" customWidth="1"/>
    <col min="14351" max="14355" width="8.28515625" style="3" customWidth="1"/>
    <col min="14356" max="14356" width="0.85546875" style="3" customWidth="1"/>
    <col min="14357" max="14361" width="8.28515625" style="3" customWidth="1"/>
    <col min="14362" max="14362" width="0.85546875" style="3" customWidth="1"/>
    <col min="14363" max="14367" width="8.28515625" style="3" customWidth="1"/>
    <col min="14368" max="14368" width="0.85546875" style="3" customWidth="1"/>
    <col min="14369" max="14373" width="8.28515625" style="3" customWidth="1"/>
    <col min="14374" max="14374" width="0.85546875" style="3" customWidth="1"/>
    <col min="14375" max="14379" width="8.28515625" style="3" customWidth="1"/>
    <col min="14380" max="14380" width="0.85546875" style="3" customWidth="1"/>
    <col min="14381" max="14385" width="8.28515625" style="3" customWidth="1"/>
    <col min="14386" max="14386" width="0.85546875" style="3" customWidth="1"/>
    <col min="14387" max="14391" width="8.28515625" style="3" customWidth="1"/>
    <col min="14392" max="14392" width="0.85546875" style="3" customWidth="1"/>
    <col min="14393" max="14397" width="8.28515625" style="3" customWidth="1"/>
    <col min="14398" max="14398" width="0.85546875" style="3" customWidth="1"/>
    <col min="14399" max="14403" width="8.28515625" style="3" customWidth="1"/>
    <col min="14404" max="14404" width="0.85546875" style="3" customWidth="1"/>
    <col min="14405" max="14409" width="8.28515625" style="3" customWidth="1"/>
    <col min="14410" max="14410" width="0.85546875" style="3" customWidth="1"/>
    <col min="14411" max="14415" width="8.28515625" style="3" customWidth="1"/>
    <col min="14416" max="14416" width="0.85546875" style="3" customWidth="1"/>
    <col min="14417" max="14421" width="8.28515625" style="3" customWidth="1"/>
    <col min="14422" max="14422" width="0.85546875" style="3" customWidth="1"/>
    <col min="14423" max="14427" width="8.28515625" style="3" customWidth="1"/>
    <col min="14428" max="14430" width="9.140625" style="3" customWidth="1"/>
    <col min="14431" max="14431" width="29.7109375" style="3" customWidth="1"/>
    <col min="14432" max="14436" width="9.140625" style="3" customWidth="1"/>
    <col min="14437" max="14592" width="9.140625" style="3"/>
    <col min="14593" max="14593" width="25.7109375" style="3" customWidth="1"/>
    <col min="14594" max="14594" width="0.85546875" style="3" customWidth="1"/>
    <col min="14595" max="14599" width="8.28515625" style="3" customWidth="1"/>
    <col min="14600" max="14600" width="0.85546875" style="3" customWidth="1"/>
    <col min="14601" max="14605" width="8.28515625" style="3" customWidth="1"/>
    <col min="14606" max="14606" width="0.85546875" style="3" customWidth="1"/>
    <col min="14607" max="14611" width="8.28515625" style="3" customWidth="1"/>
    <col min="14612" max="14612" width="0.85546875" style="3" customWidth="1"/>
    <col min="14613" max="14617" width="8.28515625" style="3" customWidth="1"/>
    <col min="14618" max="14618" width="0.85546875" style="3" customWidth="1"/>
    <col min="14619" max="14623" width="8.28515625" style="3" customWidth="1"/>
    <col min="14624" max="14624" width="0.85546875" style="3" customWidth="1"/>
    <col min="14625" max="14629" width="8.28515625" style="3" customWidth="1"/>
    <col min="14630" max="14630" width="0.85546875" style="3" customWidth="1"/>
    <col min="14631" max="14635" width="8.28515625" style="3" customWidth="1"/>
    <col min="14636" max="14636" width="0.85546875" style="3" customWidth="1"/>
    <col min="14637" max="14641" width="8.28515625" style="3" customWidth="1"/>
    <col min="14642" max="14642" width="0.85546875" style="3" customWidth="1"/>
    <col min="14643" max="14647" width="8.28515625" style="3" customWidth="1"/>
    <col min="14648" max="14648" width="0.85546875" style="3" customWidth="1"/>
    <col min="14649" max="14653" width="8.28515625" style="3" customWidth="1"/>
    <col min="14654" max="14654" width="0.85546875" style="3" customWidth="1"/>
    <col min="14655" max="14659" width="8.28515625" style="3" customWidth="1"/>
    <col min="14660" max="14660" width="0.85546875" style="3" customWidth="1"/>
    <col min="14661" max="14665" width="8.28515625" style="3" customWidth="1"/>
    <col min="14666" max="14666" width="0.85546875" style="3" customWidth="1"/>
    <col min="14667" max="14671" width="8.28515625" style="3" customWidth="1"/>
    <col min="14672" max="14672" width="0.85546875" style="3" customWidth="1"/>
    <col min="14673" max="14677" width="8.28515625" style="3" customWidth="1"/>
    <col min="14678" max="14678" width="0.85546875" style="3" customWidth="1"/>
    <col min="14679" max="14683" width="8.28515625" style="3" customWidth="1"/>
    <col min="14684" max="14686" width="9.140625" style="3" customWidth="1"/>
    <col min="14687" max="14687" width="29.7109375" style="3" customWidth="1"/>
    <col min="14688" max="14692" width="9.140625" style="3" customWidth="1"/>
    <col min="14693" max="14848" width="9.140625" style="3"/>
    <col min="14849" max="14849" width="25.7109375" style="3" customWidth="1"/>
    <col min="14850" max="14850" width="0.85546875" style="3" customWidth="1"/>
    <col min="14851" max="14855" width="8.28515625" style="3" customWidth="1"/>
    <col min="14856" max="14856" width="0.85546875" style="3" customWidth="1"/>
    <col min="14857" max="14861" width="8.28515625" style="3" customWidth="1"/>
    <col min="14862" max="14862" width="0.85546875" style="3" customWidth="1"/>
    <col min="14863" max="14867" width="8.28515625" style="3" customWidth="1"/>
    <col min="14868" max="14868" width="0.85546875" style="3" customWidth="1"/>
    <col min="14869" max="14873" width="8.28515625" style="3" customWidth="1"/>
    <col min="14874" max="14874" width="0.85546875" style="3" customWidth="1"/>
    <col min="14875" max="14879" width="8.28515625" style="3" customWidth="1"/>
    <col min="14880" max="14880" width="0.85546875" style="3" customWidth="1"/>
    <col min="14881" max="14885" width="8.28515625" style="3" customWidth="1"/>
    <col min="14886" max="14886" width="0.85546875" style="3" customWidth="1"/>
    <col min="14887" max="14891" width="8.28515625" style="3" customWidth="1"/>
    <col min="14892" max="14892" width="0.85546875" style="3" customWidth="1"/>
    <col min="14893" max="14897" width="8.28515625" style="3" customWidth="1"/>
    <col min="14898" max="14898" width="0.85546875" style="3" customWidth="1"/>
    <col min="14899" max="14903" width="8.28515625" style="3" customWidth="1"/>
    <col min="14904" max="14904" width="0.85546875" style="3" customWidth="1"/>
    <col min="14905" max="14909" width="8.28515625" style="3" customWidth="1"/>
    <col min="14910" max="14910" width="0.85546875" style="3" customWidth="1"/>
    <col min="14911" max="14915" width="8.28515625" style="3" customWidth="1"/>
    <col min="14916" max="14916" width="0.85546875" style="3" customWidth="1"/>
    <col min="14917" max="14921" width="8.28515625" style="3" customWidth="1"/>
    <col min="14922" max="14922" width="0.85546875" style="3" customWidth="1"/>
    <col min="14923" max="14927" width="8.28515625" style="3" customWidth="1"/>
    <col min="14928" max="14928" width="0.85546875" style="3" customWidth="1"/>
    <col min="14929" max="14933" width="8.28515625" style="3" customWidth="1"/>
    <col min="14934" max="14934" width="0.85546875" style="3" customWidth="1"/>
    <col min="14935" max="14939" width="8.28515625" style="3" customWidth="1"/>
    <col min="14940" max="14942" width="9.140625" style="3" customWidth="1"/>
    <col min="14943" max="14943" width="29.7109375" style="3" customWidth="1"/>
    <col min="14944" max="14948" width="9.140625" style="3" customWidth="1"/>
    <col min="14949" max="15104" width="9.140625" style="3"/>
    <col min="15105" max="15105" width="25.7109375" style="3" customWidth="1"/>
    <col min="15106" max="15106" width="0.85546875" style="3" customWidth="1"/>
    <col min="15107" max="15111" width="8.28515625" style="3" customWidth="1"/>
    <col min="15112" max="15112" width="0.85546875" style="3" customWidth="1"/>
    <col min="15113" max="15117" width="8.28515625" style="3" customWidth="1"/>
    <col min="15118" max="15118" width="0.85546875" style="3" customWidth="1"/>
    <col min="15119" max="15123" width="8.28515625" style="3" customWidth="1"/>
    <col min="15124" max="15124" width="0.85546875" style="3" customWidth="1"/>
    <col min="15125" max="15129" width="8.28515625" style="3" customWidth="1"/>
    <col min="15130" max="15130" width="0.85546875" style="3" customWidth="1"/>
    <col min="15131" max="15135" width="8.28515625" style="3" customWidth="1"/>
    <col min="15136" max="15136" width="0.85546875" style="3" customWidth="1"/>
    <col min="15137" max="15141" width="8.28515625" style="3" customWidth="1"/>
    <col min="15142" max="15142" width="0.85546875" style="3" customWidth="1"/>
    <col min="15143" max="15147" width="8.28515625" style="3" customWidth="1"/>
    <col min="15148" max="15148" width="0.85546875" style="3" customWidth="1"/>
    <col min="15149" max="15153" width="8.28515625" style="3" customWidth="1"/>
    <col min="15154" max="15154" width="0.85546875" style="3" customWidth="1"/>
    <col min="15155" max="15159" width="8.28515625" style="3" customWidth="1"/>
    <col min="15160" max="15160" width="0.85546875" style="3" customWidth="1"/>
    <col min="15161" max="15165" width="8.28515625" style="3" customWidth="1"/>
    <col min="15166" max="15166" width="0.85546875" style="3" customWidth="1"/>
    <col min="15167" max="15171" width="8.28515625" style="3" customWidth="1"/>
    <col min="15172" max="15172" width="0.85546875" style="3" customWidth="1"/>
    <col min="15173" max="15177" width="8.28515625" style="3" customWidth="1"/>
    <col min="15178" max="15178" width="0.85546875" style="3" customWidth="1"/>
    <col min="15179" max="15183" width="8.28515625" style="3" customWidth="1"/>
    <col min="15184" max="15184" width="0.85546875" style="3" customWidth="1"/>
    <col min="15185" max="15189" width="8.28515625" style="3" customWidth="1"/>
    <col min="15190" max="15190" width="0.85546875" style="3" customWidth="1"/>
    <col min="15191" max="15195" width="8.28515625" style="3" customWidth="1"/>
    <col min="15196" max="15198" width="9.140625" style="3" customWidth="1"/>
    <col min="15199" max="15199" width="29.7109375" style="3" customWidth="1"/>
    <col min="15200" max="15204" width="9.140625" style="3" customWidth="1"/>
    <col min="15205" max="15360" width="9.140625" style="3"/>
    <col min="15361" max="15361" width="25.7109375" style="3" customWidth="1"/>
    <col min="15362" max="15362" width="0.85546875" style="3" customWidth="1"/>
    <col min="15363" max="15367" width="8.28515625" style="3" customWidth="1"/>
    <col min="15368" max="15368" width="0.85546875" style="3" customWidth="1"/>
    <col min="15369" max="15373" width="8.28515625" style="3" customWidth="1"/>
    <col min="15374" max="15374" width="0.85546875" style="3" customWidth="1"/>
    <col min="15375" max="15379" width="8.28515625" style="3" customWidth="1"/>
    <col min="15380" max="15380" width="0.85546875" style="3" customWidth="1"/>
    <col min="15381" max="15385" width="8.28515625" style="3" customWidth="1"/>
    <col min="15386" max="15386" width="0.85546875" style="3" customWidth="1"/>
    <col min="15387" max="15391" width="8.28515625" style="3" customWidth="1"/>
    <col min="15392" max="15392" width="0.85546875" style="3" customWidth="1"/>
    <col min="15393" max="15397" width="8.28515625" style="3" customWidth="1"/>
    <col min="15398" max="15398" width="0.85546875" style="3" customWidth="1"/>
    <col min="15399" max="15403" width="8.28515625" style="3" customWidth="1"/>
    <col min="15404" max="15404" width="0.85546875" style="3" customWidth="1"/>
    <col min="15405" max="15409" width="8.28515625" style="3" customWidth="1"/>
    <col min="15410" max="15410" width="0.85546875" style="3" customWidth="1"/>
    <col min="15411" max="15415" width="8.28515625" style="3" customWidth="1"/>
    <col min="15416" max="15416" width="0.85546875" style="3" customWidth="1"/>
    <col min="15417" max="15421" width="8.28515625" style="3" customWidth="1"/>
    <col min="15422" max="15422" width="0.85546875" style="3" customWidth="1"/>
    <col min="15423" max="15427" width="8.28515625" style="3" customWidth="1"/>
    <col min="15428" max="15428" width="0.85546875" style="3" customWidth="1"/>
    <col min="15429" max="15433" width="8.28515625" style="3" customWidth="1"/>
    <col min="15434" max="15434" width="0.85546875" style="3" customWidth="1"/>
    <col min="15435" max="15439" width="8.28515625" style="3" customWidth="1"/>
    <col min="15440" max="15440" width="0.85546875" style="3" customWidth="1"/>
    <col min="15441" max="15445" width="8.28515625" style="3" customWidth="1"/>
    <col min="15446" max="15446" width="0.85546875" style="3" customWidth="1"/>
    <col min="15447" max="15451" width="8.28515625" style="3" customWidth="1"/>
    <col min="15452" max="15454" width="9.140625" style="3" customWidth="1"/>
    <col min="15455" max="15455" width="29.7109375" style="3" customWidth="1"/>
    <col min="15456" max="15460" width="9.140625" style="3" customWidth="1"/>
    <col min="15461" max="15616" width="9.140625" style="3"/>
    <col min="15617" max="15617" width="25.7109375" style="3" customWidth="1"/>
    <col min="15618" max="15618" width="0.85546875" style="3" customWidth="1"/>
    <col min="15619" max="15623" width="8.28515625" style="3" customWidth="1"/>
    <col min="15624" max="15624" width="0.85546875" style="3" customWidth="1"/>
    <col min="15625" max="15629" width="8.28515625" style="3" customWidth="1"/>
    <col min="15630" max="15630" width="0.85546875" style="3" customWidth="1"/>
    <col min="15631" max="15635" width="8.28515625" style="3" customWidth="1"/>
    <col min="15636" max="15636" width="0.85546875" style="3" customWidth="1"/>
    <col min="15637" max="15641" width="8.28515625" style="3" customWidth="1"/>
    <col min="15642" max="15642" width="0.85546875" style="3" customWidth="1"/>
    <col min="15643" max="15647" width="8.28515625" style="3" customWidth="1"/>
    <col min="15648" max="15648" width="0.85546875" style="3" customWidth="1"/>
    <col min="15649" max="15653" width="8.28515625" style="3" customWidth="1"/>
    <col min="15654" max="15654" width="0.85546875" style="3" customWidth="1"/>
    <col min="15655" max="15659" width="8.28515625" style="3" customWidth="1"/>
    <col min="15660" max="15660" width="0.85546875" style="3" customWidth="1"/>
    <col min="15661" max="15665" width="8.28515625" style="3" customWidth="1"/>
    <col min="15666" max="15666" width="0.85546875" style="3" customWidth="1"/>
    <col min="15667" max="15671" width="8.28515625" style="3" customWidth="1"/>
    <col min="15672" max="15672" width="0.85546875" style="3" customWidth="1"/>
    <col min="15673" max="15677" width="8.28515625" style="3" customWidth="1"/>
    <col min="15678" max="15678" width="0.85546875" style="3" customWidth="1"/>
    <col min="15679" max="15683" width="8.28515625" style="3" customWidth="1"/>
    <col min="15684" max="15684" width="0.85546875" style="3" customWidth="1"/>
    <col min="15685" max="15689" width="8.28515625" style="3" customWidth="1"/>
    <col min="15690" max="15690" width="0.85546875" style="3" customWidth="1"/>
    <col min="15691" max="15695" width="8.28515625" style="3" customWidth="1"/>
    <col min="15696" max="15696" width="0.85546875" style="3" customWidth="1"/>
    <col min="15697" max="15701" width="8.28515625" style="3" customWidth="1"/>
    <col min="15702" max="15702" width="0.85546875" style="3" customWidth="1"/>
    <col min="15703" max="15707" width="8.28515625" style="3" customWidth="1"/>
    <col min="15708" max="15710" width="9.140625" style="3" customWidth="1"/>
    <col min="15711" max="15711" width="29.7109375" style="3" customWidth="1"/>
    <col min="15712" max="15716" width="9.140625" style="3" customWidth="1"/>
    <col min="15717" max="15872" width="9.140625" style="3"/>
    <col min="15873" max="15873" width="25.7109375" style="3" customWidth="1"/>
    <col min="15874" max="15874" width="0.85546875" style="3" customWidth="1"/>
    <col min="15875" max="15879" width="8.28515625" style="3" customWidth="1"/>
    <col min="15880" max="15880" width="0.85546875" style="3" customWidth="1"/>
    <col min="15881" max="15885" width="8.28515625" style="3" customWidth="1"/>
    <col min="15886" max="15886" width="0.85546875" style="3" customWidth="1"/>
    <col min="15887" max="15891" width="8.28515625" style="3" customWidth="1"/>
    <col min="15892" max="15892" width="0.85546875" style="3" customWidth="1"/>
    <col min="15893" max="15897" width="8.28515625" style="3" customWidth="1"/>
    <col min="15898" max="15898" width="0.85546875" style="3" customWidth="1"/>
    <col min="15899" max="15903" width="8.28515625" style="3" customWidth="1"/>
    <col min="15904" max="15904" width="0.85546875" style="3" customWidth="1"/>
    <col min="15905" max="15909" width="8.28515625" style="3" customWidth="1"/>
    <col min="15910" max="15910" width="0.85546875" style="3" customWidth="1"/>
    <col min="15911" max="15915" width="8.28515625" style="3" customWidth="1"/>
    <col min="15916" max="15916" width="0.85546875" style="3" customWidth="1"/>
    <col min="15917" max="15921" width="8.28515625" style="3" customWidth="1"/>
    <col min="15922" max="15922" width="0.85546875" style="3" customWidth="1"/>
    <col min="15923" max="15927" width="8.28515625" style="3" customWidth="1"/>
    <col min="15928" max="15928" width="0.85546875" style="3" customWidth="1"/>
    <col min="15929" max="15933" width="8.28515625" style="3" customWidth="1"/>
    <col min="15934" max="15934" width="0.85546875" style="3" customWidth="1"/>
    <col min="15935" max="15939" width="8.28515625" style="3" customWidth="1"/>
    <col min="15940" max="15940" width="0.85546875" style="3" customWidth="1"/>
    <col min="15941" max="15945" width="8.28515625" style="3" customWidth="1"/>
    <col min="15946" max="15946" width="0.85546875" style="3" customWidth="1"/>
    <col min="15947" max="15951" width="8.28515625" style="3" customWidth="1"/>
    <col min="15952" max="15952" width="0.85546875" style="3" customWidth="1"/>
    <col min="15953" max="15957" width="8.28515625" style="3" customWidth="1"/>
    <col min="15958" max="15958" width="0.85546875" style="3" customWidth="1"/>
    <col min="15959" max="15963" width="8.28515625" style="3" customWidth="1"/>
    <col min="15964" max="15966" width="9.140625" style="3" customWidth="1"/>
    <col min="15967" max="15967" width="29.7109375" style="3" customWidth="1"/>
    <col min="15968" max="15972" width="9.140625" style="3" customWidth="1"/>
    <col min="15973" max="16128" width="9.140625" style="3"/>
    <col min="16129" max="16129" width="25.7109375" style="3" customWidth="1"/>
    <col min="16130" max="16130" width="0.85546875" style="3" customWidth="1"/>
    <col min="16131" max="16135" width="8.28515625" style="3" customWidth="1"/>
    <col min="16136" max="16136" width="0.85546875" style="3" customWidth="1"/>
    <col min="16137" max="16141" width="8.28515625" style="3" customWidth="1"/>
    <col min="16142" max="16142" width="0.85546875" style="3" customWidth="1"/>
    <col min="16143" max="16147" width="8.28515625" style="3" customWidth="1"/>
    <col min="16148" max="16148" width="0.85546875" style="3" customWidth="1"/>
    <col min="16149" max="16153" width="8.28515625" style="3" customWidth="1"/>
    <col min="16154" max="16154" width="0.85546875" style="3" customWidth="1"/>
    <col min="16155" max="16159" width="8.28515625" style="3" customWidth="1"/>
    <col min="16160" max="16160" width="0.85546875" style="3" customWidth="1"/>
    <col min="16161" max="16165" width="8.28515625" style="3" customWidth="1"/>
    <col min="16166" max="16166" width="0.85546875" style="3" customWidth="1"/>
    <col min="16167" max="16171" width="8.28515625" style="3" customWidth="1"/>
    <col min="16172" max="16172" width="0.85546875" style="3" customWidth="1"/>
    <col min="16173" max="16177" width="8.28515625" style="3" customWidth="1"/>
    <col min="16178" max="16178" width="0.85546875" style="3" customWidth="1"/>
    <col min="16179" max="16183" width="8.28515625" style="3" customWidth="1"/>
    <col min="16184" max="16184" width="0.85546875" style="3" customWidth="1"/>
    <col min="16185" max="16189" width="8.28515625" style="3" customWidth="1"/>
    <col min="16190" max="16190" width="0.85546875" style="3" customWidth="1"/>
    <col min="16191" max="16195" width="8.28515625" style="3" customWidth="1"/>
    <col min="16196" max="16196" width="0.85546875" style="3" customWidth="1"/>
    <col min="16197" max="16201" width="8.28515625" style="3" customWidth="1"/>
    <col min="16202" max="16202" width="0.85546875" style="3" customWidth="1"/>
    <col min="16203" max="16207" width="8.28515625" style="3" customWidth="1"/>
    <col min="16208" max="16208" width="0.85546875" style="3" customWidth="1"/>
    <col min="16209" max="16213" width="8.28515625" style="3" customWidth="1"/>
    <col min="16214" max="16214" width="0.85546875" style="3" customWidth="1"/>
    <col min="16215" max="16219" width="8.28515625" style="3" customWidth="1"/>
    <col min="16220" max="16222" width="9.140625" style="3" customWidth="1"/>
    <col min="16223" max="16223" width="29.7109375" style="3" customWidth="1"/>
    <col min="16224" max="16228" width="9.140625" style="3" customWidth="1"/>
    <col min="16229" max="16384" width="9.140625" style="3"/>
  </cols>
  <sheetData>
    <row r="1" spans="1:101" x14ac:dyDescent="0.2">
      <c r="A1" s="2" t="str">
        <f>IS!A1</f>
        <v>Becton Dickinson</v>
      </c>
      <c r="B1" s="54"/>
      <c r="BV1" s="11"/>
      <c r="CB1" s="11"/>
      <c r="CH1" s="11"/>
    </row>
    <row r="2" spans="1:101" x14ac:dyDescent="0.2">
      <c r="A2" s="4" t="s">
        <v>214</v>
      </c>
      <c r="B2" s="351"/>
      <c r="C2" s="5"/>
      <c r="D2" s="5"/>
      <c r="E2" s="5"/>
      <c r="F2" s="5"/>
      <c r="G2" s="5"/>
      <c r="H2" s="5"/>
      <c r="I2" s="5"/>
      <c r="J2" s="5"/>
      <c r="K2" s="5"/>
      <c r="L2" s="5"/>
      <c r="M2" s="5"/>
      <c r="N2" s="5"/>
      <c r="O2" s="5"/>
      <c r="P2" s="5"/>
      <c r="Q2" s="5"/>
      <c r="R2" s="5"/>
      <c r="S2" s="5"/>
      <c r="T2" s="5"/>
      <c r="U2" s="5"/>
      <c r="V2" s="5"/>
      <c r="W2" s="5"/>
      <c r="X2" s="5"/>
      <c r="Y2" s="5"/>
      <c r="Z2" s="5"/>
      <c r="AA2" s="5"/>
      <c r="AB2" s="6"/>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row>
    <row r="3" spans="1:101" x14ac:dyDescent="0.2">
      <c r="A3" s="8" t="s">
        <v>0</v>
      </c>
      <c r="B3" s="354"/>
      <c r="C3" s="11"/>
      <c r="D3" s="11"/>
      <c r="E3" s="11"/>
      <c r="F3" s="11"/>
      <c r="G3" s="11"/>
      <c r="I3" s="11"/>
      <c r="J3" s="11"/>
      <c r="K3" s="11"/>
      <c r="L3" s="11"/>
      <c r="M3" s="11"/>
      <c r="O3" s="11"/>
      <c r="P3" s="11"/>
      <c r="Q3" s="11"/>
      <c r="R3" s="11"/>
      <c r="S3" s="11"/>
      <c r="U3" s="11"/>
      <c r="V3" s="11"/>
      <c r="W3" s="11"/>
      <c r="X3" s="11"/>
      <c r="Y3" s="11"/>
      <c r="AA3" s="11"/>
      <c r="AB3" s="11"/>
      <c r="AC3" s="11"/>
      <c r="AD3" s="11"/>
      <c r="AE3" s="11"/>
      <c r="AG3" s="11"/>
      <c r="AH3" s="11"/>
      <c r="AI3" s="11"/>
      <c r="AJ3" s="11"/>
      <c r="AK3" s="11"/>
      <c r="AM3" s="11"/>
      <c r="AN3" s="11"/>
      <c r="AO3" s="11"/>
      <c r="AP3" s="11"/>
      <c r="BA3" s="501"/>
      <c r="BV3" s="11"/>
      <c r="CB3" s="11"/>
      <c r="CH3" s="11"/>
    </row>
    <row r="4" spans="1:101" x14ac:dyDescent="0.2">
      <c r="A4" s="8" t="s">
        <v>1</v>
      </c>
      <c r="B4" s="354"/>
      <c r="C4" s="11"/>
      <c r="D4" s="11"/>
      <c r="E4" s="11"/>
      <c r="F4" s="11"/>
      <c r="G4" s="11"/>
      <c r="I4" s="11"/>
      <c r="J4" s="11"/>
      <c r="K4" s="11"/>
      <c r="L4" s="11"/>
      <c r="M4" s="11"/>
      <c r="O4" s="11"/>
      <c r="P4" s="11"/>
      <c r="Q4" s="11"/>
      <c r="R4" s="11"/>
      <c r="S4" s="11"/>
      <c r="U4" s="11"/>
      <c r="V4" s="11"/>
      <c r="W4" s="11"/>
      <c r="X4" s="11"/>
      <c r="Y4" s="11"/>
      <c r="AA4" s="11"/>
      <c r="AB4" s="11"/>
      <c r="AC4" s="11"/>
      <c r="AD4" s="11"/>
      <c r="AE4" s="11"/>
      <c r="AG4" s="11"/>
      <c r="AH4" s="11"/>
      <c r="AI4" s="11"/>
      <c r="AJ4" s="11"/>
      <c r="AK4" s="11"/>
      <c r="AM4" s="11"/>
      <c r="AN4" s="11"/>
      <c r="AO4" s="11"/>
      <c r="AP4" s="11"/>
      <c r="AQ4" s="11"/>
      <c r="BV4" s="11"/>
      <c r="CB4" s="11"/>
      <c r="CH4" s="11"/>
    </row>
    <row r="5" spans="1:101" x14ac:dyDescent="0.2">
      <c r="A5" s="10"/>
      <c r="B5" s="16"/>
      <c r="C5" s="12">
        <f>IS!C5</f>
        <v>2007</v>
      </c>
      <c r="D5" s="13"/>
      <c r="E5" s="13"/>
      <c r="F5" s="13"/>
      <c r="G5" s="14">
        <f>IS!G5</f>
        <v>2007</v>
      </c>
      <c r="H5" s="15"/>
      <c r="I5" s="12">
        <f>IS!I5</f>
        <v>2008</v>
      </c>
      <c r="J5" s="13"/>
      <c r="K5" s="13"/>
      <c r="L5" s="13"/>
      <c r="M5" s="14">
        <f>IS!M5</f>
        <v>2008</v>
      </c>
      <c r="N5" s="16"/>
      <c r="O5" s="12">
        <f>IS!O5</f>
        <v>2009</v>
      </c>
      <c r="P5" s="13"/>
      <c r="Q5" s="13"/>
      <c r="R5" s="13"/>
      <c r="S5" s="14">
        <f>IS!S5</f>
        <v>2009</v>
      </c>
      <c r="T5" s="16"/>
      <c r="U5" s="12">
        <f>IS!U5</f>
        <v>2010</v>
      </c>
      <c r="V5" s="13"/>
      <c r="W5" s="13"/>
      <c r="X5" s="13"/>
      <c r="Y5" s="14">
        <f>IS!Y5</f>
        <v>2010</v>
      </c>
      <c r="Z5" s="16"/>
      <c r="AA5" s="12">
        <f>IS!AA5</f>
        <v>2011</v>
      </c>
      <c r="AB5" s="13"/>
      <c r="AC5" s="13"/>
      <c r="AD5" s="13"/>
      <c r="AE5" s="14">
        <f>IS!AE5</f>
        <v>2011</v>
      </c>
      <c r="AF5" s="16"/>
      <c r="AG5" s="12">
        <f>IS!AG5</f>
        <v>2012</v>
      </c>
      <c r="AH5" s="13"/>
      <c r="AI5" s="13"/>
      <c r="AJ5" s="13"/>
      <c r="AK5" s="14">
        <f>IS!AK5</f>
        <v>2012</v>
      </c>
      <c r="AL5" s="16"/>
      <c r="AM5" s="12">
        <f>IS!AM5</f>
        <v>2013</v>
      </c>
      <c r="AN5" s="13"/>
      <c r="AO5" s="13"/>
      <c r="AP5" s="13"/>
      <c r="AQ5" s="14">
        <f>IS!AQ5</f>
        <v>2013</v>
      </c>
      <c r="AR5" s="16"/>
      <c r="AS5" s="12">
        <f>IS!AS5</f>
        <v>2014</v>
      </c>
      <c r="AT5" s="13"/>
      <c r="AU5" s="13"/>
      <c r="AV5" s="13"/>
      <c r="AW5" s="14">
        <f>IS!AW5</f>
        <v>2014</v>
      </c>
      <c r="AX5" s="16"/>
      <c r="AY5" s="12">
        <f>IS!AY5</f>
        <v>2015</v>
      </c>
      <c r="AZ5" s="13"/>
      <c r="BA5" s="13"/>
      <c r="BB5" s="13"/>
      <c r="BC5" s="14">
        <f>IS!BC5</f>
        <v>2015</v>
      </c>
      <c r="BD5" s="16"/>
      <c r="BE5" s="12">
        <f>IS!BE5</f>
        <v>2016</v>
      </c>
      <c r="BF5" s="13"/>
      <c r="BG5" s="13"/>
      <c r="BH5" s="13"/>
      <c r="BI5" s="14">
        <f>IS!BI5</f>
        <v>2016</v>
      </c>
      <c r="BJ5" s="16"/>
      <c r="BK5" s="12">
        <f>IS!BK5</f>
        <v>2017</v>
      </c>
      <c r="BL5" s="13"/>
      <c r="BM5" s="13"/>
      <c r="BN5" s="13"/>
      <c r="BO5" s="14">
        <f>IS!BO5</f>
        <v>2017</v>
      </c>
      <c r="BP5" s="16"/>
      <c r="BQ5" s="17">
        <f>IS!BQ5</f>
        <v>2018</v>
      </c>
      <c r="BR5" s="13"/>
      <c r="BS5" s="13"/>
      <c r="BT5" s="13"/>
      <c r="BU5" s="18">
        <f>IS!BU5</f>
        <v>2018</v>
      </c>
      <c r="BV5" s="16"/>
      <c r="BW5" s="17">
        <f>IS!BW5</f>
        <v>2019</v>
      </c>
      <c r="BX5" s="13"/>
      <c r="BY5" s="13"/>
      <c r="BZ5" s="13"/>
      <c r="CA5" s="18">
        <f>IS!CA5</f>
        <v>2019</v>
      </c>
      <c r="CB5" s="16"/>
      <c r="CC5" s="17">
        <f>IS!CC5</f>
        <v>2020</v>
      </c>
      <c r="CD5" s="13"/>
      <c r="CE5" s="13"/>
      <c r="CF5" s="13"/>
      <c r="CG5" s="18">
        <f>IS!CG5</f>
        <v>2020</v>
      </c>
      <c r="CH5" s="16"/>
      <c r="CI5" s="17">
        <f>IS!CI5</f>
        <v>2021</v>
      </c>
      <c r="CJ5" s="13"/>
      <c r="CK5" s="13"/>
      <c r="CL5" s="13"/>
      <c r="CM5" s="18">
        <f>IS!CM5</f>
        <v>2021</v>
      </c>
    </row>
    <row r="6" spans="1:101" x14ac:dyDescent="0.2">
      <c r="A6" s="10"/>
      <c r="B6" s="16"/>
      <c r="C6" s="19">
        <f>IS!C6</f>
        <v>39082</v>
      </c>
      <c r="D6" s="19">
        <f>IS!D6</f>
        <v>39172</v>
      </c>
      <c r="E6" s="19">
        <f>IS!E6</f>
        <v>39263</v>
      </c>
      <c r="F6" s="19">
        <f>IS!F6</f>
        <v>39355</v>
      </c>
      <c r="G6" s="15"/>
      <c r="H6" s="15"/>
      <c r="I6" s="19">
        <f>IS!I6</f>
        <v>39447</v>
      </c>
      <c r="J6" s="19">
        <f>IS!J6</f>
        <v>39538</v>
      </c>
      <c r="K6" s="19">
        <f>IS!K6</f>
        <v>39629</v>
      </c>
      <c r="L6" s="19">
        <f>IS!L6</f>
        <v>39721</v>
      </c>
      <c r="M6" s="15"/>
      <c r="N6" s="16"/>
      <c r="O6" s="19">
        <f>IS!O6</f>
        <v>39813</v>
      </c>
      <c r="P6" s="19">
        <f>IS!P6</f>
        <v>39903</v>
      </c>
      <c r="Q6" s="19">
        <f>IS!Q6</f>
        <v>39994</v>
      </c>
      <c r="R6" s="19">
        <f>IS!R6</f>
        <v>40086</v>
      </c>
      <c r="S6" s="15"/>
      <c r="T6" s="16"/>
      <c r="U6" s="19">
        <f>IS!U6</f>
        <v>40178</v>
      </c>
      <c r="V6" s="19">
        <f>IS!V6</f>
        <v>40268</v>
      </c>
      <c r="W6" s="19">
        <f>IS!W6</f>
        <v>40359</v>
      </c>
      <c r="X6" s="19">
        <f>IS!X6</f>
        <v>40451</v>
      </c>
      <c r="Y6" s="15"/>
      <c r="Z6" s="16"/>
      <c r="AA6" s="19">
        <f>IS!AA6</f>
        <v>40543</v>
      </c>
      <c r="AB6" s="19">
        <f>IS!AB6</f>
        <v>40633</v>
      </c>
      <c r="AC6" s="19">
        <f>IS!AC6</f>
        <v>40724</v>
      </c>
      <c r="AD6" s="19">
        <f>IS!AD6</f>
        <v>40816</v>
      </c>
      <c r="AE6" s="15"/>
      <c r="AF6" s="16"/>
      <c r="AG6" s="19">
        <f>IS!AG6</f>
        <v>40908</v>
      </c>
      <c r="AH6" s="19">
        <f>IS!AH6</f>
        <v>40999</v>
      </c>
      <c r="AI6" s="19">
        <f>IS!AI6</f>
        <v>41090</v>
      </c>
      <c r="AJ6" s="19">
        <f>IS!AJ6</f>
        <v>41182</v>
      </c>
      <c r="AK6" s="15"/>
      <c r="AL6" s="16"/>
      <c r="AM6" s="19">
        <f>IS!AM6</f>
        <v>41274</v>
      </c>
      <c r="AN6" s="19">
        <f>IS!AN6</f>
        <v>41364</v>
      </c>
      <c r="AO6" s="19">
        <f>IS!AO6</f>
        <v>41455</v>
      </c>
      <c r="AP6" s="19">
        <f>IS!AP6</f>
        <v>41547</v>
      </c>
      <c r="AQ6" s="15"/>
      <c r="AR6" s="16"/>
      <c r="AS6" s="19">
        <f>IS!AS6</f>
        <v>41639</v>
      </c>
      <c r="AT6" s="19">
        <f>IS!AT6</f>
        <v>41729</v>
      </c>
      <c r="AU6" s="19">
        <f>IS!AU6</f>
        <v>41820</v>
      </c>
      <c r="AV6" s="19">
        <f>IS!AV6</f>
        <v>41912</v>
      </c>
      <c r="AW6" s="15"/>
      <c r="AX6" s="16"/>
      <c r="AY6" s="20">
        <f>IS!AY6</f>
        <v>42004</v>
      </c>
      <c r="AZ6" s="20">
        <f>IS!AZ6</f>
        <v>42094</v>
      </c>
      <c r="BA6" s="20">
        <f>IS!BA6</f>
        <v>42185</v>
      </c>
      <c r="BB6" s="20">
        <f>IS!BB6</f>
        <v>42277</v>
      </c>
      <c r="BC6" s="15"/>
      <c r="BD6" s="16"/>
      <c r="BE6" s="20">
        <f>IS!BE6</f>
        <v>42369</v>
      </c>
      <c r="BF6" s="20">
        <f>IS!BF6</f>
        <v>42460</v>
      </c>
      <c r="BG6" s="20">
        <f>IS!BG6</f>
        <v>42551</v>
      </c>
      <c r="BH6" s="20">
        <f>IS!BH6</f>
        <v>42643</v>
      </c>
      <c r="BI6" s="15"/>
      <c r="BJ6" s="16"/>
      <c r="BK6" s="20">
        <f>IS!BK6</f>
        <v>42735</v>
      </c>
      <c r="BL6" s="20">
        <f>IS!BL6</f>
        <v>42825</v>
      </c>
      <c r="BM6" s="20">
        <f>IS!BM6</f>
        <v>42916</v>
      </c>
      <c r="BN6" s="20">
        <f>IS!BN6</f>
        <v>43008</v>
      </c>
      <c r="BO6" s="15"/>
      <c r="BP6" s="16"/>
      <c r="BQ6" s="20">
        <f>IS!BQ6</f>
        <v>43100</v>
      </c>
      <c r="BR6" s="21">
        <f>IS!BR6</f>
        <v>43190</v>
      </c>
      <c r="BS6" s="21">
        <f>IS!BS6</f>
        <v>43281</v>
      </c>
      <c r="BT6" s="21">
        <f>IS!BT6</f>
        <v>43373</v>
      </c>
      <c r="BU6" s="15"/>
      <c r="BV6" s="16"/>
      <c r="BW6" s="21">
        <f>IS!BW6</f>
        <v>43465</v>
      </c>
      <c r="BX6" s="21">
        <f>IS!BX6</f>
        <v>43555</v>
      </c>
      <c r="BY6" s="21">
        <f>IS!BY6</f>
        <v>43646</v>
      </c>
      <c r="BZ6" s="21">
        <f>IS!BZ6</f>
        <v>43738</v>
      </c>
      <c r="CA6" s="15"/>
      <c r="CB6" s="16"/>
      <c r="CC6" s="21">
        <f>IS!CC6</f>
        <v>43830</v>
      </c>
      <c r="CD6" s="21">
        <f>IS!CD6</f>
        <v>43921</v>
      </c>
      <c r="CE6" s="21">
        <f>IS!CE6</f>
        <v>44012</v>
      </c>
      <c r="CF6" s="21">
        <f>IS!CF6</f>
        <v>44104</v>
      </c>
      <c r="CG6" s="15"/>
      <c r="CH6" s="16"/>
      <c r="CI6" s="21">
        <f>IS!CI6</f>
        <v>44196</v>
      </c>
      <c r="CJ6" s="21">
        <f>IS!CJ6</f>
        <v>44286</v>
      </c>
      <c r="CK6" s="21">
        <f>IS!CK6</f>
        <v>44377</v>
      </c>
      <c r="CL6" s="21">
        <f>IS!CL6</f>
        <v>44469</v>
      </c>
      <c r="CM6" s="15"/>
      <c r="CW6" s="289"/>
    </row>
    <row r="7" spans="1:101" x14ac:dyDescent="0.2">
      <c r="A7" s="502" t="s">
        <v>215</v>
      </c>
      <c r="B7" s="503"/>
      <c r="C7" s="504"/>
      <c r="D7" s="505"/>
      <c r="E7" s="505"/>
      <c r="F7" s="506"/>
      <c r="G7" s="507"/>
      <c r="H7" s="505"/>
      <c r="I7" s="504"/>
      <c r="J7" s="685"/>
      <c r="K7" s="685"/>
      <c r="L7" s="686"/>
      <c r="M7" s="508"/>
      <c r="N7" s="685"/>
      <c r="O7" s="684"/>
      <c r="P7" s="685"/>
      <c r="Q7" s="685"/>
      <c r="R7" s="686"/>
      <c r="S7" s="508"/>
      <c r="T7" s="685"/>
      <c r="U7" s="684"/>
      <c r="V7" s="685"/>
      <c r="W7" s="685"/>
      <c r="X7" s="686"/>
      <c r="Y7" s="508"/>
      <c r="Z7" s="685"/>
      <c r="AA7" s="684"/>
      <c r="AB7" s="685"/>
      <c r="AC7" s="685"/>
      <c r="AD7" s="686"/>
      <c r="AE7" s="508"/>
      <c r="AF7" s="685"/>
      <c r="AG7" s="684"/>
      <c r="AH7" s="685"/>
      <c r="AI7" s="685"/>
      <c r="AJ7" s="686"/>
      <c r="AK7" s="508"/>
      <c r="AL7" s="685"/>
      <c r="AM7" s="684"/>
      <c r="AN7" s="685"/>
      <c r="AO7" s="685"/>
      <c r="AP7" s="686"/>
      <c r="AQ7" s="508"/>
      <c r="AR7" s="685"/>
      <c r="AS7" s="684"/>
      <c r="AT7" s="685"/>
      <c r="AU7" s="685"/>
      <c r="AV7" s="686"/>
      <c r="AW7" s="509"/>
      <c r="AX7" s="685"/>
      <c r="AY7" s="684"/>
      <c r="AZ7" s="685"/>
      <c r="BA7" s="685"/>
      <c r="BB7" s="686"/>
      <c r="BC7" s="508"/>
      <c r="BD7" s="685"/>
      <c r="BE7" s="684"/>
      <c r="BF7" s="685"/>
      <c r="BG7" s="685"/>
      <c r="BH7" s="686"/>
      <c r="BI7" s="508"/>
      <c r="BJ7" s="685"/>
      <c r="BK7" s="684"/>
      <c r="BL7" s="685"/>
      <c r="BM7" s="685"/>
      <c r="BN7" s="686"/>
      <c r="BO7" s="508"/>
      <c r="BP7" s="685"/>
      <c r="BQ7" s="684"/>
      <c r="BR7" s="685"/>
      <c r="BS7" s="685"/>
      <c r="BT7" s="686"/>
      <c r="BU7" s="508"/>
      <c r="BV7" s="685"/>
      <c r="BW7" s="684"/>
      <c r="BX7" s="685"/>
      <c r="BY7" s="685"/>
      <c r="BZ7" s="686"/>
      <c r="CA7" s="508"/>
      <c r="CB7" s="685"/>
      <c r="CC7" s="684"/>
      <c r="CD7" s="685"/>
      <c r="CE7" s="685"/>
      <c r="CF7" s="686"/>
      <c r="CG7" s="508"/>
      <c r="CH7" s="685"/>
      <c r="CI7" s="684"/>
      <c r="CJ7" s="685"/>
      <c r="CK7" s="685"/>
      <c r="CL7" s="686"/>
      <c r="CM7" s="508"/>
    </row>
    <row r="8" spans="1:101" s="61" customFormat="1" x14ac:dyDescent="0.2">
      <c r="A8" s="432" t="s">
        <v>90</v>
      </c>
      <c r="C8" s="104">
        <v>142.87899999999999</v>
      </c>
      <c r="D8" s="105">
        <f>385.412-C8</f>
        <v>242.53299999999999</v>
      </c>
      <c r="E8" s="105">
        <f>630.221-C8-D8</f>
        <v>244.809</v>
      </c>
      <c r="F8" s="106">
        <f>890.033-C8-D8-E8</f>
        <v>259.81200000000001</v>
      </c>
      <c r="G8" s="93">
        <f>SUM(C8:F8)</f>
        <v>890.03300000000002</v>
      </c>
      <c r="H8" s="92"/>
      <c r="I8" s="104">
        <v>271.548</v>
      </c>
      <c r="J8" s="105">
        <f>547.732-I8</f>
        <v>276.18399999999997</v>
      </c>
      <c r="K8" s="105">
        <f>844.821-I8-J8</f>
        <v>297.08900000000006</v>
      </c>
      <c r="L8" s="106">
        <f>1126.996-I8-J8-K8</f>
        <v>282.17500000000007</v>
      </c>
      <c r="M8" s="93">
        <f>SUM(I8:L8)</f>
        <v>1126.9960000000001</v>
      </c>
      <c r="N8" s="92"/>
      <c r="O8" s="104">
        <v>312.08199999999999</v>
      </c>
      <c r="P8" s="105">
        <f>573.356-O8</f>
        <v>261.274</v>
      </c>
      <c r="Q8" s="105">
        <f>914.383-O8-P8</f>
        <v>341.02700000000004</v>
      </c>
      <c r="R8" s="106">
        <f>1231.603-O8-P8-Q8</f>
        <v>317.22000000000003</v>
      </c>
      <c r="S8" s="93">
        <f>SUM(O8:R8)</f>
        <v>1231.6030000000001</v>
      </c>
      <c r="T8" s="92"/>
      <c r="U8" s="104">
        <v>316.37599999999998</v>
      </c>
      <c r="V8" s="105">
        <f>614.007-U8</f>
        <v>297.63099999999997</v>
      </c>
      <c r="W8" s="105">
        <f>920.915-U8-V8</f>
        <v>306.90800000000002</v>
      </c>
      <c r="X8" s="106">
        <f>1317.61-U8-V8-W8</f>
        <v>396.69499999999994</v>
      </c>
      <c r="Y8" s="93">
        <f>SUM(U8:X8)</f>
        <v>1317.61</v>
      </c>
      <c r="Z8" s="92"/>
      <c r="AA8" s="104">
        <v>315.93700000000001</v>
      </c>
      <c r="AB8" s="105">
        <f>627.956-AA8</f>
        <v>312.01900000000001</v>
      </c>
      <c r="AC8" s="105">
        <f>971.015-AB8-AA8</f>
        <v>343.05899999999997</v>
      </c>
      <c r="AD8" s="99">
        <f>AE8-AC8-AB8-AA8</f>
        <v>299.97899999999993</v>
      </c>
      <c r="AE8" s="161">
        <v>1270.9939999999999</v>
      </c>
      <c r="AF8" s="92"/>
      <c r="AG8" s="104">
        <v>262.98500000000001</v>
      </c>
      <c r="AH8" s="105">
        <f>554.019-AG8</f>
        <v>291.03399999999999</v>
      </c>
      <c r="AI8" s="105">
        <f>880.884-AH8-AG8</f>
        <v>326.86500000000001</v>
      </c>
      <c r="AJ8" s="99">
        <f>AK8-AI8-AH8-AG8</f>
        <v>289.04299999999989</v>
      </c>
      <c r="AK8" s="161">
        <v>1169.9269999999999</v>
      </c>
      <c r="AL8" s="92"/>
      <c r="AM8" s="104">
        <v>625.43600000000004</v>
      </c>
      <c r="AN8" s="105">
        <f>901.073-AM8</f>
        <v>275.63699999999994</v>
      </c>
      <c r="AO8" s="105">
        <f>1202.623-AN8-AM8</f>
        <v>301.55000000000007</v>
      </c>
      <c r="AP8" s="99">
        <f>AQ8-AO8-AN8-AM8</f>
        <v>90.376999999999953</v>
      </c>
      <c r="AQ8" s="161">
        <v>1293</v>
      </c>
      <c r="AR8" s="92"/>
      <c r="AS8" s="104">
        <v>271</v>
      </c>
      <c r="AT8" s="105">
        <f>558-AS8</f>
        <v>287</v>
      </c>
      <c r="AU8" s="105">
        <f>884-AT8-AS8</f>
        <v>326</v>
      </c>
      <c r="AV8" s="106">
        <f>1185-AS8-AT8-AU8</f>
        <v>301</v>
      </c>
      <c r="AW8" s="93">
        <f>SUM(AS8:AV8)</f>
        <v>1185</v>
      </c>
      <c r="AX8" s="92"/>
      <c r="AY8" s="95">
        <v>236</v>
      </c>
      <c r="AZ8" s="96">
        <f>452-AY8</f>
        <v>216</v>
      </c>
      <c r="BA8" s="96">
        <f>514-AZ8-AY8</f>
        <v>62</v>
      </c>
      <c r="BB8" s="97">
        <f>695-SUM(AY8:BA8)</f>
        <v>181</v>
      </c>
      <c r="BC8" s="93">
        <f>SUM(AY8:BB8)</f>
        <v>695</v>
      </c>
      <c r="BD8" s="92"/>
      <c r="BE8" s="95">
        <v>229</v>
      </c>
      <c r="BF8" s="96">
        <f>567-BE8</f>
        <v>338</v>
      </c>
      <c r="BG8" s="96">
        <f>958-SUM(BE8:BF8)</f>
        <v>391</v>
      </c>
      <c r="BH8" s="97">
        <f>976-SUM(BE8:BG8)</f>
        <v>18</v>
      </c>
      <c r="BI8" s="93">
        <f>SUM(BE8:BH8)</f>
        <v>976</v>
      </c>
      <c r="BJ8" s="92"/>
      <c r="BK8" s="95">
        <v>562</v>
      </c>
      <c r="BL8" s="96">
        <f>905-BK8</f>
        <v>343</v>
      </c>
      <c r="BM8" s="96">
        <f>773-SUM(BK8:BL8)</f>
        <v>-132</v>
      </c>
      <c r="BN8" s="97">
        <f>1100-SUM(BK8:BM8)</f>
        <v>327</v>
      </c>
      <c r="BO8" s="93">
        <f>SUM(BK8:BN8)</f>
        <v>1100</v>
      </c>
      <c r="BP8" s="92"/>
      <c r="BQ8" s="95">
        <v>-136</v>
      </c>
      <c r="BR8" s="89">
        <f>IS!BR99</f>
        <v>300.4825453796069</v>
      </c>
      <c r="BS8" s="89">
        <f>IS!BS99</f>
        <v>449.55437310240347</v>
      </c>
      <c r="BT8" s="90">
        <f>IS!BT99</f>
        <v>482.33267967987729</v>
      </c>
      <c r="BU8" s="93">
        <f>IS!BU99</f>
        <v>1096.3695981618876</v>
      </c>
      <c r="BV8" s="92"/>
      <c r="BW8" s="88">
        <f>IS!BW99</f>
        <v>501.26873652625147</v>
      </c>
      <c r="BX8" s="89">
        <f>IS!BX99</f>
        <v>537.41195148568602</v>
      </c>
      <c r="BY8" s="89">
        <f>IS!BY99</f>
        <v>575.84079674061275</v>
      </c>
      <c r="BZ8" s="90">
        <f>IS!BZ99</f>
        <v>564.94242098180405</v>
      </c>
      <c r="CA8" s="93">
        <f>IS!CA99</f>
        <v>2179.4639057343543</v>
      </c>
      <c r="CB8" s="92"/>
      <c r="CC8" s="88">
        <f>IS!CC99</f>
        <v>686.15054263203672</v>
      </c>
      <c r="CD8" s="89">
        <f>IS!CD99</f>
        <v>746.10940237796979</v>
      </c>
      <c r="CE8" s="89">
        <f>IS!CE99</f>
        <v>813.22989654858839</v>
      </c>
      <c r="CF8" s="90">
        <f>IS!CF99</f>
        <v>829.294814856024</v>
      </c>
      <c r="CG8" s="93">
        <f>IS!CG99</f>
        <v>3074.7846564146184</v>
      </c>
      <c r="CH8" s="92"/>
      <c r="CI8" s="88">
        <f>IS!CI99</f>
        <v>884.35875941663301</v>
      </c>
      <c r="CJ8" s="89">
        <f>IS!CJ99</f>
        <v>896.03284327629365</v>
      </c>
      <c r="CK8" s="89">
        <f>IS!CK99</f>
        <v>992.36874728835926</v>
      </c>
      <c r="CL8" s="90">
        <f>IS!CL99</f>
        <v>1011.4730493590276</v>
      </c>
      <c r="CM8" s="93">
        <f>IS!CM99</f>
        <v>3784.2333993403131</v>
      </c>
      <c r="CQ8"/>
      <c r="CR8"/>
      <c r="CS8"/>
      <c r="CT8"/>
      <c r="CU8"/>
      <c r="CV8"/>
    </row>
    <row r="9" spans="1:101" s="61" customFormat="1" hidden="1" outlineLevel="1" x14ac:dyDescent="0.2">
      <c r="A9" s="432" t="s">
        <v>216</v>
      </c>
      <c r="C9" s="104">
        <v>-11.827999999999999</v>
      </c>
      <c r="D9" s="105">
        <f>-18.822-C9</f>
        <v>-6.9939999999999998</v>
      </c>
      <c r="E9" s="105">
        <f>-23.162-C9-D9</f>
        <v>-4.34</v>
      </c>
      <c r="F9" s="106">
        <f>-33.866-C9-D9-E9</f>
        <v>-10.704000000000001</v>
      </c>
      <c r="G9" s="93">
        <f>SUM(C9:F9)</f>
        <v>-33.866</v>
      </c>
      <c r="H9" s="92"/>
      <c r="I9" s="104">
        <v>-0.65200000000000002</v>
      </c>
      <c r="J9" s="105">
        <f>-1.201-I9</f>
        <v>-0.54900000000000004</v>
      </c>
      <c r="K9" s="105">
        <f>-0.88-I9-J9</f>
        <v>0.32100000000000006</v>
      </c>
      <c r="L9" s="106">
        <f>0.922-I9-J9-K9</f>
        <v>1.802</v>
      </c>
      <c r="M9" s="93">
        <f>SUM(I9:L9)</f>
        <v>0.92200000000000004</v>
      </c>
      <c r="N9" s="92"/>
      <c r="O9" s="104">
        <v>-1.4E-2</v>
      </c>
      <c r="P9" s="105">
        <f>0.04-O9</f>
        <v>5.3999999999999999E-2</v>
      </c>
      <c r="Q9" s="105">
        <f>-7.086-O9-P9</f>
        <v>-7.1260000000000003</v>
      </c>
      <c r="R9" s="106">
        <f>-18.549-O9-P9-Q9</f>
        <v>-11.462999999999997</v>
      </c>
      <c r="S9" s="93">
        <f>SUM(O9:R9)</f>
        <v>-18.548999999999999</v>
      </c>
      <c r="T9" s="92"/>
      <c r="U9" s="104">
        <v>-0.39800000000000002</v>
      </c>
      <c r="V9" s="105">
        <f>-0.304-U9</f>
        <v>9.4000000000000028E-2</v>
      </c>
      <c r="W9" s="105">
        <f>-0.929-U9-V9</f>
        <v>-0.625</v>
      </c>
      <c r="X9" s="106">
        <f>-141.27-U9-V9-W9</f>
        <v>-140.34100000000001</v>
      </c>
      <c r="Y9" s="93">
        <f>SUM(U9:X9)</f>
        <v>-141.27000000000001</v>
      </c>
      <c r="Z9" s="92"/>
      <c r="AA9" s="104">
        <v>-1.661</v>
      </c>
      <c r="AB9" s="105">
        <f>-2.617-AA9</f>
        <v>-0.95599999999999996</v>
      </c>
      <c r="AC9" s="105">
        <f>-7.566-AB9-AA9</f>
        <v>-4.9489999999999998</v>
      </c>
      <c r="AD9" s="99">
        <f>AE9-AC9-AB9-AA9</f>
        <v>1.4239999999999995</v>
      </c>
      <c r="AE9" s="161">
        <v>-6.1420000000000003</v>
      </c>
      <c r="AF9" s="92"/>
      <c r="AG9" s="104">
        <v>2.5000000000000001E-2</v>
      </c>
      <c r="AH9" s="105">
        <f>-0.46-AG9</f>
        <v>-0.48500000000000004</v>
      </c>
      <c r="AI9" s="105">
        <f>-45.635-AH9-AG9</f>
        <v>-45.174999999999997</v>
      </c>
      <c r="AJ9" s="99">
        <f>AK9-AI9-AH9-AG9</f>
        <v>-14.764000000000005</v>
      </c>
      <c r="AK9" s="161">
        <v>-60.399000000000001</v>
      </c>
      <c r="AL9" s="92"/>
      <c r="AM9" s="104">
        <v>-355.18700000000001</v>
      </c>
      <c r="AN9" s="105">
        <f>-354.703-AM9</f>
        <v>0.48400000000003729</v>
      </c>
      <c r="AO9" s="105">
        <f>-364.375-AN9-AM9</f>
        <v>-9.6720000000000255</v>
      </c>
      <c r="AP9" s="99">
        <f>AQ9-AO9-AN9-AM9</f>
        <v>0.375</v>
      </c>
      <c r="AQ9" s="161">
        <v>-364</v>
      </c>
      <c r="AR9" s="92"/>
      <c r="AS9" s="104">
        <v>0</v>
      </c>
      <c r="AT9" s="105">
        <f>0-AS9</f>
        <v>0</v>
      </c>
      <c r="AU9" s="105">
        <f>0-AT9-AS9</f>
        <v>0</v>
      </c>
      <c r="AV9" s="99">
        <f>0-AS9-AT9-AU9</f>
        <v>0</v>
      </c>
      <c r="AW9" s="93">
        <f>SUM(AS9:AV9)</f>
        <v>0</v>
      </c>
      <c r="AX9" s="92"/>
      <c r="AY9" s="95">
        <v>0</v>
      </c>
      <c r="AZ9" s="96">
        <v>0</v>
      </c>
      <c r="BA9" s="96">
        <v>0</v>
      </c>
      <c r="BB9" s="97">
        <v>0</v>
      </c>
      <c r="BC9" s="93">
        <f>SUM(AY9:BB9)</f>
        <v>0</v>
      </c>
      <c r="BD9" s="92"/>
      <c r="BE9" s="95">
        <v>0</v>
      </c>
      <c r="BF9" s="96">
        <v>0</v>
      </c>
      <c r="BG9" s="96">
        <v>0</v>
      </c>
      <c r="BH9" s="97">
        <v>0</v>
      </c>
      <c r="BI9" s="93">
        <f>SUM(BE9:BH9)</f>
        <v>0</v>
      </c>
      <c r="BJ9" s="92"/>
      <c r="BK9" s="95">
        <v>0</v>
      </c>
      <c r="BL9" s="96">
        <v>0</v>
      </c>
      <c r="BM9" s="96">
        <v>0</v>
      </c>
      <c r="BN9" s="97">
        <v>0</v>
      </c>
      <c r="BO9" s="93">
        <f>SUM(BK9:BN9)</f>
        <v>0</v>
      </c>
      <c r="BP9" s="92"/>
      <c r="BQ9" s="95">
        <v>0</v>
      </c>
      <c r="BR9" s="89">
        <f>IS!BR29</f>
        <v>0</v>
      </c>
      <c r="BS9" s="89">
        <f>IS!BS29</f>
        <v>0</v>
      </c>
      <c r="BT9" s="90">
        <f>IS!BT29</f>
        <v>0</v>
      </c>
      <c r="BU9" s="93">
        <f>SUM(BQ9:BT9)</f>
        <v>0</v>
      </c>
      <c r="BV9" s="92"/>
      <c r="BW9" s="88">
        <f>IS!BW29</f>
        <v>0</v>
      </c>
      <c r="BX9" s="89">
        <f>IS!BX29</f>
        <v>0</v>
      </c>
      <c r="BY9" s="89">
        <f>IS!BY29</f>
        <v>0</v>
      </c>
      <c r="BZ9" s="90">
        <f>IS!BZ29</f>
        <v>0</v>
      </c>
      <c r="CA9" s="93">
        <f>SUM(BW9:BZ9)</f>
        <v>0</v>
      </c>
      <c r="CB9" s="92"/>
      <c r="CC9" s="88">
        <f>IS!CC29</f>
        <v>0</v>
      </c>
      <c r="CD9" s="89">
        <f>IS!CD29</f>
        <v>0</v>
      </c>
      <c r="CE9" s="89">
        <f>IS!CE29</f>
        <v>0</v>
      </c>
      <c r="CF9" s="90">
        <f>IS!CF29</f>
        <v>0</v>
      </c>
      <c r="CG9" s="93">
        <f>SUM(CC9:CF9)</f>
        <v>0</v>
      </c>
      <c r="CH9" s="92"/>
      <c r="CI9" s="88">
        <f>IS!CI29</f>
        <v>0</v>
      </c>
      <c r="CJ9" s="89">
        <f>IS!CJ29</f>
        <v>0</v>
      </c>
      <c r="CK9" s="89">
        <f>IS!CK29</f>
        <v>0</v>
      </c>
      <c r="CL9" s="90">
        <f>IS!CL29</f>
        <v>0</v>
      </c>
      <c r="CM9" s="93">
        <f>SUM(CI9:CL9)</f>
        <v>0</v>
      </c>
      <c r="CQ9"/>
      <c r="CR9"/>
      <c r="CS9"/>
      <c r="CT9"/>
      <c r="CU9"/>
      <c r="CV9"/>
    </row>
    <row r="10" spans="1:101" s="61" customFormat="1" hidden="1" outlineLevel="1" x14ac:dyDescent="0.2">
      <c r="A10" s="432" t="s">
        <v>217</v>
      </c>
      <c r="C10" s="98">
        <f>C8+C9</f>
        <v>131.05099999999999</v>
      </c>
      <c r="D10" s="92">
        <f>D8+D9</f>
        <v>235.53899999999999</v>
      </c>
      <c r="E10" s="92">
        <f>E8+E9</f>
        <v>240.46899999999999</v>
      </c>
      <c r="F10" s="99">
        <f t="shared" ref="F10:M10" si="0">F8+F9</f>
        <v>249.108</v>
      </c>
      <c r="G10" s="93">
        <f t="shared" si="0"/>
        <v>856.16700000000003</v>
      </c>
      <c r="H10" s="92"/>
      <c r="I10" s="98">
        <f t="shared" si="0"/>
        <v>270.89600000000002</v>
      </c>
      <c r="J10" s="92">
        <f t="shared" si="0"/>
        <v>275.63499999999999</v>
      </c>
      <c r="K10" s="92">
        <f t="shared" si="0"/>
        <v>297.41000000000008</v>
      </c>
      <c r="L10" s="99">
        <f t="shared" si="0"/>
        <v>283.97700000000009</v>
      </c>
      <c r="M10" s="93">
        <f t="shared" si="0"/>
        <v>1127.9180000000001</v>
      </c>
      <c r="N10" s="92"/>
      <c r="O10" s="98">
        <v>312.06799999999998</v>
      </c>
      <c r="P10" s="92">
        <f t="shared" ref="P10:AC10" si="1">P8+P9</f>
        <v>261.32799999999997</v>
      </c>
      <c r="Q10" s="92">
        <f t="shared" si="1"/>
        <v>333.90100000000007</v>
      </c>
      <c r="R10" s="99">
        <f t="shared" si="1"/>
        <v>305.75700000000001</v>
      </c>
      <c r="S10" s="93">
        <f t="shared" si="1"/>
        <v>1213.0540000000001</v>
      </c>
      <c r="T10" s="92"/>
      <c r="U10" s="98">
        <f t="shared" si="1"/>
        <v>315.97799999999995</v>
      </c>
      <c r="V10" s="92">
        <f t="shared" si="1"/>
        <v>297.72499999999997</v>
      </c>
      <c r="W10" s="92">
        <f t="shared" si="1"/>
        <v>306.28300000000002</v>
      </c>
      <c r="X10" s="99">
        <f t="shared" si="1"/>
        <v>256.35399999999993</v>
      </c>
      <c r="Y10" s="93">
        <f t="shared" si="1"/>
        <v>1176.3399999999999</v>
      </c>
      <c r="Z10" s="92"/>
      <c r="AA10" s="98">
        <f t="shared" si="1"/>
        <v>314.27600000000001</v>
      </c>
      <c r="AB10" s="92">
        <f t="shared" si="1"/>
        <v>311.06299999999999</v>
      </c>
      <c r="AC10" s="92">
        <f t="shared" si="1"/>
        <v>338.10999999999996</v>
      </c>
      <c r="AD10" s="99">
        <f>AD8+AD9</f>
        <v>301.40299999999991</v>
      </c>
      <c r="AE10" s="93">
        <f>AE8+AE9</f>
        <v>1264.8519999999999</v>
      </c>
      <c r="AF10" s="92"/>
      <c r="AG10" s="98">
        <f>AG8+AG9</f>
        <v>263.01</v>
      </c>
      <c r="AH10" s="92">
        <f>AH8+AH9</f>
        <v>290.54899999999998</v>
      </c>
      <c r="AI10" s="92">
        <f>AI8+AI9</f>
        <v>281.69</v>
      </c>
      <c r="AJ10" s="99">
        <f>AJ8+AJ9</f>
        <v>274.27899999999988</v>
      </c>
      <c r="AK10" s="93">
        <f>AK8+AK9</f>
        <v>1109.5279999999998</v>
      </c>
      <c r="AL10" s="92"/>
      <c r="AM10" s="98">
        <f>AM8+AM9</f>
        <v>270.24900000000002</v>
      </c>
      <c r="AN10" s="92">
        <f>AN8+AN9</f>
        <v>276.12099999999998</v>
      </c>
      <c r="AO10" s="92">
        <f>AO8+AO9</f>
        <v>291.87800000000004</v>
      </c>
      <c r="AP10" s="99">
        <f>AP8+AP9</f>
        <v>90.751999999999953</v>
      </c>
      <c r="AQ10" s="93">
        <f>AQ8+AQ9</f>
        <v>929</v>
      </c>
      <c r="AR10" s="92"/>
      <c r="AS10" s="98">
        <f>AS8+AS9</f>
        <v>271</v>
      </c>
      <c r="AT10" s="92">
        <f>AT8+AT9</f>
        <v>287</v>
      </c>
      <c r="AU10" s="92">
        <f>AU8+AU9</f>
        <v>326</v>
      </c>
      <c r="AV10" s="99">
        <f>AV8+AV9</f>
        <v>301</v>
      </c>
      <c r="AW10" s="93">
        <f>AW8+AW9</f>
        <v>1185</v>
      </c>
      <c r="AX10" s="92"/>
      <c r="AY10" s="98">
        <f>AY8+AY9</f>
        <v>236</v>
      </c>
      <c r="AZ10" s="92">
        <f>AZ8+AZ9</f>
        <v>216</v>
      </c>
      <c r="BA10" s="92">
        <f>BA8+BA9</f>
        <v>62</v>
      </c>
      <c r="BB10" s="99">
        <f>BB8+BB9</f>
        <v>181</v>
      </c>
      <c r="BC10" s="93">
        <f>BC8+BC9</f>
        <v>695</v>
      </c>
      <c r="BD10" s="92"/>
      <c r="BE10" s="98">
        <f>BE8+BE9</f>
        <v>229</v>
      </c>
      <c r="BF10" s="92">
        <f>BF8+BF9</f>
        <v>338</v>
      </c>
      <c r="BG10" s="92">
        <f>BG8+BG9</f>
        <v>391</v>
      </c>
      <c r="BH10" s="99">
        <f>BH8+BH9</f>
        <v>18</v>
      </c>
      <c r="BI10" s="93">
        <f>BI8+BI9</f>
        <v>976</v>
      </c>
      <c r="BJ10" s="92"/>
      <c r="BK10" s="98">
        <f>BK8+BK9</f>
        <v>562</v>
      </c>
      <c r="BL10" s="92">
        <f>BL8+BL9</f>
        <v>343</v>
      </c>
      <c r="BM10" s="92">
        <f>BM8+BM9</f>
        <v>-132</v>
      </c>
      <c r="BN10" s="99">
        <f>BN8+BN9</f>
        <v>327</v>
      </c>
      <c r="BO10" s="93">
        <f>BO8+BO9</f>
        <v>1100</v>
      </c>
      <c r="BP10" s="92"/>
      <c r="BQ10" s="98">
        <f>BQ8+BQ9</f>
        <v>-136</v>
      </c>
      <c r="BR10" s="92">
        <f>BR8+BR9</f>
        <v>300.4825453796069</v>
      </c>
      <c r="BS10" s="92">
        <f>BS8+BS9</f>
        <v>449.55437310240347</v>
      </c>
      <c r="BT10" s="99">
        <f>BT8+BT9</f>
        <v>482.33267967987729</v>
      </c>
      <c r="BU10" s="93">
        <f>BU8+BU9</f>
        <v>1096.3695981618876</v>
      </c>
      <c r="BV10" s="92"/>
      <c r="BW10" s="98">
        <f>BW8+BW9</f>
        <v>501.26873652625147</v>
      </c>
      <c r="BX10" s="92">
        <f>BX8+BX9</f>
        <v>537.41195148568602</v>
      </c>
      <c r="BY10" s="92">
        <f>BY8+BY9</f>
        <v>575.84079674061275</v>
      </c>
      <c r="BZ10" s="99">
        <f>BZ8+BZ9</f>
        <v>564.94242098180405</v>
      </c>
      <c r="CA10" s="93">
        <f>CA8+CA9</f>
        <v>2179.4639057343543</v>
      </c>
      <c r="CB10" s="92"/>
      <c r="CC10" s="98">
        <f>CC8+CC9</f>
        <v>686.15054263203672</v>
      </c>
      <c r="CD10" s="92">
        <f>CD8+CD9</f>
        <v>746.10940237796979</v>
      </c>
      <c r="CE10" s="92">
        <f>CE8+CE9</f>
        <v>813.22989654858839</v>
      </c>
      <c r="CF10" s="99">
        <f>CF8+CF9</f>
        <v>829.294814856024</v>
      </c>
      <c r="CG10" s="93">
        <f>CG8+CG9</f>
        <v>3074.7846564146184</v>
      </c>
      <c r="CH10" s="92"/>
      <c r="CI10" s="98">
        <f>CI8+CI9</f>
        <v>884.35875941663301</v>
      </c>
      <c r="CJ10" s="92">
        <f>CJ8+CJ9</f>
        <v>896.03284327629365</v>
      </c>
      <c r="CK10" s="92">
        <f>CK8+CK9</f>
        <v>992.36874728835926</v>
      </c>
      <c r="CL10" s="99">
        <f>CL8+CL9</f>
        <v>1011.4730493590276</v>
      </c>
      <c r="CM10" s="93">
        <f>CM8+CM9</f>
        <v>3784.2333993403131</v>
      </c>
      <c r="CQ10"/>
      <c r="CR10"/>
      <c r="CS10"/>
      <c r="CT10"/>
      <c r="CU10"/>
      <c r="CV10"/>
    </row>
    <row r="11" spans="1:101" s="61" customFormat="1" collapsed="1" x14ac:dyDescent="0.2">
      <c r="A11" s="432" t="s">
        <v>218</v>
      </c>
      <c r="C11" s="104">
        <v>101.081</v>
      </c>
      <c r="D11" s="105">
        <f>211.028-C11</f>
        <v>109.94699999999999</v>
      </c>
      <c r="E11" s="105">
        <f>323.565-C11-D11</f>
        <v>112.53699999999999</v>
      </c>
      <c r="F11" s="106">
        <f>441.341-C11-D11-E11</f>
        <v>117.776</v>
      </c>
      <c r="G11" s="93">
        <f>SUM(C11:F11)</f>
        <v>441.34100000000001</v>
      </c>
      <c r="H11" s="92"/>
      <c r="I11" s="104">
        <v>115.212</v>
      </c>
      <c r="J11" s="105">
        <f>232.059-I11</f>
        <v>116.84699999999999</v>
      </c>
      <c r="K11" s="105">
        <f>353.113-I11-J11</f>
        <v>121.05400000000002</v>
      </c>
      <c r="L11" s="106">
        <f>477.422-I11-J11-K11</f>
        <v>124.30900000000004</v>
      </c>
      <c r="M11" s="93">
        <f>SUM(I11:L11)</f>
        <v>477.42200000000003</v>
      </c>
      <c r="N11" s="92"/>
      <c r="O11" s="104">
        <v>116.518</v>
      </c>
      <c r="P11" s="105">
        <f>233.796-O11</f>
        <v>117.27799999999999</v>
      </c>
      <c r="Q11" s="105">
        <f>352.246-O11-P11</f>
        <v>118.44999999999999</v>
      </c>
      <c r="R11" s="106">
        <f>470.193-O11-P11-Q11</f>
        <v>117.94699999999997</v>
      </c>
      <c r="S11" s="93">
        <f>SUM(O11:R11)</f>
        <v>470.19299999999998</v>
      </c>
      <c r="T11" s="92"/>
      <c r="U11" s="104">
        <v>125.221</v>
      </c>
      <c r="V11" s="105">
        <f>252.027-U11</f>
        <v>126.80599999999998</v>
      </c>
      <c r="W11" s="105">
        <f>383.005-U11-V11</f>
        <v>130.97800000000001</v>
      </c>
      <c r="X11" s="106">
        <f>502.113-U11-V11-W11</f>
        <v>119.108</v>
      </c>
      <c r="Y11" s="93">
        <f>SUM(U11:X11)</f>
        <v>502.113</v>
      </c>
      <c r="Z11" s="92"/>
      <c r="AA11" s="104">
        <v>123.19199999999999</v>
      </c>
      <c r="AB11" s="105">
        <f>245.397-AA11:AA11</f>
        <v>122.205</v>
      </c>
      <c r="AC11" s="105">
        <f>372.21-AB11-AA11</f>
        <v>126.813</v>
      </c>
      <c r="AD11" s="99">
        <f>AE11-AC11-AB11-AA11</f>
        <v>131.87900000000002</v>
      </c>
      <c r="AE11" s="161">
        <v>504.089</v>
      </c>
      <c r="AF11" s="92"/>
      <c r="AG11" s="104">
        <v>135.61799999999999</v>
      </c>
      <c r="AH11" s="105">
        <f>265.881-AG11:AG11</f>
        <v>130.26299999999998</v>
      </c>
      <c r="AI11" s="105">
        <f>383.559-AH11-AG11</f>
        <v>117.67800000000005</v>
      </c>
      <c r="AJ11" s="99">
        <f>AK11-AI11-AH11-AG11</f>
        <v>127.37899999999996</v>
      </c>
      <c r="AK11" s="161">
        <v>510.93799999999999</v>
      </c>
      <c r="AL11" s="92"/>
      <c r="AM11" s="104">
        <v>128.833</v>
      </c>
      <c r="AN11" s="105">
        <f>265.477-AM11:AM11</f>
        <v>136.64399999999998</v>
      </c>
      <c r="AO11" s="105">
        <f>403.681-AN11-AM11</f>
        <v>138.20400000000004</v>
      </c>
      <c r="AP11" s="99">
        <f>AQ11-AO11-AN11-AM11</f>
        <v>142.31899999999993</v>
      </c>
      <c r="AQ11" s="161">
        <v>546</v>
      </c>
      <c r="AR11" s="92"/>
      <c r="AS11" s="104">
        <v>142</v>
      </c>
      <c r="AT11" s="105">
        <f>272-AS11</f>
        <v>130</v>
      </c>
      <c r="AU11" s="105">
        <f>413-AT11-AS11</f>
        <v>141</v>
      </c>
      <c r="AV11" s="99">
        <f>AW11-AU11-AT11-AS11</f>
        <v>149.5</v>
      </c>
      <c r="AW11" s="161">
        <v>562.5</v>
      </c>
      <c r="AX11" s="92"/>
      <c r="AY11" s="95">
        <v>139</v>
      </c>
      <c r="AZ11" s="96">
        <f>277-AY11</f>
        <v>138</v>
      </c>
      <c r="BA11" s="96">
        <f>576-AZ11-AY11</f>
        <v>299</v>
      </c>
      <c r="BB11" s="97">
        <f>891-SUM(AY11:BA11)</f>
        <v>315</v>
      </c>
      <c r="BC11" s="93">
        <f>SUM(BC12:BC15)</f>
        <v>891</v>
      </c>
      <c r="BD11" s="92"/>
      <c r="BE11" s="95">
        <v>289</v>
      </c>
      <c r="BF11" s="96">
        <f>569-BE11</f>
        <v>280</v>
      </c>
      <c r="BG11" s="96">
        <f>841-SUM(BE11:BF11)</f>
        <v>272</v>
      </c>
      <c r="BH11" s="97">
        <f>1114-SUM(BE11:BG11)</f>
        <v>273</v>
      </c>
      <c r="BI11" s="93">
        <f>SUM(BI12:BI15)</f>
        <v>1114</v>
      </c>
      <c r="BJ11" s="92"/>
      <c r="BK11" s="95">
        <v>262</v>
      </c>
      <c r="BL11" s="96">
        <f>523-BK11</f>
        <v>261</v>
      </c>
      <c r="BM11" s="96">
        <f>802-SUM(BK11:BL11)</f>
        <v>279</v>
      </c>
      <c r="BN11" s="97">
        <f>1088-SUM(BK11:BM11)</f>
        <v>286</v>
      </c>
      <c r="BO11" s="93">
        <f>SUM(BO12:BO15)</f>
        <v>1088</v>
      </c>
      <c r="BP11" s="92"/>
      <c r="BQ11" s="95">
        <f>291-1</f>
        <v>290</v>
      </c>
      <c r="BR11" s="92">
        <f>SUM(BR12:BR15)</f>
        <v>469.53774630541875</v>
      </c>
      <c r="BS11" s="92">
        <f>SUM(BS12:BS15)</f>
        <v>473.41705665024637</v>
      </c>
      <c r="BT11" s="99">
        <f>SUM(BT12:BT15)</f>
        <v>477.29636699507392</v>
      </c>
      <c r="BU11" s="93">
        <f>SUM(BU12:BU15)</f>
        <v>1710.251169950739</v>
      </c>
      <c r="BV11" s="92"/>
      <c r="BW11" s="98">
        <f>SUM(BW12:BW15)</f>
        <v>481.17567733990148</v>
      </c>
      <c r="BX11" s="92">
        <f>SUM(BX12:BX15)</f>
        <v>484.79636699507392</v>
      </c>
      <c r="BY11" s="92">
        <f>SUM(BY12:BY15)</f>
        <v>488.41705665024637</v>
      </c>
      <c r="BZ11" s="99">
        <f>SUM(BZ12:BZ15)</f>
        <v>492.03774630541875</v>
      </c>
      <c r="CA11" s="93">
        <f>SUM(CA12:CA15)</f>
        <v>1946.4268472906406</v>
      </c>
      <c r="CB11" s="92"/>
      <c r="CC11" s="98">
        <f>SUM(CC12:CC15)</f>
        <v>495.65843596059113</v>
      </c>
      <c r="CD11" s="92">
        <f>SUM(CD12:CD15)</f>
        <v>499.27912561576358</v>
      </c>
      <c r="CE11" s="92">
        <f>SUM(CE12:CE15)</f>
        <v>502.89981527093602</v>
      </c>
      <c r="CF11" s="99">
        <f>SUM(CF12:CF15)</f>
        <v>506.5205049261084</v>
      </c>
      <c r="CG11" s="93">
        <f>SUM(CG12:CG15)</f>
        <v>2004.3578817733992</v>
      </c>
      <c r="CH11" s="92"/>
      <c r="CI11" s="98">
        <f>SUM(CI12:CI15)</f>
        <v>510.14119458128079</v>
      </c>
      <c r="CJ11" s="92">
        <f>SUM(CJ12:CJ15)</f>
        <v>513.76188423645317</v>
      </c>
      <c r="CK11" s="92">
        <f>SUM(CK12:CK15)</f>
        <v>517.38257389162573</v>
      </c>
      <c r="CL11" s="99">
        <f>SUM(CL12:CL15)</f>
        <v>521.00326354679805</v>
      </c>
      <c r="CM11" s="93">
        <f>SUM(CM12:CM15)</f>
        <v>2062.2889162561578</v>
      </c>
      <c r="CQ11"/>
      <c r="CR11"/>
      <c r="CS11"/>
      <c r="CT11"/>
      <c r="CU11"/>
      <c r="CV11"/>
    </row>
    <row r="12" spans="1:101" s="61" customFormat="1" hidden="1" outlineLevel="1" x14ac:dyDescent="0.2">
      <c r="A12" s="510" t="s">
        <v>194</v>
      </c>
      <c r="C12" s="98">
        <f>G12/4</f>
        <v>82.087000000000018</v>
      </c>
      <c r="D12" s="92">
        <f>G12/4</f>
        <v>82.087000000000018</v>
      </c>
      <c r="E12" s="92">
        <f>G12/4</f>
        <v>82.087000000000018</v>
      </c>
      <c r="F12" s="99">
        <f>G12/4</f>
        <v>82.087000000000018</v>
      </c>
      <c r="G12" s="93">
        <f>G11-G13-G15</f>
        <v>328.34800000000007</v>
      </c>
      <c r="H12" s="92"/>
      <c r="I12" s="98">
        <f>M12/4</f>
        <v>91.638250000000014</v>
      </c>
      <c r="J12" s="92">
        <f>M12/4</f>
        <v>91.638250000000014</v>
      </c>
      <c r="K12" s="92">
        <f>M12/4</f>
        <v>91.638250000000014</v>
      </c>
      <c r="L12" s="99">
        <f>M12/4</f>
        <v>91.638250000000014</v>
      </c>
      <c r="M12" s="93">
        <f>+M11-M13-M15</f>
        <v>366.55300000000005</v>
      </c>
      <c r="N12" s="92"/>
      <c r="O12" s="98">
        <f>O11-O13-O15</f>
        <v>93.110250000000008</v>
      </c>
      <c r="P12" s="92">
        <f>P11-P13-P15</f>
        <v>93.985249999999994</v>
      </c>
      <c r="Q12" s="92">
        <f>Q11-Q13-Q15</f>
        <v>94.819249999999997</v>
      </c>
      <c r="R12" s="99">
        <f>R11-R13-R15</f>
        <v>94.075249999999983</v>
      </c>
      <c r="S12" s="93">
        <f>+S11-S13-S15</f>
        <v>375.99</v>
      </c>
      <c r="T12" s="92"/>
      <c r="U12" s="98">
        <f>U11-U13-U15</f>
        <v>104.84075</v>
      </c>
      <c r="V12" s="92">
        <f>V11-V13-V15</f>
        <v>106.60374999999999</v>
      </c>
      <c r="W12" s="92">
        <f>W11-W13-W15</f>
        <v>110.15375000000002</v>
      </c>
      <c r="X12" s="99">
        <f>X11-X13-X15</f>
        <v>99.934750000000008</v>
      </c>
      <c r="Y12" s="93">
        <f>+Y11-Y13-Y15</f>
        <v>421.53300000000002</v>
      </c>
      <c r="Z12" s="92"/>
      <c r="AA12" s="98">
        <f>AA11-AA13-AA15</f>
        <v>105.66475</v>
      </c>
      <c r="AB12" s="92">
        <f>AB11-AB13-AB15</f>
        <v>103.71074999999999</v>
      </c>
      <c r="AC12" s="92">
        <f>AC11-AC13-AC15</f>
        <v>106.40375</v>
      </c>
      <c r="AD12" s="99">
        <f>AD11-AD13-AD15</f>
        <v>109.98575000000002</v>
      </c>
      <c r="AE12" s="93">
        <f>+AE11-AE13-AE15</f>
        <v>425.76499999999999</v>
      </c>
      <c r="AF12" s="92"/>
      <c r="AG12" s="98">
        <f>AG11-AG13-AG15</f>
        <v>110.19799999999999</v>
      </c>
      <c r="AH12" s="92">
        <f>AH11-AH13-AH15</f>
        <v>104.53299999999997</v>
      </c>
      <c r="AI12" s="92">
        <f>AI11-AI13-AI15</f>
        <v>91.210000000000051</v>
      </c>
      <c r="AJ12" s="99">
        <f>AJ11-AJ13-AJ15</f>
        <v>98.007999999999953</v>
      </c>
      <c r="AK12" s="93">
        <f>+AK11-AK13-AK15</f>
        <v>403.94899999999996</v>
      </c>
      <c r="AL12" s="92"/>
      <c r="AM12" s="98">
        <f>AM11-AM13-AM15</f>
        <v>100.014</v>
      </c>
      <c r="AN12" s="92">
        <f>AN11-AN13-AN15</f>
        <v>105.64399999999998</v>
      </c>
      <c r="AO12" s="92">
        <f>AO11-AO13-AO15</f>
        <v>107.14600000000004</v>
      </c>
      <c r="AP12" s="99">
        <f>AP11-AP13-AP15</f>
        <v>112.19599999999993</v>
      </c>
      <c r="AQ12" s="93">
        <f>+AQ11-AQ13-AQ15</f>
        <v>425</v>
      </c>
      <c r="AR12" s="92"/>
      <c r="AS12" s="98">
        <f>AS11-AS13-AS15</f>
        <v>110.75</v>
      </c>
      <c r="AT12" s="92">
        <f>AT11-AT13-AT15</f>
        <v>98.75</v>
      </c>
      <c r="AU12" s="92">
        <f>AU11-AU13-AU15</f>
        <v>109.75</v>
      </c>
      <c r="AV12" s="99">
        <f>AV11-AV13-AV15</f>
        <v>117.75</v>
      </c>
      <c r="AW12" s="93">
        <f>AW11-AW13-AW15</f>
        <v>437</v>
      </c>
      <c r="AX12" s="92"/>
      <c r="AY12" s="98">
        <f>AY11-AY13-AY15</f>
        <v>109</v>
      </c>
      <c r="AZ12" s="92">
        <f>AZ11-AZ13-AZ15</f>
        <v>108</v>
      </c>
      <c r="BA12" s="92">
        <f>BA11-BA13-BA15</f>
        <v>124.5</v>
      </c>
      <c r="BB12" s="99">
        <f>BB11-BB13-BB15</f>
        <v>138.5</v>
      </c>
      <c r="BC12" s="93">
        <f>SUM(AY12:BB12)</f>
        <v>480</v>
      </c>
      <c r="BD12" s="92"/>
      <c r="BE12" s="98">
        <f>BE11-BE13-BE15</f>
        <v>137</v>
      </c>
      <c r="BF12" s="92">
        <f>BF11-BF13-BF15</f>
        <v>142</v>
      </c>
      <c r="BG12" s="92">
        <f>BG11-BG13-BG15</f>
        <v>139</v>
      </c>
      <c r="BH12" s="99">
        <f>BH11-BH13-BH15</f>
        <v>144</v>
      </c>
      <c r="BI12" s="93">
        <f>SUM(BE12:BH12)</f>
        <v>562</v>
      </c>
      <c r="BJ12" s="92"/>
      <c r="BK12" s="98">
        <f>BK11-BK13-BK15</f>
        <v>125</v>
      </c>
      <c r="BL12" s="92">
        <f>BL11-BL13-BL15</f>
        <v>130</v>
      </c>
      <c r="BM12" s="92">
        <f>BM11-BM13-BM15</f>
        <v>147</v>
      </c>
      <c r="BN12" s="99">
        <f>BN11-BN13-BN15</f>
        <v>153</v>
      </c>
      <c r="BO12" s="93">
        <f>SUM(BK12:BN12)</f>
        <v>555</v>
      </c>
      <c r="BP12" s="92"/>
      <c r="BQ12" s="98">
        <f>BQ11-BQ13-BQ15</f>
        <v>155</v>
      </c>
      <c r="BR12" s="89">
        <f>BS!BR107</f>
        <v>174.29310344827587</v>
      </c>
      <c r="BS12" s="89">
        <f>BS!BS107</f>
        <v>178.17241379310346</v>
      </c>
      <c r="BT12" s="90">
        <f>BS!BT107</f>
        <v>182.05172413793105</v>
      </c>
      <c r="BU12" s="93">
        <f>SUM(BQ12:BT12)</f>
        <v>689.51724137931035</v>
      </c>
      <c r="BV12" s="92"/>
      <c r="BW12" s="88">
        <f>BS!BW107</f>
        <v>185.93103448275863</v>
      </c>
      <c r="BX12" s="89">
        <f>BS!BX107</f>
        <v>189.55172413793105</v>
      </c>
      <c r="BY12" s="89">
        <f>BS!BY107</f>
        <v>193.17241379310346</v>
      </c>
      <c r="BZ12" s="90">
        <f>BS!BZ107</f>
        <v>196.79310344827587</v>
      </c>
      <c r="CA12" s="93">
        <f>SUM(BW12:BZ12)</f>
        <v>765.44827586206907</v>
      </c>
      <c r="CB12" s="92"/>
      <c r="CC12" s="88">
        <f>BS!CC107</f>
        <v>200.41379310344828</v>
      </c>
      <c r="CD12" s="89">
        <f>BS!CD107</f>
        <v>204.0344827586207</v>
      </c>
      <c r="CE12" s="89">
        <f>BS!CE107</f>
        <v>207.65517241379311</v>
      </c>
      <c r="CF12" s="90">
        <f>BS!CF107</f>
        <v>211.27586206896552</v>
      </c>
      <c r="CG12" s="93">
        <f>SUM(CC12:CF12)</f>
        <v>823.37931034482767</v>
      </c>
      <c r="CH12" s="92"/>
      <c r="CI12" s="88">
        <f>BS!CI107</f>
        <v>214.89655172413794</v>
      </c>
      <c r="CJ12" s="89">
        <f>BS!CJ107</f>
        <v>218.51724137931035</v>
      </c>
      <c r="CK12" s="89">
        <f>BS!CK107</f>
        <v>222.13793103448276</v>
      </c>
      <c r="CL12" s="90">
        <f>BS!CL107</f>
        <v>225.75862068965517</v>
      </c>
      <c r="CM12" s="93">
        <f>SUM(CI12:CL12)</f>
        <v>881.31034482758628</v>
      </c>
      <c r="CQ12"/>
      <c r="CR12"/>
      <c r="CS12"/>
      <c r="CT12"/>
      <c r="CU12"/>
      <c r="CV12"/>
    </row>
    <row r="13" spans="1:101" s="61" customFormat="1" hidden="1" outlineLevel="1" x14ac:dyDescent="0.2">
      <c r="A13" s="510" t="s">
        <v>37</v>
      </c>
      <c r="C13" s="98">
        <f>G13/4</f>
        <v>11.65175</v>
      </c>
      <c r="D13" s="92">
        <f>G13/4</f>
        <v>11.65175</v>
      </c>
      <c r="E13" s="92">
        <f>G13/4</f>
        <v>11.65175</v>
      </c>
      <c r="F13" s="99">
        <f>G13/4</f>
        <v>11.65175</v>
      </c>
      <c r="G13" s="161">
        <v>46.606999999999999</v>
      </c>
      <c r="H13" s="92"/>
      <c r="I13" s="98">
        <f>M13/4</f>
        <v>13.55425</v>
      </c>
      <c r="J13" s="92">
        <f>M13/4</f>
        <v>13.55425</v>
      </c>
      <c r="K13" s="92">
        <f>M13/4</f>
        <v>13.55425</v>
      </c>
      <c r="L13" s="99">
        <f>M13/4</f>
        <v>13.55425</v>
      </c>
      <c r="M13" s="161">
        <v>54.216999999999999</v>
      </c>
      <c r="N13" s="92"/>
      <c r="O13" s="104">
        <v>11.723000000000001</v>
      </c>
      <c r="P13" s="105">
        <v>11.608000000000001</v>
      </c>
      <c r="Q13" s="105">
        <v>11.946</v>
      </c>
      <c r="R13" s="106">
        <f>47.464-O13-P13-Q13</f>
        <v>12.186999999999999</v>
      </c>
      <c r="S13" s="94">
        <f>SUM(O13:R13)</f>
        <v>47.463999999999999</v>
      </c>
      <c r="T13" s="92"/>
      <c r="U13" s="104">
        <v>12.335000000000001</v>
      </c>
      <c r="V13" s="105">
        <v>12.157</v>
      </c>
      <c r="W13" s="105">
        <v>12.779</v>
      </c>
      <c r="X13" s="106">
        <f>48.399-U13-V13-W13</f>
        <v>11.128</v>
      </c>
      <c r="Y13" s="93">
        <f>SUM(U13:X13)</f>
        <v>48.399000000000001</v>
      </c>
      <c r="Z13" s="92"/>
      <c r="AA13" s="104">
        <v>11.734</v>
      </c>
      <c r="AB13" s="105">
        <v>12.701000000000001</v>
      </c>
      <c r="AC13" s="105">
        <v>14.616</v>
      </c>
      <c r="AD13" s="99">
        <f>AE13-AC13-AB13-AA13</f>
        <v>16.100000000000001</v>
      </c>
      <c r="AE13" s="161">
        <v>55.151000000000003</v>
      </c>
      <c r="AF13" s="92"/>
      <c r="AG13" s="104">
        <v>16.532</v>
      </c>
      <c r="AH13" s="105">
        <v>16.841999999999999</v>
      </c>
      <c r="AI13" s="105">
        <v>17.579999999999998</v>
      </c>
      <c r="AJ13" s="99">
        <f>AK13-AI13-AH13-AG13</f>
        <v>20.483000000000001</v>
      </c>
      <c r="AK13" s="161">
        <v>71.436999999999998</v>
      </c>
      <c r="AL13" s="92"/>
      <c r="AM13" s="104">
        <v>19.318999999999999</v>
      </c>
      <c r="AN13" s="105">
        <v>21.5</v>
      </c>
      <c r="AO13" s="105">
        <v>21.558</v>
      </c>
      <c r="AP13" s="99">
        <f>AQ13-AO13-AN13-AM13</f>
        <v>20.623000000000001</v>
      </c>
      <c r="AQ13" s="161">
        <v>83</v>
      </c>
      <c r="AR13" s="92"/>
      <c r="AS13" s="104">
        <v>21</v>
      </c>
      <c r="AT13" s="105">
        <v>21</v>
      </c>
      <c r="AU13" s="105">
        <v>21</v>
      </c>
      <c r="AV13" s="99">
        <f>AW13-AU13-AT13-AS13</f>
        <v>21.5</v>
      </c>
      <c r="AW13" s="161">
        <v>84.5</v>
      </c>
      <c r="AX13" s="92"/>
      <c r="AY13" s="95">
        <v>20</v>
      </c>
      <c r="AZ13" s="96">
        <f>40-AY13</f>
        <v>20</v>
      </c>
      <c r="BA13" s="96">
        <f>192-AY13-AZ13</f>
        <v>152</v>
      </c>
      <c r="BB13" s="97">
        <f>346-SUM(AY13:BA13)</f>
        <v>154</v>
      </c>
      <c r="BC13" s="93">
        <f>SUM(AY13:BB13)</f>
        <v>346</v>
      </c>
      <c r="BD13" s="92"/>
      <c r="BE13" s="95">
        <v>152</v>
      </c>
      <c r="BF13" s="96">
        <v>138</v>
      </c>
      <c r="BG13" s="96">
        <v>133</v>
      </c>
      <c r="BH13" s="97">
        <f>552-SUM(BE13:BG13)</f>
        <v>129</v>
      </c>
      <c r="BI13" s="93">
        <f>SUM(BE13:BH13)</f>
        <v>552</v>
      </c>
      <c r="BJ13" s="92"/>
      <c r="BK13" s="95">
        <v>137</v>
      </c>
      <c r="BL13" s="96">
        <v>131</v>
      </c>
      <c r="BM13" s="96">
        <v>132</v>
      </c>
      <c r="BN13" s="97">
        <f>533-SUM(BK13:BM13)</f>
        <v>133</v>
      </c>
      <c r="BO13" s="93">
        <f>SUM(BK13:BN13)</f>
        <v>533</v>
      </c>
      <c r="BP13" s="92"/>
      <c r="BQ13" s="95">
        <v>135</v>
      </c>
      <c r="BR13" s="89">
        <f>BS!BR135+BS!BR148</f>
        <v>230.11607142857144</v>
      </c>
      <c r="BS13" s="89">
        <f>BS!BS135+BS!BS148</f>
        <v>230.11607142857144</v>
      </c>
      <c r="BT13" s="90">
        <f>BS!BT135+BS!BT148</f>
        <v>230.11607142857144</v>
      </c>
      <c r="BU13" s="93">
        <f>SUM(BQ13:BT13)</f>
        <v>825.34821428571433</v>
      </c>
      <c r="BV13" s="92"/>
      <c r="BW13" s="88">
        <f>BS!BW135+BS!BW148</f>
        <v>230.11607142857144</v>
      </c>
      <c r="BX13" s="89">
        <f>BS!BX135+BS!BX148</f>
        <v>230.11607142857144</v>
      </c>
      <c r="BY13" s="89">
        <f>BS!BY135+BS!BY148</f>
        <v>230.11607142857144</v>
      </c>
      <c r="BZ13" s="90">
        <f>BS!BZ135+BS!BZ148</f>
        <v>230.11607142857144</v>
      </c>
      <c r="CA13" s="93">
        <f>SUM(BW13:BZ13)</f>
        <v>920.46428571428578</v>
      </c>
      <c r="CB13" s="92"/>
      <c r="CC13" s="88">
        <f>BS!CC135+BS!CC148</f>
        <v>230.11607142857144</v>
      </c>
      <c r="CD13" s="89">
        <f>BS!CD135+BS!CD148</f>
        <v>230.11607142857144</v>
      </c>
      <c r="CE13" s="89">
        <f>BS!CE135+BS!CE148</f>
        <v>230.11607142857144</v>
      </c>
      <c r="CF13" s="90">
        <f>BS!CF135+BS!CF148</f>
        <v>230.11607142857144</v>
      </c>
      <c r="CG13" s="93">
        <f>SUM(CC13:CF13)</f>
        <v>920.46428571428578</v>
      </c>
      <c r="CH13" s="92"/>
      <c r="CI13" s="88">
        <f>BS!CI135+BS!CI148</f>
        <v>230.11607142857144</v>
      </c>
      <c r="CJ13" s="89">
        <f>BS!CJ135+BS!CJ148</f>
        <v>230.11607142857144</v>
      </c>
      <c r="CK13" s="89">
        <f>BS!CK135+BS!CK148</f>
        <v>230.11607142857144</v>
      </c>
      <c r="CL13" s="90">
        <f>BS!CL135+BS!CL148</f>
        <v>230.11607142857144</v>
      </c>
      <c r="CM13" s="93">
        <f>SUM(CI13:CL13)</f>
        <v>920.46428571428578</v>
      </c>
      <c r="CQ13"/>
      <c r="CR13"/>
      <c r="CS13"/>
      <c r="CT13"/>
      <c r="CU13"/>
      <c r="CV13"/>
    </row>
    <row r="14" spans="1:101" s="61" customFormat="1" hidden="1" outlineLevel="1" x14ac:dyDescent="0.2">
      <c r="A14" s="510" t="s">
        <v>219</v>
      </c>
      <c r="C14" s="98"/>
      <c r="D14" s="92"/>
      <c r="E14" s="92"/>
      <c r="F14" s="99"/>
      <c r="G14" s="161"/>
      <c r="H14" s="92"/>
      <c r="I14" s="98"/>
      <c r="J14" s="92"/>
      <c r="K14" s="92"/>
      <c r="L14" s="99"/>
      <c r="M14" s="161"/>
      <c r="N14" s="92"/>
      <c r="O14" s="104"/>
      <c r="P14" s="105"/>
      <c r="Q14" s="105"/>
      <c r="R14" s="106"/>
      <c r="S14" s="94"/>
      <c r="T14" s="92"/>
      <c r="U14" s="104"/>
      <c r="V14" s="105"/>
      <c r="W14" s="105"/>
      <c r="X14" s="106"/>
      <c r="Y14" s="93"/>
      <c r="Z14" s="92"/>
      <c r="AA14" s="104"/>
      <c r="AB14" s="105"/>
      <c r="AC14" s="105"/>
      <c r="AD14" s="99"/>
      <c r="AE14" s="161"/>
      <c r="AF14" s="92"/>
      <c r="AG14" s="104"/>
      <c r="AH14" s="105"/>
      <c r="AI14" s="105"/>
      <c r="AJ14" s="99"/>
      <c r="AK14" s="161"/>
      <c r="AL14" s="92"/>
      <c r="AM14" s="104"/>
      <c r="AN14" s="105"/>
      <c r="AO14" s="105"/>
      <c r="AP14" s="99"/>
      <c r="AQ14" s="161"/>
      <c r="AR14" s="92"/>
      <c r="AS14" s="104"/>
      <c r="AT14" s="105"/>
      <c r="AU14" s="105"/>
      <c r="AV14" s="99"/>
      <c r="AW14" s="161"/>
      <c r="AX14" s="92"/>
      <c r="AY14" s="95"/>
      <c r="AZ14" s="96"/>
      <c r="BA14" s="89"/>
      <c r="BB14" s="90"/>
      <c r="BC14" s="93"/>
      <c r="BD14" s="92"/>
      <c r="BE14" s="95"/>
      <c r="BF14" s="89"/>
      <c r="BG14" s="89"/>
      <c r="BH14" s="90"/>
      <c r="BI14" s="93"/>
      <c r="BJ14" s="92"/>
      <c r="BK14" s="88"/>
      <c r="BL14" s="89"/>
      <c r="BM14" s="89"/>
      <c r="BN14" s="90"/>
      <c r="BO14" s="93"/>
      <c r="BP14" s="92"/>
      <c r="BQ14" s="88"/>
      <c r="BR14" s="89">
        <f>BS!BR122</f>
        <v>65.128571428571433</v>
      </c>
      <c r="BS14" s="89">
        <f>BS!BS122</f>
        <v>65.128571428571433</v>
      </c>
      <c r="BT14" s="90">
        <f>BS!BT122</f>
        <v>65.128571428571433</v>
      </c>
      <c r="BU14" s="93">
        <f>SUM(BQ14:BT14)</f>
        <v>195.3857142857143</v>
      </c>
      <c r="BV14" s="92"/>
      <c r="BW14" s="88">
        <f>BS!BW122</f>
        <v>65.128571428571433</v>
      </c>
      <c r="BX14" s="89">
        <f>BS!BX122</f>
        <v>65.128571428571433</v>
      </c>
      <c r="BY14" s="89">
        <f>BS!BY122</f>
        <v>65.128571428571433</v>
      </c>
      <c r="BZ14" s="90">
        <f>BS!BZ122</f>
        <v>65.128571428571433</v>
      </c>
      <c r="CA14" s="93">
        <f>SUM(BW14:BZ14)</f>
        <v>260.51428571428573</v>
      </c>
      <c r="CB14" s="92"/>
      <c r="CC14" s="88">
        <f>BS!CC122</f>
        <v>65.128571428571433</v>
      </c>
      <c r="CD14" s="89">
        <f>BS!CD122</f>
        <v>65.128571428571433</v>
      </c>
      <c r="CE14" s="89">
        <f>BS!CE122</f>
        <v>65.128571428571433</v>
      </c>
      <c r="CF14" s="90">
        <f>BS!CF122</f>
        <v>65.128571428571433</v>
      </c>
      <c r="CG14" s="93">
        <f>SUM(CC14:CF14)</f>
        <v>260.51428571428573</v>
      </c>
      <c r="CH14" s="92"/>
      <c r="CI14" s="88">
        <f>BS!CI122</f>
        <v>65.128571428571433</v>
      </c>
      <c r="CJ14" s="89">
        <f>BS!CJ122</f>
        <v>65.128571428571433</v>
      </c>
      <c r="CK14" s="89">
        <f>BS!CK122</f>
        <v>65.128571428571433</v>
      </c>
      <c r="CL14" s="90">
        <f>BS!CL122</f>
        <v>65.128571428571433</v>
      </c>
      <c r="CM14" s="93">
        <f>SUM(CI14:CL14)</f>
        <v>260.51428571428573</v>
      </c>
      <c r="CQ14"/>
      <c r="CR14"/>
      <c r="CS14"/>
      <c r="CT14"/>
      <c r="CU14"/>
      <c r="CV14"/>
    </row>
    <row r="15" spans="1:101" s="61" customFormat="1" hidden="1" outlineLevel="1" x14ac:dyDescent="0.2">
      <c r="A15" s="510" t="s">
        <v>220</v>
      </c>
      <c r="C15" s="98">
        <f>G15/4</f>
        <v>16.596499999999999</v>
      </c>
      <c r="D15" s="92">
        <f>G15/4</f>
        <v>16.596499999999999</v>
      </c>
      <c r="E15" s="92">
        <f>G15/4</f>
        <v>16.596499999999999</v>
      </c>
      <c r="F15" s="99">
        <f>G15/4</f>
        <v>16.596499999999999</v>
      </c>
      <c r="G15" s="161">
        <v>66.385999999999996</v>
      </c>
      <c r="H15" s="92"/>
      <c r="I15" s="98">
        <f>M15/4</f>
        <v>14.163</v>
      </c>
      <c r="J15" s="92">
        <f>M15/4</f>
        <v>14.163</v>
      </c>
      <c r="K15" s="92">
        <f>M15/4</f>
        <v>14.163</v>
      </c>
      <c r="L15" s="99">
        <f>M15/4</f>
        <v>14.163</v>
      </c>
      <c r="M15" s="161">
        <v>56.652000000000001</v>
      </c>
      <c r="N15" s="92"/>
      <c r="O15" s="98">
        <f>S15/4</f>
        <v>11.684749999999999</v>
      </c>
      <c r="P15" s="92">
        <f>S15/4</f>
        <v>11.684749999999999</v>
      </c>
      <c r="Q15" s="92">
        <f>S15/4</f>
        <v>11.684749999999999</v>
      </c>
      <c r="R15" s="99">
        <f>S15/4</f>
        <v>11.684749999999999</v>
      </c>
      <c r="S15" s="161">
        <v>46.738999999999997</v>
      </c>
      <c r="T15" s="92"/>
      <c r="U15" s="98">
        <f>Y15/4</f>
        <v>8.0452499999999993</v>
      </c>
      <c r="V15" s="92">
        <f>Y15/4</f>
        <v>8.0452499999999993</v>
      </c>
      <c r="W15" s="92">
        <f>Y15/4</f>
        <v>8.0452499999999993</v>
      </c>
      <c r="X15" s="99">
        <f>Y15/4</f>
        <v>8.0452499999999993</v>
      </c>
      <c r="Y15" s="161">
        <v>32.180999999999997</v>
      </c>
      <c r="Z15" s="92"/>
      <c r="AA15" s="98">
        <f>AE15/4</f>
        <v>5.7932499999999996</v>
      </c>
      <c r="AB15" s="92">
        <f>AE15/4</f>
        <v>5.7932499999999996</v>
      </c>
      <c r="AC15" s="92">
        <f>AE15/4</f>
        <v>5.7932499999999996</v>
      </c>
      <c r="AD15" s="99">
        <f>AE15/4</f>
        <v>5.7932499999999996</v>
      </c>
      <c r="AE15" s="161">
        <v>23.172999999999998</v>
      </c>
      <c r="AF15" s="92"/>
      <c r="AG15" s="98">
        <f>AK15/4</f>
        <v>8.8879999999999999</v>
      </c>
      <c r="AH15" s="92">
        <f>AK15/4</f>
        <v>8.8879999999999999</v>
      </c>
      <c r="AI15" s="92">
        <f>AK15/4</f>
        <v>8.8879999999999999</v>
      </c>
      <c r="AJ15" s="99">
        <f>AK15/4</f>
        <v>8.8879999999999999</v>
      </c>
      <c r="AK15" s="161">
        <v>35.552</v>
      </c>
      <c r="AL15" s="92"/>
      <c r="AM15" s="98">
        <f>AQ15/4</f>
        <v>9.5</v>
      </c>
      <c r="AN15" s="92">
        <f>AQ15/4</f>
        <v>9.5</v>
      </c>
      <c r="AO15" s="92">
        <f>AQ15/4</f>
        <v>9.5</v>
      </c>
      <c r="AP15" s="99">
        <f>AQ15/4</f>
        <v>9.5</v>
      </c>
      <c r="AQ15" s="161">
        <v>38</v>
      </c>
      <c r="AR15" s="92"/>
      <c r="AS15" s="98">
        <f>AW15/4</f>
        <v>10.25</v>
      </c>
      <c r="AT15" s="92">
        <f>AW15/4</f>
        <v>10.25</v>
      </c>
      <c r="AU15" s="92">
        <f>AW15/4</f>
        <v>10.25</v>
      </c>
      <c r="AV15" s="99">
        <f>AW15/4</f>
        <v>10.25</v>
      </c>
      <c r="AW15" s="161">
        <v>41</v>
      </c>
      <c r="AX15" s="92"/>
      <c r="AY15" s="95">
        <v>10</v>
      </c>
      <c r="AZ15" s="96">
        <v>10</v>
      </c>
      <c r="BA15" s="96">
        <v>22.5</v>
      </c>
      <c r="BB15" s="97">
        <v>22.5</v>
      </c>
      <c r="BC15" s="93">
        <f>SUM(AY15:BB15)</f>
        <v>65</v>
      </c>
      <c r="BD15" s="92"/>
      <c r="BE15" s="95">
        <v>0</v>
      </c>
      <c r="BF15" s="96">
        <v>0</v>
      </c>
      <c r="BG15" s="96">
        <v>0</v>
      </c>
      <c r="BH15" s="97">
        <v>0</v>
      </c>
      <c r="BI15" s="93">
        <f>SUM(BE15:BH15)</f>
        <v>0</v>
      </c>
      <c r="BJ15" s="92"/>
      <c r="BK15" s="95">
        <v>0</v>
      </c>
      <c r="BL15" s="96">
        <v>0</v>
      </c>
      <c r="BM15" s="96">
        <v>0</v>
      </c>
      <c r="BN15" s="97">
        <v>0</v>
      </c>
      <c r="BO15" s="93">
        <f>SUM(BK15:BN15)</f>
        <v>0</v>
      </c>
      <c r="BP15" s="92"/>
      <c r="BQ15" s="95">
        <v>0</v>
      </c>
      <c r="BR15" s="92">
        <f>BU15/4</f>
        <v>0</v>
      </c>
      <c r="BS15" s="92">
        <f>BU15/4</f>
        <v>0</v>
      </c>
      <c r="BT15" s="99">
        <f>BU15/4</f>
        <v>0</v>
      </c>
      <c r="BU15" s="161">
        <v>0</v>
      </c>
      <c r="BV15" s="92"/>
      <c r="BW15" s="98">
        <f>CA15/4</f>
        <v>0</v>
      </c>
      <c r="BX15" s="92">
        <f>CA15/4</f>
        <v>0</v>
      </c>
      <c r="BY15" s="92">
        <f>CA15/4</f>
        <v>0</v>
      </c>
      <c r="BZ15" s="99">
        <f>CA15/4</f>
        <v>0</v>
      </c>
      <c r="CA15" s="161">
        <v>0</v>
      </c>
      <c r="CB15" s="92"/>
      <c r="CC15" s="98">
        <f>CG15/4</f>
        <v>0</v>
      </c>
      <c r="CD15" s="92">
        <f>CG15/4</f>
        <v>0</v>
      </c>
      <c r="CE15" s="92">
        <f>CG15/4</f>
        <v>0</v>
      </c>
      <c r="CF15" s="99">
        <f>CG15/4</f>
        <v>0</v>
      </c>
      <c r="CG15" s="161">
        <v>0</v>
      </c>
      <c r="CH15" s="92"/>
      <c r="CI15" s="98">
        <f>CM15/4</f>
        <v>0</v>
      </c>
      <c r="CJ15" s="92">
        <f>CM15/4</f>
        <v>0</v>
      </c>
      <c r="CK15" s="92">
        <f>CM15/4</f>
        <v>0</v>
      </c>
      <c r="CL15" s="99">
        <f>CM15/4</f>
        <v>0</v>
      </c>
      <c r="CM15" s="161">
        <v>0</v>
      </c>
      <c r="CQ15"/>
      <c r="CR15"/>
      <c r="CS15"/>
      <c r="CT15"/>
      <c r="CU15"/>
      <c r="CV15"/>
    </row>
    <row r="16" spans="1:101" s="61" customFormat="1" collapsed="1" x14ac:dyDescent="0.2">
      <c r="A16" s="432" t="s">
        <v>221</v>
      </c>
      <c r="C16" s="104">
        <v>34.610999999999997</v>
      </c>
      <c r="D16" s="105">
        <f>60.661-C16</f>
        <v>26.050000000000004</v>
      </c>
      <c r="E16" s="105">
        <f>85.22-C16-D16</f>
        <v>24.558999999999997</v>
      </c>
      <c r="F16" s="106">
        <f>107.706-C16-D16-E16</f>
        <v>22.485999999999997</v>
      </c>
      <c r="G16" s="93">
        <f>SUM(C16:F16)</f>
        <v>107.70599999999999</v>
      </c>
      <c r="H16" s="92"/>
      <c r="I16" s="104">
        <v>35.665999999999997</v>
      </c>
      <c r="J16" s="105">
        <f>58.293-I16</f>
        <v>22.627000000000002</v>
      </c>
      <c r="K16" s="105">
        <f>80.526-I16-J16</f>
        <v>22.232999999999997</v>
      </c>
      <c r="L16" s="106">
        <f>100.585-I16-J16-K16</f>
        <v>20.058999999999997</v>
      </c>
      <c r="M16" s="93">
        <f>SUM(I16:L16)</f>
        <v>100.58499999999999</v>
      </c>
      <c r="N16" s="92"/>
      <c r="O16" s="104">
        <v>33.761000000000003</v>
      </c>
      <c r="P16" s="105">
        <f>56.47-O16</f>
        <v>22.708999999999996</v>
      </c>
      <c r="Q16" s="105">
        <f>78.984-O16-P16</f>
        <v>22.513999999999996</v>
      </c>
      <c r="R16" s="106">
        <f>86.574-O16-P16-Q16</f>
        <v>7.5900000000000034</v>
      </c>
      <c r="S16" s="93">
        <f>SUM(O16:R16)</f>
        <v>86.573999999999998</v>
      </c>
      <c r="T16" s="92"/>
      <c r="U16" s="104">
        <v>35.32</v>
      </c>
      <c r="V16" s="105">
        <f>52.467-U16</f>
        <v>17.146999999999998</v>
      </c>
      <c r="W16" s="105">
        <f>69.117-U16-V16</f>
        <v>16.650000000000006</v>
      </c>
      <c r="X16" s="106">
        <f>79.374-U16-V16-W16</f>
        <v>10.256999999999991</v>
      </c>
      <c r="Y16" s="93">
        <f>SUM(U16:X16)</f>
        <v>79.373999999999995</v>
      </c>
      <c r="Z16" s="92"/>
      <c r="AA16" s="104">
        <v>34.081000000000003</v>
      </c>
      <c r="AB16" s="105">
        <f>53.72-AA16</f>
        <v>19.638999999999996</v>
      </c>
      <c r="AC16" s="105">
        <f>72.202-AB16-AA16</f>
        <v>18.481999999999999</v>
      </c>
      <c r="AD16" s="99">
        <f>AE16-AC16-AB16-AA16</f>
        <v>1.1610000000000014</v>
      </c>
      <c r="AE16" s="161">
        <v>73.363</v>
      </c>
      <c r="AF16" s="92"/>
      <c r="AG16" s="104">
        <v>34.354999999999997</v>
      </c>
      <c r="AH16" s="105">
        <f>53.626-AG16</f>
        <v>19.271000000000001</v>
      </c>
      <c r="AI16" s="105">
        <f>71.689-AH16-AG16</f>
        <v>18.062999999999995</v>
      </c>
      <c r="AJ16" s="99">
        <f>AK16-AI16-AH16-AG16</f>
        <v>17.356000000000002</v>
      </c>
      <c r="AK16" s="161">
        <v>89.045000000000002</v>
      </c>
      <c r="AL16" s="92"/>
      <c r="AM16" s="104">
        <v>36.835000000000001</v>
      </c>
      <c r="AN16" s="105">
        <f>58.263-AM16</f>
        <v>21.427999999999997</v>
      </c>
      <c r="AO16" s="105">
        <f>78.741-AN16-AM16</f>
        <v>20.478000000000002</v>
      </c>
      <c r="AP16" s="99">
        <f>AQ16-AO16-AN16-AM16</f>
        <v>21.258999999999993</v>
      </c>
      <c r="AQ16" s="161">
        <v>100</v>
      </c>
      <c r="AR16" s="92"/>
      <c r="AS16" s="104">
        <v>42</v>
      </c>
      <c r="AT16" s="105">
        <f>67-AS16</f>
        <v>25</v>
      </c>
      <c r="AU16" s="105">
        <f>91-AT16-AS16</f>
        <v>24</v>
      </c>
      <c r="AV16" s="106">
        <f>113-AS16-AT16-AU16</f>
        <v>22</v>
      </c>
      <c r="AW16" s="93">
        <f>SUM(AS16:AV16)</f>
        <v>113</v>
      </c>
      <c r="AX16" s="92"/>
      <c r="AY16" s="95">
        <v>48</v>
      </c>
      <c r="AZ16" s="96">
        <f>92-AY16</f>
        <v>44</v>
      </c>
      <c r="BA16" s="96">
        <f>138-AZ16-AY16</f>
        <v>46</v>
      </c>
      <c r="BB16" s="97">
        <f>166-SUM(AY16:BA16)</f>
        <v>28</v>
      </c>
      <c r="BC16" s="93">
        <f t="shared" ref="BC16:BC26" si="2">SUM(AY16:BB16)</f>
        <v>166</v>
      </c>
      <c r="BD16" s="92"/>
      <c r="BE16" s="95">
        <v>76</v>
      </c>
      <c r="BF16" s="96">
        <f>119-BE16</f>
        <v>43</v>
      </c>
      <c r="BG16" s="96">
        <f>158-SUM(BE16:BF16)</f>
        <v>39</v>
      </c>
      <c r="BH16" s="97">
        <f>196-SUM(BE16:BG16)</f>
        <v>38</v>
      </c>
      <c r="BI16" s="93">
        <f t="shared" ref="BI16:BI26" si="3">SUM(BE16:BH16)</f>
        <v>196</v>
      </c>
      <c r="BJ16" s="92"/>
      <c r="BK16" s="95">
        <v>61</v>
      </c>
      <c r="BL16" s="96">
        <f>99-BK16</f>
        <v>38</v>
      </c>
      <c r="BM16" s="96">
        <f>138-SUM(BK16:BL16)</f>
        <v>39</v>
      </c>
      <c r="BN16" s="97">
        <f>174-SUM(BK16:BM16)</f>
        <v>36</v>
      </c>
      <c r="BO16" s="93">
        <f t="shared" ref="BO16:BO26" si="4">SUM(BK16:BN16)</f>
        <v>174</v>
      </c>
      <c r="BP16" s="92"/>
      <c r="BQ16" s="95">
        <v>141</v>
      </c>
      <c r="BR16" s="92">
        <f>BR74</f>
        <v>62.408264999999993</v>
      </c>
      <c r="BS16" s="92">
        <f>BS74</f>
        <v>43.001050000000006</v>
      </c>
      <c r="BT16" s="99">
        <f>BT74</f>
        <v>43.59769</v>
      </c>
      <c r="BU16" s="93">
        <f t="shared" ref="BU16:BU26" si="5">SUM(BQ16:BT16)</f>
        <v>290.00700499999999</v>
      </c>
      <c r="BV16" s="92"/>
      <c r="BW16" s="98">
        <f>BW74</f>
        <v>64.833500918274225</v>
      </c>
      <c r="BX16" s="92">
        <f>BX74</f>
        <v>65.789699890199657</v>
      </c>
      <c r="BY16" s="92">
        <f>BY74</f>
        <v>45.279818309649649</v>
      </c>
      <c r="BZ16" s="99">
        <f>BZ74</f>
        <v>45.902553955389429</v>
      </c>
      <c r="CA16" s="93">
        <f t="shared" ref="CA16:CA26" si="6">SUM(BW16:BZ16)</f>
        <v>221.80557307351296</v>
      </c>
      <c r="CB16" s="92"/>
      <c r="CC16" s="98">
        <f>CC74</f>
        <v>68.293542744087134</v>
      </c>
      <c r="CD16" s="92">
        <f>CD74</f>
        <v>69.271010976178886</v>
      </c>
      <c r="CE16" s="92">
        <f>CE74</f>
        <v>47.698668617706936</v>
      </c>
      <c r="CF16" s="99">
        <f>CF74</f>
        <v>48.34883141827477</v>
      </c>
      <c r="CG16" s="93">
        <f t="shared" ref="CG16:CG26" si="7">SUM(CC16:CF16)</f>
        <v>233.61205375624775</v>
      </c>
      <c r="CH16" s="92"/>
      <c r="CI16" s="98">
        <f>CI74</f>
        <v>71.958743227360046</v>
      </c>
      <c r="CJ16" s="92">
        <f>CJ74</f>
        <v>72.956505934073718</v>
      </c>
      <c r="CK16" s="92">
        <f>CK74</f>
        <v>50.260855403450513</v>
      </c>
      <c r="CL16" s="99">
        <f>CL74</f>
        <v>50.939643974220196</v>
      </c>
      <c r="CM16" s="93">
        <f t="shared" ref="CM16:CM26" si="8">SUM(CI16:CL16)</f>
        <v>246.11574853910446</v>
      </c>
      <c r="CQ16"/>
      <c r="CR16"/>
      <c r="CS16"/>
      <c r="CT16"/>
      <c r="CU16"/>
      <c r="CV16"/>
    </row>
    <row r="17" spans="1:100" s="61" customFormat="1" x14ac:dyDescent="0.2">
      <c r="A17" s="432" t="s">
        <v>222</v>
      </c>
      <c r="C17" s="104">
        <v>-27.457000000000001</v>
      </c>
      <c r="D17" s="105">
        <f>-43.598-C17</f>
        <v>-16.140999999999998</v>
      </c>
      <c r="E17" s="105">
        <f>-47.072-C17-D17</f>
        <v>-3.4740000000000038</v>
      </c>
      <c r="F17" s="106">
        <f>-115.489-C17-D17-E17</f>
        <v>-68.417000000000016</v>
      </c>
      <c r="G17" s="93">
        <f>SUM(C17:F17)</f>
        <v>-115.48900000000002</v>
      </c>
      <c r="H17" s="92"/>
      <c r="I17" s="104">
        <v>-1.4730000000000001</v>
      </c>
      <c r="J17" s="105">
        <f>-10.861-I17</f>
        <v>-9.3879999999999999</v>
      </c>
      <c r="K17" s="105">
        <f>-10.766-I17-J17</f>
        <v>9.5000000000000639E-2</v>
      </c>
      <c r="L17" s="106">
        <f>80.088-I17-J17-K17</f>
        <v>90.853999999999999</v>
      </c>
      <c r="M17" s="93">
        <f>SUM(I17:L17)</f>
        <v>80.087999999999994</v>
      </c>
      <c r="N17" s="92"/>
      <c r="O17" s="104">
        <v>9.2929999999999993</v>
      </c>
      <c r="P17" s="105">
        <f>6.373-O17</f>
        <v>-2.919999999999999</v>
      </c>
      <c r="Q17" s="105">
        <f>-21.627-O17-P17</f>
        <v>-28</v>
      </c>
      <c r="R17" s="106">
        <f>60.041-O17-P17-Q17</f>
        <v>81.668000000000006</v>
      </c>
      <c r="S17" s="93">
        <f>SUM(O17:R17)</f>
        <v>60.041000000000011</v>
      </c>
      <c r="T17" s="92"/>
      <c r="U17" s="104">
        <v>1.7090000000000001</v>
      </c>
      <c r="V17" s="105">
        <f>14.125-U17</f>
        <v>12.416</v>
      </c>
      <c r="W17" s="105">
        <f>7.088-U17-V17</f>
        <v>-7.0370000000000008</v>
      </c>
      <c r="X17" s="106">
        <f>28.055-U17-V17-W17</f>
        <v>20.966999999999999</v>
      </c>
      <c r="Y17" s="93">
        <f>SUM(U17:X17)</f>
        <v>28.055</v>
      </c>
      <c r="Z17" s="92"/>
      <c r="AA17" s="104">
        <v>-10.534000000000001</v>
      </c>
      <c r="AB17" s="105">
        <f>27.03-AA17</f>
        <v>37.564</v>
      </c>
      <c r="AC17" s="105">
        <f>27.43-AB17-AA17</f>
        <v>0.40000000000000036</v>
      </c>
      <c r="AD17" s="99">
        <f>AE17-AC17-AB17-AA17</f>
        <v>2.6169999999999991</v>
      </c>
      <c r="AE17" s="161">
        <v>30.047000000000001</v>
      </c>
      <c r="AF17" s="92"/>
      <c r="AG17" s="104">
        <v>29.170999999999999</v>
      </c>
      <c r="AH17" s="105">
        <f>18.879-AG17</f>
        <v>-10.291999999999998</v>
      </c>
      <c r="AI17" s="105">
        <f>-5.674-AH17-AG17</f>
        <v>-24.553000000000001</v>
      </c>
      <c r="AJ17" s="99">
        <f>AK17-AI17-AH17-AG17</f>
        <v>27.821000000000005</v>
      </c>
      <c r="AK17" s="161">
        <v>22.146999999999998</v>
      </c>
      <c r="AL17" s="92"/>
      <c r="AM17" s="104">
        <v>-10.005000000000001</v>
      </c>
      <c r="AN17" s="105">
        <f>-0.897-AM17</f>
        <v>9.1080000000000005</v>
      </c>
      <c r="AO17" s="105">
        <f>-28.992-AN17-AM17</f>
        <v>-28.094999999999999</v>
      </c>
      <c r="AP17" s="99">
        <f>AQ17-AO17-AN17-AM17</f>
        <v>64.99199999999999</v>
      </c>
      <c r="AQ17" s="161">
        <v>36</v>
      </c>
      <c r="AR17" s="92"/>
      <c r="AS17" s="104">
        <v>-13</v>
      </c>
      <c r="AT17" s="105">
        <f>-24-AS17</f>
        <v>-11</v>
      </c>
      <c r="AU17" s="105">
        <f>-53-AT17-AS17</f>
        <v>-29</v>
      </c>
      <c r="AV17" s="106">
        <f>-32-AS17-AT17-AU17+0.5</f>
        <v>21.5</v>
      </c>
      <c r="AW17" s="93">
        <f>SUM(AS17:AV17)</f>
        <v>-31.5</v>
      </c>
      <c r="AX17" s="92"/>
      <c r="AY17" s="104">
        <v>-2</v>
      </c>
      <c r="AZ17" s="96">
        <f>-13-AY17</f>
        <v>-11</v>
      </c>
      <c r="BA17" s="96">
        <f>-137-AY17-AZ17</f>
        <v>-124</v>
      </c>
      <c r="BB17" s="106">
        <f>-336-SUM(AY17:BA17)</f>
        <v>-199</v>
      </c>
      <c r="BC17" s="93">
        <f t="shared" si="2"/>
        <v>-336</v>
      </c>
      <c r="BD17" s="92"/>
      <c r="BE17" s="95">
        <v>-29</v>
      </c>
      <c r="BF17" s="105">
        <f>-112-BE17</f>
        <v>-83</v>
      </c>
      <c r="BG17" s="96">
        <f>-150-SUM(BE17:BF17)</f>
        <v>-38</v>
      </c>
      <c r="BH17" s="97">
        <f>-426-SUM(BE17:BG17)</f>
        <v>-276</v>
      </c>
      <c r="BI17" s="93">
        <f t="shared" si="3"/>
        <v>-426</v>
      </c>
      <c r="BJ17" s="92"/>
      <c r="BK17" s="104">
        <v>21</v>
      </c>
      <c r="BL17" s="96">
        <f>-43-BK17</f>
        <v>-64</v>
      </c>
      <c r="BM17" s="96">
        <f>-339-SUM(BK17:BL17)</f>
        <v>-296</v>
      </c>
      <c r="BN17" s="97">
        <f>-236-SUM(BK17:BM17)</f>
        <v>103</v>
      </c>
      <c r="BO17" s="93">
        <f t="shared" si="4"/>
        <v>-236</v>
      </c>
      <c r="BP17" s="92"/>
      <c r="BQ17" s="95">
        <v>-324</v>
      </c>
      <c r="BR17" s="105">
        <v>10</v>
      </c>
      <c r="BS17" s="105">
        <v>10</v>
      </c>
      <c r="BT17" s="106">
        <v>10</v>
      </c>
      <c r="BU17" s="93">
        <f t="shared" si="5"/>
        <v>-294</v>
      </c>
      <c r="BV17" s="92"/>
      <c r="BW17" s="104">
        <v>10</v>
      </c>
      <c r="BX17" s="105">
        <v>10</v>
      </c>
      <c r="BY17" s="105">
        <v>10</v>
      </c>
      <c r="BZ17" s="106">
        <v>10</v>
      </c>
      <c r="CA17" s="93">
        <f t="shared" si="6"/>
        <v>40</v>
      </c>
      <c r="CB17" s="92"/>
      <c r="CC17" s="104">
        <v>10</v>
      </c>
      <c r="CD17" s="105">
        <v>10</v>
      </c>
      <c r="CE17" s="105">
        <v>10</v>
      </c>
      <c r="CF17" s="106">
        <v>10</v>
      </c>
      <c r="CG17" s="93">
        <f t="shared" si="7"/>
        <v>40</v>
      </c>
      <c r="CH17" s="92"/>
      <c r="CI17" s="104">
        <v>10</v>
      </c>
      <c r="CJ17" s="105">
        <v>10</v>
      </c>
      <c r="CK17" s="105">
        <v>10</v>
      </c>
      <c r="CL17" s="106">
        <v>10</v>
      </c>
      <c r="CM17" s="93">
        <f t="shared" si="8"/>
        <v>40</v>
      </c>
      <c r="CQ17"/>
      <c r="CR17"/>
      <c r="CS17"/>
      <c r="CT17"/>
      <c r="CU17"/>
      <c r="CV17"/>
    </row>
    <row r="18" spans="1:100" s="61" customFormat="1" x14ac:dyDescent="0.2">
      <c r="A18" s="432" t="s">
        <v>223</v>
      </c>
      <c r="C18" s="104">
        <v>114.739</v>
      </c>
      <c r="D18" s="105">
        <f>114.739-C18</f>
        <v>0</v>
      </c>
      <c r="E18" s="105">
        <f>122.133-C18-D18</f>
        <v>7.3939999999999912</v>
      </c>
      <c r="F18" s="106">
        <f>122.133-C18-D18-E18</f>
        <v>0</v>
      </c>
      <c r="G18" s="93">
        <f>SUM(C18:F18)</f>
        <v>122.133</v>
      </c>
      <c r="H18" s="92"/>
      <c r="I18" s="104">
        <v>0</v>
      </c>
      <c r="J18" s="105">
        <f>0-I18</f>
        <v>0</v>
      </c>
      <c r="K18" s="105">
        <f>0-I18-J18</f>
        <v>0</v>
      </c>
      <c r="L18" s="106">
        <f>0-I18-J18-K18</f>
        <v>0</v>
      </c>
      <c r="M18" s="93">
        <f>SUM(I18:L18)</f>
        <v>0</v>
      </c>
      <c r="N18" s="92"/>
      <c r="O18" s="104">
        <v>0</v>
      </c>
      <c r="P18" s="105">
        <f>0-O18</f>
        <v>0</v>
      </c>
      <c r="Q18" s="105">
        <f>0-O18-P18</f>
        <v>0</v>
      </c>
      <c r="R18" s="106">
        <f>0-O18-P18-Q18</f>
        <v>0</v>
      </c>
      <c r="S18" s="93">
        <f>SUM(O18:R18)</f>
        <v>0</v>
      </c>
      <c r="T18" s="92"/>
      <c r="U18" s="104">
        <v>0</v>
      </c>
      <c r="V18" s="105">
        <f>0-U18</f>
        <v>0</v>
      </c>
      <c r="W18" s="105">
        <f>0-U18-V18</f>
        <v>0</v>
      </c>
      <c r="X18" s="106">
        <f>0-U18-V18-W18</f>
        <v>0</v>
      </c>
      <c r="Y18" s="93">
        <f>SUM(U18:X18)</f>
        <v>0</v>
      </c>
      <c r="Z18" s="92"/>
      <c r="AA18" s="104">
        <v>0</v>
      </c>
      <c r="AB18" s="105">
        <v>0</v>
      </c>
      <c r="AC18" s="105">
        <v>0</v>
      </c>
      <c r="AD18" s="106">
        <f>0-AA18-AB18-AC18</f>
        <v>0</v>
      </c>
      <c r="AE18" s="93">
        <f>SUM(AA18:AD18)</f>
        <v>0</v>
      </c>
      <c r="AF18" s="92"/>
      <c r="AG18" s="104">
        <v>0</v>
      </c>
      <c r="AH18" s="105">
        <v>0</v>
      </c>
      <c r="AI18" s="105">
        <v>0</v>
      </c>
      <c r="AJ18" s="106">
        <f>0-AG18-AH18-AI18</f>
        <v>0</v>
      </c>
      <c r="AK18" s="93">
        <f>SUM(AG18:AJ18)</f>
        <v>0</v>
      </c>
      <c r="AL18" s="92"/>
      <c r="AM18" s="104">
        <v>0</v>
      </c>
      <c r="AN18" s="105">
        <v>0</v>
      </c>
      <c r="AO18" s="105">
        <v>0</v>
      </c>
      <c r="AP18" s="106">
        <f>0-AM18-AN18-AO18</f>
        <v>0</v>
      </c>
      <c r="AQ18" s="93">
        <f>SUM(AM18:AP18)</f>
        <v>0</v>
      </c>
      <c r="AR18" s="92"/>
      <c r="AS18" s="104">
        <v>0</v>
      </c>
      <c r="AT18" s="105">
        <v>0</v>
      </c>
      <c r="AU18" s="105">
        <v>0</v>
      </c>
      <c r="AV18" s="106">
        <v>0</v>
      </c>
      <c r="AW18" s="93">
        <f>SUM(AS18:AV18)</f>
        <v>0</v>
      </c>
      <c r="AX18" s="92"/>
      <c r="AY18" s="104">
        <v>0</v>
      </c>
      <c r="AZ18" s="96">
        <v>0</v>
      </c>
      <c r="BA18" s="105">
        <v>0</v>
      </c>
      <c r="BB18" s="106">
        <v>0</v>
      </c>
      <c r="BC18" s="93">
        <f t="shared" si="2"/>
        <v>0</v>
      </c>
      <c r="BD18" s="92"/>
      <c r="BE18" s="95">
        <v>0</v>
      </c>
      <c r="BF18" s="105">
        <v>0</v>
      </c>
      <c r="BG18" s="105">
        <v>0</v>
      </c>
      <c r="BH18" s="106">
        <v>0</v>
      </c>
      <c r="BI18" s="93">
        <f t="shared" si="3"/>
        <v>0</v>
      </c>
      <c r="BJ18" s="92"/>
      <c r="BK18" s="104">
        <v>0</v>
      </c>
      <c r="BL18" s="105">
        <v>0</v>
      </c>
      <c r="BM18" s="105">
        <v>0</v>
      </c>
      <c r="BN18" s="106">
        <v>0</v>
      </c>
      <c r="BO18" s="93">
        <f t="shared" si="4"/>
        <v>0</v>
      </c>
      <c r="BP18" s="92"/>
      <c r="BQ18" s="104">
        <v>0</v>
      </c>
      <c r="BR18" s="105">
        <v>0</v>
      </c>
      <c r="BS18" s="105">
        <v>0</v>
      </c>
      <c r="BT18" s="106">
        <v>0</v>
      </c>
      <c r="BU18" s="93">
        <f t="shared" si="5"/>
        <v>0</v>
      </c>
      <c r="BV18" s="92"/>
      <c r="BW18" s="104">
        <v>0</v>
      </c>
      <c r="BX18" s="105">
        <v>0</v>
      </c>
      <c r="BY18" s="105">
        <v>0</v>
      </c>
      <c r="BZ18" s="106">
        <v>0</v>
      </c>
      <c r="CA18" s="93">
        <f t="shared" si="6"/>
        <v>0</v>
      </c>
      <c r="CB18" s="92"/>
      <c r="CC18" s="104">
        <v>0</v>
      </c>
      <c r="CD18" s="105">
        <v>0</v>
      </c>
      <c r="CE18" s="105">
        <v>0</v>
      </c>
      <c r="CF18" s="106">
        <v>0</v>
      </c>
      <c r="CG18" s="93">
        <f t="shared" si="7"/>
        <v>0</v>
      </c>
      <c r="CH18" s="92"/>
      <c r="CI18" s="104">
        <v>0</v>
      </c>
      <c r="CJ18" s="105">
        <v>0</v>
      </c>
      <c r="CK18" s="105">
        <v>0</v>
      </c>
      <c r="CL18" s="106">
        <v>0</v>
      </c>
      <c r="CM18" s="93">
        <f t="shared" si="8"/>
        <v>0</v>
      </c>
      <c r="CQ18"/>
      <c r="CR18"/>
      <c r="CS18"/>
      <c r="CT18"/>
      <c r="CU18"/>
      <c r="CV18"/>
    </row>
    <row r="19" spans="1:100" s="61" customFormat="1" x14ac:dyDescent="0.2">
      <c r="A19" s="432" t="s">
        <v>224</v>
      </c>
      <c r="C19" s="104">
        <v>-23.579000000000001</v>
      </c>
      <c r="D19" s="105">
        <f>-154.963-C19</f>
        <v>-131.38399999999999</v>
      </c>
      <c r="E19" s="105">
        <f>-192.632-C19-D19</f>
        <v>-37.669000000000011</v>
      </c>
      <c r="F19" s="106">
        <f>-165.88-C19-D19-E19</f>
        <v>26.75200000000001</v>
      </c>
      <c r="G19" s="93">
        <f>SUM(C19:F19)</f>
        <v>-165.88</v>
      </c>
      <c r="H19" s="92"/>
      <c r="I19" s="104">
        <v>52.787999999999997</v>
      </c>
      <c r="J19" s="105">
        <f>-158.26-I19</f>
        <v>-211.048</v>
      </c>
      <c r="K19" s="105">
        <f>-66.107-I19-J19</f>
        <v>92.153000000000006</v>
      </c>
      <c r="L19" s="106">
        <f>-87.287-I19-J19-K19</f>
        <v>-21.179999999999993</v>
      </c>
      <c r="M19" s="93">
        <f>SUM(I19:L19)</f>
        <v>-87.286999999999978</v>
      </c>
      <c r="N19" s="92"/>
      <c r="O19" s="104">
        <v>-100.84699999999999</v>
      </c>
      <c r="P19" s="105">
        <f>-273.197-O19</f>
        <v>-172.35000000000002</v>
      </c>
      <c r="Q19" s="105">
        <f>-214.969-O19-P19</f>
        <v>58.228000000000023</v>
      </c>
      <c r="R19" s="106">
        <f>-89.739-O19-P19-Q19</f>
        <v>125.23</v>
      </c>
      <c r="S19" s="93">
        <f>SUM(O19:R19)</f>
        <v>-89.73899999999999</v>
      </c>
      <c r="T19" s="92"/>
      <c r="U19" s="104">
        <v>88.691000000000003</v>
      </c>
      <c r="V19" s="105">
        <f>-141.912-U19</f>
        <v>-230.60300000000001</v>
      </c>
      <c r="W19" s="105">
        <f>-94.027-U19-V19</f>
        <v>47.884999999999991</v>
      </c>
      <c r="X19" s="106">
        <f>-68.75-U19-V19-W19</f>
        <v>25.277000000000015</v>
      </c>
      <c r="Y19" s="93">
        <f>SUM(Y20:Y24)</f>
        <v>-68.75</v>
      </c>
      <c r="Z19" s="92"/>
      <c r="AA19" s="104">
        <v>-28.63</v>
      </c>
      <c r="AB19" s="105">
        <f>-285.068-AA19</f>
        <v>-256.43799999999999</v>
      </c>
      <c r="AC19" s="105">
        <f>-314.682-AB19-AA19</f>
        <v>-29.614000000000029</v>
      </c>
      <c r="AD19" s="106">
        <f>-253.269-AA19-AB19-AC19</f>
        <v>61.413000000000011</v>
      </c>
      <c r="AE19" s="93">
        <f>SUM(AE20:AE24)</f>
        <v>-253.26900000000001</v>
      </c>
      <c r="AF19" s="92"/>
      <c r="AG19" s="104">
        <v>-81.891000000000005</v>
      </c>
      <c r="AH19" s="105">
        <f>-231.226-AG19</f>
        <v>-149.33499999999998</v>
      </c>
      <c r="AI19" s="105">
        <f>-117.819-AH19-AG19</f>
        <v>113.40699999999998</v>
      </c>
      <c r="AJ19" s="106">
        <f>-3.477-AG19-AH19-AI19</f>
        <v>114.34199999999998</v>
      </c>
      <c r="AK19" s="93">
        <f>SUM(AK20:AK24)</f>
        <v>-3.4770000000000003</v>
      </c>
      <c r="AL19" s="92"/>
      <c r="AM19" s="104">
        <v>-103.426</v>
      </c>
      <c r="AN19" s="105">
        <f>-263.943-AM19</f>
        <v>-160.517</v>
      </c>
      <c r="AO19" s="105">
        <f>-228.615-AN19-AM19</f>
        <v>35.327999999999989</v>
      </c>
      <c r="AP19" s="106">
        <f>160-AM19-AN19-AO19</f>
        <v>388.61500000000001</v>
      </c>
      <c r="AQ19" s="93">
        <f>SUM(AQ20:AQ24)</f>
        <v>160</v>
      </c>
      <c r="AR19" s="92"/>
      <c r="AS19" s="104">
        <v>-75</v>
      </c>
      <c r="AT19" s="105">
        <f>-113-AS19</f>
        <v>-38</v>
      </c>
      <c r="AU19" s="105">
        <f>-114-AT19-AS19</f>
        <v>-1</v>
      </c>
      <c r="AV19" s="106">
        <f>(-7-189-120+199)-AS19-AT19-AU19</f>
        <v>-3</v>
      </c>
      <c r="AW19" s="93">
        <f>SUM(AS19:AV19)</f>
        <v>-117</v>
      </c>
      <c r="AX19" s="92"/>
      <c r="AY19" s="95">
        <v>-109</v>
      </c>
      <c r="AZ19" s="96">
        <f>-255-AY19</f>
        <v>-146</v>
      </c>
      <c r="BA19" s="96">
        <f>-42-AY19-AZ19</f>
        <v>213</v>
      </c>
      <c r="BB19" s="99">
        <f>SUM(BB20:BB24)-SUM(AY19:BA19)</f>
        <v>316</v>
      </c>
      <c r="BC19" s="93">
        <f t="shared" si="2"/>
        <v>274</v>
      </c>
      <c r="BD19" s="92"/>
      <c r="BE19" s="95">
        <v>-237</v>
      </c>
      <c r="BF19" s="96">
        <f>-194-BE19</f>
        <v>43</v>
      </c>
      <c r="BG19" s="96">
        <f>-49-SUM(BE19:BF19)</f>
        <v>145</v>
      </c>
      <c r="BH19" s="99">
        <f>SUM(BH20:BH24)-SUM(BE19:BG19)</f>
        <v>448</v>
      </c>
      <c r="BI19" s="93">
        <f t="shared" si="3"/>
        <v>399</v>
      </c>
      <c r="BJ19" s="92"/>
      <c r="BK19" s="95">
        <v>-506</v>
      </c>
      <c r="BL19" s="96">
        <f>-474-BK19</f>
        <v>32</v>
      </c>
      <c r="BM19" s="96">
        <f>-665-SUM(BK19:BL19)</f>
        <v>-191</v>
      </c>
      <c r="BN19" s="99">
        <f>SUM(BN20:BN24)-SUM(BK19:BM19)</f>
        <v>294</v>
      </c>
      <c r="BO19" s="93">
        <f t="shared" si="4"/>
        <v>-371</v>
      </c>
      <c r="BP19" s="92"/>
      <c r="BQ19" s="95">
        <v>409</v>
      </c>
      <c r="BR19" s="92">
        <f>SUM(BR20:BR24)</f>
        <v>-346.80528155844058</v>
      </c>
      <c r="BS19" s="92">
        <f>SUM(BS20:BS24)</f>
        <v>261.02318491371511</v>
      </c>
      <c r="BT19" s="99">
        <f>SUM(BT20:BT24)</f>
        <v>355.00005787867121</v>
      </c>
      <c r="BU19" s="93">
        <f t="shared" si="5"/>
        <v>678.21796123394574</v>
      </c>
      <c r="BV19" s="92"/>
      <c r="BW19" s="98">
        <f>SUM(BW20:BW24)</f>
        <v>99.138035346943298</v>
      </c>
      <c r="BX19" s="92">
        <f>SUM(BX20:BX24)</f>
        <v>22.57617468430476</v>
      </c>
      <c r="BY19" s="92">
        <f>SUM(BY20:BY24)</f>
        <v>-22.777673529480353</v>
      </c>
      <c r="BZ19" s="99">
        <f>SUM(BZ20:BZ24)</f>
        <v>24.09693420886174</v>
      </c>
      <c r="CA19" s="93">
        <f t="shared" si="6"/>
        <v>123.03347071062944</v>
      </c>
      <c r="CB19" s="92"/>
      <c r="CC19" s="98">
        <f>SUM(CC20:CC24)</f>
        <v>-10.301508070521322</v>
      </c>
      <c r="CD19" s="92">
        <f>SUM(CD20:CD24)</f>
        <v>22.644824956046477</v>
      </c>
      <c r="CE19" s="92">
        <f>SUM(CE20:CE24)</f>
        <v>-30.499081269248563</v>
      </c>
      <c r="CF19" s="99">
        <f>SUM(CF20:CF24)</f>
        <v>23.372716965495783</v>
      </c>
      <c r="CG19" s="93">
        <f t="shared" si="7"/>
        <v>5.2169525817723752</v>
      </c>
      <c r="CH19" s="92"/>
      <c r="CI19" s="98">
        <f>SUM(CI20:CI24)</f>
        <v>1.4228361619934731</v>
      </c>
      <c r="CJ19" s="92">
        <f>SUM(CJ20:CJ24)</f>
        <v>43.884796662270219</v>
      </c>
      <c r="CK19" s="92">
        <f>SUM(CK20:CK24)</f>
        <v>-71.917786161536242</v>
      </c>
      <c r="CL19" s="99">
        <f>SUM(CL20:CL24)</f>
        <v>22.567968815354106</v>
      </c>
      <c r="CM19" s="93">
        <f t="shared" si="8"/>
        <v>-4.0421845219184434</v>
      </c>
      <c r="CQ19"/>
      <c r="CR19"/>
      <c r="CS19"/>
      <c r="CT19"/>
      <c r="CU19"/>
      <c r="CV19"/>
    </row>
    <row r="20" spans="1:100" s="61" customFormat="1" hidden="1" outlineLevel="1" x14ac:dyDescent="0.2">
      <c r="A20" s="510" t="s">
        <v>225</v>
      </c>
      <c r="B20" s="511"/>
      <c r="C20" s="104">
        <v>-42.976999999999975</v>
      </c>
      <c r="D20" s="92"/>
      <c r="E20" s="92"/>
      <c r="F20" s="99"/>
      <c r="G20" s="161">
        <v>-117.048</v>
      </c>
      <c r="H20" s="92"/>
      <c r="I20" s="98"/>
      <c r="J20" s="92"/>
      <c r="K20" s="92"/>
      <c r="L20" s="99"/>
      <c r="M20" s="161">
        <v>-1.927</v>
      </c>
      <c r="N20" s="92"/>
      <c r="O20" s="98"/>
      <c r="P20" s="92"/>
      <c r="Q20" s="92"/>
      <c r="R20" s="99"/>
      <c r="S20" s="161">
        <v>-82.805000000000007</v>
      </c>
      <c r="T20" s="92"/>
      <c r="U20" s="98"/>
      <c r="V20" s="92"/>
      <c r="W20" s="92"/>
      <c r="X20" s="99"/>
      <c r="Y20" s="161">
        <v>-73.933000000000007</v>
      </c>
      <c r="Z20" s="92"/>
      <c r="AA20" s="98"/>
      <c r="AB20" s="92"/>
      <c r="AC20" s="92"/>
      <c r="AD20" s="99"/>
      <c r="AE20" s="161">
        <v>-26.515000000000001</v>
      </c>
      <c r="AF20" s="92"/>
      <c r="AG20" s="98"/>
      <c r="AH20" s="92"/>
      <c r="AI20" s="92"/>
      <c r="AJ20" s="99"/>
      <c r="AK20" s="161">
        <v>-30.068999999999999</v>
      </c>
      <c r="AL20" s="92"/>
      <c r="AM20" s="98"/>
      <c r="AN20" s="92"/>
      <c r="AO20" s="92"/>
      <c r="AP20" s="99"/>
      <c r="AQ20" s="161">
        <v>-1</v>
      </c>
      <c r="AR20" s="92"/>
      <c r="AS20" s="88"/>
      <c r="AT20" s="89"/>
      <c r="AU20" s="89"/>
      <c r="AV20" s="99"/>
      <c r="AW20" s="161">
        <v>-7</v>
      </c>
      <c r="AX20" s="92"/>
      <c r="AY20" s="88"/>
      <c r="AZ20" s="89"/>
      <c r="BA20" s="89"/>
      <c r="BB20" s="97">
        <v>-2</v>
      </c>
      <c r="BC20" s="93">
        <f t="shared" si="2"/>
        <v>-2</v>
      </c>
      <c r="BD20" s="92"/>
      <c r="BE20" s="88"/>
      <c r="BF20" s="89"/>
      <c r="BG20" s="89"/>
      <c r="BH20" s="97">
        <v>-128</v>
      </c>
      <c r="BI20" s="93">
        <f t="shared" si="3"/>
        <v>-128</v>
      </c>
      <c r="BJ20" s="92"/>
      <c r="BK20" s="95"/>
      <c r="BL20" s="89"/>
      <c r="BM20" s="89"/>
      <c r="BN20" s="97">
        <v>-93</v>
      </c>
      <c r="BO20" s="93">
        <f t="shared" si="4"/>
        <v>-93</v>
      </c>
      <c r="BP20" s="92"/>
      <c r="BQ20" s="88"/>
      <c r="BR20" s="89">
        <f>BS!BQ10-BS!BR10</f>
        <v>-188.56381369862993</v>
      </c>
      <c r="BS20" s="89">
        <f>BS!BR10-BS!BS10</f>
        <v>-73.40922739726102</v>
      </c>
      <c r="BT20" s="90">
        <f>BS!BS10-BS!BT10</f>
        <v>-31.384898630136377</v>
      </c>
      <c r="BU20" s="93">
        <f t="shared" si="5"/>
        <v>-293.35793972602733</v>
      </c>
      <c r="BV20" s="92"/>
      <c r="BW20" s="88">
        <f>BS!BT10-BS!BW10</f>
        <v>21.959315133623022</v>
      </c>
      <c r="BX20" s="89">
        <f>BS!BW10-BS!BX10</f>
        <v>-35.747015392679259</v>
      </c>
      <c r="BY20" s="89">
        <f>BS!BX10-BS!BY10</f>
        <v>-74.696857399226701</v>
      </c>
      <c r="BZ20" s="90">
        <f>BS!BY10-BS!BZ10</f>
        <v>-32.757601090969274</v>
      </c>
      <c r="CA20" s="93">
        <f t="shared" si="6"/>
        <v>-121.24215874925221</v>
      </c>
      <c r="CB20" s="92"/>
      <c r="CC20" s="88">
        <f>BS!BZ10-BS!CC10</f>
        <v>-27.913618130894974</v>
      </c>
      <c r="CD20" s="89">
        <f>BS!CC10-BS!CD10</f>
        <v>-37.325215143790956</v>
      </c>
      <c r="CE20" s="89">
        <f>BS!CD10-BS!CE10</f>
        <v>-81.514232378954603</v>
      </c>
      <c r="CF20" s="90">
        <f>BS!CE10-BS!CF10</f>
        <v>-34.912851756519558</v>
      </c>
      <c r="CG20" s="93">
        <f t="shared" si="7"/>
        <v>-181.66591741016009</v>
      </c>
      <c r="CH20" s="92"/>
      <c r="CI20" s="88">
        <f>BS!CF10-BS!CI10</f>
        <v>-29.905934061475364</v>
      </c>
      <c r="CJ20" s="89">
        <f>BS!CI10-BS!CJ10</f>
        <v>-38.905892393677732</v>
      </c>
      <c r="CK20" s="89">
        <f>BS!CJ10-BS!CK10</f>
        <v>-88.941631821079227</v>
      </c>
      <c r="CL20" s="90">
        <f>BS!CK10-BS!CL10</f>
        <v>-37.193894288750016</v>
      </c>
      <c r="CM20" s="93">
        <f t="shared" si="8"/>
        <v>-194.94735256498234</v>
      </c>
      <c r="CQ20"/>
      <c r="CR20"/>
      <c r="CS20"/>
      <c r="CT20"/>
      <c r="CU20"/>
      <c r="CV20"/>
    </row>
    <row r="21" spans="1:100" s="61" customFormat="1" hidden="1" outlineLevel="1" x14ac:dyDescent="0.2">
      <c r="A21" s="510" t="s">
        <v>226</v>
      </c>
      <c r="B21" s="511"/>
      <c r="C21" s="104">
        <v>-50.86</v>
      </c>
      <c r="D21" s="92"/>
      <c r="E21" s="92"/>
      <c r="F21" s="99"/>
      <c r="G21" s="161">
        <v>-126.863</v>
      </c>
      <c r="H21" s="92"/>
      <c r="I21" s="98"/>
      <c r="J21" s="92"/>
      <c r="K21" s="92"/>
      <c r="L21" s="99"/>
      <c r="M21" s="161">
        <v>-43.616999999999997</v>
      </c>
      <c r="N21" s="92"/>
      <c r="O21" s="98"/>
      <c r="P21" s="92"/>
      <c r="Q21" s="92"/>
      <c r="R21" s="99"/>
      <c r="S21" s="161">
        <v>-98.343999999999994</v>
      </c>
      <c r="T21" s="92"/>
      <c r="U21" s="98"/>
      <c r="V21" s="92"/>
      <c r="W21" s="92"/>
      <c r="X21" s="99"/>
      <c r="Y21" s="161">
        <v>-116.5</v>
      </c>
      <c r="Z21" s="92"/>
      <c r="AA21" s="98"/>
      <c r="AB21" s="92"/>
      <c r="AC21" s="92"/>
      <c r="AD21" s="99"/>
      <c r="AE21" s="161">
        <v>-117.539</v>
      </c>
      <c r="AF21" s="92"/>
      <c r="AG21" s="98"/>
      <c r="AH21" s="92"/>
      <c r="AI21" s="92"/>
      <c r="AJ21" s="99"/>
      <c r="AK21" s="161">
        <v>-92.412999999999997</v>
      </c>
      <c r="AL21" s="92"/>
      <c r="AM21" s="98"/>
      <c r="AN21" s="92"/>
      <c r="AO21" s="92"/>
      <c r="AP21" s="99"/>
      <c r="AQ21" s="161">
        <v>-145</v>
      </c>
      <c r="AR21" s="92"/>
      <c r="AS21" s="88"/>
      <c r="AT21" s="89"/>
      <c r="AU21" s="89"/>
      <c r="AV21" s="99"/>
      <c r="AW21" s="161">
        <v>-189</v>
      </c>
      <c r="AX21" s="92"/>
      <c r="AY21" s="88"/>
      <c r="AZ21" s="89"/>
      <c r="BA21" s="89"/>
      <c r="BB21" s="97">
        <v>200</v>
      </c>
      <c r="BC21" s="93">
        <f t="shared" si="2"/>
        <v>200</v>
      </c>
      <c r="BD21" s="92"/>
      <c r="BE21" s="88"/>
      <c r="BF21" s="89"/>
      <c r="BG21" s="89"/>
      <c r="BH21" s="97">
        <v>69</v>
      </c>
      <c r="BI21" s="93">
        <f t="shared" si="3"/>
        <v>69</v>
      </c>
      <c r="BJ21" s="92"/>
      <c r="BK21" s="95"/>
      <c r="BL21" s="89"/>
      <c r="BM21" s="89"/>
      <c r="BN21" s="97">
        <v>14</v>
      </c>
      <c r="BO21" s="93">
        <f t="shared" si="4"/>
        <v>14</v>
      </c>
      <c r="BP21" s="92"/>
      <c r="BQ21" s="88"/>
      <c r="BR21" s="89">
        <f>BS!BQ12-BS!BR12</f>
        <v>-8.0789342465754999</v>
      </c>
      <c r="BS21" s="89">
        <f>BS!BR12-BS!BS12</f>
        <v>-43.241342465754315</v>
      </c>
      <c r="BT21" s="90">
        <f>BS!BS12-BS!BT12</f>
        <v>-27.545736986301108</v>
      </c>
      <c r="BU21" s="93">
        <f t="shared" si="5"/>
        <v>-78.866013698630923</v>
      </c>
      <c r="BV21" s="92"/>
      <c r="BW21" s="88">
        <f>BS!BT12-BS!BW12</f>
        <v>26.2235051762691</v>
      </c>
      <c r="BX21" s="89">
        <f>BS!BW12-BS!BX12</f>
        <v>-37.325464457874205</v>
      </c>
      <c r="BY21" s="89">
        <f>BS!BX12-BS!BY12</f>
        <v>-106.41659385830053</v>
      </c>
      <c r="BZ21" s="90">
        <f>BS!BY12-BS!BZ12</f>
        <v>-28.414938333474311</v>
      </c>
      <c r="CA21" s="93">
        <f t="shared" si="6"/>
        <v>-145.93349147337995</v>
      </c>
      <c r="CB21" s="92"/>
      <c r="CC21" s="88">
        <f>BS!BZ12-BS!CC12</f>
        <v>57.606130916246457</v>
      </c>
      <c r="CD21" s="89">
        <f>BS!CC12-BS!CD12</f>
        <v>-37.216965705697476</v>
      </c>
      <c r="CE21" s="89">
        <f>BS!CD12-BS!CE12</f>
        <v>-112.13987142470705</v>
      </c>
      <c r="CF21" s="90">
        <f>BS!CE12-BS!CF12</f>
        <v>-28.755374676329211</v>
      </c>
      <c r="CG21" s="93">
        <f t="shared" si="7"/>
        <v>-120.50608089048728</v>
      </c>
      <c r="CH21" s="92"/>
      <c r="CI21" s="88">
        <f>BS!CF12-BS!CI12</f>
        <v>27.990256820753984</v>
      </c>
      <c r="CJ21" s="89">
        <f>BS!CI12-BS!CJ12</f>
        <v>-94.1505499365785</v>
      </c>
      <c r="CK21" s="89">
        <f>BS!CJ12-BS!CK12</f>
        <v>-29.02733581243092</v>
      </c>
      <c r="CL21" s="90">
        <f>BS!CK12-BS!CL12</f>
        <v>-29.048684245406093</v>
      </c>
      <c r="CM21" s="93">
        <f t="shared" si="8"/>
        <v>-124.23631317366153</v>
      </c>
      <c r="CQ21"/>
      <c r="CR21"/>
      <c r="CS21"/>
      <c r="CT21"/>
      <c r="CU21"/>
      <c r="CV21"/>
    </row>
    <row r="22" spans="1:100" s="61" customFormat="1" hidden="1" outlineLevel="1" x14ac:dyDescent="0.2">
      <c r="A22" s="510" t="s">
        <v>227</v>
      </c>
      <c r="B22" s="511"/>
      <c r="C22" s="104"/>
      <c r="D22" s="92"/>
      <c r="E22" s="92"/>
      <c r="F22" s="99"/>
      <c r="G22" s="161"/>
      <c r="H22" s="92"/>
      <c r="I22" s="98"/>
      <c r="J22" s="92"/>
      <c r="K22" s="92"/>
      <c r="L22" s="99"/>
      <c r="M22" s="161"/>
      <c r="N22" s="92"/>
      <c r="O22" s="98"/>
      <c r="P22" s="92"/>
      <c r="Q22" s="92"/>
      <c r="R22" s="99"/>
      <c r="S22" s="161"/>
      <c r="T22" s="92"/>
      <c r="U22" s="98"/>
      <c r="V22" s="92"/>
      <c r="W22" s="92"/>
      <c r="X22" s="99"/>
      <c r="Y22" s="161"/>
      <c r="Z22" s="92"/>
      <c r="AA22" s="98"/>
      <c r="AB22" s="92"/>
      <c r="AC22" s="92"/>
      <c r="AD22" s="99"/>
      <c r="AE22" s="161"/>
      <c r="AF22" s="92"/>
      <c r="AG22" s="98"/>
      <c r="AH22" s="92"/>
      <c r="AI22" s="92"/>
      <c r="AJ22" s="99"/>
      <c r="AK22" s="161"/>
      <c r="AL22" s="92"/>
      <c r="AM22" s="98"/>
      <c r="AN22" s="92"/>
      <c r="AO22" s="92"/>
      <c r="AP22" s="99"/>
      <c r="AQ22" s="161"/>
      <c r="AR22" s="92"/>
      <c r="AS22" s="88"/>
      <c r="AT22" s="89"/>
      <c r="AU22" s="89"/>
      <c r="AV22" s="90"/>
      <c r="AW22" s="93"/>
      <c r="AX22" s="92"/>
      <c r="AY22" s="88"/>
      <c r="AZ22" s="89"/>
      <c r="BA22" s="89"/>
      <c r="BB22" s="97">
        <v>28</v>
      </c>
      <c r="BC22" s="93">
        <f t="shared" si="2"/>
        <v>28</v>
      </c>
      <c r="BD22" s="92"/>
      <c r="BE22" s="88"/>
      <c r="BF22" s="89"/>
      <c r="BG22" s="89"/>
      <c r="BH22" s="97">
        <v>51</v>
      </c>
      <c r="BI22" s="93">
        <f t="shared" si="3"/>
        <v>51</v>
      </c>
      <c r="BJ22" s="92"/>
      <c r="BK22" s="95"/>
      <c r="BL22" s="89"/>
      <c r="BM22" s="89"/>
      <c r="BN22" s="97">
        <v>-46</v>
      </c>
      <c r="BO22" s="93">
        <f t="shared" si="4"/>
        <v>-46</v>
      </c>
      <c r="BP22" s="92"/>
      <c r="BQ22" s="88"/>
      <c r="BR22" s="89">
        <f>-BS!BR93-BS!BR94-BS!BR97-BS!BR98</f>
        <v>0</v>
      </c>
      <c r="BS22" s="89">
        <f>-BS!BS93-BS!BS94-BS!BS97-BS!BS98</f>
        <v>0</v>
      </c>
      <c r="BT22" s="90">
        <f>-BS!BT93-BS!BT94-BS!BT97-BS!BT98</f>
        <v>0</v>
      </c>
      <c r="BU22" s="93">
        <f t="shared" si="5"/>
        <v>0</v>
      </c>
      <c r="BV22" s="92"/>
      <c r="BW22" s="88">
        <f>-BS!BW93-BS!BW94-BS!BW97-BS!BW98</f>
        <v>0</v>
      </c>
      <c r="BX22" s="89">
        <f>-BS!BX93-BS!BX94-BS!BX97-BS!BX98</f>
        <v>0</v>
      </c>
      <c r="BY22" s="89">
        <f>-BS!BY93-BS!BY94-BS!BY97-BS!BY98</f>
        <v>0</v>
      </c>
      <c r="BZ22" s="90">
        <f>-BS!BZ93-BS!BZ94-BS!BZ97-BS!BZ98</f>
        <v>0</v>
      </c>
      <c r="CA22" s="93">
        <f t="shared" si="6"/>
        <v>0</v>
      </c>
      <c r="CB22" s="92"/>
      <c r="CC22" s="88">
        <f>-BS!CC93-BS!CC94-BS!CC97-BS!CC98</f>
        <v>0</v>
      </c>
      <c r="CD22" s="89">
        <f>-BS!CD93-BS!CD94-BS!CD97-BS!CD98</f>
        <v>0</v>
      </c>
      <c r="CE22" s="89">
        <f>-BS!CE93-BS!CE94-BS!CE97-BS!CE98</f>
        <v>0</v>
      </c>
      <c r="CF22" s="90">
        <f>-BS!CF93-BS!CF94-BS!CF97-BS!CF98</f>
        <v>0</v>
      </c>
      <c r="CG22" s="93">
        <f t="shared" si="7"/>
        <v>0</v>
      </c>
      <c r="CH22" s="92"/>
      <c r="CI22" s="88">
        <f>-BS!CI93-BS!CI94-BS!CI97-BS!CI98</f>
        <v>0</v>
      </c>
      <c r="CJ22" s="89">
        <f>-BS!CJ93-BS!CJ94-BS!CJ97-BS!CJ98</f>
        <v>0</v>
      </c>
      <c r="CK22" s="89">
        <f>-BS!CK93-BS!CK94-BS!CK97-BS!CK98</f>
        <v>0</v>
      </c>
      <c r="CL22" s="90">
        <f>-BS!CL93-BS!CL94-BS!CL97-BS!CL98</f>
        <v>0</v>
      </c>
      <c r="CM22" s="93">
        <f t="shared" si="8"/>
        <v>0</v>
      </c>
      <c r="CQ22"/>
      <c r="CR22"/>
      <c r="CS22"/>
      <c r="CT22"/>
      <c r="CU22"/>
      <c r="CV22"/>
    </row>
    <row r="23" spans="1:100" s="61" customFormat="1" hidden="1" outlineLevel="1" x14ac:dyDescent="0.2">
      <c r="A23" s="510" t="s">
        <v>228</v>
      </c>
      <c r="B23" s="511"/>
      <c r="C23" s="104">
        <v>-116.50200000000001</v>
      </c>
      <c r="D23" s="92"/>
      <c r="E23" s="92"/>
      <c r="F23" s="99"/>
      <c r="G23" s="161">
        <v>-24.965</v>
      </c>
      <c r="H23" s="92"/>
      <c r="I23" s="98"/>
      <c r="J23" s="92"/>
      <c r="K23" s="92"/>
      <c r="L23" s="99"/>
      <c r="M23" s="161">
        <v>-29.966999999999999</v>
      </c>
      <c r="N23" s="92"/>
      <c r="O23" s="98"/>
      <c r="P23" s="92"/>
      <c r="Q23" s="92"/>
      <c r="R23" s="99"/>
      <c r="S23" s="161">
        <v>-28.483000000000001</v>
      </c>
      <c r="T23" s="92"/>
      <c r="U23" s="98"/>
      <c r="V23" s="92"/>
      <c r="W23" s="92"/>
      <c r="X23" s="99"/>
      <c r="Y23" s="161">
        <v>-34.340000000000003</v>
      </c>
      <c r="Z23" s="92"/>
      <c r="AA23" s="98"/>
      <c r="AB23" s="92"/>
      <c r="AC23" s="92"/>
      <c r="AD23" s="99"/>
      <c r="AE23" s="161">
        <v>-237.953</v>
      </c>
      <c r="AF23" s="92"/>
      <c r="AG23" s="98"/>
      <c r="AH23" s="92"/>
      <c r="AI23" s="92"/>
      <c r="AJ23" s="99"/>
      <c r="AK23" s="161">
        <v>101.863</v>
      </c>
      <c r="AL23" s="92"/>
      <c r="AM23" s="98"/>
      <c r="AN23" s="92"/>
      <c r="AO23" s="92"/>
      <c r="AP23" s="99"/>
      <c r="AQ23" s="161">
        <v>-60</v>
      </c>
      <c r="AR23" s="92"/>
      <c r="AS23" s="88"/>
      <c r="AT23" s="89"/>
      <c r="AU23" s="89"/>
      <c r="AV23" s="99"/>
      <c r="AW23" s="161">
        <v>-120</v>
      </c>
      <c r="AX23" s="92"/>
      <c r="AY23" s="88"/>
      <c r="AZ23" s="89"/>
      <c r="BA23" s="89"/>
      <c r="BB23" s="97">
        <v>-97</v>
      </c>
      <c r="BC23" s="93">
        <f t="shared" si="2"/>
        <v>-97</v>
      </c>
      <c r="BD23" s="92"/>
      <c r="BE23" s="88"/>
      <c r="BF23" s="89"/>
      <c r="BG23" s="89"/>
      <c r="BH23" s="97">
        <v>39</v>
      </c>
      <c r="BI23" s="93">
        <f t="shared" si="3"/>
        <v>39</v>
      </c>
      <c r="BJ23" s="92"/>
      <c r="BK23" s="95"/>
      <c r="BL23" s="89"/>
      <c r="BM23" s="89"/>
      <c r="BN23" s="97">
        <v>-380</v>
      </c>
      <c r="BO23" s="93">
        <f t="shared" si="4"/>
        <v>-380</v>
      </c>
      <c r="BP23" s="92"/>
      <c r="BQ23" s="88"/>
      <c r="BR23" s="89">
        <f>BS!BQ16-BS!BR16</f>
        <v>-479.93304155844135</v>
      </c>
      <c r="BS23" s="89">
        <f>BS!BR16-BS!BS16</f>
        <v>-61.98372467532522</v>
      </c>
      <c r="BT23" s="90">
        <f>BS!BS16-BS!BT16</f>
        <v>-26.500114285714062</v>
      </c>
      <c r="BU23" s="93">
        <f t="shared" si="5"/>
        <v>-568.41688051948063</v>
      </c>
      <c r="BV23" s="92"/>
      <c r="BW23" s="88">
        <f>BS!BT16-BS!BW16</f>
        <v>16.671658523828455</v>
      </c>
      <c r="BX23" s="89">
        <f>BS!BW16-BS!BX16</f>
        <v>-28.313424103765783</v>
      </c>
      <c r="BY23" s="89">
        <f>BS!BX16-BS!BY16</f>
        <v>-63.070946355150454</v>
      </c>
      <c r="BZ23" s="90">
        <f>BS!BY16-BS!BZ16</f>
        <v>-27.659167641949125</v>
      </c>
      <c r="CA23" s="93">
        <f t="shared" si="6"/>
        <v>-102.37187957703691</v>
      </c>
      <c r="CB23" s="92"/>
      <c r="CC23" s="88">
        <f>BS!BZ16-BS!CC16</f>
        <v>16.590351570301209</v>
      </c>
      <c r="CD23" s="89">
        <f>BS!CC16-BS!CD16</f>
        <v>-28.943215184015344</v>
      </c>
      <c r="CE23" s="89">
        <f>BS!CD16-BS!CE16</f>
        <v>-67.42261879051739</v>
      </c>
      <c r="CF23" s="90">
        <f>BS!CE16-BS!CF16</f>
        <v>-28.877360752493132</v>
      </c>
      <c r="CG23" s="93">
        <f t="shared" si="7"/>
        <v>-108.65284315672466</v>
      </c>
      <c r="CH23" s="92"/>
      <c r="CI23" s="88">
        <f>BS!CF16-BS!CI16</f>
        <v>16.715180417127158</v>
      </c>
      <c r="CJ23" s="89">
        <f>BS!CI16-BS!CJ16</f>
        <v>-29.544142484508484</v>
      </c>
      <c r="CK23" s="89">
        <f>BS!CJ16-BS!CK16</f>
        <v>-72.094700650814048</v>
      </c>
      <c r="CL23" s="90">
        <f>BS!CK16-BS!CL16</f>
        <v>-30.148791065354544</v>
      </c>
      <c r="CM23" s="93">
        <f t="shared" si="8"/>
        <v>-115.07245378354992</v>
      </c>
      <c r="CQ23"/>
      <c r="CR23"/>
      <c r="CS23"/>
      <c r="CT23"/>
      <c r="CU23"/>
      <c r="CV23"/>
    </row>
    <row r="24" spans="1:100" s="61" customFormat="1" hidden="1" outlineLevel="1" x14ac:dyDescent="0.2">
      <c r="A24" s="510" t="s">
        <v>229</v>
      </c>
      <c r="B24" s="511"/>
      <c r="C24" s="104">
        <v>176.28799999999984</v>
      </c>
      <c r="D24" s="92"/>
      <c r="E24" s="92"/>
      <c r="F24" s="99"/>
      <c r="G24" s="161">
        <v>102.996</v>
      </c>
      <c r="H24" s="92"/>
      <c r="I24" s="98"/>
      <c r="J24" s="92"/>
      <c r="K24" s="92"/>
      <c r="L24" s="99"/>
      <c r="M24" s="161">
        <v>-11.776</v>
      </c>
      <c r="N24" s="92"/>
      <c r="O24" s="98"/>
      <c r="P24" s="92"/>
      <c r="Q24" s="92"/>
      <c r="R24" s="99"/>
      <c r="S24" s="161">
        <v>119.893</v>
      </c>
      <c r="T24" s="92"/>
      <c r="U24" s="98"/>
      <c r="V24" s="92"/>
      <c r="W24" s="92"/>
      <c r="X24" s="99"/>
      <c r="Y24" s="161">
        <v>156.023</v>
      </c>
      <c r="Z24" s="92"/>
      <c r="AA24" s="98"/>
      <c r="AB24" s="92"/>
      <c r="AC24" s="92"/>
      <c r="AD24" s="99"/>
      <c r="AE24" s="161">
        <v>128.738</v>
      </c>
      <c r="AF24" s="92"/>
      <c r="AG24" s="98"/>
      <c r="AH24" s="92"/>
      <c r="AI24" s="92"/>
      <c r="AJ24" s="99"/>
      <c r="AK24" s="161">
        <v>17.141999999999999</v>
      </c>
      <c r="AL24" s="92"/>
      <c r="AM24" s="98"/>
      <c r="AN24" s="92"/>
      <c r="AO24" s="92"/>
      <c r="AP24" s="99"/>
      <c r="AQ24" s="161">
        <v>366</v>
      </c>
      <c r="AR24" s="92"/>
      <c r="AS24" s="88"/>
      <c r="AT24" s="89"/>
      <c r="AU24" s="89"/>
      <c r="AV24" s="99"/>
      <c r="AW24" s="161">
        <v>199</v>
      </c>
      <c r="AX24" s="92"/>
      <c r="AY24" s="88"/>
      <c r="AZ24" s="89"/>
      <c r="BA24" s="89"/>
      <c r="BB24" s="97">
        <v>145</v>
      </c>
      <c r="BC24" s="93">
        <f t="shared" si="2"/>
        <v>145</v>
      </c>
      <c r="BD24" s="92"/>
      <c r="BE24" s="88"/>
      <c r="BF24" s="89"/>
      <c r="BG24" s="89"/>
      <c r="BH24" s="97">
        <v>368</v>
      </c>
      <c r="BI24" s="93">
        <f t="shared" si="3"/>
        <v>368</v>
      </c>
      <c r="BJ24" s="92"/>
      <c r="BK24" s="95"/>
      <c r="BL24" s="89"/>
      <c r="BM24" s="89"/>
      <c r="BN24" s="97">
        <v>134</v>
      </c>
      <c r="BO24" s="93">
        <f t="shared" si="4"/>
        <v>134</v>
      </c>
      <c r="BP24" s="92"/>
      <c r="BQ24" s="88"/>
      <c r="BR24" s="89">
        <f>BS!BR31-BS!BQ31+BS!BR40-BS!BQ40</f>
        <v>329.77050794520619</v>
      </c>
      <c r="BS24" s="89">
        <f>BS!BS31-BS!BR31+BS!BS40-BS!BR40</f>
        <v>439.65747945205567</v>
      </c>
      <c r="BT24" s="90">
        <f>BS!BT31-BS!BS31+BS!BT40-BS!BS40</f>
        <v>440.43080778082276</v>
      </c>
      <c r="BU24" s="93">
        <f t="shared" si="5"/>
        <v>1209.8587951780846</v>
      </c>
      <c r="BV24" s="92"/>
      <c r="BW24" s="88">
        <f>BS!BW31-BS!BT31+BS!BW40-BS!BT40</f>
        <v>34.28355651322272</v>
      </c>
      <c r="BX24" s="89">
        <f>BS!BX31-BS!BW31+BS!BX40-BS!BW40</f>
        <v>123.96207863862401</v>
      </c>
      <c r="BY24" s="89">
        <f>BS!BY31-BS!BX31+BS!BY40-BS!BX40</f>
        <v>221.40672408319733</v>
      </c>
      <c r="BZ24" s="90">
        <f>BS!BZ31-BS!BY31+BS!BZ40-BS!BY40</f>
        <v>112.92864127525445</v>
      </c>
      <c r="CA24" s="93">
        <f t="shared" si="6"/>
        <v>492.58100051029851</v>
      </c>
      <c r="CB24" s="92"/>
      <c r="CC24" s="88">
        <f>BS!CC31-BS!BZ31+BS!CC40-BS!BZ40</f>
        <v>-56.584372426174014</v>
      </c>
      <c r="CD24" s="89">
        <f>BS!CD31-BS!CC31+BS!CD40-BS!CC40</f>
        <v>126.13022098955025</v>
      </c>
      <c r="CE24" s="89">
        <f>BS!CE31-BS!CD31+BS!CE40-BS!CD40</f>
        <v>230.57764132493048</v>
      </c>
      <c r="CF24" s="90">
        <f>BS!CF31-BS!CE31+BS!CF40-BS!CE40</f>
        <v>115.91830415083768</v>
      </c>
      <c r="CG24" s="93">
        <f t="shared" si="7"/>
        <v>416.04179403914441</v>
      </c>
      <c r="CH24" s="92"/>
      <c r="CI24" s="88">
        <f>BS!CI31-BS!CF31+BS!CI40-BS!CF40</f>
        <v>-13.376667014412305</v>
      </c>
      <c r="CJ24" s="89">
        <f>BS!CJ31-BS!CI31+BS!CJ40-BS!CI40</f>
        <v>206.48538147703493</v>
      </c>
      <c r="CK24" s="89">
        <f>BS!CK31-BS!CJ31+BS!CK40-BS!CJ40</f>
        <v>118.14588212278795</v>
      </c>
      <c r="CL24" s="90">
        <f>BS!CL31-BS!CK31+BS!CL40-BS!CK40</f>
        <v>118.95933841486476</v>
      </c>
      <c r="CM24" s="93">
        <f t="shared" si="8"/>
        <v>430.21393500027534</v>
      </c>
      <c r="CQ24"/>
      <c r="CR24"/>
      <c r="CS24"/>
      <c r="CT24"/>
      <c r="CU24"/>
      <c r="CV24"/>
    </row>
    <row r="25" spans="1:100" s="61" customFormat="1" collapsed="1" x14ac:dyDescent="0.2">
      <c r="A25" s="512" t="s">
        <v>230</v>
      </c>
      <c r="B25" s="513"/>
      <c r="C25" s="104">
        <v>-67.972999999999999</v>
      </c>
      <c r="D25" s="105">
        <f>-54.967-C25</f>
        <v>13.006</v>
      </c>
      <c r="E25" s="105">
        <f>-40.737-C25-D25</f>
        <v>14.229999999999997</v>
      </c>
      <c r="F25" s="106">
        <f>-22.119-C25-D25-E25</f>
        <v>18.618000000000002</v>
      </c>
      <c r="G25" s="93">
        <f>SUM(C25:F25)</f>
        <v>-22.119</v>
      </c>
      <c r="H25" s="92"/>
      <c r="I25" s="104">
        <v>-12.93</v>
      </c>
      <c r="J25" s="105">
        <f>-0.963-I25</f>
        <v>11.967000000000001</v>
      </c>
      <c r="K25" s="105">
        <f>10.582-I25-J25</f>
        <v>11.545</v>
      </c>
      <c r="L25" s="106">
        <f>-56.083-I25-J25-K25</f>
        <v>-66.664999999999992</v>
      </c>
      <c r="M25" s="93">
        <f>SUM(I25:L25)</f>
        <v>-56.082999999999991</v>
      </c>
      <c r="N25" s="92"/>
      <c r="O25" s="104">
        <v>-102.06</v>
      </c>
      <c r="P25" s="105">
        <f>-90.09-O25</f>
        <v>11.969999999999999</v>
      </c>
      <c r="Q25" s="105">
        <f>-75.909-O25-P25</f>
        <v>14.180999999999997</v>
      </c>
      <c r="R25" s="106">
        <f>-68.574-O25-P25-Q25</f>
        <v>7.335000000000008</v>
      </c>
      <c r="S25" s="93">
        <f>SUM(O25:R25)</f>
        <v>-68.573999999999998</v>
      </c>
      <c r="T25" s="92"/>
      <c r="U25" s="104">
        <v>-158.59299999999999</v>
      </c>
      <c r="V25" s="105">
        <f>-139.337-U25</f>
        <v>19.256</v>
      </c>
      <c r="W25" s="105">
        <f>-119.062-U25-V25</f>
        <v>20.274999999999991</v>
      </c>
      <c r="X25" s="106">
        <f>-102.967-U25-V25-W25</f>
        <v>16.094999999999999</v>
      </c>
      <c r="Y25" s="93">
        <f>SUM(U25:X25)</f>
        <v>-102.967</v>
      </c>
      <c r="Z25" s="92"/>
      <c r="AA25" s="104">
        <v>27.576000000000001</v>
      </c>
      <c r="AB25" s="105">
        <f>33.489-AA25</f>
        <v>5.9129999999999967</v>
      </c>
      <c r="AC25" s="105">
        <f>60.872-AB25-AA25</f>
        <v>27.383000000000003</v>
      </c>
      <c r="AD25" s="99">
        <f>AE25-AC25-AB25-AA25</f>
        <v>19.965000000000003</v>
      </c>
      <c r="AE25" s="161">
        <v>80.837000000000003</v>
      </c>
      <c r="AF25" s="92"/>
      <c r="AG25" s="104">
        <v>-73.561999999999998</v>
      </c>
      <c r="AH25" s="105">
        <f>-55.798-AG25</f>
        <v>17.763999999999996</v>
      </c>
      <c r="AI25" s="105">
        <f>-39.859-AH25-AG25</f>
        <v>15.939</v>
      </c>
      <c r="AJ25" s="99">
        <f>AK25-AI25-AH25-AG25</f>
        <v>1.4309999999999974</v>
      </c>
      <c r="AK25" s="161">
        <v>-38.427999999999997</v>
      </c>
      <c r="AL25" s="92"/>
      <c r="AM25" s="104">
        <v>-108.696</v>
      </c>
      <c r="AN25" s="105">
        <f>-87.689-AM25</f>
        <v>21.007000000000005</v>
      </c>
      <c r="AO25" s="105">
        <f>-70.079-AN25-AM25</f>
        <v>17.61</v>
      </c>
      <c r="AP25" s="99">
        <f>AQ25-AO25-AN25-AM25</f>
        <v>19.078999999999994</v>
      </c>
      <c r="AQ25" s="161">
        <v>-51</v>
      </c>
      <c r="AR25" s="92"/>
      <c r="AS25" s="104">
        <v>-29</v>
      </c>
      <c r="AT25" s="105">
        <f>-19-AS25</f>
        <v>10</v>
      </c>
      <c r="AU25" s="105">
        <f>-41-AT25-AS25</f>
        <v>-22</v>
      </c>
      <c r="AV25" s="106">
        <f>-29-AS25-AT25-AU25+0.5</f>
        <v>12.5</v>
      </c>
      <c r="AW25" s="93">
        <f>SUM(AS25:AV25)</f>
        <v>-28.5</v>
      </c>
      <c r="AX25" s="92"/>
      <c r="AY25" s="104">
        <v>-20</v>
      </c>
      <c r="AZ25" s="96">
        <f>-3-AY25</f>
        <v>17</v>
      </c>
      <c r="BA25" s="96">
        <f>17-AY25-AZ25</f>
        <v>20</v>
      </c>
      <c r="BB25" s="97">
        <f>28-SUM(AY25:BA25)</f>
        <v>11</v>
      </c>
      <c r="BC25" s="93">
        <f t="shared" si="2"/>
        <v>28</v>
      </c>
      <c r="BD25" s="92"/>
      <c r="BE25" s="95">
        <v>21</v>
      </c>
      <c r="BF25" s="105">
        <f>40-BE25</f>
        <v>19</v>
      </c>
      <c r="BG25" s="96">
        <f>63-SUM(BE25:BF25)</f>
        <v>23</v>
      </c>
      <c r="BH25" s="97">
        <f>-32-SUM(BE25:BG25)</f>
        <v>-95</v>
      </c>
      <c r="BI25" s="93">
        <f t="shared" si="3"/>
        <v>-32</v>
      </c>
      <c r="BJ25" s="92"/>
      <c r="BK25" s="104">
        <v>25</v>
      </c>
      <c r="BL25" s="96">
        <f>55-BK25</f>
        <v>30</v>
      </c>
      <c r="BM25" s="96">
        <f>56-SUM(BK25:BL25)</f>
        <v>1</v>
      </c>
      <c r="BN25" s="106">
        <f>84-SUM(BK25:BM25)</f>
        <v>28</v>
      </c>
      <c r="BO25" s="93">
        <f t="shared" si="4"/>
        <v>84</v>
      </c>
      <c r="BP25" s="92"/>
      <c r="BQ25" s="95">
        <v>-101</v>
      </c>
      <c r="BR25" s="105">
        <v>0</v>
      </c>
      <c r="BS25" s="105">
        <v>0</v>
      </c>
      <c r="BT25" s="106">
        <v>0</v>
      </c>
      <c r="BU25" s="93">
        <f t="shared" si="5"/>
        <v>-101</v>
      </c>
      <c r="BV25" s="92"/>
      <c r="BW25" s="104">
        <v>0</v>
      </c>
      <c r="BX25" s="105">
        <v>0</v>
      </c>
      <c r="BY25" s="105">
        <v>0</v>
      </c>
      <c r="BZ25" s="106">
        <v>0</v>
      </c>
      <c r="CA25" s="93">
        <f t="shared" si="6"/>
        <v>0</v>
      </c>
      <c r="CB25" s="92"/>
      <c r="CC25" s="104">
        <v>0</v>
      </c>
      <c r="CD25" s="105">
        <v>0</v>
      </c>
      <c r="CE25" s="105">
        <v>0</v>
      </c>
      <c r="CF25" s="106">
        <v>0</v>
      </c>
      <c r="CG25" s="93">
        <f t="shared" si="7"/>
        <v>0</v>
      </c>
      <c r="CH25" s="92"/>
      <c r="CI25" s="104">
        <v>0</v>
      </c>
      <c r="CJ25" s="105">
        <v>0</v>
      </c>
      <c r="CK25" s="105">
        <v>0</v>
      </c>
      <c r="CL25" s="106">
        <v>0</v>
      </c>
      <c r="CM25" s="93">
        <f t="shared" si="8"/>
        <v>0</v>
      </c>
      <c r="CQ25"/>
      <c r="CR25"/>
      <c r="CS25"/>
      <c r="CT25"/>
      <c r="CU25"/>
      <c r="CV25"/>
    </row>
    <row r="26" spans="1:100" s="61" customFormat="1" x14ac:dyDescent="0.2">
      <c r="A26" s="432" t="s">
        <v>88</v>
      </c>
      <c r="C26" s="104">
        <v>13.599</v>
      </c>
      <c r="D26" s="105">
        <f>12.057-C26</f>
        <v>-1.5419999999999998</v>
      </c>
      <c r="E26" s="105">
        <f>17.371-C26-D26</f>
        <v>5.3139999999999983</v>
      </c>
      <c r="F26" s="106">
        <f>12.189-C26-D26-E26</f>
        <v>-5.1819999999999986</v>
      </c>
      <c r="G26" s="93">
        <f>SUM(C26:F26)</f>
        <v>12.189</v>
      </c>
      <c r="H26" s="92"/>
      <c r="I26" s="104">
        <v>12.973000000000001</v>
      </c>
      <c r="J26" s="105">
        <f>19.485-I26</f>
        <v>6.5119999999999987</v>
      </c>
      <c r="K26" s="105">
        <f>19.863-I26-J26</f>
        <v>0.37800000000000011</v>
      </c>
      <c r="L26" s="106">
        <f>45.355-I26-J26-K26</f>
        <v>25.491999999999997</v>
      </c>
      <c r="M26" s="93">
        <f>SUM(I26:L26)</f>
        <v>45.354999999999997</v>
      </c>
      <c r="N26" s="92"/>
      <c r="O26" s="104">
        <v>4.8000000000000001E-2</v>
      </c>
      <c r="P26" s="105">
        <f>19.006-O26</f>
        <v>18.958000000000002</v>
      </c>
      <c r="Q26" s="105">
        <f>22.126-O26-P26</f>
        <v>3.120000000000001</v>
      </c>
      <c r="R26" s="106">
        <f>19.971-O26-P26-Q26</f>
        <v>-2.1550000000000011</v>
      </c>
      <c r="S26" s="93">
        <f>SUM(O26:R26)</f>
        <v>19.971</v>
      </c>
      <c r="T26" s="92"/>
      <c r="U26" s="104">
        <v>-13.698</v>
      </c>
      <c r="V26" s="105">
        <f>36.523-U26</f>
        <v>50.221000000000004</v>
      </c>
      <c r="W26" s="105">
        <f>28.24-U26-V26</f>
        <v>-8.2830000000000013</v>
      </c>
      <c r="X26" s="106">
        <f>44.852-U26-V26-W26</f>
        <v>16.611999999999995</v>
      </c>
      <c r="Y26" s="93">
        <f>SUM(U26:X26)</f>
        <v>44.851999999999997</v>
      </c>
      <c r="Z26" s="92"/>
      <c r="AA26" s="104">
        <v>9.782</v>
      </c>
      <c r="AB26" s="105">
        <f>6.981-AA26</f>
        <v>-2.8010000000000002</v>
      </c>
      <c r="AC26" s="105">
        <f>-6.989-AB26-AA26</f>
        <v>-13.969999999999999</v>
      </c>
      <c r="AD26" s="99">
        <f>AE26-AC26-AB26-AA26</f>
        <v>19.599999999999998</v>
      </c>
      <c r="AE26" s="161">
        <v>12.611000000000001</v>
      </c>
      <c r="AF26" s="92"/>
      <c r="AG26" s="104">
        <v>6.3179999999999996</v>
      </c>
      <c r="AH26" s="105">
        <f>5.498-AG26</f>
        <v>-0.8199999999999994</v>
      </c>
      <c r="AI26" s="105">
        <f>8.791-AH26-AG26</f>
        <v>3.293000000000001</v>
      </c>
      <c r="AJ26" s="99">
        <f>AK26-AI26-AH26-AG26</f>
        <v>-5.1800000000000015</v>
      </c>
      <c r="AK26" s="161">
        <v>3.6110000000000002</v>
      </c>
      <c r="AL26" s="92"/>
      <c r="AM26" s="104">
        <v>12.115</v>
      </c>
      <c r="AN26" s="105">
        <f>25.366-AM26</f>
        <v>13.250999999999999</v>
      </c>
      <c r="AO26" s="105">
        <f>-3.696-AN26-AM26</f>
        <v>-29.061999999999998</v>
      </c>
      <c r="AP26" s="99">
        <f>AQ26-AO26-AN26-AM26</f>
        <v>0.69599999999999795</v>
      </c>
      <c r="AQ26" s="161">
        <v>-3</v>
      </c>
      <c r="AR26" s="92"/>
      <c r="AS26" s="104">
        <v>17</v>
      </c>
      <c r="AT26" s="105">
        <f>27-AS26</f>
        <v>10</v>
      </c>
      <c r="AU26" s="105">
        <f>27-AT26-AS26</f>
        <v>0</v>
      </c>
      <c r="AV26" s="106">
        <f>62-AS26-AT26-AU26+0.5</f>
        <v>35.5</v>
      </c>
      <c r="AW26" s="93">
        <f>SUM(AS26:AV26)</f>
        <v>62.5</v>
      </c>
      <c r="AX26" s="92"/>
      <c r="AY26" s="104">
        <v>-6</v>
      </c>
      <c r="AZ26" s="96">
        <f>-37-AY26</f>
        <v>-31</v>
      </c>
      <c r="BA26" s="96">
        <f>-14-AY26-AZ26</f>
        <v>23</v>
      </c>
      <c r="BB26" s="97">
        <f>11-SUM(AY26:BA26)</f>
        <v>25</v>
      </c>
      <c r="BC26" s="93">
        <f t="shared" si="2"/>
        <v>11</v>
      </c>
      <c r="BD26" s="92"/>
      <c r="BE26" s="95">
        <v>114</v>
      </c>
      <c r="BF26" s="105">
        <f>30-BE26</f>
        <v>-84</v>
      </c>
      <c r="BG26" s="105">
        <f>34-SUM(BE26:BF26)-1</f>
        <v>3</v>
      </c>
      <c r="BH26" s="97">
        <f>332-SUM(BE26:BG26)</f>
        <v>299</v>
      </c>
      <c r="BI26" s="93">
        <f t="shared" si="3"/>
        <v>332</v>
      </c>
      <c r="BJ26" s="92"/>
      <c r="BK26" s="104">
        <f>27+-136-1</f>
        <v>-110</v>
      </c>
      <c r="BL26" s="105">
        <f>48-74-BK26+1</f>
        <v>85</v>
      </c>
      <c r="BM26" s="96">
        <f>60+741-142-SUM(BK26:BL26)</f>
        <v>684</v>
      </c>
      <c r="BN26" s="97">
        <f>77+748-114-SUM(BK26:BM26)</f>
        <v>52</v>
      </c>
      <c r="BO26" s="93">
        <f t="shared" si="4"/>
        <v>711</v>
      </c>
      <c r="BP26" s="92"/>
      <c r="BQ26" s="95">
        <f>38+3</f>
        <v>41</v>
      </c>
      <c r="BR26" s="105">
        <v>0</v>
      </c>
      <c r="BS26" s="105">
        <v>0</v>
      </c>
      <c r="BT26" s="106">
        <v>0</v>
      </c>
      <c r="BU26" s="93">
        <f t="shared" si="5"/>
        <v>41</v>
      </c>
      <c r="BV26" s="92"/>
      <c r="BW26" s="104">
        <v>0</v>
      </c>
      <c r="BX26" s="105">
        <v>0</v>
      </c>
      <c r="BY26" s="105">
        <v>0</v>
      </c>
      <c r="BZ26" s="106">
        <v>0</v>
      </c>
      <c r="CA26" s="93">
        <f t="shared" si="6"/>
        <v>0</v>
      </c>
      <c r="CB26" s="92"/>
      <c r="CC26" s="104">
        <v>0</v>
      </c>
      <c r="CD26" s="105">
        <v>0</v>
      </c>
      <c r="CE26" s="105">
        <v>0</v>
      </c>
      <c r="CF26" s="106">
        <v>0</v>
      </c>
      <c r="CG26" s="93">
        <f t="shared" si="7"/>
        <v>0</v>
      </c>
      <c r="CH26" s="92"/>
      <c r="CI26" s="104">
        <v>0</v>
      </c>
      <c r="CJ26" s="105">
        <v>0</v>
      </c>
      <c r="CK26" s="105">
        <v>0</v>
      </c>
      <c r="CL26" s="106">
        <v>0</v>
      </c>
      <c r="CM26" s="93">
        <f t="shared" si="8"/>
        <v>0</v>
      </c>
      <c r="CQ26"/>
      <c r="CR26"/>
      <c r="CS26"/>
      <c r="CT26"/>
      <c r="CU26"/>
      <c r="CV26"/>
    </row>
    <row r="27" spans="1:100" s="61" customFormat="1" x14ac:dyDescent="0.2">
      <c r="A27" s="514" t="s">
        <v>231</v>
      </c>
      <c r="C27" s="118">
        <f>C8+C9+C11+C16+C17+C18+C19+C25+C26</f>
        <v>276.07199999999995</v>
      </c>
      <c r="D27" s="116">
        <f>D8+D9+D11+D16+D17+D18+D19+D25+D26</f>
        <v>235.47499999999999</v>
      </c>
      <c r="E27" s="116">
        <f>E8+E9+E11+E16+E17+E18+E19+E25+E26</f>
        <v>363.35999999999996</v>
      </c>
      <c r="F27" s="117">
        <f>F8+F9+F11+F16+F17+F18+F19+F25+F26</f>
        <v>361.14099999999996</v>
      </c>
      <c r="G27" s="315">
        <f>G8+G9+G11+G16+G17+G18+G19+G25+G26</f>
        <v>1236.0480000000002</v>
      </c>
      <c r="H27" s="116"/>
      <c r="I27" s="118">
        <f>I8+I9+I11+I16+I17+I18+I19+I25+I26</f>
        <v>473.13200000000001</v>
      </c>
      <c r="J27" s="116">
        <f>J8+J9+J11+J16+J17+J18+J19+J25+J26</f>
        <v>213.15200000000002</v>
      </c>
      <c r="K27" s="116">
        <f>K8+K9+K11+K16+K17+K18+K19+K25+K26</f>
        <v>544.86800000000017</v>
      </c>
      <c r="L27" s="117">
        <f>L8+L9+L11+L16+L17+L18+L19+L25+L26</f>
        <v>456.84600000000017</v>
      </c>
      <c r="M27" s="315">
        <f>M8+M9+M11+M16+M17+M18+M19+M25+M26</f>
        <v>1687.998</v>
      </c>
      <c r="N27" s="116"/>
      <c r="O27" s="118">
        <f>O8+O9+O11+O16+O17+O18+O19+O25+O26</f>
        <v>268.78100000000006</v>
      </c>
      <c r="P27" s="116">
        <f>P8+P9+P11+P16+P17+P18+P19+P25+P26</f>
        <v>256.97299999999996</v>
      </c>
      <c r="Q27" s="116">
        <f>Q8+Q9+Q11+Q16+Q17+Q18+Q19+Q25+Q26</f>
        <v>522.39400000000012</v>
      </c>
      <c r="R27" s="117">
        <f>R8+R9+R11+R16+R17+R18+R19+R25+R26</f>
        <v>643.37200000000007</v>
      </c>
      <c r="S27" s="315">
        <f>S8+S9+S11+S16+S17+S18+S19+S25+S26</f>
        <v>1691.52</v>
      </c>
      <c r="T27" s="116"/>
      <c r="U27" s="118">
        <f>U8+U9+U11+U16+U17+U18+U19+U25+U26</f>
        <v>394.62800000000004</v>
      </c>
      <c r="V27" s="116">
        <f>V8+V9+V11+V16+V17+V18+V19+V25+V26</f>
        <v>292.96799999999996</v>
      </c>
      <c r="W27" s="116">
        <f>W8+W9+W11+W16+W17+W18+W19+W25+W26</f>
        <v>506.75100000000009</v>
      </c>
      <c r="X27" s="117">
        <f>X8+X9+X11+X16+X17+X18+X19+X25+X26</f>
        <v>464.66999999999996</v>
      </c>
      <c r="Y27" s="315">
        <f>Y8+Y9+Y11+Y16+Y17+Y18+Y19+Y25+Y26</f>
        <v>1659.0170000000001</v>
      </c>
      <c r="Z27" s="116"/>
      <c r="AA27" s="118">
        <f>AA8+AA9+AA11+AA16+AA17+AA18+AA19+AA25+AA26</f>
        <v>469.74300000000005</v>
      </c>
      <c r="AB27" s="116">
        <f>AB8+AB9+AB11+AB16+AB17+AB18+AB19+AB25+AB26</f>
        <v>237.14500000000004</v>
      </c>
      <c r="AC27" s="116">
        <f>AC8+AC9+AC11+AC16+AC17+AC18+AC19+AC25+AC26</f>
        <v>467.60399999999993</v>
      </c>
      <c r="AD27" s="117">
        <f>AD8+AD9+AD11+AD16+AD17+AD18+AD19+AD25+AD26</f>
        <v>538.03800000000001</v>
      </c>
      <c r="AE27" s="315">
        <f>AE8+AE9+AE11+AE16+AE17+AE18+AE19+AE25+AE26</f>
        <v>1712.53</v>
      </c>
      <c r="AF27" s="116"/>
      <c r="AG27" s="118">
        <f>AG8+AG9+AG11+AG16+AG17+AG18+AG19+AG25+AG26</f>
        <v>313.01899999999995</v>
      </c>
      <c r="AH27" s="116">
        <f>AH8+AH9+AH11+AH16+AH17+AH18+AH19+AH25+AH26</f>
        <v>297.40000000000003</v>
      </c>
      <c r="AI27" s="116">
        <f>AI8+AI9+AI11+AI16+AI17+AI18+AI19+AI25+AI26</f>
        <v>525.51700000000005</v>
      </c>
      <c r="AJ27" s="117">
        <f>AJ8+AJ9+AJ11+AJ16+AJ17+AJ18+AJ19+AJ25+AJ26</f>
        <v>557.428</v>
      </c>
      <c r="AK27" s="315">
        <f>AK8+AK9+AK11+AK16+AK17+AK18+AK19+AK25+AK26</f>
        <v>1693.3639999999998</v>
      </c>
      <c r="AL27" s="116"/>
      <c r="AM27" s="118">
        <f>AM8+AM9+AM11+AM16+AM17+AM18+AM19+AM25+AM26</f>
        <v>225.905</v>
      </c>
      <c r="AN27" s="116">
        <f>AN8+AN9+AN11+AN16+AN17+AN18+AN19+AN25+AN26</f>
        <v>317.04199999999997</v>
      </c>
      <c r="AO27" s="116">
        <f>AO8+AO9+AO11+AO16+AO17+AO18+AO19+AO25+AO26</f>
        <v>446.34100000000012</v>
      </c>
      <c r="AP27" s="117">
        <f>AP8+AP9+AP11+AP16+AP17+AP18+AP19+AP25+AP26</f>
        <v>727.71199999999988</v>
      </c>
      <c r="AQ27" s="315">
        <f>AQ8+AQ9+AQ11+AQ16+AQ17+AQ18+AQ19+AQ25+AQ26</f>
        <v>1717</v>
      </c>
      <c r="AR27" s="116"/>
      <c r="AS27" s="118">
        <f>AS8+AS9+AS11+AS16+AS17+AS18+AS19+AS25+AS26</f>
        <v>355</v>
      </c>
      <c r="AT27" s="116">
        <f>AT8+AT9+AT11+AT16+AT17+AT18+AT19+AT25+AT26</f>
        <v>413</v>
      </c>
      <c r="AU27" s="116">
        <f>AU8+AU9+AU11+AU16+AU17+AU18+AU19+AU25+AU26</f>
        <v>439</v>
      </c>
      <c r="AV27" s="117">
        <f>AV8+AV9+AV11+AV16+AV17+AV18+AV19+AV25+AV26</f>
        <v>539</v>
      </c>
      <c r="AW27" s="315">
        <f>AW8+AW9+AW11+AW16+AW17+AW18+AW19+AW25+AW26</f>
        <v>1746</v>
      </c>
      <c r="AX27" s="116"/>
      <c r="AY27" s="118">
        <f>AY8+AY9+AY11+AY16+AY17+AY18+AY19+AY25+AY26</f>
        <v>286</v>
      </c>
      <c r="AZ27" s="116">
        <f>AZ8+AZ9+AZ11+AZ16+AZ17+AZ18+AZ19+AZ25+AZ26</f>
        <v>227</v>
      </c>
      <c r="BA27" s="116">
        <f>BA8+BA9+BA11+BA16+BA17+BA18+BA19+BA25+BA26</f>
        <v>539</v>
      </c>
      <c r="BB27" s="117">
        <f>BB8+BB9+BB11+BB16+BB17+BB18+BB19+BB25+BB26</f>
        <v>677</v>
      </c>
      <c r="BC27" s="315">
        <f>BC8+BC9+BC11+BC16+BC17+BC18+BC19+BC25+BC26</f>
        <v>1729</v>
      </c>
      <c r="BD27" s="116"/>
      <c r="BE27" s="118">
        <f>BE8+BE9+BE11+BE16+BE17+BE18+BE19+BE25+BE26</f>
        <v>463</v>
      </c>
      <c r="BF27" s="116">
        <f>BF8+BF9+BF11+BF16+BF17+BF18+BF19+BF25+BF26</f>
        <v>556</v>
      </c>
      <c r="BG27" s="116">
        <f>BG8+BG9+BG11+BG16+BG17+BG18+BG19+BG25+BG26</f>
        <v>835</v>
      </c>
      <c r="BH27" s="117">
        <f>BH8+BH9+BH11+BH16+BH17+BH18+BH19+BH25+BH26</f>
        <v>705</v>
      </c>
      <c r="BI27" s="315">
        <f>BI8+BI9+BI11+BI16+BI17+BI18+BI19+BI25+BI26</f>
        <v>2559</v>
      </c>
      <c r="BJ27" s="116"/>
      <c r="BK27" s="118">
        <f>BK8+BK9+BK11+BK16+BK17+BK18+BK19+BK25+BK26</f>
        <v>315</v>
      </c>
      <c r="BL27" s="116">
        <f>BL8+BL9+BL11+BL16+BL17+BL18+BL19+BL25+BL26</f>
        <v>725</v>
      </c>
      <c r="BM27" s="116">
        <f>BM8+BM9+BM11+BM16+BM17+BM18+BM19+BM25+BM26</f>
        <v>384</v>
      </c>
      <c r="BN27" s="117">
        <f>BN8+BN9+BN11+BN16+BN17+BN18+BN19+BN25+BN26</f>
        <v>1126</v>
      </c>
      <c r="BO27" s="315">
        <f>BO8+BO9+BO11+BO16+BO17+BO18+BO19+BO25+BO26</f>
        <v>2550</v>
      </c>
      <c r="BP27" s="116"/>
      <c r="BQ27" s="118">
        <f>BQ8+BQ9+BQ11+BQ16+BQ17+BQ18+BQ19+BQ25+BQ26</f>
        <v>320</v>
      </c>
      <c r="BR27" s="116">
        <f>BR8+BR9+BR11+BR16+BR17+BR18+BR19+BR25+BR26</f>
        <v>495.6232751265851</v>
      </c>
      <c r="BS27" s="116">
        <f>BS8+BS9+BS11+BS16+BS17+BS18+BS19+BS25+BS26</f>
        <v>1236.995664666365</v>
      </c>
      <c r="BT27" s="117">
        <f>BT8+BT9+BT11+BT16+BT17+BT18+BT19+BT25+BT26</f>
        <v>1368.2267945536225</v>
      </c>
      <c r="BU27" s="315">
        <f>BU8+BU9+BU11+BU16+BU17+BU18+BU19+BU25+BU26</f>
        <v>3420.8457343465725</v>
      </c>
      <c r="BV27" s="116"/>
      <c r="BW27" s="118">
        <f>BW8+BW9+BW11+BW16+BW17+BW18+BW19+BW25+BW26</f>
        <v>1156.4159501313704</v>
      </c>
      <c r="BX27" s="116">
        <f>BX8+BX9+BX11+BX16+BX17+BX18+BX19+BX25+BX26</f>
        <v>1120.5741930552645</v>
      </c>
      <c r="BY27" s="116">
        <f>BY8+BY9+BY11+BY16+BY17+BY18+BY19+BY25+BY26</f>
        <v>1096.7599981710284</v>
      </c>
      <c r="BZ27" s="117">
        <f>BZ8+BZ9+BZ11+BZ16+BZ17+BZ18+BZ19+BZ25+BZ26</f>
        <v>1136.9796554514739</v>
      </c>
      <c r="CA27" s="315">
        <f>CA8+CA9+CA11+CA16+CA17+CA18+CA19+CA25+CA26</f>
        <v>4510.729796809137</v>
      </c>
      <c r="CB27" s="116"/>
      <c r="CC27" s="118">
        <f>CC8+CC9+CC11+CC16+CC17+CC18+CC19+CC25+CC26</f>
        <v>1249.8010132661936</v>
      </c>
      <c r="CD27" s="116">
        <f>CD8+CD9+CD11+CD16+CD17+CD18+CD19+CD25+CD26</f>
        <v>1347.3043639259586</v>
      </c>
      <c r="CE27" s="116">
        <f>CE8+CE9+CE11+CE16+CE17+CE18+CE19+CE25+CE26</f>
        <v>1343.3292991679828</v>
      </c>
      <c r="CF27" s="117">
        <f>CF8+CF9+CF11+CF16+CF17+CF18+CF19+CF25+CF26</f>
        <v>1417.5368681659031</v>
      </c>
      <c r="CG27" s="315">
        <f>CG8+CG9+CG11+CG16+CG17+CG18+CG19+CG25+CG26</f>
        <v>5357.9715445260381</v>
      </c>
      <c r="CH27" s="116"/>
      <c r="CI27" s="118">
        <f>CI8+CI9+CI11+CI16+CI17+CI18+CI19+CI25+CI26</f>
        <v>1477.8815333872672</v>
      </c>
      <c r="CJ27" s="116">
        <f>CJ8+CJ9+CJ11+CJ16+CJ17+CJ18+CJ19+CJ25+CJ26</f>
        <v>1536.6360301090906</v>
      </c>
      <c r="CK27" s="116">
        <f>CK8+CK9+CK11+CK16+CK17+CK18+CK19+CK25+CK26</f>
        <v>1498.0943904218993</v>
      </c>
      <c r="CL27" s="117">
        <f>CL8+CL9+CL11+CL16+CL17+CL18+CL19+CL25+CL26</f>
        <v>1615.9839256953999</v>
      </c>
      <c r="CM27" s="315">
        <f>CM8+CM9+CM11+CM16+CM17+CM18+CM19+CM25+CM26</f>
        <v>6128.5958796136565</v>
      </c>
      <c r="CQ27"/>
      <c r="CR27"/>
      <c r="CS27"/>
      <c r="CT27"/>
      <c r="CU27"/>
      <c r="CV27"/>
    </row>
    <row r="28" spans="1:100" s="61" customFormat="1" x14ac:dyDescent="0.2">
      <c r="A28" s="432"/>
      <c r="C28" s="98"/>
      <c r="D28" s="92"/>
      <c r="E28" s="92"/>
      <c r="F28" s="99"/>
      <c r="G28" s="93"/>
      <c r="H28" s="92"/>
      <c r="I28" s="98"/>
      <c r="J28" s="92"/>
      <c r="K28" s="92"/>
      <c r="L28" s="99"/>
      <c r="M28" s="93"/>
      <c r="N28" s="92"/>
      <c r="O28" s="98"/>
      <c r="P28" s="92"/>
      <c r="Q28" s="92"/>
      <c r="R28" s="99"/>
      <c r="S28" s="93"/>
      <c r="T28" s="92"/>
      <c r="U28" s="98"/>
      <c r="V28" s="92"/>
      <c r="W28" s="92"/>
      <c r="X28" s="99"/>
      <c r="Y28" s="93"/>
      <c r="Z28" s="92"/>
      <c r="AA28" s="98"/>
      <c r="AB28" s="92"/>
      <c r="AC28" s="92"/>
      <c r="AD28" s="99"/>
      <c r="AE28" s="93"/>
      <c r="AF28" s="92"/>
      <c r="AG28" s="98"/>
      <c r="AH28" s="92"/>
      <c r="AI28" s="92"/>
      <c r="AJ28" s="99"/>
      <c r="AK28" s="93"/>
      <c r="AL28" s="92"/>
      <c r="AM28" s="98"/>
      <c r="AN28" s="92"/>
      <c r="AO28" s="92"/>
      <c r="AP28" s="99"/>
      <c r="AQ28" s="93"/>
      <c r="AR28" s="92"/>
      <c r="AS28" s="98"/>
      <c r="AT28" s="92"/>
      <c r="AU28" s="92"/>
      <c r="AV28" s="99"/>
      <c r="AW28" s="93"/>
      <c r="AX28" s="92"/>
      <c r="AY28" s="98"/>
      <c r="AZ28" s="92"/>
      <c r="BA28" s="92"/>
      <c r="BB28" s="99"/>
      <c r="BC28" s="93"/>
      <c r="BD28" s="92"/>
      <c r="BE28" s="98"/>
      <c r="BF28" s="92"/>
      <c r="BG28" s="92"/>
      <c r="BH28" s="99"/>
      <c r="BI28" s="93"/>
      <c r="BJ28" s="92"/>
      <c r="BK28" s="98"/>
      <c r="BL28" s="92"/>
      <c r="BM28" s="92"/>
      <c r="BN28" s="99"/>
      <c r="BO28" s="93"/>
      <c r="BP28" s="92"/>
      <c r="BQ28" s="98"/>
      <c r="BR28" s="92"/>
      <c r="BS28" s="92"/>
      <c r="BT28" s="99"/>
      <c r="BU28" s="93"/>
      <c r="BV28" s="92"/>
      <c r="BW28" s="98"/>
      <c r="BX28" s="92"/>
      <c r="BY28" s="92"/>
      <c r="BZ28" s="99"/>
      <c r="CA28" s="93"/>
      <c r="CB28" s="92"/>
      <c r="CC28" s="98"/>
      <c r="CD28" s="92"/>
      <c r="CE28" s="92"/>
      <c r="CF28" s="99"/>
      <c r="CG28" s="93"/>
      <c r="CH28" s="92"/>
      <c r="CI28" s="98"/>
      <c r="CJ28" s="92"/>
      <c r="CK28" s="92"/>
      <c r="CL28" s="99"/>
      <c r="CM28" s="93"/>
      <c r="CQ28"/>
      <c r="CR28"/>
      <c r="CS28"/>
      <c r="CT28"/>
      <c r="CU28"/>
      <c r="CV28"/>
    </row>
    <row r="29" spans="1:100" s="61" customFormat="1" x14ac:dyDescent="0.2">
      <c r="A29" s="514" t="s">
        <v>232</v>
      </c>
      <c r="B29" s="515"/>
      <c r="C29" s="98"/>
      <c r="D29" s="92"/>
      <c r="E29" s="92"/>
      <c r="F29" s="99"/>
      <c r="G29" s="93"/>
      <c r="H29" s="92"/>
      <c r="I29" s="98"/>
      <c r="J29" s="92"/>
      <c r="K29" s="92"/>
      <c r="L29" s="99"/>
      <c r="M29" s="93"/>
      <c r="N29" s="92"/>
      <c r="O29" s="98"/>
      <c r="P29" s="92"/>
      <c r="Q29" s="92"/>
      <c r="R29" s="99"/>
      <c r="S29" s="93"/>
      <c r="T29" s="92"/>
      <c r="U29" s="98"/>
      <c r="V29" s="92"/>
      <c r="W29" s="92"/>
      <c r="X29" s="99"/>
      <c r="Y29" s="93"/>
      <c r="Z29" s="92"/>
      <c r="AA29" s="98"/>
      <c r="AB29" s="92"/>
      <c r="AC29" s="92"/>
      <c r="AD29" s="99"/>
      <c r="AE29" s="93"/>
      <c r="AF29" s="92"/>
      <c r="AG29" s="98"/>
      <c r="AH29" s="92"/>
      <c r="AI29" s="92"/>
      <c r="AJ29" s="99"/>
      <c r="AK29" s="93"/>
      <c r="AL29" s="92"/>
      <c r="AM29" s="98"/>
      <c r="AN29" s="92"/>
      <c r="AO29" s="92"/>
      <c r="AP29" s="99"/>
      <c r="AQ29" s="93"/>
      <c r="AR29" s="92"/>
      <c r="AS29" s="98"/>
      <c r="AT29" s="92"/>
      <c r="AU29" s="92"/>
      <c r="AV29" s="99"/>
      <c r="AW29" s="93"/>
      <c r="AX29" s="92"/>
      <c r="AY29" s="98"/>
      <c r="AZ29" s="92"/>
      <c r="BA29" s="92"/>
      <c r="BB29" s="99"/>
      <c r="BC29" s="93"/>
      <c r="BD29" s="92"/>
      <c r="BE29" s="98"/>
      <c r="BF29" s="92"/>
      <c r="BG29" s="92"/>
      <c r="BH29" s="99"/>
      <c r="BI29" s="93"/>
      <c r="BJ29" s="92"/>
      <c r="BK29" s="98"/>
      <c r="BL29" s="92"/>
      <c r="BM29" s="92"/>
      <c r="BN29" s="99"/>
      <c r="BO29" s="93"/>
      <c r="BP29" s="92"/>
      <c r="BQ29" s="98"/>
      <c r="BR29" s="92"/>
      <c r="BS29" s="92"/>
      <c r="BT29" s="99"/>
      <c r="BU29" s="93"/>
      <c r="BV29" s="92"/>
      <c r="BW29" s="98"/>
      <c r="BX29" s="92"/>
      <c r="BY29" s="92"/>
      <c r="BZ29" s="99"/>
      <c r="CA29" s="93"/>
      <c r="CB29" s="92"/>
      <c r="CC29" s="98"/>
      <c r="CD29" s="92"/>
      <c r="CE29" s="92"/>
      <c r="CF29" s="99"/>
      <c r="CG29" s="93"/>
      <c r="CH29" s="92"/>
      <c r="CI29" s="98"/>
      <c r="CJ29" s="92"/>
      <c r="CK29" s="92"/>
      <c r="CL29" s="99"/>
      <c r="CM29" s="93"/>
      <c r="CQ29"/>
      <c r="CR29"/>
      <c r="CS29"/>
      <c r="CT29"/>
      <c r="CU29"/>
      <c r="CV29"/>
    </row>
    <row r="30" spans="1:100" s="61" customFormat="1" x14ac:dyDescent="0.2">
      <c r="A30" s="432" t="s">
        <v>233</v>
      </c>
      <c r="C30" s="104">
        <v>-110.57899999999999</v>
      </c>
      <c r="D30" s="105">
        <f>-235.237-C30</f>
        <v>-124.658</v>
      </c>
      <c r="E30" s="105">
        <f>-365.939-C30-D30</f>
        <v>-130.702</v>
      </c>
      <c r="F30" s="106">
        <f>-556.394-C30-D30-E30</f>
        <v>-190.45499999999998</v>
      </c>
      <c r="G30" s="93">
        <f>SUM(C30:F30)</f>
        <v>-556.39400000000001</v>
      </c>
      <c r="H30" s="92"/>
      <c r="I30" s="104">
        <v>-121.176</v>
      </c>
      <c r="J30" s="105">
        <f>-265.95-I30</f>
        <v>-144.774</v>
      </c>
      <c r="K30" s="105">
        <f>-418.411-I30-J30</f>
        <v>-152.46100000000001</v>
      </c>
      <c r="L30" s="106">
        <f>-601.981-I30-J30-K30</f>
        <v>-183.57</v>
      </c>
      <c r="M30" s="93">
        <f>SUM(I30:L30)</f>
        <v>-601.98099999999999</v>
      </c>
      <c r="N30" s="92"/>
      <c r="O30" s="104">
        <v>-95.427999999999997</v>
      </c>
      <c r="P30" s="105">
        <f>-223.19-O30</f>
        <v>-127.762</v>
      </c>
      <c r="Q30" s="105">
        <f>-354.068-O30-P30</f>
        <v>-130.87799999999999</v>
      </c>
      <c r="R30" s="106">
        <f>-591.103-O30-P30-Q30</f>
        <v>-237.03499999999997</v>
      </c>
      <c r="S30" s="93">
        <f>SUM(O30:R30)</f>
        <v>-591.10299999999995</v>
      </c>
      <c r="T30" s="92"/>
      <c r="U30" s="104">
        <v>-111.56399999999999</v>
      </c>
      <c r="V30" s="105">
        <f>-229.597-U30</f>
        <v>-118.03300000000002</v>
      </c>
      <c r="W30" s="105">
        <f>-329.985-U30-V30</f>
        <v>-100.38800000000001</v>
      </c>
      <c r="X30" s="106">
        <f>-537.306-U30-V30-W30</f>
        <v>-207.32100000000005</v>
      </c>
      <c r="Y30" s="93">
        <f>SUM(U30:X30)</f>
        <v>-537.30600000000004</v>
      </c>
      <c r="Z30" s="92"/>
      <c r="AA30" s="104">
        <v>-79.841999999999999</v>
      </c>
      <c r="AB30" s="105">
        <f>-193.688-AA30</f>
        <v>-113.84599999999999</v>
      </c>
      <c r="AC30" s="105">
        <f>-321.268-AB30-AA30</f>
        <v>-127.57999999999997</v>
      </c>
      <c r="AD30" s="99">
        <f>AE30-AC30-AB30-AA30</f>
        <v>-194.11700000000002</v>
      </c>
      <c r="AE30" s="161">
        <v>-515.38499999999999</v>
      </c>
      <c r="AF30" s="92"/>
      <c r="AG30" s="104">
        <v>-103.65300000000001</v>
      </c>
      <c r="AH30" s="105">
        <f>-214.516-AG30</f>
        <v>-110.86299999999999</v>
      </c>
      <c r="AI30" s="105">
        <f>-313.481-AH30-AG30</f>
        <v>-98.964999999999989</v>
      </c>
      <c r="AJ30" s="99">
        <f>AK30-AI30-AH30-AG30</f>
        <v>-173.94900000000001</v>
      </c>
      <c r="AK30" s="161">
        <v>-487.43</v>
      </c>
      <c r="AL30" s="92"/>
      <c r="AM30" s="104">
        <v>-80.385000000000005</v>
      </c>
      <c r="AN30" s="105">
        <f>-197.333-AM30</f>
        <v>-116.94799999999999</v>
      </c>
      <c r="AO30" s="105">
        <f>-339.024-AN30-AM30</f>
        <v>-141.69100000000003</v>
      </c>
      <c r="AP30" s="99">
        <f>AQ30-AO30-AN30-AM30</f>
        <v>-182.976</v>
      </c>
      <c r="AQ30" s="161">
        <v>-522</v>
      </c>
      <c r="AR30" s="92"/>
      <c r="AS30" s="104">
        <v>-99</v>
      </c>
      <c r="AT30" s="105">
        <f>-214-AS30</f>
        <v>-115</v>
      </c>
      <c r="AU30" s="105">
        <f>-339-AT30-AS30</f>
        <v>-125</v>
      </c>
      <c r="AV30" s="106">
        <f>-592-AS30-AT30-AU30</f>
        <v>-253</v>
      </c>
      <c r="AW30" s="93">
        <f>SUM(AS30:AV30)</f>
        <v>-592</v>
      </c>
      <c r="AX30" s="92"/>
      <c r="AY30" s="95">
        <v>-105</v>
      </c>
      <c r="AZ30" s="96">
        <f>-252-AY30</f>
        <v>-147</v>
      </c>
      <c r="BA30" s="96">
        <f>-387-AY30-AZ30</f>
        <v>-135</v>
      </c>
      <c r="BB30" s="97">
        <f>-596-SUM(AY30:BA30)</f>
        <v>-209</v>
      </c>
      <c r="BC30" s="93">
        <f>SUM(AY30:BB30)</f>
        <v>-596</v>
      </c>
      <c r="BD30" s="92"/>
      <c r="BE30" s="95">
        <v>-134</v>
      </c>
      <c r="BF30" s="96">
        <f>-258-BE30</f>
        <v>-124</v>
      </c>
      <c r="BG30" s="96">
        <f>-405-SUM(BE30:BF30)</f>
        <v>-147</v>
      </c>
      <c r="BH30" s="97">
        <f>-693-SUM(BE30:BG30)</f>
        <v>-288</v>
      </c>
      <c r="BI30" s="93">
        <f>SUM(BE30:BH30)</f>
        <v>-693</v>
      </c>
      <c r="BJ30" s="92"/>
      <c r="BK30" s="95">
        <v>-112</v>
      </c>
      <c r="BL30" s="96">
        <f>-272-BK30</f>
        <v>-160</v>
      </c>
      <c r="BM30" s="96">
        <f>-467-SUM(BK30:BL30)</f>
        <v>-195</v>
      </c>
      <c r="BN30" s="97">
        <f>-727-SUM(BK30:BM30)</f>
        <v>-260</v>
      </c>
      <c r="BO30" s="93">
        <f>SUM(BK30:BN30)</f>
        <v>-727</v>
      </c>
      <c r="BP30" s="92"/>
      <c r="BQ30" s="95">
        <v>-178</v>
      </c>
      <c r="BR30" s="89">
        <f>-BS!BR102</f>
        <v>-225</v>
      </c>
      <c r="BS30" s="89">
        <f>-BS!BS102</f>
        <v>-225</v>
      </c>
      <c r="BT30" s="90">
        <f>-BS!BT102</f>
        <v>-225</v>
      </c>
      <c r="BU30" s="93">
        <f>SUM(BQ30:BT30)</f>
        <v>-853</v>
      </c>
      <c r="BV30" s="92"/>
      <c r="BW30" s="88">
        <f>-BS!BW102</f>
        <v>-210</v>
      </c>
      <c r="BX30" s="89">
        <f>-BS!BX102</f>
        <v>-210</v>
      </c>
      <c r="BY30" s="89">
        <f>-BS!BY102</f>
        <v>-210</v>
      </c>
      <c r="BZ30" s="90">
        <f>-BS!BZ102</f>
        <v>-210</v>
      </c>
      <c r="CA30" s="93">
        <f>SUM(BW30:BZ30)</f>
        <v>-840</v>
      </c>
      <c r="CB30" s="92"/>
      <c r="CC30" s="88">
        <f>-BS!CC102</f>
        <v>-210</v>
      </c>
      <c r="CD30" s="89">
        <f>-BS!CD102</f>
        <v>-210</v>
      </c>
      <c r="CE30" s="89">
        <f>-BS!CE102</f>
        <v>-210</v>
      </c>
      <c r="CF30" s="90">
        <f>-BS!CF102</f>
        <v>-210</v>
      </c>
      <c r="CG30" s="93">
        <f>SUM(CC30:CF30)</f>
        <v>-840</v>
      </c>
      <c r="CH30" s="92"/>
      <c r="CI30" s="88">
        <f>-BS!CI102</f>
        <v>-210</v>
      </c>
      <c r="CJ30" s="89">
        <f>-BS!CJ102</f>
        <v>-210</v>
      </c>
      <c r="CK30" s="89">
        <f>-BS!CK102</f>
        <v>-210</v>
      </c>
      <c r="CL30" s="90">
        <f>-BS!CL102</f>
        <v>-210</v>
      </c>
      <c r="CM30" s="93">
        <f>SUM(CI30:CL30)</f>
        <v>-840</v>
      </c>
      <c r="CQ30"/>
      <c r="CR30"/>
      <c r="CS30"/>
      <c r="CT30"/>
      <c r="CU30"/>
      <c r="CV30"/>
    </row>
    <row r="31" spans="1:100" s="61" customFormat="1" x14ac:dyDescent="0.2">
      <c r="A31" s="432" t="s">
        <v>234</v>
      </c>
      <c r="C31" s="104">
        <v>-5.4050000000000002</v>
      </c>
      <c r="D31" s="105">
        <f>-10.198-C31</f>
        <v>-4.7930000000000001</v>
      </c>
      <c r="E31" s="105">
        <f>-16.075-C31-D31</f>
        <v>-5.876999999999998</v>
      </c>
      <c r="F31" s="106">
        <f>-22.334-C31-D31-E31</f>
        <v>-6.2590000000000012</v>
      </c>
      <c r="G31" s="93">
        <f>SUM(C31:F31)</f>
        <v>-22.334</v>
      </c>
      <c r="H31" s="92"/>
      <c r="I31" s="104">
        <v>-4.1399999999999997</v>
      </c>
      <c r="J31" s="105">
        <f>-23.514-I31</f>
        <v>-19.373999999999999</v>
      </c>
      <c r="K31" s="105">
        <f>-31.009-I31-J31</f>
        <v>-7.495000000000001</v>
      </c>
      <c r="L31" s="106">
        <f>-49.306-I31-J31-K31</f>
        <v>-18.296999999999997</v>
      </c>
      <c r="M31" s="93">
        <f>SUM(I31:L31)</f>
        <v>-49.305999999999997</v>
      </c>
      <c r="N31" s="92"/>
      <c r="O31" s="104">
        <v>-25.068999999999999</v>
      </c>
      <c r="P31" s="105">
        <f>-51.253-O31</f>
        <v>-26.184000000000001</v>
      </c>
      <c r="Q31" s="105">
        <f>-81.183-O31-P31</f>
        <v>-29.930000000000003</v>
      </c>
      <c r="R31" s="106">
        <f>-109.588-O31-P31-Q31</f>
        <v>-28.40499999999999</v>
      </c>
      <c r="S31" s="93">
        <f>SUM(O31:R31)</f>
        <v>-109.58799999999999</v>
      </c>
      <c r="T31" s="92"/>
      <c r="U31" s="104">
        <v>-25.495999999999999</v>
      </c>
      <c r="V31" s="105">
        <f>-50.369-U31</f>
        <v>-24.873000000000001</v>
      </c>
      <c r="W31" s="105">
        <f>-78.113-U31-V31</f>
        <v>-27.744000000000003</v>
      </c>
      <c r="X31" s="106">
        <f>-95.159-U31-V31-W31</f>
        <v>-17.046000000000003</v>
      </c>
      <c r="Y31" s="93">
        <f>SUM(U31:X31)</f>
        <v>-95.159000000000006</v>
      </c>
      <c r="Z31" s="92"/>
      <c r="AA31" s="104">
        <v>-17.666</v>
      </c>
      <c r="AB31" s="105">
        <f>-33.72-AA31</f>
        <v>-16.053999999999998</v>
      </c>
      <c r="AC31" s="105">
        <f>-58.018-AB31-AA31</f>
        <v>-24.297999999999998</v>
      </c>
      <c r="AD31" s="99">
        <f>AE31-AC31-AB31-AA31</f>
        <v>-31.853999999999996</v>
      </c>
      <c r="AE31" s="161">
        <v>-89.872</v>
      </c>
      <c r="AF31" s="92"/>
      <c r="AG31" s="104">
        <v>-12.503</v>
      </c>
      <c r="AH31" s="105">
        <f>-29.853-AG31</f>
        <v>-17.350000000000001</v>
      </c>
      <c r="AI31" s="105">
        <f>-51.225-AH31-AG31</f>
        <v>-21.372</v>
      </c>
      <c r="AJ31" s="99">
        <f>AK31-AI31-AH31-AG31</f>
        <v>-14.988999999999997</v>
      </c>
      <c r="AK31" s="161">
        <v>-66.213999999999999</v>
      </c>
      <c r="AL31" s="92"/>
      <c r="AM31" s="104">
        <v>-14.834</v>
      </c>
      <c r="AN31" s="105">
        <f>-32.445-AM31</f>
        <v>-17.611000000000001</v>
      </c>
      <c r="AO31" s="105">
        <f>-49.162-AN31-AM31</f>
        <v>-16.716999999999999</v>
      </c>
      <c r="AP31" s="99">
        <f>AQ31-AO31-AN31-AM31</f>
        <v>-16.838000000000001</v>
      </c>
      <c r="AQ31" s="161">
        <v>-66</v>
      </c>
      <c r="AR31" s="92"/>
      <c r="AS31" s="104">
        <v>-19</v>
      </c>
      <c r="AT31" s="105">
        <f>-31-AS31</f>
        <v>-12</v>
      </c>
      <c r="AU31" s="105">
        <f>-41-AT31-AS31</f>
        <v>-10</v>
      </c>
      <c r="AV31" s="106">
        <f>-61-AS31-AT31-AU31</f>
        <v>-20</v>
      </c>
      <c r="AW31" s="93">
        <f>SUM(AS31:AV31)</f>
        <v>-61</v>
      </c>
      <c r="AX31" s="92"/>
      <c r="AY31" s="104">
        <v>-9</v>
      </c>
      <c r="AZ31" s="96">
        <f>-17-AY31</f>
        <v>-8</v>
      </c>
      <c r="BA31" s="96">
        <f>-26-AY31-AZ31</f>
        <v>-9</v>
      </c>
      <c r="BB31" s="97">
        <f>-37-SUM(AY31:BA31)</f>
        <v>-11</v>
      </c>
      <c r="BC31" s="93">
        <f>SUM(AY31:BB31)</f>
        <v>-37</v>
      </c>
      <c r="BD31" s="92"/>
      <c r="BE31" s="95">
        <v>-7</v>
      </c>
      <c r="BF31" s="96">
        <f>-11-BE31</f>
        <v>-4</v>
      </c>
      <c r="BG31" s="96">
        <f>-19-SUM(BE31:BF31)</f>
        <v>-8</v>
      </c>
      <c r="BH31" s="106">
        <f>-25-SUM(BE31:BG31)</f>
        <v>-6</v>
      </c>
      <c r="BI31" s="93">
        <f>SUM(BE31:BH31)</f>
        <v>-25</v>
      </c>
      <c r="BJ31" s="92"/>
      <c r="BK31" s="95">
        <v>0</v>
      </c>
      <c r="BL31" s="96">
        <v>0</v>
      </c>
      <c r="BM31" s="96">
        <v>0</v>
      </c>
      <c r="BN31" s="106">
        <v>0</v>
      </c>
      <c r="BO31" s="93">
        <f>SUM(BK31:BN31)</f>
        <v>0</v>
      </c>
      <c r="BP31" s="92"/>
      <c r="BQ31" s="104">
        <v>0</v>
      </c>
      <c r="BR31" s="105">
        <v>-15</v>
      </c>
      <c r="BS31" s="105">
        <v>-15</v>
      </c>
      <c r="BT31" s="106">
        <v>-15</v>
      </c>
      <c r="BU31" s="93">
        <f>SUM(BQ31:BT31)</f>
        <v>-45</v>
      </c>
      <c r="BV31" s="92"/>
      <c r="BW31" s="104">
        <v>-15</v>
      </c>
      <c r="BX31" s="105">
        <v>-15</v>
      </c>
      <c r="BY31" s="105">
        <v>-15</v>
      </c>
      <c r="BZ31" s="106">
        <v>-15</v>
      </c>
      <c r="CA31" s="93">
        <f>SUM(BW31:BZ31)</f>
        <v>-60</v>
      </c>
      <c r="CB31" s="92"/>
      <c r="CC31" s="104">
        <v>-15</v>
      </c>
      <c r="CD31" s="105">
        <v>-15</v>
      </c>
      <c r="CE31" s="105">
        <v>-15</v>
      </c>
      <c r="CF31" s="106">
        <v>-15</v>
      </c>
      <c r="CG31" s="93">
        <f>SUM(CC31:CF31)</f>
        <v>-60</v>
      </c>
      <c r="CH31" s="92"/>
      <c r="CI31" s="104">
        <v>-15</v>
      </c>
      <c r="CJ31" s="105">
        <v>-15</v>
      </c>
      <c r="CK31" s="105">
        <v>-15</v>
      </c>
      <c r="CL31" s="106">
        <v>-15</v>
      </c>
      <c r="CM31" s="93">
        <f>SUM(CI31:CL31)</f>
        <v>-60</v>
      </c>
      <c r="CQ31"/>
      <c r="CR31"/>
      <c r="CS31"/>
      <c r="CT31"/>
      <c r="CU31"/>
      <c r="CV31"/>
    </row>
    <row r="32" spans="1:100" s="61" customFormat="1" x14ac:dyDescent="0.2">
      <c r="A32" s="432" t="s">
        <v>235</v>
      </c>
      <c r="C32" s="104">
        <v>-1.587</v>
      </c>
      <c r="D32" s="105">
        <f>-57.003-C32</f>
        <v>-55.415999999999997</v>
      </c>
      <c r="E32" s="105">
        <f>-10.982-C32-D32</f>
        <v>46.021000000000001</v>
      </c>
      <c r="F32" s="106">
        <f>-34.048-C32-D32-E32</f>
        <v>-23.066000000000003</v>
      </c>
      <c r="G32" s="93">
        <f>SUM(C32:F32)</f>
        <v>-34.048000000000002</v>
      </c>
      <c r="H32" s="92"/>
      <c r="I32" s="104">
        <v>-4.7519999999999998</v>
      </c>
      <c r="J32" s="105">
        <f>-31.454-I32</f>
        <v>-26.702000000000002</v>
      </c>
      <c r="K32" s="105">
        <f>-50.17-I32-J32</f>
        <v>-18.715999999999998</v>
      </c>
      <c r="L32" s="106">
        <f>-51.987-I32-J32-K32</f>
        <v>-1.8170000000000002</v>
      </c>
      <c r="M32" s="93">
        <f>SUM(I32:L32)</f>
        <v>-51.987000000000002</v>
      </c>
      <c r="N32" s="92"/>
      <c r="O32" s="104">
        <v>-8.8249999999999993</v>
      </c>
      <c r="P32" s="105">
        <f>-16.232-O32</f>
        <v>-7.407</v>
      </c>
      <c r="Q32" s="105">
        <f>-223.064-O32-P32</f>
        <v>-206.83199999999999</v>
      </c>
      <c r="R32" s="106">
        <f>-338.228+0.84-O32-P32-Q32</f>
        <v>-114.32400000000007</v>
      </c>
      <c r="S32" s="93">
        <f>SUM(O32:R32)</f>
        <v>-337.38800000000003</v>
      </c>
      <c r="T32" s="92"/>
      <c r="U32" s="104">
        <v>279.59300000000002</v>
      </c>
      <c r="V32" s="105">
        <f>123.633-U32:U32</f>
        <v>-155.96000000000004</v>
      </c>
      <c r="W32" s="105">
        <f>-146.879-U32-V32</f>
        <v>-270.51199999999994</v>
      </c>
      <c r="X32" s="106">
        <f>34.55+0.963-U32-V32-W32</f>
        <v>182.39199999999997</v>
      </c>
      <c r="Y32" s="93">
        <f>SUM(U32:X32)</f>
        <v>35.513000000000005</v>
      </c>
      <c r="Z32" s="92"/>
      <c r="AA32" s="104">
        <v>-464.01499999999999</v>
      </c>
      <c r="AB32" s="105">
        <f>-566.688-AA32</f>
        <v>-102.673</v>
      </c>
      <c r="AC32" s="105">
        <f>-204.981-AB32-AA32</f>
        <v>361.70699999999999</v>
      </c>
      <c r="AD32" s="99">
        <f>AE32-AC32-AB32-AA32</f>
        <v>326.57</v>
      </c>
      <c r="AE32" s="161">
        <f>120.445+1.144</f>
        <v>121.589</v>
      </c>
      <c r="AF32" s="92"/>
      <c r="AG32" s="104">
        <v>-109.982</v>
      </c>
      <c r="AH32" s="105">
        <f>122.265-AG32</f>
        <v>232.24700000000001</v>
      </c>
      <c r="AI32" s="105">
        <f>-158.074-AH32-AG32</f>
        <v>-280.33900000000006</v>
      </c>
      <c r="AJ32" s="99">
        <f>AK32-AI32-AH32-AG32</f>
        <v>20.219000000000051</v>
      </c>
      <c r="AK32" s="161">
        <v>-137.85499999999999</v>
      </c>
      <c r="AL32" s="92"/>
      <c r="AM32" s="104">
        <v>-85.625</v>
      </c>
      <c r="AN32" s="105">
        <f>115.711-AM32</f>
        <v>201.33600000000001</v>
      </c>
      <c r="AO32" s="105">
        <f>156.749-AN32-AM32</f>
        <v>41.037999999999982</v>
      </c>
      <c r="AP32" s="99">
        <f>AQ32-AO32-AN32-AM32</f>
        <v>-381.74900000000002</v>
      </c>
      <c r="AQ32" s="161">
        <v>-225</v>
      </c>
      <c r="AR32" s="92"/>
      <c r="AS32" s="104">
        <v>-125</v>
      </c>
      <c r="AT32" s="105">
        <f>-173-AS32</f>
        <v>-48</v>
      </c>
      <c r="AU32" s="105">
        <f>-244-AT32-AS32</f>
        <v>-71</v>
      </c>
      <c r="AV32" s="106">
        <f>-171-AS32-AT32-AU32</f>
        <v>73</v>
      </c>
      <c r="AW32" s="93">
        <f>SUM(AS32:AV32)</f>
        <v>-171</v>
      </c>
      <c r="AX32" s="92"/>
      <c r="AY32" s="104">
        <v>618</v>
      </c>
      <c r="AZ32" s="96">
        <f>813-AY32</f>
        <v>195</v>
      </c>
      <c r="BA32" s="96">
        <f>837-AY32-AZ32</f>
        <v>24</v>
      </c>
      <c r="BB32" s="97">
        <f>840-SUM(AY32:BA32)</f>
        <v>3</v>
      </c>
      <c r="BC32" s="93">
        <f>SUM(AY32:BB32)</f>
        <v>840</v>
      </c>
      <c r="BD32" s="92"/>
      <c r="BE32" s="95">
        <v>14</v>
      </c>
      <c r="BF32" s="96">
        <f>10-BE32</f>
        <v>-4</v>
      </c>
      <c r="BG32" s="96">
        <f>12-SUM(BE32:BF32)</f>
        <v>2</v>
      </c>
      <c r="BH32" s="106">
        <f>-1-SUM(BE32:BG32)</f>
        <v>-13</v>
      </c>
      <c r="BI32" s="93">
        <f>SUM(BE32:BH32)</f>
        <v>-1</v>
      </c>
      <c r="BJ32" s="92"/>
      <c r="BK32" s="95">
        <v>16</v>
      </c>
      <c r="BL32" s="96">
        <f>26-BK32</f>
        <v>10</v>
      </c>
      <c r="BM32" s="96">
        <f>17-SUM(BK32:BL32)</f>
        <v>-9</v>
      </c>
      <c r="BN32" s="97">
        <f>13-SUM(BK32:BM32)</f>
        <v>-4</v>
      </c>
      <c r="BO32" s="93">
        <f>SUM(BK32:BN32)</f>
        <v>13</v>
      </c>
      <c r="BP32" s="92"/>
      <c r="BQ32" s="104">
        <v>-63</v>
      </c>
      <c r="BR32" s="105">
        <v>0</v>
      </c>
      <c r="BS32" s="105">
        <v>0</v>
      </c>
      <c r="BT32" s="106">
        <v>0</v>
      </c>
      <c r="BU32" s="93">
        <f>SUM(BQ32:BT32)</f>
        <v>-63</v>
      </c>
      <c r="BV32" s="92"/>
      <c r="BW32" s="104">
        <v>0</v>
      </c>
      <c r="BX32" s="105">
        <v>0</v>
      </c>
      <c r="BY32" s="105">
        <v>0</v>
      </c>
      <c r="BZ32" s="106">
        <v>0</v>
      </c>
      <c r="CA32" s="93">
        <f>SUM(BW32:BZ32)</f>
        <v>0</v>
      </c>
      <c r="CB32" s="92"/>
      <c r="CC32" s="104">
        <v>0</v>
      </c>
      <c r="CD32" s="105">
        <v>0</v>
      </c>
      <c r="CE32" s="105">
        <v>0</v>
      </c>
      <c r="CF32" s="106">
        <v>0</v>
      </c>
      <c r="CG32" s="93">
        <f>SUM(CC32:CF32)</f>
        <v>0</v>
      </c>
      <c r="CH32" s="92"/>
      <c r="CI32" s="104">
        <v>0</v>
      </c>
      <c r="CJ32" s="105">
        <v>0</v>
      </c>
      <c r="CK32" s="105">
        <v>0</v>
      </c>
      <c r="CL32" s="106">
        <v>0</v>
      </c>
      <c r="CM32" s="93">
        <f>SUM(CI32:CL32)</f>
        <v>0</v>
      </c>
      <c r="CQ32"/>
      <c r="CR32"/>
      <c r="CS32"/>
      <c r="CT32"/>
      <c r="CU32"/>
      <c r="CV32"/>
    </row>
    <row r="33" spans="1:101" s="61" customFormat="1" hidden="1" outlineLevel="1" x14ac:dyDescent="0.2">
      <c r="A33" s="432" t="s">
        <v>236</v>
      </c>
      <c r="B33" s="516"/>
      <c r="C33" s="517"/>
      <c r="D33" s="473"/>
      <c r="E33" s="473"/>
      <c r="F33" s="99"/>
      <c r="G33" s="161">
        <v>-30.167000000000002</v>
      </c>
      <c r="H33" s="473"/>
      <c r="I33" s="517"/>
      <c r="J33" s="473"/>
      <c r="K33" s="473"/>
      <c r="L33" s="99"/>
      <c r="M33" s="161">
        <f>-46.321-5.666</f>
        <v>-51.986999999999995</v>
      </c>
      <c r="N33" s="473"/>
      <c r="O33" s="517"/>
      <c r="P33" s="473"/>
      <c r="Q33" s="473"/>
      <c r="R33" s="99"/>
      <c r="S33" s="161">
        <f>-338.228+0.84</f>
        <v>-337.38800000000003</v>
      </c>
      <c r="T33" s="473"/>
      <c r="U33" s="517"/>
      <c r="V33" s="473"/>
      <c r="W33" s="473"/>
      <c r="X33" s="99"/>
      <c r="Y33" s="161">
        <f>34.55+0.963</f>
        <v>35.512999999999998</v>
      </c>
      <c r="Z33" s="473"/>
      <c r="AA33" s="517"/>
      <c r="AB33" s="473"/>
      <c r="AC33" s="473"/>
      <c r="AD33" s="99"/>
      <c r="AE33" s="161">
        <f>120.445+1.144</f>
        <v>121.589</v>
      </c>
      <c r="AF33" s="473"/>
      <c r="AG33" s="517"/>
      <c r="AH33" s="473"/>
      <c r="AI33" s="473"/>
      <c r="AJ33" s="99"/>
      <c r="AK33" s="161">
        <v>-137.85499999999999</v>
      </c>
      <c r="AL33" s="473"/>
      <c r="AM33" s="517"/>
      <c r="AN33" s="473"/>
      <c r="AO33" s="473"/>
      <c r="AP33" s="99"/>
      <c r="AQ33" s="161">
        <v>-225</v>
      </c>
      <c r="AR33" s="473"/>
      <c r="AS33" s="517"/>
      <c r="AT33" s="473"/>
      <c r="AU33" s="473"/>
      <c r="AV33" s="518"/>
      <c r="AW33" s="519"/>
      <c r="AX33" s="473"/>
      <c r="AY33" s="517"/>
      <c r="AZ33" s="473"/>
      <c r="BA33" s="473"/>
      <c r="BB33" s="97"/>
      <c r="BC33" s="519"/>
      <c r="BD33" s="473"/>
      <c r="BE33" s="517"/>
      <c r="BF33" s="96"/>
      <c r="BG33" s="473"/>
      <c r="BH33" s="518"/>
      <c r="BI33" s="519"/>
      <c r="BJ33" s="473"/>
      <c r="BK33" s="95"/>
      <c r="BL33" s="96"/>
      <c r="BM33" s="473"/>
      <c r="BN33" s="518"/>
      <c r="BO33" s="519"/>
      <c r="BP33" s="473"/>
      <c r="BQ33" s="517"/>
      <c r="BR33" s="473"/>
      <c r="BS33" s="473"/>
      <c r="BT33" s="518"/>
      <c r="BU33" s="519"/>
      <c r="BV33" s="473"/>
      <c r="BW33" s="517"/>
      <c r="BX33" s="473"/>
      <c r="BY33" s="473"/>
      <c r="BZ33" s="518"/>
      <c r="CA33" s="519"/>
      <c r="CB33" s="473"/>
      <c r="CC33" s="517"/>
      <c r="CD33" s="473"/>
      <c r="CE33" s="473"/>
      <c r="CF33" s="518"/>
      <c r="CG33" s="519"/>
      <c r="CH33" s="473"/>
      <c r="CI33" s="517"/>
      <c r="CJ33" s="473"/>
      <c r="CK33" s="473"/>
      <c r="CL33" s="518"/>
      <c r="CM33" s="519"/>
      <c r="CN33" s="516"/>
      <c r="CO33" s="516"/>
      <c r="CQ33"/>
      <c r="CR33"/>
      <c r="CS33"/>
      <c r="CT33"/>
      <c r="CU33"/>
      <c r="CV33"/>
    </row>
    <row r="34" spans="1:101" s="61" customFormat="1" hidden="1" outlineLevel="1" x14ac:dyDescent="0.2">
      <c r="A34" s="432" t="s">
        <v>237</v>
      </c>
      <c r="B34" s="516"/>
      <c r="C34" s="517"/>
      <c r="D34" s="473"/>
      <c r="E34" s="473"/>
      <c r="F34" s="99"/>
      <c r="G34" s="161">
        <v>-3.8809999999999998</v>
      </c>
      <c r="H34" s="473"/>
      <c r="I34" s="517"/>
      <c r="J34" s="473"/>
      <c r="K34" s="473"/>
      <c r="L34" s="518"/>
      <c r="M34" s="161"/>
      <c r="N34" s="473"/>
      <c r="O34" s="517"/>
      <c r="P34" s="473"/>
      <c r="Q34" s="473"/>
      <c r="R34" s="518"/>
      <c r="S34" s="161"/>
      <c r="T34" s="473"/>
      <c r="U34" s="517"/>
      <c r="V34" s="473"/>
      <c r="W34" s="473"/>
      <c r="X34" s="518"/>
      <c r="Y34" s="519"/>
      <c r="Z34" s="473"/>
      <c r="AA34" s="517"/>
      <c r="AB34" s="473"/>
      <c r="AC34" s="473"/>
      <c r="AD34" s="518"/>
      <c r="AE34" s="519"/>
      <c r="AF34" s="473"/>
      <c r="AG34" s="517"/>
      <c r="AH34" s="473"/>
      <c r="AI34" s="473"/>
      <c r="AJ34" s="518"/>
      <c r="AK34" s="519"/>
      <c r="AL34" s="473"/>
      <c r="AM34" s="517"/>
      <c r="AN34" s="473"/>
      <c r="AO34" s="473"/>
      <c r="AP34" s="518"/>
      <c r="AQ34" s="519"/>
      <c r="AR34" s="473"/>
      <c r="AS34" s="517"/>
      <c r="AT34" s="473"/>
      <c r="AU34" s="473"/>
      <c r="AV34" s="518"/>
      <c r="AW34" s="519"/>
      <c r="AX34" s="473"/>
      <c r="AY34" s="517"/>
      <c r="AZ34" s="473"/>
      <c r="BA34" s="473"/>
      <c r="BB34" s="97"/>
      <c r="BC34" s="519"/>
      <c r="BD34" s="473"/>
      <c r="BE34" s="517"/>
      <c r="BF34" s="96"/>
      <c r="BG34" s="473"/>
      <c r="BH34" s="518"/>
      <c r="BI34" s="519"/>
      <c r="BJ34" s="473"/>
      <c r="BK34" s="95"/>
      <c r="BL34" s="96"/>
      <c r="BM34" s="473"/>
      <c r="BN34" s="518"/>
      <c r="BO34" s="519"/>
      <c r="BP34" s="473"/>
      <c r="BQ34" s="517"/>
      <c r="BR34" s="473"/>
      <c r="BS34" s="473"/>
      <c r="BT34" s="518"/>
      <c r="BU34" s="519"/>
      <c r="BV34" s="473"/>
      <c r="BW34" s="517"/>
      <c r="BX34" s="473"/>
      <c r="BY34" s="473"/>
      <c r="BZ34" s="518"/>
      <c r="CA34" s="519"/>
      <c r="CB34" s="473"/>
      <c r="CC34" s="517"/>
      <c r="CD34" s="473"/>
      <c r="CE34" s="473"/>
      <c r="CF34" s="518"/>
      <c r="CG34" s="519"/>
      <c r="CH34" s="473"/>
      <c r="CI34" s="517"/>
      <c r="CJ34" s="473"/>
      <c r="CK34" s="473"/>
      <c r="CL34" s="518"/>
      <c r="CM34" s="519"/>
      <c r="CN34" s="516"/>
      <c r="CO34" s="516"/>
      <c r="CQ34"/>
      <c r="CR34"/>
      <c r="CS34"/>
      <c r="CT34"/>
      <c r="CU34"/>
      <c r="CV34"/>
    </row>
    <row r="35" spans="1:101" s="61" customFormat="1" collapsed="1" x14ac:dyDescent="0.2">
      <c r="A35" s="432" t="s">
        <v>238</v>
      </c>
      <c r="C35" s="104">
        <v>-339.52800000000002</v>
      </c>
      <c r="D35" s="105">
        <f>-339.528-C35</f>
        <v>0</v>
      </c>
      <c r="E35" s="105">
        <f>-339.528-C35-D35</f>
        <v>0</v>
      </c>
      <c r="F35" s="106">
        <f>-339.528-C35-D35-E35</f>
        <v>0</v>
      </c>
      <c r="G35" s="93">
        <f>SUM(C35:F35)</f>
        <v>-339.52800000000002</v>
      </c>
      <c r="H35" s="92"/>
      <c r="I35" s="104">
        <v>0</v>
      </c>
      <c r="J35" s="105">
        <v>0</v>
      </c>
      <c r="K35" s="105">
        <f>-41.394-I35-J35</f>
        <v>-41.393999999999998</v>
      </c>
      <c r="L35" s="106">
        <f>-41.259-I35-J35-K35</f>
        <v>0.13499999999999801</v>
      </c>
      <c r="M35" s="93">
        <f>SUM(I35:L35)</f>
        <v>-41.259</v>
      </c>
      <c r="N35" s="92"/>
      <c r="O35" s="104">
        <v>0</v>
      </c>
      <c r="P35" s="105">
        <f>0-O35</f>
        <v>0</v>
      </c>
      <c r="Q35" s="105">
        <f>0-O35-P35</f>
        <v>0</v>
      </c>
      <c r="R35" s="106">
        <f>0-O35-P35-Q35</f>
        <v>0</v>
      </c>
      <c r="S35" s="93">
        <f>SUM(O35:R35)</f>
        <v>0</v>
      </c>
      <c r="T35" s="92"/>
      <c r="U35" s="104">
        <v>-274.75599999999997</v>
      </c>
      <c r="V35" s="105">
        <f>-281.367-U35</f>
        <v>-6.6110000000000468</v>
      </c>
      <c r="W35" s="105">
        <f>-281.367-U35-V35</f>
        <v>0</v>
      </c>
      <c r="X35" s="106">
        <f>-281.367-U35-V35-W35</f>
        <v>0</v>
      </c>
      <c r="Y35" s="93">
        <f>SUM(U35:X35)</f>
        <v>-281.36700000000002</v>
      </c>
      <c r="Z35" s="92"/>
      <c r="AA35" s="104">
        <v>0</v>
      </c>
      <c r="AB35" s="105">
        <f>-204.97-AA35</f>
        <v>-204.97</v>
      </c>
      <c r="AC35" s="105">
        <f>-204.97-AB35-AA35</f>
        <v>0</v>
      </c>
      <c r="AD35" s="99">
        <f>AE35-AC35-AB35-AA35</f>
        <v>-287.11099999999999</v>
      </c>
      <c r="AE35" s="161">
        <v>-492.08100000000002</v>
      </c>
      <c r="AF35" s="92"/>
      <c r="AG35" s="104">
        <v>0</v>
      </c>
      <c r="AH35" s="105">
        <f>-50.891</f>
        <v>-50.890999999999998</v>
      </c>
      <c r="AI35" s="105">
        <f>-50.891-AH35-AG35</f>
        <v>0</v>
      </c>
      <c r="AJ35" s="99">
        <f>AK35-AI35-AH35-AG35</f>
        <v>-52.533000000000008</v>
      </c>
      <c r="AK35" s="161">
        <v>-103.42400000000001</v>
      </c>
      <c r="AL35" s="92"/>
      <c r="AM35" s="104">
        <v>-123.738</v>
      </c>
      <c r="AN35" s="105">
        <f>-138.225-AM35</f>
        <v>-14.486999999999995</v>
      </c>
      <c r="AO35" s="105">
        <f>-136.271-AN35-AM35</f>
        <v>1.9540000000000077</v>
      </c>
      <c r="AP35" s="99">
        <f>AQ35-AO35-AN35-AM35</f>
        <v>0.27099999999998658</v>
      </c>
      <c r="AQ35" s="161">
        <v>-136</v>
      </c>
      <c r="AR35" s="92"/>
      <c r="AS35" s="104">
        <v>0</v>
      </c>
      <c r="AT35" s="105">
        <f>-40-AS35</f>
        <v>-40</v>
      </c>
      <c r="AU35" s="105">
        <f>-40-AT35-AS35</f>
        <v>0</v>
      </c>
      <c r="AV35" s="106">
        <f>-40-AS35-AT35-AU35</f>
        <v>0</v>
      </c>
      <c r="AW35" s="93">
        <f>SUM(AS35:AV35)</f>
        <v>-40</v>
      </c>
      <c r="AX35" s="92"/>
      <c r="AY35" s="104">
        <v>-106</v>
      </c>
      <c r="AZ35" s="96">
        <f>-8307-AY35</f>
        <v>-8201</v>
      </c>
      <c r="BA35" s="96">
        <f>-8334-AY35-AZ35</f>
        <v>-27</v>
      </c>
      <c r="BB35" s="97">
        <f>-8414-SUM(AY35:BA35)</f>
        <v>-80</v>
      </c>
      <c r="BC35" s="93">
        <f>SUM(AY35:BB35)</f>
        <v>-8414</v>
      </c>
      <c r="BD35" s="92"/>
      <c r="BE35" s="104">
        <v>0</v>
      </c>
      <c r="BF35" s="96">
        <v>0</v>
      </c>
      <c r="BG35" s="105">
        <v>0</v>
      </c>
      <c r="BH35" s="106">
        <v>158</v>
      </c>
      <c r="BI35" s="93">
        <f>SUM(BE35:BH35)</f>
        <v>158</v>
      </c>
      <c r="BJ35" s="92"/>
      <c r="BK35" s="95">
        <v>167</v>
      </c>
      <c r="BL35" s="96">
        <f>-40-BK35</f>
        <v>-207</v>
      </c>
      <c r="BM35" s="96">
        <f>-158-SUM(BK35:BL35)</f>
        <v>-118</v>
      </c>
      <c r="BN35" s="97">
        <f>-174-SUM(BK35:BM35)</f>
        <v>-16</v>
      </c>
      <c r="BO35" s="93">
        <f>SUM(BK35:BN35)</f>
        <v>-174</v>
      </c>
      <c r="BP35" s="92"/>
      <c r="BQ35" s="95">
        <v>-15013</v>
      </c>
      <c r="BR35" s="105">
        <v>0</v>
      </c>
      <c r="BS35" s="105">
        <v>0</v>
      </c>
      <c r="BT35" s="106">
        <v>0</v>
      </c>
      <c r="BU35" s="93">
        <f>SUM(BQ35:BT35)</f>
        <v>-15013</v>
      </c>
      <c r="BV35" s="92"/>
      <c r="BW35" s="104">
        <v>0</v>
      </c>
      <c r="BX35" s="105">
        <v>0</v>
      </c>
      <c r="BY35" s="105">
        <v>0</v>
      </c>
      <c r="BZ35" s="106">
        <v>0</v>
      </c>
      <c r="CA35" s="93">
        <f>SUM(BW35:BZ35)</f>
        <v>0</v>
      </c>
      <c r="CB35" s="92"/>
      <c r="CC35" s="104">
        <v>0</v>
      </c>
      <c r="CD35" s="105">
        <v>0</v>
      </c>
      <c r="CE35" s="105">
        <v>0</v>
      </c>
      <c r="CF35" s="106">
        <v>0</v>
      </c>
      <c r="CG35" s="93">
        <f>SUM(CC35:CF35)</f>
        <v>0</v>
      </c>
      <c r="CH35" s="92"/>
      <c r="CI35" s="104">
        <v>0</v>
      </c>
      <c r="CJ35" s="105">
        <v>0</v>
      </c>
      <c r="CK35" s="105">
        <v>0</v>
      </c>
      <c r="CL35" s="106">
        <v>0</v>
      </c>
      <c r="CM35" s="93">
        <f>SUM(CI35:CL35)</f>
        <v>0</v>
      </c>
      <c r="CQ35"/>
      <c r="CR35"/>
      <c r="CS35"/>
      <c r="CT35"/>
      <c r="CU35"/>
      <c r="CV35"/>
    </row>
    <row r="36" spans="1:101" s="61" customFormat="1" x14ac:dyDescent="0.2">
      <c r="A36" s="432" t="s">
        <v>239</v>
      </c>
      <c r="C36" s="104">
        <v>19.971</v>
      </c>
      <c r="D36" s="105">
        <f>19.971-C36</f>
        <v>0</v>
      </c>
      <c r="E36" s="105">
        <f>19.971-C36-D36</f>
        <v>0</v>
      </c>
      <c r="F36" s="106">
        <f>19.971-C36-D36-E36</f>
        <v>0</v>
      </c>
      <c r="G36" s="93">
        <f>SUM(C36:F36)</f>
        <v>19.971</v>
      </c>
      <c r="H36" s="92"/>
      <c r="I36" s="104">
        <v>0</v>
      </c>
      <c r="J36" s="105">
        <v>0</v>
      </c>
      <c r="K36" s="105">
        <f>0-I36-J36</f>
        <v>0</v>
      </c>
      <c r="L36" s="106">
        <f>0-I36-J36-K36</f>
        <v>0</v>
      </c>
      <c r="M36" s="93">
        <f>SUM(I36:L36)</f>
        <v>0</v>
      </c>
      <c r="N36" s="92"/>
      <c r="O36" s="104">
        <v>0</v>
      </c>
      <c r="P36" s="105">
        <f>0-O36</f>
        <v>0</v>
      </c>
      <c r="Q36" s="105">
        <f>0-O36-P36</f>
        <v>0</v>
      </c>
      <c r="R36" s="106">
        <f>51.022-O36-P36-Q36</f>
        <v>51.021999999999998</v>
      </c>
      <c r="S36" s="93">
        <f>SUM(O36:R36)</f>
        <v>51.021999999999998</v>
      </c>
      <c r="T36" s="92"/>
      <c r="U36" s="104">
        <v>0</v>
      </c>
      <c r="V36" s="105">
        <f>0-U36</f>
        <v>0</v>
      </c>
      <c r="W36" s="105">
        <f>0-U36-V36</f>
        <v>0</v>
      </c>
      <c r="X36" s="106">
        <f>259.99-U36-V36-W36</f>
        <v>259.99</v>
      </c>
      <c r="Y36" s="93">
        <f>SUM(U36:X36)</f>
        <v>259.99</v>
      </c>
      <c r="Z36" s="92"/>
      <c r="AA36" s="104">
        <v>0</v>
      </c>
      <c r="AB36" s="105">
        <v>0</v>
      </c>
      <c r="AC36" s="105">
        <v>0</v>
      </c>
      <c r="AD36" s="99">
        <f>AE36-AC36-AB36-AA36</f>
        <v>0</v>
      </c>
      <c r="AE36" s="161">
        <v>0</v>
      </c>
      <c r="AF36" s="92"/>
      <c r="AG36" s="104">
        <v>0</v>
      </c>
      <c r="AH36" s="105">
        <v>0</v>
      </c>
      <c r="AI36" s="105">
        <v>0</v>
      </c>
      <c r="AJ36" s="99">
        <f>AK36-AI36-AH36-AG36</f>
        <v>0</v>
      </c>
      <c r="AK36" s="161">
        <v>0</v>
      </c>
      <c r="AL36" s="92"/>
      <c r="AM36" s="104">
        <v>0</v>
      </c>
      <c r="AN36" s="105">
        <v>0</v>
      </c>
      <c r="AO36" s="105">
        <v>0</v>
      </c>
      <c r="AP36" s="99">
        <f>AQ36-AO36-AN36-AM36</f>
        <v>736</v>
      </c>
      <c r="AQ36" s="161">
        <v>736</v>
      </c>
      <c r="AR36" s="92"/>
      <c r="AS36" s="104">
        <v>0</v>
      </c>
      <c r="AT36" s="105">
        <v>0</v>
      </c>
      <c r="AU36" s="105">
        <v>0</v>
      </c>
      <c r="AV36" s="106">
        <v>0</v>
      </c>
      <c r="AW36" s="93">
        <f>SUM(AS36:AV36)</f>
        <v>0</v>
      </c>
      <c r="AX36" s="92"/>
      <c r="AY36" s="104">
        <v>0</v>
      </c>
      <c r="AZ36" s="105">
        <v>0</v>
      </c>
      <c r="BA36" s="105">
        <v>0</v>
      </c>
      <c r="BB36" s="97">
        <v>0</v>
      </c>
      <c r="BC36" s="93">
        <f>SUM(AY36:BB36)</f>
        <v>0</v>
      </c>
      <c r="BD36" s="92"/>
      <c r="BE36" s="104">
        <v>0</v>
      </c>
      <c r="BF36" s="96">
        <v>0</v>
      </c>
      <c r="BG36" s="105">
        <v>0</v>
      </c>
      <c r="BH36" s="106">
        <v>0</v>
      </c>
      <c r="BI36" s="93">
        <f>SUM(BE36:BH36)</f>
        <v>0</v>
      </c>
      <c r="BJ36" s="92"/>
      <c r="BK36" s="95">
        <v>0</v>
      </c>
      <c r="BL36" s="96">
        <f>165-BK36</f>
        <v>165</v>
      </c>
      <c r="BM36" s="96">
        <f>165-SUM(BK36:BL36)</f>
        <v>0</v>
      </c>
      <c r="BN36" s="106">
        <f>165-SUM(BK36:BM36)</f>
        <v>0</v>
      </c>
      <c r="BO36" s="93">
        <f>SUM(BK36:BN36)</f>
        <v>165</v>
      </c>
      <c r="BP36" s="92"/>
      <c r="BQ36" s="104">
        <v>0</v>
      </c>
      <c r="BR36" s="105">
        <v>0</v>
      </c>
      <c r="BS36" s="105">
        <v>0</v>
      </c>
      <c r="BT36" s="106">
        <v>0</v>
      </c>
      <c r="BU36" s="93">
        <f>SUM(BQ36:BT36)</f>
        <v>0</v>
      </c>
      <c r="BV36" s="92"/>
      <c r="BW36" s="104">
        <v>0</v>
      </c>
      <c r="BX36" s="105">
        <v>0</v>
      </c>
      <c r="BY36" s="105">
        <v>0</v>
      </c>
      <c r="BZ36" s="106">
        <v>0</v>
      </c>
      <c r="CA36" s="93">
        <f>SUM(BW36:BZ36)</f>
        <v>0</v>
      </c>
      <c r="CB36" s="92"/>
      <c r="CC36" s="104">
        <v>0</v>
      </c>
      <c r="CD36" s="105">
        <v>0</v>
      </c>
      <c r="CE36" s="105">
        <v>0</v>
      </c>
      <c r="CF36" s="106">
        <v>0</v>
      </c>
      <c r="CG36" s="93">
        <f>SUM(CC36:CF36)</f>
        <v>0</v>
      </c>
      <c r="CH36" s="92"/>
      <c r="CI36" s="104">
        <v>0</v>
      </c>
      <c r="CJ36" s="105">
        <v>0</v>
      </c>
      <c r="CK36" s="105">
        <v>0</v>
      </c>
      <c r="CL36" s="106">
        <v>0</v>
      </c>
      <c r="CM36" s="93">
        <f>SUM(CI36:CL36)</f>
        <v>0</v>
      </c>
      <c r="CQ36"/>
      <c r="CR36"/>
      <c r="CS36"/>
      <c r="CT36"/>
      <c r="CU36"/>
      <c r="CV36"/>
    </row>
    <row r="37" spans="1:101" s="61" customFormat="1" x14ac:dyDescent="0.2">
      <c r="A37" s="432" t="s">
        <v>240</v>
      </c>
      <c r="C37" s="104">
        <v>-12.414999999999999</v>
      </c>
      <c r="D37" s="105">
        <f>-37.288-C37</f>
        <v>-24.872999999999998</v>
      </c>
      <c r="E37" s="105">
        <f>-68.385-C37-D37</f>
        <v>-31.097000000000008</v>
      </c>
      <c r="F37" s="106">
        <f>-85.922-C37-D37-E37</f>
        <v>-17.536999999999999</v>
      </c>
      <c r="G37" s="93">
        <f>SUM(C37:F37)</f>
        <v>-85.921999999999997</v>
      </c>
      <c r="H37" s="92"/>
      <c r="I37" s="104">
        <v>-8.6620000000000008</v>
      </c>
      <c r="J37" s="105">
        <f>-16.374-I37</f>
        <v>-7.711999999999998</v>
      </c>
      <c r="K37" s="105">
        <f>-29.663-I37-J37</f>
        <v>-13.289</v>
      </c>
      <c r="L37" s="106">
        <f>-38.491-I37-J37-K37</f>
        <v>-8.8280000000000047</v>
      </c>
      <c r="M37" s="93">
        <f>SUM(I37:L37)</f>
        <v>-38.491</v>
      </c>
      <c r="N37" s="92"/>
      <c r="O37" s="104">
        <v>0.253</v>
      </c>
      <c r="P37" s="105">
        <f>-29.005-O37</f>
        <v>-29.257999999999999</v>
      </c>
      <c r="Q37" s="105">
        <f>-55.634-O37-P37</f>
        <v>-26.629000000000001</v>
      </c>
      <c r="R37" s="106">
        <f>-85.9-O37-P37-Q37</f>
        <v>-30.266000000000009</v>
      </c>
      <c r="S37" s="93">
        <f>SUM(O37:R37)</f>
        <v>-85.9</v>
      </c>
      <c r="T37" s="92"/>
      <c r="U37" s="104">
        <v>-9.6050000000000004</v>
      </c>
      <c r="V37" s="105">
        <f>-34.591-U37</f>
        <v>-24.986000000000001</v>
      </c>
      <c r="W37" s="105">
        <f>-42.924-U37-V37</f>
        <v>-8.333000000000002</v>
      </c>
      <c r="X37" s="106">
        <f>-81.636-U37-V37-W37</f>
        <v>-38.711999999999989</v>
      </c>
      <c r="Y37" s="93">
        <f>SUM(U37:X37)</f>
        <v>-81.635999999999996</v>
      </c>
      <c r="Z37" s="92"/>
      <c r="AA37" s="104">
        <v>-5.827</v>
      </c>
      <c r="AB37" s="105">
        <f>-24.93-AA37</f>
        <v>-19.103000000000002</v>
      </c>
      <c r="AC37" s="105">
        <f>-41.759-AB37-AA37</f>
        <v>-16.829000000000001</v>
      </c>
      <c r="AD37" s="99">
        <f>AE37-AC37-AB37-AA37</f>
        <v>-21.829000000000001</v>
      </c>
      <c r="AE37" s="161">
        <v>-63.588000000000001</v>
      </c>
      <c r="AF37" s="92"/>
      <c r="AG37" s="104">
        <v>-25.776</v>
      </c>
      <c r="AH37" s="105">
        <f>-52.87-AG37</f>
        <v>-27.093999999999998</v>
      </c>
      <c r="AI37" s="105">
        <f>-70.54-AH37-AG37</f>
        <v>-17.670000000000012</v>
      </c>
      <c r="AJ37" s="99">
        <f>AK37-AI37-AH37-AG37</f>
        <v>-28.665999999999993</v>
      </c>
      <c r="AK37" s="161">
        <v>-99.206000000000003</v>
      </c>
      <c r="AL37" s="92"/>
      <c r="AM37" s="104">
        <f>-24.988+720.862</f>
        <v>695.87400000000002</v>
      </c>
      <c r="AN37" s="105">
        <f>720.176-53.004-AM37</f>
        <v>-28.701999999999998</v>
      </c>
      <c r="AO37" s="105">
        <f>735.989-71.936-AN37-AM37</f>
        <v>-3.1190000000000282</v>
      </c>
      <c r="AP37" s="99">
        <f>AQ37-AO37-AN37-AM37</f>
        <v>-762.053</v>
      </c>
      <c r="AQ37" s="161">
        <v>-98</v>
      </c>
      <c r="AR37" s="92"/>
      <c r="AS37" s="104">
        <v>-24</v>
      </c>
      <c r="AT37" s="105">
        <f>-40-AS37</f>
        <v>-16</v>
      </c>
      <c r="AU37" s="105">
        <f>-66-AT37-AS37</f>
        <v>-26</v>
      </c>
      <c r="AV37" s="106">
        <f>-84-AS37-AT37-AU37</f>
        <v>-18</v>
      </c>
      <c r="AW37" s="93">
        <f>SUM(AS37:AV37)</f>
        <v>-84</v>
      </c>
      <c r="AX37" s="92"/>
      <c r="AY37" s="104">
        <v>-30</v>
      </c>
      <c r="AZ37" s="96">
        <f>-66-AY37</f>
        <v>-36</v>
      </c>
      <c r="BA37" s="105">
        <f>-92-AY37-AZ37</f>
        <v>-26</v>
      </c>
      <c r="BB37" s="97">
        <f>-111-SUM(AY37:BA37)</f>
        <v>-19</v>
      </c>
      <c r="BC37" s="93">
        <f>SUM(AY37:BB37)</f>
        <v>-111</v>
      </c>
      <c r="BD37" s="92"/>
      <c r="BE37" s="95">
        <v>-18</v>
      </c>
      <c r="BF37" s="96">
        <f>111-22-BE37</f>
        <v>107</v>
      </c>
      <c r="BG37" s="96">
        <f>158-64-SUM(BE37:BF37)</f>
        <v>5</v>
      </c>
      <c r="BH37" s="106">
        <f>-108-SUM(BE37:BG37)</f>
        <v>-202</v>
      </c>
      <c r="BI37" s="93">
        <f>SUM(BE37:BH37)</f>
        <v>-108</v>
      </c>
      <c r="BJ37" s="92"/>
      <c r="BK37" s="95">
        <v>-23</v>
      </c>
      <c r="BL37" s="96">
        <f>-34-BK37</f>
        <v>-11</v>
      </c>
      <c r="BM37" s="96">
        <f>-94-SUM(BK37:BL37)+1</f>
        <v>-59</v>
      </c>
      <c r="BN37" s="106">
        <f>-161-SUM(BK37:BM37)</f>
        <v>-68</v>
      </c>
      <c r="BO37" s="93">
        <f>SUM(BK37:BN37)</f>
        <v>-161</v>
      </c>
      <c r="BP37" s="92"/>
      <c r="BQ37" s="95">
        <v>-62</v>
      </c>
      <c r="BR37" s="105">
        <v>0</v>
      </c>
      <c r="BS37" s="105">
        <v>0</v>
      </c>
      <c r="BT37" s="106">
        <v>0</v>
      </c>
      <c r="BU37" s="93">
        <f>SUM(BQ37:BT37)</f>
        <v>-62</v>
      </c>
      <c r="BV37" s="92"/>
      <c r="BW37" s="104">
        <v>0</v>
      </c>
      <c r="BX37" s="105">
        <v>0</v>
      </c>
      <c r="BY37" s="105">
        <v>0</v>
      </c>
      <c r="BZ37" s="106">
        <v>0</v>
      </c>
      <c r="CA37" s="93">
        <f>SUM(BW37:BZ37)</f>
        <v>0</v>
      </c>
      <c r="CB37" s="92"/>
      <c r="CC37" s="104">
        <v>0</v>
      </c>
      <c r="CD37" s="105">
        <v>0</v>
      </c>
      <c r="CE37" s="105">
        <v>0</v>
      </c>
      <c r="CF37" s="106">
        <v>0</v>
      </c>
      <c r="CG37" s="93">
        <f>SUM(CC37:CF37)</f>
        <v>0</v>
      </c>
      <c r="CH37" s="92"/>
      <c r="CI37" s="104">
        <v>0</v>
      </c>
      <c r="CJ37" s="105">
        <v>0</v>
      </c>
      <c r="CK37" s="105">
        <v>0</v>
      </c>
      <c r="CL37" s="106">
        <v>0</v>
      </c>
      <c r="CM37" s="93">
        <f>SUM(CI37:CL37)</f>
        <v>0</v>
      </c>
      <c r="CQ37"/>
      <c r="CR37"/>
      <c r="CS37"/>
      <c r="CT37"/>
      <c r="CU37"/>
      <c r="CV37"/>
    </row>
    <row r="38" spans="1:101" s="61" customFormat="1" x14ac:dyDescent="0.2">
      <c r="A38" s="514" t="s">
        <v>241</v>
      </c>
      <c r="C38" s="118">
        <f>SUM(C30:C32)+C35+C36+C37</f>
        <v>-449.54300000000006</v>
      </c>
      <c r="D38" s="116">
        <f>SUM(D30:D32)+D35+D36+D37</f>
        <v>-209.73999999999998</v>
      </c>
      <c r="E38" s="116">
        <f>SUM(E30:E32)+E35+E36+E37</f>
        <v>-121.65500000000002</v>
      </c>
      <c r="F38" s="117">
        <f>SUM(F30:F32)+F35+F36+F37</f>
        <v>-237.31700000000001</v>
      </c>
      <c r="G38" s="315">
        <f>SUM(G30:G32)+G35+G36+G37</f>
        <v>-1018.255</v>
      </c>
      <c r="H38" s="116"/>
      <c r="I38" s="118">
        <f>SUM(I30:I32)+I35+I36+I37</f>
        <v>-138.73000000000002</v>
      </c>
      <c r="J38" s="116">
        <f>SUM(J30:J32)+J35+J36+J37</f>
        <v>-198.56199999999998</v>
      </c>
      <c r="K38" s="116">
        <f>SUM(K30:K32)+K35+K36+K37</f>
        <v>-233.35500000000002</v>
      </c>
      <c r="L38" s="117">
        <f>SUM(L30:L32)+L35+L36+L37</f>
        <v>-212.37700000000001</v>
      </c>
      <c r="M38" s="315">
        <f>SUM(M30:M32)+M35+M36+M37</f>
        <v>-783.024</v>
      </c>
      <c r="N38" s="116"/>
      <c r="O38" s="118">
        <f>SUM(O30:O32)+O35+O36+O37</f>
        <v>-129.06900000000002</v>
      </c>
      <c r="P38" s="116">
        <f>SUM(P30:P32)+P35+P36+P37</f>
        <v>-190.61100000000002</v>
      </c>
      <c r="Q38" s="116">
        <f>SUM(Q30:Q32)+Q35+Q36+Q37</f>
        <v>-394.26900000000001</v>
      </c>
      <c r="R38" s="117">
        <f>SUM(R30:R32)+R35+R36+R37</f>
        <v>-359.00800000000004</v>
      </c>
      <c r="S38" s="315">
        <f>SUM(S30:S32)+S35+S36+S37</f>
        <v>-1072.9569999999999</v>
      </c>
      <c r="T38" s="116"/>
      <c r="U38" s="118">
        <f>SUM(U30:U32)+U35+U36+U37</f>
        <v>-141.82799999999995</v>
      </c>
      <c r="V38" s="116">
        <f>SUM(V30:V32)+V35+V36+V37</f>
        <v>-330.46300000000008</v>
      </c>
      <c r="W38" s="116">
        <f>SUM(W30:W32)+W35+W36+W37</f>
        <v>-406.97699999999998</v>
      </c>
      <c r="X38" s="117">
        <f>SUM(X30:X32)+X35+X36+X37</f>
        <v>179.30299999999994</v>
      </c>
      <c r="Y38" s="315">
        <f>SUM(Y30:Y32)+Y35+Y36+Y37</f>
        <v>-699.96499999999992</v>
      </c>
      <c r="Z38" s="116"/>
      <c r="AA38" s="118">
        <f>SUM(AA30:AA32)+AA35+AA36+AA37</f>
        <v>-567.35</v>
      </c>
      <c r="AB38" s="116">
        <f>SUM(AB30:AB32)+AB35+AB36+AB37</f>
        <v>-456.64600000000002</v>
      </c>
      <c r="AC38" s="116">
        <f>SUM(AC30:AC32)+AC35+AC36+AC37</f>
        <v>193.00000000000003</v>
      </c>
      <c r="AD38" s="117">
        <f>SUM(AD30:AD32)+AD35+AD36+AD37</f>
        <v>-208.34100000000001</v>
      </c>
      <c r="AE38" s="315">
        <f>SUM(AE30:AE32)+AE35+AE36+AE37</f>
        <v>-1039.337</v>
      </c>
      <c r="AF38" s="116"/>
      <c r="AG38" s="118">
        <f>SUM(AG30:AG32)+AG35+AG36+AG37</f>
        <v>-251.91400000000002</v>
      </c>
      <c r="AH38" s="116">
        <f>SUM(AH30:AH32)+AH35+AH36+AH37</f>
        <v>26.049000000000024</v>
      </c>
      <c r="AI38" s="116">
        <f>SUM(AI30:AI32)+AI35+AI36+AI37</f>
        <v>-418.34600000000006</v>
      </c>
      <c r="AJ38" s="117">
        <f>SUM(AJ30:AJ32)+AJ35+AJ36+AJ37</f>
        <v>-249.91799999999998</v>
      </c>
      <c r="AK38" s="315">
        <f>SUM(AK30:AK32)+AK35+AK36+AK37</f>
        <v>-894.12900000000002</v>
      </c>
      <c r="AL38" s="116"/>
      <c r="AM38" s="118">
        <f>SUM(AM30:AM32)+AM35+AM36+AM37</f>
        <v>391.29200000000003</v>
      </c>
      <c r="AN38" s="116">
        <f>SUM(AN30:AN32)+AN35+AN36+AN37</f>
        <v>23.588000000000022</v>
      </c>
      <c r="AO38" s="116">
        <f>SUM(AO30:AO32)+AO35+AO36+AO37</f>
        <v>-118.53500000000005</v>
      </c>
      <c r="AP38" s="117">
        <f>SUM(AP30:AP32)+AP35+AP36+AP37</f>
        <v>-607.34500000000003</v>
      </c>
      <c r="AQ38" s="315">
        <f>SUM(AQ30:AQ32)+AQ35+AQ36+AQ37</f>
        <v>-311</v>
      </c>
      <c r="AR38" s="116"/>
      <c r="AS38" s="118">
        <f>SUM(AS30:AS32)+AS35+AS36+AS37</f>
        <v>-267</v>
      </c>
      <c r="AT38" s="116">
        <f>SUM(AT30:AT32)+AT35+AT36+AT37</f>
        <v>-231</v>
      </c>
      <c r="AU38" s="116">
        <f>SUM(AU30:AU32)+AU35+AU36+AU37</f>
        <v>-232</v>
      </c>
      <c r="AV38" s="117">
        <f>SUM(AV30:AV32)+AV35+AV36+AV37</f>
        <v>-218</v>
      </c>
      <c r="AW38" s="315">
        <f>SUM(AW30:AW32)+AW35+AW36+AW37</f>
        <v>-948</v>
      </c>
      <c r="AX38" s="116"/>
      <c r="AY38" s="118">
        <f>SUM(AY30:AY32)+AY35+AY36+AY37</f>
        <v>368</v>
      </c>
      <c r="AZ38" s="116">
        <f>SUM(AZ30:AZ32)+AZ35+AZ36+AZ37</f>
        <v>-8197</v>
      </c>
      <c r="BA38" s="116">
        <f>SUM(BA30:BA32)+BA35+BA36+BA37</f>
        <v>-173</v>
      </c>
      <c r="BB38" s="117">
        <f>SUM(BB30:BB32)+BB35+BB36+BB37</f>
        <v>-316</v>
      </c>
      <c r="BC38" s="315">
        <f>SUM(BC30:BC32)+BC35+BC36+BC37</f>
        <v>-8318</v>
      </c>
      <c r="BD38" s="116"/>
      <c r="BE38" s="118">
        <f>SUM(BE30:BE32)+BE35+BE36+BE37</f>
        <v>-145</v>
      </c>
      <c r="BF38" s="116">
        <f>SUM(BF30:BF32)+BF35+BF36+BF37</f>
        <v>-25</v>
      </c>
      <c r="BG38" s="116">
        <f>SUM(BG30:BG32)+BG35+BG36+BG37</f>
        <v>-148</v>
      </c>
      <c r="BH38" s="117">
        <f>SUM(BH30:BH32)+BH35+BH36+BH37</f>
        <v>-351</v>
      </c>
      <c r="BI38" s="315">
        <f>SUM(BI30:BI32)+BI35+BI36+BI37</f>
        <v>-669</v>
      </c>
      <c r="BJ38" s="116"/>
      <c r="BK38" s="118">
        <f>SUM(BK30:BK32)+BK35+BK36+BK37</f>
        <v>48</v>
      </c>
      <c r="BL38" s="116">
        <f>SUM(BL30:BL32)+BL35+BL36+BL37</f>
        <v>-203</v>
      </c>
      <c r="BM38" s="116">
        <f>SUM(BM30:BM32)+BM35+BM36+BM37</f>
        <v>-381</v>
      </c>
      <c r="BN38" s="117">
        <f>SUM(BN30:BN32)+BN35+BN36+BN37</f>
        <v>-348</v>
      </c>
      <c r="BO38" s="315">
        <f>SUM(BO30:BO32)+BO35+BO36+BO37</f>
        <v>-884</v>
      </c>
      <c r="BP38" s="116"/>
      <c r="BQ38" s="118">
        <f>SUM(BQ30:BQ32)+BQ35+BQ36+BQ37</f>
        <v>-15316</v>
      </c>
      <c r="BR38" s="116">
        <f>SUM(BR30:BR32)+BR35+BR36+BR37</f>
        <v>-240</v>
      </c>
      <c r="BS38" s="116">
        <f>SUM(BS30:BS32)+BS35+BS36+BS37</f>
        <v>-240</v>
      </c>
      <c r="BT38" s="117">
        <f>SUM(BT30:BT32)+BT35+BT36+BT37</f>
        <v>-240</v>
      </c>
      <c r="BU38" s="315">
        <f>SUM(BU30:BU32)+BU35+BU36+BU37</f>
        <v>-16036</v>
      </c>
      <c r="BV38" s="116"/>
      <c r="BW38" s="118">
        <f>SUM(BW30:BW32)+BW35+BW36+BW37</f>
        <v>-225</v>
      </c>
      <c r="BX38" s="116">
        <f>SUM(BX30:BX32)+BX35+BX36+BX37</f>
        <v>-225</v>
      </c>
      <c r="BY38" s="116">
        <f>SUM(BY30:BY32)+BY35+BY36+BY37</f>
        <v>-225</v>
      </c>
      <c r="BZ38" s="117">
        <f>SUM(BZ30:BZ32)+BZ35+BZ36+BZ37</f>
        <v>-225</v>
      </c>
      <c r="CA38" s="315">
        <f>SUM(CA30:CA32)+CA35+CA36+CA37</f>
        <v>-900</v>
      </c>
      <c r="CB38" s="116"/>
      <c r="CC38" s="118">
        <f>SUM(CC30:CC32)+CC35+CC36+CC37</f>
        <v>-225</v>
      </c>
      <c r="CD38" s="116">
        <f>SUM(CD30:CD32)+CD35+CD36+CD37</f>
        <v>-225</v>
      </c>
      <c r="CE38" s="116">
        <f>SUM(CE30:CE32)+CE35+CE36+CE37</f>
        <v>-225</v>
      </c>
      <c r="CF38" s="117">
        <f>SUM(CF30:CF32)+CF35+CF36+CF37</f>
        <v>-225</v>
      </c>
      <c r="CG38" s="315">
        <f>SUM(CG30:CG32)+CG35+CG36+CG37</f>
        <v>-900</v>
      </c>
      <c r="CH38" s="116"/>
      <c r="CI38" s="118">
        <f>SUM(CI30:CI32)+CI35+CI36+CI37</f>
        <v>-225</v>
      </c>
      <c r="CJ38" s="116">
        <f>SUM(CJ30:CJ32)+CJ35+CJ36+CJ37</f>
        <v>-225</v>
      </c>
      <c r="CK38" s="116">
        <f>SUM(CK30:CK32)+CK35+CK36+CK37</f>
        <v>-225</v>
      </c>
      <c r="CL38" s="117">
        <f>SUM(CL30:CL32)+CL35+CL36+CL37</f>
        <v>-225</v>
      </c>
      <c r="CM38" s="315">
        <f>SUM(CM30:CM32)+CM35+CM36+CM37</f>
        <v>-900</v>
      </c>
      <c r="CQ38"/>
      <c r="CR38"/>
      <c r="CS38"/>
      <c r="CT38"/>
      <c r="CU38"/>
      <c r="CV38"/>
    </row>
    <row r="39" spans="1:101" s="61" customFormat="1" x14ac:dyDescent="0.2">
      <c r="A39" s="432"/>
      <c r="C39" s="98"/>
      <c r="D39" s="92"/>
      <c r="E39" s="92"/>
      <c r="F39" s="99"/>
      <c r="G39" s="93"/>
      <c r="H39" s="92"/>
      <c r="I39" s="98"/>
      <c r="J39" s="92"/>
      <c r="K39" s="92"/>
      <c r="L39" s="99"/>
      <c r="M39" s="93"/>
      <c r="N39" s="92"/>
      <c r="O39" s="98"/>
      <c r="P39" s="92"/>
      <c r="Q39" s="92"/>
      <c r="R39" s="99"/>
      <c r="S39" s="93"/>
      <c r="T39" s="92"/>
      <c r="U39" s="98"/>
      <c r="V39" s="92"/>
      <c r="W39" s="92"/>
      <c r="X39" s="99"/>
      <c r="Y39" s="93"/>
      <c r="Z39" s="92"/>
      <c r="AA39" s="98"/>
      <c r="AB39" s="92"/>
      <c r="AC39" s="92"/>
      <c r="AD39" s="99"/>
      <c r="AE39" s="93"/>
      <c r="AF39" s="92"/>
      <c r="AG39" s="98"/>
      <c r="AH39" s="92"/>
      <c r="AI39" s="92"/>
      <c r="AJ39" s="99"/>
      <c r="AK39" s="93"/>
      <c r="AL39" s="92"/>
      <c r="AM39" s="98"/>
      <c r="AN39" s="92"/>
      <c r="AO39" s="92"/>
      <c r="AP39" s="99"/>
      <c r="AQ39" s="93"/>
      <c r="AR39" s="92"/>
      <c r="AS39" s="98"/>
      <c r="AT39" s="92"/>
      <c r="AU39" s="92"/>
      <c r="AV39" s="99"/>
      <c r="AW39" s="93"/>
      <c r="AX39" s="92"/>
      <c r="AY39" s="98"/>
      <c r="AZ39" s="92"/>
      <c r="BA39" s="92"/>
      <c r="BB39" s="99"/>
      <c r="BC39" s="93"/>
      <c r="BD39" s="92"/>
      <c r="BE39" s="98"/>
      <c r="BF39" s="92"/>
      <c r="BG39" s="92"/>
      <c r="BH39" s="99"/>
      <c r="BI39" s="93"/>
      <c r="BJ39" s="92"/>
      <c r="BK39" s="98"/>
      <c r="BL39" s="92"/>
      <c r="BM39" s="92"/>
      <c r="BN39" s="99"/>
      <c r="BO39" s="93"/>
      <c r="BP39" s="92"/>
      <c r="BQ39" s="98"/>
      <c r="BR39" s="92"/>
      <c r="BS39" s="92"/>
      <c r="BT39" s="99"/>
      <c r="BU39" s="93"/>
      <c r="BV39" s="92"/>
      <c r="BW39" s="98"/>
      <c r="BX39" s="92"/>
      <c r="BY39" s="92"/>
      <c r="BZ39" s="99"/>
      <c r="CA39" s="93"/>
      <c r="CB39" s="92"/>
      <c r="CC39" s="98"/>
      <c r="CD39" s="92"/>
      <c r="CE39" s="92"/>
      <c r="CF39" s="99"/>
      <c r="CG39" s="93"/>
      <c r="CH39" s="92"/>
      <c r="CI39" s="98"/>
      <c r="CJ39" s="92"/>
      <c r="CK39" s="92"/>
      <c r="CL39" s="99"/>
      <c r="CM39" s="93"/>
      <c r="CQ39"/>
      <c r="CR39"/>
      <c r="CS39"/>
      <c r="CT39"/>
      <c r="CU39"/>
      <c r="CV39"/>
    </row>
    <row r="40" spans="1:101" s="61" customFormat="1" x14ac:dyDescent="0.2">
      <c r="A40" s="514" t="s">
        <v>242</v>
      </c>
      <c r="B40" s="515"/>
      <c r="C40" s="98"/>
      <c r="D40" s="92"/>
      <c r="E40" s="92"/>
      <c r="F40" s="99"/>
      <c r="G40" s="93"/>
      <c r="H40" s="92"/>
      <c r="I40" s="98"/>
      <c r="J40" s="92"/>
      <c r="K40" s="92"/>
      <c r="L40" s="99"/>
      <c r="M40" s="93"/>
      <c r="N40" s="92"/>
      <c r="O40" s="98"/>
      <c r="P40" s="92"/>
      <c r="Q40" s="92"/>
      <c r="R40" s="99"/>
      <c r="S40" s="93"/>
      <c r="T40" s="92"/>
      <c r="U40" s="98"/>
      <c r="V40" s="92"/>
      <c r="W40" s="92"/>
      <c r="X40" s="99"/>
      <c r="Y40" s="93"/>
      <c r="Z40" s="92"/>
      <c r="AA40" s="98"/>
      <c r="AB40" s="92"/>
      <c r="AC40" s="92"/>
      <c r="AD40" s="99"/>
      <c r="AE40" s="93"/>
      <c r="AF40" s="92"/>
      <c r="AG40" s="98"/>
      <c r="AH40" s="92"/>
      <c r="AI40" s="92"/>
      <c r="AJ40" s="99"/>
      <c r="AK40" s="93"/>
      <c r="AL40" s="92"/>
      <c r="AM40" s="98"/>
      <c r="AN40" s="92"/>
      <c r="AO40" s="92"/>
      <c r="AP40" s="99"/>
      <c r="AQ40" s="93"/>
      <c r="AR40" s="92"/>
      <c r="AS40" s="98"/>
      <c r="AT40" s="92"/>
      <c r="AU40" s="92"/>
      <c r="AV40" s="99"/>
      <c r="AW40" s="93"/>
      <c r="AX40" s="92"/>
      <c r="AY40" s="98"/>
      <c r="AZ40" s="92"/>
      <c r="BA40" s="92"/>
      <c r="BB40" s="99"/>
      <c r="BC40" s="93"/>
      <c r="BD40" s="92"/>
      <c r="BE40" s="98"/>
      <c r="BF40" s="92"/>
      <c r="BG40" s="92"/>
      <c r="BH40" s="99"/>
      <c r="BI40" s="93"/>
      <c r="BJ40" s="92"/>
      <c r="BK40" s="98"/>
      <c r="BL40" s="92"/>
      <c r="BM40" s="92"/>
      <c r="BN40" s="99"/>
      <c r="BO40" s="93"/>
      <c r="BP40" s="92"/>
      <c r="BQ40" s="98"/>
      <c r="BR40" s="92"/>
      <c r="BS40" s="92"/>
      <c r="BT40" s="99"/>
      <c r="BU40" s="93"/>
      <c r="BV40" s="92"/>
      <c r="BW40" s="98"/>
      <c r="BX40" s="92"/>
      <c r="BY40" s="92"/>
      <c r="BZ40" s="99"/>
      <c r="CA40" s="93"/>
      <c r="CB40" s="92"/>
      <c r="CC40" s="98"/>
      <c r="CD40" s="92"/>
      <c r="CE40" s="92"/>
      <c r="CF40" s="99"/>
      <c r="CG40" s="93"/>
      <c r="CH40" s="92"/>
      <c r="CI40" s="98"/>
      <c r="CJ40" s="92"/>
      <c r="CK40" s="92"/>
      <c r="CL40" s="99"/>
      <c r="CM40" s="93"/>
      <c r="CQ40"/>
      <c r="CR40"/>
      <c r="CS40"/>
      <c r="CT40"/>
      <c r="CU40"/>
      <c r="CV40"/>
    </row>
    <row r="41" spans="1:101" s="61" customFormat="1" x14ac:dyDescent="0.2">
      <c r="A41" s="432" t="s">
        <v>243</v>
      </c>
      <c r="C41" s="104">
        <v>-122.246</v>
      </c>
      <c r="D41" s="105">
        <f>-119.778-C41</f>
        <v>2.4679999999999893</v>
      </c>
      <c r="E41" s="105">
        <f>-122.653-C41-D41</f>
        <v>-2.875</v>
      </c>
      <c r="F41" s="106">
        <f>-121.102-C41-D41-E41</f>
        <v>1.5510000000000019</v>
      </c>
      <c r="G41" s="93">
        <f t="shared" ref="G41:G47" si="9">SUM(C41:F41)</f>
        <v>-121.102</v>
      </c>
      <c r="H41" s="92"/>
      <c r="I41" s="104">
        <v>0.53200000000000003</v>
      </c>
      <c r="J41" s="105">
        <f>0.261-I41</f>
        <v>-0.27100000000000002</v>
      </c>
      <c r="K41" s="105">
        <f>-3.74-I41-J41</f>
        <v>-4.0010000000000003</v>
      </c>
      <c r="L41" s="106">
        <f>-5.938-I41-J41-K41</f>
        <v>-2.1979999999999995</v>
      </c>
      <c r="M41" s="93">
        <f t="shared" ref="M41:M47" si="10">SUM(I41:L41)</f>
        <v>-5.9379999999999997</v>
      </c>
      <c r="N41" s="92"/>
      <c r="O41" s="104">
        <v>0.92800000000000005</v>
      </c>
      <c r="P41" s="105">
        <f>-0.016-O41</f>
        <v>-0.94400000000000006</v>
      </c>
      <c r="Q41" s="105">
        <f>1.605-O41-P41</f>
        <v>1.621</v>
      </c>
      <c r="R41" s="106">
        <f>1.196-O41-P41-Q41</f>
        <v>-0.40900000000000003</v>
      </c>
      <c r="S41" s="93">
        <f t="shared" ref="S41:S47" si="11">SUM(O41:R41)</f>
        <v>1.196</v>
      </c>
      <c r="T41" s="92"/>
      <c r="U41" s="104">
        <v>-197.309</v>
      </c>
      <c r="V41" s="105">
        <f>-202.196-U41</f>
        <v>-4.8870000000000005</v>
      </c>
      <c r="W41" s="105">
        <f>-200.448-U41-V41</f>
        <v>1.7479999999999905</v>
      </c>
      <c r="X41" s="106">
        <f>-200.193-U41-V41-W41</f>
        <v>0.25499999999999545</v>
      </c>
      <c r="Y41" s="93">
        <f t="shared" ref="Y41:Y47" si="12">SUM(U41:X41)</f>
        <v>-200.19300000000001</v>
      </c>
      <c r="Z41" s="92"/>
      <c r="AA41" s="104">
        <v>31.826000000000001</v>
      </c>
      <c r="AB41" s="105">
        <f>36.787-AA41</f>
        <v>4.9609999999999985</v>
      </c>
      <c r="AC41" s="105">
        <f>33.611-AB41-AA41</f>
        <v>-3.1760000000000019</v>
      </c>
      <c r="AD41" s="99">
        <f t="shared" ref="AD41:AD47" si="13">AE41-AC41-AB41-AA41</f>
        <v>0.64000000000000057</v>
      </c>
      <c r="AE41" s="161">
        <v>34.250999999999998</v>
      </c>
      <c r="AF41" s="92"/>
      <c r="AG41" s="104">
        <v>-0.379</v>
      </c>
      <c r="AH41" s="105">
        <f>1.674-AG41</f>
        <v>2.0529999999999999</v>
      </c>
      <c r="AI41" s="105">
        <f>5.784-AH41-AG41</f>
        <v>4.1099999999999994</v>
      </c>
      <c r="AJ41" s="99">
        <f t="shared" ref="AJ41:AJ47" si="14">AK41-AI41-AH41-AG41</f>
        <v>-4.1890000000000001</v>
      </c>
      <c r="AK41" s="161">
        <v>1.595</v>
      </c>
      <c r="AL41" s="92"/>
      <c r="AM41" s="104">
        <v>4.1449999999999996</v>
      </c>
      <c r="AN41" s="105">
        <f>0.193-AM41</f>
        <v>-3.9519999999999995</v>
      </c>
      <c r="AO41" s="105">
        <f>-199.636-AN41-AM41</f>
        <v>-199.82900000000001</v>
      </c>
      <c r="AP41" s="99">
        <f t="shared" ref="AP41:AP47" si="15">AQ41-AO41-AN41-AM41</f>
        <v>0.63600000000000811</v>
      </c>
      <c r="AQ41" s="161">
        <v>-199</v>
      </c>
      <c r="AR41" s="92"/>
      <c r="AS41" s="104">
        <v>-3</v>
      </c>
      <c r="AT41" s="105">
        <f>-6-AS41</f>
        <v>-3</v>
      </c>
      <c r="AU41" s="105">
        <f>-3-AT41-AS41</f>
        <v>3</v>
      </c>
      <c r="AV41" s="106">
        <f>-4-AS41-AT41-AU41</f>
        <v>-1</v>
      </c>
      <c r="AW41" s="93">
        <f t="shared" ref="AW41:AW47" si="16">SUM(AS41:AV41)</f>
        <v>-4</v>
      </c>
      <c r="AX41" s="92"/>
      <c r="AY41" s="95">
        <v>-1</v>
      </c>
      <c r="AZ41" s="96">
        <f>1502-AY41</f>
        <v>1503</v>
      </c>
      <c r="BA41" s="96">
        <f>846-AY41-AZ41</f>
        <v>-656</v>
      </c>
      <c r="BB41" s="97">
        <f>496-SUM(AY41:BA41)</f>
        <v>-350</v>
      </c>
      <c r="BC41" s="93">
        <f t="shared" ref="BC41:BC47" si="17">SUM(AY41:BB41)</f>
        <v>496</v>
      </c>
      <c r="BD41" s="92"/>
      <c r="BE41" s="95">
        <v>0</v>
      </c>
      <c r="BF41" s="96">
        <f>-300-BE41</f>
        <v>-300</v>
      </c>
      <c r="BG41" s="96">
        <f>-150-SUM(BE41:BF41)</f>
        <v>150</v>
      </c>
      <c r="BH41" s="97">
        <f>-500-SUM(BE41:BG41)</f>
        <v>-350</v>
      </c>
      <c r="BI41" s="93">
        <f t="shared" ref="BI41:BI47" si="18">SUM(BE41:BH41)</f>
        <v>-500</v>
      </c>
      <c r="BJ41" s="92"/>
      <c r="BK41" s="95">
        <v>700</v>
      </c>
      <c r="BL41" s="96">
        <f>-50-BK41</f>
        <v>-750</v>
      </c>
      <c r="BM41" s="96">
        <f>50-SUM(BK41:BL41)</f>
        <v>100</v>
      </c>
      <c r="BN41" s="97">
        <f>-200-SUM(BK41:BM41)</f>
        <v>-250</v>
      </c>
      <c r="BO41" s="93">
        <f t="shared" ref="BO41:BO47" si="19">SUM(BK41:BN41)</f>
        <v>-200</v>
      </c>
      <c r="BP41" s="92"/>
      <c r="BQ41" s="95">
        <v>0</v>
      </c>
      <c r="BR41" s="89">
        <f>BS!BR30-BS!BQ30</f>
        <v>0</v>
      </c>
      <c r="BS41" s="89">
        <f>BS!BS30-BS!BR30</f>
        <v>-200</v>
      </c>
      <c r="BT41" s="90">
        <f>BS!BT30-BS!BS30</f>
        <v>0</v>
      </c>
      <c r="BU41" s="93">
        <f t="shared" ref="BU41:BU47" si="20">SUM(BQ41:BT41)</f>
        <v>-200</v>
      </c>
      <c r="BV41" s="92"/>
      <c r="BW41" s="88">
        <f>BS!BW30-BS!BT30</f>
        <v>0</v>
      </c>
      <c r="BX41" s="89">
        <f>BS!BX30-BS!BW30</f>
        <v>0</v>
      </c>
      <c r="BY41" s="89">
        <f>BS!BY30-BS!BX30</f>
        <v>0</v>
      </c>
      <c r="BZ41" s="90">
        <f>BS!BZ30-BS!BY30</f>
        <v>0</v>
      </c>
      <c r="CA41" s="93">
        <f t="shared" ref="CA41:CA47" si="21">SUM(BW41:BZ41)</f>
        <v>0</v>
      </c>
      <c r="CB41" s="92"/>
      <c r="CC41" s="88">
        <f>BS!CC30-BS!BZ30</f>
        <v>0</v>
      </c>
      <c r="CD41" s="89">
        <f>BS!CD30-BS!CC30</f>
        <v>0</v>
      </c>
      <c r="CE41" s="89">
        <f>BS!CE30-BS!CD30</f>
        <v>0</v>
      </c>
      <c r="CF41" s="90">
        <f>BS!CF30-BS!CE30</f>
        <v>0</v>
      </c>
      <c r="CG41" s="93">
        <f t="shared" ref="CG41:CG47" si="22">SUM(CC41:CF41)</f>
        <v>0</v>
      </c>
      <c r="CH41" s="92"/>
      <c r="CI41" s="88">
        <f>BS!CI30-BS!CF30</f>
        <v>0</v>
      </c>
      <c r="CJ41" s="89">
        <f>BS!CJ30-BS!CI30</f>
        <v>0</v>
      </c>
      <c r="CK41" s="89">
        <f>BS!CK30-BS!CJ30</f>
        <v>0</v>
      </c>
      <c r="CL41" s="90">
        <f>BS!CL30-BS!CK30</f>
        <v>0</v>
      </c>
      <c r="CM41" s="93">
        <f t="shared" ref="CM41:CM47" si="23">SUM(CI41:CL41)</f>
        <v>0</v>
      </c>
      <c r="CQ41"/>
      <c r="CR41"/>
      <c r="CS41"/>
      <c r="CT41"/>
      <c r="CU41"/>
      <c r="CV41"/>
    </row>
    <row r="42" spans="1:101" s="61" customFormat="1" x14ac:dyDescent="0.2">
      <c r="A42" s="432" t="s">
        <v>244</v>
      </c>
      <c r="C42" s="104">
        <v>0</v>
      </c>
      <c r="D42" s="105">
        <f>0-C42</f>
        <v>0</v>
      </c>
      <c r="E42" s="105">
        <f>0-C42-D42</f>
        <v>0</v>
      </c>
      <c r="F42" s="106">
        <f>0-C42-D42-E42</f>
        <v>0</v>
      </c>
      <c r="G42" s="93">
        <f t="shared" si="9"/>
        <v>0</v>
      </c>
      <c r="H42" s="92"/>
      <c r="I42" s="104">
        <v>0</v>
      </c>
      <c r="J42" s="105">
        <f>0-I42</f>
        <v>0</v>
      </c>
      <c r="K42" s="105">
        <f>0-I42-J42</f>
        <v>0</v>
      </c>
      <c r="L42" s="106">
        <f>0-I42-J42-K42</f>
        <v>0</v>
      </c>
      <c r="M42" s="93">
        <f t="shared" si="10"/>
        <v>0</v>
      </c>
      <c r="N42" s="92"/>
      <c r="O42" s="104">
        <v>0</v>
      </c>
      <c r="P42" s="105">
        <f>0-O42</f>
        <v>0</v>
      </c>
      <c r="Q42" s="105">
        <f>736.207-O42-P42</f>
        <v>736.20699999999999</v>
      </c>
      <c r="R42" s="106">
        <f>739.232-O42-P42-Q42</f>
        <v>3.0249999999999773</v>
      </c>
      <c r="S42" s="93">
        <f t="shared" si="11"/>
        <v>739.23199999999997</v>
      </c>
      <c r="T42" s="92"/>
      <c r="U42" s="104">
        <v>0</v>
      </c>
      <c r="V42" s="105">
        <f>0-U42</f>
        <v>0</v>
      </c>
      <c r="W42" s="105">
        <f>0-U42-V42</f>
        <v>0</v>
      </c>
      <c r="X42" s="106">
        <f>0-U42-V42-W42</f>
        <v>0</v>
      </c>
      <c r="Y42" s="93">
        <f t="shared" si="12"/>
        <v>0</v>
      </c>
      <c r="Z42" s="92"/>
      <c r="AA42" s="104">
        <v>991.26499999999999</v>
      </c>
      <c r="AB42" s="105">
        <f>991.265-AA42</f>
        <v>0</v>
      </c>
      <c r="AC42" s="105">
        <f>991.265-AB42-AA42</f>
        <v>0</v>
      </c>
      <c r="AD42" s="99">
        <f t="shared" si="13"/>
        <v>0</v>
      </c>
      <c r="AE42" s="161">
        <v>991.26499999999999</v>
      </c>
      <c r="AF42" s="105"/>
      <c r="AG42" s="104">
        <v>1488.2850000000001</v>
      </c>
      <c r="AH42" s="105">
        <f>1488.285-AG42</f>
        <v>0</v>
      </c>
      <c r="AI42" s="105">
        <f>1488.285-AH42-AG42</f>
        <v>0</v>
      </c>
      <c r="AJ42" s="99">
        <f t="shared" si="14"/>
        <v>0</v>
      </c>
      <c r="AK42" s="161">
        <v>1488.2850000000001</v>
      </c>
      <c r="AL42" s="92"/>
      <c r="AM42" s="104">
        <v>0</v>
      </c>
      <c r="AN42" s="105">
        <f>0-AM42</f>
        <v>0</v>
      </c>
      <c r="AO42" s="105">
        <f>0-AN42-AM42</f>
        <v>0</v>
      </c>
      <c r="AP42" s="99">
        <f t="shared" si="15"/>
        <v>0</v>
      </c>
      <c r="AQ42" s="161">
        <v>0</v>
      </c>
      <c r="AR42" s="92"/>
      <c r="AS42" s="104">
        <v>0</v>
      </c>
      <c r="AT42" s="105">
        <f>0-AS42</f>
        <v>0</v>
      </c>
      <c r="AU42" s="105">
        <f>0-AT42-AS42</f>
        <v>0</v>
      </c>
      <c r="AV42" s="106">
        <v>0</v>
      </c>
      <c r="AW42" s="93">
        <f t="shared" si="16"/>
        <v>0</v>
      </c>
      <c r="AX42" s="92"/>
      <c r="AY42" s="95">
        <v>6164</v>
      </c>
      <c r="AZ42" s="96">
        <f>6164-AY42</f>
        <v>0</v>
      </c>
      <c r="BA42" s="96">
        <f>6164-AY42-AZ42</f>
        <v>0</v>
      </c>
      <c r="BB42" s="97">
        <f>6164-SUM(AY42:BA42)</f>
        <v>0</v>
      </c>
      <c r="BC42" s="93">
        <f t="shared" si="17"/>
        <v>6164</v>
      </c>
      <c r="BD42" s="92"/>
      <c r="BE42" s="95">
        <v>0</v>
      </c>
      <c r="BF42" s="96">
        <v>0</v>
      </c>
      <c r="BG42" s="96">
        <v>0</v>
      </c>
      <c r="BH42" s="97">
        <v>0</v>
      </c>
      <c r="BI42" s="93">
        <f t="shared" si="18"/>
        <v>0</v>
      </c>
      <c r="BJ42" s="92"/>
      <c r="BK42" s="95">
        <v>1054</v>
      </c>
      <c r="BL42" s="96">
        <f>1054-BK42</f>
        <v>0</v>
      </c>
      <c r="BM42" s="96">
        <f>11462-SUM(BK42:BL42)</f>
        <v>10408</v>
      </c>
      <c r="BN42" s="97">
        <f>11462-SUM(BK42:BM42)</f>
        <v>0</v>
      </c>
      <c r="BO42" s="93">
        <f t="shared" si="19"/>
        <v>11462</v>
      </c>
      <c r="BP42" s="92"/>
      <c r="BQ42" s="95">
        <v>2250</v>
      </c>
      <c r="BR42" s="89">
        <f>BS!BR38-BS!BQ38</f>
        <v>-250</v>
      </c>
      <c r="BS42" s="89">
        <f>BS!BS38-BS!BR38</f>
        <v>-250</v>
      </c>
      <c r="BT42" s="90">
        <f>BS!BT38-BS!BS38</f>
        <v>-499.99999999999636</v>
      </c>
      <c r="BU42" s="93">
        <f t="shared" si="20"/>
        <v>1250.0000000000036</v>
      </c>
      <c r="BV42" s="92"/>
      <c r="BW42" s="88">
        <f>BS!BW38-BS!BT38</f>
        <v>-500</v>
      </c>
      <c r="BX42" s="89">
        <f>BS!BX38-BS!BW38</f>
        <v>-450.00000000000364</v>
      </c>
      <c r="BY42" s="89">
        <f>BS!BY38-BS!BX38</f>
        <v>-843</v>
      </c>
      <c r="BZ42" s="90">
        <f>BS!BZ38-BS!BY38</f>
        <v>-450</v>
      </c>
      <c r="CA42" s="93">
        <f t="shared" si="21"/>
        <v>-2243.0000000000036</v>
      </c>
      <c r="CB42" s="92"/>
      <c r="CC42" s="88">
        <f>BS!CC38-BS!BZ38</f>
        <v>-875</v>
      </c>
      <c r="CD42" s="89">
        <f>BS!CD38-BS!CC38</f>
        <v>-1422.0915999999997</v>
      </c>
      <c r="CE42" s="89">
        <f>BS!CE38-BS!CD38</f>
        <v>-500</v>
      </c>
      <c r="CF42" s="90">
        <f>BS!CF38-BS!CE38</f>
        <v>-950</v>
      </c>
      <c r="CG42" s="93">
        <f t="shared" si="22"/>
        <v>-3747.0915999999997</v>
      </c>
      <c r="CH42" s="92"/>
      <c r="CI42" s="88">
        <f>BS!CI38-BS!CF38</f>
        <v>-200</v>
      </c>
      <c r="CJ42" s="89">
        <f>BS!CJ38-BS!CI38</f>
        <v>-432.22000000000116</v>
      </c>
      <c r="CK42" s="89">
        <f>BS!CK38-BS!CJ38</f>
        <v>-800</v>
      </c>
      <c r="CL42" s="90">
        <f>BS!CL38-BS!CK38</f>
        <v>0</v>
      </c>
      <c r="CM42" s="93">
        <f t="shared" si="23"/>
        <v>-1432.2200000000012</v>
      </c>
      <c r="CQ42"/>
      <c r="CR42"/>
      <c r="CS42"/>
      <c r="CT42"/>
      <c r="CU42"/>
      <c r="CV42"/>
    </row>
    <row r="43" spans="1:101" s="61" customFormat="1" x14ac:dyDescent="0.2">
      <c r="A43" s="432" t="s">
        <v>245</v>
      </c>
      <c r="C43" s="104">
        <v>-99.947999999999993</v>
      </c>
      <c r="D43" s="105">
        <f>-100.258-C43</f>
        <v>-0.31000000000000227</v>
      </c>
      <c r="E43" s="105">
        <f>-100.547-C43-D43</f>
        <v>-0.28900000000000148</v>
      </c>
      <c r="F43" s="106">
        <f>-100.79-C43-D43-E43</f>
        <v>-0.24300000000000921</v>
      </c>
      <c r="G43" s="93">
        <f t="shared" si="9"/>
        <v>-100.79</v>
      </c>
      <c r="H43" s="92"/>
      <c r="I43" s="104">
        <v>-0.23599999999999999</v>
      </c>
      <c r="J43" s="105">
        <f>-0.366-I43</f>
        <v>-0.13</v>
      </c>
      <c r="K43" s="105">
        <f>-0.591-I43-J43</f>
        <v>-0.22499999999999998</v>
      </c>
      <c r="L43" s="106">
        <f>-1.114-I43-J43-K43</f>
        <v>-0.52300000000000013</v>
      </c>
      <c r="M43" s="93">
        <f t="shared" si="10"/>
        <v>-1.1140000000000001</v>
      </c>
      <c r="N43" s="92"/>
      <c r="O43" s="104">
        <v>-9.2999999999999999E-2</v>
      </c>
      <c r="P43" s="105">
        <f>-0.192-O43</f>
        <v>-9.9000000000000005E-2</v>
      </c>
      <c r="Q43" s="105">
        <f>-0.289-O43-P43</f>
        <v>-9.6999999999999975E-2</v>
      </c>
      <c r="R43" s="106">
        <f>-0.311-O43-P43-Q43</f>
        <v>-2.200000000000002E-2</v>
      </c>
      <c r="S43" s="93">
        <f t="shared" si="11"/>
        <v>-0.311</v>
      </c>
      <c r="T43" s="92"/>
      <c r="U43" s="104">
        <v>-2.8000000000000001E-2</v>
      </c>
      <c r="V43" s="105">
        <f>-0.049-U43</f>
        <v>-2.1000000000000001E-2</v>
      </c>
      <c r="W43" s="105">
        <f>-0.068-U43-V43</f>
        <v>-1.9000000000000006E-2</v>
      </c>
      <c r="X43" s="106">
        <f>-0.076-U43-V43-W43</f>
        <v>-7.9999999999999932E-3</v>
      </c>
      <c r="Y43" s="93">
        <f t="shared" si="12"/>
        <v>-7.5999999999999998E-2</v>
      </c>
      <c r="Z43" s="92"/>
      <c r="AA43" s="104">
        <v>-7.0000000000000001E-3</v>
      </c>
      <c r="AB43" s="105">
        <f>-0.014-AA43</f>
        <v>-7.0000000000000001E-3</v>
      </c>
      <c r="AC43" s="105">
        <f>-0.027-AB43-AA43</f>
        <v>-1.3000000000000001E-2</v>
      </c>
      <c r="AD43" s="99">
        <f t="shared" si="13"/>
        <v>-8.0000000000000036E-3</v>
      </c>
      <c r="AE43" s="161">
        <v>-3.5000000000000003E-2</v>
      </c>
      <c r="AF43" s="92"/>
      <c r="AG43" s="104">
        <v>-31.454000000000001</v>
      </c>
      <c r="AH43" s="105">
        <f>-39.3-AG43</f>
        <v>-7.8459999999999965</v>
      </c>
      <c r="AI43" s="105">
        <f>-42.337-AH43-AG43</f>
        <v>-3.0370000000000061</v>
      </c>
      <c r="AJ43" s="99">
        <f t="shared" si="14"/>
        <v>-8.9999999999932356E-3</v>
      </c>
      <c r="AK43" s="161">
        <v>-42.345999999999997</v>
      </c>
      <c r="AL43" s="92"/>
      <c r="AM43" s="104">
        <v>-0.01</v>
      </c>
      <c r="AN43" s="105">
        <f>-0.015-AM43</f>
        <v>-4.9999999999999992E-3</v>
      </c>
      <c r="AO43" s="105">
        <f>-0.018-AN43-AM43</f>
        <v>-2.9999999999999992E-3</v>
      </c>
      <c r="AP43" s="99">
        <f t="shared" si="15"/>
        <v>1.7999999999999999E-2</v>
      </c>
      <c r="AQ43" s="161">
        <v>0</v>
      </c>
      <c r="AR43" s="92"/>
      <c r="AS43" s="104">
        <v>0</v>
      </c>
      <c r="AT43" s="105">
        <f>0-AS43</f>
        <v>0</v>
      </c>
      <c r="AU43" s="105">
        <f>0-AT43-AS43</f>
        <v>0</v>
      </c>
      <c r="AV43" s="106">
        <v>0</v>
      </c>
      <c r="AW43" s="93">
        <f t="shared" si="16"/>
        <v>0</v>
      </c>
      <c r="AX43" s="92"/>
      <c r="AY43" s="104">
        <v>0</v>
      </c>
      <c r="AZ43" s="105">
        <f>-2-AY43</f>
        <v>-2</v>
      </c>
      <c r="BA43" s="96">
        <f>-3-AY43-AZ43</f>
        <v>-1</v>
      </c>
      <c r="BB43" s="106">
        <f>-6-SUM(AY43:BA43)</f>
        <v>-3</v>
      </c>
      <c r="BC43" s="93">
        <f t="shared" si="17"/>
        <v>-6</v>
      </c>
      <c r="BD43" s="92"/>
      <c r="BE43" s="104">
        <v>0</v>
      </c>
      <c r="BF43" s="96">
        <f>-1-BE43</f>
        <v>-1</v>
      </c>
      <c r="BG43" s="105">
        <f>-751-SUM(BE43:BF43)</f>
        <v>-750</v>
      </c>
      <c r="BH43" s="97">
        <f>-752-SUM(BE43:BG43)</f>
        <v>-1</v>
      </c>
      <c r="BI43" s="93">
        <f t="shared" si="18"/>
        <v>-752</v>
      </c>
      <c r="BJ43" s="92"/>
      <c r="BK43" s="104">
        <v>-2189</v>
      </c>
      <c r="BL43" s="96">
        <f>-2189-BK43</f>
        <v>0</v>
      </c>
      <c r="BM43" s="96">
        <f>-3980-SUM(BK43:BL43)</f>
        <v>-1791</v>
      </c>
      <c r="BN43" s="97">
        <f>-3980-SUM(BK43:BM43)</f>
        <v>0</v>
      </c>
      <c r="BO43" s="93">
        <f t="shared" si="19"/>
        <v>-3980</v>
      </c>
      <c r="BP43" s="92"/>
      <c r="BQ43" s="104">
        <v>0</v>
      </c>
      <c r="BR43" s="105">
        <v>0</v>
      </c>
      <c r="BS43" s="105">
        <v>0</v>
      </c>
      <c r="BT43" s="106">
        <v>0</v>
      </c>
      <c r="BU43" s="93">
        <f t="shared" si="20"/>
        <v>0</v>
      </c>
      <c r="BV43" s="92"/>
      <c r="BW43" s="104">
        <v>0</v>
      </c>
      <c r="BX43" s="105">
        <v>0</v>
      </c>
      <c r="BY43" s="105">
        <v>0</v>
      </c>
      <c r="BZ43" s="106">
        <v>0</v>
      </c>
      <c r="CA43" s="93">
        <f t="shared" si="21"/>
        <v>0</v>
      </c>
      <c r="CB43" s="92"/>
      <c r="CC43" s="104">
        <v>0</v>
      </c>
      <c r="CD43" s="105">
        <v>0</v>
      </c>
      <c r="CE43" s="105">
        <v>0</v>
      </c>
      <c r="CF43" s="106">
        <v>0</v>
      </c>
      <c r="CG43" s="93">
        <f t="shared" si="22"/>
        <v>0</v>
      </c>
      <c r="CH43" s="92"/>
      <c r="CI43" s="104">
        <v>0</v>
      </c>
      <c r="CJ43" s="105">
        <v>0</v>
      </c>
      <c r="CK43" s="105">
        <v>0</v>
      </c>
      <c r="CL43" s="106">
        <v>0</v>
      </c>
      <c r="CM43" s="93">
        <f t="shared" si="23"/>
        <v>0</v>
      </c>
      <c r="CQ43"/>
      <c r="CR43"/>
      <c r="CS43"/>
      <c r="CT43"/>
      <c r="CU43"/>
      <c r="CV43"/>
    </row>
    <row r="44" spans="1:101" s="61" customFormat="1" x14ac:dyDescent="0.2">
      <c r="A44" s="432" t="s">
        <v>246</v>
      </c>
      <c r="C44" s="104">
        <v>-112.32899999999999</v>
      </c>
      <c r="D44" s="105">
        <f>-224.835-C44</f>
        <v>-112.50600000000001</v>
      </c>
      <c r="E44" s="105">
        <f>-412.437-C44-D44</f>
        <v>-187.60199999999998</v>
      </c>
      <c r="F44" s="106">
        <f>-450.124-C44-D44-E44</f>
        <v>-37.687000000000012</v>
      </c>
      <c r="G44" s="93">
        <f t="shared" si="9"/>
        <v>-450.12400000000002</v>
      </c>
      <c r="H44" s="473"/>
      <c r="I44" s="104">
        <v>-122.747</v>
      </c>
      <c r="J44" s="105">
        <f>-276.355-I44</f>
        <v>-153.608</v>
      </c>
      <c r="K44" s="105">
        <f>-354.389-I44-J44</f>
        <v>-78.033999999999992</v>
      </c>
      <c r="L44" s="106">
        <f>-450.001-I44-J44-K44</f>
        <v>-95.611999999999966</v>
      </c>
      <c r="M44" s="93">
        <f t="shared" si="10"/>
        <v>-450.00099999999998</v>
      </c>
      <c r="N44" s="473"/>
      <c r="O44" s="104">
        <v>-283.32100000000003</v>
      </c>
      <c r="P44" s="105">
        <f>-341.518-O44</f>
        <v>-58.196999999999946</v>
      </c>
      <c r="Q44" s="105">
        <f>-371.426-O44-P44</f>
        <v>-29.908000000000015</v>
      </c>
      <c r="R44" s="106">
        <f>-550.006-O44-P44-Q44</f>
        <v>-178.57999999999998</v>
      </c>
      <c r="S44" s="93">
        <f t="shared" si="11"/>
        <v>-550.00599999999997</v>
      </c>
      <c r="T44" s="473"/>
      <c r="U44" s="104">
        <v>-191.13300000000001</v>
      </c>
      <c r="V44" s="105">
        <f>-450-U44</f>
        <v>-258.86699999999996</v>
      </c>
      <c r="W44" s="105">
        <f>-549.999-U44-V44</f>
        <v>-99.999000000000024</v>
      </c>
      <c r="X44" s="106">
        <f>-750-U44-V44-W44</f>
        <v>-200.00099999999998</v>
      </c>
      <c r="Y44" s="93">
        <f t="shared" si="12"/>
        <v>-750</v>
      </c>
      <c r="Z44" s="473"/>
      <c r="AA44" s="104">
        <v>-836.89099999999996</v>
      </c>
      <c r="AB44" s="105">
        <f>-1057.791-AA44</f>
        <v>-220.89999999999998</v>
      </c>
      <c r="AC44" s="105">
        <f>-1272.828-AB44-AA44</f>
        <v>-215.03699999999992</v>
      </c>
      <c r="AD44" s="99">
        <f t="shared" si="13"/>
        <v>-227.17299999999989</v>
      </c>
      <c r="AE44" s="161">
        <v>-1500.001</v>
      </c>
      <c r="AF44" s="473"/>
      <c r="AG44" s="104">
        <v>-399.87299999999999</v>
      </c>
      <c r="AH44" s="105">
        <f>-1000.007-AG44</f>
        <v>-600.13400000000001</v>
      </c>
      <c r="AI44" s="105">
        <f>-1250.011-AH44-AG44</f>
        <v>-250.00399999999996</v>
      </c>
      <c r="AJ44" s="99">
        <f t="shared" si="14"/>
        <v>-249.98900000000009</v>
      </c>
      <c r="AK44" s="161">
        <v>-1500</v>
      </c>
      <c r="AL44" s="473"/>
      <c r="AM44" s="104">
        <v>-299.99900000000002</v>
      </c>
      <c r="AN44" s="105">
        <f>-356.485-AM44</f>
        <v>-56.48599999999999</v>
      </c>
      <c r="AO44" s="105">
        <f>-406.485-AN44-AM44</f>
        <v>-50</v>
      </c>
      <c r="AP44" s="99">
        <f t="shared" si="15"/>
        <v>-43.514999999999986</v>
      </c>
      <c r="AQ44" s="161">
        <v>-450</v>
      </c>
      <c r="AR44" s="473"/>
      <c r="AS44" s="104">
        <v>-189</v>
      </c>
      <c r="AT44" s="105">
        <f>-213-AS44</f>
        <v>-24</v>
      </c>
      <c r="AU44" s="105">
        <f>-400-AT44-AS44</f>
        <v>-187</v>
      </c>
      <c r="AV44" s="106">
        <f>-400-AS44-AT44-AU44</f>
        <v>0</v>
      </c>
      <c r="AW44" s="93">
        <f t="shared" si="16"/>
        <v>-400</v>
      </c>
      <c r="AX44" s="473"/>
      <c r="AY44" s="104">
        <v>0</v>
      </c>
      <c r="AZ44" s="105">
        <v>0</v>
      </c>
      <c r="BA44" s="105">
        <v>0</v>
      </c>
      <c r="BB44" s="106">
        <v>0</v>
      </c>
      <c r="BC44" s="93">
        <f t="shared" si="17"/>
        <v>0</v>
      </c>
      <c r="BD44" s="473"/>
      <c r="BE44" s="104">
        <v>0</v>
      </c>
      <c r="BF44" s="96">
        <v>0</v>
      </c>
      <c r="BG44" s="105">
        <v>0</v>
      </c>
      <c r="BH44" s="106">
        <v>0</v>
      </c>
      <c r="BI44" s="93">
        <f t="shared" si="18"/>
        <v>0</v>
      </c>
      <c r="BJ44" s="473"/>
      <c r="BK44" s="104">
        <v>-220</v>
      </c>
      <c r="BL44" s="96">
        <f>-220-BK44</f>
        <v>0</v>
      </c>
      <c r="BM44" s="96">
        <f>-220-SUM(BK44:BL44)</f>
        <v>0</v>
      </c>
      <c r="BN44" s="106">
        <f>-220-SUM(BK44:BM44)</f>
        <v>0</v>
      </c>
      <c r="BO44" s="93">
        <f t="shared" si="19"/>
        <v>-220</v>
      </c>
      <c r="BP44" s="473"/>
      <c r="BQ44" s="104">
        <v>0</v>
      </c>
      <c r="BR44" s="105">
        <v>-0.1</v>
      </c>
      <c r="BS44" s="105">
        <v>-0.1</v>
      </c>
      <c r="BT44" s="106">
        <v>-0.1</v>
      </c>
      <c r="BU44" s="93">
        <f t="shared" si="20"/>
        <v>-0.30000000000000004</v>
      </c>
      <c r="BV44" s="473"/>
      <c r="BW44" s="104">
        <v>-1</v>
      </c>
      <c r="BX44" s="105">
        <v>-0.1</v>
      </c>
      <c r="BY44" s="105">
        <v>-0.1</v>
      </c>
      <c r="BZ44" s="106">
        <v>-0.1</v>
      </c>
      <c r="CA44" s="93">
        <f t="shared" si="21"/>
        <v>-1.3000000000000003</v>
      </c>
      <c r="CB44" s="473"/>
      <c r="CC44" s="104">
        <v>-1</v>
      </c>
      <c r="CD44" s="105">
        <v>-100</v>
      </c>
      <c r="CE44" s="105">
        <v>-100</v>
      </c>
      <c r="CF44" s="106">
        <v>-100</v>
      </c>
      <c r="CG44" s="93">
        <f t="shared" si="22"/>
        <v>-301</v>
      </c>
      <c r="CH44" s="473"/>
      <c r="CI44" s="104">
        <v>-1</v>
      </c>
      <c r="CJ44" s="105">
        <v>-0.1</v>
      </c>
      <c r="CK44" s="105">
        <v>-0.1</v>
      </c>
      <c r="CL44" s="106">
        <v>-0.1</v>
      </c>
      <c r="CM44" s="93">
        <f t="shared" si="23"/>
        <v>-1.3000000000000003</v>
      </c>
      <c r="CN44" s="516"/>
      <c r="CO44" s="516"/>
      <c r="CQ44"/>
      <c r="CR44"/>
      <c r="CS44"/>
      <c r="CT44"/>
      <c r="CU44"/>
      <c r="CV44"/>
    </row>
    <row r="45" spans="1:101" s="61" customFormat="1" x14ac:dyDescent="0.2">
      <c r="A45" s="432" t="s">
        <v>247</v>
      </c>
      <c r="C45" s="104">
        <v>9.4540000000000006</v>
      </c>
      <c r="D45" s="105">
        <f>32.052-C45</f>
        <v>22.597999999999999</v>
      </c>
      <c r="E45" s="105">
        <f>43.059-C45-D45</f>
        <v>11.006999999999998</v>
      </c>
      <c r="F45" s="106">
        <f>55.118-C45-D45-E45</f>
        <v>12.059000000000005</v>
      </c>
      <c r="G45" s="93">
        <f t="shared" si="9"/>
        <v>55.118000000000002</v>
      </c>
      <c r="H45" s="473"/>
      <c r="I45" s="104">
        <v>24.92</v>
      </c>
      <c r="J45" s="105">
        <f>50.486-I45</f>
        <v>25.565999999999995</v>
      </c>
      <c r="K45" s="105">
        <f>55.715-I45-J45</f>
        <v>5.2290000000000063</v>
      </c>
      <c r="L45" s="106">
        <f>64.335-I45-J45-K45</f>
        <v>8.6199999999999903</v>
      </c>
      <c r="M45" s="93">
        <f t="shared" si="10"/>
        <v>64.334999999999994</v>
      </c>
      <c r="N45" s="473"/>
      <c r="O45" s="104">
        <v>3.702</v>
      </c>
      <c r="P45" s="105">
        <f>9.633-O45</f>
        <v>5.9309999999999992</v>
      </c>
      <c r="Q45" s="105">
        <f>12.17-O45-P45</f>
        <v>2.5370000000000008</v>
      </c>
      <c r="R45" s="106">
        <f>14.667-O45-P45-Q45</f>
        <v>2.4969999999999999</v>
      </c>
      <c r="S45" s="93">
        <f t="shared" si="11"/>
        <v>14.667</v>
      </c>
      <c r="T45" s="473"/>
      <c r="U45" s="104">
        <v>7.8239999999999998</v>
      </c>
      <c r="V45" s="105">
        <f>17.591-U45</f>
        <v>9.7670000000000012</v>
      </c>
      <c r="W45" s="105">
        <f>18.911-U45-V45</f>
        <v>1.3200000000000003</v>
      </c>
      <c r="X45" s="106">
        <f>23.202-U45-V45-W45</f>
        <v>4.2910000000000004</v>
      </c>
      <c r="Y45" s="93">
        <f t="shared" si="12"/>
        <v>23.202000000000002</v>
      </c>
      <c r="Z45" s="473"/>
      <c r="AA45" s="104">
        <v>14.978999999999999</v>
      </c>
      <c r="AB45" s="105">
        <f>19.133-AA45</f>
        <v>4.1539999999999999</v>
      </c>
      <c r="AC45" s="105">
        <f>35.2-AB45-AA45</f>
        <v>16.067000000000004</v>
      </c>
      <c r="AD45" s="99">
        <f t="shared" si="13"/>
        <v>1.9889999999999972</v>
      </c>
      <c r="AE45" s="161">
        <v>37.189</v>
      </c>
      <c r="AF45" s="473"/>
      <c r="AG45" s="104">
        <v>3.7360000000000002</v>
      </c>
      <c r="AH45" s="105">
        <f>7.376-AG45</f>
        <v>3.64</v>
      </c>
      <c r="AI45" s="105">
        <f>8.748-AH45-AG45</f>
        <v>1.3719999999999986</v>
      </c>
      <c r="AJ45" s="99">
        <f t="shared" si="14"/>
        <v>6.1059999999999999</v>
      </c>
      <c r="AK45" s="161">
        <v>14.853999999999999</v>
      </c>
      <c r="AL45" s="473"/>
      <c r="AM45" s="104">
        <v>4.8959999999999999</v>
      </c>
      <c r="AN45" s="105">
        <f>14.136-AM45</f>
        <v>9.2399999999999984</v>
      </c>
      <c r="AO45" s="105">
        <f>20.127-AN45-AM45</f>
        <v>5.9910000000000005</v>
      </c>
      <c r="AP45" s="99">
        <f t="shared" si="15"/>
        <v>2.873000000000002</v>
      </c>
      <c r="AQ45" s="161">
        <v>23</v>
      </c>
      <c r="AR45" s="473"/>
      <c r="AS45" s="104">
        <v>13</v>
      </c>
      <c r="AT45" s="105">
        <f>19-AS45</f>
        <v>6</v>
      </c>
      <c r="AU45" s="105">
        <f>26-AT45-AS45</f>
        <v>7</v>
      </c>
      <c r="AV45" s="106">
        <f>27-AS45-AT45-AU45</f>
        <v>1</v>
      </c>
      <c r="AW45" s="93">
        <f t="shared" si="16"/>
        <v>27</v>
      </c>
      <c r="AX45" s="473"/>
      <c r="AY45" s="104">
        <v>31</v>
      </c>
      <c r="AZ45" s="96">
        <f>40-AY45</f>
        <v>9</v>
      </c>
      <c r="BA45" s="96">
        <f>48-AY45-AZ45</f>
        <v>8</v>
      </c>
      <c r="BB45" s="97">
        <f>48-SUM(AY45:BA45)</f>
        <v>0</v>
      </c>
      <c r="BC45" s="93">
        <f t="shared" si="17"/>
        <v>48</v>
      </c>
      <c r="BD45" s="473"/>
      <c r="BE45" s="95">
        <v>44</v>
      </c>
      <c r="BF45" s="96">
        <f>51-BE45</f>
        <v>7</v>
      </c>
      <c r="BG45" s="105">
        <f>75-SUM(BE45:BF45)</f>
        <v>24</v>
      </c>
      <c r="BH45" s="106">
        <f>86-SUM(BE45:BG45)</f>
        <v>11</v>
      </c>
      <c r="BI45" s="93">
        <f t="shared" si="18"/>
        <v>86</v>
      </c>
      <c r="BJ45" s="473"/>
      <c r="BK45" s="95">
        <v>0</v>
      </c>
      <c r="BL45" s="96">
        <v>0</v>
      </c>
      <c r="BM45" s="96">
        <f>0-SUM(BK45:BL45)</f>
        <v>0</v>
      </c>
      <c r="BN45" s="106">
        <v>0</v>
      </c>
      <c r="BO45" s="93">
        <f t="shared" si="19"/>
        <v>0</v>
      </c>
      <c r="BP45" s="473"/>
      <c r="BQ45" s="104">
        <v>0</v>
      </c>
      <c r="BR45" s="105">
        <v>0</v>
      </c>
      <c r="BS45" s="105">
        <v>0</v>
      </c>
      <c r="BT45" s="106">
        <v>0</v>
      </c>
      <c r="BU45" s="93">
        <f t="shared" si="20"/>
        <v>0</v>
      </c>
      <c r="BV45" s="473"/>
      <c r="BW45" s="104">
        <v>0</v>
      </c>
      <c r="BX45" s="105">
        <v>0</v>
      </c>
      <c r="BY45" s="105">
        <v>0</v>
      </c>
      <c r="BZ45" s="106">
        <v>0</v>
      </c>
      <c r="CA45" s="93">
        <f t="shared" si="21"/>
        <v>0</v>
      </c>
      <c r="CB45" s="473"/>
      <c r="CC45" s="104">
        <v>0</v>
      </c>
      <c r="CD45" s="105">
        <v>0</v>
      </c>
      <c r="CE45" s="105">
        <v>0</v>
      </c>
      <c r="CF45" s="106">
        <v>0</v>
      </c>
      <c r="CG45" s="93">
        <f t="shared" si="22"/>
        <v>0</v>
      </c>
      <c r="CH45" s="473"/>
      <c r="CI45" s="104">
        <v>0</v>
      </c>
      <c r="CJ45" s="105">
        <v>0</v>
      </c>
      <c r="CK45" s="105">
        <v>0</v>
      </c>
      <c r="CL45" s="106">
        <v>0</v>
      </c>
      <c r="CM45" s="93">
        <f t="shared" si="23"/>
        <v>0</v>
      </c>
      <c r="CN45" s="516"/>
      <c r="CO45" s="516"/>
      <c r="CQ45"/>
      <c r="CR45"/>
      <c r="CS45"/>
      <c r="CT45"/>
      <c r="CU45"/>
      <c r="CV45"/>
    </row>
    <row r="46" spans="1:101" s="61" customFormat="1" x14ac:dyDescent="0.2">
      <c r="A46" s="432" t="s">
        <v>248</v>
      </c>
      <c r="C46" s="104">
        <v>0</v>
      </c>
      <c r="D46" s="105">
        <f>-120.14-C46</f>
        <v>-120.14</v>
      </c>
      <c r="E46" s="105">
        <f>-180.084-C46-D46</f>
        <v>-59.944000000000003</v>
      </c>
      <c r="F46" s="106">
        <f>-239.81-C46-D46-E46</f>
        <v>-59.725999999999999</v>
      </c>
      <c r="G46" s="93">
        <f t="shared" si="9"/>
        <v>-239.81</v>
      </c>
      <c r="H46" s="92"/>
      <c r="I46" s="104">
        <v>0</v>
      </c>
      <c r="J46" s="105">
        <f>-139.438-I46</f>
        <v>-139.43799999999999</v>
      </c>
      <c r="K46" s="105">
        <f>-208.996-I46-J46</f>
        <v>-69.558000000000021</v>
      </c>
      <c r="L46" s="106">
        <f>-278.506-I46-J46-K46</f>
        <v>-69.509999999999962</v>
      </c>
      <c r="M46" s="93">
        <f t="shared" si="10"/>
        <v>-278.50599999999997</v>
      </c>
      <c r="N46" s="92"/>
      <c r="O46" s="104">
        <v>-82.102000000000004</v>
      </c>
      <c r="P46" s="105">
        <f>-158.706-O46</f>
        <v>-76.603999999999985</v>
      </c>
      <c r="Q46" s="105">
        <f>-237.908-O46-P46</f>
        <v>-79.201999999999998</v>
      </c>
      <c r="R46" s="106">
        <f>-316.877-O46-P46-Q46</f>
        <v>-78.969000000000023</v>
      </c>
      <c r="S46" s="93">
        <f t="shared" si="11"/>
        <v>-316.87700000000001</v>
      </c>
      <c r="T46" s="92"/>
      <c r="U46" s="104">
        <v>-89.888999999999996</v>
      </c>
      <c r="V46" s="105">
        <f>-174.232-U46</f>
        <v>-84.343000000000004</v>
      </c>
      <c r="W46" s="105">
        <f>-260.344-U46-V46</f>
        <v>-86.111999999999981</v>
      </c>
      <c r="X46" s="106">
        <f>-345.713-U46-V46-W46</f>
        <v>-85.369000000000014</v>
      </c>
      <c r="Y46" s="93">
        <f t="shared" si="12"/>
        <v>-345.71300000000002</v>
      </c>
      <c r="Z46" s="92"/>
      <c r="AA46" s="104">
        <v>-92.706999999999994</v>
      </c>
      <c r="AB46" s="105">
        <f>-182.866-AA46</f>
        <v>-90.15900000000002</v>
      </c>
      <c r="AC46" s="105">
        <f>-272.737-AB46-AA46</f>
        <v>-89.871000000000009</v>
      </c>
      <c r="AD46" s="99">
        <f t="shared" si="13"/>
        <v>-88.461999999999961</v>
      </c>
      <c r="AE46" s="161">
        <v>-361.19900000000001</v>
      </c>
      <c r="AF46" s="92"/>
      <c r="AG46" s="104">
        <v>-96.153999999999996</v>
      </c>
      <c r="AH46" s="105">
        <f>-188.222-AG46</f>
        <v>-92.068000000000012</v>
      </c>
      <c r="AI46" s="105">
        <f>-280.26-AH46-AG46</f>
        <v>-92.037999999999982</v>
      </c>
      <c r="AJ46" s="99">
        <f t="shared" si="14"/>
        <v>-87.350999999999971</v>
      </c>
      <c r="AK46" s="161">
        <v>-367.61099999999999</v>
      </c>
      <c r="AL46" s="92"/>
      <c r="AM46" s="104">
        <v>-96.840999999999994</v>
      </c>
      <c r="AN46" s="105">
        <f>-193.413-AM46</f>
        <v>-96.572000000000017</v>
      </c>
      <c r="AO46" s="105">
        <f>-289.605-AN46-AM46</f>
        <v>-96.192000000000021</v>
      </c>
      <c r="AP46" s="99">
        <f t="shared" si="15"/>
        <v>-96.394999999999996</v>
      </c>
      <c r="AQ46" s="161">
        <v>-386</v>
      </c>
      <c r="AR46" s="92"/>
      <c r="AS46" s="104">
        <v>-106</v>
      </c>
      <c r="AT46" s="105">
        <f>-211-AS46</f>
        <v>-105</v>
      </c>
      <c r="AU46" s="105">
        <f>-316-AT46-AS46</f>
        <v>-105</v>
      </c>
      <c r="AV46" s="106">
        <f>-421-AS46-AT46-AU46</f>
        <v>-105</v>
      </c>
      <c r="AW46" s="93">
        <f t="shared" si="16"/>
        <v>-421</v>
      </c>
      <c r="AX46" s="92"/>
      <c r="AY46" s="95">
        <v>-116</v>
      </c>
      <c r="AZ46" s="96">
        <f>-232-AY46</f>
        <v>-116</v>
      </c>
      <c r="BA46" s="96">
        <f>-358-AY46-AZ46</f>
        <v>-126</v>
      </c>
      <c r="BB46" s="97">
        <f>-485-SUM(AY46:BA46)</f>
        <v>-127</v>
      </c>
      <c r="BC46" s="93">
        <f t="shared" si="17"/>
        <v>-485</v>
      </c>
      <c r="BD46" s="92"/>
      <c r="BE46" s="95">
        <v>-140</v>
      </c>
      <c r="BF46" s="96">
        <f>-280-BE46</f>
        <v>-140</v>
      </c>
      <c r="BG46" s="96">
        <f>-421-SUM(BE46:BF46)</f>
        <v>-141</v>
      </c>
      <c r="BH46" s="97">
        <f>-562-SUM(BE46:BG46)</f>
        <v>-141</v>
      </c>
      <c r="BI46" s="93">
        <f t="shared" si="18"/>
        <v>-562</v>
      </c>
      <c r="BJ46" s="92"/>
      <c r="BK46" s="95">
        <v>-156</v>
      </c>
      <c r="BL46" s="96">
        <f>-312-BK46</f>
        <v>-156</v>
      </c>
      <c r="BM46" s="96">
        <f>-478-SUM(BK46:BL46)</f>
        <v>-166</v>
      </c>
      <c r="BN46" s="97">
        <f>-677-SUM(BK46:BM46)</f>
        <v>-199</v>
      </c>
      <c r="BO46" s="93">
        <f t="shared" si="19"/>
        <v>-677</v>
      </c>
      <c r="BP46" s="92"/>
      <c r="BQ46" s="95">
        <v>-210</v>
      </c>
      <c r="BR46" s="92">
        <f>-BR69*CFS!BR78-BR107</f>
        <v>-241.11276087992275</v>
      </c>
      <c r="BS46" s="92">
        <f>-BS69*CFS!BS78-BS107</f>
        <v>-241.18759239384542</v>
      </c>
      <c r="BT46" s="99">
        <f>-BT69*CFS!BT78-BT107</f>
        <v>-241.33725844057363</v>
      </c>
      <c r="BU46" s="93">
        <f t="shared" si="20"/>
        <v>-933.6376117143418</v>
      </c>
      <c r="BV46" s="92"/>
      <c r="BW46" s="98">
        <f>-BW69*CFS!BW78-BW107</f>
        <v>-249.73063666732443</v>
      </c>
      <c r="BX46" s="92">
        <f>-BX69*CFS!BX78-BX107</f>
        <v>-250.11878066797149</v>
      </c>
      <c r="BY46" s="92">
        <f>-BY69*CFS!BY78-BY107</f>
        <v>-250.50845169312439</v>
      </c>
      <c r="BZ46" s="99">
        <f>-BZ69*CFS!BZ78-BZ107</f>
        <v>-250.89812861274987</v>
      </c>
      <c r="CA46" s="93">
        <f t="shared" si="21"/>
        <v>-1001.2559976411701</v>
      </c>
      <c r="CB46" s="92"/>
      <c r="CC46" s="98">
        <f>-CC69*CFS!CC78-CC107</f>
        <v>-268.09140767940426</v>
      </c>
      <c r="CD46" s="92">
        <f>-CD69*CFS!CD78-CD107</f>
        <v>-268.7634433551666</v>
      </c>
      <c r="CE46" s="92">
        <f>-CE69*CFS!CE78</f>
        <v>-240.53435208925103</v>
      </c>
      <c r="CF46" s="99">
        <f>-CF69*CFS!CF78</f>
        <v>-240.58398583053378</v>
      </c>
      <c r="CG46" s="93">
        <f t="shared" si="22"/>
        <v>-1017.9731889543557</v>
      </c>
      <c r="CH46" s="92"/>
      <c r="CI46" s="98">
        <f>-CI69*CFS!CI78</f>
        <v>-267.11154942637154</v>
      </c>
      <c r="CJ46" s="92">
        <f>-CJ69*CFS!CJ78</f>
        <v>-268.0396345125323</v>
      </c>
      <c r="CK46" s="92">
        <f>-CK69*CFS!CK78</f>
        <v>-268.50429509512543</v>
      </c>
      <c r="CL46" s="99">
        <f>-CL69*CFS!CL78</f>
        <v>-268.96896175929777</v>
      </c>
      <c r="CM46" s="93">
        <f t="shared" si="23"/>
        <v>-1072.624440793327</v>
      </c>
      <c r="CQ46"/>
      <c r="CR46"/>
      <c r="CS46"/>
      <c r="CT46"/>
      <c r="CU46"/>
      <c r="CV46"/>
      <c r="CW46" s="60"/>
    </row>
    <row r="47" spans="1:101" s="61" customFormat="1" x14ac:dyDescent="0.2">
      <c r="A47" s="432" t="s">
        <v>249</v>
      </c>
      <c r="C47" s="104">
        <v>19.100999999999999</v>
      </c>
      <c r="D47" s="105">
        <f>74.758-C47</f>
        <v>55.656999999999996</v>
      </c>
      <c r="E47" s="105">
        <f>100.859-C47-D47</f>
        <v>26.100999999999999</v>
      </c>
      <c r="F47" s="106">
        <f>130.679-C47-D47-E47</f>
        <v>29.820000000000007</v>
      </c>
      <c r="G47" s="93">
        <f t="shared" si="9"/>
        <v>130.679</v>
      </c>
      <c r="H47" s="473"/>
      <c r="I47" s="104">
        <v>-3.5470000000000002</v>
      </c>
      <c r="J47" s="105">
        <f>51.608-I47</f>
        <v>55.154999999999994</v>
      </c>
      <c r="K47" s="105">
        <f>64.031-I47-J47</f>
        <v>12.423000000000009</v>
      </c>
      <c r="L47" s="106">
        <f>85.396-I47-J47-K47</f>
        <v>21.364999999999995</v>
      </c>
      <c r="M47" s="93">
        <f t="shared" si="10"/>
        <v>85.396000000000001</v>
      </c>
      <c r="N47" s="473"/>
      <c r="O47" s="104">
        <v>-6.6509999999999998</v>
      </c>
      <c r="P47" s="105">
        <f>11.246-O47</f>
        <v>17.896999999999998</v>
      </c>
      <c r="Q47" s="105">
        <f>21.655-O47-P47</f>
        <v>10.409000000000002</v>
      </c>
      <c r="R47" s="106">
        <f>32.403-O47-P47-Q47</f>
        <v>10.748000000000001</v>
      </c>
      <c r="S47" s="93">
        <f t="shared" si="11"/>
        <v>32.403000000000006</v>
      </c>
      <c r="T47" s="473"/>
      <c r="U47" s="104">
        <v>3.8620000000000001</v>
      </c>
      <c r="V47" s="105">
        <f>31.258-U47</f>
        <v>27.396000000000001</v>
      </c>
      <c r="W47" s="105">
        <f>35.764-U47-V47</f>
        <v>4.5060000000000002</v>
      </c>
      <c r="X47" s="106">
        <f>50.093-U47-V47-W47</f>
        <v>14.329000000000001</v>
      </c>
      <c r="Y47" s="93">
        <f t="shared" si="12"/>
        <v>50.093000000000004</v>
      </c>
      <c r="Z47" s="473"/>
      <c r="AA47" s="104">
        <v>27.521999999999998</v>
      </c>
      <c r="AB47" s="105">
        <f>37.996-AA47</f>
        <v>10.474000000000004</v>
      </c>
      <c r="AC47" s="105">
        <f>77.263-AB47-AA47</f>
        <v>39.267000000000003</v>
      </c>
      <c r="AD47" s="99">
        <f t="shared" si="13"/>
        <v>6.8849999999999909</v>
      </c>
      <c r="AE47" s="161">
        <v>84.147999999999996</v>
      </c>
      <c r="AF47" s="473"/>
      <c r="AG47" s="104">
        <v>-4.9939999999999998</v>
      </c>
      <c r="AH47" s="105">
        <f>7.705-AG47</f>
        <v>12.699</v>
      </c>
      <c r="AI47" s="105">
        <f>13.438-AH47-AG47</f>
        <v>5.7330000000000005</v>
      </c>
      <c r="AJ47" s="99">
        <f t="shared" si="14"/>
        <v>21.613</v>
      </c>
      <c r="AK47" s="161">
        <v>35.051000000000002</v>
      </c>
      <c r="AL47" s="473"/>
      <c r="AM47" s="104">
        <v>8.9920000000000009</v>
      </c>
      <c r="AN47" s="105">
        <f>35.504-AM47</f>
        <v>26.511999999999997</v>
      </c>
      <c r="AO47" s="105">
        <f>45.466-AN47-AM47</f>
        <v>9.9620000000000033</v>
      </c>
      <c r="AP47" s="99">
        <f t="shared" si="15"/>
        <v>-1.4660000000000011</v>
      </c>
      <c r="AQ47" s="161">
        <v>44</v>
      </c>
      <c r="AR47" s="473"/>
      <c r="AS47" s="104">
        <v>-13</v>
      </c>
      <c r="AT47" s="105">
        <f>-11-AS47</f>
        <v>2</v>
      </c>
      <c r="AU47" s="105">
        <f>-8-AT47-AS47</f>
        <v>3</v>
      </c>
      <c r="AV47" s="106">
        <f>-9-AS47-AT47-AU47</f>
        <v>-1</v>
      </c>
      <c r="AW47" s="93">
        <f t="shared" si="16"/>
        <v>-9</v>
      </c>
      <c r="AX47" s="473"/>
      <c r="AY47" s="104">
        <v>-45</v>
      </c>
      <c r="AZ47" s="96">
        <f>-79-AY47</f>
        <v>-34</v>
      </c>
      <c r="BA47" s="96">
        <f>-30-AY47-AZ47-2</f>
        <v>47</v>
      </c>
      <c r="BB47" s="106">
        <f>-27-SUM(AY47:BA47)</f>
        <v>5</v>
      </c>
      <c r="BC47" s="93">
        <f t="shared" si="17"/>
        <v>-27</v>
      </c>
      <c r="BD47" s="473"/>
      <c r="BE47" s="95">
        <v>-49</v>
      </c>
      <c r="BF47" s="96">
        <f>-45-BE47</f>
        <v>4</v>
      </c>
      <c r="BG47" s="96">
        <f>-29-SUM(BE47:BF47)</f>
        <v>16</v>
      </c>
      <c r="BH47" s="106">
        <f>-32-SUM(BE47:BG47)-1</f>
        <v>-4</v>
      </c>
      <c r="BI47" s="93">
        <f t="shared" si="18"/>
        <v>-33</v>
      </c>
      <c r="BJ47" s="473"/>
      <c r="BK47" s="95">
        <v>-144</v>
      </c>
      <c r="BL47" s="96">
        <f>-144-BK47</f>
        <v>0</v>
      </c>
      <c r="BM47" s="96">
        <f>4827-229-SUM(BK47:BL47)+1+1</f>
        <v>4744</v>
      </c>
      <c r="BN47" s="97">
        <f>4827-234-SUM(BK47:BM47)</f>
        <v>-7</v>
      </c>
      <c r="BO47" s="93">
        <f t="shared" si="19"/>
        <v>4593</v>
      </c>
      <c r="BP47" s="473"/>
      <c r="BQ47" s="95">
        <v>-101</v>
      </c>
      <c r="BR47" s="105">
        <v>0</v>
      </c>
      <c r="BS47" s="105">
        <v>0</v>
      </c>
      <c r="BT47" s="106">
        <v>0</v>
      </c>
      <c r="BU47" s="93">
        <f t="shared" si="20"/>
        <v>-101</v>
      </c>
      <c r="BV47" s="473"/>
      <c r="BW47" s="104">
        <v>0</v>
      </c>
      <c r="BX47" s="105">
        <v>0</v>
      </c>
      <c r="BY47" s="105">
        <v>0</v>
      </c>
      <c r="BZ47" s="106">
        <v>0</v>
      </c>
      <c r="CA47" s="93">
        <f t="shared" si="21"/>
        <v>0</v>
      </c>
      <c r="CB47" s="473"/>
      <c r="CC47" s="104">
        <v>0</v>
      </c>
      <c r="CD47" s="105">
        <v>0</v>
      </c>
      <c r="CE47" s="105">
        <v>0</v>
      </c>
      <c r="CF47" s="106">
        <v>0</v>
      </c>
      <c r="CG47" s="93">
        <f t="shared" si="22"/>
        <v>0</v>
      </c>
      <c r="CH47" s="473"/>
      <c r="CI47" s="104">
        <v>0</v>
      </c>
      <c r="CJ47" s="105">
        <v>0</v>
      </c>
      <c r="CK47" s="105">
        <v>0</v>
      </c>
      <c r="CL47" s="106">
        <v>0</v>
      </c>
      <c r="CM47" s="93">
        <f t="shared" si="23"/>
        <v>0</v>
      </c>
      <c r="CN47" s="516"/>
      <c r="CO47" s="516"/>
      <c r="CQ47"/>
      <c r="CR47"/>
      <c r="CS47"/>
      <c r="CT47"/>
      <c r="CU47"/>
      <c r="CV47"/>
      <c r="CW47" s="60"/>
    </row>
    <row r="48" spans="1:101" s="61" customFormat="1" x14ac:dyDescent="0.2">
      <c r="A48" s="514" t="s">
        <v>250</v>
      </c>
      <c r="C48" s="118">
        <f>SUM(C41:C44,C45:C47)</f>
        <v>-305.96799999999996</v>
      </c>
      <c r="D48" s="113">
        <f>SUM(D41:D44,D45:D47)</f>
        <v>-152.23300000000006</v>
      </c>
      <c r="E48" s="116">
        <f>SUM(E41:E44,E45:E47)</f>
        <v>-213.60199999999998</v>
      </c>
      <c r="F48" s="117">
        <f>SUM(F41:F44,F45:F47)</f>
        <v>-54.226000000000013</v>
      </c>
      <c r="G48" s="315">
        <f>SUM(G41:G44,G45:G47)</f>
        <v>-726.02900000000011</v>
      </c>
      <c r="H48" s="116"/>
      <c r="I48" s="118">
        <f>SUM(I41:I44,I45:I47)</f>
        <v>-101.07799999999999</v>
      </c>
      <c r="J48" s="116">
        <f>SUM(J41:J44,J45:J47)</f>
        <v>-212.72599999999997</v>
      </c>
      <c r="K48" s="116">
        <f>SUM(K41:K44,K45:K47)</f>
        <v>-134.166</v>
      </c>
      <c r="L48" s="117">
        <f>SUM(L41:L44,L45:L47)</f>
        <v>-137.85799999999995</v>
      </c>
      <c r="M48" s="315">
        <f>SUM(M41:M44,M45:M47)</f>
        <v>-585.82799999999997</v>
      </c>
      <c r="N48" s="116"/>
      <c r="O48" s="118">
        <f>SUM(O41:O44,O45:O47)</f>
        <v>-367.53700000000009</v>
      </c>
      <c r="P48" s="116">
        <f>SUM(P41:P44,P45:P47)</f>
        <v>-112.01599999999993</v>
      </c>
      <c r="Q48" s="116">
        <f>SUM(Q41:Q44,Q45:Q47)</f>
        <v>641.56700000000001</v>
      </c>
      <c r="R48" s="117">
        <f>SUM(R41:R44,R45:R47)</f>
        <v>-241.71000000000006</v>
      </c>
      <c r="S48" s="315">
        <f>SUM(S41:S44,S45:S47)</f>
        <v>-79.696000000000012</v>
      </c>
      <c r="T48" s="116"/>
      <c r="U48" s="118">
        <f>SUM(U41:U44,U45:U47)</f>
        <v>-466.673</v>
      </c>
      <c r="V48" s="116">
        <f>SUM(V41:V44,V45:V47)</f>
        <v>-310.95499999999998</v>
      </c>
      <c r="W48" s="116">
        <f>SUM(W41:W44,W45:W47)</f>
        <v>-178.55600000000001</v>
      </c>
      <c r="X48" s="117">
        <f>SUM(X41:X44,X45:X47)</f>
        <v>-266.50299999999999</v>
      </c>
      <c r="Y48" s="315">
        <f>SUM(Y41:Y44,Y45:Y47)</f>
        <v>-1222.6869999999999</v>
      </c>
      <c r="Z48" s="116"/>
      <c r="AA48" s="118">
        <f>SUM(AA41:AA44,AA45:AA47)</f>
        <v>135.98700000000008</v>
      </c>
      <c r="AB48" s="116">
        <f>SUM(AB41:AB44,AB45:AB47)</f>
        <v>-291.47700000000003</v>
      </c>
      <c r="AC48" s="116">
        <f>SUM(AC41:AC44,AC45:AC47)</f>
        <v>-252.76299999999992</v>
      </c>
      <c r="AD48" s="117">
        <f>SUM(AD41:AD44,AD45:AD47)</f>
        <v>-306.12899999999985</v>
      </c>
      <c r="AE48" s="315">
        <f>SUM(AE41:AE44,AE45:AE47)</f>
        <v>-714.38199999999995</v>
      </c>
      <c r="AF48" s="116"/>
      <c r="AG48" s="118">
        <f>SUM(AG41:AG44,AG45:AG47)</f>
        <v>959.16700000000026</v>
      </c>
      <c r="AH48" s="116">
        <f>SUM(AH41:AH44,AH45:AH47)</f>
        <v>-681.65600000000006</v>
      </c>
      <c r="AI48" s="116">
        <f>SUM(AI41:AI44,AI45:AI47)</f>
        <v>-333.86399999999998</v>
      </c>
      <c r="AJ48" s="117">
        <f>SUM(AJ41:AJ44,AJ45:AJ47)</f>
        <v>-313.81900000000002</v>
      </c>
      <c r="AK48" s="315">
        <f>SUM(AK41:AK44,AK45:AK47)</f>
        <v>-370.17199999999991</v>
      </c>
      <c r="AL48" s="116"/>
      <c r="AM48" s="118">
        <f>SUM(AM41:AM44,AM45:AM47)</f>
        <v>-378.81700000000001</v>
      </c>
      <c r="AN48" s="116">
        <f>SUM(AN41:AN44,AN45:AN47)</f>
        <v>-121.26300000000001</v>
      </c>
      <c r="AO48" s="116">
        <f>SUM(AO41:AO44,AO45:AO47)</f>
        <v>-330.07100000000003</v>
      </c>
      <c r="AP48" s="117">
        <f>SUM(AP41:AP44,AP45:AP47)</f>
        <v>-137.84899999999999</v>
      </c>
      <c r="AQ48" s="315">
        <f>SUM(AQ41:AQ44,AQ45:AQ47)</f>
        <v>-968</v>
      </c>
      <c r="AR48" s="116"/>
      <c r="AS48" s="118">
        <f>SUM(AS41:AS44,AS45:AS47)</f>
        <v>-298</v>
      </c>
      <c r="AT48" s="116">
        <f>SUM(AT41:AT44,AT45:AT47)</f>
        <v>-124</v>
      </c>
      <c r="AU48" s="116">
        <f>SUM(AU41:AU44,AU45:AU47)</f>
        <v>-279</v>
      </c>
      <c r="AV48" s="117">
        <f>SUM(AV41:AV44,AV45:AV47)</f>
        <v>-106</v>
      </c>
      <c r="AW48" s="315">
        <f>SUM(AW41:AW44,AW45:AW47)</f>
        <v>-807</v>
      </c>
      <c r="AX48" s="116"/>
      <c r="AY48" s="118">
        <f>SUM(AY41:AY44,AY45:AY47)</f>
        <v>6033</v>
      </c>
      <c r="AZ48" s="116">
        <f>SUM(AZ41:AZ44,AZ45:AZ47)</f>
        <v>1360</v>
      </c>
      <c r="BA48" s="116">
        <f>SUM(BA41:BA44,BA45:BA47)</f>
        <v>-728</v>
      </c>
      <c r="BB48" s="117">
        <f>SUM(BB41:BB44,BB45:BB47)</f>
        <v>-475</v>
      </c>
      <c r="BC48" s="315">
        <f>SUM(BC41:BC44,BC45:BC47)</f>
        <v>6190</v>
      </c>
      <c r="BD48" s="116"/>
      <c r="BE48" s="118">
        <f>SUM(BE41:BE44,BE45:BE47)</f>
        <v>-145</v>
      </c>
      <c r="BF48" s="116">
        <f>SUM(BF41:BF44,BF45:BF47)</f>
        <v>-430</v>
      </c>
      <c r="BG48" s="116">
        <f>SUM(BG41:BG44,BG45:BG47)</f>
        <v>-701</v>
      </c>
      <c r="BH48" s="117">
        <f>SUM(BH41:BH44,BH45:BH47)</f>
        <v>-485</v>
      </c>
      <c r="BI48" s="315">
        <f>SUM(BI41:BI44,BI45:BI47)</f>
        <v>-1761</v>
      </c>
      <c r="BJ48" s="116"/>
      <c r="BK48" s="118">
        <f>SUM(BK41:BK44,BK45:BK47)</f>
        <v>-955</v>
      </c>
      <c r="BL48" s="116">
        <f>SUM(BL41:BL44,BL45:BL47)</f>
        <v>-906</v>
      </c>
      <c r="BM48" s="116">
        <f>SUM(BM41:BM44,BM45:BM47)</f>
        <v>13295</v>
      </c>
      <c r="BN48" s="117">
        <f>SUM(BN41:BN44,BN45:BN47)</f>
        <v>-456</v>
      </c>
      <c r="BO48" s="315">
        <f>SUM(BO41:BO44,BO45:BO47)</f>
        <v>10978</v>
      </c>
      <c r="BP48" s="116"/>
      <c r="BQ48" s="118">
        <f>SUM(BQ41:BQ44,BQ45:BQ47)</f>
        <v>1939</v>
      </c>
      <c r="BR48" s="116">
        <f>SUM(BR41:BR44,BR45:BR47)</f>
        <v>-491.21276087992271</v>
      </c>
      <c r="BS48" s="116">
        <f>SUM(BS41:BS44,BS45:BS47)</f>
        <v>-691.28759239384544</v>
      </c>
      <c r="BT48" s="117">
        <f>SUM(BT41:BT44,BT45:BT47)</f>
        <v>-741.43725844057008</v>
      </c>
      <c r="BU48" s="315">
        <f>SUM(BU41:BU44,BU45:BU47)</f>
        <v>15.062388285661882</v>
      </c>
      <c r="BV48" s="116"/>
      <c r="BW48" s="118">
        <f>SUM(BW41:BW44,BW45:BW47)</f>
        <v>-750.73063666732446</v>
      </c>
      <c r="BX48" s="116">
        <f>SUM(BX41:BX44,BX45:BX47)</f>
        <v>-700.21878066797512</v>
      </c>
      <c r="BY48" s="116">
        <f>SUM(BY41:BY44,BY45:BY47)</f>
        <v>-1093.6084516931244</v>
      </c>
      <c r="BZ48" s="117">
        <f>SUM(BZ41:BZ44,BZ45:BZ47)</f>
        <v>-700.99812861274995</v>
      </c>
      <c r="CA48" s="315">
        <f>SUM(CA41:CA44,CA45:CA47)</f>
        <v>-3245.5559976411741</v>
      </c>
      <c r="CB48" s="116"/>
      <c r="CC48" s="118">
        <f>SUM(CC41:CC44,CC45:CC47)</f>
        <v>-1144.0914076794043</v>
      </c>
      <c r="CD48" s="116">
        <f>SUM(CD41:CD44,CD45:CD47)</f>
        <v>-1790.8550433551663</v>
      </c>
      <c r="CE48" s="116">
        <f>SUM(CE41:CE44,CE45:CE47)</f>
        <v>-840.534352089251</v>
      </c>
      <c r="CF48" s="117">
        <f>SUM(CF41:CF44,CF45:CF47)</f>
        <v>-1290.5839858305337</v>
      </c>
      <c r="CG48" s="315">
        <f>SUM(CG41:CG44,CG45:CG47)</f>
        <v>-5066.0647889543552</v>
      </c>
      <c r="CH48" s="116"/>
      <c r="CI48" s="118">
        <f>SUM(CI41:CI44,CI45:CI47)</f>
        <v>-468.11154942637154</v>
      </c>
      <c r="CJ48" s="116">
        <f>SUM(CJ41:CJ44,CJ45:CJ47)</f>
        <v>-700.35963451253349</v>
      </c>
      <c r="CK48" s="116">
        <f>SUM(CK41:CK44,CK45:CK47)</f>
        <v>-1068.6042950951255</v>
      </c>
      <c r="CL48" s="117">
        <f>SUM(CL41:CL44,CL45:CL47)</f>
        <v>-269.06896175929779</v>
      </c>
      <c r="CM48" s="315">
        <f>SUM(CM41:CM44,CM45:CM47)</f>
        <v>-2506.1444407933282</v>
      </c>
      <c r="CQ48"/>
      <c r="CR48"/>
      <c r="CS48"/>
      <c r="CT48"/>
      <c r="CU48"/>
      <c r="CV48"/>
    </row>
    <row r="49" spans="1:101" s="61" customFormat="1" x14ac:dyDescent="0.2">
      <c r="A49" s="432"/>
      <c r="C49" s="98"/>
      <c r="D49" s="92"/>
      <c r="E49" s="92"/>
      <c r="F49" s="99"/>
      <c r="G49" s="93"/>
      <c r="H49" s="92"/>
      <c r="I49" s="98"/>
      <c r="J49" s="92"/>
      <c r="K49" s="92"/>
      <c r="L49" s="99"/>
      <c r="M49" s="93"/>
      <c r="N49" s="92"/>
      <c r="O49" s="98"/>
      <c r="P49" s="92"/>
      <c r="Q49" s="92"/>
      <c r="R49" s="99"/>
      <c r="S49" s="93"/>
      <c r="T49" s="92"/>
      <c r="U49" s="98"/>
      <c r="V49" s="92"/>
      <c r="W49" s="92"/>
      <c r="X49" s="99"/>
      <c r="Y49" s="93"/>
      <c r="Z49" s="92"/>
      <c r="AA49" s="98"/>
      <c r="AB49" s="92"/>
      <c r="AC49" s="92"/>
      <c r="AD49" s="99"/>
      <c r="AE49" s="93"/>
      <c r="AF49" s="92"/>
      <c r="AG49" s="98"/>
      <c r="AH49" s="92"/>
      <c r="AI49" s="92"/>
      <c r="AJ49" s="99"/>
      <c r="AK49" s="93"/>
      <c r="AL49" s="92"/>
      <c r="AM49" s="98"/>
      <c r="AN49" s="92"/>
      <c r="AO49" s="92"/>
      <c r="AP49" s="99"/>
      <c r="AQ49" s="93"/>
      <c r="AR49" s="92"/>
      <c r="AS49" s="98"/>
      <c r="AT49" s="92"/>
      <c r="AU49" s="92"/>
      <c r="AV49" s="99"/>
      <c r="AW49" s="93"/>
      <c r="AX49" s="92"/>
      <c r="AY49" s="98"/>
      <c r="AZ49" s="92"/>
      <c r="BA49" s="92"/>
      <c r="BB49" s="99"/>
      <c r="BC49" s="93"/>
      <c r="BD49" s="92"/>
      <c r="BE49" s="98"/>
      <c r="BF49" s="92"/>
      <c r="BG49" s="92"/>
      <c r="BH49" s="99"/>
      <c r="BI49" s="93"/>
      <c r="BJ49" s="92"/>
      <c r="BK49" s="98"/>
      <c r="BL49" s="92"/>
      <c r="BM49" s="92"/>
      <c r="BN49" s="99"/>
      <c r="BO49" s="93"/>
      <c r="BP49" s="92"/>
      <c r="BQ49" s="98"/>
      <c r="BR49" s="92"/>
      <c r="BS49" s="92"/>
      <c r="BT49" s="99"/>
      <c r="BU49" s="93"/>
      <c r="BV49" s="92"/>
      <c r="BW49" s="98"/>
      <c r="BX49" s="92"/>
      <c r="BY49" s="92"/>
      <c r="BZ49" s="99"/>
      <c r="CA49" s="93"/>
      <c r="CB49" s="92"/>
      <c r="CC49" s="98"/>
      <c r="CD49" s="92"/>
      <c r="CE49" s="92"/>
      <c r="CF49" s="99"/>
      <c r="CG49" s="93"/>
      <c r="CH49" s="92"/>
      <c r="CI49" s="98"/>
      <c r="CJ49" s="92"/>
      <c r="CK49" s="92"/>
      <c r="CL49" s="99"/>
      <c r="CM49" s="93"/>
      <c r="CQ49"/>
      <c r="CR49"/>
      <c r="CS49"/>
      <c r="CT49"/>
      <c r="CU49"/>
      <c r="CV49"/>
    </row>
    <row r="50" spans="1:101" s="61" customFormat="1" x14ac:dyDescent="0.2">
      <c r="A50" s="514" t="s">
        <v>251</v>
      </c>
      <c r="B50" s="515"/>
      <c r="C50" s="98"/>
      <c r="D50" s="92"/>
      <c r="E50" s="92"/>
      <c r="F50" s="99"/>
      <c r="G50" s="93"/>
      <c r="H50" s="92"/>
      <c r="I50" s="98"/>
      <c r="J50" s="92"/>
      <c r="K50" s="92"/>
      <c r="L50" s="99"/>
      <c r="M50" s="93"/>
      <c r="N50" s="92"/>
      <c r="O50" s="98"/>
      <c r="P50" s="92"/>
      <c r="Q50" s="92"/>
      <c r="R50" s="99"/>
      <c r="S50" s="93"/>
      <c r="T50" s="92"/>
      <c r="U50" s="98"/>
      <c r="V50" s="92"/>
      <c r="W50" s="92"/>
      <c r="X50" s="99"/>
      <c r="Y50" s="93"/>
      <c r="Z50" s="92"/>
      <c r="AA50" s="98"/>
      <c r="AB50" s="92"/>
      <c r="AC50" s="92"/>
      <c r="AD50" s="99"/>
      <c r="AE50" s="93"/>
      <c r="AF50" s="92"/>
      <c r="AG50" s="98"/>
      <c r="AH50" s="92"/>
      <c r="AI50" s="92"/>
      <c r="AJ50" s="99"/>
      <c r="AK50" s="93"/>
      <c r="AL50" s="92"/>
      <c r="AM50" s="98"/>
      <c r="AN50" s="92"/>
      <c r="AO50" s="92"/>
      <c r="AP50" s="99"/>
      <c r="AQ50" s="93"/>
      <c r="AR50" s="92"/>
      <c r="AS50" s="98"/>
      <c r="AT50" s="92"/>
      <c r="AU50" s="92"/>
      <c r="AV50" s="99"/>
      <c r="AW50" s="93"/>
      <c r="AX50" s="92"/>
      <c r="AY50" s="98"/>
      <c r="AZ50" s="92"/>
      <c r="BA50" s="92"/>
      <c r="BB50" s="99"/>
      <c r="BC50" s="93"/>
      <c r="BD50" s="92"/>
      <c r="BE50" s="98"/>
      <c r="BF50" s="92"/>
      <c r="BG50" s="92"/>
      <c r="BH50" s="99"/>
      <c r="BI50" s="93"/>
      <c r="BJ50" s="92"/>
      <c r="BK50" s="98"/>
      <c r="BL50" s="92"/>
      <c r="BM50" s="92"/>
      <c r="BN50" s="99"/>
      <c r="BO50" s="93"/>
      <c r="BP50" s="92"/>
      <c r="BQ50" s="98"/>
      <c r="BR50" s="92"/>
      <c r="BS50" s="92"/>
      <c r="BT50" s="99"/>
      <c r="BU50" s="93"/>
      <c r="BV50" s="92"/>
      <c r="BW50" s="98"/>
      <c r="BX50" s="92"/>
      <c r="BY50" s="92"/>
      <c r="BZ50" s="99"/>
      <c r="CA50" s="93"/>
      <c r="CB50" s="92"/>
      <c r="CC50" s="98"/>
      <c r="CD50" s="92"/>
      <c r="CE50" s="92"/>
      <c r="CF50" s="99"/>
      <c r="CG50" s="93"/>
      <c r="CH50" s="92"/>
      <c r="CI50" s="98"/>
      <c r="CJ50" s="92"/>
      <c r="CK50" s="92"/>
      <c r="CL50" s="99"/>
      <c r="CM50" s="93"/>
      <c r="CQ50"/>
      <c r="CR50"/>
      <c r="CS50"/>
      <c r="CT50"/>
      <c r="CU50"/>
      <c r="CV50"/>
    </row>
    <row r="51" spans="1:101" s="61" customFormat="1" x14ac:dyDescent="0.2">
      <c r="A51" s="510" t="s">
        <v>252</v>
      </c>
      <c r="B51" s="511"/>
      <c r="C51" s="104">
        <v>9.4870000000000001</v>
      </c>
      <c r="D51" s="105">
        <f>10.929-C51</f>
        <v>1.4420000000000002</v>
      </c>
      <c r="E51" s="105">
        <f>13.829-C51-D51</f>
        <v>2.9000000000000004</v>
      </c>
      <c r="F51" s="106">
        <f>4.388-C51-D51-E51</f>
        <v>-9.4410000000000007</v>
      </c>
      <c r="G51" s="93">
        <f>SUM(C51:F51)</f>
        <v>4.3879999999999999</v>
      </c>
      <c r="H51" s="92"/>
      <c r="I51" s="104">
        <v>2.5999999999999999E-2</v>
      </c>
      <c r="J51" s="105">
        <f>-0.379-I51</f>
        <v>-0.40500000000000003</v>
      </c>
      <c r="K51" s="105">
        <f>-0.991-I51-J51</f>
        <v>-0.61199999999999988</v>
      </c>
      <c r="L51" s="106">
        <f>-0.899-I51-J51-K51</f>
        <v>9.199999999999986E-2</v>
      </c>
      <c r="M51" s="93">
        <f>SUM(I51:L51)</f>
        <v>-0.89900000000000002</v>
      </c>
      <c r="N51" s="92"/>
      <c r="O51" s="104">
        <v>-0.91700000000000004</v>
      </c>
      <c r="P51" s="105">
        <f>-1.796-O51</f>
        <v>-0.879</v>
      </c>
      <c r="Q51" s="105">
        <f>9.778-O51-P51</f>
        <v>11.574</v>
      </c>
      <c r="R51" s="106">
        <f>25.296-O51-P51-Q51</f>
        <v>15.518000000000002</v>
      </c>
      <c r="S51" s="93">
        <f>SUM(O51:R51)</f>
        <v>25.296000000000003</v>
      </c>
      <c r="T51" s="92"/>
      <c r="U51" s="104">
        <v>-0.109</v>
      </c>
      <c r="V51" s="105">
        <f>-1.061-U51</f>
        <v>-0.95199999999999996</v>
      </c>
      <c r="W51" s="105">
        <f>-0.103-U51-V51</f>
        <v>0.95799999999999996</v>
      </c>
      <c r="X51" s="106">
        <f>85.251-U51-V51-W51</f>
        <v>85.353999999999999</v>
      </c>
      <c r="Y51" s="93">
        <f>SUM(U51:X51)</f>
        <v>85.251000000000005</v>
      </c>
      <c r="Z51" s="92"/>
      <c r="AA51" s="104">
        <v>-3.6339999999999999</v>
      </c>
      <c r="AB51" s="105">
        <f>0.78-AA51</f>
        <v>4.4139999999999997</v>
      </c>
      <c r="AC51" s="105">
        <f>-1.189-AB51-AA51</f>
        <v>-1.9689999999999999</v>
      </c>
      <c r="AD51" s="99">
        <f>AE51-AC51-AB51-AA51</f>
        <v>4.6590000000000007</v>
      </c>
      <c r="AE51" s="161">
        <v>3.47</v>
      </c>
      <c r="AF51" s="92"/>
      <c r="AG51" s="104">
        <v>1.5389999999999999</v>
      </c>
      <c r="AH51" s="105">
        <f>-2.768-AG51</f>
        <v>-4.3069999999999995</v>
      </c>
      <c r="AI51" s="105">
        <f>54.588-AH51-AG51</f>
        <v>57.356000000000002</v>
      </c>
      <c r="AJ51" s="99">
        <f>AK51-AI51-AH51-AG51</f>
        <v>12.276000000000002</v>
      </c>
      <c r="AK51" s="161">
        <v>66.864000000000004</v>
      </c>
      <c r="AL51" s="92"/>
      <c r="AM51" s="104">
        <v>7.5449999999999999</v>
      </c>
      <c r="AN51" s="105">
        <f>-100.043-AM51</f>
        <v>-107.58800000000001</v>
      </c>
      <c r="AO51" s="105">
        <f>-153.401-AN51-AM51</f>
        <v>-53.358000000000004</v>
      </c>
      <c r="AP51" s="99">
        <f>AQ51-AO51-AN51-AM51</f>
        <v>-58.59899999999999</v>
      </c>
      <c r="AQ51" s="161">
        <v>-212</v>
      </c>
      <c r="AR51" s="92"/>
      <c r="AS51" s="104">
        <v>0</v>
      </c>
      <c r="AT51" s="105">
        <f>0-AS51</f>
        <v>0</v>
      </c>
      <c r="AU51" s="105">
        <f>0-AT51-AS51</f>
        <v>0</v>
      </c>
      <c r="AV51" s="106">
        <v>0</v>
      </c>
      <c r="AW51" s="93">
        <f>SUM(AS51:AV51)</f>
        <v>0</v>
      </c>
      <c r="AX51" s="92"/>
      <c r="AY51" s="104">
        <v>0</v>
      </c>
      <c r="AZ51" s="105">
        <v>0</v>
      </c>
      <c r="BA51" s="105">
        <v>0</v>
      </c>
      <c r="BB51" s="106">
        <v>0</v>
      </c>
      <c r="BC51" s="93">
        <f>SUM(AY51:BB51)</f>
        <v>0</v>
      </c>
      <c r="BD51" s="92"/>
      <c r="BE51" s="104">
        <v>0</v>
      </c>
      <c r="BF51" s="105">
        <v>0</v>
      </c>
      <c r="BG51" s="105">
        <v>0</v>
      </c>
      <c r="BH51" s="106">
        <v>0</v>
      </c>
      <c r="BI51" s="93">
        <f>SUM(BE51:BH51)</f>
        <v>0</v>
      </c>
      <c r="BJ51" s="92"/>
      <c r="BK51" s="104">
        <v>0</v>
      </c>
      <c r="BL51" s="105">
        <v>0</v>
      </c>
      <c r="BM51" s="105">
        <v>0</v>
      </c>
      <c r="BN51" s="106">
        <v>0</v>
      </c>
      <c r="BO51" s="93">
        <f>SUM(BK51:BN51)</f>
        <v>0</v>
      </c>
      <c r="BP51" s="92"/>
      <c r="BQ51" s="104">
        <v>0</v>
      </c>
      <c r="BR51" s="105">
        <v>0</v>
      </c>
      <c r="BS51" s="105">
        <v>0</v>
      </c>
      <c r="BT51" s="106">
        <v>0</v>
      </c>
      <c r="BU51" s="93">
        <f>SUM(BQ51:BT51)</f>
        <v>0</v>
      </c>
      <c r="BV51" s="92"/>
      <c r="BW51" s="104">
        <v>0</v>
      </c>
      <c r="BX51" s="105">
        <v>0</v>
      </c>
      <c r="BY51" s="105">
        <v>0</v>
      </c>
      <c r="BZ51" s="106">
        <v>0</v>
      </c>
      <c r="CA51" s="93">
        <f>SUM(BW51:BZ51)</f>
        <v>0</v>
      </c>
      <c r="CB51" s="92"/>
      <c r="CC51" s="104">
        <v>0</v>
      </c>
      <c r="CD51" s="105">
        <v>0</v>
      </c>
      <c r="CE51" s="105">
        <v>0</v>
      </c>
      <c r="CF51" s="106">
        <v>0</v>
      </c>
      <c r="CG51" s="93">
        <f>SUM(CC51:CF51)</f>
        <v>0</v>
      </c>
      <c r="CH51" s="92"/>
      <c r="CI51" s="104">
        <v>0</v>
      </c>
      <c r="CJ51" s="105">
        <v>0</v>
      </c>
      <c r="CK51" s="105">
        <v>0</v>
      </c>
      <c r="CL51" s="106">
        <v>0</v>
      </c>
      <c r="CM51" s="93">
        <f>SUM(CI51:CL51)</f>
        <v>0</v>
      </c>
      <c r="CQ51"/>
      <c r="CR51"/>
      <c r="CS51"/>
      <c r="CT51"/>
      <c r="CU51"/>
      <c r="CV51"/>
    </row>
    <row r="52" spans="1:101" s="61" customFormat="1" x14ac:dyDescent="0.2">
      <c r="A52" s="510" t="s">
        <v>253</v>
      </c>
      <c r="B52" s="511"/>
      <c r="C52" s="104">
        <v>0</v>
      </c>
      <c r="D52" s="105">
        <f>0-C52</f>
        <v>0</v>
      </c>
      <c r="E52" s="105">
        <f>0-C52-D52</f>
        <v>0</v>
      </c>
      <c r="F52" s="106">
        <f>0-C52-D52-E52</f>
        <v>0</v>
      </c>
      <c r="G52" s="93">
        <f>SUM(C52:F52)</f>
        <v>0</v>
      </c>
      <c r="H52" s="92"/>
      <c r="I52" s="104">
        <v>0</v>
      </c>
      <c r="J52" s="105">
        <f>0-I52</f>
        <v>0</v>
      </c>
      <c r="K52" s="105">
        <f>0-I52-J52</f>
        <v>0</v>
      </c>
      <c r="L52" s="106">
        <f>0-I52-J52-K52</f>
        <v>0</v>
      </c>
      <c r="M52" s="93">
        <f>SUM(I52:L52)</f>
        <v>0</v>
      </c>
      <c r="N52" s="92"/>
      <c r="O52" s="104">
        <v>0</v>
      </c>
      <c r="P52" s="105">
        <f>0-O52</f>
        <v>0</v>
      </c>
      <c r="Q52" s="105">
        <f>-0.127-O52-P52</f>
        <v>-0.127</v>
      </c>
      <c r="R52" s="106">
        <f>-0.006-O52-P52-Q52</f>
        <v>0.121</v>
      </c>
      <c r="S52" s="93">
        <f>SUM(O52:R52)</f>
        <v>-6.0000000000000053E-3</v>
      </c>
      <c r="T52" s="92"/>
      <c r="U52" s="104">
        <v>0</v>
      </c>
      <c r="V52" s="105">
        <f>0-U52</f>
        <v>0</v>
      </c>
      <c r="W52" s="105">
        <f>0-U52-V52</f>
        <v>0</v>
      </c>
      <c r="X52" s="106">
        <f>-5.661-U52-V52-W52</f>
        <v>-5.6609999999999996</v>
      </c>
      <c r="Y52" s="93">
        <f>SUM(U52:X52)</f>
        <v>-5.6609999999999996</v>
      </c>
      <c r="Z52" s="92"/>
      <c r="AA52" s="104">
        <v>-7.4999999999999997E-2</v>
      </c>
      <c r="AB52" s="105">
        <f>-0.088-AA52</f>
        <v>-1.2999999999999998E-2</v>
      </c>
      <c r="AC52" s="105">
        <f>-0.088-AB52-AA52</f>
        <v>0</v>
      </c>
      <c r="AD52" s="99">
        <f>AE52-AC52-AB52-AA52</f>
        <v>-8.4999999999999978E-2</v>
      </c>
      <c r="AE52" s="161">
        <v>-0.17299999999999999</v>
      </c>
      <c r="AF52" s="92"/>
      <c r="AG52" s="104">
        <v>-0.113</v>
      </c>
      <c r="AH52" s="105">
        <f>-0.144-AG52</f>
        <v>-3.0999999999999986E-2</v>
      </c>
      <c r="AI52" s="105">
        <f>-3.959-AH52-AG52</f>
        <v>-3.8149999999999999</v>
      </c>
      <c r="AJ52" s="99">
        <f>AK52-AI52-AH52-AG52</f>
        <v>-2.0239999999999996</v>
      </c>
      <c r="AK52" s="161">
        <v>-5.9829999999999997</v>
      </c>
      <c r="AL52" s="92"/>
      <c r="AM52" s="104">
        <v>-0.26400000000000001</v>
      </c>
      <c r="AN52" s="105">
        <f>-0.217-AM52</f>
        <v>4.7000000000000014E-2</v>
      </c>
      <c r="AO52" s="105">
        <f>-0.217-AN52-AM52</f>
        <v>0</v>
      </c>
      <c r="AP52" s="99">
        <f>AQ52-AO52-AN52-AM52</f>
        <v>0.217</v>
      </c>
      <c r="AQ52" s="161">
        <v>0</v>
      </c>
      <c r="AR52" s="92"/>
      <c r="AS52" s="104">
        <v>0</v>
      </c>
      <c r="AT52" s="105">
        <f>0-AS52</f>
        <v>0</v>
      </c>
      <c r="AU52" s="105">
        <f>0-AT52-AS52</f>
        <v>0</v>
      </c>
      <c r="AV52" s="106">
        <v>0</v>
      </c>
      <c r="AW52" s="93">
        <f>SUM(AS52:AV52)</f>
        <v>0</v>
      </c>
      <c r="AX52" s="92"/>
      <c r="AY52" s="104">
        <v>0</v>
      </c>
      <c r="AZ52" s="105">
        <v>0</v>
      </c>
      <c r="BA52" s="105">
        <v>0</v>
      </c>
      <c r="BB52" s="106">
        <v>0</v>
      </c>
      <c r="BC52" s="93">
        <f>SUM(AY52:BB52)</f>
        <v>0</v>
      </c>
      <c r="BD52" s="92"/>
      <c r="BE52" s="104">
        <v>0</v>
      </c>
      <c r="BF52" s="105">
        <v>0</v>
      </c>
      <c r="BG52" s="105">
        <v>0</v>
      </c>
      <c r="BH52" s="106">
        <v>0</v>
      </c>
      <c r="BI52" s="93">
        <f>SUM(BE52:BH52)</f>
        <v>0</v>
      </c>
      <c r="BJ52" s="92"/>
      <c r="BK52" s="104">
        <v>0</v>
      </c>
      <c r="BL52" s="105">
        <v>0</v>
      </c>
      <c r="BM52" s="105">
        <v>0</v>
      </c>
      <c r="BN52" s="106">
        <v>0</v>
      </c>
      <c r="BO52" s="93">
        <f>SUM(BK52:BN52)</f>
        <v>0</v>
      </c>
      <c r="BP52" s="92"/>
      <c r="BQ52" s="104">
        <v>0</v>
      </c>
      <c r="BR52" s="105">
        <v>0</v>
      </c>
      <c r="BS52" s="105">
        <v>0</v>
      </c>
      <c r="BT52" s="106">
        <v>0</v>
      </c>
      <c r="BU52" s="93">
        <f>SUM(BQ52:BT52)</f>
        <v>0</v>
      </c>
      <c r="BV52" s="92"/>
      <c r="BW52" s="104">
        <v>0</v>
      </c>
      <c r="BX52" s="105">
        <v>0</v>
      </c>
      <c r="BY52" s="105">
        <v>0</v>
      </c>
      <c r="BZ52" s="106">
        <v>0</v>
      </c>
      <c r="CA52" s="93">
        <f>SUM(BW52:BZ52)</f>
        <v>0</v>
      </c>
      <c r="CB52" s="92"/>
      <c r="CC52" s="104">
        <v>0</v>
      </c>
      <c r="CD52" s="105">
        <v>0</v>
      </c>
      <c r="CE52" s="105">
        <v>0</v>
      </c>
      <c r="CF52" s="106">
        <v>0</v>
      </c>
      <c r="CG52" s="93">
        <f>SUM(CC52:CF52)</f>
        <v>0</v>
      </c>
      <c r="CH52" s="92"/>
      <c r="CI52" s="104">
        <v>0</v>
      </c>
      <c r="CJ52" s="105">
        <v>0</v>
      </c>
      <c r="CK52" s="105">
        <v>0</v>
      </c>
      <c r="CL52" s="106">
        <v>0</v>
      </c>
      <c r="CM52" s="93">
        <f>SUM(CI52:CL52)</f>
        <v>0</v>
      </c>
      <c r="CQ52"/>
      <c r="CR52"/>
      <c r="CS52"/>
      <c r="CT52"/>
      <c r="CU52"/>
      <c r="CV52"/>
    </row>
    <row r="53" spans="1:101" s="61" customFormat="1" x14ac:dyDescent="0.2">
      <c r="A53" s="510" t="s">
        <v>254</v>
      </c>
      <c r="B53" s="511"/>
      <c r="C53" s="104">
        <v>0</v>
      </c>
      <c r="D53" s="105">
        <f>0-C53</f>
        <v>0</v>
      </c>
      <c r="E53" s="105">
        <f>0-C53-D53</f>
        <v>0</v>
      </c>
      <c r="F53" s="106">
        <f>0-C53-D53-E53</f>
        <v>0</v>
      </c>
      <c r="G53" s="93">
        <f>SUM(C53:F53)</f>
        <v>0</v>
      </c>
      <c r="H53" s="92"/>
      <c r="I53" s="104">
        <v>0</v>
      </c>
      <c r="J53" s="105">
        <f>0-I53</f>
        <v>0</v>
      </c>
      <c r="K53" s="105">
        <f>0-I53-J53</f>
        <v>0</v>
      </c>
      <c r="L53" s="106">
        <f>0-I53-J53-K53</f>
        <v>0</v>
      </c>
      <c r="M53" s="93">
        <f>SUM(I53:L53)</f>
        <v>0</v>
      </c>
      <c r="N53" s="92"/>
      <c r="O53" s="104">
        <v>0</v>
      </c>
      <c r="P53" s="105">
        <f>0-O53</f>
        <v>0</v>
      </c>
      <c r="Q53" s="105">
        <f>0-O53-P53</f>
        <v>0</v>
      </c>
      <c r="R53" s="106">
        <f>0-O53-P53-Q53</f>
        <v>0</v>
      </c>
      <c r="S53" s="93">
        <f>SUM(O53:R53)</f>
        <v>0</v>
      </c>
      <c r="T53" s="92"/>
      <c r="U53" s="104">
        <v>0</v>
      </c>
      <c r="V53" s="105">
        <f>0-U53</f>
        <v>0</v>
      </c>
      <c r="W53" s="105">
        <f>0-U53-V53</f>
        <v>0</v>
      </c>
      <c r="X53" s="106">
        <f>0-U53-V53-W53</f>
        <v>0</v>
      </c>
      <c r="Y53" s="93">
        <f>SUM(U53:X53)</f>
        <v>0</v>
      </c>
      <c r="Z53" s="92"/>
      <c r="AA53" s="104">
        <v>0</v>
      </c>
      <c r="AB53" s="105">
        <v>0</v>
      </c>
      <c r="AC53" s="105">
        <v>0</v>
      </c>
      <c r="AD53" s="99">
        <f>AE53-AC53-AB53-AA53</f>
        <v>0</v>
      </c>
      <c r="AE53" s="161">
        <v>0</v>
      </c>
      <c r="AF53" s="92"/>
      <c r="AG53" s="104">
        <v>0</v>
      </c>
      <c r="AH53" s="105">
        <v>0</v>
      </c>
      <c r="AI53" s="105">
        <v>0</v>
      </c>
      <c r="AJ53" s="99">
        <f>AK53-AI53-AH53-AG53</f>
        <v>0</v>
      </c>
      <c r="AK53" s="161">
        <v>0</v>
      </c>
      <c r="AL53" s="92"/>
      <c r="AM53" s="104">
        <v>0</v>
      </c>
      <c r="AN53" s="105">
        <v>0</v>
      </c>
      <c r="AO53" s="105">
        <v>0</v>
      </c>
      <c r="AP53" s="99">
        <f>AQ53-AO53-AN53-AM53</f>
        <v>0</v>
      </c>
      <c r="AQ53" s="161">
        <v>0</v>
      </c>
      <c r="AR53" s="92"/>
      <c r="AS53" s="104">
        <v>0</v>
      </c>
      <c r="AT53" s="105">
        <v>0</v>
      </c>
      <c r="AU53" s="105">
        <v>0</v>
      </c>
      <c r="AV53" s="106">
        <v>0</v>
      </c>
      <c r="AW53" s="93">
        <f>SUM(AS53:AV53)</f>
        <v>0</v>
      </c>
      <c r="AX53" s="92"/>
      <c r="AY53" s="104">
        <v>0</v>
      </c>
      <c r="AZ53" s="105">
        <v>0</v>
      </c>
      <c r="BA53" s="105">
        <v>0</v>
      </c>
      <c r="BB53" s="106">
        <v>0</v>
      </c>
      <c r="BC53" s="93">
        <f>SUM(AY53:BB53)</f>
        <v>0</v>
      </c>
      <c r="BD53" s="92"/>
      <c r="BE53" s="104">
        <v>0</v>
      </c>
      <c r="BF53" s="105">
        <v>0</v>
      </c>
      <c r="BG53" s="105">
        <v>0</v>
      </c>
      <c r="BH53" s="106">
        <v>0</v>
      </c>
      <c r="BI53" s="93">
        <f>SUM(BE53:BH53)</f>
        <v>0</v>
      </c>
      <c r="BJ53" s="92"/>
      <c r="BK53" s="104">
        <v>0</v>
      </c>
      <c r="BL53" s="105">
        <v>0</v>
      </c>
      <c r="BM53" s="105">
        <v>0</v>
      </c>
      <c r="BN53" s="106">
        <v>0</v>
      </c>
      <c r="BO53" s="93">
        <f>SUM(BK53:BN53)</f>
        <v>0</v>
      </c>
      <c r="BP53" s="92"/>
      <c r="BQ53" s="104">
        <v>0</v>
      </c>
      <c r="BR53" s="105">
        <v>0</v>
      </c>
      <c r="BS53" s="105">
        <v>0</v>
      </c>
      <c r="BT53" s="106">
        <v>0</v>
      </c>
      <c r="BU53" s="93">
        <f>SUM(BQ53:BT53)</f>
        <v>0</v>
      </c>
      <c r="BV53" s="92"/>
      <c r="BW53" s="104">
        <v>0</v>
      </c>
      <c r="BX53" s="105">
        <v>0</v>
      </c>
      <c r="BY53" s="105">
        <v>0</v>
      </c>
      <c r="BZ53" s="106">
        <v>0</v>
      </c>
      <c r="CA53" s="93">
        <f>SUM(BW53:BZ53)</f>
        <v>0</v>
      </c>
      <c r="CB53" s="92"/>
      <c r="CC53" s="104">
        <v>0</v>
      </c>
      <c r="CD53" s="105">
        <v>0</v>
      </c>
      <c r="CE53" s="105">
        <v>0</v>
      </c>
      <c r="CF53" s="106">
        <v>0</v>
      </c>
      <c r="CG53" s="93">
        <f>SUM(CC53:CF53)</f>
        <v>0</v>
      </c>
      <c r="CH53" s="92"/>
      <c r="CI53" s="104">
        <v>0</v>
      </c>
      <c r="CJ53" s="105">
        <v>0</v>
      </c>
      <c r="CK53" s="105">
        <v>0</v>
      </c>
      <c r="CL53" s="106">
        <v>0</v>
      </c>
      <c r="CM53" s="93">
        <f>SUM(CI53:CL53)</f>
        <v>0</v>
      </c>
      <c r="CQ53"/>
      <c r="CR53"/>
      <c r="CS53"/>
      <c r="CT53"/>
      <c r="CU53"/>
      <c r="CV53"/>
    </row>
    <row r="54" spans="1:101" s="61" customFormat="1" x14ac:dyDescent="0.2">
      <c r="A54" s="432"/>
      <c r="C54" s="98"/>
      <c r="D54" s="92"/>
      <c r="E54" s="92"/>
      <c r="F54" s="99"/>
      <c r="G54" s="93"/>
      <c r="H54" s="92"/>
      <c r="I54" s="98"/>
      <c r="J54" s="92"/>
      <c r="K54" s="92"/>
      <c r="L54" s="99"/>
      <c r="M54" s="93"/>
      <c r="N54" s="92"/>
      <c r="O54" s="98"/>
      <c r="P54" s="92"/>
      <c r="Q54" s="92"/>
      <c r="R54" s="99"/>
      <c r="S54" s="93"/>
      <c r="T54" s="92"/>
      <c r="U54" s="98"/>
      <c r="V54" s="92"/>
      <c r="W54" s="92"/>
      <c r="X54" s="99"/>
      <c r="Y54" s="93"/>
      <c r="Z54" s="92"/>
      <c r="AA54" s="98"/>
      <c r="AB54" s="92"/>
      <c r="AC54" s="92"/>
      <c r="AD54" s="99"/>
      <c r="AE54" s="93"/>
      <c r="AF54" s="92"/>
      <c r="AG54" s="98"/>
      <c r="AH54" s="92"/>
      <c r="AI54" s="92"/>
      <c r="AJ54" s="99"/>
      <c r="AK54" s="93"/>
      <c r="AL54" s="92"/>
      <c r="AM54" s="98"/>
      <c r="AN54" s="92"/>
      <c r="AO54" s="92"/>
      <c r="AP54" s="99"/>
      <c r="AQ54" s="93"/>
      <c r="AR54" s="92"/>
      <c r="AS54" s="98"/>
      <c r="AT54" s="92"/>
      <c r="AU54" s="92"/>
      <c r="AV54" s="99"/>
      <c r="AW54" s="93"/>
      <c r="AX54" s="92"/>
      <c r="AY54" s="98"/>
      <c r="AZ54" s="92"/>
      <c r="BA54" s="92"/>
      <c r="BB54" s="99"/>
      <c r="BC54" s="93"/>
      <c r="BD54" s="92"/>
      <c r="BE54" s="98"/>
      <c r="BF54" s="92"/>
      <c r="BG54" s="92"/>
      <c r="BH54" s="99"/>
      <c r="BI54" s="93"/>
      <c r="BJ54" s="92"/>
      <c r="BK54" s="98"/>
      <c r="BL54" s="92"/>
      <c r="BM54" s="92"/>
      <c r="BN54" s="99"/>
      <c r="BO54" s="93"/>
      <c r="BP54" s="92"/>
      <c r="BQ54" s="98"/>
      <c r="BR54" s="92"/>
      <c r="BS54" s="92"/>
      <c r="BT54" s="99"/>
      <c r="BU54" s="93"/>
      <c r="BV54" s="92"/>
      <c r="BW54" s="98"/>
      <c r="BX54" s="92"/>
      <c r="BY54" s="92"/>
      <c r="BZ54" s="99"/>
      <c r="CA54" s="93"/>
      <c r="CB54" s="92"/>
      <c r="CC54" s="98"/>
      <c r="CD54" s="92"/>
      <c r="CE54" s="92"/>
      <c r="CF54" s="99"/>
      <c r="CG54" s="93"/>
      <c r="CH54" s="92"/>
      <c r="CI54" s="98"/>
      <c r="CJ54" s="92"/>
      <c r="CK54" s="92"/>
      <c r="CL54" s="99"/>
      <c r="CM54" s="93"/>
      <c r="CQ54"/>
      <c r="CR54"/>
      <c r="CS54"/>
      <c r="CT54"/>
      <c r="CU54"/>
      <c r="CV54"/>
    </row>
    <row r="55" spans="1:101" s="61" customFormat="1" x14ac:dyDescent="0.2">
      <c r="A55" s="432" t="s">
        <v>255</v>
      </c>
      <c r="C55" s="104">
        <v>3.0880000000000001</v>
      </c>
      <c r="D55" s="105">
        <f>4.374-C55</f>
        <v>1.2859999999999996</v>
      </c>
      <c r="E55" s="105">
        <f>7.88-C55-D55</f>
        <v>3.5060000000000002</v>
      </c>
      <c r="F55" s="106">
        <f>15.041-C55-D55-E55</f>
        <v>7.1609999999999996</v>
      </c>
      <c r="G55" s="93">
        <v>15.041</v>
      </c>
      <c r="H55" s="92"/>
      <c r="I55" s="104">
        <v>5.93</v>
      </c>
      <c r="J55" s="105">
        <f>14.708-I55</f>
        <v>8.7780000000000005</v>
      </c>
      <c r="K55" s="105">
        <f>12.882-I55-J55</f>
        <v>-1.8260000000000005</v>
      </c>
      <c r="L55" s="106">
        <f>0.748-I55-J55-K55</f>
        <v>-12.134</v>
      </c>
      <c r="M55" s="93">
        <f>SUM(I55:L55)</f>
        <v>0.74799999999999933</v>
      </c>
      <c r="N55" s="92"/>
      <c r="O55" s="104">
        <v>-4.1159999999999997</v>
      </c>
      <c r="P55" s="105">
        <f>-12.49-O55</f>
        <v>-8.3740000000000006</v>
      </c>
      <c r="Q55" s="105">
        <f>-4.74-O55-P55</f>
        <v>7.75</v>
      </c>
      <c r="R55" s="106">
        <f>-0.39-O55-P55-Q55</f>
        <v>4.3499999999999996</v>
      </c>
      <c r="S55" s="93">
        <f>SUM(O55:R55)</f>
        <v>-0.39000000000000057</v>
      </c>
      <c r="T55" s="92"/>
      <c r="U55" s="104">
        <v>2.044</v>
      </c>
      <c r="V55" s="105">
        <f>-0.172-U55</f>
        <v>-2.2160000000000002</v>
      </c>
      <c r="W55" s="105">
        <f>-2.93-U55-V55</f>
        <v>-2.758</v>
      </c>
      <c r="X55" s="106">
        <f>5.79-U55-V55-W55</f>
        <v>8.7199999999999989</v>
      </c>
      <c r="Y55" s="93">
        <f>SUM(U55:X55)</f>
        <v>5.7899999999999991</v>
      </c>
      <c r="Z55" s="92"/>
      <c r="AA55" s="104">
        <v>-1.3049999999999999</v>
      </c>
      <c r="AB55" s="105">
        <f>4.505-AA55</f>
        <v>5.81</v>
      </c>
      <c r="AC55" s="105">
        <f>8.082-AB55-AA55</f>
        <v>3.5770000000000008</v>
      </c>
      <c r="AD55" s="99">
        <f>AE55-AC55-AB55-AA55</f>
        <v>-10.897000000000002</v>
      </c>
      <c r="AE55" s="161">
        <v>-2.8149999999999999</v>
      </c>
      <c r="AF55" s="92"/>
      <c r="AG55" s="104">
        <v>-0.70199999999999996</v>
      </c>
      <c r="AH55" s="105">
        <f>5.055-AG55</f>
        <v>5.7569999999999997</v>
      </c>
      <c r="AI55" s="105">
        <f>-2.564-AH55-AG55</f>
        <v>-7.6189999999999998</v>
      </c>
      <c r="AJ55" s="99">
        <f>AK55-AI55-AH55-AG55</f>
        <v>8.5030000000000001</v>
      </c>
      <c r="AK55" s="161">
        <v>5.9390000000000001</v>
      </c>
      <c r="AL55" s="92"/>
      <c r="AM55" s="104">
        <v>0.64600000000000002</v>
      </c>
      <c r="AN55" s="105">
        <f>-4.792-AM55</f>
        <v>-5.4379999999999997</v>
      </c>
      <c r="AO55" s="105">
        <f>-10.943-AN55-AM55</f>
        <v>-6.1509999999999998</v>
      </c>
      <c r="AP55" s="99">
        <f>AQ55-AO55-AN55-AM55</f>
        <v>3.7779999999999996</v>
      </c>
      <c r="AQ55" s="161">
        <f>-7-0.165</f>
        <v>-7.165</v>
      </c>
      <c r="AR55" s="92"/>
      <c r="AS55" s="104">
        <v>-1</v>
      </c>
      <c r="AT55" s="105">
        <f>-7-AS55</f>
        <v>-6</v>
      </c>
      <c r="AU55" s="105">
        <f>-5-AT55-AS55</f>
        <v>2</v>
      </c>
      <c r="AV55" s="106">
        <f>-20-AS55-AT55-AU55</f>
        <v>-15</v>
      </c>
      <c r="AW55" s="93">
        <f>SUM(AS55:AV55)</f>
        <v>-20</v>
      </c>
      <c r="AX55" s="92"/>
      <c r="AY55" s="104">
        <v>-8</v>
      </c>
      <c r="AZ55" s="96">
        <f>-26-AY55</f>
        <v>-18</v>
      </c>
      <c r="BA55" s="96">
        <f>-17-AY55-AZ55</f>
        <v>9</v>
      </c>
      <c r="BB55" s="106">
        <f>-38-SUM(AY55:BA55)</f>
        <v>-21</v>
      </c>
      <c r="BC55" s="93">
        <f>SUM(AY55:BB55)</f>
        <v>-38</v>
      </c>
      <c r="BD55" s="92"/>
      <c r="BE55" s="104">
        <v>-14</v>
      </c>
      <c r="BF55" s="105">
        <f>-2-BE55</f>
        <v>12</v>
      </c>
      <c r="BG55" s="105">
        <f>2-SUM(BE55:BF55)</f>
        <v>4</v>
      </c>
      <c r="BH55" s="106">
        <f>-12-SUM(BE55:BG55)</f>
        <v>-14</v>
      </c>
      <c r="BI55" s="93">
        <f>SUM(BE55:BH55)</f>
        <v>-12</v>
      </c>
      <c r="BJ55" s="92"/>
      <c r="BK55" s="104">
        <v>-30</v>
      </c>
      <c r="BL55" s="105">
        <f>-17-BK55</f>
        <v>13</v>
      </c>
      <c r="BM55" s="96">
        <f>-11-SUM(BK55:BL55)</f>
        <v>6</v>
      </c>
      <c r="BN55" s="106">
        <f>-6-SUM(BK55:BM55)</f>
        <v>5</v>
      </c>
      <c r="BO55" s="93">
        <f>SUM(BK55:BN55)</f>
        <v>-6</v>
      </c>
      <c r="BP55" s="92"/>
      <c r="BQ55" s="104">
        <v>2</v>
      </c>
      <c r="BR55" s="105">
        <v>0</v>
      </c>
      <c r="BS55" s="105">
        <v>0</v>
      </c>
      <c r="BT55" s="106">
        <v>0</v>
      </c>
      <c r="BU55" s="93">
        <f>SUM(BQ55:BT55)</f>
        <v>2</v>
      </c>
      <c r="BV55" s="92"/>
      <c r="BW55" s="104">
        <v>0</v>
      </c>
      <c r="BX55" s="105">
        <v>0</v>
      </c>
      <c r="BY55" s="105">
        <v>0</v>
      </c>
      <c r="BZ55" s="106">
        <v>0</v>
      </c>
      <c r="CA55" s="93">
        <f>SUM(BW55:BZ55)</f>
        <v>0</v>
      </c>
      <c r="CB55" s="92"/>
      <c r="CC55" s="104">
        <v>0</v>
      </c>
      <c r="CD55" s="105">
        <v>0</v>
      </c>
      <c r="CE55" s="105">
        <v>0</v>
      </c>
      <c r="CF55" s="106">
        <v>0</v>
      </c>
      <c r="CG55" s="93">
        <f>SUM(CC55:CF55)</f>
        <v>0</v>
      </c>
      <c r="CH55" s="92"/>
      <c r="CI55" s="104">
        <v>0</v>
      </c>
      <c r="CJ55" s="105">
        <v>0</v>
      </c>
      <c r="CK55" s="105">
        <v>0</v>
      </c>
      <c r="CL55" s="106">
        <v>0</v>
      </c>
      <c r="CM55" s="93">
        <f>SUM(CI55:CL55)</f>
        <v>0</v>
      </c>
      <c r="CQ55"/>
      <c r="CR55"/>
      <c r="CS55"/>
      <c r="CT55"/>
      <c r="CU55"/>
      <c r="CV55"/>
    </row>
    <row r="56" spans="1:101" s="61" customFormat="1" x14ac:dyDescent="0.2">
      <c r="A56" s="432"/>
      <c r="C56" s="98"/>
      <c r="D56" s="92"/>
      <c r="E56" s="92"/>
      <c r="F56" s="99"/>
      <c r="G56" s="93"/>
      <c r="H56" s="92"/>
      <c r="I56" s="98"/>
      <c r="J56" s="92"/>
      <c r="K56" s="92"/>
      <c r="L56" s="99"/>
      <c r="M56" s="93"/>
      <c r="N56" s="92"/>
      <c r="O56" s="98"/>
      <c r="P56" s="92"/>
      <c r="Q56" s="92"/>
      <c r="R56" s="99"/>
      <c r="S56" s="93"/>
      <c r="T56" s="92"/>
      <c r="U56" s="98"/>
      <c r="V56" s="92"/>
      <c r="W56" s="92"/>
      <c r="X56" s="99"/>
      <c r="Y56" s="93"/>
      <c r="Z56" s="92"/>
      <c r="AA56" s="98"/>
      <c r="AB56" s="92"/>
      <c r="AC56" s="92"/>
      <c r="AD56" s="99"/>
      <c r="AE56" s="93"/>
      <c r="AF56" s="92"/>
      <c r="AG56" s="98"/>
      <c r="AH56" s="92"/>
      <c r="AI56" s="92"/>
      <c r="AJ56" s="99"/>
      <c r="AK56" s="93"/>
      <c r="AL56" s="92"/>
      <c r="AM56" s="98"/>
      <c r="AN56" s="92"/>
      <c r="AO56" s="92"/>
      <c r="AP56" s="99"/>
      <c r="AQ56" s="93"/>
      <c r="AR56" s="92"/>
      <c r="AS56" s="98"/>
      <c r="AT56" s="92"/>
      <c r="AU56" s="92"/>
      <c r="AV56" s="99"/>
      <c r="AW56" s="93"/>
      <c r="AX56" s="92"/>
      <c r="AY56" s="98"/>
      <c r="AZ56" s="92"/>
      <c r="BA56" s="92"/>
      <c r="BB56" s="99"/>
      <c r="BC56" s="93"/>
      <c r="BD56" s="92"/>
      <c r="BE56" s="98"/>
      <c r="BF56" s="92"/>
      <c r="BG56" s="92"/>
      <c r="BH56" s="99"/>
      <c r="BI56" s="93"/>
      <c r="BJ56" s="92"/>
      <c r="BK56" s="98"/>
      <c r="BL56" s="92"/>
      <c r="BM56" s="92"/>
      <c r="BN56" s="99"/>
      <c r="BO56" s="93"/>
      <c r="BP56" s="92"/>
      <c r="BQ56" s="98"/>
      <c r="BR56" s="92"/>
      <c r="BS56" s="92"/>
      <c r="BT56" s="99"/>
      <c r="BU56" s="93"/>
      <c r="BV56" s="92"/>
      <c r="BW56" s="98"/>
      <c r="BX56" s="92"/>
      <c r="BY56" s="92"/>
      <c r="BZ56" s="99"/>
      <c r="CA56" s="93"/>
      <c r="CB56" s="92"/>
      <c r="CC56" s="98"/>
      <c r="CD56" s="92"/>
      <c r="CE56" s="92"/>
      <c r="CF56" s="99"/>
      <c r="CG56" s="93"/>
      <c r="CH56" s="92"/>
      <c r="CI56" s="98"/>
      <c r="CJ56" s="92"/>
      <c r="CK56" s="92"/>
      <c r="CL56" s="99"/>
      <c r="CM56" s="93"/>
      <c r="CQ56"/>
      <c r="CR56"/>
      <c r="CS56"/>
      <c r="CT56"/>
      <c r="CU56"/>
      <c r="CV56"/>
    </row>
    <row r="57" spans="1:101" s="61" customFormat="1" x14ac:dyDescent="0.2">
      <c r="A57" s="520" t="s">
        <v>256</v>
      </c>
      <c r="B57" s="521"/>
      <c r="C57" s="522">
        <f>C27+C38+C48+SUM(C51:C53)+C55</f>
        <v>-466.86400000000003</v>
      </c>
      <c r="D57" s="316">
        <f>D27+D38+D48+SUM(D51:D53)+D55</f>
        <v>-123.77000000000004</v>
      </c>
      <c r="E57" s="316">
        <f>E27+E38+E48+SUM(E51:E53)+E55</f>
        <v>34.508999999999951</v>
      </c>
      <c r="F57" s="523">
        <f>F27+F38+F48+SUM(F51:F53)+F55</f>
        <v>67.317999999999941</v>
      </c>
      <c r="G57" s="524">
        <f>G27+G38+G48+SUM(G51:G53)+G55</f>
        <v>-488.8069999999999</v>
      </c>
      <c r="H57" s="316"/>
      <c r="I57" s="522">
        <v>239.28</v>
      </c>
      <c r="J57" s="316">
        <f>J27+J38+J48+SUM(J51:J53)+J55</f>
        <v>-189.76299999999995</v>
      </c>
      <c r="K57" s="316">
        <f>K27+K38+K48+SUM(K51:K53)+K55</f>
        <v>174.90900000000016</v>
      </c>
      <c r="L57" s="523">
        <f>L27+L38+L48+SUM(L51:L53)+L55</f>
        <v>94.569000000000216</v>
      </c>
      <c r="M57" s="524">
        <f>M27+M38+M48+SUM(M51:M53)+M55</f>
        <v>318.99500000000006</v>
      </c>
      <c r="N57" s="316"/>
      <c r="O57" s="522">
        <f>O27+O38+O48+SUM(O51:O53)+O55</f>
        <v>-232.85800000000006</v>
      </c>
      <c r="P57" s="316">
        <f>P27+P38+P48+SUM(P51:P53)+P55</f>
        <v>-54.906999999999996</v>
      </c>
      <c r="Q57" s="316">
        <f>Q27+Q38+Q48+SUM(Q51:Q53)+Q55</f>
        <v>788.88900000000012</v>
      </c>
      <c r="R57" s="523">
        <f>R27+R38+R48+SUM(R51:R53)+R55</f>
        <v>62.642999999999972</v>
      </c>
      <c r="S57" s="524">
        <f>S27+S38+S48+SUM(S51:S53)+S55</f>
        <v>563.76700000000005</v>
      </c>
      <c r="T57" s="316"/>
      <c r="U57" s="522">
        <f>U27+U38+U48+SUM(U51:U53)+U55</f>
        <v>-211.9379999999999</v>
      </c>
      <c r="V57" s="316">
        <f>V27+V38+V48+SUM(V51:V53)+V55</f>
        <v>-351.61800000000011</v>
      </c>
      <c r="W57" s="316">
        <f>W27+W38+W48+SUM(W51:W53)+W55</f>
        <v>-80.581999999999894</v>
      </c>
      <c r="X57" s="523">
        <f>X27+X38+X48+SUM(X51:X53)+X55</f>
        <v>465.88299999999992</v>
      </c>
      <c r="Y57" s="524">
        <f>Y27+Y38+Y48+SUM(Y51:Y53)+Y55</f>
        <v>-178.25499999999977</v>
      </c>
      <c r="Z57" s="316"/>
      <c r="AA57" s="522">
        <f>AA27+AA38+AA48+SUM(AA51:AA53)+AA55</f>
        <v>33.366000000000106</v>
      </c>
      <c r="AB57" s="316">
        <f>AB27+AB38+AB48+SUM(AB51:AB53)+AB55</f>
        <v>-500.767</v>
      </c>
      <c r="AC57" s="316">
        <f>AC27+AC38+AC48+SUM(AC51:AC53)+AC55</f>
        <v>409.44900000000001</v>
      </c>
      <c r="AD57" s="523">
        <f>AD27+AD38+AD48+SUM(AD51:AD53)+AD55</f>
        <v>17.245000000000154</v>
      </c>
      <c r="AE57" s="524">
        <f>AE27+AE38+AE48+SUM(AE51:AE53)+AE55</f>
        <v>-40.706999999999965</v>
      </c>
      <c r="AF57" s="316"/>
      <c r="AG57" s="522">
        <f>AG27+AG38+AG48+SUM(AG51:AG53)+AG55</f>
        <v>1020.9960000000002</v>
      </c>
      <c r="AH57" s="316">
        <f>AH27+AH38+AH48+SUM(AH51:AH53)+AH55</f>
        <v>-356.78800000000001</v>
      </c>
      <c r="AI57" s="316">
        <f>AI27+AI38+AI48+SUM(AI51:AI53)+AI55</f>
        <v>-180.77099999999999</v>
      </c>
      <c r="AJ57" s="523">
        <f>AJ27+AJ38+AJ48+SUM(AJ51:AJ53)+AJ55</f>
        <v>12.445999999999977</v>
      </c>
      <c r="AK57" s="524">
        <f>AK27+AK38+AK48+SUM(AK51:AK53)+AK55</f>
        <v>495.88299999999992</v>
      </c>
      <c r="AL57" s="316"/>
      <c r="AM57" s="522">
        <f>AM27+AM38+AM48+SUM(AM51:AM53)+AM55</f>
        <v>246.30699999999999</v>
      </c>
      <c r="AN57" s="316">
        <f>AN27+AN38+AN48+SUM(AN51:AN53)+AN55</f>
        <v>106.38799999999998</v>
      </c>
      <c r="AO57" s="316">
        <f>AO27+AO38+AO48+SUM(AO51:AO53)+AO55</f>
        <v>-61.773999999999987</v>
      </c>
      <c r="AP57" s="523">
        <f>AP27+AP38+AP48+SUM(AP51:AP53)+AP55</f>
        <v>-72.086000000000126</v>
      </c>
      <c r="AQ57" s="524">
        <f>AQ27+AQ38+AQ48+SUM(AQ51:AQ53)+AQ55</f>
        <v>218.83500000000001</v>
      </c>
      <c r="AR57" s="316"/>
      <c r="AS57" s="522">
        <f>AS27+AS38+AS48+SUM(AS51:AS53)+AS55</f>
        <v>-211</v>
      </c>
      <c r="AT57" s="316">
        <f>AT27+AT38+AT48+SUM(AT51:AT53)+AT55</f>
        <v>52</v>
      </c>
      <c r="AU57" s="316">
        <f>AU27+AU38+AU48+SUM(AU51:AU53)+AU55</f>
        <v>-70</v>
      </c>
      <c r="AV57" s="523">
        <f>AV27+AV38+AV48+SUM(AV51:AV53)+AV55</f>
        <v>200</v>
      </c>
      <c r="AW57" s="524">
        <f>AW27+AW38+AW48+SUM(AW51:AW53)+AW55</f>
        <v>-29</v>
      </c>
      <c r="AX57" s="316"/>
      <c r="AY57" s="522">
        <f>AY27+AY38+AY48+SUM(AY51:AY53)+AY55</f>
        <v>6679</v>
      </c>
      <c r="AZ57" s="316">
        <f>AZ27+AZ38+AZ48+SUM(AZ51:AZ53)+AZ55</f>
        <v>-6628</v>
      </c>
      <c r="BA57" s="316">
        <f>BA27+BA38+BA48+SUM(BA51:BA53)+BA55</f>
        <v>-353</v>
      </c>
      <c r="BB57" s="523">
        <f>BB27+BB38+BB48+SUM(BB51:BB53)+BB55</f>
        <v>-135</v>
      </c>
      <c r="BC57" s="524">
        <f>BC27+BC38+BC48+SUM(BC51:BC53)+BC55</f>
        <v>-437</v>
      </c>
      <c r="BD57" s="316"/>
      <c r="BE57" s="522">
        <f>BE27+BE38+BE48+SUM(BE51:BE53)+BE55</f>
        <v>159</v>
      </c>
      <c r="BF57" s="316">
        <f>BF27+BF38+BF48+SUM(BF51:BF53)+BF55</f>
        <v>113</v>
      </c>
      <c r="BG57" s="316">
        <f>BG27+BG38+BG48+SUM(BG51:BG53)+BG55</f>
        <v>-10</v>
      </c>
      <c r="BH57" s="523">
        <f>BH27+BH38+BH48+SUM(BH51:BH53)+BH55</f>
        <v>-145</v>
      </c>
      <c r="BI57" s="524">
        <f>BI27+BI38+BI48+SUM(BI51:BI53)+BI55</f>
        <v>117</v>
      </c>
      <c r="BJ57" s="316"/>
      <c r="BK57" s="522">
        <f>BK27+BK38+BK48+SUM(BK51:BK53)+BK55</f>
        <v>-622</v>
      </c>
      <c r="BL57" s="316">
        <f>BL27+BL38+BL48+SUM(BL51:BL53)+BL55</f>
        <v>-371</v>
      </c>
      <c r="BM57" s="316">
        <f>BM27+BM38+BM48+SUM(BM51:BM53)+BM55</f>
        <v>13304</v>
      </c>
      <c r="BN57" s="523">
        <f>BN27+BN38+BN48+SUM(BN51:BN53)+BN55</f>
        <v>327</v>
      </c>
      <c r="BO57" s="524">
        <f>BO27+BO38+BO48+SUM(BO51:BO53)+BO55</f>
        <v>12638</v>
      </c>
      <c r="BP57" s="316"/>
      <c r="BQ57" s="522">
        <f>BQ27+BQ38+BQ48+SUM(BQ51:BQ53)+BQ55</f>
        <v>-13055</v>
      </c>
      <c r="BR57" s="316">
        <f>BR27+BR38+BR48+SUM(BR51:BR53)+BR55</f>
        <v>-235.58948575333761</v>
      </c>
      <c r="BS57" s="316">
        <f>BS27+BS38+BS48+SUM(BS51:BS53)+BS55</f>
        <v>305.70807227251953</v>
      </c>
      <c r="BT57" s="523">
        <f>BT27+BT38+BT48+SUM(BT51:BT53)+BT55</f>
        <v>386.78953611305246</v>
      </c>
      <c r="BU57" s="524">
        <f>BU27+BU38+BU48+SUM(BU51:BU53)+BU55</f>
        <v>-12598.091877367766</v>
      </c>
      <c r="BV57" s="316"/>
      <c r="BW57" s="522">
        <f>BW27+BW38+BW48+SUM(BW51:BW53)+BW55</f>
        <v>180.68531346404598</v>
      </c>
      <c r="BX57" s="316">
        <f>BX27+BX38+BX48+SUM(BX51:BX53)+BX55</f>
        <v>195.35541238728933</v>
      </c>
      <c r="BY57" s="316">
        <f>BY27+BY38+BY48+SUM(BY51:BY53)+BY55</f>
        <v>-221.84845352209595</v>
      </c>
      <c r="BZ57" s="523">
        <f>BZ27+BZ38+BZ48+SUM(BZ51:BZ53)+BZ55</f>
        <v>210.98152683872399</v>
      </c>
      <c r="CA57" s="524">
        <f>CA27+CA38+CA48+SUM(CA51:CA53)+CA55</f>
        <v>365.1737991679629</v>
      </c>
      <c r="CB57" s="316"/>
      <c r="CC57" s="522">
        <f>CC27+CC38+CC48+SUM(CC51:CC53)+CC55</f>
        <v>-119.29039441321061</v>
      </c>
      <c r="CD57" s="316">
        <f>CD27+CD38+CD48+SUM(CD51:CD53)+CD55</f>
        <v>-668.55067942920778</v>
      </c>
      <c r="CE57" s="316">
        <f>CE27+CE38+CE48+SUM(CE51:CE53)+CE55</f>
        <v>277.79494707873175</v>
      </c>
      <c r="CF57" s="523">
        <f>CF27+CF38+CF48+SUM(CF51:CF53)+CF55</f>
        <v>-98.047117664630605</v>
      </c>
      <c r="CG57" s="524">
        <f>CG27+CG38+CG48+SUM(CG51:CG53)+CG55</f>
        <v>-608.09324442831712</v>
      </c>
      <c r="CH57" s="316"/>
      <c r="CI57" s="522">
        <f>CI27+CI38+CI48+SUM(CI51:CI53)+CI55</f>
        <v>784.76998396089562</v>
      </c>
      <c r="CJ57" s="316">
        <f>CJ27+CJ38+CJ48+SUM(CJ51:CJ53)+CJ55</f>
        <v>611.27639559655711</v>
      </c>
      <c r="CK57" s="316">
        <f>CK27+CK38+CK48+SUM(CK51:CK53)+CK55</f>
        <v>204.49009532677383</v>
      </c>
      <c r="CL57" s="523">
        <f>CL27+CL38+CL48+SUM(CL51:CL53)+CL55</f>
        <v>1121.9149639361021</v>
      </c>
      <c r="CM57" s="524">
        <f>CM27+CM38+CM48+SUM(CM51:CM53)+CM55</f>
        <v>2722.4514388203283</v>
      </c>
      <c r="CQ57"/>
      <c r="CR57"/>
      <c r="CS57"/>
      <c r="CT57"/>
      <c r="CU57"/>
      <c r="CV57"/>
    </row>
    <row r="58" spans="1:101" s="61" customFormat="1" x14ac:dyDescent="0.2">
      <c r="A58" s="424" t="s">
        <v>257</v>
      </c>
      <c r="B58" s="425"/>
      <c r="C58" s="525">
        <v>1000.2890000000002</v>
      </c>
      <c r="D58" s="317">
        <f>C59</f>
        <v>533.42500000000018</v>
      </c>
      <c r="E58" s="317">
        <f>D59</f>
        <v>409.65500000000014</v>
      </c>
      <c r="F58" s="526">
        <f>E59</f>
        <v>444.1640000000001</v>
      </c>
      <c r="G58" s="527">
        <f>C58</f>
        <v>1000.2890000000002</v>
      </c>
      <c r="H58" s="317"/>
      <c r="I58" s="528">
        <f>G59</f>
        <v>511.48200000000031</v>
      </c>
      <c r="J58" s="317">
        <f>I59</f>
        <v>750.76200000000028</v>
      </c>
      <c r="K58" s="317">
        <f>J59</f>
        <v>560.99900000000036</v>
      </c>
      <c r="L58" s="526">
        <f>K59</f>
        <v>735.90800000000058</v>
      </c>
      <c r="M58" s="527">
        <f>G59</f>
        <v>511.48200000000031</v>
      </c>
      <c r="N58" s="317"/>
      <c r="O58" s="528">
        <f>M59</f>
        <v>830.47700000000032</v>
      </c>
      <c r="P58" s="317">
        <f>O59</f>
        <v>597.61900000000003</v>
      </c>
      <c r="Q58" s="317">
        <f>P59</f>
        <v>542.71199999999999</v>
      </c>
      <c r="R58" s="526">
        <f>Q59</f>
        <v>1331.6010000000001</v>
      </c>
      <c r="S58" s="527">
        <f>M59</f>
        <v>830.47700000000032</v>
      </c>
      <c r="T58" s="317"/>
      <c r="U58" s="528">
        <f>S59</f>
        <v>1394.2440000000004</v>
      </c>
      <c r="V58" s="317">
        <f>U59</f>
        <v>1182.3060000000005</v>
      </c>
      <c r="W58" s="317">
        <f>V59</f>
        <v>830.68800000000033</v>
      </c>
      <c r="X58" s="526">
        <f>W59</f>
        <v>750.10600000000102</v>
      </c>
      <c r="Y58" s="529">
        <f>S59</f>
        <v>1394.2440000000004</v>
      </c>
      <c r="Z58" s="317"/>
      <c r="AA58" s="528">
        <f>Y59</f>
        <v>1215.9890000000005</v>
      </c>
      <c r="AB58" s="317">
        <f>AA59</f>
        <v>1249.3550000000007</v>
      </c>
      <c r="AC58" s="317">
        <f>AB59</f>
        <v>748.58800000000065</v>
      </c>
      <c r="AD58" s="526">
        <f>AC59</f>
        <v>1158.0370000000007</v>
      </c>
      <c r="AE58" s="529">
        <f>Y59</f>
        <v>1215.9890000000005</v>
      </c>
      <c r="AF58" s="317"/>
      <c r="AG58" s="528">
        <f>AE59</f>
        <v>1175.2820000000006</v>
      </c>
      <c r="AH58" s="317">
        <f>AG59</f>
        <v>2196.2780000000007</v>
      </c>
      <c r="AI58" s="317">
        <f>AH59</f>
        <v>1839.4900000000007</v>
      </c>
      <c r="AJ58" s="526">
        <f>AI59</f>
        <v>1658.7190000000007</v>
      </c>
      <c r="AK58" s="529">
        <f>AE59</f>
        <v>1175.2820000000006</v>
      </c>
      <c r="AL58" s="317"/>
      <c r="AM58" s="528">
        <f>AK59</f>
        <v>1671.1650000000004</v>
      </c>
      <c r="AN58" s="317">
        <f>AM59</f>
        <v>1917.4720000000004</v>
      </c>
      <c r="AO58" s="317">
        <f>AN59</f>
        <v>2023.8600000000004</v>
      </c>
      <c r="AP58" s="526">
        <f>AO59</f>
        <v>1962.0860000000005</v>
      </c>
      <c r="AQ58" s="529">
        <f>AK59</f>
        <v>1671.1650000000004</v>
      </c>
      <c r="AR58" s="317"/>
      <c r="AS58" s="528">
        <f>AQ59</f>
        <v>1890.0000000000005</v>
      </c>
      <c r="AT58" s="317">
        <f>AS59</f>
        <v>1679.0000000000005</v>
      </c>
      <c r="AU58" s="317">
        <f>AT59</f>
        <v>1731.0000000000005</v>
      </c>
      <c r="AV58" s="526">
        <f>AU59</f>
        <v>1661.0000000000005</v>
      </c>
      <c r="AW58" s="529">
        <f>AQ59</f>
        <v>1890.0000000000005</v>
      </c>
      <c r="AX58" s="317"/>
      <c r="AY58" s="528">
        <f>AW59</f>
        <v>1861.0000000000005</v>
      </c>
      <c r="AZ58" s="317">
        <f>AY59</f>
        <v>8540</v>
      </c>
      <c r="BA58" s="317">
        <f>AZ59</f>
        <v>1912</v>
      </c>
      <c r="BB58" s="526">
        <f>BA59</f>
        <v>1559</v>
      </c>
      <c r="BC58" s="529">
        <f>AW59</f>
        <v>1861.0000000000005</v>
      </c>
      <c r="BD58" s="317"/>
      <c r="BE58" s="528">
        <f>BC59</f>
        <v>1424</v>
      </c>
      <c r="BF58" s="317">
        <f>BE59</f>
        <v>1583</v>
      </c>
      <c r="BG58" s="317">
        <f>BF59</f>
        <v>1696</v>
      </c>
      <c r="BH58" s="526">
        <f>BG59</f>
        <v>1686</v>
      </c>
      <c r="BI58" s="529">
        <f>BC59</f>
        <v>1424</v>
      </c>
      <c r="BJ58" s="317"/>
      <c r="BK58" s="528">
        <f>BI59</f>
        <v>1541</v>
      </c>
      <c r="BL58" s="317">
        <f>BK59</f>
        <v>919</v>
      </c>
      <c r="BM58" s="317">
        <f>BL59</f>
        <v>548</v>
      </c>
      <c r="BN58" s="526">
        <f>BM59</f>
        <v>13852</v>
      </c>
      <c r="BO58" s="529">
        <f>BI59</f>
        <v>1541</v>
      </c>
      <c r="BP58" s="317"/>
      <c r="BQ58" s="528">
        <f>BO59</f>
        <v>14179</v>
      </c>
      <c r="BR58" s="317">
        <f>BQ59</f>
        <v>1124</v>
      </c>
      <c r="BS58" s="317">
        <f>BR59</f>
        <v>888.41051424666239</v>
      </c>
      <c r="BT58" s="526">
        <f>BS59</f>
        <v>1194.1185865191819</v>
      </c>
      <c r="BU58" s="529">
        <f>BO59</f>
        <v>14179</v>
      </c>
      <c r="BV58" s="317"/>
      <c r="BW58" s="528">
        <f>BU59</f>
        <v>1580.9081226322342</v>
      </c>
      <c r="BX58" s="317">
        <f>BW59</f>
        <v>1761.5934360962801</v>
      </c>
      <c r="BY58" s="317">
        <f>BX59</f>
        <v>1956.9488484835695</v>
      </c>
      <c r="BZ58" s="526">
        <f>BY59</f>
        <v>1735.1003949614735</v>
      </c>
      <c r="CA58" s="529">
        <f>BU59</f>
        <v>1580.9081226322342</v>
      </c>
      <c r="CB58" s="317"/>
      <c r="CC58" s="528">
        <f>CA59</f>
        <v>1946.0819218001971</v>
      </c>
      <c r="CD58" s="317">
        <f>CC59</f>
        <v>1826.7915273869864</v>
      </c>
      <c r="CE58" s="317">
        <f>CD59</f>
        <v>1158.2408479577787</v>
      </c>
      <c r="CF58" s="526">
        <f>CE59</f>
        <v>1436.0357950365105</v>
      </c>
      <c r="CG58" s="529">
        <f>CA59</f>
        <v>1946.0819218001971</v>
      </c>
      <c r="CH58" s="317"/>
      <c r="CI58" s="528">
        <f>CG59</f>
        <v>1337.9886773718799</v>
      </c>
      <c r="CJ58" s="317">
        <f>CI59</f>
        <v>2122.7586613327758</v>
      </c>
      <c r="CK58" s="317">
        <f>CJ59</f>
        <v>2734.0350569293328</v>
      </c>
      <c r="CL58" s="526">
        <f>CK59</f>
        <v>2938.5251522561066</v>
      </c>
      <c r="CM58" s="529">
        <f>CG59</f>
        <v>1337.9886773718799</v>
      </c>
      <c r="CQ58"/>
      <c r="CR58"/>
      <c r="CS58"/>
      <c r="CT58"/>
      <c r="CU58"/>
      <c r="CV58"/>
    </row>
    <row r="59" spans="1:101" s="61" customFormat="1" x14ac:dyDescent="0.2">
      <c r="A59" s="530" t="s">
        <v>258</v>
      </c>
      <c r="B59" s="531"/>
      <c r="C59" s="532">
        <f>C57+C58</f>
        <v>533.42500000000018</v>
      </c>
      <c r="D59" s="533">
        <f>D57+D58</f>
        <v>409.65500000000014</v>
      </c>
      <c r="E59" s="533">
        <f>E57+E58</f>
        <v>444.1640000000001</v>
      </c>
      <c r="F59" s="534">
        <f>F57+F58</f>
        <v>511.48200000000003</v>
      </c>
      <c r="G59" s="535">
        <f>G57+G58</f>
        <v>511.48200000000031</v>
      </c>
      <c r="H59" s="533"/>
      <c r="I59" s="532">
        <f>I57+I58</f>
        <v>750.76200000000028</v>
      </c>
      <c r="J59" s="533">
        <f>J57+J58</f>
        <v>560.99900000000036</v>
      </c>
      <c r="K59" s="533">
        <f>K57+K58</f>
        <v>735.90800000000058</v>
      </c>
      <c r="L59" s="534">
        <f>L57+L58</f>
        <v>830.47700000000077</v>
      </c>
      <c r="M59" s="535">
        <f>M57+M58</f>
        <v>830.47700000000032</v>
      </c>
      <c r="N59" s="533"/>
      <c r="O59" s="532">
        <v>597.61900000000003</v>
      </c>
      <c r="P59" s="533">
        <f>P57+P58</f>
        <v>542.71199999999999</v>
      </c>
      <c r="Q59" s="533">
        <f>Q57+Q58</f>
        <v>1331.6010000000001</v>
      </c>
      <c r="R59" s="534">
        <f>R57+R58</f>
        <v>1394.2440000000001</v>
      </c>
      <c r="S59" s="535">
        <f>S57+S58</f>
        <v>1394.2440000000004</v>
      </c>
      <c r="T59" s="533"/>
      <c r="U59" s="532">
        <f>U57+U58</f>
        <v>1182.3060000000005</v>
      </c>
      <c r="V59" s="533">
        <f>V57+V58</f>
        <v>830.68800000000033</v>
      </c>
      <c r="W59" s="533">
        <v>750.10600000000102</v>
      </c>
      <c r="X59" s="534">
        <f>X57+X58</f>
        <v>1215.9890000000009</v>
      </c>
      <c r="Y59" s="535">
        <f>Y57+Y58</f>
        <v>1215.9890000000005</v>
      </c>
      <c r="Z59" s="533"/>
      <c r="AA59" s="532">
        <f>AA57+AA58</f>
        <v>1249.3550000000007</v>
      </c>
      <c r="AB59" s="533">
        <f>AB57+AB58</f>
        <v>748.58800000000065</v>
      </c>
      <c r="AC59" s="533">
        <f>AC57+AC58</f>
        <v>1158.0370000000007</v>
      </c>
      <c r="AD59" s="534">
        <f>AD57+AD58</f>
        <v>1175.2820000000008</v>
      </c>
      <c r="AE59" s="535">
        <f>AE57+AE58</f>
        <v>1175.2820000000006</v>
      </c>
      <c r="AF59" s="533"/>
      <c r="AG59" s="532">
        <f>AG57+AG58</f>
        <v>2196.2780000000007</v>
      </c>
      <c r="AH59" s="533">
        <f>AH57+AH58</f>
        <v>1839.4900000000007</v>
      </c>
      <c r="AI59" s="533">
        <f>AI57+AI58</f>
        <v>1658.7190000000007</v>
      </c>
      <c r="AJ59" s="534">
        <f>AJ57+AJ58</f>
        <v>1671.1650000000006</v>
      </c>
      <c r="AK59" s="535">
        <f>AK57+AK58</f>
        <v>1671.1650000000004</v>
      </c>
      <c r="AL59" s="533"/>
      <c r="AM59" s="532">
        <f>AM57+AM58</f>
        <v>1917.4720000000004</v>
      </c>
      <c r="AN59" s="533">
        <f>AN57+AN58</f>
        <v>2023.8600000000004</v>
      </c>
      <c r="AO59" s="533">
        <f>AO57+AO58</f>
        <v>1962.0860000000005</v>
      </c>
      <c r="AP59" s="534">
        <f>AP57+AP58</f>
        <v>1890.0000000000005</v>
      </c>
      <c r="AQ59" s="535">
        <f>AQ57+AQ58</f>
        <v>1890.0000000000005</v>
      </c>
      <c r="AR59" s="533"/>
      <c r="AS59" s="532">
        <f>AS57+AS58</f>
        <v>1679.0000000000005</v>
      </c>
      <c r="AT59" s="533">
        <f>AT57+AT58</f>
        <v>1731.0000000000005</v>
      </c>
      <c r="AU59" s="533">
        <f>AU57+AU58</f>
        <v>1661.0000000000005</v>
      </c>
      <c r="AV59" s="534">
        <f>AV57+AV58</f>
        <v>1861.0000000000005</v>
      </c>
      <c r="AW59" s="535">
        <f>AW57+AW58</f>
        <v>1861.0000000000005</v>
      </c>
      <c r="AX59" s="533"/>
      <c r="AY59" s="532">
        <f>AY57+AY58</f>
        <v>8540</v>
      </c>
      <c r="AZ59" s="533">
        <f>AZ57+AZ58</f>
        <v>1912</v>
      </c>
      <c r="BA59" s="533">
        <f>BA57+BA58</f>
        <v>1559</v>
      </c>
      <c r="BB59" s="534">
        <f>BB57+BB58</f>
        <v>1424</v>
      </c>
      <c r="BC59" s="535">
        <f>BB59</f>
        <v>1424</v>
      </c>
      <c r="BD59" s="533"/>
      <c r="BE59" s="532">
        <f>BE57+BE58</f>
        <v>1583</v>
      </c>
      <c r="BF59" s="533">
        <f>BF57+BF58</f>
        <v>1696</v>
      </c>
      <c r="BG59" s="533">
        <f>BG57+BG58</f>
        <v>1686</v>
      </c>
      <c r="BH59" s="534">
        <f>BH57+BH58</f>
        <v>1541</v>
      </c>
      <c r="BI59" s="535">
        <f>BI57+BI58</f>
        <v>1541</v>
      </c>
      <c r="BJ59" s="533"/>
      <c r="BK59" s="532">
        <f>BK57+BK58</f>
        <v>919</v>
      </c>
      <c r="BL59" s="533">
        <f>BL57+BL58</f>
        <v>548</v>
      </c>
      <c r="BM59" s="533">
        <f>BM57+BM58</f>
        <v>13852</v>
      </c>
      <c r="BN59" s="534">
        <f>BN57+BN58</f>
        <v>14179</v>
      </c>
      <c r="BO59" s="535">
        <f>BO57+BO58</f>
        <v>14179</v>
      </c>
      <c r="BP59" s="533"/>
      <c r="BQ59" s="532">
        <f>BQ57+BQ58</f>
        <v>1124</v>
      </c>
      <c r="BR59" s="533">
        <f>BR57+BR58</f>
        <v>888.41051424666239</v>
      </c>
      <c r="BS59" s="533">
        <f>BS57+BS58</f>
        <v>1194.1185865191819</v>
      </c>
      <c r="BT59" s="534">
        <f>BT57+BT58</f>
        <v>1580.9081226322344</v>
      </c>
      <c r="BU59" s="535">
        <f>BU57+BU58</f>
        <v>1580.9081226322342</v>
      </c>
      <c r="BV59" s="533"/>
      <c r="BW59" s="532">
        <f>BW57+BW58</f>
        <v>1761.5934360962801</v>
      </c>
      <c r="BX59" s="533">
        <f>BX57+BX58</f>
        <v>1956.9488484835695</v>
      </c>
      <c r="BY59" s="533">
        <f>BY57+BY58</f>
        <v>1735.1003949614735</v>
      </c>
      <c r="BZ59" s="534">
        <f>BZ57+BZ58</f>
        <v>1946.0819218001975</v>
      </c>
      <c r="CA59" s="535">
        <f>CA57+CA58</f>
        <v>1946.0819218001971</v>
      </c>
      <c r="CB59" s="533"/>
      <c r="CC59" s="532">
        <f>CC57+CC58</f>
        <v>1826.7915273869864</v>
      </c>
      <c r="CD59" s="533">
        <f>CD57+CD58</f>
        <v>1158.2408479577787</v>
      </c>
      <c r="CE59" s="533">
        <f>CE57+CE58</f>
        <v>1436.0357950365105</v>
      </c>
      <c r="CF59" s="534">
        <f>CF57+CF58</f>
        <v>1337.9886773718799</v>
      </c>
      <c r="CG59" s="535">
        <f>CG57+CG58</f>
        <v>1337.9886773718799</v>
      </c>
      <c r="CH59" s="533"/>
      <c r="CI59" s="532">
        <f>CI57+CI58</f>
        <v>2122.7586613327758</v>
      </c>
      <c r="CJ59" s="533">
        <f>CJ57+CJ58</f>
        <v>2734.0350569293328</v>
      </c>
      <c r="CK59" s="533">
        <f>CK57+CK58</f>
        <v>2938.5251522561066</v>
      </c>
      <c r="CL59" s="534">
        <f>CL57+CL58</f>
        <v>4060.4401161922087</v>
      </c>
      <c r="CM59" s="535">
        <f>CM57+CM58</f>
        <v>4060.4401161922083</v>
      </c>
      <c r="CQ59"/>
      <c r="CR59"/>
      <c r="CS59"/>
      <c r="CT59"/>
      <c r="CU59"/>
      <c r="CV59"/>
      <c r="CW59" s="11"/>
    </row>
    <row r="60" spans="1:101" s="11" customFormat="1" x14ac:dyDescent="0.2">
      <c r="C60" s="536"/>
      <c r="D60" s="536"/>
      <c r="E60" s="536"/>
      <c r="F60" s="537"/>
      <c r="G60" s="536"/>
      <c r="H60" s="536"/>
      <c r="I60" s="536"/>
      <c r="J60" s="536"/>
      <c r="K60" s="536"/>
      <c r="L60" s="536"/>
      <c r="M60" s="536"/>
      <c r="N60" s="536"/>
      <c r="O60" s="536"/>
      <c r="P60" s="536"/>
      <c r="Q60" s="536"/>
      <c r="R60" s="536"/>
      <c r="S60" s="536"/>
      <c r="T60" s="536"/>
      <c r="U60" s="536"/>
      <c r="V60" s="536"/>
      <c r="W60" s="536"/>
      <c r="X60" s="536"/>
      <c r="Y60" s="536"/>
      <c r="Z60" s="536"/>
      <c r="AA60" s="536"/>
      <c r="AB60" s="536"/>
      <c r="AC60" s="536"/>
      <c r="AD60" s="536"/>
      <c r="AE60" s="536"/>
      <c r="AF60" s="536"/>
      <c r="AG60" s="536"/>
      <c r="AH60" s="536"/>
      <c r="AI60" s="536"/>
      <c r="AJ60" s="536"/>
      <c r="AK60" s="536"/>
      <c r="AL60" s="536"/>
      <c r="AM60" s="536"/>
      <c r="AN60" s="536"/>
      <c r="AO60" s="536"/>
      <c r="AP60" s="536"/>
      <c r="AQ60" s="536"/>
      <c r="BB60" s="61"/>
      <c r="CQ60"/>
      <c r="CR60"/>
      <c r="CS60"/>
      <c r="CT60"/>
      <c r="CU60"/>
      <c r="CV60"/>
      <c r="CW60" s="538"/>
    </row>
    <row r="61" spans="1:101" s="11" customFormat="1" x14ac:dyDescent="0.2">
      <c r="A61" s="539" t="s">
        <v>156</v>
      </c>
      <c r="B61" s="540"/>
      <c r="C61" s="541"/>
      <c r="D61" s="542"/>
      <c r="E61" s="542"/>
      <c r="F61" s="543"/>
      <c r="G61" s="544"/>
      <c r="H61" s="542"/>
      <c r="I61" s="541"/>
      <c r="J61" s="542"/>
      <c r="K61" s="542"/>
      <c r="L61" s="543"/>
      <c r="M61" s="544"/>
      <c r="N61" s="542"/>
      <c r="O61" s="541"/>
      <c r="P61" s="542"/>
      <c r="Q61" s="542"/>
      <c r="R61" s="543"/>
      <c r="S61" s="544"/>
      <c r="T61" s="542"/>
      <c r="U61" s="541"/>
      <c r="V61" s="542"/>
      <c r="W61" s="542"/>
      <c r="X61" s="543"/>
      <c r="Y61" s="544"/>
      <c r="Z61" s="542"/>
      <c r="AA61" s="541"/>
      <c r="AB61" s="542"/>
      <c r="AC61" s="542"/>
      <c r="AD61" s="543"/>
      <c r="AE61" s="544"/>
      <c r="AF61" s="542"/>
      <c r="AG61" s="541"/>
      <c r="AH61" s="542"/>
      <c r="AI61" s="542"/>
      <c r="AJ61" s="543"/>
      <c r="AK61" s="544"/>
      <c r="AL61" s="542"/>
      <c r="AM61" s="541"/>
      <c r="AN61" s="542"/>
      <c r="AO61" s="542"/>
      <c r="AP61" s="543"/>
      <c r="AQ61" s="544"/>
      <c r="AR61" s="542"/>
      <c r="AS61" s="541"/>
      <c r="AT61" s="542"/>
      <c r="AU61" s="542"/>
      <c r="AV61" s="543"/>
      <c r="AW61" s="544"/>
      <c r="AX61" s="542"/>
      <c r="AY61" s="541"/>
      <c r="AZ61" s="542"/>
      <c r="BA61" s="542"/>
      <c r="BB61" s="543"/>
      <c r="BC61" s="544"/>
      <c r="BD61" s="542"/>
      <c r="BE61" s="541"/>
      <c r="BF61" s="542"/>
      <c r="BG61" s="542"/>
      <c r="BH61" s="543"/>
      <c r="BI61" s="544"/>
      <c r="BJ61" s="542"/>
      <c r="BK61" s="541"/>
      <c r="BL61" s="542"/>
      <c r="BM61" s="542" t="s">
        <v>33</v>
      </c>
      <c r="BN61" s="543"/>
      <c r="BO61" s="544"/>
      <c r="BP61" s="542" t="s">
        <v>33</v>
      </c>
      <c r="BQ61" s="541" t="s">
        <v>315</v>
      </c>
      <c r="BR61" s="542"/>
      <c r="BS61" s="542"/>
      <c r="BT61" s="543"/>
      <c r="BU61" s="544"/>
      <c r="BV61" s="542"/>
      <c r="BW61" s="541"/>
      <c r="BX61" s="542"/>
      <c r="BY61" s="542"/>
      <c r="BZ61" s="543"/>
      <c r="CA61" s="544"/>
      <c r="CB61" s="542"/>
      <c r="CC61" s="541"/>
      <c r="CD61" s="542"/>
      <c r="CE61" s="542"/>
      <c r="CF61" s="543"/>
      <c r="CG61" s="544"/>
      <c r="CH61" s="542"/>
      <c r="CI61" s="541"/>
      <c r="CJ61" s="542"/>
      <c r="CK61" s="542"/>
      <c r="CL61" s="543"/>
      <c r="CM61" s="544"/>
      <c r="CN61" s="545"/>
      <c r="CO61" s="545"/>
      <c r="CQ61"/>
      <c r="CR61"/>
      <c r="CS61"/>
      <c r="CT61"/>
      <c r="CU61"/>
      <c r="CV61"/>
      <c r="CW61" s="538"/>
    </row>
    <row r="62" spans="1:101" s="11" customFormat="1" x14ac:dyDescent="0.2">
      <c r="A62" s="546" t="s">
        <v>259</v>
      </c>
      <c r="B62" s="547"/>
      <c r="C62" s="548">
        <f>C27+C30</f>
        <v>165.49299999999994</v>
      </c>
      <c r="D62" s="545">
        <f>D27+D30</f>
        <v>110.81699999999999</v>
      </c>
      <c r="E62" s="545">
        <f>E27+E30</f>
        <v>232.65799999999996</v>
      </c>
      <c r="F62" s="549">
        <f>F27+F30</f>
        <v>170.68599999999998</v>
      </c>
      <c r="G62" s="550">
        <f>G27+G30</f>
        <v>679.65400000000022</v>
      </c>
      <c r="H62" s="545"/>
      <c r="I62" s="548">
        <f>I27+I30</f>
        <v>351.95600000000002</v>
      </c>
      <c r="J62" s="545">
        <f>J27+J30</f>
        <v>68.378000000000014</v>
      </c>
      <c r="K62" s="545">
        <f>K27+K30</f>
        <v>392.40700000000015</v>
      </c>
      <c r="L62" s="549">
        <f>L27+L30</f>
        <v>273.27600000000018</v>
      </c>
      <c r="M62" s="550">
        <f>M27+M30</f>
        <v>1086.0170000000001</v>
      </c>
      <c r="N62" s="545"/>
      <c r="O62" s="548">
        <f>O27+O30</f>
        <v>173.35300000000007</v>
      </c>
      <c r="P62" s="545">
        <f>P27+P30</f>
        <v>129.21099999999996</v>
      </c>
      <c r="Q62" s="545">
        <f>Q27+Q30</f>
        <v>391.51600000000013</v>
      </c>
      <c r="R62" s="549">
        <f>R27+R30</f>
        <v>406.3370000000001</v>
      </c>
      <c r="S62" s="550">
        <f>S27+S30</f>
        <v>1100.4169999999999</v>
      </c>
      <c r="T62" s="545"/>
      <c r="U62" s="548">
        <f>U27+U30</f>
        <v>283.06400000000008</v>
      </c>
      <c r="V62" s="545">
        <f>V27+V30</f>
        <v>174.93499999999995</v>
      </c>
      <c r="W62" s="545">
        <f>W27+W30</f>
        <v>406.36300000000006</v>
      </c>
      <c r="X62" s="549">
        <f>X27+X30</f>
        <v>257.34899999999993</v>
      </c>
      <c r="Y62" s="550">
        <f>Y27+Y30</f>
        <v>1121.711</v>
      </c>
      <c r="Z62" s="545"/>
      <c r="AA62" s="548">
        <f>AA27+AA30</f>
        <v>389.90100000000007</v>
      </c>
      <c r="AB62" s="545">
        <f>AB27+AB30</f>
        <v>123.29900000000005</v>
      </c>
      <c r="AC62" s="545">
        <f>AC27+AC30</f>
        <v>340.02399999999994</v>
      </c>
      <c r="AD62" s="549">
        <f>AD27+AD30</f>
        <v>343.92099999999999</v>
      </c>
      <c r="AE62" s="550">
        <f>AE27+AE30</f>
        <v>1197.145</v>
      </c>
      <c r="AF62" s="545"/>
      <c r="AG62" s="548">
        <f>AG27+AG30</f>
        <v>209.36599999999993</v>
      </c>
      <c r="AH62" s="545">
        <f>AH27+AH30</f>
        <v>186.53700000000003</v>
      </c>
      <c r="AI62" s="545">
        <f>AI27+AI30</f>
        <v>426.55200000000008</v>
      </c>
      <c r="AJ62" s="549">
        <f>AJ27+AJ30</f>
        <v>383.47899999999998</v>
      </c>
      <c r="AK62" s="550">
        <f>AK27+AK30</f>
        <v>1205.9339999999997</v>
      </c>
      <c r="AL62" s="545"/>
      <c r="AM62" s="548">
        <f>AM27+AM30</f>
        <v>145.51999999999998</v>
      </c>
      <c r="AN62" s="545">
        <f>AN27+AN30</f>
        <v>200.09399999999999</v>
      </c>
      <c r="AO62" s="545">
        <f>AO27+AO30</f>
        <v>304.65000000000009</v>
      </c>
      <c r="AP62" s="549">
        <f>AP27+AP30</f>
        <v>544.73599999999988</v>
      </c>
      <c r="AQ62" s="550">
        <f>AQ27+AQ30</f>
        <v>1195</v>
      </c>
      <c r="AR62" s="545"/>
      <c r="AS62" s="548">
        <f>AS27+AS30</f>
        <v>256</v>
      </c>
      <c r="AT62" s="545">
        <f>AT27+AT30</f>
        <v>298</v>
      </c>
      <c r="AU62" s="545">
        <f>AU27+AU30</f>
        <v>314</v>
      </c>
      <c r="AV62" s="549">
        <f>AV27+AV30</f>
        <v>286</v>
      </c>
      <c r="AW62" s="550">
        <f>AW27+AW30</f>
        <v>1154</v>
      </c>
      <c r="AX62" s="545"/>
      <c r="AY62" s="548">
        <f>AY27+AY30</f>
        <v>181</v>
      </c>
      <c r="AZ62" s="545">
        <f>AZ27+AZ30</f>
        <v>80</v>
      </c>
      <c r="BA62" s="545">
        <f>BA27+BA30</f>
        <v>404</v>
      </c>
      <c r="BB62" s="549">
        <f>BB27+BB30</f>
        <v>468</v>
      </c>
      <c r="BC62" s="550">
        <f>BC27+BC30</f>
        <v>1133</v>
      </c>
      <c r="BD62" s="545"/>
      <c r="BE62" s="548">
        <f>BE27+BE30</f>
        <v>329</v>
      </c>
      <c r="BF62" s="545">
        <f>BF27+BF30</f>
        <v>432</v>
      </c>
      <c r="BG62" s="545">
        <f>BG27+BG30</f>
        <v>688</v>
      </c>
      <c r="BH62" s="549">
        <f>BH27+BH30</f>
        <v>417</v>
      </c>
      <c r="BI62" s="550">
        <f>BI27+BI30</f>
        <v>1866</v>
      </c>
      <c r="BJ62" s="545"/>
      <c r="BK62" s="548">
        <f>BK27+BK30</f>
        <v>203</v>
      </c>
      <c r="BL62" s="545">
        <f>BL27+BL30</f>
        <v>565</v>
      </c>
      <c r="BM62" s="545">
        <f>BM27+BM30</f>
        <v>189</v>
      </c>
      <c r="BN62" s="549">
        <f>BN27+BN30</f>
        <v>866</v>
      </c>
      <c r="BO62" s="550">
        <f>BO27+BO30</f>
        <v>1823</v>
      </c>
      <c r="BP62" s="545"/>
      <c r="BQ62" s="548">
        <f>BQ27+BQ30</f>
        <v>142</v>
      </c>
      <c r="BR62" s="545">
        <f>BR27+BR30</f>
        <v>270.6232751265851</v>
      </c>
      <c r="BS62" s="545">
        <f>BS27+BS30</f>
        <v>1011.995664666365</v>
      </c>
      <c r="BT62" s="549">
        <f>BT27+BT30</f>
        <v>1143.2267945536225</v>
      </c>
      <c r="BU62" s="550">
        <f>BU27+BU30</f>
        <v>2567.8457343465725</v>
      </c>
      <c r="BV62" s="545"/>
      <c r="BW62" s="548">
        <f>BW27+BW30</f>
        <v>946.41595013137044</v>
      </c>
      <c r="BX62" s="545">
        <f>BX27+BX30</f>
        <v>910.57419305526446</v>
      </c>
      <c r="BY62" s="545">
        <f>BY27+BY30</f>
        <v>886.75999817102843</v>
      </c>
      <c r="BZ62" s="549">
        <f>BZ27+BZ30</f>
        <v>926.97965545147395</v>
      </c>
      <c r="CA62" s="550">
        <f>CA27+CA30</f>
        <v>3670.729796809137</v>
      </c>
      <c r="CB62" s="545"/>
      <c r="CC62" s="548">
        <f>CC27+CC30</f>
        <v>1039.8010132661936</v>
      </c>
      <c r="CD62" s="545">
        <f>CD27+CD30</f>
        <v>1137.3043639259586</v>
      </c>
      <c r="CE62" s="545">
        <f>CE27+CE30</f>
        <v>1133.3292991679828</v>
      </c>
      <c r="CF62" s="549">
        <f>CF27+CF30</f>
        <v>1207.5368681659031</v>
      </c>
      <c r="CG62" s="550">
        <f>CG27+CG30</f>
        <v>4517.9715445260381</v>
      </c>
      <c r="CH62" s="545"/>
      <c r="CI62" s="548">
        <f>CI27+CI30</f>
        <v>1267.8815333872672</v>
      </c>
      <c r="CJ62" s="545">
        <f>CJ27+CJ30</f>
        <v>1326.6360301090906</v>
      </c>
      <c r="CK62" s="545">
        <f>CK27+CK30</f>
        <v>1288.0943904218993</v>
      </c>
      <c r="CL62" s="549">
        <f>CL27+CL30</f>
        <v>1405.9839256953999</v>
      </c>
      <c r="CM62" s="550">
        <f>CM27+CM30</f>
        <v>5288.5958796136565</v>
      </c>
      <c r="CN62" s="545"/>
      <c r="CO62" s="545"/>
      <c r="CQ62"/>
      <c r="CR62"/>
      <c r="CS62"/>
      <c r="CT62"/>
      <c r="CU62"/>
      <c r="CV62"/>
      <c r="CW62" s="538"/>
    </row>
    <row r="63" spans="1:101" s="11" customFormat="1" x14ac:dyDescent="0.2">
      <c r="A63" s="546" t="s">
        <v>260</v>
      </c>
      <c r="B63" s="547"/>
      <c r="C63" s="551">
        <f>C62/IS!C33</f>
        <v>0.64914235058307579</v>
      </c>
      <c r="D63" s="552">
        <f>D62/IS!D33</f>
        <v>0.43502002041297005</v>
      </c>
      <c r="E63" s="552">
        <f>E62/IS!E33</f>
        <v>0.91551501605490138</v>
      </c>
      <c r="F63" s="553">
        <f>F62/IS!F33</f>
        <v>0.67462422285373247</v>
      </c>
      <c r="G63" s="554">
        <f>G62/IS!G33</f>
        <v>2.6672972018366634</v>
      </c>
      <c r="H63" s="555"/>
      <c r="I63" s="551">
        <f>I62/IS!I33</f>
        <v>1.3904928965375558</v>
      </c>
      <c r="J63" s="552">
        <f>J62/IS!J33</f>
        <v>0.27049543490988504</v>
      </c>
      <c r="K63" s="552">
        <f>K62/IS!K33</f>
        <v>1.5593487728891156</v>
      </c>
      <c r="L63" s="553">
        <f>L62/IS!L33</f>
        <v>1.0878951579835754</v>
      </c>
      <c r="M63" s="554">
        <f>M62/IS!M33</f>
        <v>4.2979765000138519</v>
      </c>
      <c r="N63" s="555"/>
      <c r="O63" s="551">
        <f>O62/IS!O33</f>
        <v>0.69812855652790273</v>
      </c>
      <c r="P63" s="552">
        <f>P62/IS!P33</f>
        <v>0.52548293952580405</v>
      </c>
      <c r="Q63" s="552">
        <f>Q62/IS!Q33</f>
        <v>1.59349765563949</v>
      </c>
      <c r="R63" s="553">
        <f>R62/IS!R33</f>
        <v>1.6581393640637245</v>
      </c>
      <c r="S63" s="554">
        <f>S62/IS!S33</f>
        <v>4.458776003047026</v>
      </c>
      <c r="T63" s="555"/>
      <c r="U63" s="551">
        <f>U62/IS!U33</f>
        <v>1.1650402321322004</v>
      </c>
      <c r="V63" s="552">
        <f>V62/IS!V33</f>
        <v>0.72628423626708938</v>
      </c>
      <c r="W63" s="552">
        <f>W62/IS!W33</f>
        <v>1.7051221262257734</v>
      </c>
      <c r="X63" s="553">
        <f>X62/IS!X33</f>
        <v>1.0890037069009291</v>
      </c>
      <c r="Y63" s="554">
        <f>Y62/IS!Y33</f>
        <v>4.6711488489855748</v>
      </c>
      <c r="Z63" s="555"/>
      <c r="AA63" s="551">
        <f>AA62/IS!AA33</f>
        <v>1.6740055385011703</v>
      </c>
      <c r="AB63" s="552">
        <f>AB62/IS!AB33</f>
        <v>0.54686051617309872</v>
      </c>
      <c r="AC63" s="552">
        <f>AC62/IS!AC33</f>
        <v>1.5209042479435693</v>
      </c>
      <c r="AD63" s="553">
        <f>AD62/IS!AD33</f>
        <v>1.5571971257680239</v>
      </c>
      <c r="AE63" s="554">
        <f>AE62/IS!AE33</f>
        <v>5.3040956659666278</v>
      </c>
      <c r="AF63" s="555"/>
      <c r="AG63" s="551">
        <f>AG62/IS!AG33</f>
        <v>0.9620096124686397</v>
      </c>
      <c r="AH63" s="552">
        <f>AH62/IS!AH33</f>
        <v>0.88910549420170371</v>
      </c>
      <c r="AI63" s="552">
        <f>AI62/IS!AI33</f>
        <v>2.0778021335671495</v>
      </c>
      <c r="AJ63" s="553">
        <f>AJ62/IS!AJ33</f>
        <v>1.8942940836498896</v>
      </c>
      <c r="AK63" s="554">
        <f>AK62/IS!AK33</f>
        <v>5.7757811022000407</v>
      </c>
      <c r="AL63" s="555"/>
      <c r="AM63" s="551">
        <f>AM62/IS!AM33</f>
        <v>0.7291677105777421</v>
      </c>
      <c r="AN63" s="552">
        <f>AN62/IS!AN33</f>
        <v>1.0098464240472789</v>
      </c>
      <c r="AO63" s="552">
        <f>AO62/IS!AO33</f>
        <v>1.5330693089236564</v>
      </c>
      <c r="AP63" s="553">
        <f>AP62/IS!AP33</f>
        <v>2.7424935054473685</v>
      </c>
      <c r="AQ63" s="554">
        <f>AQ62/IS!AQ33</f>
        <v>6.012124871078913</v>
      </c>
      <c r="AR63" s="555"/>
      <c r="AS63" s="551">
        <f>AS62/IS!AS33</f>
        <v>1.2922113977083438</v>
      </c>
      <c r="AT63" s="552">
        <f>AT62/IS!AT33</f>
        <v>1.5089524426800616</v>
      </c>
      <c r="AU63" s="552">
        <f>AU62/IS!AU33</f>
        <v>1.5938681759346209</v>
      </c>
      <c r="AV63" s="553">
        <f>AV62/IS!AV33</f>
        <v>1.4557670772676372</v>
      </c>
      <c r="AW63" s="554">
        <f>AW62/IS!AW33</f>
        <v>5.8368612455679809</v>
      </c>
      <c r="AX63" s="555"/>
      <c r="AY63" s="551">
        <f>AY62/IS!AY33</f>
        <v>0.91878172588832485</v>
      </c>
      <c r="AZ63" s="552">
        <f>AZ62/IS!AZ33</f>
        <v>0.40609137055837563</v>
      </c>
      <c r="BA63" s="552">
        <f>BA62/IS!BA33</f>
        <v>1.8796992481203008</v>
      </c>
      <c r="BB63" s="553">
        <f>BB62/IS!BB33</f>
        <v>2.1694890111673057</v>
      </c>
      <c r="BC63" s="554">
        <f>BC62/IS!BC33</f>
        <v>5.4778492793703135</v>
      </c>
      <c r="BD63" s="555"/>
      <c r="BE63" s="551">
        <f>BE62/IS!BE33</f>
        <v>1.5210777922642329</v>
      </c>
      <c r="BF63" s="552">
        <f>BF62/IS!BF33</f>
        <v>1.9950308952701141</v>
      </c>
      <c r="BG63" s="552">
        <f>BG62/IS!BG33</f>
        <v>3.1650810591980565</v>
      </c>
      <c r="BH63" s="553">
        <f>BH62/IS!BH33</f>
        <v>1.9135813799812773</v>
      </c>
      <c r="BI63" s="554">
        <f>BI62/IS!BI33</f>
        <v>8.5978896926692165</v>
      </c>
      <c r="BJ63" s="555"/>
      <c r="BK63" s="551">
        <f>BK62/IS!BK33</f>
        <v>0.93230886520099754</v>
      </c>
      <c r="BL63" s="552">
        <f>BL62/IS!BL33</f>
        <v>2.5933371889142864</v>
      </c>
      <c r="BM63" s="552">
        <f>BM62/IS!BM33</f>
        <v>0.86624133758662414</v>
      </c>
      <c r="BN63" s="553">
        <f>BN62/IS!BN33</f>
        <v>3.9609938160927953</v>
      </c>
      <c r="BO63" s="554">
        <f>BO62/IS!BO33</f>
        <v>8.3583499250935045</v>
      </c>
      <c r="BP63" s="555"/>
      <c r="BQ63" s="551">
        <f>BQ62/IS!BQ33</f>
        <v>0.6484107088224953</v>
      </c>
      <c r="BR63" s="552">
        <f>BR62/IS!BR33</f>
        <v>0.98394320392195922</v>
      </c>
      <c r="BS63" s="552">
        <f>BS62/IS!BS33</f>
        <v>3.6780983699784064</v>
      </c>
      <c r="BT63" s="553">
        <f>BT62/IS!BT33</f>
        <v>4.1519953685571664</v>
      </c>
      <c r="BU63" s="554">
        <f>BU62/IS!BU33</f>
        <v>9.8335775459158388</v>
      </c>
      <c r="BV63" s="555"/>
      <c r="BW63" s="551">
        <f>BW62/IS!BW33</f>
        <v>3.4395702315692329</v>
      </c>
      <c r="BX63" s="552">
        <f>BX62/IS!BX33</f>
        <v>3.303246570270753</v>
      </c>
      <c r="BY63" s="552">
        <f>BY62/IS!BY33</f>
        <v>3.2109504702540721</v>
      </c>
      <c r="BZ63" s="553">
        <f>BZ62/IS!BZ33</f>
        <v>3.3504336751155765</v>
      </c>
      <c r="CA63" s="554">
        <f>CA62/IS!CA33</f>
        <v>13.303871234150652</v>
      </c>
      <c r="CB63" s="555"/>
      <c r="CC63" s="551">
        <f>CC62/IS!CC33</f>
        <v>3.5918267178844969</v>
      </c>
      <c r="CD63" s="552">
        <f>CD62/IS!CD33</f>
        <v>3.9176471999163791</v>
      </c>
      <c r="CE63" s="552">
        <f>CE62/IS!CE33</f>
        <v>3.8993502912013875</v>
      </c>
      <c r="CF63" s="553">
        <f>CF62/IS!CF33</f>
        <v>4.1538128689791192</v>
      </c>
      <c r="CG63" s="554">
        <f>CG62/IS!CG33</f>
        <v>15.563848391011277</v>
      </c>
      <c r="CH63" s="555"/>
      <c r="CI63" s="551">
        <f>CI62/IS!CI33</f>
        <v>4.3491352755549908</v>
      </c>
      <c r="CJ63" s="552">
        <f>CJ62/IS!CJ33</f>
        <v>4.5349204931545053</v>
      </c>
      <c r="CK63" s="552">
        <f>CK62/IS!CK33</f>
        <v>4.3955513501995975</v>
      </c>
      <c r="CL63" s="553">
        <f>CL62/IS!CL33</f>
        <v>4.7895542334277019</v>
      </c>
      <c r="CM63" s="554">
        <f>CM62/IS!CM33</f>
        <v>18.070475949094085</v>
      </c>
      <c r="CN63" s="555"/>
      <c r="CO63" s="555"/>
      <c r="CQ63"/>
      <c r="CR63"/>
      <c r="CS63"/>
      <c r="CT63"/>
      <c r="CU63"/>
      <c r="CV63"/>
      <c r="CW63" s="538"/>
    </row>
    <row r="64" spans="1:101" s="11" customFormat="1" x14ac:dyDescent="0.2">
      <c r="A64" s="546" t="s">
        <v>261</v>
      </c>
      <c r="B64" s="547"/>
      <c r="C64" s="556">
        <f>C63/C65*4</f>
        <v>3.626164336331307E-2</v>
      </c>
      <c r="D64" s="557">
        <f>D63/D65*4</f>
        <v>2.317948637170807E-2</v>
      </c>
      <c r="E64" s="557">
        <f>E63/E65*4</f>
        <v>4.7455335212735796E-2</v>
      </c>
      <c r="F64" s="558">
        <f>F63/F65*4</f>
        <v>3.4947584502557839E-2</v>
      </c>
      <c r="G64" s="559">
        <f>G63/G65</f>
        <v>3.5437958179156827E-2</v>
      </c>
      <c r="H64" s="557"/>
      <c r="I64" s="556">
        <f>I63/I65*4</f>
        <v>6.7259122388102846E-2</v>
      </c>
      <c r="J64" s="557">
        <f>J63/J65*4</f>
        <v>1.2233283858806314E-2</v>
      </c>
      <c r="K64" s="557">
        <f>K63/K65*4</f>
        <v>7.3952214620031945E-2</v>
      </c>
      <c r="L64" s="558">
        <f>L63/L65*4</f>
        <v>5.1609559909605335E-2</v>
      </c>
      <c r="M64" s="559">
        <f>M63/M65</f>
        <v>5.0618688807264653E-2</v>
      </c>
      <c r="N64" s="557"/>
      <c r="O64" s="556">
        <f>O63/O65*4</f>
        <v>4.1008626883465377E-2</v>
      </c>
      <c r="P64" s="557">
        <f>P63/P65*4</f>
        <v>3.0623356510732818E-2</v>
      </c>
      <c r="Q64" s="557">
        <f>Q63/Q65*4</f>
        <v>9.6090550233952812E-2</v>
      </c>
      <c r="R64" s="558">
        <f>R63/R65*4</f>
        <v>9.6211177647551147E-2</v>
      </c>
      <c r="S64" s="559">
        <f>S63/S65</f>
        <v>6.5570050268837526E-2</v>
      </c>
      <c r="T64" s="557"/>
      <c r="U64" s="556">
        <f>U63/U65*4</f>
        <v>6.4045095817891515E-2</v>
      </c>
      <c r="V64" s="557">
        <f>V63/V65*4</f>
        <v>3.7446457726864259E-2</v>
      </c>
      <c r="W64" s="557">
        <f>W63/W65*4</f>
        <v>9.2361738494399589E-2</v>
      </c>
      <c r="X64" s="558">
        <f>X63/X65*4</f>
        <v>6.1783617174816452E-2</v>
      </c>
      <c r="Y64" s="559">
        <f>Y63/Y65</f>
        <v>6.3403832191750137E-2</v>
      </c>
      <c r="Z64" s="557"/>
      <c r="AA64" s="556">
        <f>AA63/AA65*4</f>
        <v>8.4970357957844522E-2</v>
      </c>
      <c r="AB64" s="557">
        <f>AB63/AB65*4</f>
        <v>2.6985899909801988E-2</v>
      </c>
      <c r="AC64" s="557">
        <f>AC63/AC65*4</f>
        <v>7.126389111390577E-2</v>
      </c>
      <c r="AD64" s="558">
        <f>AD63/AD65*4</f>
        <v>7.7169855231131901E-2</v>
      </c>
      <c r="AE64" s="559">
        <f>AE63/AE65</f>
        <v>6.510132917383249E-2</v>
      </c>
      <c r="AF64" s="557"/>
      <c r="AG64" s="556">
        <f>AG63/AG65*4</f>
        <v>5.2189939721445235E-2</v>
      </c>
      <c r="AH64" s="557">
        <f>AH63/AH65*4</f>
        <v>4.6010813999510757E-2</v>
      </c>
      <c r="AI64" s="557">
        <f>AI63/AI65*4</f>
        <v>0.11053563111180706</v>
      </c>
      <c r="AJ64" s="558">
        <f>AJ63/AJ65*4</f>
        <v>9.9343653677182481E-2</v>
      </c>
      <c r="AK64" s="559">
        <f>AK63/AK65</f>
        <v>7.6475438736856E-2</v>
      </c>
      <c r="AL64" s="557"/>
      <c r="AM64" s="556">
        <f>AM63/AM65*4</f>
        <v>3.7834543880145538E-2</v>
      </c>
      <c r="AN64" s="557">
        <f>AN63/AN65*4</f>
        <v>4.594605030103488E-2</v>
      </c>
      <c r="AO64" s="557">
        <f>AO63/AO65*4</f>
        <v>6.2737707329789325E-2</v>
      </c>
      <c r="AP64" s="558">
        <f>AP63/AP65*4</f>
        <v>0.10933024384797897</v>
      </c>
      <c r="AQ64" s="559">
        <f>AQ63/AQ65</f>
        <v>6.6265962961175498E-2</v>
      </c>
      <c r="AR64" s="557"/>
      <c r="AS64" s="556">
        <f>AS63/AS65*4</f>
        <v>4.8641593742266807E-2</v>
      </c>
      <c r="AT64" s="557">
        <f>AT63/AT65*4</f>
        <v>5.3443937798568271E-2</v>
      </c>
      <c r="AU64" s="557">
        <f>AU63/AU65*4</f>
        <v>5.4858657035784332E-2</v>
      </c>
      <c r="AV64" s="558">
        <f>AV63/AV65*4</f>
        <v>4.9822313006757615E-2</v>
      </c>
      <c r="AW64" s="559">
        <f>AW63/AW65</f>
        <v>5.1653640609250803E-2</v>
      </c>
      <c r="AX64" s="557"/>
      <c r="AY64" s="556" t="e">
        <f>AY63/AY65*4</f>
        <v>#VALUE!</v>
      </c>
      <c r="AZ64" s="557">
        <f>AZ63/AZ65*4</f>
        <v>1.1319620085250889E-2</v>
      </c>
      <c r="BA64" s="557">
        <f>BA63/BA65*4</f>
        <v>5.312546669578818E-2</v>
      </c>
      <c r="BB64" s="558">
        <f>BB63/BB65*4</f>
        <v>5.8863129720172838E-2</v>
      </c>
      <c r="BC64" s="559">
        <f>BC63/BC65</f>
        <v>3.8000591139132595E-2</v>
      </c>
      <c r="BD64" s="557"/>
      <c r="BE64" s="556">
        <f>BE63/BE65*4</f>
        <v>4.1236985511571324E-2</v>
      </c>
      <c r="BF64" s="557">
        <f>BF63/BF65*4</f>
        <v>5.5345047929476018E-2</v>
      </c>
      <c r="BG64" s="557">
        <f>BG63/BG65*4</f>
        <v>7.9769591633479978E-2</v>
      </c>
      <c r="BH64" s="558">
        <f>BH63/BH65*4</f>
        <v>4.3669403728083353E-2</v>
      </c>
      <c r="BI64" s="559">
        <f>BI63/BI65</f>
        <v>5.4962856132320312E-2</v>
      </c>
      <c r="BJ64" s="557"/>
      <c r="BK64" s="556">
        <f>BK63/BK65*4</f>
        <v>2.1627750167848445E-2</v>
      </c>
      <c r="BL64" s="557">
        <f>BL63/BL65*4</f>
        <v>5.8058441052051456E-2</v>
      </c>
      <c r="BM64" s="557">
        <f>BM63/BM65*4</f>
        <v>1.859823211221721E-2</v>
      </c>
      <c r="BN64" s="558">
        <f>BN63/BN65*4</f>
        <v>7.9176329340718513E-2</v>
      </c>
      <c r="BO64" s="559">
        <f>BO63/BO65</f>
        <v>4.5332486253002291E-2</v>
      </c>
      <c r="BP64" s="557"/>
      <c r="BQ64" s="556">
        <f>BQ63/BQ65*4</f>
        <v>1.2082231531425488E-2</v>
      </c>
      <c r="BR64" s="557">
        <f>BR63/BR65*4</f>
        <v>1.8005902301361752E-2</v>
      </c>
      <c r="BS64" s="557">
        <f>BS63/BS65*4</f>
        <v>6.6102225759661917E-2</v>
      </c>
      <c r="BT64" s="558">
        <f>BT63/BT65*4</f>
        <v>7.328202931250169E-2</v>
      </c>
      <c r="BU64" s="559">
        <f>BU63/BU65</f>
        <v>4.4574002274170021E-2</v>
      </c>
      <c r="BV64" s="557"/>
      <c r="BW64" s="556">
        <f>BW63/BW65*4</f>
        <v>5.962009893517118E-2</v>
      </c>
      <c r="BX64" s="557">
        <f>BX63/BX65*4</f>
        <v>5.6231204634034519E-2</v>
      </c>
      <c r="BY64" s="557">
        <f>BY63/BY65*4</f>
        <v>5.3680664739319588E-2</v>
      </c>
      <c r="BZ64" s="558">
        <f>BZ63/BZ65*4</f>
        <v>5.5008928769082907E-2</v>
      </c>
      <c r="CA64" s="559">
        <f>CA63/CA65</f>
        <v>5.6097002089051391E-2</v>
      </c>
      <c r="CB64" s="557"/>
      <c r="CC64" s="556">
        <f>CC63/CC65*4</f>
        <v>5.7915581757329762E-2</v>
      </c>
      <c r="CD64" s="557">
        <f>CD63/CD65*4</f>
        <v>6.2037352251498853E-2</v>
      </c>
      <c r="CE64" s="557">
        <f>CE63/CE65*4</f>
        <v>6.0641238908169595E-2</v>
      </c>
      <c r="CF64" s="558">
        <f>CF63/CF65*4</f>
        <v>6.3441088496156206E-2</v>
      </c>
      <c r="CG64" s="559">
        <f>CG63/CG65</f>
        <v>6.104781818679892E-2</v>
      </c>
      <c r="CH64" s="557"/>
      <c r="CI64" s="556">
        <f>CI63/CI65*4</f>
        <v>6.5234073474831858E-2</v>
      </c>
      <c r="CJ64" s="557">
        <f>CJ63/CJ65*4</f>
        <v>6.6801950539580865E-2</v>
      </c>
      <c r="CK64" s="557">
        <f>CK63/CK65*4</f>
        <v>6.3588811529326425E-2</v>
      </c>
      <c r="CL64" s="558">
        <f>CL63/CL65*4</f>
        <v>6.8047210926958382E-2</v>
      </c>
      <c r="CM64" s="559">
        <f>CM63/CM65</f>
        <v>6.5934737665963528E-2</v>
      </c>
      <c r="CN64" s="557"/>
      <c r="CO64" s="557"/>
      <c r="CQ64"/>
      <c r="CR64"/>
      <c r="CS64"/>
      <c r="CT64"/>
      <c r="CU64"/>
      <c r="CV64"/>
      <c r="CW64" s="538"/>
    </row>
    <row r="65" spans="1:101" s="11" customFormat="1" hidden="1" outlineLevel="1" x14ac:dyDescent="0.2">
      <c r="A65" s="560" t="s">
        <v>262</v>
      </c>
      <c r="B65" s="5"/>
      <c r="C65" s="561">
        <v>71.606501015873036</v>
      </c>
      <c r="D65" s="562">
        <v>75.069829147541014</v>
      </c>
      <c r="E65" s="562">
        <v>77.168563825396859</v>
      </c>
      <c r="F65" s="563">
        <v>77.215548079365107</v>
      </c>
      <c r="G65" s="564">
        <v>75.266672767999921</v>
      </c>
      <c r="H65" s="565"/>
      <c r="I65" s="561">
        <v>82.694679750000049</v>
      </c>
      <c r="J65" s="562">
        <v>88.445731508196744</v>
      </c>
      <c r="K65" s="562">
        <v>84.343587593749987</v>
      </c>
      <c r="L65" s="563">
        <v>84.317336546875012</v>
      </c>
      <c r="M65" s="564">
        <v>84.90888644664021</v>
      </c>
      <c r="N65" s="565"/>
      <c r="O65" s="561">
        <v>68.095774921875005</v>
      </c>
      <c r="P65" s="562">
        <v>68.638189852459021</v>
      </c>
      <c r="Q65" s="562">
        <v>66.333168111111121</v>
      </c>
      <c r="R65" s="563">
        <v>68.93749373437501</v>
      </c>
      <c r="S65" s="564">
        <v>68.000191928571397</v>
      </c>
      <c r="T65" s="565"/>
      <c r="U65" s="561">
        <v>72.763743562500039</v>
      </c>
      <c r="V65" s="562">
        <v>77.581088343750039</v>
      </c>
      <c r="W65" s="562">
        <v>73.845388968253971</v>
      </c>
      <c r="X65" s="563">
        <v>70.50436712500003</v>
      </c>
      <c r="Y65" s="564">
        <v>73.672973501960769</v>
      </c>
      <c r="Z65" s="565"/>
      <c r="AA65" s="561">
        <v>78.804212609375028</v>
      </c>
      <c r="AB65" s="562">
        <v>81.058703693548438</v>
      </c>
      <c r="AC65" s="562">
        <v>85.367454634920662</v>
      </c>
      <c r="AD65" s="563">
        <v>80.715306312500047</v>
      </c>
      <c r="AE65" s="564">
        <v>81.474460403161956</v>
      </c>
      <c r="AF65" s="565"/>
      <c r="AG65" s="561">
        <v>73.731421619047609</v>
      </c>
      <c r="AH65" s="562">
        <v>77.29535010714288</v>
      </c>
      <c r="AI65" s="562">
        <v>75.190311492063501</v>
      </c>
      <c r="AJ65" s="563">
        <v>76.272374269841308</v>
      </c>
      <c r="AK65" s="564">
        <v>75.524654681274868</v>
      </c>
      <c r="AL65" s="565"/>
      <c r="AM65" s="561">
        <v>77.090154741935507</v>
      </c>
      <c r="AN65" s="562">
        <v>87.915841943396231</v>
      </c>
      <c r="AO65" s="562">
        <v>97.744681734375035</v>
      </c>
      <c r="AP65" s="563">
        <v>100.33796354687505</v>
      </c>
      <c r="AQ65" s="564">
        <v>90.727193907999961</v>
      </c>
      <c r="AR65" s="566"/>
      <c r="AS65" s="561">
        <v>106.26390282812504</v>
      </c>
      <c r="AT65" s="562">
        <v>112.9372201851852</v>
      </c>
      <c r="AU65" s="562">
        <v>116.21634666666665</v>
      </c>
      <c r="AV65" s="563">
        <v>116.876715625</v>
      </c>
      <c r="AW65" s="564">
        <v>112.99999722619049</v>
      </c>
      <c r="AX65" s="566"/>
      <c r="AY65" s="561" t="str">
        <f>_xll.ThomsonONEAddinShim.SpreadsheetFormulas.TF("BDX","TF.PR.PriceAverageOverRange(sdate=20141001,edate=20141231)")</f>
        <v>Manual Calculation</v>
      </c>
      <c r="AZ65" s="567">
        <v>143.5</v>
      </c>
      <c r="BA65" s="567">
        <v>141.52905301587305</v>
      </c>
      <c r="BB65" s="568">
        <v>147.42600479999999</v>
      </c>
      <c r="BC65" s="569">
        <f>AVERAGE(AY65:BB65)</f>
        <v>144.15168593862435</v>
      </c>
      <c r="BD65" s="566"/>
      <c r="BE65" s="570">
        <v>147.54500343750007</v>
      </c>
      <c r="BF65" s="567">
        <v>144.18857476190479</v>
      </c>
      <c r="BG65" s="567">
        <v>158.71115769230767</v>
      </c>
      <c r="BH65" s="568">
        <v>175.27891078125003</v>
      </c>
      <c r="BI65" s="569">
        <f>AVERAGE(BE65:BH65)</f>
        <v>156.43091166824064</v>
      </c>
      <c r="BJ65" s="566"/>
      <c r="BK65" s="570">
        <v>172.42826608695651</v>
      </c>
      <c r="BL65" s="567">
        <v>178.67081112903239</v>
      </c>
      <c r="BM65" s="567">
        <v>186.30616767441862</v>
      </c>
      <c r="BN65" s="568">
        <v>200.11</v>
      </c>
      <c r="BO65" s="569">
        <f>AVERAGE(BK65:BN65)</f>
        <v>184.37881122260188</v>
      </c>
      <c r="BP65" s="566"/>
      <c r="BQ65" s="570">
        <v>214.66587761904756</v>
      </c>
      <c r="BR65" s="565">
        <f>BQ65*(1+7.5%)^0.25</f>
        <v>218.58237092568152</v>
      </c>
      <c r="BS65" s="565">
        <f>BR65*(1+7.5%)^0.25</f>
        <v>222.57031909040023</v>
      </c>
      <c r="BT65" s="572">
        <f>BS65*(1+7.5%)^0.25</f>
        <v>226.63102577858601</v>
      </c>
      <c r="BU65" s="569">
        <f>AVERAGE(BQ65:BT65)</f>
        <v>220.61239835342883</v>
      </c>
      <c r="BV65" s="566"/>
      <c r="BW65" s="571">
        <f>BT65*(1+7.5%)^0.25</f>
        <v>230.76581844047604</v>
      </c>
      <c r="BX65" s="565">
        <f>BW65*(1+7.5%)^0.25</f>
        <v>234.97604874510753</v>
      </c>
      <c r="BY65" s="565">
        <f>BX65*(1+7.5%)^0.25</f>
        <v>239.26309302218016</v>
      </c>
      <c r="BZ65" s="572">
        <f>BY65*(1+7.5%)^0.25</f>
        <v>243.62835271197986</v>
      </c>
      <c r="CA65" s="569">
        <f>AVERAGE(BW65:BZ65)</f>
        <v>237.15832822993593</v>
      </c>
      <c r="CB65" s="566"/>
      <c r="CC65" s="571">
        <f>BZ65*(1+7.5%)^0.25</f>
        <v>248.07325482351163</v>
      </c>
      <c r="CD65" s="565">
        <f>CC65*(1+7.5%)^0.25</f>
        <v>252.59925240099051</v>
      </c>
      <c r="CE65" s="565">
        <f>CD65*(1+7.5%)^0.25</f>
        <v>257.20782499884359</v>
      </c>
      <c r="CF65" s="572">
        <f>CE65*(1+7.5%)^0.25</f>
        <v>261.90047916537827</v>
      </c>
      <c r="CG65" s="569">
        <f>AVERAGE(CC65:CF65)</f>
        <v>254.94520284718101</v>
      </c>
      <c r="CH65" s="566"/>
      <c r="CI65" s="571">
        <f>CF65*(1+7.5%)^0.25</f>
        <v>266.67874893527494</v>
      </c>
      <c r="CJ65" s="565">
        <f>CI65*(1+7.5%)^0.25</f>
        <v>271.54419633106471</v>
      </c>
      <c r="CK65" s="565">
        <f>CJ65*(1+7.5%)^0.25</f>
        <v>276.49841187375677</v>
      </c>
      <c r="CL65" s="572">
        <f>CK65*(1+7.5%)^0.25</f>
        <v>281.54301510278157</v>
      </c>
      <c r="CM65" s="569">
        <f>AVERAGE(CI65:CL65)</f>
        <v>274.06609306071948</v>
      </c>
      <c r="CN65" s="545"/>
      <c r="CO65" s="545"/>
      <c r="CQ65"/>
      <c r="CR65"/>
      <c r="CS65"/>
      <c r="CT65"/>
      <c r="CU65"/>
      <c r="CV65"/>
    </row>
    <row r="66" spans="1:101" s="11" customFormat="1" collapsed="1" x14ac:dyDescent="0.2">
      <c r="A66" s="172"/>
      <c r="B66" s="172"/>
      <c r="C66" s="172"/>
      <c r="D66" s="172"/>
      <c r="E66" s="172"/>
      <c r="F66" s="172"/>
      <c r="G66" s="172"/>
      <c r="H66" s="172"/>
      <c r="I66" s="172"/>
      <c r="J66" s="172"/>
      <c r="K66" s="172"/>
      <c r="L66" s="172"/>
      <c r="M66" s="172"/>
      <c r="N66" s="172"/>
      <c r="O66" s="172"/>
      <c r="P66" s="172"/>
      <c r="Q66" s="172"/>
      <c r="R66" s="172"/>
      <c r="S66" s="172"/>
      <c r="T66" s="172"/>
      <c r="U66" s="172"/>
      <c r="V66" s="172"/>
      <c r="W66" s="172"/>
      <c r="X66" s="172"/>
      <c r="Y66" s="172"/>
      <c r="Z66" s="172"/>
      <c r="AA66" s="172"/>
      <c r="AB66" s="172"/>
      <c r="AC66" s="172"/>
      <c r="AD66" s="172"/>
      <c r="AE66" s="172"/>
      <c r="AF66" s="172"/>
      <c r="AG66" s="172"/>
      <c r="AH66" s="172"/>
      <c r="AI66" s="172"/>
      <c r="AJ66" s="172"/>
      <c r="AK66" s="172"/>
      <c r="AL66" s="172"/>
      <c r="AM66" s="172"/>
      <c r="AN66" s="172"/>
      <c r="AO66" s="172"/>
      <c r="AP66" s="172"/>
      <c r="AQ66" s="172"/>
      <c r="AR66" s="172"/>
      <c r="AS66" s="172"/>
      <c r="AT66" s="172"/>
      <c r="AU66" s="172"/>
      <c r="AV66" s="172"/>
      <c r="AW66" s="172"/>
      <c r="AX66" s="172"/>
      <c r="AY66" s="172"/>
      <c r="AZ66" s="172"/>
      <c r="BA66" s="172"/>
      <c r="BB66" s="172"/>
      <c r="BC66" s="172"/>
      <c r="BD66" s="172"/>
      <c r="BE66" s="172"/>
      <c r="BF66" s="172"/>
      <c r="BG66" s="172"/>
      <c r="BH66" s="172"/>
      <c r="BI66" s="172"/>
      <c r="BJ66" s="172"/>
      <c r="BK66" s="172"/>
      <c r="BL66" s="172"/>
      <c r="BM66" s="172"/>
      <c r="BN66" s="172"/>
      <c r="BO66" s="172"/>
      <c r="BP66" s="172"/>
      <c r="BQ66" s="172"/>
      <c r="BR66" s="172"/>
      <c r="BS66" s="172"/>
      <c r="BT66" s="172"/>
      <c r="BU66" s="172"/>
      <c r="BV66" s="172"/>
      <c r="BW66" s="172"/>
      <c r="BX66" s="172"/>
      <c r="BY66" s="172"/>
      <c r="BZ66" s="172"/>
      <c r="CA66" s="172"/>
      <c r="CB66" s="172"/>
      <c r="CC66" s="172"/>
      <c r="CD66" s="172"/>
      <c r="CE66" s="172"/>
      <c r="CF66" s="172"/>
      <c r="CG66" s="172"/>
      <c r="CH66" s="172"/>
      <c r="CI66" s="172"/>
      <c r="CJ66" s="172"/>
      <c r="CK66" s="172"/>
      <c r="CL66" s="172"/>
      <c r="CM66" s="172"/>
      <c r="CQ66"/>
      <c r="CR66"/>
      <c r="CS66"/>
      <c r="CT66"/>
      <c r="CU66"/>
      <c r="CV66"/>
    </row>
    <row r="67" spans="1:101" s="11" customFormat="1" x14ac:dyDescent="0.2">
      <c r="A67" s="573" t="s">
        <v>263</v>
      </c>
      <c r="B67" s="214"/>
      <c r="C67" s="219"/>
      <c r="D67" s="214"/>
      <c r="E67" s="214"/>
      <c r="F67" s="217"/>
      <c r="G67" s="218"/>
      <c r="H67" s="214"/>
      <c r="I67" s="219"/>
      <c r="J67" s="214"/>
      <c r="K67" s="214"/>
      <c r="L67" s="217"/>
      <c r="M67" s="218"/>
      <c r="N67" s="214"/>
      <c r="O67" s="219"/>
      <c r="P67" s="214"/>
      <c r="Q67" s="214"/>
      <c r="R67" s="217"/>
      <c r="S67" s="218"/>
      <c r="T67" s="214"/>
      <c r="U67" s="219"/>
      <c r="V67" s="214"/>
      <c r="W67" s="214"/>
      <c r="X67" s="217"/>
      <c r="Y67" s="218"/>
      <c r="Z67" s="214"/>
      <c r="AA67" s="219"/>
      <c r="AB67" s="214"/>
      <c r="AC67" s="214"/>
      <c r="AD67" s="217"/>
      <c r="AE67" s="218"/>
      <c r="AF67" s="214"/>
      <c r="AG67" s="219"/>
      <c r="AH67" s="214"/>
      <c r="AI67" s="214"/>
      <c r="AJ67" s="217"/>
      <c r="AK67" s="218"/>
      <c r="AL67" s="214"/>
      <c r="AM67" s="219"/>
      <c r="AN67" s="214"/>
      <c r="AO67" s="214"/>
      <c r="AP67" s="217"/>
      <c r="AQ67" s="218"/>
      <c r="AR67" s="214"/>
      <c r="AS67" s="219"/>
      <c r="AT67" s="214"/>
      <c r="AU67" s="214"/>
      <c r="AV67" s="217"/>
      <c r="AW67" s="218"/>
      <c r="AX67" s="214"/>
      <c r="AY67" s="219"/>
      <c r="AZ67" s="214"/>
      <c r="BA67" s="214"/>
      <c r="BB67" s="217"/>
      <c r="BC67" s="218"/>
      <c r="BD67" s="214"/>
      <c r="BE67" s="219"/>
      <c r="BF67" s="214"/>
      <c r="BG67" s="214"/>
      <c r="BH67" s="217"/>
      <c r="BI67" s="218"/>
      <c r="BJ67" s="214"/>
      <c r="BK67" s="219"/>
      <c r="BL67" s="214"/>
      <c r="BM67" s="214"/>
      <c r="BN67" s="217"/>
      <c r="BO67" s="218"/>
      <c r="BP67" s="214"/>
      <c r="BQ67" s="219"/>
      <c r="BR67" s="214"/>
      <c r="BS67" s="214"/>
      <c r="BT67" s="217"/>
      <c r="BU67" s="218"/>
      <c r="BV67" s="214"/>
      <c r="BW67" s="219"/>
      <c r="BX67" s="214"/>
      <c r="BY67" s="214"/>
      <c r="BZ67" s="217"/>
      <c r="CA67" s="218"/>
      <c r="CB67" s="214"/>
      <c r="CC67" s="219"/>
      <c r="CD67" s="214"/>
      <c r="CE67" s="214"/>
      <c r="CF67" s="217"/>
      <c r="CG67" s="218"/>
      <c r="CH67" s="214"/>
      <c r="CI67" s="219"/>
      <c r="CJ67" s="214"/>
      <c r="CK67" s="214"/>
      <c r="CL67" s="217"/>
      <c r="CM67" s="218"/>
      <c r="CQ67"/>
      <c r="CR67"/>
      <c r="CS67"/>
      <c r="CT67"/>
      <c r="CU67"/>
      <c r="CV67"/>
    </row>
    <row r="68" spans="1:101" s="11" customFormat="1" hidden="1" outlineLevel="1" x14ac:dyDescent="0.2">
      <c r="A68" s="233" t="s">
        <v>264</v>
      </c>
      <c r="B68" s="61">
        <f t="shared" ref="B68:G68" si="24">B46</f>
        <v>0</v>
      </c>
      <c r="C68" s="291">
        <f t="shared" si="24"/>
        <v>0</v>
      </c>
      <c r="D68" s="292">
        <f t="shared" si="24"/>
        <v>-120.14</v>
      </c>
      <c r="E68" s="292">
        <f t="shared" si="24"/>
        <v>-59.944000000000003</v>
      </c>
      <c r="F68" s="293">
        <f t="shared" si="24"/>
        <v>-59.725999999999999</v>
      </c>
      <c r="G68" s="232">
        <f t="shared" si="24"/>
        <v>-239.81</v>
      </c>
      <c r="H68" s="292"/>
      <c r="I68" s="291">
        <f>I46</f>
        <v>0</v>
      </c>
      <c r="J68" s="292">
        <f>J46</f>
        <v>-139.43799999999999</v>
      </c>
      <c r="K68" s="292">
        <f>K46</f>
        <v>-69.558000000000021</v>
      </c>
      <c r="L68" s="293">
        <f>L46</f>
        <v>-69.509999999999962</v>
      </c>
      <c r="M68" s="232">
        <f>M46</f>
        <v>-278.50599999999997</v>
      </c>
      <c r="N68" s="292"/>
      <c r="O68" s="291">
        <f>O46</f>
        <v>-82.102000000000004</v>
      </c>
      <c r="P68" s="292">
        <f>P46</f>
        <v>-76.603999999999985</v>
      </c>
      <c r="Q68" s="292">
        <f>Q46</f>
        <v>-79.201999999999998</v>
      </c>
      <c r="R68" s="293">
        <f>R46</f>
        <v>-78.969000000000023</v>
      </c>
      <c r="S68" s="232">
        <f>S46</f>
        <v>-316.87700000000001</v>
      </c>
      <c r="T68" s="292"/>
      <c r="U68" s="291">
        <f>U46</f>
        <v>-89.888999999999996</v>
      </c>
      <c r="V68" s="292">
        <f>V46</f>
        <v>-84.343000000000004</v>
      </c>
      <c r="W68" s="292">
        <f>W46</f>
        <v>-86.111999999999981</v>
      </c>
      <c r="X68" s="293">
        <f>X46</f>
        <v>-85.369000000000014</v>
      </c>
      <c r="Y68" s="232">
        <f>Y46</f>
        <v>-345.71300000000002</v>
      </c>
      <c r="Z68" s="292"/>
      <c r="AA68" s="291">
        <f>AA46</f>
        <v>-92.706999999999994</v>
      </c>
      <c r="AB68" s="292">
        <f>AB46</f>
        <v>-90.15900000000002</v>
      </c>
      <c r="AC68" s="292">
        <f>AC46</f>
        <v>-89.871000000000009</v>
      </c>
      <c r="AD68" s="293">
        <f>AD46</f>
        <v>-88.461999999999961</v>
      </c>
      <c r="AE68" s="232">
        <f>AE46</f>
        <v>-361.19900000000001</v>
      </c>
      <c r="AF68" s="292"/>
      <c r="AG68" s="291">
        <f>AG46</f>
        <v>-96.153999999999996</v>
      </c>
      <c r="AH68" s="292">
        <f>AH46</f>
        <v>-92.068000000000012</v>
      </c>
      <c r="AI68" s="292">
        <f>AI46</f>
        <v>-92.037999999999982</v>
      </c>
      <c r="AJ68" s="293">
        <f>AJ46</f>
        <v>-87.350999999999971</v>
      </c>
      <c r="AK68" s="232">
        <f>AK46</f>
        <v>-367.61099999999999</v>
      </c>
      <c r="AL68" s="292"/>
      <c r="AM68" s="291">
        <f>AM46</f>
        <v>-96.840999999999994</v>
      </c>
      <c r="AN68" s="292">
        <f>AN46</f>
        <v>-96.572000000000017</v>
      </c>
      <c r="AO68" s="292">
        <f>AO46</f>
        <v>-96.192000000000021</v>
      </c>
      <c r="AP68" s="293">
        <f>AP46</f>
        <v>-96.394999999999996</v>
      </c>
      <c r="AQ68" s="232">
        <f>AQ46</f>
        <v>-386</v>
      </c>
      <c r="AR68" s="292"/>
      <c r="AS68" s="291">
        <f>AS46</f>
        <v>-106</v>
      </c>
      <c r="AT68" s="292">
        <f>AT46</f>
        <v>-105</v>
      </c>
      <c r="AU68" s="292">
        <f>AU46</f>
        <v>-105</v>
      </c>
      <c r="AV68" s="293">
        <f>AV46</f>
        <v>-105</v>
      </c>
      <c r="AW68" s="574">
        <f>AW46</f>
        <v>-421</v>
      </c>
      <c r="AX68" s="292"/>
      <c r="AY68" s="291">
        <f>AY46</f>
        <v>-116</v>
      </c>
      <c r="AZ68" s="292">
        <f>AZ46</f>
        <v>-116</v>
      </c>
      <c r="BA68" s="292">
        <f>BA46</f>
        <v>-126</v>
      </c>
      <c r="BB68" s="293">
        <f>BB46</f>
        <v>-127</v>
      </c>
      <c r="BC68" s="574">
        <f>BC46</f>
        <v>-485</v>
      </c>
      <c r="BD68" s="292"/>
      <c r="BE68" s="291">
        <f>BE46</f>
        <v>-140</v>
      </c>
      <c r="BF68" s="292">
        <f>BF46</f>
        <v>-140</v>
      </c>
      <c r="BG68" s="292">
        <f>BG46</f>
        <v>-141</v>
      </c>
      <c r="BH68" s="293">
        <f>BH46</f>
        <v>-141</v>
      </c>
      <c r="BI68" s="574">
        <f>BI46</f>
        <v>-562</v>
      </c>
      <c r="BJ68" s="292"/>
      <c r="BK68" s="291">
        <f>BK46</f>
        <v>-156</v>
      </c>
      <c r="BL68" s="292">
        <f>BL46</f>
        <v>-156</v>
      </c>
      <c r="BM68" s="292">
        <f>BM46</f>
        <v>-166</v>
      </c>
      <c r="BN68" s="293">
        <f>BN46</f>
        <v>-199</v>
      </c>
      <c r="BO68" s="574">
        <f>BO46</f>
        <v>-677</v>
      </c>
      <c r="BP68" s="292"/>
      <c r="BQ68" s="291">
        <f>-BQ69*CFS!BQ78</f>
        <v>-172.52850000000001</v>
      </c>
      <c r="BR68" s="292">
        <f>-BR69*CFS!BR78</f>
        <v>-202.83151087992275</v>
      </c>
      <c r="BS68" s="292">
        <f>-BS69*CFS!BS78</f>
        <v>-202.90634239384542</v>
      </c>
      <c r="BT68" s="293">
        <f>-BT69*CFS!BT78</f>
        <v>-203.05600844057363</v>
      </c>
      <c r="BU68" s="574">
        <f>SUM(BQ68:BT68)</f>
        <v>-781.3223617143417</v>
      </c>
      <c r="BV68" s="292"/>
      <c r="BW68" s="291">
        <f>-BW69*CFS!BW78</f>
        <v>-211.44938666732443</v>
      </c>
      <c r="BX68" s="292">
        <f>-BX69*CFS!BX78</f>
        <v>-211.83753066797149</v>
      </c>
      <c r="BY68" s="292">
        <f>-BY69*CFS!BY78</f>
        <v>-212.22720169312439</v>
      </c>
      <c r="BZ68" s="293">
        <f>-BZ69*CFS!BZ78</f>
        <v>-212.61687861274987</v>
      </c>
      <c r="CA68" s="574">
        <f>SUM(BW68:BZ68)</f>
        <v>-848.1309976411701</v>
      </c>
      <c r="CB68" s="292"/>
      <c r="CC68" s="291">
        <f>-CC69*CFS!CC78</f>
        <v>-229.81015767940426</v>
      </c>
      <c r="CD68" s="292">
        <f>-CD69*CFS!CD78</f>
        <v>-230.4821933551666</v>
      </c>
      <c r="CE68" s="292">
        <f>-CE69*CFS!CE78</f>
        <v>-240.53435208925103</v>
      </c>
      <c r="CF68" s="293">
        <f>-CF69*CFS!CF78</f>
        <v>-240.58398583053378</v>
      </c>
      <c r="CG68" s="574">
        <f>SUM(CC68:CF68)</f>
        <v>-941.41068895435569</v>
      </c>
      <c r="CH68" s="292"/>
      <c r="CI68" s="291">
        <f>-CI69*CFS!CI78</f>
        <v>-267.11154942637154</v>
      </c>
      <c r="CJ68" s="292">
        <f>-CJ69*CFS!CJ78</f>
        <v>-268.0396345125323</v>
      </c>
      <c r="CK68" s="292">
        <f>-CK69*CFS!CK78</f>
        <v>-268.50429509512543</v>
      </c>
      <c r="CL68" s="293">
        <f>-CL69*CFS!CL78</f>
        <v>-268.96896175929777</v>
      </c>
      <c r="CM68" s="574">
        <f>SUM(CI68:CL68)</f>
        <v>-1072.624440793327</v>
      </c>
      <c r="CQ68"/>
      <c r="CR68"/>
      <c r="CS68"/>
      <c r="CT68"/>
      <c r="CU68"/>
      <c r="CV68"/>
    </row>
    <row r="69" spans="1:101" s="11" customFormat="1" collapsed="1" x14ac:dyDescent="0.2">
      <c r="A69" s="290" t="s">
        <v>265</v>
      </c>
      <c r="C69" s="575">
        <v>0</v>
      </c>
      <c r="D69" s="576">
        <f>0.245*2</f>
        <v>0.49</v>
      </c>
      <c r="E69" s="576">
        <v>0.245</v>
      </c>
      <c r="F69" s="577">
        <v>0.245</v>
      </c>
      <c r="G69" s="578">
        <f>SUM(C69:F69)</f>
        <v>0.98</v>
      </c>
      <c r="H69" s="62"/>
      <c r="I69" s="575">
        <v>0</v>
      </c>
      <c r="J69" s="576">
        <f>0.285*2</f>
        <v>0.56999999999999995</v>
      </c>
      <c r="K69" s="576">
        <v>0.28499999999999998</v>
      </c>
      <c r="L69" s="577">
        <v>0.28499999999999998</v>
      </c>
      <c r="M69" s="578">
        <f>SUM(I69:L69)</f>
        <v>1.1399999999999999</v>
      </c>
      <c r="N69" s="62"/>
      <c r="O69" s="575">
        <v>0.33</v>
      </c>
      <c r="P69" s="576">
        <v>0.33</v>
      </c>
      <c r="Q69" s="576">
        <v>0.33</v>
      </c>
      <c r="R69" s="577">
        <v>0.33</v>
      </c>
      <c r="S69" s="578">
        <f>SUM(O69:R69)</f>
        <v>1.32</v>
      </c>
      <c r="T69" s="62"/>
      <c r="U69" s="575">
        <v>0.37</v>
      </c>
      <c r="V69" s="576">
        <v>0.37</v>
      </c>
      <c r="W69" s="576">
        <v>0.37</v>
      </c>
      <c r="X69" s="577">
        <v>0.37</v>
      </c>
      <c r="Y69" s="578">
        <f>SUM(U69:X69)</f>
        <v>1.48</v>
      </c>
      <c r="Z69" s="62"/>
      <c r="AA69" s="575">
        <v>0.41</v>
      </c>
      <c r="AB69" s="576">
        <v>0.41</v>
      </c>
      <c r="AC69" s="576">
        <v>0.41</v>
      </c>
      <c r="AD69" s="577">
        <v>0.41</v>
      </c>
      <c r="AE69" s="578">
        <f>SUM(AA69:AD69)</f>
        <v>1.64</v>
      </c>
      <c r="AF69" s="62"/>
      <c r="AG69" s="575">
        <v>0.45</v>
      </c>
      <c r="AH69" s="576">
        <v>0.45</v>
      </c>
      <c r="AI69" s="576">
        <v>0.45</v>
      </c>
      <c r="AJ69" s="577">
        <v>0.45</v>
      </c>
      <c r="AK69" s="578">
        <f>SUM(AG69:AJ69)</f>
        <v>1.8</v>
      </c>
      <c r="AL69" s="62"/>
      <c r="AM69" s="575">
        <v>0.495</v>
      </c>
      <c r="AN69" s="576">
        <v>0.495</v>
      </c>
      <c r="AO69" s="576">
        <v>0.495</v>
      </c>
      <c r="AP69" s="577">
        <v>0.495</v>
      </c>
      <c r="AQ69" s="578">
        <f>SUM(AM69:AP69)</f>
        <v>1.98</v>
      </c>
      <c r="AR69" s="62"/>
      <c r="AS69" s="575">
        <v>0.54500000000000004</v>
      </c>
      <c r="AT69" s="576">
        <v>0.54500000000000004</v>
      </c>
      <c r="AU69" s="576">
        <v>0.54500000000000004</v>
      </c>
      <c r="AV69" s="577">
        <v>0.54500000000000004</v>
      </c>
      <c r="AW69" s="578">
        <f>SUM(AS69:AV69)</f>
        <v>2.1800000000000002</v>
      </c>
      <c r="AX69" s="62"/>
      <c r="AY69" s="575">
        <v>0.55000000000000004</v>
      </c>
      <c r="AZ69" s="576">
        <v>0.6</v>
      </c>
      <c r="BA69" s="576">
        <v>0.6</v>
      </c>
      <c r="BB69" s="577">
        <v>0.6</v>
      </c>
      <c r="BC69" s="578">
        <f>SUM(AY69:BB69)</f>
        <v>2.35</v>
      </c>
      <c r="BD69" s="62"/>
      <c r="BE69" s="579">
        <v>0.66</v>
      </c>
      <c r="BF69" s="580">
        <v>0.66</v>
      </c>
      <c r="BG69" s="580">
        <v>0.66</v>
      </c>
      <c r="BH69" s="581">
        <v>0.66</v>
      </c>
      <c r="BI69" s="578">
        <f>SUM(BE69:BH69)</f>
        <v>2.64</v>
      </c>
      <c r="BJ69" s="62"/>
      <c r="BK69" s="579">
        <v>0.73</v>
      </c>
      <c r="BL69" s="580">
        <v>0.73</v>
      </c>
      <c r="BM69" s="580">
        <v>0.73</v>
      </c>
      <c r="BN69" s="581">
        <v>0.73</v>
      </c>
      <c r="BO69" s="578">
        <f>SUM(BK69:BN69)</f>
        <v>2.92</v>
      </c>
      <c r="BP69" s="62"/>
      <c r="BQ69" s="579">
        <v>0.75</v>
      </c>
      <c r="BR69" s="580">
        <f>BQ69</f>
        <v>0.75</v>
      </c>
      <c r="BS69" s="580">
        <f>BR69</f>
        <v>0.75</v>
      </c>
      <c r="BT69" s="581">
        <f>BS69</f>
        <v>0.75</v>
      </c>
      <c r="BU69" s="578">
        <f>SUM(BQ69:BT69)</f>
        <v>3</v>
      </c>
      <c r="BV69" s="62"/>
      <c r="BW69" s="579">
        <v>0.78</v>
      </c>
      <c r="BX69" s="580">
        <f>BW69</f>
        <v>0.78</v>
      </c>
      <c r="BY69" s="580">
        <f>BX69</f>
        <v>0.78</v>
      </c>
      <c r="BZ69" s="581">
        <f>BY69</f>
        <v>0.78</v>
      </c>
      <c r="CA69" s="578">
        <f>SUM(BW69:BZ69)</f>
        <v>3.12</v>
      </c>
      <c r="CB69" s="62"/>
      <c r="CC69" s="579">
        <v>0.84</v>
      </c>
      <c r="CD69" s="580">
        <f>CC69</f>
        <v>0.84</v>
      </c>
      <c r="CE69" s="580">
        <f>CD69</f>
        <v>0.84</v>
      </c>
      <c r="CF69" s="581">
        <f>CE69</f>
        <v>0.84</v>
      </c>
      <c r="CG69" s="578">
        <f>SUM(CC69:CF69)</f>
        <v>3.36</v>
      </c>
      <c r="CH69" s="62"/>
      <c r="CI69" s="579">
        <v>0.93</v>
      </c>
      <c r="CJ69" s="580">
        <f>CI69</f>
        <v>0.93</v>
      </c>
      <c r="CK69" s="580">
        <f>CJ69</f>
        <v>0.93</v>
      </c>
      <c r="CL69" s="581">
        <f>CK69</f>
        <v>0.93</v>
      </c>
      <c r="CM69" s="578">
        <f>SUM(CI69:CL69)</f>
        <v>3.72</v>
      </c>
      <c r="CQ69"/>
      <c r="CR69"/>
      <c r="CS69"/>
      <c r="CT69"/>
      <c r="CU69"/>
      <c r="CV69"/>
    </row>
    <row r="70" spans="1:101" s="11" customFormat="1" x14ac:dyDescent="0.2">
      <c r="A70" s="86" t="s">
        <v>266</v>
      </c>
      <c r="C70" s="582"/>
      <c r="D70" s="53"/>
      <c r="E70" s="53"/>
      <c r="F70" s="583"/>
      <c r="G70" s="584"/>
      <c r="H70" s="53"/>
      <c r="I70" s="585"/>
      <c r="J70" s="53">
        <f>J69/D69-1</f>
        <v>0.16326530612244894</v>
      </c>
      <c r="K70" s="53">
        <f>K69/E69-1</f>
        <v>0.16326530612244894</v>
      </c>
      <c r="L70" s="583">
        <f>L69/F69-1</f>
        <v>0.16326530612244894</v>
      </c>
      <c r="M70" s="584">
        <f>M69/G69-1</f>
        <v>0.16326530612244894</v>
      </c>
      <c r="N70" s="53"/>
      <c r="O70" s="585"/>
      <c r="P70" s="53">
        <f>P69/J69-1</f>
        <v>-0.42105263157894735</v>
      </c>
      <c r="Q70" s="53">
        <f>Q69/K69-1</f>
        <v>0.15789473684210531</v>
      </c>
      <c r="R70" s="583">
        <f>R69/L69-1</f>
        <v>0.15789473684210531</v>
      </c>
      <c r="S70" s="584">
        <f>S69/M69-1</f>
        <v>0.15789473684210531</v>
      </c>
      <c r="T70" s="53"/>
      <c r="U70" s="585">
        <f>U69/O69-1</f>
        <v>0.1212121212121211</v>
      </c>
      <c r="V70" s="53">
        <f>V69/P69-1</f>
        <v>0.1212121212121211</v>
      </c>
      <c r="W70" s="53">
        <f>W69/Q69-1</f>
        <v>0.1212121212121211</v>
      </c>
      <c r="X70" s="583">
        <f>X69/R69-1</f>
        <v>0.1212121212121211</v>
      </c>
      <c r="Y70" s="584">
        <f>Y69/S69-1</f>
        <v>0.1212121212121211</v>
      </c>
      <c r="Z70" s="53"/>
      <c r="AA70" s="585">
        <f>AA69/U69-1</f>
        <v>0.10810810810810811</v>
      </c>
      <c r="AB70" s="53">
        <f>AB69/V69-1</f>
        <v>0.10810810810810811</v>
      </c>
      <c r="AC70" s="53">
        <f>AC69/W69-1</f>
        <v>0.10810810810810811</v>
      </c>
      <c r="AD70" s="583">
        <f>AD69/X69-1</f>
        <v>0.10810810810810811</v>
      </c>
      <c r="AE70" s="584">
        <f>AE69/Y69-1</f>
        <v>0.10810810810810811</v>
      </c>
      <c r="AF70" s="53"/>
      <c r="AG70" s="585">
        <f>AG69/AA69-1</f>
        <v>9.7560975609756184E-2</v>
      </c>
      <c r="AH70" s="53">
        <f>AH69/AB69-1</f>
        <v>9.7560975609756184E-2</v>
      </c>
      <c r="AI70" s="53">
        <f>AI69/AC69-1</f>
        <v>9.7560975609756184E-2</v>
      </c>
      <c r="AJ70" s="583">
        <f>AJ69/AD69-1</f>
        <v>9.7560975609756184E-2</v>
      </c>
      <c r="AK70" s="584">
        <f>AK69/AE69-1</f>
        <v>9.7560975609756184E-2</v>
      </c>
      <c r="AL70" s="53"/>
      <c r="AM70" s="585">
        <f>AM69/AG69-1</f>
        <v>9.9999999999999867E-2</v>
      </c>
      <c r="AN70" s="53">
        <f>AN69/AH69-1</f>
        <v>9.9999999999999867E-2</v>
      </c>
      <c r="AO70" s="53">
        <f>AO69/AI69-1</f>
        <v>9.9999999999999867E-2</v>
      </c>
      <c r="AP70" s="583">
        <f>AP69/AJ69-1</f>
        <v>9.9999999999999867E-2</v>
      </c>
      <c r="AQ70" s="584">
        <f>AQ69/AK69-1</f>
        <v>9.9999999999999867E-2</v>
      </c>
      <c r="AR70" s="53"/>
      <c r="AS70" s="585">
        <f>AS69/AM69-1</f>
        <v>0.10101010101010099</v>
      </c>
      <c r="AT70" s="53">
        <f>AT69/AN69-1</f>
        <v>0.10101010101010099</v>
      </c>
      <c r="AU70" s="53">
        <f>AU69/AO69-1</f>
        <v>0.10101010101010099</v>
      </c>
      <c r="AV70" s="583">
        <f>AV69/AP69-1</f>
        <v>0.10101010101010099</v>
      </c>
      <c r="AW70" s="584">
        <f>AW69/AQ69-1</f>
        <v>0.10101010101010099</v>
      </c>
      <c r="AX70" s="53"/>
      <c r="AY70" s="585">
        <f>AY69/AS69-1</f>
        <v>9.1743119266054496E-3</v>
      </c>
      <c r="AZ70" s="53">
        <f>AZ69/AT69-1</f>
        <v>0.10091743119266039</v>
      </c>
      <c r="BA70" s="53">
        <f>BA69/AU69-1</f>
        <v>0.10091743119266039</v>
      </c>
      <c r="BB70" s="583">
        <f>BB69/AV69-1</f>
        <v>0.10091743119266039</v>
      </c>
      <c r="BC70" s="584">
        <f>BC69/AW69-1</f>
        <v>7.7981651376146655E-2</v>
      </c>
      <c r="BD70" s="53"/>
      <c r="BE70" s="585">
        <f>BE69/AY69-1</f>
        <v>0.19999999999999996</v>
      </c>
      <c r="BF70" s="53">
        <f>BF69/AZ69-1</f>
        <v>0.10000000000000009</v>
      </c>
      <c r="BG70" s="53">
        <f>BG69/BA69-1</f>
        <v>0.10000000000000009</v>
      </c>
      <c r="BH70" s="583">
        <f>BH69/BB69-1</f>
        <v>0.10000000000000009</v>
      </c>
      <c r="BI70" s="584">
        <f>BI69/BC69-1</f>
        <v>0.123404255319149</v>
      </c>
      <c r="BJ70" s="53"/>
      <c r="BK70" s="585">
        <f>BK69/BE69-1</f>
        <v>0.10606060606060597</v>
      </c>
      <c r="BL70" s="53">
        <f>BL69/BF69-1</f>
        <v>0.10606060606060597</v>
      </c>
      <c r="BM70" s="53">
        <f>BM69/BG69-1</f>
        <v>0.10606060606060597</v>
      </c>
      <c r="BN70" s="583">
        <f>BN69/BH69-1</f>
        <v>0.10606060606060597</v>
      </c>
      <c r="BO70" s="584">
        <f>BO69/BI69-1</f>
        <v>0.10606060606060597</v>
      </c>
      <c r="BP70" s="53"/>
      <c r="BQ70" s="585">
        <f>BQ69/BK69-1</f>
        <v>2.7397260273972712E-2</v>
      </c>
      <c r="BR70" s="53">
        <f>BR69/BL69-1</f>
        <v>2.7397260273972712E-2</v>
      </c>
      <c r="BS70" s="53">
        <f>BS69/BM69-1</f>
        <v>2.7397260273972712E-2</v>
      </c>
      <c r="BT70" s="583">
        <f>BT69/BN69-1</f>
        <v>2.7397260273972712E-2</v>
      </c>
      <c r="BU70" s="584">
        <f>BU69/BO69-1</f>
        <v>2.7397260273972712E-2</v>
      </c>
      <c r="BV70" s="53"/>
      <c r="BW70" s="585">
        <f>BW69/BQ69-1</f>
        <v>4.0000000000000036E-2</v>
      </c>
      <c r="BX70" s="53">
        <f>BX69/BR69-1</f>
        <v>4.0000000000000036E-2</v>
      </c>
      <c r="BY70" s="53">
        <f>BY69/BS69-1</f>
        <v>4.0000000000000036E-2</v>
      </c>
      <c r="BZ70" s="583">
        <f>BZ69/BT69-1</f>
        <v>4.0000000000000036E-2</v>
      </c>
      <c r="CA70" s="584">
        <f>CA69/BU69-1</f>
        <v>4.0000000000000036E-2</v>
      </c>
      <c r="CB70" s="53"/>
      <c r="CC70" s="585">
        <f>CC69/BW69-1</f>
        <v>7.6923076923076872E-2</v>
      </c>
      <c r="CD70" s="53">
        <f>CD69/BX69-1</f>
        <v>7.6923076923076872E-2</v>
      </c>
      <c r="CE70" s="53">
        <f>CE69/BY69-1</f>
        <v>7.6923076923076872E-2</v>
      </c>
      <c r="CF70" s="583">
        <f>CF69/BZ69-1</f>
        <v>7.6923076923076872E-2</v>
      </c>
      <c r="CG70" s="584">
        <f>CG69/CA69-1</f>
        <v>7.6923076923076872E-2</v>
      </c>
      <c r="CH70" s="53"/>
      <c r="CI70" s="585">
        <f>CI69/CC69-1</f>
        <v>0.10714285714285721</v>
      </c>
      <c r="CJ70" s="53">
        <f>CJ69/CD69-1</f>
        <v>0.10714285714285721</v>
      </c>
      <c r="CK70" s="53">
        <f>CK69/CE69-1</f>
        <v>0.10714285714285721</v>
      </c>
      <c r="CL70" s="583">
        <f>CL69/CF69-1</f>
        <v>0.10714285714285721</v>
      </c>
      <c r="CM70" s="584">
        <f>CM69/CG69-1</f>
        <v>0.10714285714285721</v>
      </c>
      <c r="CQ70"/>
      <c r="CR70"/>
      <c r="CS70"/>
      <c r="CT70"/>
      <c r="CU70"/>
      <c r="CV70"/>
    </row>
    <row r="71" spans="1:101" s="11" customFormat="1" x14ac:dyDescent="0.2">
      <c r="A71" s="586" t="s">
        <v>267</v>
      </c>
      <c r="B71" s="5"/>
      <c r="C71" s="587"/>
      <c r="D71" s="6"/>
      <c r="E71" s="6"/>
      <c r="F71" s="588"/>
      <c r="G71" s="589">
        <f>-G46/IS!G26</f>
        <v>0.24512722926047611</v>
      </c>
      <c r="H71" s="590"/>
      <c r="I71" s="591"/>
      <c r="J71" s="590"/>
      <c r="K71" s="590"/>
      <c r="L71" s="592"/>
      <c r="M71" s="589">
        <f>-M46/IS!M26</f>
        <v>0.24731577147982214</v>
      </c>
      <c r="N71" s="590"/>
      <c r="O71" s="591"/>
      <c r="P71" s="590"/>
      <c r="Q71" s="590"/>
      <c r="R71" s="592"/>
      <c r="S71" s="589">
        <f>-S46/IS!S26</f>
        <v>0.27145079522266757</v>
      </c>
      <c r="T71" s="590"/>
      <c r="U71" s="591"/>
      <c r="V71" s="590"/>
      <c r="W71" s="590"/>
      <c r="X71" s="592"/>
      <c r="Y71" s="589">
        <f>-Y46/IS!Y26</f>
        <v>0.29388867164255228</v>
      </c>
      <c r="Z71" s="590"/>
      <c r="AA71" s="591"/>
      <c r="AB71" s="590"/>
      <c r="AC71" s="590"/>
      <c r="AD71" s="592"/>
      <c r="AE71" s="589">
        <f>-AE46/IS!AE26</f>
        <v>0.29928235835814176</v>
      </c>
      <c r="AF71" s="590"/>
      <c r="AG71" s="591"/>
      <c r="AH71" s="590"/>
      <c r="AI71" s="590"/>
      <c r="AJ71" s="592"/>
      <c r="AK71" s="589">
        <f>-AK46/IS!AK26</f>
        <v>0.32748521861834967</v>
      </c>
      <c r="AL71" s="590"/>
      <c r="AM71" s="591"/>
      <c r="AN71" s="590"/>
      <c r="AO71" s="590"/>
      <c r="AP71" s="592"/>
      <c r="AQ71" s="589">
        <f>-AQ46/IS!AQ26</f>
        <v>0.3187476026835907</v>
      </c>
      <c r="AR71" s="590"/>
      <c r="AS71" s="591"/>
      <c r="AT71" s="590"/>
      <c r="AU71" s="590"/>
      <c r="AV71" s="592"/>
      <c r="AW71" s="589">
        <f>-AW46/IS!AW26</f>
        <v>0.32746677767868199</v>
      </c>
      <c r="AX71" s="590"/>
      <c r="AY71" s="591"/>
      <c r="AZ71" s="590"/>
      <c r="BA71" s="590"/>
      <c r="BB71" s="592"/>
      <c r="BC71" s="589">
        <f>-BC46/IS!BC26</f>
        <v>0.32779351036435767</v>
      </c>
      <c r="BD71" s="590"/>
      <c r="BE71" s="591"/>
      <c r="BF71" s="590"/>
      <c r="BG71" s="590"/>
      <c r="BH71" s="592"/>
      <c r="BI71" s="589">
        <f>-BI46/IS!BI26</f>
        <v>0.30066499392785112</v>
      </c>
      <c r="BJ71" s="590"/>
      <c r="BK71" s="591"/>
      <c r="BL71" s="590"/>
      <c r="BM71" s="590"/>
      <c r="BN71" s="592"/>
      <c r="BO71" s="589">
        <f>-BO46/IS!BO26</f>
        <v>0.32713373826401676</v>
      </c>
      <c r="BP71" s="590"/>
      <c r="BQ71" s="591"/>
      <c r="BR71" s="590"/>
      <c r="BS71" s="590"/>
      <c r="BT71" s="592"/>
      <c r="BU71" s="589">
        <f>-BU68/IS!BU26</f>
        <v>0.2616890087668674</v>
      </c>
      <c r="BV71" s="590"/>
      <c r="BW71" s="591"/>
      <c r="BX71" s="590"/>
      <c r="BY71" s="590"/>
      <c r="BZ71" s="592"/>
      <c r="CA71" s="589">
        <f>-CA68/IS!CA26</f>
        <v>0.23560994326561385</v>
      </c>
      <c r="CB71" s="590"/>
      <c r="CC71" s="591"/>
      <c r="CD71" s="590"/>
      <c r="CE71" s="590"/>
      <c r="CF71" s="592"/>
      <c r="CG71" s="589">
        <f>-CG68/IS!CG26</f>
        <v>0.22837879859403354</v>
      </c>
      <c r="CH71" s="590"/>
      <c r="CI71" s="591"/>
      <c r="CJ71" s="590"/>
      <c r="CK71" s="590"/>
      <c r="CL71" s="592"/>
      <c r="CM71" s="589">
        <f>-CM68/IS!CM26</f>
        <v>0.23056930846220702</v>
      </c>
      <c r="CQ71"/>
      <c r="CR71"/>
      <c r="CS71"/>
      <c r="CT71"/>
      <c r="CU71"/>
      <c r="CV71"/>
    </row>
    <row r="72" spans="1:101" s="11" customFormat="1" x14ac:dyDescent="0.2">
      <c r="CQ72"/>
      <c r="CR72"/>
      <c r="CS72"/>
      <c r="CT72"/>
      <c r="CU72"/>
      <c r="CV72"/>
    </row>
    <row r="73" spans="1:101" s="11" customFormat="1" x14ac:dyDescent="0.2">
      <c r="A73" s="573" t="s">
        <v>268</v>
      </c>
      <c r="B73" s="214"/>
      <c r="C73" s="219"/>
      <c r="D73" s="214"/>
      <c r="E73" s="214"/>
      <c r="F73" s="217"/>
      <c r="G73" s="218"/>
      <c r="H73" s="214"/>
      <c r="I73" s="219"/>
      <c r="J73" s="214"/>
      <c r="K73" s="214"/>
      <c r="L73" s="217"/>
      <c r="M73" s="218"/>
      <c r="N73" s="214"/>
      <c r="O73" s="219"/>
      <c r="P73" s="214"/>
      <c r="Q73" s="214"/>
      <c r="R73" s="217"/>
      <c r="S73" s="218"/>
      <c r="T73" s="214"/>
      <c r="U73" s="219"/>
      <c r="V73" s="214"/>
      <c r="W73" s="214"/>
      <c r="X73" s="217"/>
      <c r="Y73" s="218"/>
      <c r="Z73" s="214"/>
      <c r="AA73" s="219"/>
      <c r="AB73" s="214"/>
      <c r="AC73" s="214"/>
      <c r="AD73" s="217"/>
      <c r="AE73" s="218"/>
      <c r="AF73" s="214"/>
      <c r="AG73" s="219"/>
      <c r="AH73" s="214"/>
      <c r="AI73" s="214"/>
      <c r="AJ73" s="217"/>
      <c r="AK73" s="218"/>
      <c r="AL73" s="214"/>
      <c r="AM73" s="219"/>
      <c r="AN73" s="214"/>
      <c r="AO73" s="214"/>
      <c r="AP73" s="217"/>
      <c r="AQ73" s="218"/>
      <c r="AR73" s="214"/>
      <c r="AS73" s="219"/>
      <c r="AT73" s="214"/>
      <c r="AU73" s="214"/>
      <c r="AV73" s="217"/>
      <c r="AW73" s="218"/>
      <c r="AX73" s="214"/>
      <c r="AY73" s="219"/>
      <c r="AZ73" s="214"/>
      <c r="BA73" s="214"/>
      <c r="BB73" s="217"/>
      <c r="BC73" s="218"/>
      <c r="BD73" s="214"/>
      <c r="BE73" s="219"/>
      <c r="BF73" s="214"/>
      <c r="BG73" s="214"/>
      <c r="BH73" s="217"/>
      <c r="BI73" s="218"/>
      <c r="BJ73" s="214"/>
      <c r="BK73" s="219"/>
      <c r="BL73" s="214"/>
      <c r="BM73" s="214"/>
      <c r="BN73" s="217"/>
      <c r="BO73" s="218"/>
      <c r="BP73" s="214"/>
      <c r="BQ73" s="219"/>
      <c r="BR73" s="214"/>
      <c r="BS73" s="214"/>
      <c r="BT73" s="217"/>
      <c r="BU73" s="218"/>
      <c r="BV73" s="214"/>
      <c r="BW73" s="219"/>
      <c r="BX73" s="214"/>
      <c r="BY73" s="214"/>
      <c r="BZ73" s="217"/>
      <c r="CA73" s="218"/>
      <c r="CB73" s="214"/>
      <c r="CC73" s="219"/>
      <c r="CD73" s="214"/>
      <c r="CE73" s="214"/>
      <c r="CF73" s="217"/>
      <c r="CG73" s="218"/>
      <c r="CH73" s="214"/>
      <c r="CI73" s="219"/>
      <c r="CJ73" s="214"/>
      <c r="CK73" s="214"/>
      <c r="CL73" s="217"/>
      <c r="CM73" s="218"/>
      <c r="CQ73"/>
      <c r="CR73"/>
      <c r="CS73"/>
      <c r="CT73"/>
      <c r="CU73"/>
      <c r="CV73"/>
    </row>
    <row r="74" spans="1:101" s="11" customFormat="1" x14ac:dyDescent="0.2">
      <c r="A74" s="290" t="s">
        <v>269</v>
      </c>
      <c r="C74" s="432">
        <f>C16</f>
        <v>34.610999999999997</v>
      </c>
      <c r="D74" s="61">
        <f>D16</f>
        <v>26.050000000000004</v>
      </c>
      <c r="E74" s="61">
        <f>E16</f>
        <v>24.558999999999997</v>
      </c>
      <c r="F74" s="428">
        <f>F16</f>
        <v>22.485999999999997</v>
      </c>
      <c r="G74" s="593">
        <f>G16</f>
        <v>107.70599999999999</v>
      </c>
      <c r="H74" s="61"/>
      <c r="I74" s="432">
        <f>I16</f>
        <v>35.665999999999997</v>
      </c>
      <c r="J74" s="61">
        <f>J16</f>
        <v>22.627000000000002</v>
      </c>
      <c r="K74" s="61">
        <f>K16</f>
        <v>22.232999999999997</v>
      </c>
      <c r="L74" s="428">
        <f>L16</f>
        <v>20.058999999999997</v>
      </c>
      <c r="M74" s="593">
        <f>M16</f>
        <v>100.58499999999999</v>
      </c>
      <c r="N74" s="61"/>
      <c r="O74" s="432">
        <f>O16</f>
        <v>33.761000000000003</v>
      </c>
      <c r="P74" s="61">
        <f>P16</f>
        <v>22.708999999999996</v>
      </c>
      <c r="Q74" s="61">
        <f>Q16</f>
        <v>22.513999999999996</v>
      </c>
      <c r="R74" s="428">
        <f>R16</f>
        <v>7.5900000000000034</v>
      </c>
      <c r="S74" s="593">
        <f>S16</f>
        <v>86.573999999999998</v>
      </c>
      <c r="T74" s="61"/>
      <c r="U74" s="432">
        <f>U16</f>
        <v>35.32</v>
      </c>
      <c r="V74" s="61">
        <f>V16</f>
        <v>17.146999999999998</v>
      </c>
      <c r="W74" s="61">
        <f>W16</f>
        <v>16.650000000000006</v>
      </c>
      <c r="X74" s="428">
        <f>X16</f>
        <v>10.256999999999991</v>
      </c>
      <c r="Y74" s="593">
        <f>Y16</f>
        <v>79.373999999999995</v>
      </c>
      <c r="Z74" s="61"/>
      <c r="AA74" s="432">
        <f>AA16</f>
        <v>34.081000000000003</v>
      </c>
      <c r="AB74" s="61">
        <f>AB16</f>
        <v>19.638999999999996</v>
      </c>
      <c r="AC74" s="61">
        <f>AC16</f>
        <v>18.481999999999999</v>
      </c>
      <c r="AD74" s="428">
        <f>AD16</f>
        <v>1.1610000000000014</v>
      </c>
      <c r="AE74" s="593">
        <f>AE16</f>
        <v>73.363</v>
      </c>
      <c r="AF74" s="61"/>
      <c r="AG74" s="432">
        <f>AG16</f>
        <v>34.354999999999997</v>
      </c>
      <c r="AH74" s="61">
        <f>AH16</f>
        <v>19.271000000000001</v>
      </c>
      <c r="AI74" s="61">
        <f>AI16</f>
        <v>18.062999999999995</v>
      </c>
      <c r="AJ74" s="428">
        <f>AJ16</f>
        <v>17.356000000000002</v>
      </c>
      <c r="AK74" s="593">
        <f>AK16</f>
        <v>89.045000000000002</v>
      </c>
      <c r="AL74" s="61"/>
      <c r="AM74" s="432">
        <f>AM16</f>
        <v>36.835000000000001</v>
      </c>
      <c r="AN74" s="61">
        <f>AN16</f>
        <v>21.427999999999997</v>
      </c>
      <c r="AO74" s="61">
        <f>AO16</f>
        <v>20.478000000000002</v>
      </c>
      <c r="AP74" s="428">
        <f>AP16</f>
        <v>21.258999999999993</v>
      </c>
      <c r="AQ74" s="593">
        <f>AQ16</f>
        <v>100</v>
      </c>
      <c r="AR74" s="61"/>
      <c r="AS74" s="432">
        <f>AS16</f>
        <v>42</v>
      </c>
      <c r="AT74" s="61">
        <f>AT16</f>
        <v>25</v>
      </c>
      <c r="AU74" s="61">
        <f>AU16</f>
        <v>24</v>
      </c>
      <c r="AV74" s="428">
        <f>AV16</f>
        <v>22</v>
      </c>
      <c r="AW74" s="593">
        <f>SUM(AS74:AV74)</f>
        <v>113</v>
      </c>
      <c r="AX74" s="61"/>
      <c r="AY74" s="432">
        <f>AY16</f>
        <v>48</v>
      </c>
      <c r="AZ74" s="61">
        <f>AZ16</f>
        <v>44</v>
      </c>
      <c r="BA74" s="61">
        <f>BA16</f>
        <v>46</v>
      </c>
      <c r="BB74" s="428">
        <f>BB16</f>
        <v>28</v>
      </c>
      <c r="BC74" s="593">
        <f>SUM(AY74:BB74)</f>
        <v>166</v>
      </c>
      <c r="BD74" s="61"/>
      <c r="BE74" s="432">
        <f>BE16</f>
        <v>76</v>
      </c>
      <c r="BF74" s="61">
        <f>BF16</f>
        <v>43</v>
      </c>
      <c r="BG74" s="61">
        <f>BG16</f>
        <v>39</v>
      </c>
      <c r="BH74" s="428">
        <f>BH16</f>
        <v>38</v>
      </c>
      <c r="BI74" s="593">
        <f>SUM(BE74:BH74)</f>
        <v>196</v>
      </c>
      <c r="BJ74" s="61"/>
      <c r="BK74" s="432">
        <f>BK16</f>
        <v>61</v>
      </c>
      <c r="BL74" s="61">
        <f>BL16</f>
        <v>38</v>
      </c>
      <c r="BM74" s="61">
        <f>BM16</f>
        <v>39</v>
      </c>
      <c r="BN74" s="428">
        <f>BN16</f>
        <v>36</v>
      </c>
      <c r="BO74" s="593">
        <f>SUM(BK74:BN74)</f>
        <v>174</v>
      </c>
      <c r="BP74" s="61"/>
      <c r="BQ74" s="432">
        <f>BQ16</f>
        <v>141</v>
      </c>
      <c r="BR74" s="61">
        <f>BR75*IS!BR7</f>
        <v>62.408264999999993</v>
      </c>
      <c r="BS74" s="61">
        <f>BS75*IS!BS7</f>
        <v>43.001050000000006</v>
      </c>
      <c r="BT74" s="428">
        <f>BT75*IS!BT7</f>
        <v>43.59769</v>
      </c>
      <c r="BU74" s="593">
        <f>SUM(BQ74:BT74)</f>
        <v>290.00700499999999</v>
      </c>
      <c r="BV74" s="61"/>
      <c r="BW74" s="432">
        <f>BW75*IS!BW7</f>
        <v>64.833500918274225</v>
      </c>
      <c r="BX74" s="61">
        <f>BX75*IS!BX7</f>
        <v>65.789699890199657</v>
      </c>
      <c r="BY74" s="61">
        <f>BY75*IS!BY7</f>
        <v>45.279818309649649</v>
      </c>
      <c r="BZ74" s="428">
        <f>BZ75*IS!BZ7</f>
        <v>45.902553955389429</v>
      </c>
      <c r="CA74" s="593">
        <f>SUM(BW74:BZ74)</f>
        <v>221.80557307351296</v>
      </c>
      <c r="CB74" s="61"/>
      <c r="CC74" s="432">
        <f>CC75*IS!CC7</f>
        <v>68.293542744087134</v>
      </c>
      <c r="CD74" s="61">
        <f>CD75*IS!CD7</f>
        <v>69.271010976178886</v>
      </c>
      <c r="CE74" s="61">
        <f>CE75*IS!CE7</f>
        <v>47.698668617706936</v>
      </c>
      <c r="CF74" s="428">
        <f>CF75*IS!CF7</f>
        <v>48.34883141827477</v>
      </c>
      <c r="CG74" s="593">
        <f>SUM(CC74:CF74)</f>
        <v>233.61205375624775</v>
      </c>
      <c r="CH74" s="61"/>
      <c r="CI74" s="432">
        <f>CI75*IS!CI7</f>
        <v>71.958743227360046</v>
      </c>
      <c r="CJ74" s="61">
        <f>CJ75*IS!CJ7</f>
        <v>72.956505934073718</v>
      </c>
      <c r="CK74" s="61">
        <f>CK75*IS!CK7</f>
        <v>50.260855403450513</v>
      </c>
      <c r="CL74" s="428">
        <f>CL75*IS!CL7</f>
        <v>50.939643974220196</v>
      </c>
      <c r="CM74" s="593">
        <f>SUM(CI74:CL74)</f>
        <v>246.11574853910446</v>
      </c>
      <c r="CQ74"/>
      <c r="CR74"/>
      <c r="CS74"/>
      <c r="CT74"/>
      <c r="CU74"/>
      <c r="CV74"/>
    </row>
    <row r="75" spans="1:101" s="11" customFormat="1" x14ac:dyDescent="0.2">
      <c r="A75" s="586" t="s">
        <v>270</v>
      </c>
      <c r="B75" s="5"/>
      <c r="C75" s="591">
        <f>C74/IS!C7</f>
        <v>2.3050427096555921E-2</v>
      </c>
      <c r="D75" s="590">
        <f>D74/IS!D7</f>
        <v>1.6530005926689267E-2</v>
      </c>
      <c r="E75" s="590">
        <f>E74/IS!E7</f>
        <v>1.5056165585329202E-2</v>
      </c>
      <c r="F75" s="592">
        <f>F74/IS!F7</f>
        <v>1.3618791339839292E-2</v>
      </c>
      <c r="G75" s="589">
        <f>G74/IS!G7</f>
        <v>1.6935661906915339E-2</v>
      </c>
      <c r="H75" s="6"/>
      <c r="I75" s="594">
        <f>I74/IS!I7</f>
        <v>2.0909069058083547E-2</v>
      </c>
      <c r="J75" s="6">
        <f>J74/IS!J7</f>
        <v>1.2952473632239508E-2</v>
      </c>
      <c r="K75" s="6">
        <f>K74/IS!K7</f>
        <v>1.1904659914285161E-2</v>
      </c>
      <c r="L75" s="588">
        <f>L74/IS!L7</f>
        <v>1.0927577492426309E-2</v>
      </c>
      <c r="M75" s="595">
        <f>M74/IS!M7</f>
        <v>1.4056211710849953E-2</v>
      </c>
      <c r="N75" s="6"/>
      <c r="O75" s="594">
        <f>O74/IS!O7</f>
        <v>2.0178131283066413E-2</v>
      </c>
      <c r="P75" s="6">
        <f>P74/IS!P7</f>
        <v>1.3492028598894208E-2</v>
      </c>
      <c r="Q75" s="6">
        <f>Q74/IS!Q7</f>
        <v>1.2673883097867662E-2</v>
      </c>
      <c r="R75" s="588">
        <f>R74/IS!R7</f>
        <v>4.0938003465976437E-3</v>
      </c>
      <c r="S75" s="595">
        <f>S74/IS!S7</f>
        <v>1.2391218657333152E-2</v>
      </c>
      <c r="T75" s="6"/>
      <c r="U75" s="594">
        <f>U74/IS!U7</f>
        <v>1.8899646728573891E-2</v>
      </c>
      <c r="V75" s="6">
        <f>V74/IS!V7</f>
        <v>9.5292398782044537E-3</v>
      </c>
      <c r="W75" s="6">
        <f>W74/IS!W7</f>
        <v>9.0938336161615757E-3</v>
      </c>
      <c r="X75" s="588">
        <f>X74/IS!X7</f>
        <v>5.4756712461863236E-3</v>
      </c>
      <c r="Y75" s="595">
        <f>Y74/IS!Y7</f>
        <v>1.076646971860875E-2</v>
      </c>
      <c r="Z75" s="6"/>
      <c r="AA75" s="594">
        <f>AA74/IS!AA7</f>
        <v>1.9110622867465944E-2</v>
      </c>
      <c r="AB75" s="6">
        <f>AB74/IS!AB7</f>
        <v>1.0555117826695916E-2</v>
      </c>
      <c r="AC75" s="6">
        <f>AC74/IS!AC7</f>
        <v>9.468776144545105E-3</v>
      </c>
      <c r="AD75" s="588">
        <f>AD74/IS!AD7</f>
        <v>5.8395085759294617E-4</v>
      </c>
      <c r="AE75" s="595">
        <f>AE74/IS!AE7</f>
        <v>9.673343264103235E-3</v>
      </c>
      <c r="AF75" s="6"/>
      <c r="AG75" s="594">
        <f>AG74/IS!AG7</f>
        <v>1.8755595833424319E-2</v>
      </c>
      <c r="AH75" s="6">
        <f>AH74/IS!AH7</f>
        <v>9.9903523192018933E-3</v>
      </c>
      <c r="AI75" s="6">
        <f>AI74/IS!AI7</f>
        <v>9.1202859840547722E-3</v>
      </c>
      <c r="AJ75" s="588">
        <f>AJ74/IS!AJ7</f>
        <v>8.8228222152522597E-3</v>
      </c>
      <c r="AK75" s="595">
        <f>AK74/IS!AK7</f>
        <v>1.1551710851901218E-2</v>
      </c>
      <c r="AL75" s="6"/>
      <c r="AM75" s="594">
        <f>AM74/IS!AM7</f>
        <v>1.9384883211801755E-2</v>
      </c>
      <c r="AN75" s="6">
        <f>AN74/IS!AN7</f>
        <v>1.071199150159345E-2</v>
      </c>
      <c r="AO75" s="6">
        <f>AO74/IS!AO7</f>
        <v>9.9763039640194413E-3</v>
      </c>
      <c r="AP75" s="588">
        <f>AP74/IS!AP7</f>
        <v>1.012333333333333E-2</v>
      </c>
      <c r="AQ75" s="595">
        <f>AQ74/IS!AQ7</f>
        <v>1.2417376330071745E-2</v>
      </c>
      <c r="AR75" s="6"/>
      <c r="AS75" s="594">
        <f>AS74/IS!AS7</f>
        <v>2.0844706933346568E-2</v>
      </c>
      <c r="AT75" s="6">
        <f>AT74/IS!AT7</f>
        <v>1.2065637065637066E-2</v>
      </c>
      <c r="AU75" s="6">
        <f>AU74/IS!AU7</f>
        <v>1.1127596439169139E-2</v>
      </c>
      <c r="AV75" s="588">
        <f>AV74/IS!AV7</f>
        <v>9.9909627200850133E-3</v>
      </c>
      <c r="AW75" s="595">
        <f>AW74/IS!AW7</f>
        <v>1.3379605455563725E-2</v>
      </c>
      <c r="AX75" s="6"/>
      <c r="AY75" s="594">
        <f>AY74/IS!AY7</f>
        <v>2.3401620562223929E-2</v>
      </c>
      <c r="AZ75" s="6">
        <f>AZ74/IS!AZ7</f>
        <v>2.1458704186885807E-2</v>
      </c>
      <c r="BA75" s="6">
        <f>BA74/IS!BA7</f>
        <v>1.4682413022661985E-2</v>
      </c>
      <c r="BB75" s="588">
        <f>BB74/IS!BB7</f>
        <v>9.1294424519074019E-3</v>
      </c>
      <c r="BC75" s="595">
        <f>BC74/IS!BC7</f>
        <v>1.6114017350719646E-2</v>
      </c>
      <c r="BD75" s="6"/>
      <c r="BE75" s="594">
        <f>BE74/IS!BE7</f>
        <v>2.5399032163195466E-2</v>
      </c>
      <c r="BF75" s="6">
        <f>BF74/IS!BF7</f>
        <v>1.4001953760989906E-2</v>
      </c>
      <c r="BG75" s="6">
        <f>BG74/IS!BG7</f>
        <v>1.21875E-2</v>
      </c>
      <c r="BH75" s="588">
        <f>BH74/IS!BH7</f>
        <v>1.1750154607297465E-2</v>
      </c>
      <c r="BI75" s="595">
        <f>BI74/IS!BI7</f>
        <v>1.568346290861022E-2</v>
      </c>
      <c r="BJ75" s="6"/>
      <c r="BK75" s="594">
        <f>BK74/IS!BK7</f>
        <v>2.0876112251882271E-2</v>
      </c>
      <c r="BL75" s="6">
        <f>BL74/IS!BL7</f>
        <v>1.2798922196025598E-2</v>
      </c>
      <c r="BM75" s="6">
        <f>BM74/IS!BM7</f>
        <v>1.2850082372322899E-2</v>
      </c>
      <c r="BN75" s="588">
        <f>BN74/IS!BN7</f>
        <v>1.1369055326244517E-2</v>
      </c>
      <c r="BO75" s="595">
        <f>BO74/IS!BO7</f>
        <v>1.4389096042254326E-2</v>
      </c>
      <c r="BP75" s="6"/>
      <c r="BQ75" s="594">
        <f>BQ74/IS!BQ7</f>
        <v>4.5779220779220781E-2</v>
      </c>
      <c r="BR75" s="597">
        <v>1.4999999999999999E-2</v>
      </c>
      <c r="BS75" s="597">
        <v>0.01</v>
      </c>
      <c r="BT75" s="598">
        <v>0.01</v>
      </c>
      <c r="BU75" s="595">
        <f>BU74/IS!BU7</f>
        <v>1.8238946757712451E-2</v>
      </c>
      <c r="BV75" s="6"/>
      <c r="BW75" s="596">
        <v>1.4999999999999999E-2</v>
      </c>
      <c r="BX75" s="597">
        <v>1.4999999999999999E-2</v>
      </c>
      <c r="BY75" s="597">
        <v>0.01</v>
      </c>
      <c r="BZ75" s="598">
        <v>0.01</v>
      </c>
      <c r="CA75" s="595">
        <f>CA74/IS!CA7</f>
        <v>1.2442497829747951E-2</v>
      </c>
      <c r="CB75" s="6"/>
      <c r="CC75" s="596">
        <v>1.4999999999999999E-2</v>
      </c>
      <c r="CD75" s="597">
        <v>1.4999999999999999E-2</v>
      </c>
      <c r="CE75" s="597">
        <v>0.01</v>
      </c>
      <c r="CF75" s="598">
        <v>0.01</v>
      </c>
      <c r="CG75" s="595">
        <f>CG74/IS!CG7</f>
        <v>1.2442241928702696E-2</v>
      </c>
      <c r="CH75" s="6"/>
      <c r="CI75" s="596">
        <v>1.4999999999999999E-2</v>
      </c>
      <c r="CJ75" s="597">
        <v>1.4999999999999999E-2</v>
      </c>
      <c r="CK75" s="597">
        <v>0.01</v>
      </c>
      <c r="CL75" s="598">
        <v>0.01</v>
      </c>
      <c r="CM75" s="595">
        <f>CM74/IS!CM7</f>
        <v>1.2441985771358856E-2</v>
      </c>
      <c r="CQ75"/>
      <c r="CR75"/>
      <c r="CS75"/>
      <c r="CT75"/>
      <c r="CU75"/>
      <c r="CV75"/>
    </row>
    <row r="76" spans="1:101" s="11" customFormat="1" x14ac:dyDescent="0.2">
      <c r="M76" s="60"/>
      <c r="AE76" s="60"/>
      <c r="AK76" s="60"/>
      <c r="AQ76" s="60"/>
      <c r="CQ76"/>
      <c r="CR76"/>
      <c r="CS76"/>
      <c r="CT76"/>
      <c r="CU76"/>
      <c r="CV76"/>
      <c r="CW76" s="3"/>
    </row>
    <row r="77" spans="1:101" x14ac:dyDescent="0.2">
      <c r="A77" s="265" t="s">
        <v>71</v>
      </c>
      <c r="B77" s="214"/>
      <c r="C77" s="219"/>
      <c r="D77" s="214"/>
      <c r="E77" s="214"/>
      <c r="F77" s="217"/>
      <c r="G77" s="218"/>
      <c r="H77" s="214"/>
      <c r="I77" s="219"/>
      <c r="J77" s="214"/>
      <c r="K77" s="214"/>
      <c r="L77" s="217"/>
      <c r="M77" s="218"/>
      <c r="N77" s="214"/>
      <c r="O77" s="219"/>
      <c r="P77" s="214"/>
      <c r="Q77" s="214"/>
      <c r="R77" s="217"/>
      <c r="S77" s="218"/>
      <c r="T77" s="214"/>
      <c r="U77" s="219"/>
      <c r="V77" s="214"/>
      <c r="W77" s="214"/>
      <c r="X77" s="217"/>
      <c r="Y77" s="218"/>
      <c r="Z77" s="214"/>
      <c r="AA77" s="219"/>
      <c r="AB77" s="214"/>
      <c r="AC77" s="214"/>
      <c r="AD77" s="217"/>
      <c r="AE77" s="218"/>
      <c r="AF77" s="214"/>
      <c r="AG77" s="219"/>
      <c r="AH77" s="214"/>
      <c r="AI77" s="214"/>
      <c r="AJ77" s="217"/>
      <c r="AK77" s="218"/>
      <c r="AL77" s="214"/>
      <c r="AM77" s="219"/>
      <c r="AN77" s="214"/>
      <c r="AO77" s="214"/>
      <c r="AP77" s="217"/>
      <c r="AQ77" s="218"/>
      <c r="AR77" s="214"/>
      <c r="AS77" s="219"/>
      <c r="AT77" s="214"/>
      <c r="AU77" s="214"/>
      <c r="AV77" s="217"/>
      <c r="AW77" s="218"/>
      <c r="AX77" s="214"/>
      <c r="AY77" s="219"/>
      <c r="AZ77" s="214"/>
      <c r="BA77" s="214"/>
      <c r="BB77" s="217"/>
      <c r="BC77" s="218"/>
      <c r="BD77" s="214"/>
      <c r="BE77" s="219"/>
      <c r="BF77" s="214"/>
      <c r="BG77" s="214"/>
      <c r="BH77" s="217"/>
      <c r="BI77" s="218"/>
      <c r="BJ77" s="214"/>
      <c r="BK77" s="219"/>
      <c r="BL77" s="214"/>
      <c r="BM77" s="214"/>
      <c r="BN77" s="217"/>
      <c r="BO77" s="218"/>
      <c r="BP77" s="214"/>
      <c r="BQ77" s="219"/>
      <c r="BR77" s="214"/>
      <c r="BS77" s="214"/>
      <c r="BT77" s="217"/>
      <c r="BU77" s="218"/>
      <c r="BV77" s="214"/>
      <c r="BW77" s="219"/>
      <c r="BX77" s="214"/>
      <c r="BY77" s="214"/>
      <c r="BZ77" s="217"/>
      <c r="CA77" s="218"/>
      <c r="CB77" s="214"/>
      <c r="CC77" s="219"/>
      <c r="CD77" s="214"/>
      <c r="CE77" s="214"/>
      <c r="CF77" s="217"/>
      <c r="CG77" s="218"/>
      <c r="CH77" s="214"/>
      <c r="CI77" s="219"/>
      <c r="CJ77" s="214"/>
      <c r="CK77" s="214"/>
      <c r="CL77" s="217"/>
      <c r="CM77" s="218"/>
    </row>
    <row r="78" spans="1:101" x14ac:dyDescent="0.2">
      <c r="A78" s="290" t="s">
        <v>271</v>
      </c>
      <c r="B78" s="54"/>
      <c r="C78" s="514"/>
      <c r="D78" s="515"/>
      <c r="E78" s="515"/>
      <c r="F78" s="599"/>
      <c r="G78" s="600"/>
      <c r="H78" s="515"/>
      <c r="I78" s="514"/>
      <c r="J78" s="515"/>
      <c r="K78" s="515"/>
      <c r="L78" s="599"/>
      <c r="M78" s="601"/>
      <c r="N78" s="515"/>
      <c r="O78" s="107">
        <v>242.39699999999999</v>
      </c>
      <c r="P78" s="108">
        <v>240.239</v>
      </c>
      <c r="Q78" s="108">
        <v>240.10900000000001</v>
      </c>
      <c r="R78" s="109">
        <v>239.16200000000001</v>
      </c>
      <c r="S78" s="602">
        <v>240.47900000000001</v>
      </c>
      <c r="T78" s="515"/>
      <c r="U78" s="107">
        <v>237.36</v>
      </c>
      <c r="V78" s="108">
        <v>235.32499999999999</v>
      </c>
      <c r="W78" s="108">
        <v>233.24199999999999</v>
      </c>
      <c r="X78" s="109">
        <v>231.39599999999999</v>
      </c>
      <c r="Y78" s="602">
        <v>243.328</v>
      </c>
      <c r="Z78" s="515"/>
      <c r="AA78" s="107">
        <v>228.083</v>
      </c>
      <c r="AB78" s="108">
        <v>220.89400000000001</v>
      </c>
      <c r="AC78" s="108">
        <v>218.96600000000001</v>
      </c>
      <c r="AD78" s="109">
        <v>216.726</v>
      </c>
      <c r="AE78" s="602">
        <v>221.17500000000001</v>
      </c>
      <c r="AF78" s="515"/>
      <c r="AG78" s="107">
        <v>214.3</v>
      </c>
      <c r="AH78" s="108">
        <v>206.42599999999999</v>
      </c>
      <c r="AI78" s="108">
        <v>202.01499999999999</v>
      </c>
      <c r="AJ78" s="109">
        <v>199.072</v>
      </c>
      <c r="AK78" s="602">
        <v>205.46</v>
      </c>
      <c r="AL78" s="515"/>
      <c r="AM78" s="107">
        <v>196.42699999999999</v>
      </c>
      <c r="AN78" s="108">
        <v>194.60900000000001</v>
      </c>
      <c r="AO78" s="108">
        <v>194.87899999999999</v>
      </c>
      <c r="AP78" s="109">
        <v>194.697</v>
      </c>
      <c r="AQ78" s="593">
        <f>AVERAGE(AM78:AP78)</f>
        <v>195.15299999999999</v>
      </c>
      <c r="AR78" s="515"/>
      <c r="AS78" s="107">
        <v>194.203</v>
      </c>
      <c r="AT78" s="108">
        <v>193.60900000000001</v>
      </c>
      <c r="AU78" s="108">
        <v>193.054</v>
      </c>
      <c r="AV78" s="109">
        <v>192.33199999999999</v>
      </c>
      <c r="AW78" s="593">
        <f>AVERAGE(AS78:AV78)</f>
        <v>193.29949999999999</v>
      </c>
      <c r="AX78" s="515"/>
      <c r="AY78" s="429">
        <v>192.84399999999999</v>
      </c>
      <c r="AZ78" s="430">
        <v>196.08500000000001</v>
      </c>
      <c r="BA78" s="430">
        <v>210.17500000000001</v>
      </c>
      <c r="BB78" s="428">
        <f>BC78*4-SUM(AY78:BA78)</f>
        <v>211.04399999999998</v>
      </c>
      <c r="BC78" s="603">
        <v>202.53700000000001</v>
      </c>
      <c r="BD78" s="515"/>
      <c r="BE78" s="429">
        <v>211.68899999999999</v>
      </c>
      <c r="BF78" s="430">
        <v>212.46899999999999</v>
      </c>
      <c r="BG78" s="430">
        <v>213.083</v>
      </c>
      <c r="BH78" s="428">
        <f>BI78*4-SUM(BE78:BG78)</f>
        <v>213.56700000000001</v>
      </c>
      <c r="BI78" s="593">
        <v>212.702</v>
      </c>
      <c r="BJ78" s="515"/>
      <c r="BK78" s="429">
        <v>213.06399999999999</v>
      </c>
      <c r="BL78" s="430">
        <v>213.583</v>
      </c>
      <c r="BM78" s="430">
        <v>220.80699999999999</v>
      </c>
      <c r="BN78" s="428">
        <f>BN86</f>
        <v>227.76394449999998</v>
      </c>
      <c r="BO78" s="593">
        <f>AVERAGE(BK78:BN78)</f>
        <v>218.80448612499998</v>
      </c>
      <c r="BP78" s="515"/>
      <c r="BQ78" s="429">
        <v>230.03800000000001</v>
      </c>
      <c r="BR78" s="61">
        <f>BR86</f>
        <v>270.44201450656368</v>
      </c>
      <c r="BS78" s="61">
        <f>BS86</f>
        <v>270.54178985846056</v>
      </c>
      <c r="BT78" s="428">
        <f>BT86</f>
        <v>270.74134458743151</v>
      </c>
      <c r="BU78" s="593">
        <f>AVERAGE(BQ78:BT78)</f>
        <v>260.44078723811396</v>
      </c>
      <c r="BV78" s="515"/>
      <c r="BW78" s="432">
        <f>BW86</f>
        <v>271.08895726580056</v>
      </c>
      <c r="BX78" s="61">
        <f>BX86</f>
        <v>271.58657777945064</v>
      </c>
      <c r="BY78" s="61">
        <f>BY86</f>
        <v>272.08615601682612</v>
      </c>
      <c r="BZ78" s="428">
        <f>BZ86</f>
        <v>272.58574181121776</v>
      </c>
      <c r="CA78" s="593">
        <f>AVERAGE(BW78:BZ78)</f>
        <v>271.83685821832375</v>
      </c>
      <c r="CB78" s="515"/>
      <c r="CC78" s="432">
        <f>CC86</f>
        <v>273.58352104690982</v>
      </c>
      <c r="CD78" s="61">
        <f>CD86</f>
        <v>274.3835635180555</v>
      </c>
      <c r="CE78" s="61">
        <f>CE86</f>
        <v>286.35041915387029</v>
      </c>
      <c r="CF78" s="428">
        <f>CF86</f>
        <v>286.40950694111166</v>
      </c>
      <c r="CG78" s="593">
        <f>AVERAGE(CC78:CF78)</f>
        <v>280.18175266498679</v>
      </c>
      <c r="CH78" s="515"/>
      <c r="CI78" s="432">
        <f>CI86</f>
        <v>287.21671981330269</v>
      </c>
      <c r="CJ78" s="61">
        <f>CJ86</f>
        <v>288.21466076616377</v>
      </c>
      <c r="CK78" s="61">
        <f>CK86</f>
        <v>288.71429580121014</v>
      </c>
      <c r="CL78" s="428">
        <f>CL86</f>
        <v>289.21393737558901</v>
      </c>
      <c r="CM78" s="593">
        <f>AVERAGE(CI78:CL78)</f>
        <v>288.3399034390664</v>
      </c>
    </row>
    <row r="79" spans="1:101" x14ac:dyDescent="0.2">
      <c r="A79" s="290" t="s">
        <v>272</v>
      </c>
      <c r="B79" s="54"/>
      <c r="C79" s="514"/>
      <c r="D79" s="515"/>
      <c r="E79" s="515"/>
      <c r="F79" s="599"/>
      <c r="G79" s="600"/>
      <c r="H79" s="515"/>
      <c r="I79" s="514"/>
      <c r="J79" s="515"/>
      <c r="K79" s="515"/>
      <c r="L79" s="599"/>
      <c r="M79" s="601"/>
      <c r="N79" s="515"/>
      <c r="O79" s="107">
        <v>5.9139999999999997</v>
      </c>
      <c r="P79" s="108">
        <v>5.6509999999999998</v>
      </c>
      <c r="Q79" s="108">
        <v>5.5869999999999997</v>
      </c>
      <c r="R79" s="428">
        <f>R81-R78</f>
        <v>5.8940000000000055</v>
      </c>
      <c r="S79" s="602">
        <v>6.319</v>
      </c>
      <c r="T79" s="515"/>
      <c r="U79" s="107">
        <v>5.6050000000000004</v>
      </c>
      <c r="V79" s="108">
        <v>5.5380000000000003</v>
      </c>
      <c r="W79" s="108">
        <v>5.077</v>
      </c>
      <c r="X79" s="428">
        <f>X81-X78</f>
        <v>4.9200000000000159</v>
      </c>
      <c r="Y79" s="602">
        <v>5.8079999999999998</v>
      </c>
      <c r="Z79" s="515"/>
      <c r="AA79" s="107">
        <v>4.8319999999999999</v>
      </c>
      <c r="AB79" s="108">
        <v>4.5730000000000004</v>
      </c>
      <c r="AC79" s="108">
        <v>4.601</v>
      </c>
      <c r="AD79" s="428">
        <f>AD81-AD78</f>
        <v>4.1330000000000098</v>
      </c>
      <c r="AE79" s="602">
        <v>5.1050000000000004</v>
      </c>
      <c r="AF79" s="515"/>
      <c r="AG79" s="107">
        <v>3.3340000000000001</v>
      </c>
      <c r="AH79" s="108">
        <v>3.3769999999999998</v>
      </c>
      <c r="AI79" s="108">
        <v>3.2749999999999999</v>
      </c>
      <c r="AJ79" s="428">
        <f>AJ81-AJ78</f>
        <v>10.109000000000009</v>
      </c>
      <c r="AK79" s="602">
        <v>3.7210000000000001</v>
      </c>
      <c r="AL79" s="515"/>
      <c r="AM79" s="107">
        <v>3.1429999999999998</v>
      </c>
      <c r="AN79" s="108">
        <v>3.5339999999999998</v>
      </c>
      <c r="AO79" s="108">
        <v>3.84</v>
      </c>
      <c r="AP79" s="109">
        <f>198.628-194.697</f>
        <v>3.9309999999999832</v>
      </c>
      <c r="AQ79" s="593">
        <f>AVERAGE(AM79:AP79)</f>
        <v>3.6119999999999957</v>
      </c>
      <c r="AR79" s="515"/>
      <c r="AS79" s="107">
        <f>198.11-194.203</f>
        <v>3.9070000000000107</v>
      </c>
      <c r="AT79" s="108">
        <f>197.488-193.609</f>
        <v>3.8789999999999907</v>
      </c>
      <c r="AU79" s="108">
        <f>197.005-193.054</f>
        <v>3.9509999999999934</v>
      </c>
      <c r="AV79" s="109">
        <f>196.46-192.332</f>
        <v>4.1280000000000143</v>
      </c>
      <c r="AW79" s="593">
        <f>AVERAGE(AS79:AV79)</f>
        <v>3.9662500000000023</v>
      </c>
      <c r="AX79" s="515"/>
      <c r="AY79" s="429">
        <v>4.1559999999999997</v>
      </c>
      <c r="AZ79" s="430">
        <v>3.8530000000000002</v>
      </c>
      <c r="BA79" s="430">
        <v>4.7530000000000001</v>
      </c>
      <c r="BB79" s="428">
        <f>BC79*4-SUM(AY79:BA79)</f>
        <v>7.1260000000000012</v>
      </c>
      <c r="BC79" s="603">
        <v>4.9720000000000004</v>
      </c>
      <c r="BD79" s="515"/>
      <c r="BE79" s="429">
        <v>4.6050000000000004</v>
      </c>
      <c r="BF79" s="430">
        <v>4.069</v>
      </c>
      <c r="BG79" s="430">
        <v>4.2889999999999997</v>
      </c>
      <c r="BH79" s="428">
        <f>BI79*4-SUM(BE79:BG79)</f>
        <v>6.3729999999999993</v>
      </c>
      <c r="BI79" s="593">
        <v>4.8339999999999996</v>
      </c>
      <c r="BJ79" s="515"/>
      <c r="BK79" s="429">
        <v>4.6749999999999998</v>
      </c>
      <c r="BL79" s="430">
        <v>4.2830000000000004</v>
      </c>
      <c r="BM79" s="430">
        <v>0</v>
      </c>
      <c r="BN79" s="428">
        <f>BN82*BN78</f>
        <v>6.8329183349999996</v>
      </c>
      <c r="BO79" s="593">
        <f>AVERAGE(BK79:BN79)</f>
        <v>3.9477295837500002</v>
      </c>
      <c r="BP79" s="515"/>
      <c r="BQ79" s="429"/>
      <c r="BR79" s="61">
        <f>BR82*BR78</f>
        <v>4.597514246611583</v>
      </c>
      <c r="BS79" s="61">
        <f>BS82*BS78</f>
        <v>4.5992104275938299</v>
      </c>
      <c r="BT79" s="428">
        <f>BT82*BT78</f>
        <v>4.6026028579863363</v>
      </c>
      <c r="BU79" s="593">
        <f>AVERAGE(BQ79:BT79)</f>
        <v>4.5997758440639167</v>
      </c>
      <c r="BV79" s="515"/>
      <c r="BW79" s="432">
        <f>BW82*BW78</f>
        <v>4.0663343589870085</v>
      </c>
      <c r="BX79" s="61">
        <f>BX82*BX78</f>
        <v>4.0737986666917596</v>
      </c>
      <c r="BY79" s="61">
        <f>BY82*BY78</f>
        <v>4.081292340252392</v>
      </c>
      <c r="BZ79" s="428">
        <f>BZ82*BZ78</f>
        <v>4.0887861271682659</v>
      </c>
      <c r="CA79" s="593">
        <f>AVERAGE(BW79:BZ79)</f>
        <v>4.0775528732748567</v>
      </c>
      <c r="CB79" s="515"/>
      <c r="CC79" s="432">
        <f>CC82*CC78</f>
        <v>4.1037528157036469</v>
      </c>
      <c r="CD79" s="61">
        <f>CD82*CD78</f>
        <v>4.1157534527708322</v>
      </c>
      <c r="CE79" s="61">
        <f>CE82*CE78</f>
        <v>4.295256287308054</v>
      </c>
      <c r="CF79" s="428">
        <f>CF82*CF78</f>
        <v>4.2961426041166746</v>
      </c>
      <c r="CG79" s="593">
        <f>AVERAGE(CC79:CF79)</f>
        <v>4.2027262899748017</v>
      </c>
      <c r="CH79" s="515"/>
      <c r="CI79" s="432">
        <f>CI82*CI78</f>
        <v>4.3082507971995403</v>
      </c>
      <c r="CJ79" s="61">
        <f>CJ82*CJ78</f>
        <v>4.3232199114924565</v>
      </c>
      <c r="CK79" s="61">
        <f>CK82*CK78</f>
        <v>4.3307144370181518</v>
      </c>
      <c r="CL79" s="428">
        <f>CL82*CL78</f>
        <v>4.3382090606338348</v>
      </c>
      <c r="CM79" s="593">
        <f>AVERAGE(CI79:CL79)</f>
        <v>4.3250985515859952</v>
      </c>
    </row>
    <row r="80" spans="1:101" x14ac:dyDescent="0.2">
      <c r="A80" s="290" t="s">
        <v>273</v>
      </c>
      <c r="B80" s="54"/>
      <c r="C80" s="514"/>
      <c r="D80" s="515"/>
      <c r="E80" s="515"/>
      <c r="F80" s="599"/>
      <c r="G80" s="600"/>
      <c r="H80" s="515"/>
      <c r="I80" s="514"/>
      <c r="J80" s="515"/>
      <c r="K80" s="515"/>
      <c r="L80" s="599"/>
      <c r="M80" s="601"/>
      <c r="N80" s="515"/>
      <c r="O80" s="107"/>
      <c r="P80" s="108"/>
      <c r="Q80" s="108"/>
      <c r="R80" s="428"/>
      <c r="S80" s="602"/>
      <c r="T80" s="515"/>
      <c r="U80" s="107"/>
      <c r="V80" s="108"/>
      <c r="W80" s="108"/>
      <c r="X80" s="428"/>
      <c r="Y80" s="602"/>
      <c r="Z80" s="515"/>
      <c r="AA80" s="107"/>
      <c r="AB80" s="108"/>
      <c r="AC80" s="108"/>
      <c r="AD80" s="428"/>
      <c r="AE80" s="602"/>
      <c r="AF80" s="515"/>
      <c r="AG80" s="107"/>
      <c r="AH80" s="108"/>
      <c r="AI80" s="108"/>
      <c r="AJ80" s="428"/>
      <c r="AK80" s="602"/>
      <c r="AL80" s="515"/>
      <c r="AM80" s="107"/>
      <c r="AN80" s="108"/>
      <c r="AO80" s="108"/>
      <c r="AP80" s="109"/>
      <c r="AQ80" s="593"/>
      <c r="AR80" s="515"/>
      <c r="AS80" s="107"/>
      <c r="AT80" s="108"/>
      <c r="AU80" s="108"/>
      <c r="AV80" s="109"/>
      <c r="AW80" s="593"/>
      <c r="AX80" s="515"/>
      <c r="AY80" s="429"/>
      <c r="AZ80" s="430"/>
      <c r="BA80" s="430"/>
      <c r="BB80" s="428"/>
      <c r="BC80" s="603"/>
      <c r="BD80" s="515"/>
      <c r="BE80" s="429"/>
      <c r="BF80" s="430"/>
      <c r="BG80" s="430"/>
      <c r="BH80" s="428"/>
      <c r="BI80" s="593"/>
      <c r="BJ80" s="515"/>
      <c r="BK80" s="429"/>
      <c r="BL80" s="430"/>
      <c r="BM80" s="61"/>
      <c r="BN80" s="428"/>
      <c r="BO80" s="593"/>
      <c r="BP80" s="515"/>
      <c r="BQ80" s="429"/>
      <c r="BR80" s="61">
        <f>IF(BR115&lt;=BR110,BR114,0)</f>
        <v>0</v>
      </c>
      <c r="BS80" s="61">
        <f>IF(BS115&lt;=BS110,BS114,0)</f>
        <v>0</v>
      </c>
      <c r="BT80" s="428">
        <f>IF(BT115&lt;=BT110,BT114,0)</f>
        <v>0</v>
      </c>
      <c r="BU80" s="593">
        <f>AVERAGE(BQ80:BT80)</f>
        <v>0</v>
      </c>
      <c r="BV80" s="515"/>
      <c r="BW80" s="432">
        <f>IF(BW115&lt;=BW110,BW114,0)</f>
        <v>0</v>
      </c>
      <c r="BX80" s="61">
        <f>IF(BX115&lt;=BX110,BX114,0)</f>
        <v>0</v>
      </c>
      <c r="BY80" s="61">
        <f>IF(BY115&lt;=BY110,BY114,0)</f>
        <v>0</v>
      </c>
      <c r="BZ80" s="428">
        <f>IF(BZ115&lt;=BZ110,BZ114,0)</f>
        <v>0</v>
      </c>
      <c r="CA80" s="593">
        <f>AVERAGE(BW80:BZ80)</f>
        <v>0</v>
      </c>
      <c r="CB80" s="515"/>
      <c r="CC80" s="432">
        <f>IF(CC115&lt;=CC110,CC114,0)</f>
        <v>11.803588290840416</v>
      </c>
      <c r="CD80" s="61">
        <f>IF(CD115&lt;=CD110,CD114,0)</f>
        <v>11.803588290840416</v>
      </c>
      <c r="CE80" s="61"/>
      <c r="CF80" s="428"/>
      <c r="CG80" s="593"/>
      <c r="CH80" s="515"/>
      <c r="CI80" s="432"/>
      <c r="CJ80" s="61"/>
      <c r="CK80" s="61"/>
      <c r="CL80" s="428"/>
      <c r="CM80" s="593"/>
    </row>
    <row r="81" spans="1:91" x14ac:dyDescent="0.2">
      <c r="A81" s="290" t="s">
        <v>274</v>
      </c>
      <c r="C81" s="432"/>
      <c r="D81" s="61"/>
      <c r="E81" s="61"/>
      <c r="F81" s="428"/>
      <c r="G81" s="593"/>
      <c r="H81" s="61"/>
      <c r="I81" s="432"/>
      <c r="J81" s="61"/>
      <c r="K81" s="61"/>
      <c r="L81" s="428"/>
      <c r="M81" s="602"/>
      <c r="N81" s="61"/>
      <c r="O81" s="432">
        <f>O78+O79</f>
        <v>248.31099999999998</v>
      </c>
      <c r="P81" s="61">
        <f>P78+P79</f>
        <v>245.89000000000001</v>
      </c>
      <c r="Q81" s="61">
        <f>Q78+Q79</f>
        <v>245.696</v>
      </c>
      <c r="R81" s="109">
        <v>245.05600000000001</v>
      </c>
      <c r="S81" s="593">
        <f>S78+S79</f>
        <v>246.798</v>
      </c>
      <c r="T81" s="61"/>
      <c r="U81" s="432">
        <f>U78+U79</f>
        <v>242.965</v>
      </c>
      <c r="V81" s="61">
        <f>V78+V79</f>
        <v>240.863</v>
      </c>
      <c r="W81" s="61">
        <f>W78+W79</f>
        <v>238.31899999999999</v>
      </c>
      <c r="X81" s="109">
        <v>236.316</v>
      </c>
      <c r="Y81" s="593">
        <f>Y78+Y79</f>
        <v>249.136</v>
      </c>
      <c r="Z81" s="61"/>
      <c r="AA81" s="432">
        <f>AA78+AA79</f>
        <v>232.91499999999999</v>
      </c>
      <c r="AB81" s="61">
        <f>AB78+AB79</f>
        <v>225.46700000000001</v>
      </c>
      <c r="AC81" s="61">
        <f>AC78+AC79</f>
        <v>223.56700000000001</v>
      </c>
      <c r="AD81" s="109">
        <v>220.85900000000001</v>
      </c>
      <c r="AE81" s="593">
        <f>AE78+AE79</f>
        <v>226.28</v>
      </c>
      <c r="AF81" s="61"/>
      <c r="AG81" s="432">
        <f>AG78+AG79</f>
        <v>217.63400000000001</v>
      </c>
      <c r="AH81" s="61">
        <f>AH78+AH79</f>
        <v>209.803</v>
      </c>
      <c r="AI81" s="61">
        <f>AI78+AI79</f>
        <v>205.29</v>
      </c>
      <c r="AJ81" s="109">
        <v>209.18100000000001</v>
      </c>
      <c r="AK81" s="593">
        <f>AK78+AK79</f>
        <v>209.18100000000001</v>
      </c>
      <c r="AL81" s="61"/>
      <c r="AM81" s="432">
        <f>AM78+AM79</f>
        <v>199.57</v>
      </c>
      <c r="AN81" s="61">
        <f>AN78+AN79</f>
        <v>198.143</v>
      </c>
      <c r="AO81" s="61">
        <f>AO78+AO79</f>
        <v>198.71899999999999</v>
      </c>
      <c r="AP81" s="428">
        <f>AP78+AP79</f>
        <v>198.62799999999999</v>
      </c>
      <c r="AQ81" s="593">
        <f>AVERAGE(AM81:AP81)</f>
        <v>198.76499999999999</v>
      </c>
      <c r="AR81" s="61"/>
      <c r="AS81" s="432">
        <f>AS78+AS79</f>
        <v>198.11</v>
      </c>
      <c r="AT81" s="61">
        <f>AT78+AT79</f>
        <v>197.488</v>
      </c>
      <c r="AU81" s="61">
        <f>AU78+AU79</f>
        <v>197.005</v>
      </c>
      <c r="AV81" s="428">
        <f>AV78+AV79</f>
        <v>196.46</v>
      </c>
      <c r="AW81" s="593">
        <f>AVERAGE(AS81:AV81)</f>
        <v>197.26575000000003</v>
      </c>
      <c r="AX81" s="61"/>
      <c r="AY81" s="432">
        <f>AY78+AY79</f>
        <v>197</v>
      </c>
      <c r="AZ81" s="61">
        <f>AZ78+AZ79</f>
        <v>199.93800000000002</v>
      </c>
      <c r="BA81" s="61">
        <f>BA78+BA79</f>
        <v>214.928</v>
      </c>
      <c r="BB81" s="428">
        <f>BB78+BB79</f>
        <v>218.17</v>
      </c>
      <c r="BC81" s="593">
        <f>BC78+BC79</f>
        <v>207.50900000000001</v>
      </c>
      <c r="BD81" s="61"/>
      <c r="BE81" s="432">
        <f>BE78+BE79</f>
        <v>216.29399999999998</v>
      </c>
      <c r="BF81" s="61">
        <f>BF78+BF79</f>
        <v>216.53799999999998</v>
      </c>
      <c r="BG81" s="61">
        <f>BG78+BG79</f>
        <v>217.37199999999999</v>
      </c>
      <c r="BH81" s="428">
        <f>BH78+BH79</f>
        <v>219.94</v>
      </c>
      <c r="BI81" s="593">
        <f>BI78+BI79</f>
        <v>217.536</v>
      </c>
      <c r="BJ81" s="61"/>
      <c r="BK81" s="432">
        <f>BK78+BK79</f>
        <v>217.739</v>
      </c>
      <c r="BL81" s="61">
        <f>BL78+BL79</f>
        <v>217.86599999999999</v>
      </c>
      <c r="BM81" s="61">
        <f>BM78+BM79</f>
        <v>220.80699999999999</v>
      </c>
      <c r="BN81" s="428">
        <f>BN78+BN79</f>
        <v>234.59686283499997</v>
      </c>
      <c r="BO81" s="593">
        <f>AVERAGE(BK81:BN81)</f>
        <v>222.75221570874999</v>
      </c>
      <c r="BP81" s="61"/>
      <c r="BQ81" s="432">
        <f>BQ78+BQ79+BQ80</f>
        <v>230.03800000000001</v>
      </c>
      <c r="BR81" s="61">
        <f>BR78+BR79+BR80</f>
        <v>275.03952875317526</v>
      </c>
      <c r="BS81" s="61">
        <f>BS78+BS79+BS80</f>
        <v>275.14100028605441</v>
      </c>
      <c r="BT81" s="428">
        <f>BT78+BT79+BT80</f>
        <v>275.34394744541783</v>
      </c>
      <c r="BU81" s="593">
        <f>AVERAGE(BQ81:BT81)</f>
        <v>263.89061912116188</v>
      </c>
      <c r="BV81" s="61"/>
      <c r="BW81" s="432">
        <f>BW78+BW79+BW80</f>
        <v>275.15529162478759</v>
      </c>
      <c r="BX81" s="61">
        <f>BX78+BX79+BX80</f>
        <v>275.66037644614238</v>
      </c>
      <c r="BY81" s="61">
        <f>BY78+BY79+BY80</f>
        <v>276.16744835707851</v>
      </c>
      <c r="BZ81" s="428">
        <f>BZ78+BZ79+BZ80</f>
        <v>276.67452793838601</v>
      </c>
      <c r="CA81" s="593">
        <f>AVERAGE(BW81:BZ81)</f>
        <v>275.91441109159865</v>
      </c>
      <c r="CB81" s="61"/>
      <c r="CC81" s="432">
        <f>CC78+CC79+CC80</f>
        <v>289.49086215345392</v>
      </c>
      <c r="CD81" s="61">
        <f>CD78+CD79+CD80</f>
        <v>290.30290526166675</v>
      </c>
      <c r="CE81" s="61">
        <f>CE78+CE79+CE80</f>
        <v>290.64567544117835</v>
      </c>
      <c r="CF81" s="428">
        <f>CF78+CF79+CF80</f>
        <v>290.70564954522831</v>
      </c>
      <c r="CG81" s="593">
        <f>AVERAGE(CC81:CF81)</f>
        <v>290.28627310038183</v>
      </c>
      <c r="CH81" s="61"/>
      <c r="CI81" s="432">
        <f>CI78+CI79</f>
        <v>291.52497061050224</v>
      </c>
      <c r="CJ81" s="61">
        <f>CJ78+CJ79</f>
        <v>292.53788067765623</v>
      </c>
      <c r="CK81" s="61">
        <f>CK78+CK79</f>
        <v>293.04501023822831</v>
      </c>
      <c r="CL81" s="428">
        <f>CL78+CL79</f>
        <v>293.55214643622287</v>
      </c>
      <c r="CM81" s="593">
        <f>AVERAGE(CI81:CL81)</f>
        <v>292.6650019906524</v>
      </c>
    </row>
    <row r="82" spans="1:91" hidden="1" outlineLevel="1" x14ac:dyDescent="0.2">
      <c r="A82" s="290" t="s">
        <v>275</v>
      </c>
      <c r="C82" s="585"/>
      <c r="D82" s="53"/>
      <c r="E82" s="53"/>
      <c r="F82" s="583"/>
      <c r="G82" s="584"/>
      <c r="H82" s="53"/>
      <c r="I82" s="585"/>
      <c r="J82" s="53"/>
      <c r="K82" s="53"/>
      <c r="L82" s="583"/>
      <c r="M82" s="604"/>
      <c r="N82" s="53"/>
      <c r="O82" s="585">
        <f>O79/O78</f>
        <v>2.4397991724320021E-2</v>
      </c>
      <c r="P82" s="53">
        <f>P79/P78</f>
        <v>2.3522408934436124E-2</v>
      </c>
      <c r="Q82" s="53">
        <f>Q79/Q78</f>
        <v>2.3268598844691367E-2</v>
      </c>
      <c r="R82" s="583">
        <f>R79/R78</f>
        <v>2.4644383305040121E-2</v>
      </c>
      <c r="S82" s="584">
        <f>S79/S78</f>
        <v>2.6276722707596088E-2</v>
      </c>
      <c r="T82" s="53"/>
      <c r="U82" s="585">
        <f>U79/U78</f>
        <v>2.3613919784293901E-2</v>
      </c>
      <c r="V82" s="53">
        <f>V79/V78</f>
        <v>2.353341123977478E-2</v>
      </c>
      <c r="W82" s="53">
        <f>W79/W78</f>
        <v>2.176709169017587E-2</v>
      </c>
      <c r="X82" s="583">
        <f>X79/X78</f>
        <v>2.1262251724316825E-2</v>
      </c>
      <c r="Y82" s="584">
        <f>Y79/Y78</f>
        <v>2.3869016307206732E-2</v>
      </c>
      <c r="Z82" s="53"/>
      <c r="AA82" s="585">
        <f>AA79/AA78</f>
        <v>2.1185270274417647E-2</v>
      </c>
      <c r="AB82" s="53">
        <f>AB79/AB78</f>
        <v>2.0702237272175798E-2</v>
      </c>
      <c r="AC82" s="53">
        <f>AC79/AC78</f>
        <v>2.1012394618342572E-2</v>
      </c>
      <c r="AD82" s="583">
        <f>AD79/AD78</f>
        <v>1.9070162324778799E-2</v>
      </c>
      <c r="AE82" s="584">
        <f>AE79/AE78</f>
        <v>2.3081270487170794E-2</v>
      </c>
      <c r="AF82" s="53"/>
      <c r="AG82" s="585">
        <f>AG79/AG78</f>
        <v>1.5557629491367242E-2</v>
      </c>
      <c r="AH82" s="53">
        <f>AH79/AH78</f>
        <v>1.6359373334754342E-2</v>
      </c>
      <c r="AI82" s="53">
        <f>AI79/AI78</f>
        <v>1.621166745043685E-2</v>
      </c>
      <c r="AJ82" s="583">
        <f>AJ79/AJ78</f>
        <v>5.078062208648132E-2</v>
      </c>
      <c r="AK82" s="584">
        <f>AK79/AK78</f>
        <v>1.8110581135014115E-2</v>
      </c>
      <c r="AL82" s="53"/>
      <c r="AM82" s="585">
        <f>AM79/AM78</f>
        <v>1.6000855279569508E-2</v>
      </c>
      <c r="AN82" s="53">
        <f>AN79/AN78</f>
        <v>1.8159489026715103E-2</v>
      </c>
      <c r="AO82" s="53">
        <f>AO79/AO78</f>
        <v>1.9704534608654602E-2</v>
      </c>
      <c r="AP82" s="583">
        <f>AP79/AP78</f>
        <v>2.0190347052085975E-2</v>
      </c>
      <c r="AQ82" s="584">
        <f>AQ79/AQ78</f>
        <v>1.8508554826213258E-2</v>
      </c>
      <c r="AR82" s="53"/>
      <c r="AS82" s="585">
        <f>AS79/AS78</f>
        <v>2.0118123818890596E-2</v>
      </c>
      <c r="AT82" s="53">
        <f>AT79/AT78</f>
        <v>2.003522563517187E-2</v>
      </c>
      <c r="AU82" s="53">
        <f>AU79/AU78</f>
        <v>2.0465776414889066E-2</v>
      </c>
      <c r="AV82" s="583">
        <f>AV79/AV78</f>
        <v>2.1462887091071765E-2</v>
      </c>
      <c r="AW82" s="584">
        <f>AW79/AW78</f>
        <v>2.0518676975367252E-2</v>
      </c>
      <c r="AX82" s="53"/>
      <c r="AY82" s="585">
        <f>AY79/AY78</f>
        <v>2.1551098297069134E-2</v>
      </c>
      <c r="AZ82" s="53">
        <f>AZ79/AZ78</f>
        <v>1.9649641737001809E-2</v>
      </c>
      <c r="BA82" s="53">
        <f>BA79/BA78</f>
        <v>2.2614487926727725E-2</v>
      </c>
      <c r="BB82" s="583">
        <f>BB79/BB78</f>
        <v>3.3765470707530193E-2</v>
      </c>
      <c r="BC82" s="584">
        <f>BC79/BC78</f>
        <v>2.4548600996361161E-2</v>
      </c>
      <c r="BD82" s="53"/>
      <c r="BE82" s="585">
        <f>BE79/BE78</f>
        <v>2.1753610248997354E-2</v>
      </c>
      <c r="BF82" s="53">
        <f>BF79/BF78</f>
        <v>1.9151029091302733E-2</v>
      </c>
      <c r="BG82" s="53">
        <f>BG79/BG78</f>
        <v>2.0128306810022385E-2</v>
      </c>
      <c r="BH82" s="583">
        <f>BH79/BH78</f>
        <v>2.9840752550721782E-2</v>
      </c>
      <c r="BI82" s="584">
        <f>BI79/BI78</f>
        <v>2.2726631625466613E-2</v>
      </c>
      <c r="BJ82" s="53"/>
      <c r="BK82" s="585">
        <f>BK79/BK78</f>
        <v>2.1941763977020988E-2</v>
      </c>
      <c r="BL82" s="53">
        <f>BL79/BL78</f>
        <v>2.0053094113295537E-2</v>
      </c>
      <c r="BM82" s="53">
        <f>BM79/BM78</f>
        <v>0</v>
      </c>
      <c r="BN82" s="605">
        <v>0.03</v>
      </c>
      <c r="BO82" s="584">
        <f>BO79/BO78</f>
        <v>1.8042269853163415E-2</v>
      </c>
      <c r="BP82" s="53"/>
      <c r="BQ82" s="585">
        <f>BQ79/BQ78</f>
        <v>0</v>
      </c>
      <c r="BR82" s="607">
        <v>1.7000000000000001E-2</v>
      </c>
      <c r="BS82" s="607">
        <v>1.7000000000000001E-2</v>
      </c>
      <c r="BT82" s="605">
        <v>1.7000000000000001E-2</v>
      </c>
      <c r="BU82" s="584">
        <f>BU79/BU78</f>
        <v>1.7661503379877538E-2</v>
      </c>
      <c r="BV82" s="53"/>
      <c r="BW82" s="606">
        <v>1.4999999999999999E-2</v>
      </c>
      <c r="BX82" s="607">
        <f>BW82</f>
        <v>1.4999999999999999E-2</v>
      </c>
      <c r="BY82" s="607">
        <f t="shared" ref="BY82:BZ82" si="25">BX82</f>
        <v>1.4999999999999999E-2</v>
      </c>
      <c r="BZ82" s="605">
        <f t="shared" si="25"/>
        <v>1.4999999999999999E-2</v>
      </c>
      <c r="CA82" s="584">
        <f>CA79/CA78</f>
        <v>1.5000000000000001E-2</v>
      </c>
      <c r="CB82" s="53"/>
      <c r="CC82" s="606">
        <v>1.4999999999999999E-2</v>
      </c>
      <c r="CD82" s="607">
        <f>CC82</f>
        <v>1.4999999999999999E-2</v>
      </c>
      <c r="CE82" s="607">
        <f t="shared" ref="CE82:CF82" si="26">CD82</f>
        <v>1.4999999999999999E-2</v>
      </c>
      <c r="CF82" s="605">
        <f t="shared" si="26"/>
        <v>1.4999999999999999E-2</v>
      </c>
      <c r="CG82" s="584">
        <f>CG79/CG78</f>
        <v>1.4999999999999999E-2</v>
      </c>
      <c r="CH82" s="53"/>
      <c r="CI82" s="606">
        <v>1.4999999999999999E-2</v>
      </c>
      <c r="CJ82" s="607">
        <f>CI82</f>
        <v>1.4999999999999999E-2</v>
      </c>
      <c r="CK82" s="607">
        <f t="shared" ref="CK82:CL82" si="27">CJ82</f>
        <v>1.4999999999999999E-2</v>
      </c>
      <c r="CL82" s="605">
        <f t="shared" si="27"/>
        <v>1.4999999999999999E-2</v>
      </c>
      <c r="CM82" s="584">
        <f>CM79/CM78</f>
        <v>1.4999999999999998E-2</v>
      </c>
    </row>
    <row r="83" spans="1:91" hidden="1" outlineLevel="1" x14ac:dyDescent="0.2">
      <c r="A83" s="233"/>
      <c r="C83" s="233"/>
      <c r="D83" s="11"/>
      <c r="E83" s="11"/>
      <c r="F83" s="234"/>
      <c r="G83" s="608"/>
      <c r="I83" s="233"/>
      <c r="J83" s="11"/>
      <c r="K83" s="11"/>
      <c r="L83" s="234"/>
      <c r="M83" s="609"/>
      <c r="O83" s="233"/>
      <c r="P83" s="11"/>
      <c r="Q83" s="11"/>
      <c r="R83" s="234"/>
      <c r="S83" s="609"/>
      <c r="U83" s="233"/>
      <c r="V83" s="11"/>
      <c r="W83" s="11"/>
      <c r="X83" s="234"/>
      <c r="Y83" s="609"/>
      <c r="AA83" s="233"/>
      <c r="AB83" s="11"/>
      <c r="AC83" s="11"/>
      <c r="AD83" s="234"/>
      <c r="AE83" s="608"/>
      <c r="AG83" s="233"/>
      <c r="AH83" s="11"/>
      <c r="AI83" s="11"/>
      <c r="AJ83" s="234"/>
      <c r="AK83" s="608"/>
      <c r="AM83" s="233"/>
      <c r="AN83" s="11"/>
      <c r="AO83" s="11"/>
      <c r="AP83" s="234"/>
      <c r="AQ83" s="608"/>
      <c r="AS83" s="233"/>
      <c r="AT83" s="11"/>
      <c r="AU83" s="11"/>
      <c r="AV83" s="234"/>
      <c r="AW83" s="608"/>
      <c r="AY83" s="233"/>
      <c r="AZ83" s="11"/>
      <c r="BA83" s="11"/>
      <c r="BB83" s="234"/>
      <c r="BC83" s="608"/>
      <c r="BE83" s="233"/>
      <c r="BF83" s="11"/>
      <c r="BG83" s="11"/>
      <c r="BH83" s="234"/>
      <c r="BI83" s="608"/>
      <c r="BK83" s="233"/>
      <c r="BL83" s="11"/>
      <c r="BM83" s="11"/>
      <c r="BN83" s="234"/>
      <c r="BO83" s="608"/>
      <c r="BQ83" s="233"/>
      <c r="BR83" s="11"/>
      <c r="BS83" s="11"/>
      <c r="BT83" s="234"/>
      <c r="BU83" s="608"/>
      <c r="BV83" s="11"/>
      <c r="BW83" s="233"/>
      <c r="BX83" s="11"/>
      <c r="BY83" s="11"/>
      <c r="BZ83" s="234"/>
      <c r="CA83" s="608"/>
      <c r="CB83" s="11"/>
      <c r="CC83" s="233"/>
      <c r="CD83" s="11"/>
      <c r="CE83" s="11"/>
      <c r="CF83" s="234"/>
      <c r="CG83" s="608"/>
      <c r="CH83" s="11"/>
      <c r="CI83" s="233"/>
      <c r="CJ83" s="11"/>
      <c r="CK83" s="11"/>
      <c r="CL83" s="234"/>
      <c r="CM83" s="608"/>
    </row>
    <row r="84" spans="1:91" hidden="1" outlineLevel="1" x14ac:dyDescent="0.2">
      <c r="A84" s="610" t="s">
        <v>276</v>
      </c>
      <c r="C84" s="233"/>
      <c r="D84" s="11"/>
      <c r="E84" s="11"/>
      <c r="F84" s="234"/>
      <c r="G84" s="608"/>
      <c r="I84" s="233"/>
      <c r="J84" s="11"/>
      <c r="K84" s="11"/>
      <c r="L84" s="234"/>
      <c r="M84" s="609"/>
      <c r="O84" s="233"/>
      <c r="P84" s="11"/>
      <c r="Q84" s="11"/>
      <c r="R84" s="234"/>
      <c r="S84" s="609"/>
      <c r="U84" s="233"/>
      <c r="V84" s="11"/>
      <c r="W84" s="11"/>
      <c r="X84" s="234"/>
      <c r="Y84" s="609"/>
      <c r="AA84" s="233"/>
      <c r="AB84" s="11"/>
      <c r="AC84" s="11"/>
      <c r="AD84" s="234"/>
      <c r="AE84" s="608"/>
      <c r="AG84" s="233"/>
      <c r="AH84" s="11"/>
      <c r="AI84" s="11"/>
      <c r="AJ84" s="234"/>
      <c r="AK84" s="608"/>
      <c r="AM84" s="233"/>
      <c r="AN84" s="11"/>
      <c r="AO84" s="11"/>
      <c r="AP84" s="234"/>
      <c r="AQ84" s="608"/>
      <c r="AS84" s="233"/>
      <c r="AT84" s="11"/>
      <c r="AU84" s="11"/>
      <c r="AV84" s="234"/>
      <c r="AW84" s="608"/>
      <c r="AY84" s="233"/>
      <c r="AZ84" s="11"/>
      <c r="BA84" s="11"/>
      <c r="BB84" s="234"/>
      <c r="BC84" s="608"/>
      <c r="BE84" s="233"/>
      <c r="BF84" s="11"/>
      <c r="BG84" s="11"/>
      <c r="BH84" s="234"/>
      <c r="BI84" s="608"/>
      <c r="BK84" s="233"/>
      <c r="BL84" s="11"/>
      <c r="BM84" s="11"/>
      <c r="BN84" s="234"/>
      <c r="BO84" s="608"/>
      <c r="BQ84" s="233"/>
      <c r="BR84" s="11"/>
      <c r="BS84" s="11"/>
      <c r="BT84" s="234"/>
      <c r="BU84" s="608"/>
      <c r="BV84" s="11"/>
      <c r="BW84" s="233"/>
      <c r="BX84" s="11"/>
      <c r="BY84" s="11"/>
      <c r="BZ84" s="234"/>
      <c r="CA84" s="608"/>
      <c r="CB84" s="11"/>
      <c r="CC84" s="233"/>
      <c r="CD84" s="11"/>
      <c r="CE84" s="11"/>
      <c r="CF84" s="234"/>
      <c r="CG84" s="608"/>
      <c r="CH84" s="11"/>
      <c r="CI84" s="233"/>
      <c r="CJ84" s="11"/>
      <c r="CK84" s="11"/>
      <c r="CL84" s="234"/>
      <c r="CM84" s="608"/>
    </row>
    <row r="85" spans="1:91" hidden="1" outlineLevel="1" x14ac:dyDescent="0.2">
      <c r="A85" s="290" t="s">
        <v>277</v>
      </c>
      <c r="C85" s="432"/>
      <c r="D85" s="61"/>
      <c r="E85" s="61"/>
      <c r="F85" s="428"/>
      <c r="G85" s="593"/>
      <c r="H85" s="61"/>
      <c r="I85" s="432"/>
      <c r="J85" s="61"/>
      <c r="K85" s="61"/>
      <c r="L85" s="428"/>
      <c r="M85" s="593"/>
      <c r="N85" s="61"/>
      <c r="O85" s="107">
        <v>239.71108599999999</v>
      </c>
      <c r="P85" s="108">
        <v>239.53375500000001</v>
      </c>
      <c r="Q85" s="108">
        <v>239.38971799999999</v>
      </c>
      <c r="R85" s="109">
        <v>237.11887400000001</v>
      </c>
      <c r="S85" s="593">
        <f>R85</f>
        <v>237.11887400000001</v>
      </c>
      <c r="T85" s="61"/>
      <c r="U85" s="107">
        <v>235.69933700000001</v>
      </c>
      <c r="V85" s="108">
        <v>233.331366</v>
      </c>
      <c r="W85" s="108">
        <v>232.14586700000001</v>
      </c>
      <c r="X85" s="109">
        <v>229.96123</v>
      </c>
      <c r="Y85" s="593">
        <f>X85</f>
        <v>229.96123</v>
      </c>
      <c r="Z85" s="61"/>
      <c r="AA85" s="107">
        <v>221.11483799999999</v>
      </c>
      <c r="AB85" s="108">
        <v>218.75172000000001</v>
      </c>
      <c r="AC85" s="108">
        <v>217.44668999999999</v>
      </c>
      <c r="AD85" s="109">
        <f>332.66216-117.844159</f>
        <v>214.81800099999998</v>
      </c>
      <c r="AE85" s="593">
        <f>AD85</f>
        <v>214.81800099999998</v>
      </c>
      <c r="AF85" s="61"/>
      <c r="AG85" s="107">
        <v>210.10343700000001</v>
      </c>
      <c r="AH85" s="108">
        <v>202.70023399999999</v>
      </c>
      <c r="AI85" s="108">
        <v>199.55492000000001</v>
      </c>
      <c r="AJ85" s="109">
        <f>332.66216-135.751039</f>
        <v>196.91112099999998</v>
      </c>
      <c r="AK85" s="593">
        <f>AJ85</f>
        <v>196.91112099999998</v>
      </c>
      <c r="AL85" s="61"/>
      <c r="AM85" s="107">
        <v>193.961151</v>
      </c>
      <c r="AN85" s="108">
        <v>194.25115700000001</v>
      </c>
      <c r="AO85" s="108">
        <v>194.212346</v>
      </c>
      <c r="AP85" s="109">
        <v>194.09446600000001</v>
      </c>
      <c r="AQ85" s="593">
        <f>AP85</f>
        <v>194.09446600000001</v>
      </c>
      <c r="AR85" s="61"/>
      <c r="AS85" s="107">
        <v>193.021175</v>
      </c>
      <c r="AT85" s="108">
        <v>193.204013</v>
      </c>
      <c r="AU85" s="108">
        <v>191.835949</v>
      </c>
      <c r="AV85" s="109">
        <f>332.66216-140.770158</f>
        <v>191.89200199999996</v>
      </c>
      <c r="AW85" s="593">
        <f>AV85</f>
        <v>191.89200199999996</v>
      </c>
      <c r="AX85" s="61"/>
      <c r="AY85" s="429">
        <v>192.93880100000001</v>
      </c>
      <c r="AZ85" s="430">
        <v>209.38562899999999</v>
      </c>
      <c r="BA85" s="430">
        <v>210.25437299999999</v>
      </c>
      <c r="BB85" s="431">
        <f>332.66216-121.966516</f>
        <v>210.69564399999996</v>
      </c>
      <c r="BC85" s="593">
        <f>BB85</f>
        <v>210.69564399999996</v>
      </c>
      <c r="BD85" s="61"/>
      <c r="BE85" s="429">
        <v>211.81652600000001</v>
      </c>
      <c r="BF85" s="430">
        <v>212.20200399999999</v>
      </c>
      <c r="BG85" s="430">
        <v>212.92584199999999</v>
      </c>
      <c r="BH85" s="431">
        <v>212.31958800000001</v>
      </c>
      <c r="BI85" s="593">
        <f>BH85</f>
        <v>212.31958800000001</v>
      </c>
      <c r="BJ85" s="61"/>
      <c r="BK85" s="429">
        <v>212.825085</v>
      </c>
      <c r="BL85" s="430">
        <v>213.305385</v>
      </c>
      <c r="BM85" s="430">
        <v>227.56496899999999</v>
      </c>
      <c r="BN85" s="428">
        <f>BM85+BN88</f>
        <v>227.96292</v>
      </c>
      <c r="BO85" s="593">
        <f>BN85</f>
        <v>227.96292</v>
      </c>
      <c r="BP85" s="61"/>
      <c r="BQ85" s="429">
        <v>266.24247200000002</v>
      </c>
      <c r="BR85" s="61">
        <f>BQ85+BR88</f>
        <v>270.44201450656368</v>
      </c>
      <c r="BS85" s="61">
        <f>BR85+BS88</f>
        <v>270.64156521035738</v>
      </c>
      <c r="BT85" s="428">
        <f>BS85+BT88</f>
        <v>270.84112396450564</v>
      </c>
      <c r="BU85" s="593">
        <f>BT85</f>
        <v>270.84112396450564</v>
      </c>
      <c r="BV85" s="61"/>
      <c r="BW85" s="432">
        <f>BT85+BW88</f>
        <v>271.33679056709542</v>
      </c>
      <c r="BX85" s="61">
        <f>BW85+BX88</f>
        <v>271.83636499180579</v>
      </c>
      <c r="BY85" s="61">
        <f>BX85+BY88</f>
        <v>272.33594704184645</v>
      </c>
      <c r="BZ85" s="428">
        <f>BY85+BZ88</f>
        <v>272.83553658058901</v>
      </c>
      <c r="CA85" s="593">
        <f>BZ85</f>
        <v>272.83553658058901</v>
      </c>
      <c r="CB85" s="61"/>
      <c r="CC85" s="432">
        <f>BZ85+CC88</f>
        <v>274.33150551323064</v>
      </c>
      <c r="CD85" s="61">
        <f>CC85+CD88</f>
        <v>274.43562152288035</v>
      </c>
      <c r="CE85" s="61">
        <f>CD85+CE88</f>
        <v>286.35041915387029</v>
      </c>
      <c r="CF85" s="428">
        <f>CE85+CF88</f>
        <v>286.46859472835308</v>
      </c>
      <c r="CG85" s="593">
        <f>CF85</f>
        <v>286.46859472835308</v>
      </c>
      <c r="CH85" s="61"/>
      <c r="CI85" s="432">
        <f>CF85+CI88</f>
        <v>287.9648448982523</v>
      </c>
      <c r="CJ85" s="61">
        <f>CI85+CJ88</f>
        <v>288.4644766340752</v>
      </c>
      <c r="CK85" s="61">
        <f>CJ85+CK88</f>
        <v>288.96411496834509</v>
      </c>
      <c r="CL85" s="428">
        <f>CK85+CL88</f>
        <v>289.46375978283299</v>
      </c>
      <c r="CM85" s="593">
        <f>CL85</f>
        <v>289.46375978283299</v>
      </c>
    </row>
    <row r="86" spans="1:91" hidden="1" outlineLevel="1" x14ac:dyDescent="0.2">
      <c r="A86" s="290" t="s">
        <v>278</v>
      </c>
      <c r="C86" s="432"/>
      <c r="D86" s="61"/>
      <c r="E86" s="61"/>
      <c r="F86" s="428"/>
      <c r="G86" s="593"/>
      <c r="H86" s="61"/>
      <c r="I86" s="432"/>
      <c r="J86" s="61"/>
      <c r="K86" s="61"/>
      <c r="L86" s="428"/>
      <c r="M86" s="593"/>
      <c r="N86" s="61"/>
      <c r="O86" s="432">
        <f>O78</f>
        <v>242.39699999999999</v>
      </c>
      <c r="P86" s="61">
        <f>P78</f>
        <v>240.239</v>
      </c>
      <c r="Q86" s="61">
        <f>Q78</f>
        <v>240.10900000000001</v>
      </c>
      <c r="R86" s="428">
        <f>R78</f>
        <v>239.16200000000001</v>
      </c>
      <c r="S86" s="593">
        <f>S78</f>
        <v>240.47900000000001</v>
      </c>
      <c r="T86" s="61"/>
      <c r="U86" s="432">
        <f>U78</f>
        <v>237.36</v>
      </c>
      <c r="V86" s="61">
        <f>V78</f>
        <v>235.32499999999999</v>
      </c>
      <c r="W86" s="61">
        <f>W78</f>
        <v>233.24199999999999</v>
      </c>
      <c r="X86" s="428">
        <f>X78</f>
        <v>231.39599999999999</v>
      </c>
      <c r="Y86" s="593">
        <f>Y78</f>
        <v>243.328</v>
      </c>
      <c r="Z86" s="61"/>
      <c r="AA86" s="432">
        <f>AA78</f>
        <v>228.083</v>
      </c>
      <c r="AB86" s="61">
        <f>AB78</f>
        <v>220.89400000000001</v>
      </c>
      <c r="AC86" s="61">
        <f>AC78</f>
        <v>218.96600000000001</v>
      </c>
      <c r="AD86" s="428">
        <f>AD78</f>
        <v>216.726</v>
      </c>
      <c r="AE86" s="593">
        <f>AVERAGE(AA86:AD86)</f>
        <v>221.16725</v>
      </c>
      <c r="AF86" s="61"/>
      <c r="AG86" s="432">
        <f>AG78</f>
        <v>214.3</v>
      </c>
      <c r="AH86" s="61">
        <f>AH78</f>
        <v>206.42599999999999</v>
      </c>
      <c r="AI86" s="61">
        <f>AI78</f>
        <v>202.01499999999999</v>
      </c>
      <c r="AJ86" s="428">
        <f>AJ78</f>
        <v>199.072</v>
      </c>
      <c r="AK86" s="593">
        <f>AVERAGE(AG86:AJ86)</f>
        <v>205.45325</v>
      </c>
      <c r="AL86" s="61"/>
      <c r="AM86" s="432">
        <f>AM78</f>
        <v>196.42699999999999</v>
      </c>
      <c r="AN86" s="61">
        <f>AN78</f>
        <v>194.60900000000001</v>
      </c>
      <c r="AO86" s="61">
        <f>AO78</f>
        <v>194.87899999999999</v>
      </c>
      <c r="AP86" s="428">
        <f>AP78</f>
        <v>194.697</v>
      </c>
      <c r="AQ86" s="593">
        <f>AVERAGE(AM86:AP86)</f>
        <v>195.15299999999999</v>
      </c>
      <c r="AR86" s="61"/>
      <c r="AS86" s="432">
        <f>AS78</f>
        <v>194.203</v>
      </c>
      <c r="AT86" s="61">
        <f>AT78</f>
        <v>193.60900000000001</v>
      </c>
      <c r="AU86" s="61">
        <f>AU78</f>
        <v>193.054</v>
      </c>
      <c r="AV86" s="428">
        <f>AV78</f>
        <v>192.33199999999999</v>
      </c>
      <c r="AW86" s="593">
        <f>AVERAGE(AS86:AV86)</f>
        <v>193.29949999999999</v>
      </c>
      <c r="AX86" s="61"/>
      <c r="AY86" s="432">
        <f>AVERAGE(AV85,AY85)</f>
        <v>192.41540149999997</v>
      </c>
      <c r="AZ86" s="61">
        <f>AVERAGE(AY85:AZ85)</f>
        <v>201.162215</v>
      </c>
      <c r="BA86" s="61">
        <f>AVERAGE(AZ85:BA85)</f>
        <v>209.82000099999999</v>
      </c>
      <c r="BB86" s="428">
        <f>AVERAGE(BA85:BB85)</f>
        <v>210.47500849999997</v>
      </c>
      <c r="BC86" s="593">
        <f>AVERAGE(AY86:BB86)</f>
        <v>203.46815649999999</v>
      </c>
      <c r="BD86" s="61"/>
      <c r="BE86" s="432">
        <f>AVERAGE(BB85,BE85)</f>
        <v>211.25608499999998</v>
      </c>
      <c r="BF86" s="61">
        <f>AVERAGE(BE85:BF85)</f>
        <v>212.009265</v>
      </c>
      <c r="BG86" s="61">
        <f>AVERAGE(BF85:BG85)</f>
        <v>212.56392299999999</v>
      </c>
      <c r="BH86" s="428">
        <f>AVERAGE(BG85:BH85)</f>
        <v>212.622715</v>
      </c>
      <c r="BI86" s="593">
        <f>AVERAGE(BE86:BH86)</f>
        <v>212.11299700000001</v>
      </c>
      <c r="BJ86" s="61"/>
      <c r="BK86" s="432">
        <f>AVERAGE(BH85,BK85)</f>
        <v>212.57233650000001</v>
      </c>
      <c r="BL86" s="61">
        <f>AVERAGE(BK85:BL85)</f>
        <v>213.065235</v>
      </c>
      <c r="BM86" s="61">
        <f>AVERAGE(BL85:BM85)</f>
        <v>220.43517700000001</v>
      </c>
      <c r="BN86" s="428">
        <f>AVERAGE(BM85:BN85)</f>
        <v>227.76394449999998</v>
      </c>
      <c r="BO86" s="593">
        <f>AVERAGE(BK86:BN86)</f>
        <v>218.45917324999999</v>
      </c>
      <c r="BP86" s="61"/>
      <c r="BQ86" s="432">
        <f>AVERAGE(BN85,BQ85)</f>
        <v>247.10269600000001</v>
      </c>
      <c r="BR86" s="611">
        <f>BR85</f>
        <v>270.44201450656368</v>
      </c>
      <c r="BS86" s="61">
        <f>AVERAGE(BR85:BS85)</f>
        <v>270.54178985846056</v>
      </c>
      <c r="BT86" s="428">
        <f>AVERAGE(BS85:BT85)</f>
        <v>270.74134458743151</v>
      </c>
      <c r="BU86" s="593">
        <f>AVERAGE(BQ86:BT86)</f>
        <v>264.70696123811393</v>
      </c>
      <c r="BV86" s="61"/>
      <c r="BW86" s="432">
        <f>AVERAGE(BT85,BW85)</f>
        <v>271.08895726580056</v>
      </c>
      <c r="BX86" s="61">
        <f>AVERAGE(BW85:BX85)</f>
        <v>271.58657777945064</v>
      </c>
      <c r="BY86" s="61">
        <f>AVERAGE(BX85:BY85)</f>
        <v>272.08615601682612</v>
      </c>
      <c r="BZ86" s="428">
        <f>AVERAGE(BY85:BZ85)</f>
        <v>272.58574181121776</v>
      </c>
      <c r="CA86" s="593">
        <f>AVERAGE(BW86:BZ86)</f>
        <v>271.83685821832375</v>
      </c>
      <c r="CB86" s="61"/>
      <c r="CC86" s="432">
        <f>AVERAGE(BZ85,CC85)</f>
        <v>273.58352104690982</v>
      </c>
      <c r="CD86" s="61">
        <f>AVERAGE(CC85:CD85)</f>
        <v>274.3835635180555</v>
      </c>
      <c r="CE86" s="611">
        <f>CE85</f>
        <v>286.35041915387029</v>
      </c>
      <c r="CF86" s="428">
        <f>AVERAGE(CE85:CF85)</f>
        <v>286.40950694111166</v>
      </c>
      <c r="CG86" s="593">
        <f>AVERAGE(CC86:CF86)</f>
        <v>280.18175266498679</v>
      </c>
      <c r="CH86" s="61"/>
      <c r="CI86" s="432">
        <f>AVERAGE(CF85,CI85)</f>
        <v>287.21671981330269</v>
      </c>
      <c r="CJ86" s="61">
        <f>AVERAGE(CI85:CJ85)</f>
        <v>288.21466076616377</v>
      </c>
      <c r="CK86" s="61">
        <f>AVERAGE(CJ85:CK85)</f>
        <v>288.71429580121014</v>
      </c>
      <c r="CL86" s="428">
        <f>AVERAGE(CK85:CL85)</f>
        <v>289.21393737558901</v>
      </c>
      <c r="CM86" s="593">
        <f>AVERAGE(CI86:CL86)</f>
        <v>288.3399034390664</v>
      </c>
    </row>
    <row r="87" spans="1:91" hidden="1" outlineLevel="1" x14ac:dyDescent="0.2">
      <c r="A87" s="290"/>
      <c r="B87" s="54"/>
      <c r="C87" s="612"/>
      <c r="D87" s="54"/>
      <c r="E87" s="54"/>
      <c r="F87" s="613"/>
      <c r="G87" s="614"/>
      <c r="H87" s="54"/>
      <c r="I87" s="612"/>
      <c r="J87" s="54"/>
      <c r="K87" s="54"/>
      <c r="L87" s="613"/>
      <c r="M87" s="615"/>
      <c r="N87" s="54"/>
      <c r="O87" s="612"/>
      <c r="P87" s="54"/>
      <c r="Q87" s="54"/>
      <c r="R87" s="613"/>
      <c r="S87" s="616"/>
      <c r="T87" s="54"/>
      <c r="U87" s="612"/>
      <c r="V87" s="54"/>
      <c r="W87" s="54"/>
      <c r="X87" s="613"/>
      <c r="Y87" s="616"/>
      <c r="Z87" s="54"/>
      <c r="AA87" s="612"/>
      <c r="AB87" s="54"/>
      <c r="AC87" s="54"/>
      <c r="AD87" s="613"/>
      <c r="AE87" s="614"/>
      <c r="AF87" s="54"/>
      <c r="AG87" s="612"/>
      <c r="AH87" s="54"/>
      <c r="AI87" s="54"/>
      <c r="AJ87" s="613"/>
      <c r="AK87" s="614"/>
      <c r="AL87" s="54"/>
      <c r="AM87" s="612"/>
      <c r="AN87" s="54"/>
      <c r="AO87" s="54"/>
      <c r="AP87" s="613"/>
      <c r="AQ87" s="614"/>
      <c r="AR87" s="54"/>
      <c r="AS87" s="612"/>
      <c r="AT87" s="54"/>
      <c r="AU87" s="54"/>
      <c r="AV87" s="613"/>
      <c r="AW87" s="614"/>
      <c r="AX87" s="54"/>
      <c r="AY87" s="612"/>
      <c r="AZ87" s="54"/>
      <c r="BA87" s="54"/>
      <c r="BB87" s="613"/>
      <c r="BC87" s="614"/>
      <c r="BD87" s="54"/>
      <c r="BE87" s="612"/>
      <c r="BF87" s="54"/>
      <c r="BG87" s="54"/>
      <c r="BH87" s="613"/>
      <c r="BI87" s="614"/>
      <c r="BJ87" s="54"/>
      <c r="BK87" s="612"/>
      <c r="BL87" s="54"/>
      <c r="BM87" s="54"/>
      <c r="BN87" s="613"/>
      <c r="BO87" s="614"/>
      <c r="BP87" s="54"/>
      <c r="BQ87" s="612"/>
      <c r="BR87" s="54"/>
      <c r="BS87" s="54"/>
      <c r="BT87" s="613"/>
      <c r="BU87" s="614"/>
      <c r="BV87" s="54"/>
      <c r="BW87" s="612"/>
      <c r="BX87" s="54"/>
      <c r="BY87" s="54"/>
      <c r="BZ87" s="613"/>
      <c r="CA87" s="614"/>
      <c r="CB87" s="54"/>
      <c r="CC87" s="612"/>
      <c r="CD87" s="54"/>
      <c r="CE87" s="54"/>
      <c r="CF87" s="613"/>
      <c r="CG87" s="614"/>
      <c r="CH87" s="54"/>
      <c r="CI87" s="612"/>
      <c r="CJ87" s="54"/>
      <c r="CK87" s="54"/>
      <c r="CL87" s="613"/>
      <c r="CM87" s="614"/>
    </row>
    <row r="88" spans="1:91" hidden="1" outlineLevel="1" x14ac:dyDescent="0.2">
      <c r="A88" s="290" t="s">
        <v>279</v>
      </c>
      <c r="C88" s="432"/>
      <c r="D88" s="61"/>
      <c r="E88" s="61"/>
      <c r="F88" s="428"/>
      <c r="G88" s="593"/>
      <c r="H88" s="61"/>
      <c r="I88" s="432"/>
      <c r="J88" s="61"/>
      <c r="K88" s="61"/>
      <c r="L88" s="428"/>
      <c r="M88" s="602"/>
      <c r="N88" s="61"/>
      <c r="O88" s="432"/>
      <c r="P88" s="61">
        <f>P85-O85</f>
        <v>-0.17733099999998103</v>
      </c>
      <c r="Q88" s="61">
        <f>Q85-P85</f>
        <v>-0.14403700000002573</v>
      </c>
      <c r="R88" s="428">
        <f>R85-Q85</f>
        <v>-2.2708439999999825</v>
      </c>
      <c r="S88" s="602"/>
      <c r="T88" s="61"/>
      <c r="U88" s="432">
        <f>U85-R85</f>
        <v>-1.4195369999999912</v>
      </c>
      <c r="V88" s="61">
        <f>V85-U85</f>
        <v>-2.3679710000000114</v>
      </c>
      <c r="W88" s="61">
        <f>W85-V85</f>
        <v>-1.185498999999993</v>
      </c>
      <c r="X88" s="428">
        <f>X85-W85</f>
        <v>-2.1846370000000093</v>
      </c>
      <c r="Y88" s="593">
        <f>SUM(U88:X88)</f>
        <v>-7.1576440000000048</v>
      </c>
      <c r="Z88" s="61"/>
      <c r="AA88" s="432">
        <f>AA85-X85</f>
        <v>-8.8463920000000087</v>
      </c>
      <c r="AB88" s="61">
        <f>AB85-AA85</f>
        <v>-2.3631179999999858</v>
      </c>
      <c r="AC88" s="61">
        <f>AC85-AB85</f>
        <v>-1.3050300000000163</v>
      </c>
      <c r="AD88" s="428">
        <f>AD85-AC85</f>
        <v>-2.6286890000000085</v>
      </c>
      <c r="AE88" s="593">
        <f>SUM(AA88:AD88)</f>
        <v>-15.143229000000019</v>
      </c>
      <c r="AF88" s="61"/>
      <c r="AG88" s="432">
        <f>AG85-AD85</f>
        <v>-4.7145639999999673</v>
      </c>
      <c r="AH88" s="61">
        <f>AH85-AG85</f>
        <v>-7.4032030000000191</v>
      </c>
      <c r="AI88" s="61">
        <f>AI85-AH85</f>
        <v>-3.1453139999999848</v>
      </c>
      <c r="AJ88" s="428">
        <f>AJ85-AI85</f>
        <v>-2.6437990000000298</v>
      </c>
      <c r="AK88" s="593">
        <f>SUM(AG88:AJ88)</f>
        <v>-17.906880000000001</v>
      </c>
      <c r="AL88" s="61"/>
      <c r="AM88" s="432">
        <f>AM85-AJ85</f>
        <v>-2.9499699999999791</v>
      </c>
      <c r="AN88" s="61">
        <f>AN85-AM85</f>
        <v>0.29000600000000532</v>
      </c>
      <c r="AO88" s="61">
        <f>AO85-AN85</f>
        <v>-3.8811000000009699E-2</v>
      </c>
      <c r="AP88" s="428">
        <f>AP85-AO85</f>
        <v>-0.11787999999998533</v>
      </c>
      <c r="AQ88" s="593">
        <f>SUM(AM88:AP88)</f>
        <v>-2.8166549999999688</v>
      </c>
      <c r="AR88" s="61"/>
      <c r="AS88" s="432">
        <f>AS85-AP85</f>
        <v>-1.0732910000000118</v>
      </c>
      <c r="AT88" s="61">
        <f>AT85-AS85</f>
        <v>0.18283800000000383</v>
      </c>
      <c r="AU88" s="61">
        <f>AU85-AT85</f>
        <v>-1.3680640000000039</v>
      </c>
      <c r="AV88" s="428">
        <f>AV85-AU85</f>
        <v>5.6052999999963049E-2</v>
      </c>
      <c r="AW88" s="593">
        <f>SUM(AS88:AV88)</f>
        <v>-2.2024640000000488</v>
      </c>
      <c r="AX88" s="61"/>
      <c r="AY88" s="432">
        <f>AY85-AV85</f>
        <v>1.0467990000000498</v>
      </c>
      <c r="AZ88" s="61">
        <f>AZ85-AY85</f>
        <v>16.446827999999982</v>
      </c>
      <c r="BA88" s="61">
        <f>BA85-AZ85</f>
        <v>0.86874399999999241</v>
      </c>
      <c r="BB88" s="428">
        <f>BB85-BA85</f>
        <v>0.44127099999997199</v>
      </c>
      <c r="BC88" s="593">
        <f>SUM(AY88:BB88)</f>
        <v>18.803641999999996</v>
      </c>
      <c r="BD88" s="61"/>
      <c r="BE88" s="432">
        <f>BE85-BB85</f>
        <v>1.1208820000000514</v>
      </c>
      <c r="BF88" s="61">
        <f>BF85-BE85</f>
        <v>0.38547799999997778</v>
      </c>
      <c r="BG88" s="61">
        <f>BG85-BF85</f>
        <v>0.72383800000000065</v>
      </c>
      <c r="BH88" s="428">
        <f>BH85-BG85</f>
        <v>-0.60625399999997853</v>
      </c>
      <c r="BI88" s="593">
        <f>SUM(BE88:BH88)</f>
        <v>1.6239440000000513</v>
      </c>
      <c r="BJ88" s="61"/>
      <c r="BK88" s="432">
        <f>BK85-BH85</f>
        <v>0.5054969999999912</v>
      </c>
      <c r="BL88" s="61">
        <f>BL85-BK85</f>
        <v>0.48029999999999973</v>
      </c>
      <c r="BM88" s="61">
        <f>BM85-BL85</f>
        <v>14.25958399999999</v>
      </c>
      <c r="BN88" s="428">
        <f>BN89+BN90+BN91</f>
        <v>0.397951</v>
      </c>
      <c r="BO88" s="593">
        <f>SUM(BK88:BN88)</f>
        <v>15.643331999999981</v>
      </c>
      <c r="BP88" s="61"/>
      <c r="BQ88" s="432">
        <f>BQ85-BN85</f>
        <v>38.279552000000024</v>
      </c>
      <c r="BR88" s="61">
        <f>BR89+BR90+BR91</f>
        <v>4.1995425065636516</v>
      </c>
      <c r="BS88" s="61">
        <f>BS89+BS90+BS91</f>
        <v>0.19955070379371034</v>
      </c>
      <c r="BT88" s="428">
        <f>BT89+BT90+BT91</f>
        <v>0.19955875414826169</v>
      </c>
      <c r="BU88" s="593">
        <f>SUM(BQ88:BT88)</f>
        <v>42.878203964505651</v>
      </c>
      <c r="BV88" s="61"/>
      <c r="BW88" s="432">
        <f>BW89+BW90+BW91</f>
        <v>0.49566660258976813</v>
      </c>
      <c r="BX88" s="61">
        <f>BX89+BX90+BX91</f>
        <v>0.49957442471037344</v>
      </c>
      <c r="BY88" s="61">
        <f>BY89+BY90+BY91</f>
        <v>0.49958205004066075</v>
      </c>
      <c r="BZ88" s="428">
        <f>BZ89+BZ90+BZ91</f>
        <v>0.49958953874256901</v>
      </c>
      <c r="CA88" s="593">
        <f>SUM(BW88:BZ88)</f>
        <v>1.9944126160833713</v>
      </c>
      <c r="CB88" s="61"/>
      <c r="CC88" s="432">
        <f>CC89+CC90+CC91</f>
        <v>1.4959689326416448</v>
      </c>
      <c r="CD88" s="61">
        <f>CD89+CD90+CD91</f>
        <v>0.10411600964972662</v>
      </c>
      <c r="CE88" s="61">
        <f>CE89+CE90+CE91</f>
        <v>11.914797630989964</v>
      </c>
      <c r="CF88" s="428">
        <f>CF89+CF90+CF91</f>
        <v>0.11817557448279986</v>
      </c>
      <c r="CG88" s="593">
        <f>SUM(CC88:CF88)</f>
        <v>13.633058147764135</v>
      </c>
      <c r="CH88" s="61"/>
      <c r="CI88" s="432">
        <f>CI89+CI90+CI91</f>
        <v>1.4962501698992043</v>
      </c>
      <c r="CJ88" s="61">
        <f>CJ89+CJ90+CJ91</f>
        <v>0.49963173582292997</v>
      </c>
      <c r="CK88" s="61">
        <f>CK89+CK90+CK91</f>
        <v>0.49963833426990656</v>
      </c>
      <c r="CL88" s="428">
        <f>CL89+CL90+CL91</f>
        <v>0.499644814487891</v>
      </c>
      <c r="CM88" s="593">
        <f>SUM(CI88:CL88)</f>
        <v>2.9951650544799318</v>
      </c>
    </row>
    <row r="89" spans="1:91" hidden="1" outlineLevel="1" x14ac:dyDescent="0.2">
      <c r="A89" s="86" t="s">
        <v>280</v>
      </c>
      <c r="C89" s="432"/>
      <c r="D89" s="61"/>
      <c r="E89" s="61"/>
      <c r="F89" s="428"/>
      <c r="G89" s="593"/>
      <c r="H89" s="61"/>
      <c r="I89" s="432"/>
      <c r="J89" s="61"/>
      <c r="K89" s="61"/>
      <c r="L89" s="428"/>
      <c r="M89" s="602"/>
      <c r="N89" s="61"/>
      <c r="O89" s="107">
        <v>0</v>
      </c>
      <c r="P89" s="108">
        <v>0</v>
      </c>
      <c r="Q89" s="108">
        <v>0</v>
      </c>
      <c r="R89" s="109">
        <v>0</v>
      </c>
      <c r="S89" s="593">
        <f>SUM(O89:R89)</f>
        <v>0</v>
      </c>
      <c r="T89" s="61"/>
      <c r="U89" s="107">
        <v>0</v>
      </c>
      <c r="V89" s="108">
        <v>0</v>
      </c>
      <c r="W89" s="108">
        <v>0</v>
      </c>
      <c r="X89" s="109">
        <v>0</v>
      </c>
      <c r="Y89" s="593">
        <f>SUM(U89:X89)</f>
        <v>0</v>
      </c>
      <c r="Z89" s="61"/>
      <c r="AA89" s="107">
        <v>0</v>
      </c>
      <c r="AB89" s="108">
        <v>0</v>
      </c>
      <c r="AC89" s="108">
        <v>0</v>
      </c>
      <c r="AD89" s="109">
        <v>0</v>
      </c>
      <c r="AE89" s="593">
        <f>SUM(AA89:AD89)</f>
        <v>0</v>
      </c>
      <c r="AF89" s="61"/>
      <c r="AG89" s="107">
        <v>0</v>
      </c>
      <c r="AH89" s="108">
        <v>0</v>
      </c>
      <c r="AI89" s="108">
        <v>0</v>
      </c>
      <c r="AJ89" s="109">
        <v>0</v>
      </c>
      <c r="AK89" s="593">
        <f>SUM(AG89:AJ89)</f>
        <v>0</v>
      </c>
      <c r="AL89" s="61"/>
      <c r="AM89" s="107">
        <v>0</v>
      </c>
      <c r="AN89" s="108">
        <v>0</v>
      </c>
      <c r="AO89" s="108">
        <v>0</v>
      </c>
      <c r="AP89" s="109">
        <v>0</v>
      </c>
      <c r="AQ89" s="593">
        <f>SUM(AM89:AP89)</f>
        <v>0</v>
      </c>
      <c r="AR89" s="61"/>
      <c r="AS89" s="107">
        <v>0</v>
      </c>
      <c r="AT89" s="108">
        <v>0</v>
      </c>
      <c r="AU89" s="108">
        <v>0</v>
      </c>
      <c r="AV89" s="109">
        <v>0</v>
      </c>
      <c r="AW89" s="593">
        <f>SUM(AS89:AV89)</f>
        <v>0</v>
      </c>
      <c r="AX89" s="61"/>
      <c r="AY89" s="107">
        <v>0</v>
      </c>
      <c r="AZ89" s="430">
        <v>15.9</v>
      </c>
      <c r="BA89" s="430">
        <v>0</v>
      </c>
      <c r="BB89" s="109">
        <v>0</v>
      </c>
      <c r="BC89" s="593">
        <f>SUM(AY89:BB89)</f>
        <v>15.9</v>
      </c>
      <c r="BD89" s="61"/>
      <c r="BE89" s="107">
        <v>0</v>
      </c>
      <c r="BF89" s="430">
        <v>0</v>
      </c>
      <c r="BG89" s="108">
        <v>0</v>
      </c>
      <c r="BH89" s="109">
        <v>0</v>
      </c>
      <c r="BI89" s="593">
        <f>SUM(BE89:BH89)</f>
        <v>0</v>
      </c>
      <c r="BJ89" s="61"/>
      <c r="BK89" s="107">
        <v>0</v>
      </c>
      <c r="BL89" s="430">
        <v>0</v>
      </c>
      <c r="BM89" s="430">
        <v>14.025</v>
      </c>
      <c r="BN89" s="109">
        <v>0</v>
      </c>
      <c r="BO89" s="593">
        <f>SUM(BK89:BN89)</f>
        <v>14.025</v>
      </c>
      <c r="BP89" s="61"/>
      <c r="BQ89" s="107">
        <f>BQ88</f>
        <v>38.279552000000024</v>
      </c>
      <c r="BR89" s="108">
        <v>4</v>
      </c>
      <c r="BS89" s="108">
        <v>0</v>
      </c>
      <c r="BT89" s="109">
        <v>0</v>
      </c>
      <c r="BU89" s="593">
        <f>SUM(BQ89:BT89)</f>
        <v>42.279552000000024</v>
      </c>
      <c r="BV89" s="61"/>
      <c r="BW89" s="107">
        <v>0</v>
      </c>
      <c r="BX89" s="108">
        <v>0</v>
      </c>
      <c r="BY89" s="108">
        <v>0</v>
      </c>
      <c r="BZ89" s="109">
        <v>0</v>
      </c>
      <c r="CA89" s="593">
        <f>SUM(BW89:BZ89)</f>
        <v>0</v>
      </c>
      <c r="CB89" s="61"/>
      <c r="CC89" s="107">
        <v>0</v>
      </c>
      <c r="CD89" s="108">
        <v>0</v>
      </c>
      <c r="CE89" s="61">
        <f>CE114</f>
        <v>11.803588290840416</v>
      </c>
      <c r="CF89" s="109">
        <v>0</v>
      </c>
      <c r="CG89" s="593">
        <f>SUM(CC89:CF89)</f>
        <v>11.803588290840416</v>
      </c>
      <c r="CH89" s="61"/>
      <c r="CI89" s="107">
        <v>0</v>
      </c>
      <c r="CJ89" s="108">
        <v>0</v>
      </c>
      <c r="CK89" s="108">
        <v>0</v>
      </c>
      <c r="CL89" s="109">
        <v>0</v>
      </c>
      <c r="CM89" s="593">
        <f>SUM(CI89:CL89)</f>
        <v>0</v>
      </c>
    </row>
    <row r="90" spans="1:91" hidden="1" outlineLevel="1" x14ac:dyDescent="0.2">
      <c r="A90" s="86" t="s">
        <v>281</v>
      </c>
      <c r="C90" s="432"/>
      <c r="D90" s="61"/>
      <c r="E90" s="61"/>
      <c r="F90" s="428"/>
      <c r="G90" s="593"/>
      <c r="H90" s="61"/>
      <c r="I90" s="432"/>
      <c r="J90" s="61"/>
      <c r="K90" s="61"/>
      <c r="L90" s="428"/>
      <c r="M90" s="602"/>
      <c r="N90" s="61"/>
      <c r="O90" s="432">
        <f>-O94</f>
        <v>-4.3599899999999998</v>
      </c>
      <c r="P90" s="61">
        <f>-P94</f>
        <v>-0.81971000000000005</v>
      </c>
      <c r="Q90" s="61">
        <f>-Q94</f>
        <v>-0.47920099999999999</v>
      </c>
      <c r="R90" s="428">
        <f>-R94</f>
        <v>-2.617521</v>
      </c>
      <c r="S90" s="593">
        <f>SUM(O90:R90)</f>
        <v>-8.2764220000000002</v>
      </c>
      <c r="T90" s="61"/>
      <c r="U90" s="432">
        <f>-U94</f>
        <v>-2.5466630000000001</v>
      </c>
      <c r="V90" s="61">
        <f>-V94</f>
        <v>-3.3782329999999998</v>
      </c>
      <c r="W90" s="61">
        <f>-W94</f>
        <v>-1.345413</v>
      </c>
      <c r="X90" s="428">
        <f>-X94</f>
        <v>-2.827261</v>
      </c>
      <c r="Y90" s="593">
        <f>SUM(U90:X90)</f>
        <v>-10.097570000000001</v>
      </c>
      <c r="Z90" s="61"/>
      <c r="AA90" s="432">
        <f>-AA94</f>
        <v>-10.343799000000001</v>
      </c>
      <c r="AB90" s="61">
        <f>-AB94</f>
        <v>-2.7645040000000001</v>
      </c>
      <c r="AC90" s="61">
        <f>-AC94</f>
        <v>-2.5241370000000001</v>
      </c>
      <c r="AD90" s="428">
        <f>-AD94</f>
        <v>-2.8171390000000001</v>
      </c>
      <c r="AE90" s="593">
        <f>SUM(AA90:AD90)</f>
        <v>-18.449579</v>
      </c>
      <c r="AF90" s="61"/>
      <c r="AG90" s="432">
        <f>-AG94</f>
        <v>-5.4730869999999996</v>
      </c>
      <c r="AH90" s="61">
        <f>-AH94</f>
        <v>-7.8700910000000004</v>
      </c>
      <c r="AI90" s="61">
        <f>-AI94</f>
        <v>-3.3563459999999998</v>
      </c>
      <c r="AJ90" s="428">
        <f>-AJ94</f>
        <v>-3.277571</v>
      </c>
      <c r="AK90" s="593">
        <f>SUM(AG90:AJ90)</f>
        <v>-19.977094999999998</v>
      </c>
      <c r="AL90" s="61"/>
      <c r="AM90" s="432">
        <f>-AM94</f>
        <v>-3.9065180000000002</v>
      </c>
      <c r="AN90" s="61">
        <f>-AN94</f>
        <v>-0.64405999999999997</v>
      </c>
      <c r="AO90" s="61">
        <f>-AO94</f>
        <v>-0.50444699999999998</v>
      </c>
      <c r="AP90" s="428">
        <f>-AP94</f>
        <v>-0.44587900000000003</v>
      </c>
      <c r="AQ90" s="593">
        <f>SUM(AM90:AP90)</f>
        <v>-5.5009039999999993</v>
      </c>
      <c r="AR90" s="61"/>
      <c r="AS90" s="432">
        <f>-AS94</f>
        <v>-1.756699</v>
      </c>
      <c r="AT90" s="61">
        <f>-AT94</f>
        <v>-0.21703600000000001</v>
      </c>
      <c r="AU90" s="61">
        <f>-AU94</f>
        <v>-1.6065449999999999</v>
      </c>
      <c r="AV90" s="428">
        <f>-AV94</f>
        <v>-2.9640000000000001E-3</v>
      </c>
      <c r="AW90" s="593">
        <f>SUM(AS90:AV90)</f>
        <v>-3.5832440000000001</v>
      </c>
      <c r="AX90" s="61"/>
      <c r="AY90" s="432">
        <f>-AY94</f>
        <v>-3.1289999999999998E-3</v>
      </c>
      <c r="AZ90" s="61">
        <f>-AZ94</f>
        <v>-2.7369999999999998E-3</v>
      </c>
      <c r="BA90" s="61">
        <f>-BA94</f>
        <v>-2.774E-3</v>
      </c>
      <c r="BB90" s="428">
        <f>-BB94</f>
        <v>-2.715E-3</v>
      </c>
      <c r="BC90" s="593">
        <f>SUM(AY90:BB90)</f>
        <v>-1.1355000000000001E-2</v>
      </c>
      <c r="BD90" s="61"/>
      <c r="BE90" s="432">
        <f>-BE94</f>
        <v>-2.9030000000000002E-3</v>
      </c>
      <c r="BF90" s="61">
        <f>-BF94</f>
        <v>-3.1319999999999998E-3</v>
      </c>
      <c r="BG90" s="61">
        <f>-BG94</f>
        <v>-2.6340000000000001E-3</v>
      </c>
      <c r="BH90" s="428">
        <f>-BH94</f>
        <v>-2.3640000000000002E-3</v>
      </c>
      <c r="BI90" s="593">
        <f>SUM(BE90:BH90)</f>
        <v>-1.1032999999999999E-2</v>
      </c>
      <c r="BJ90" s="61"/>
      <c r="BK90" s="432">
        <f>-BK94</f>
        <v>-1.2916099999999999</v>
      </c>
      <c r="BL90" s="61">
        <f>-BL94</f>
        <v>-2.6090000000000002E-3</v>
      </c>
      <c r="BM90" s="61">
        <f>-BM94</f>
        <v>-2.1580000000000002E-3</v>
      </c>
      <c r="BN90" s="428">
        <f>-BN94</f>
        <v>-2.049E-3</v>
      </c>
      <c r="BO90" s="593">
        <f>SUM(BK90:BN90)</f>
        <v>-1.2984260000000001</v>
      </c>
      <c r="BP90" s="61"/>
      <c r="BQ90" s="432">
        <f>-BQ94</f>
        <v>-1.97E-3</v>
      </c>
      <c r="BR90" s="61">
        <f>-BR94</f>
        <v>-4.5749343634853435E-4</v>
      </c>
      <c r="BS90" s="61">
        <f>-BS94</f>
        <v>-4.4929620628967839E-4</v>
      </c>
      <c r="BT90" s="428">
        <f>-BT94</f>
        <v>-4.412458517383141E-4</v>
      </c>
      <c r="BU90" s="593">
        <f>SUM(BQ90:BT90)</f>
        <v>-3.3180354943765271E-3</v>
      </c>
      <c r="BV90" s="61"/>
      <c r="BW90" s="432">
        <f>-BW94</f>
        <v>-4.3333974102318842E-3</v>
      </c>
      <c r="BX90" s="61">
        <f>-BX94</f>
        <v>-4.2557528962654375E-4</v>
      </c>
      <c r="BY90" s="61">
        <f>-BY94</f>
        <v>-4.1794995933923585E-4</v>
      </c>
      <c r="BZ90" s="428">
        <f>-BZ94</f>
        <v>-4.1046125743099003E-4</v>
      </c>
      <c r="CA90" s="593">
        <f>SUM(BW90:BZ90)</f>
        <v>-5.5873839166286536E-3</v>
      </c>
      <c r="CB90" s="61"/>
      <c r="CC90" s="432">
        <f>-CC94</f>
        <v>-4.0310673583552423E-3</v>
      </c>
      <c r="CD90" s="61">
        <f>-CD94</f>
        <v>-0.39588399035027338</v>
      </c>
      <c r="CE90" s="61">
        <f>-CE94</f>
        <v>-0.38879065985045208</v>
      </c>
      <c r="CF90" s="428">
        <f>-CF94</f>
        <v>-0.38182442551720014</v>
      </c>
      <c r="CG90" s="593">
        <f>SUM(CC90:CF90)</f>
        <v>-1.1705301430762809</v>
      </c>
      <c r="CH90" s="61"/>
      <c r="CI90" s="432">
        <f>-CI94</f>
        <v>-3.7498301007955754E-3</v>
      </c>
      <c r="CJ90" s="61">
        <f>-CJ94</f>
        <v>-3.6826417707002188E-4</v>
      </c>
      <c r="CK90" s="61">
        <f>-CK94</f>
        <v>-3.6166573009344393E-4</v>
      </c>
      <c r="CL90" s="428">
        <f>-CL94</f>
        <v>-3.5518551210902348E-4</v>
      </c>
      <c r="CM90" s="593">
        <f>SUM(CI90:CL90)</f>
        <v>-4.8349455200680643E-3</v>
      </c>
    </row>
    <row r="91" spans="1:91" hidden="1" outlineLevel="1" x14ac:dyDescent="0.2">
      <c r="A91" s="86" t="s">
        <v>282</v>
      </c>
      <c r="C91" s="432"/>
      <c r="D91" s="61"/>
      <c r="E91" s="61"/>
      <c r="F91" s="428"/>
      <c r="G91" s="593"/>
      <c r="H91" s="61"/>
      <c r="I91" s="432"/>
      <c r="J91" s="61"/>
      <c r="K91" s="61"/>
      <c r="L91" s="428"/>
      <c r="M91" s="602"/>
      <c r="N91" s="61"/>
      <c r="O91" s="432"/>
      <c r="P91" s="61">
        <f>P88-P89-P90</f>
        <v>0.64237900000001902</v>
      </c>
      <c r="Q91" s="61">
        <f>Q88-Q89-Q90</f>
        <v>0.33516399999997426</v>
      </c>
      <c r="R91" s="428">
        <f>R88-R89-R90</f>
        <v>0.34667700000001744</v>
      </c>
      <c r="S91" s="602"/>
      <c r="T91" s="61"/>
      <c r="U91" s="432">
        <f>U88-U89-U90</f>
        <v>1.127126000000009</v>
      </c>
      <c r="V91" s="61">
        <f>V88-V89-V90</f>
        <v>1.0102619999999884</v>
      </c>
      <c r="W91" s="61">
        <f>W88-W89-W90</f>
        <v>0.15991400000000699</v>
      </c>
      <c r="X91" s="428">
        <f>X88-X89-X90</f>
        <v>0.64262399999999076</v>
      </c>
      <c r="Y91" s="593">
        <f>SUM(U91:X91)</f>
        <v>2.9399259999999954</v>
      </c>
      <c r="Z91" s="61"/>
      <c r="AA91" s="432">
        <f>AA88-AA89-AA90</f>
        <v>1.4974069999999919</v>
      </c>
      <c r="AB91" s="61">
        <f>AB88-AB89-AB90</f>
        <v>0.40138600000001423</v>
      </c>
      <c r="AC91" s="61">
        <f>AC88-AC89-AC90</f>
        <v>1.2191069999999837</v>
      </c>
      <c r="AD91" s="428">
        <f>AD88-AD89-AD90</f>
        <v>0.18844999999999157</v>
      </c>
      <c r="AE91" s="593">
        <f>SUM(AA91:AD91)</f>
        <v>3.3063499999999815</v>
      </c>
      <c r="AF91" s="61"/>
      <c r="AG91" s="432">
        <f>AG88-AG89-AG90</f>
        <v>0.75852300000003225</v>
      </c>
      <c r="AH91" s="61">
        <f>AH88-AH89-AH90</f>
        <v>0.46688799999998132</v>
      </c>
      <c r="AI91" s="61">
        <f>AI88-AI89-AI90</f>
        <v>0.21103200000001499</v>
      </c>
      <c r="AJ91" s="428">
        <f>AJ88-AJ89-AJ90</f>
        <v>0.63377199999997025</v>
      </c>
      <c r="AK91" s="593">
        <f>SUM(AG91:AJ91)</f>
        <v>2.0702149999999988</v>
      </c>
      <c r="AL91" s="61"/>
      <c r="AM91" s="432">
        <f>AM88-AM89-AM90</f>
        <v>0.95654800000002105</v>
      </c>
      <c r="AN91" s="61">
        <f>AN88-AN89-AN90</f>
        <v>0.93406600000000528</v>
      </c>
      <c r="AO91" s="61">
        <f>AO88-AO89-AO90</f>
        <v>0.46563599999999028</v>
      </c>
      <c r="AP91" s="428">
        <f>AP88-AP89-AP90</f>
        <v>0.3279990000000147</v>
      </c>
      <c r="AQ91" s="593">
        <f>SUM(AM91:AP91)</f>
        <v>2.6842490000000314</v>
      </c>
      <c r="AR91" s="61"/>
      <c r="AS91" s="432">
        <f>AS88-AS89-AS90</f>
        <v>0.68340799999998825</v>
      </c>
      <c r="AT91" s="61">
        <f>AT88-AT89-AT90</f>
        <v>0.39987400000000384</v>
      </c>
      <c r="AU91" s="61">
        <f>AU88-AU89-AU90</f>
        <v>0.23848099999999595</v>
      </c>
      <c r="AV91" s="109">
        <f>AV88-AV89-AV90</f>
        <v>5.901699999996305E-2</v>
      </c>
      <c r="AW91" s="593">
        <f>SUM(AS91:AV91)</f>
        <v>1.380779999999951</v>
      </c>
      <c r="AX91" s="61"/>
      <c r="AY91" s="432">
        <f>AY88-AY89-AY90</f>
        <v>1.0499280000000497</v>
      </c>
      <c r="AZ91" s="61">
        <f>AZ88-AZ89-AZ90</f>
        <v>0.54956499999998187</v>
      </c>
      <c r="BA91" s="61">
        <f>BA88-BA89-BA90</f>
        <v>0.87151799999999247</v>
      </c>
      <c r="BB91" s="428">
        <f>BB88-BB89-BB90</f>
        <v>0.44398599999997201</v>
      </c>
      <c r="BC91" s="593">
        <f>SUM(AY91:BB91)</f>
        <v>2.9149969999999961</v>
      </c>
      <c r="BD91" s="61"/>
      <c r="BE91" s="432">
        <f>BE88-BE89-BE90</f>
        <v>1.1237850000000515</v>
      </c>
      <c r="BF91" s="61">
        <f>BF88-BF89-BF90</f>
        <v>0.38860999999997781</v>
      </c>
      <c r="BG91" s="61">
        <f>BG88-BG89-BG90</f>
        <v>0.72647200000000067</v>
      </c>
      <c r="BH91" s="428">
        <f>BH88-BH89-BH90</f>
        <v>-0.6038899999999785</v>
      </c>
      <c r="BI91" s="593">
        <f>SUM(BE91:BH91)</f>
        <v>1.6349770000000516</v>
      </c>
      <c r="BJ91" s="61"/>
      <c r="BK91" s="432">
        <f>BK88-BK89-BK90</f>
        <v>1.7971069999999911</v>
      </c>
      <c r="BL91" s="61">
        <f>BL88-BL89-BL90</f>
        <v>0.4829089999999997</v>
      </c>
      <c r="BM91" s="61">
        <f>BM88-BM89-BM90</f>
        <v>0.23674199999998924</v>
      </c>
      <c r="BN91" s="109">
        <v>0.4</v>
      </c>
      <c r="BO91" s="593">
        <f>SUM(BK91:BN91)</f>
        <v>2.9167579999999802</v>
      </c>
      <c r="BP91" s="61"/>
      <c r="BQ91" s="107">
        <v>0</v>
      </c>
      <c r="BR91" s="108">
        <v>0.2</v>
      </c>
      <c r="BS91" s="108">
        <v>0.2</v>
      </c>
      <c r="BT91" s="109">
        <v>0.2</v>
      </c>
      <c r="BU91" s="593">
        <f>SUM(BQ91:BT91)</f>
        <v>0.60000000000000009</v>
      </c>
      <c r="BV91" s="61"/>
      <c r="BW91" s="107">
        <v>0.5</v>
      </c>
      <c r="BX91" s="108">
        <f>BW91</f>
        <v>0.5</v>
      </c>
      <c r="BY91" s="108">
        <f t="shared" ref="BY91:BZ91" si="28">BX91</f>
        <v>0.5</v>
      </c>
      <c r="BZ91" s="109">
        <f t="shared" si="28"/>
        <v>0.5</v>
      </c>
      <c r="CA91" s="593">
        <f>SUM(BW91:BZ91)</f>
        <v>2</v>
      </c>
      <c r="CB91" s="61"/>
      <c r="CC91" s="107">
        <v>1.5</v>
      </c>
      <c r="CD91" s="108">
        <v>0.5</v>
      </c>
      <c r="CE91" s="108">
        <v>0.5</v>
      </c>
      <c r="CF91" s="109">
        <v>0.5</v>
      </c>
      <c r="CG91" s="593">
        <f>SUM(CC91:CF91)</f>
        <v>3</v>
      </c>
      <c r="CH91" s="61"/>
      <c r="CI91" s="107">
        <v>1.5</v>
      </c>
      <c r="CJ91" s="108">
        <v>0.5</v>
      </c>
      <c r="CK91" s="108">
        <v>0.5</v>
      </c>
      <c r="CL91" s="109">
        <v>0.5</v>
      </c>
      <c r="CM91" s="593">
        <f>SUM(CI91:CL91)</f>
        <v>3</v>
      </c>
    </row>
    <row r="92" spans="1:91" hidden="1" outlineLevel="1" x14ac:dyDescent="0.2">
      <c r="A92" s="233"/>
      <c r="C92" s="233"/>
      <c r="D92" s="11"/>
      <c r="E92" s="11"/>
      <c r="F92" s="234"/>
      <c r="G92" s="608"/>
      <c r="I92" s="233"/>
      <c r="J92" s="11"/>
      <c r="K92" s="11"/>
      <c r="L92" s="234"/>
      <c r="M92" s="616"/>
      <c r="O92" s="233"/>
      <c r="P92" s="11"/>
      <c r="Q92" s="11"/>
      <c r="R92" s="234"/>
      <c r="S92" s="616"/>
      <c r="U92" s="233"/>
      <c r="V92" s="11"/>
      <c r="W92" s="11"/>
      <c r="X92" s="234"/>
      <c r="Y92" s="616"/>
      <c r="AA92" s="233"/>
      <c r="AB92" s="11"/>
      <c r="AC92" s="11"/>
      <c r="AD92" s="234"/>
      <c r="AE92" s="608"/>
      <c r="AG92" s="233"/>
      <c r="AH92" s="11"/>
      <c r="AI92" s="11"/>
      <c r="AJ92" s="234"/>
      <c r="AK92" s="608"/>
      <c r="AM92" s="233"/>
      <c r="AN92" s="11"/>
      <c r="AO92" s="11"/>
      <c r="AP92" s="234"/>
      <c r="AQ92" s="608"/>
      <c r="AS92" s="233"/>
      <c r="AT92" s="11"/>
      <c r="AU92" s="11"/>
      <c r="AV92" s="234"/>
      <c r="AW92" s="608"/>
      <c r="AY92" s="233"/>
      <c r="AZ92" s="11"/>
      <c r="BA92" s="11"/>
      <c r="BB92" s="234"/>
      <c r="BC92" s="608"/>
      <c r="BE92" s="233"/>
      <c r="BF92" s="11"/>
      <c r="BG92" s="11"/>
      <c r="BH92" s="234"/>
      <c r="BI92" s="608"/>
      <c r="BK92" s="233"/>
      <c r="BL92" s="11"/>
      <c r="BM92" s="11"/>
      <c r="BN92" s="234"/>
      <c r="BO92" s="608"/>
      <c r="BQ92" s="233"/>
      <c r="BR92" s="11"/>
      <c r="BS92" s="11"/>
      <c r="BT92" s="234"/>
      <c r="BU92" s="608"/>
      <c r="BV92" s="11"/>
      <c r="BW92" s="233"/>
      <c r="BX92" s="11"/>
      <c r="BY92" s="11"/>
      <c r="BZ92" s="234"/>
      <c r="CA92" s="608"/>
      <c r="CB92" s="11"/>
      <c r="CC92" s="233"/>
      <c r="CD92" s="11"/>
      <c r="CE92" s="11"/>
      <c r="CF92" s="234"/>
      <c r="CG92" s="608"/>
      <c r="CH92" s="11"/>
      <c r="CI92" s="233"/>
      <c r="CJ92" s="11"/>
      <c r="CK92" s="11"/>
      <c r="CL92" s="234"/>
      <c r="CM92" s="608"/>
    </row>
    <row r="93" spans="1:91" collapsed="1" x14ac:dyDescent="0.2">
      <c r="A93" s="617" t="s">
        <v>283</v>
      </c>
      <c r="B93" s="618"/>
      <c r="C93" s="619"/>
      <c r="D93" s="618"/>
      <c r="E93" s="618"/>
      <c r="F93" s="620"/>
      <c r="G93" s="621"/>
      <c r="H93" s="618"/>
      <c r="I93" s="619"/>
      <c r="J93" s="618"/>
      <c r="K93" s="618"/>
      <c r="L93" s="620"/>
      <c r="M93" s="621"/>
      <c r="N93" s="618"/>
      <c r="O93" s="619"/>
      <c r="P93" s="618"/>
      <c r="Q93" s="618"/>
      <c r="R93" s="620"/>
      <c r="S93" s="621"/>
      <c r="T93" s="618"/>
      <c r="U93" s="619"/>
      <c r="V93" s="618"/>
      <c r="W93" s="618"/>
      <c r="X93" s="620"/>
      <c r="Y93" s="621"/>
      <c r="Z93" s="618"/>
      <c r="AA93" s="619"/>
      <c r="AB93" s="618"/>
      <c r="AC93" s="618"/>
      <c r="AD93" s="620"/>
      <c r="AE93" s="621"/>
      <c r="AF93" s="618"/>
      <c r="AG93" s="619"/>
      <c r="AH93" s="618"/>
      <c r="AI93" s="618"/>
      <c r="AJ93" s="620"/>
      <c r="AK93" s="621"/>
      <c r="AL93" s="618"/>
      <c r="AM93" s="619"/>
      <c r="AN93" s="618"/>
      <c r="AO93" s="618"/>
      <c r="AP93" s="620"/>
      <c r="AQ93" s="621"/>
      <c r="AR93" s="618"/>
      <c r="AS93" s="619"/>
      <c r="AT93" s="618"/>
      <c r="AU93" s="618"/>
      <c r="AV93" s="620"/>
      <c r="AW93" s="621"/>
      <c r="AX93" s="618"/>
      <c r="AY93" s="619"/>
      <c r="AZ93" s="618"/>
      <c r="BA93" s="618"/>
      <c r="BB93" s="620"/>
      <c r="BC93" s="621"/>
      <c r="BD93" s="618"/>
      <c r="BE93" s="619"/>
      <c r="BF93" s="618"/>
      <c r="BG93" s="618"/>
      <c r="BH93" s="620"/>
      <c r="BI93" s="621"/>
      <c r="BJ93" s="618"/>
      <c r="BK93" s="619"/>
      <c r="BL93" s="618"/>
      <c r="BM93" s="618"/>
      <c r="BN93" s="620"/>
      <c r="BO93" s="621"/>
      <c r="BP93" s="618"/>
      <c r="BQ93" s="622"/>
      <c r="BR93" s="618"/>
      <c r="BS93" s="618"/>
      <c r="BT93" s="620"/>
      <c r="BU93" s="621"/>
      <c r="BV93" s="618"/>
      <c r="BW93" s="619"/>
      <c r="BX93" s="618"/>
      <c r="BY93" s="618"/>
      <c r="BZ93" s="620"/>
      <c r="CA93" s="621"/>
      <c r="CB93" s="618"/>
      <c r="CC93" s="619"/>
      <c r="CD93" s="618"/>
      <c r="CE93" s="618"/>
      <c r="CF93" s="620"/>
      <c r="CG93" s="621"/>
      <c r="CH93" s="618"/>
      <c r="CI93" s="619"/>
      <c r="CJ93" s="618"/>
      <c r="CK93" s="618"/>
      <c r="CL93" s="620"/>
      <c r="CM93" s="621"/>
    </row>
    <row r="94" spans="1:91" hidden="1" outlineLevel="1" x14ac:dyDescent="0.2">
      <c r="A94" s="290" t="s">
        <v>284</v>
      </c>
      <c r="B94" s="54"/>
      <c r="C94" s="514"/>
      <c r="D94" s="515"/>
      <c r="E94" s="515"/>
      <c r="F94" s="599"/>
      <c r="G94" s="600"/>
      <c r="H94" s="515"/>
      <c r="I94" s="514"/>
      <c r="J94" s="515"/>
      <c r="K94" s="515"/>
      <c r="L94" s="599"/>
      <c r="M94" s="600"/>
      <c r="N94" s="515"/>
      <c r="O94" s="107">
        <v>4.3599899999999998</v>
      </c>
      <c r="P94" s="108">
        <v>0.81971000000000005</v>
      </c>
      <c r="Q94" s="108">
        <v>0.47920099999999999</v>
      </c>
      <c r="R94" s="109">
        <v>2.617521</v>
      </c>
      <c r="S94" s="593">
        <f>SUM(O94:R94)</f>
        <v>8.2764220000000002</v>
      </c>
      <c r="T94" s="515"/>
      <c r="U94" s="107">
        <v>2.5466630000000001</v>
      </c>
      <c r="V94" s="108">
        <v>3.3782329999999998</v>
      </c>
      <c r="W94" s="108">
        <v>1.345413</v>
      </c>
      <c r="X94" s="109">
        <v>2.827261</v>
      </c>
      <c r="Y94" s="593">
        <f>SUM(U94:X94)</f>
        <v>10.097570000000001</v>
      </c>
      <c r="Z94" s="515"/>
      <c r="AA94" s="107">
        <v>10.343799000000001</v>
      </c>
      <c r="AB94" s="108">
        <v>2.7645040000000001</v>
      </c>
      <c r="AC94" s="108">
        <v>2.5241370000000001</v>
      </c>
      <c r="AD94" s="109">
        <v>2.8171390000000001</v>
      </c>
      <c r="AE94" s="593">
        <f>SUM(AA94:AD94)</f>
        <v>18.449579</v>
      </c>
      <c r="AF94" s="515"/>
      <c r="AG94" s="107">
        <v>5.4730869999999996</v>
      </c>
      <c r="AH94" s="108">
        <v>7.8700910000000004</v>
      </c>
      <c r="AI94" s="108">
        <v>3.3563459999999998</v>
      </c>
      <c r="AJ94" s="109">
        <v>3.277571</v>
      </c>
      <c r="AK94" s="593">
        <f>SUM(AG94:AJ94)</f>
        <v>19.977094999999998</v>
      </c>
      <c r="AL94" s="515"/>
      <c r="AM94" s="107">
        <v>3.9065180000000002</v>
      </c>
      <c r="AN94" s="108">
        <v>0.64405999999999997</v>
      </c>
      <c r="AO94" s="108">
        <v>0.50444699999999998</v>
      </c>
      <c r="AP94" s="109">
        <v>0.44587900000000003</v>
      </c>
      <c r="AQ94" s="593">
        <f>SUM(AM94:AP94)</f>
        <v>5.5009039999999993</v>
      </c>
      <c r="AR94" s="515"/>
      <c r="AS94" s="107">
        <v>1.756699</v>
      </c>
      <c r="AT94" s="108">
        <v>0.21703600000000001</v>
      </c>
      <c r="AU94" s="108">
        <v>1.6065449999999999</v>
      </c>
      <c r="AV94" s="109">
        <f>0.002964</f>
        <v>2.9640000000000001E-3</v>
      </c>
      <c r="AW94" s="593">
        <f>SUM(AS94:AV94)</f>
        <v>3.5832440000000001</v>
      </c>
      <c r="AX94" s="515"/>
      <c r="AY94" s="429">
        <v>3.1289999999999998E-3</v>
      </c>
      <c r="AZ94" s="430">
        <v>2.7369999999999998E-3</v>
      </c>
      <c r="BA94" s="430">
        <v>2.774E-3</v>
      </c>
      <c r="BB94" s="431">
        <f>0.002715</f>
        <v>2.715E-3</v>
      </c>
      <c r="BC94" s="593">
        <f>SUM(AY94:BB94)</f>
        <v>1.1355000000000001E-2</v>
      </c>
      <c r="BD94" s="515"/>
      <c r="BE94" s="429">
        <f>0.002903</f>
        <v>2.9030000000000002E-3</v>
      </c>
      <c r="BF94" s="430">
        <v>3.1319999999999998E-3</v>
      </c>
      <c r="BG94" s="430">
        <v>2.6340000000000001E-3</v>
      </c>
      <c r="BH94" s="431">
        <v>2.3640000000000002E-3</v>
      </c>
      <c r="BI94" s="593">
        <f>SUM(BE94:BH94)</f>
        <v>1.1032999999999999E-2</v>
      </c>
      <c r="BJ94" s="515"/>
      <c r="BK94" s="429">
        <f>0.993733+0.297877</f>
        <v>1.2916099999999999</v>
      </c>
      <c r="BL94" s="430">
        <f>0.002609</f>
        <v>2.6090000000000002E-3</v>
      </c>
      <c r="BM94" s="430">
        <v>2.1580000000000002E-3</v>
      </c>
      <c r="BN94" s="431">
        <f>0.002049</f>
        <v>2.049E-3</v>
      </c>
      <c r="BO94" s="593">
        <f>SUM(BK94:BN94)</f>
        <v>1.2984260000000001</v>
      </c>
      <c r="BP94" s="515"/>
      <c r="BQ94" s="429">
        <v>1.97E-3</v>
      </c>
      <c r="BR94" s="61">
        <f>BR96/BR95</f>
        <v>4.5749343634853435E-4</v>
      </c>
      <c r="BS94" s="61">
        <f>BS96/BS95</f>
        <v>4.4929620628967839E-4</v>
      </c>
      <c r="BT94" s="428">
        <f>BT96/BT95</f>
        <v>4.412458517383141E-4</v>
      </c>
      <c r="BU94" s="593">
        <f>SUM(BQ94:BT94)</f>
        <v>3.3180354943765271E-3</v>
      </c>
      <c r="BV94" s="515"/>
      <c r="BW94" s="432">
        <f>BW96/BW95</f>
        <v>4.3333974102318842E-3</v>
      </c>
      <c r="BX94" s="61">
        <f>BX96/BX95</f>
        <v>4.2557528962654375E-4</v>
      </c>
      <c r="BY94" s="61">
        <f>BY96/BY95</f>
        <v>4.1794995933923585E-4</v>
      </c>
      <c r="BZ94" s="428">
        <f>BZ96/BZ95</f>
        <v>4.1046125743099003E-4</v>
      </c>
      <c r="CA94" s="593">
        <f>SUM(BW94:BZ94)</f>
        <v>5.5873839166286536E-3</v>
      </c>
      <c r="CB94" s="515"/>
      <c r="CC94" s="432">
        <f>CC96/CC95</f>
        <v>4.0310673583552423E-3</v>
      </c>
      <c r="CD94" s="61">
        <f>CD96/CD95</f>
        <v>0.39588399035027338</v>
      </c>
      <c r="CE94" s="61">
        <f>CE96/CE95</f>
        <v>0.38879065985045208</v>
      </c>
      <c r="CF94" s="428">
        <f>CF96/CF95</f>
        <v>0.38182442551720014</v>
      </c>
      <c r="CG94" s="593">
        <f>SUM(CC94:CF94)</f>
        <v>1.1705301430762809</v>
      </c>
      <c r="CH94" s="515"/>
      <c r="CI94" s="432">
        <f>CI96/CI95</f>
        <v>3.7498301007955754E-3</v>
      </c>
      <c r="CJ94" s="61">
        <f>CJ96/CJ95</f>
        <v>3.6826417707002188E-4</v>
      </c>
      <c r="CK94" s="61">
        <f>CK96/CK95</f>
        <v>3.6166573009344393E-4</v>
      </c>
      <c r="CL94" s="428">
        <f>CL96/CL95</f>
        <v>3.5518551210902348E-4</v>
      </c>
      <c r="CM94" s="593">
        <f>SUM(CI94:CL94)</f>
        <v>4.8349455200680643E-3</v>
      </c>
    </row>
    <row r="95" spans="1:91" hidden="1" outlineLevel="1" x14ac:dyDescent="0.2">
      <c r="A95" s="290" t="s">
        <v>285</v>
      </c>
      <c r="C95" s="623"/>
      <c r="D95" s="62"/>
      <c r="E95" s="62"/>
      <c r="F95" s="624"/>
      <c r="G95" s="578"/>
      <c r="H95" s="62"/>
      <c r="I95" s="623"/>
      <c r="J95" s="62"/>
      <c r="K95" s="62"/>
      <c r="L95" s="624"/>
      <c r="M95" s="578"/>
      <c r="N95" s="62"/>
      <c r="O95" s="575">
        <v>65.14</v>
      </c>
      <c r="P95" s="576">
        <v>72.67</v>
      </c>
      <c r="Q95" s="576">
        <v>66.510000000000005</v>
      </c>
      <c r="R95" s="577">
        <v>68.38</v>
      </c>
      <c r="S95" s="578">
        <f>S96/S94</f>
        <v>66.989795685865218</v>
      </c>
      <c r="T95" s="62"/>
      <c r="U95" s="575">
        <v>75.28</v>
      </c>
      <c r="V95" s="576">
        <v>76.930000000000007</v>
      </c>
      <c r="W95" s="576">
        <v>74.72</v>
      </c>
      <c r="X95" s="577">
        <v>71</v>
      </c>
      <c r="Y95" s="578">
        <f>Y96/Y94</f>
        <v>74.559032092869856</v>
      </c>
      <c r="Z95" s="62"/>
      <c r="AA95" s="575">
        <v>80.95</v>
      </c>
      <c r="AB95" s="576">
        <v>80.05</v>
      </c>
      <c r="AC95" s="576">
        <v>85.36</v>
      </c>
      <c r="AD95" s="577">
        <v>80.61</v>
      </c>
      <c r="AE95" s="578">
        <f>AE96/AE94</f>
        <v>81.36657120251904</v>
      </c>
      <c r="AF95" s="62"/>
      <c r="AG95" s="575">
        <v>73.22</v>
      </c>
      <c r="AH95" s="576">
        <v>76.349999999999994</v>
      </c>
      <c r="AI95" s="576">
        <v>74.599999999999994</v>
      </c>
      <c r="AJ95" s="577">
        <v>46.42</v>
      </c>
      <c r="AK95" s="578">
        <f>AK96/AK94</f>
        <v>70.287954049875623</v>
      </c>
      <c r="AL95" s="62"/>
      <c r="AM95" s="575">
        <v>76.92</v>
      </c>
      <c r="AN95" s="576">
        <v>88.28</v>
      </c>
      <c r="AO95" s="576">
        <v>99.69</v>
      </c>
      <c r="AP95" s="577">
        <v>98.24</v>
      </c>
      <c r="AQ95" s="578">
        <f>AQ96/AQ94</f>
        <v>82.066230523201284</v>
      </c>
      <c r="AR95" s="62"/>
      <c r="AS95" s="575">
        <v>107.84</v>
      </c>
      <c r="AT95" s="576">
        <v>110.55</v>
      </c>
      <c r="AU95" s="576">
        <v>116.62</v>
      </c>
      <c r="AV95" s="577">
        <v>118.63</v>
      </c>
      <c r="AW95" s="578">
        <f>AW96/AW94</f>
        <v>111.94957618850404</v>
      </c>
      <c r="AX95" s="62"/>
      <c r="AY95" s="579">
        <v>117</v>
      </c>
      <c r="AZ95" s="580">
        <v>140.84</v>
      </c>
      <c r="BA95" s="580">
        <v>142.38999999999999</v>
      </c>
      <c r="BB95" s="581">
        <v>145.66</v>
      </c>
      <c r="BC95" s="236">
        <f>IF(ISERROR(BC96/BC94),"NA ",BC96/BC94)</f>
        <v>135.80174724790839</v>
      </c>
      <c r="BD95" s="62"/>
      <c r="BE95" s="579">
        <v>136.47999999999999</v>
      </c>
      <c r="BF95" s="580">
        <v>144.88999999999999</v>
      </c>
      <c r="BG95" s="580">
        <v>154.57</v>
      </c>
      <c r="BH95" s="581">
        <v>173.57</v>
      </c>
      <c r="BI95" s="236">
        <f>IF(ISERROR(BI96/BI94),"NA ",BI96/BI94)</f>
        <v>151.13330735067527</v>
      </c>
      <c r="BJ95" s="62"/>
      <c r="BK95" s="579">
        <v>170.63</v>
      </c>
      <c r="BL95" s="580">
        <v>166.76</v>
      </c>
      <c r="BM95" s="580">
        <v>183.76</v>
      </c>
      <c r="BN95" s="581">
        <v>197.55</v>
      </c>
      <c r="BO95" s="236">
        <f>IF(ISERROR(BO96/BO94),"NA ",BO96/BO94)</f>
        <v>170.68652751100174</v>
      </c>
      <c r="BP95" s="62"/>
      <c r="BQ95" s="579">
        <v>199.12</v>
      </c>
      <c r="BR95" s="62">
        <f>BR65</f>
        <v>218.58237092568152</v>
      </c>
      <c r="BS95" s="62">
        <f>BS65</f>
        <v>222.57031909040023</v>
      </c>
      <c r="BT95" s="624">
        <f>BT65</f>
        <v>226.63102577858601</v>
      </c>
      <c r="BU95" s="236">
        <f>IF(ISERROR(BU96/BU94),"NA ",BU96/BU94)</f>
        <v>208.63743054384648</v>
      </c>
      <c r="BV95" s="62"/>
      <c r="BW95" s="623">
        <f>BW65</f>
        <v>230.76581844047604</v>
      </c>
      <c r="BX95" s="62">
        <f>BX65</f>
        <v>234.97604874510753</v>
      </c>
      <c r="BY95" s="62">
        <f>BY65</f>
        <v>239.26309302218016</v>
      </c>
      <c r="BZ95" s="624">
        <f>BZ65</f>
        <v>243.62835271197986</v>
      </c>
      <c r="CA95" s="236">
        <f>IF(ISERROR(CA96/CA94),"NA ",CA96/CA94)</f>
        <v>232.66702617857723</v>
      </c>
      <c r="CB95" s="62"/>
      <c r="CC95" s="623">
        <f>CC65</f>
        <v>248.07325482351163</v>
      </c>
      <c r="CD95" s="62">
        <f>CD65</f>
        <v>252.59925240099051</v>
      </c>
      <c r="CE95" s="62">
        <f>CE65</f>
        <v>257.20782499884359</v>
      </c>
      <c r="CF95" s="624">
        <f>CF65</f>
        <v>261.90047916537827</v>
      </c>
      <c r="CG95" s="236">
        <f>IF(ISERROR(CG96/CG94),"NA ",CG96/CG94)</f>
        <v>257.1484397735706</v>
      </c>
      <c r="CH95" s="62"/>
      <c r="CI95" s="623">
        <f>CI65</f>
        <v>266.67874893527494</v>
      </c>
      <c r="CJ95" s="62">
        <f>CJ65</f>
        <v>271.54419633106471</v>
      </c>
      <c r="CK95" s="62">
        <f>CK65</f>
        <v>276.49841187375677</v>
      </c>
      <c r="CL95" s="624">
        <f>CL65</f>
        <v>281.54301510278157</v>
      </c>
      <c r="CM95" s="236">
        <f>IF(ISERROR(CM96/CM94),"NA ",CM96/CM94)</f>
        <v>268.87583212761814</v>
      </c>
    </row>
    <row r="96" spans="1:91" hidden="1" outlineLevel="1" x14ac:dyDescent="0.2">
      <c r="A96" s="290" t="s">
        <v>286</v>
      </c>
      <c r="C96" s="432"/>
      <c r="D96" s="61"/>
      <c r="E96" s="61"/>
      <c r="F96" s="428"/>
      <c r="G96" s="593"/>
      <c r="H96" s="61"/>
      <c r="I96" s="432"/>
      <c r="J96" s="61"/>
      <c r="K96" s="61"/>
      <c r="L96" s="428"/>
      <c r="M96" s="593"/>
      <c r="N96" s="61"/>
      <c r="O96" s="432">
        <f>O94*O95</f>
        <v>284.00974859999997</v>
      </c>
      <c r="P96" s="61">
        <f>P94*P95</f>
        <v>59.568325700000003</v>
      </c>
      <c r="Q96" s="61">
        <f>Q94*Q95</f>
        <v>31.871658510000003</v>
      </c>
      <c r="R96" s="428">
        <f>R94*R95</f>
        <v>178.98608597999998</v>
      </c>
      <c r="S96" s="593">
        <f>SUM(O96:R96)</f>
        <v>554.43581878999998</v>
      </c>
      <c r="T96" s="61"/>
      <c r="U96" s="432">
        <f>U94*U95</f>
        <v>191.71279064000001</v>
      </c>
      <c r="V96" s="61">
        <f>V94*V95</f>
        <v>259.88746469</v>
      </c>
      <c r="W96" s="61">
        <f>W94*W95</f>
        <v>100.52925936</v>
      </c>
      <c r="X96" s="428">
        <f>X94*X95</f>
        <v>200.73553100000001</v>
      </c>
      <c r="Y96" s="593">
        <f>SUM(U96:X96)</f>
        <v>752.86504568999999</v>
      </c>
      <c r="Z96" s="61"/>
      <c r="AA96" s="432">
        <f>AA94*AA95</f>
        <v>837.33052905000011</v>
      </c>
      <c r="AB96" s="61">
        <f>AB94*AB95</f>
        <v>221.29854520000001</v>
      </c>
      <c r="AC96" s="61">
        <f>AC94*AC95</f>
        <v>215.46033432000002</v>
      </c>
      <c r="AD96" s="428">
        <f>AD94*AD95</f>
        <v>227.08957479</v>
      </c>
      <c r="AE96" s="593">
        <f>SUM(AA96:AD96)</f>
        <v>1501.1789833600001</v>
      </c>
      <c r="AF96" s="61"/>
      <c r="AG96" s="432">
        <f>AG94*AG95</f>
        <v>400.73943013999997</v>
      </c>
      <c r="AH96" s="61">
        <f>AH94*AH95</f>
        <v>600.88144784999997</v>
      </c>
      <c r="AI96" s="61">
        <f>AI94*AI95</f>
        <v>250.38341159999996</v>
      </c>
      <c r="AJ96" s="428">
        <f>AJ94*AJ95</f>
        <v>152.14484582</v>
      </c>
      <c r="AK96" s="593">
        <f>SUM(AG96:AJ96)</f>
        <v>1404.1491354099999</v>
      </c>
      <c r="AL96" s="61"/>
      <c r="AM96" s="432">
        <f>AM94*AM95</f>
        <v>300.48936456000001</v>
      </c>
      <c r="AN96" s="61">
        <f>AN94*AN95</f>
        <v>56.857616799999995</v>
      </c>
      <c r="AO96" s="61">
        <f>AO94*AO95</f>
        <v>50.288321429999996</v>
      </c>
      <c r="AP96" s="428">
        <f>AP94*AP95</f>
        <v>43.803152959999998</v>
      </c>
      <c r="AQ96" s="593">
        <f>SUM(AM96:AP96)</f>
        <v>451.43845575</v>
      </c>
      <c r="AR96" s="61"/>
      <c r="AS96" s="432">
        <f>AS94*AS95</f>
        <v>189.44242016000001</v>
      </c>
      <c r="AT96" s="61">
        <f>AT94*AT95</f>
        <v>23.993329800000001</v>
      </c>
      <c r="AU96" s="61">
        <f>AU94*AU95</f>
        <v>187.3552779</v>
      </c>
      <c r="AV96" s="428">
        <f>AV94*AV95</f>
        <v>0.35161932000000001</v>
      </c>
      <c r="AW96" s="593">
        <f>SUM(AS96:AV96)</f>
        <v>401.14264717999998</v>
      </c>
      <c r="AX96" s="61"/>
      <c r="AY96" s="432">
        <f>AY94*AY95</f>
        <v>0.366093</v>
      </c>
      <c r="AZ96" s="61">
        <f>AZ94*AZ95</f>
        <v>0.38547907999999997</v>
      </c>
      <c r="BA96" s="61">
        <f>BA94*BA95</f>
        <v>0.39498985999999997</v>
      </c>
      <c r="BB96" s="428">
        <f>BB94*BB95</f>
        <v>0.39546690000000001</v>
      </c>
      <c r="BC96" s="593">
        <f>SUM(AY96:BB96)</f>
        <v>1.54202884</v>
      </c>
      <c r="BD96" s="61"/>
      <c r="BE96" s="432">
        <f>BE94*BE95</f>
        <v>0.39620144000000002</v>
      </c>
      <c r="BF96" s="61">
        <f>BF94*BF95</f>
        <v>0.45379547999999992</v>
      </c>
      <c r="BG96" s="61">
        <f>BG94*BG95</f>
        <v>0.40713737999999999</v>
      </c>
      <c r="BH96" s="428">
        <f>BH94*BH95</f>
        <v>0.41031948000000001</v>
      </c>
      <c r="BI96" s="593">
        <f>SUM(BE96:BH96)</f>
        <v>1.66745378</v>
      </c>
      <c r="BJ96" s="61"/>
      <c r="BK96" s="432">
        <f>BK94*BK95</f>
        <v>220.38741429999999</v>
      </c>
      <c r="BL96" s="61">
        <f>BL94*BL95</f>
        <v>0.43507684000000002</v>
      </c>
      <c r="BM96" s="61">
        <f>BM94*BM95</f>
        <v>0.39655408000000003</v>
      </c>
      <c r="BN96" s="428">
        <f>BN94*BN95</f>
        <v>0.40477995000000005</v>
      </c>
      <c r="BO96" s="593">
        <f>SUM(BK96:BN96)</f>
        <v>221.62382516999998</v>
      </c>
      <c r="BP96" s="61"/>
      <c r="BQ96" s="432">
        <f>BQ94*BQ95</f>
        <v>0.39226640000000002</v>
      </c>
      <c r="BR96" s="61">
        <f>-BR44</f>
        <v>0.1</v>
      </c>
      <c r="BS96" s="61">
        <f>-BS44</f>
        <v>0.1</v>
      </c>
      <c r="BT96" s="428">
        <f>-BT44</f>
        <v>0.1</v>
      </c>
      <c r="BU96" s="593">
        <f>SUM(BQ96:BT96)</f>
        <v>0.69226639999999995</v>
      </c>
      <c r="BV96" s="61"/>
      <c r="BW96" s="432">
        <f>-BW44</f>
        <v>1</v>
      </c>
      <c r="BX96" s="61">
        <f>-BX44</f>
        <v>0.1</v>
      </c>
      <c r="BY96" s="61">
        <f>-BY44</f>
        <v>0.1</v>
      </c>
      <c r="BZ96" s="428">
        <f>-BZ44</f>
        <v>0.1</v>
      </c>
      <c r="CA96" s="593">
        <f>SUM(BW96:BZ96)</f>
        <v>1.3000000000000003</v>
      </c>
      <c r="CB96" s="61"/>
      <c r="CC96" s="432">
        <f>-CC44</f>
        <v>1</v>
      </c>
      <c r="CD96" s="61">
        <f>-CD44</f>
        <v>100</v>
      </c>
      <c r="CE96" s="61">
        <f>-CE44</f>
        <v>100</v>
      </c>
      <c r="CF96" s="428">
        <f>-CF44</f>
        <v>100</v>
      </c>
      <c r="CG96" s="593">
        <f>SUM(CC96:CF96)</f>
        <v>301</v>
      </c>
      <c r="CH96" s="61"/>
      <c r="CI96" s="432">
        <f>-CI44</f>
        <v>1</v>
      </c>
      <c r="CJ96" s="61">
        <f>-CJ44</f>
        <v>0.1</v>
      </c>
      <c r="CK96" s="61">
        <f>-CK44</f>
        <v>0.1</v>
      </c>
      <c r="CL96" s="428">
        <f>-CL44</f>
        <v>0.1</v>
      </c>
      <c r="CM96" s="593">
        <f>SUM(CI96:CL96)</f>
        <v>1.3000000000000003</v>
      </c>
    </row>
    <row r="97" spans="1:101" hidden="1" outlineLevel="1" x14ac:dyDescent="0.2">
      <c r="A97" s="290"/>
      <c r="C97" s="432"/>
      <c r="D97" s="61"/>
      <c r="E97" s="61"/>
      <c r="F97" s="428"/>
      <c r="G97" s="593"/>
      <c r="H97" s="61"/>
      <c r="I97" s="432"/>
      <c r="J97" s="61"/>
      <c r="K97" s="61"/>
      <c r="L97" s="428"/>
      <c r="M97" s="593"/>
      <c r="N97" s="61"/>
      <c r="O97" s="432"/>
      <c r="P97" s="61"/>
      <c r="Q97" s="61"/>
      <c r="R97" s="428"/>
      <c r="S97" s="593"/>
      <c r="T97" s="61"/>
      <c r="U97" s="432"/>
      <c r="V97" s="61"/>
      <c r="W97" s="61"/>
      <c r="X97" s="428"/>
      <c r="Y97" s="593"/>
      <c r="Z97" s="61"/>
      <c r="AA97" s="432"/>
      <c r="AB97" s="61"/>
      <c r="AC97" s="61"/>
      <c r="AD97" s="428"/>
      <c r="AE97" s="593"/>
      <c r="AF97" s="61"/>
      <c r="AG97" s="432"/>
      <c r="AH97" s="61"/>
      <c r="AI97" s="61"/>
      <c r="AJ97" s="428"/>
      <c r="AK97" s="593"/>
      <c r="AL97" s="61"/>
      <c r="AM97" s="432"/>
      <c r="AN97" s="61"/>
      <c r="AO97" s="61"/>
      <c r="AP97" s="428"/>
      <c r="AQ97" s="593"/>
      <c r="AR97" s="61"/>
      <c r="AS97" s="432"/>
      <c r="AT97" s="61"/>
      <c r="AU97" s="61"/>
      <c r="AV97" s="428"/>
      <c r="AW97" s="593"/>
      <c r="AX97" s="61"/>
      <c r="AY97" s="432"/>
      <c r="AZ97" s="61"/>
      <c r="BA97" s="61"/>
      <c r="BB97" s="428"/>
      <c r="BC97" s="593"/>
      <c r="BD97" s="61"/>
      <c r="BE97" s="432"/>
      <c r="BF97" s="61"/>
      <c r="BG97" s="61"/>
      <c r="BH97" s="428"/>
      <c r="BI97" s="593"/>
      <c r="BJ97" s="61"/>
      <c r="BK97" s="432"/>
      <c r="BL97" s="61"/>
      <c r="BM97" s="61"/>
      <c r="BN97" s="428"/>
      <c r="BO97" s="593"/>
      <c r="BP97" s="61"/>
      <c r="BQ97" s="432"/>
      <c r="BR97" s="61"/>
      <c r="BS97" s="61"/>
      <c r="BT97" s="428"/>
      <c r="BU97" s="593"/>
      <c r="BV97" s="61"/>
      <c r="BW97" s="432"/>
      <c r="BX97" s="61"/>
      <c r="BY97" s="61"/>
      <c r="BZ97" s="428"/>
      <c r="CA97" s="593"/>
      <c r="CB97" s="61"/>
      <c r="CC97" s="432"/>
      <c r="CD97" s="61"/>
      <c r="CE97" s="61"/>
      <c r="CF97" s="428"/>
      <c r="CG97" s="593"/>
      <c r="CH97" s="61"/>
      <c r="CI97" s="432"/>
      <c r="CJ97" s="61"/>
      <c r="CK97" s="61"/>
      <c r="CL97" s="428"/>
      <c r="CM97" s="593"/>
    </row>
    <row r="98" spans="1:101" hidden="1" outlineLevel="1" x14ac:dyDescent="0.2">
      <c r="A98" s="290" t="s">
        <v>287</v>
      </c>
      <c r="C98" s="625">
        <f t="shared" ref="C98:BN98" si="29">-C46</f>
        <v>0</v>
      </c>
      <c r="D98" s="58">
        <f t="shared" si="29"/>
        <v>120.14</v>
      </c>
      <c r="E98" s="58">
        <f t="shared" si="29"/>
        <v>59.944000000000003</v>
      </c>
      <c r="F98" s="626">
        <f t="shared" si="29"/>
        <v>59.725999999999999</v>
      </c>
      <c r="G98" s="627">
        <f t="shared" si="29"/>
        <v>239.81</v>
      </c>
      <c r="H98" s="11">
        <f t="shared" si="29"/>
        <v>0</v>
      </c>
      <c r="I98" s="625">
        <f t="shared" si="29"/>
        <v>0</v>
      </c>
      <c r="J98" s="58">
        <f t="shared" si="29"/>
        <v>139.43799999999999</v>
      </c>
      <c r="K98" s="58">
        <f t="shared" si="29"/>
        <v>69.558000000000021</v>
      </c>
      <c r="L98" s="626">
        <f t="shared" si="29"/>
        <v>69.509999999999962</v>
      </c>
      <c r="M98" s="627">
        <f t="shared" si="29"/>
        <v>278.50599999999997</v>
      </c>
      <c r="N98" s="11">
        <f t="shared" si="29"/>
        <v>0</v>
      </c>
      <c r="O98" s="625">
        <f t="shared" si="29"/>
        <v>82.102000000000004</v>
      </c>
      <c r="P98" s="58">
        <f t="shared" si="29"/>
        <v>76.603999999999985</v>
      </c>
      <c r="Q98" s="58">
        <f t="shared" si="29"/>
        <v>79.201999999999998</v>
      </c>
      <c r="R98" s="626">
        <f t="shared" si="29"/>
        <v>78.969000000000023</v>
      </c>
      <c r="S98" s="627">
        <f t="shared" si="29"/>
        <v>316.87700000000001</v>
      </c>
      <c r="T98" s="11">
        <f t="shared" si="29"/>
        <v>0</v>
      </c>
      <c r="U98" s="625">
        <f t="shared" si="29"/>
        <v>89.888999999999996</v>
      </c>
      <c r="V98" s="58">
        <f t="shared" si="29"/>
        <v>84.343000000000004</v>
      </c>
      <c r="W98" s="58">
        <f t="shared" si="29"/>
        <v>86.111999999999981</v>
      </c>
      <c r="X98" s="626">
        <f t="shared" si="29"/>
        <v>85.369000000000014</v>
      </c>
      <c r="Y98" s="627">
        <f t="shared" si="29"/>
        <v>345.71300000000002</v>
      </c>
      <c r="Z98" s="11">
        <f t="shared" si="29"/>
        <v>0</v>
      </c>
      <c r="AA98" s="625">
        <f t="shared" si="29"/>
        <v>92.706999999999994</v>
      </c>
      <c r="AB98" s="58">
        <f t="shared" si="29"/>
        <v>90.15900000000002</v>
      </c>
      <c r="AC98" s="58">
        <f t="shared" si="29"/>
        <v>89.871000000000009</v>
      </c>
      <c r="AD98" s="626">
        <f t="shared" si="29"/>
        <v>88.461999999999961</v>
      </c>
      <c r="AE98" s="627">
        <f t="shared" si="29"/>
        <v>361.19900000000001</v>
      </c>
      <c r="AF98" s="11">
        <f t="shared" si="29"/>
        <v>0</v>
      </c>
      <c r="AG98" s="625">
        <f t="shared" si="29"/>
        <v>96.153999999999996</v>
      </c>
      <c r="AH98" s="58">
        <f t="shared" si="29"/>
        <v>92.068000000000012</v>
      </c>
      <c r="AI98" s="58">
        <f t="shared" si="29"/>
        <v>92.037999999999982</v>
      </c>
      <c r="AJ98" s="626">
        <f t="shared" si="29"/>
        <v>87.350999999999971</v>
      </c>
      <c r="AK98" s="627">
        <f t="shared" si="29"/>
        <v>367.61099999999999</v>
      </c>
      <c r="AL98" s="11">
        <f t="shared" si="29"/>
        <v>0</v>
      </c>
      <c r="AM98" s="625">
        <f t="shared" si="29"/>
        <v>96.840999999999994</v>
      </c>
      <c r="AN98" s="58">
        <f t="shared" si="29"/>
        <v>96.572000000000017</v>
      </c>
      <c r="AO98" s="58">
        <f t="shared" si="29"/>
        <v>96.192000000000021</v>
      </c>
      <c r="AP98" s="626">
        <f t="shared" si="29"/>
        <v>96.394999999999996</v>
      </c>
      <c r="AQ98" s="627">
        <f t="shared" si="29"/>
        <v>386</v>
      </c>
      <c r="AR98" s="11">
        <f t="shared" si="29"/>
        <v>0</v>
      </c>
      <c r="AS98" s="625">
        <f t="shared" si="29"/>
        <v>106</v>
      </c>
      <c r="AT98" s="58">
        <f t="shared" si="29"/>
        <v>105</v>
      </c>
      <c r="AU98" s="58">
        <f>-AU46</f>
        <v>105</v>
      </c>
      <c r="AV98" s="626">
        <f>-AV46</f>
        <v>105</v>
      </c>
      <c r="AW98" s="627">
        <f t="shared" si="29"/>
        <v>421</v>
      </c>
      <c r="AY98" s="625">
        <f t="shared" si="29"/>
        <v>116</v>
      </c>
      <c r="AZ98" s="58">
        <f t="shared" si="29"/>
        <v>116</v>
      </c>
      <c r="BA98" s="58">
        <f t="shared" si="29"/>
        <v>126</v>
      </c>
      <c r="BB98" s="626">
        <f t="shared" si="29"/>
        <v>127</v>
      </c>
      <c r="BC98" s="627">
        <f t="shared" si="29"/>
        <v>485</v>
      </c>
      <c r="BE98" s="625">
        <f t="shared" si="29"/>
        <v>140</v>
      </c>
      <c r="BF98" s="58">
        <f t="shared" si="29"/>
        <v>140</v>
      </c>
      <c r="BG98" s="58">
        <f t="shared" si="29"/>
        <v>141</v>
      </c>
      <c r="BH98" s="626">
        <f t="shared" si="29"/>
        <v>141</v>
      </c>
      <c r="BI98" s="627">
        <f t="shared" si="29"/>
        <v>562</v>
      </c>
      <c r="BK98" s="625">
        <f>-BK46</f>
        <v>156</v>
      </c>
      <c r="BL98" s="58">
        <f>-BL46</f>
        <v>156</v>
      </c>
      <c r="BM98" s="58">
        <f t="shared" si="29"/>
        <v>166</v>
      </c>
      <c r="BN98" s="626">
        <f t="shared" si="29"/>
        <v>199</v>
      </c>
      <c r="BO98" s="627">
        <f t="shared" ref="BO98:BU98" si="30">-BO46</f>
        <v>677</v>
      </c>
      <c r="BQ98" s="625">
        <f>-BQ46</f>
        <v>210</v>
      </c>
      <c r="BR98" s="58">
        <f t="shared" si="30"/>
        <v>241.11276087992275</v>
      </c>
      <c r="BS98" s="58">
        <f t="shared" si="30"/>
        <v>241.18759239384542</v>
      </c>
      <c r="BT98" s="626">
        <f t="shared" si="30"/>
        <v>241.33725844057363</v>
      </c>
      <c r="BU98" s="627">
        <f t="shared" si="30"/>
        <v>933.6376117143418</v>
      </c>
      <c r="BV98" s="11"/>
      <c r="BW98" s="625">
        <f>-BW46</f>
        <v>249.73063666732443</v>
      </c>
      <c r="BX98" s="58">
        <f>-BX46</f>
        <v>250.11878066797149</v>
      </c>
      <c r="BY98" s="58">
        <f>-BY46</f>
        <v>250.50845169312439</v>
      </c>
      <c r="BZ98" s="626">
        <f>-BZ46</f>
        <v>250.89812861274987</v>
      </c>
      <c r="CA98" s="627">
        <f>-CA46</f>
        <v>1001.2559976411701</v>
      </c>
      <c r="CB98" s="11"/>
      <c r="CC98" s="625">
        <f>-CC46</f>
        <v>268.09140767940426</v>
      </c>
      <c r="CD98" s="58">
        <f>-CD46</f>
        <v>268.7634433551666</v>
      </c>
      <c r="CE98" s="58">
        <f>-CE46</f>
        <v>240.53435208925103</v>
      </c>
      <c r="CF98" s="626">
        <f>-CF46</f>
        <v>240.58398583053378</v>
      </c>
      <c r="CG98" s="627">
        <f>-CG46</f>
        <v>1017.9731889543557</v>
      </c>
      <c r="CH98" s="11"/>
      <c r="CI98" s="625">
        <f>-CI46</f>
        <v>267.11154942637154</v>
      </c>
      <c r="CJ98" s="58">
        <f>-CJ46</f>
        <v>268.0396345125323</v>
      </c>
      <c r="CK98" s="58">
        <f>-CK46</f>
        <v>268.50429509512543</v>
      </c>
      <c r="CL98" s="626">
        <f>-CL46</f>
        <v>268.96896175929777</v>
      </c>
      <c r="CM98" s="627">
        <f>-CM46</f>
        <v>1072.624440793327</v>
      </c>
      <c r="CW98" s="11"/>
    </row>
    <row r="99" spans="1:101" s="11" customFormat="1" hidden="1" outlineLevel="1" x14ac:dyDescent="0.2">
      <c r="A99" s="241" t="s">
        <v>288</v>
      </c>
      <c r="B99" s="352">
        <f>B44+B47</f>
        <v>0</v>
      </c>
      <c r="C99" s="628">
        <f t="shared" ref="C99:BN99" si="31">C44+C47+C16-C98</f>
        <v>-58.616999999999997</v>
      </c>
      <c r="D99" s="301">
        <f t="shared" si="31"/>
        <v>-150.93900000000002</v>
      </c>
      <c r="E99" s="301">
        <f t="shared" si="31"/>
        <v>-196.88599999999997</v>
      </c>
      <c r="F99" s="629">
        <f t="shared" si="31"/>
        <v>-45.107000000000006</v>
      </c>
      <c r="G99" s="240">
        <f t="shared" si="31"/>
        <v>-451.54900000000009</v>
      </c>
      <c r="H99" s="301">
        <f t="shared" si="31"/>
        <v>0</v>
      </c>
      <c r="I99" s="628">
        <f t="shared" si="31"/>
        <v>-90.628</v>
      </c>
      <c r="J99" s="301">
        <f t="shared" si="31"/>
        <v>-215.26399999999998</v>
      </c>
      <c r="K99" s="301">
        <f t="shared" si="31"/>
        <v>-112.93600000000001</v>
      </c>
      <c r="L99" s="629">
        <f t="shared" si="31"/>
        <v>-123.69799999999994</v>
      </c>
      <c r="M99" s="240">
        <f t="shared" si="31"/>
        <v>-542.52599999999995</v>
      </c>
      <c r="N99" s="301">
        <f t="shared" si="31"/>
        <v>0</v>
      </c>
      <c r="O99" s="628">
        <f t="shared" si="31"/>
        <v>-338.31299999999999</v>
      </c>
      <c r="P99" s="301">
        <f t="shared" si="31"/>
        <v>-94.194999999999936</v>
      </c>
      <c r="Q99" s="301">
        <f t="shared" si="31"/>
        <v>-76.187000000000012</v>
      </c>
      <c r="R99" s="629">
        <f t="shared" si="31"/>
        <v>-239.21100000000001</v>
      </c>
      <c r="S99" s="240">
        <f t="shared" si="31"/>
        <v>-747.90599999999995</v>
      </c>
      <c r="T99" s="301">
        <f t="shared" si="31"/>
        <v>0</v>
      </c>
      <c r="U99" s="628">
        <f t="shared" si="31"/>
        <v>-241.84000000000003</v>
      </c>
      <c r="V99" s="301">
        <f t="shared" si="31"/>
        <v>-298.66699999999997</v>
      </c>
      <c r="W99" s="301">
        <f t="shared" si="31"/>
        <v>-164.95499999999998</v>
      </c>
      <c r="X99" s="629">
        <f t="shared" si="31"/>
        <v>-260.78399999999999</v>
      </c>
      <c r="Y99" s="240">
        <f t="shared" si="31"/>
        <v>-966.24600000000009</v>
      </c>
      <c r="Z99" s="301">
        <f t="shared" si="31"/>
        <v>0</v>
      </c>
      <c r="AA99" s="628">
        <f t="shared" si="31"/>
        <v>-867.99499999999989</v>
      </c>
      <c r="AB99" s="301">
        <f t="shared" si="31"/>
        <v>-280.94600000000003</v>
      </c>
      <c r="AC99" s="301">
        <f t="shared" si="31"/>
        <v>-247.15899999999993</v>
      </c>
      <c r="AD99" s="629">
        <f t="shared" si="31"/>
        <v>-307.58899999999983</v>
      </c>
      <c r="AE99" s="240">
        <f t="shared" si="31"/>
        <v>-1703.6890000000001</v>
      </c>
      <c r="AF99" s="301">
        <f t="shared" si="31"/>
        <v>0</v>
      </c>
      <c r="AG99" s="628">
        <f t="shared" si="31"/>
        <v>-466.66599999999994</v>
      </c>
      <c r="AH99" s="301">
        <f t="shared" si="31"/>
        <v>-660.23200000000008</v>
      </c>
      <c r="AI99" s="301">
        <f t="shared" si="31"/>
        <v>-318.24599999999998</v>
      </c>
      <c r="AJ99" s="629">
        <f t="shared" si="31"/>
        <v>-298.37100000000009</v>
      </c>
      <c r="AK99" s="240">
        <f t="shared" si="31"/>
        <v>-1743.5149999999999</v>
      </c>
      <c r="AL99" s="301"/>
      <c r="AM99" s="628">
        <f t="shared" si="31"/>
        <v>-351.01299999999998</v>
      </c>
      <c r="AN99" s="301">
        <f t="shared" si="31"/>
        <v>-105.11800000000001</v>
      </c>
      <c r="AO99" s="301">
        <f t="shared" si="31"/>
        <v>-115.75200000000001</v>
      </c>
      <c r="AP99" s="629">
        <f t="shared" si="31"/>
        <v>-120.11699999999999</v>
      </c>
      <c r="AQ99" s="240">
        <f t="shared" si="31"/>
        <v>-692</v>
      </c>
      <c r="AR99" s="301"/>
      <c r="AS99" s="628">
        <f t="shared" si="31"/>
        <v>-266</v>
      </c>
      <c r="AT99" s="301">
        <f t="shared" si="31"/>
        <v>-102</v>
      </c>
      <c r="AU99" s="301">
        <f t="shared" si="31"/>
        <v>-265</v>
      </c>
      <c r="AV99" s="629">
        <f t="shared" si="31"/>
        <v>-84</v>
      </c>
      <c r="AW99" s="240">
        <f t="shared" si="31"/>
        <v>-717</v>
      </c>
      <c r="AX99" s="301"/>
      <c r="AY99" s="628">
        <f t="shared" si="31"/>
        <v>-113</v>
      </c>
      <c r="AZ99" s="301">
        <f t="shared" si="31"/>
        <v>-106</v>
      </c>
      <c r="BA99" s="301">
        <f t="shared" si="31"/>
        <v>-33</v>
      </c>
      <c r="BB99" s="629">
        <f t="shared" si="31"/>
        <v>-94</v>
      </c>
      <c r="BC99" s="240">
        <f t="shared" si="31"/>
        <v>-346</v>
      </c>
      <c r="BD99" s="301"/>
      <c r="BE99" s="628">
        <f>BE44+BE47+BE16-BE98</f>
        <v>-113</v>
      </c>
      <c r="BF99" s="301">
        <f t="shared" si="31"/>
        <v>-93</v>
      </c>
      <c r="BG99" s="301">
        <f t="shared" si="31"/>
        <v>-86</v>
      </c>
      <c r="BH99" s="629">
        <f t="shared" si="31"/>
        <v>-107</v>
      </c>
      <c r="BI99" s="240">
        <f t="shared" si="31"/>
        <v>-399</v>
      </c>
      <c r="BJ99" s="301"/>
      <c r="BK99" s="628">
        <f>BK44+BK47+BK16-BK98</f>
        <v>-459</v>
      </c>
      <c r="BL99" s="301">
        <f>BL44+BL47+BL16-BL98</f>
        <v>-118</v>
      </c>
      <c r="BM99" s="301">
        <f t="shared" si="31"/>
        <v>4617</v>
      </c>
      <c r="BN99" s="629">
        <f t="shared" si="31"/>
        <v>-170</v>
      </c>
      <c r="BO99" s="240">
        <f>BO44+BO47+BO16-BO98</f>
        <v>3870</v>
      </c>
      <c r="BP99" s="301"/>
      <c r="BQ99" s="628">
        <f>BQ44+BQ47+BQ16-BQ98</f>
        <v>-170</v>
      </c>
      <c r="BR99" s="301">
        <f>BR44+BR47+BR16-BR98</f>
        <v>-178.80449587992274</v>
      </c>
      <c r="BS99" s="301">
        <f>BS44+BS47+BS16-BS98</f>
        <v>-198.28654239384542</v>
      </c>
      <c r="BT99" s="629">
        <f>BT44+BT47+BT16-BT98</f>
        <v>-197.83956844057363</v>
      </c>
      <c r="BU99" s="240">
        <f>BU44+BU47+BU16-BU98</f>
        <v>-744.93060671434182</v>
      </c>
      <c r="BV99" s="301"/>
      <c r="BW99" s="628">
        <f>BW44+BW47+BW16-BW98</f>
        <v>-185.89713574905022</v>
      </c>
      <c r="BX99" s="301">
        <f>BX44+BX47+BX16-BX98</f>
        <v>-184.42908077777184</v>
      </c>
      <c r="BY99" s="301">
        <f>BY44+BY47+BY16-BY98</f>
        <v>-205.32863338347474</v>
      </c>
      <c r="BZ99" s="629">
        <f>BZ44+BZ47+BZ16-BZ98</f>
        <v>-205.09557465736043</v>
      </c>
      <c r="CA99" s="240">
        <f>CA44+CA47+CA16-CA98</f>
        <v>-780.75042456765709</v>
      </c>
      <c r="CB99" s="301"/>
      <c r="CC99" s="628">
        <f>CC44+CC47+CC16-CC98</f>
        <v>-200.79786493531714</v>
      </c>
      <c r="CD99" s="301">
        <f>CD44+CD47+CD16-CD98</f>
        <v>-299.4924323789877</v>
      </c>
      <c r="CE99" s="301">
        <f>CE44+CE47+CE16-CE98</f>
        <v>-292.83568347154409</v>
      </c>
      <c r="CF99" s="629">
        <f>CF44+CF47+CF16-CF98</f>
        <v>-292.23515441225902</v>
      </c>
      <c r="CG99" s="240">
        <f>CG44+CG47+CG16-CG98</f>
        <v>-1085.3611351981081</v>
      </c>
      <c r="CH99" s="301"/>
      <c r="CI99" s="628">
        <f>CI44+CI47+CI16-CI98</f>
        <v>-196.15280619901148</v>
      </c>
      <c r="CJ99" s="301">
        <f>CJ44+CJ47+CJ16-CJ98</f>
        <v>-195.18312857845859</v>
      </c>
      <c r="CK99" s="301">
        <f>CK44+CK47+CK16-CK98</f>
        <v>-218.34343969167492</v>
      </c>
      <c r="CL99" s="629">
        <f>CL44+CL47+CL16-CL98</f>
        <v>-218.12931778507757</v>
      </c>
      <c r="CM99" s="240">
        <f>CM44+CM47+CM16-CM98</f>
        <v>-827.80869225422259</v>
      </c>
      <c r="CQ99"/>
      <c r="CR99"/>
      <c r="CS99"/>
      <c r="CT99"/>
      <c r="CU99"/>
      <c r="CV99"/>
      <c r="CW99" s="289"/>
    </row>
    <row r="100" spans="1:101" collapsed="1" x14ac:dyDescent="0.2">
      <c r="A100" s="630" t="s">
        <v>289</v>
      </c>
      <c r="B100" s="631"/>
      <c r="C100" s="631"/>
      <c r="D100" s="631"/>
      <c r="E100" s="631"/>
      <c r="F100" s="631"/>
      <c r="G100" s="631"/>
      <c r="H100" s="631"/>
      <c r="I100" s="631"/>
      <c r="J100" s="631"/>
      <c r="K100" s="631"/>
      <c r="L100" s="631"/>
      <c r="M100" s="631"/>
      <c r="N100" s="631"/>
      <c r="O100" s="631"/>
      <c r="P100" s="631"/>
      <c r="Q100" s="631"/>
      <c r="R100" s="631"/>
      <c r="S100" s="631"/>
      <c r="T100" s="631"/>
      <c r="U100" s="631"/>
      <c r="V100" s="631"/>
      <c r="W100" s="631"/>
      <c r="X100" s="631"/>
      <c r="Y100" s="631"/>
      <c r="Z100" s="631"/>
      <c r="AA100" s="631"/>
      <c r="AB100" s="631"/>
      <c r="AC100" s="631"/>
      <c r="AD100" s="631"/>
      <c r="AE100" s="631"/>
      <c r="AF100" s="631"/>
      <c r="AG100" s="631"/>
      <c r="AH100" s="631"/>
      <c r="AI100" s="631"/>
      <c r="AJ100" s="631"/>
      <c r="AK100" s="631"/>
      <c r="AL100" s="631"/>
      <c r="AM100" s="631"/>
      <c r="AN100" s="631"/>
      <c r="AO100" s="631"/>
      <c r="AP100" s="631"/>
      <c r="AQ100" s="631"/>
      <c r="AR100" s="631"/>
      <c r="AS100" s="631"/>
      <c r="AT100" s="631"/>
      <c r="AU100" s="631"/>
      <c r="AV100" s="631"/>
      <c r="AW100" s="631"/>
      <c r="AX100" s="631"/>
      <c r="AY100" s="631"/>
      <c r="AZ100" s="631"/>
      <c r="BA100" s="631"/>
      <c r="BB100" s="631"/>
      <c r="BC100" s="633"/>
      <c r="BD100" s="631"/>
      <c r="BE100" s="631"/>
      <c r="BF100" s="631"/>
      <c r="BG100" s="631"/>
      <c r="BH100" s="631"/>
      <c r="BI100" s="633"/>
      <c r="BJ100" s="631"/>
      <c r="BK100" s="632"/>
      <c r="BL100" s="631"/>
      <c r="BM100" s="631"/>
      <c r="BN100" s="769"/>
      <c r="BO100" s="633"/>
      <c r="BP100" s="631"/>
      <c r="BQ100" s="632"/>
      <c r="BR100" s="631"/>
      <c r="BS100" s="631"/>
      <c r="BT100" s="769"/>
      <c r="BU100" s="633"/>
      <c r="BV100" s="631"/>
      <c r="BW100" s="632"/>
      <c r="BX100" s="631"/>
      <c r="BY100" s="631"/>
      <c r="BZ100" s="631"/>
      <c r="CA100" s="633"/>
      <c r="CB100" s="631"/>
      <c r="CC100" s="632"/>
      <c r="CD100" s="631"/>
      <c r="CE100" s="631"/>
      <c r="CF100" s="631"/>
      <c r="CG100" s="633"/>
      <c r="CH100" s="631"/>
      <c r="CI100" s="632"/>
      <c r="CJ100" s="631"/>
      <c r="CK100" s="631"/>
      <c r="CL100" s="631"/>
      <c r="CM100" s="633"/>
      <c r="CW100" s="289"/>
    </row>
    <row r="101" spans="1:101" x14ac:dyDescent="0.2">
      <c r="A101" s="634" t="s">
        <v>290</v>
      </c>
      <c r="B101" s="635"/>
      <c r="C101" s="635"/>
      <c r="D101" s="635"/>
      <c r="E101" s="635"/>
      <c r="F101" s="635"/>
      <c r="G101" s="635"/>
      <c r="H101" s="635"/>
      <c r="I101" s="635"/>
      <c r="J101" s="635"/>
      <c r="K101" s="635"/>
      <c r="L101" s="635"/>
      <c r="M101" s="635"/>
      <c r="N101" s="635"/>
      <c r="O101" s="635"/>
      <c r="P101" s="635"/>
      <c r="Q101" s="635"/>
      <c r="R101" s="635"/>
      <c r="S101" s="635"/>
      <c r="T101" s="635"/>
      <c r="U101" s="635"/>
      <c r="V101" s="635"/>
      <c r="W101" s="635"/>
      <c r="X101" s="635"/>
      <c r="Y101" s="635"/>
      <c r="Z101" s="635"/>
      <c r="AA101" s="635"/>
      <c r="AB101" s="635"/>
      <c r="AC101" s="635"/>
      <c r="AD101" s="635"/>
      <c r="AE101" s="635"/>
      <c r="AF101" s="635"/>
      <c r="AG101" s="635"/>
      <c r="AH101" s="635"/>
      <c r="AI101" s="635"/>
      <c r="AJ101" s="635"/>
      <c r="AK101" s="635"/>
      <c r="AL101" s="635"/>
      <c r="AM101" s="635"/>
      <c r="AN101" s="635"/>
      <c r="AO101" s="635"/>
      <c r="AP101" s="635"/>
      <c r="AQ101" s="635"/>
      <c r="AR101" s="635"/>
      <c r="AS101" s="635"/>
      <c r="AT101" s="635"/>
      <c r="AU101" s="635"/>
      <c r="AV101" s="635"/>
      <c r="AW101" s="635"/>
      <c r="AX101" s="635"/>
      <c r="AY101" s="635"/>
      <c r="AZ101" s="635"/>
      <c r="BA101" s="635"/>
      <c r="BB101" s="635"/>
      <c r="BC101" s="638"/>
      <c r="BD101" s="635"/>
      <c r="BE101" s="635"/>
      <c r="BF101" s="635"/>
      <c r="BG101" s="635"/>
      <c r="BH101" s="635"/>
      <c r="BI101" s="638"/>
      <c r="BJ101" s="635"/>
      <c r="BK101" s="634"/>
      <c r="BL101" s="688"/>
      <c r="BM101" s="655">
        <v>2500</v>
      </c>
      <c r="BN101" s="670">
        <f>BM101</f>
        <v>2500</v>
      </c>
      <c r="BO101" s="638"/>
      <c r="BP101" s="635"/>
      <c r="BQ101" s="637">
        <f>BN101</f>
        <v>2500</v>
      </c>
      <c r="BR101" s="636">
        <f>BM101</f>
        <v>2500</v>
      </c>
      <c r="BS101" s="636">
        <f t="shared" ref="BS101:BT103" si="32">BR101</f>
        <v>2500</v>
      </c>
      <c r="BT101" s="670">
        <f t="shared" si="32"/>
        <v>2500</v>
      </c>
      <c r="BU101" s="638"/>
      <c r="BV101" s="635"/>
      <c r="BW101" s="637">
        <f>BT101</f>
        <v>2500</v>
      </c>
      <c r="BX101" s="636">
        <f t="shared" ref="BX101:BZ104" si="33">BW101</f>
        <v>2500</v>
      </c>
      <c r="BY101" s="636">
        <f t="shared" si="33"/>
        <v>2500</v>
      </c>
      <c r="BZ101" s="636">
        <f t="shared" si="33"/>
        <v>2500</v>
      </c>
      <c r="CA101" s="638"/>
      <c r="CB101" s="11"/>
      <c r="CC101" s="637">
        <f>BZ101</f>
        <v>2500</v>
      </c>
      <c r="CD101" s="636">
        <f t="shared" ref="CD101:CE104" si="34">CC101</f>
        <v>2500</v>
      </c>
      <c r="CE101" s="636">
        <f t="shared" si="34"/>
        <v>2500</v>
      </c>
      <c r="CF101" s="636"/>
      <c r="CG101" s="608"/>
      <c r="CH101" s="11"/>
      <c r="CI101" s="233"/>
      <c r="CJ101" s="11"/>
      <c r="CK101" s="11"/>
      <c r="CL101" s="11"/>
      <c r="CM101" s="608"/>
      <c r="CW101" s="289"/>
    </row>
    <row r="102" spans="1:101" x14ac:dyDescent="0.2">
      <c r="A102" s="233" t="s">
        <v>291</v>
      </c>
      <c r="B102" s="635"/>
      <c r="C102" s="635"/>
      <c r="D102" s="635"/>
      <c r="E102" s="635"/>
      <c r="F102" s="635"/>
      <c r="G102" s="635"/>
      <c r="H102" s="635"/>
      <c r="I102" s="635"/>
      <c r="J102" s="635"/>
      <c r="K102" s="635"/>
      <c r="L102" s="635"/>
      <c r="M102" s="635"/>
      <c r="N102" s="635"/>
      <c r="O102" s="635"/>
      <c r="P102" s="635"/>
      <c r="Q102" s="635"/>
      <c r="R102" s="635"/>
      <c r="S102" s="635"/>
      <c r="T102" s="635"/>
      <c r="U102" s="635"/>
      <c r="V102" s="635"/>
      <c r="W102" s="635"/>
      <c r="X102" s="635"/>
      <c r="Y102" s="635"/>
      <c r="Z102" s="635"/>
      <c r="AA102" s="635"/>
      <c r="AB102" s="635"/>
      <c r="AC102" s="635"/>
      <c r="AD102" s="635"/>
      <c r="AE102" s="635"/>
      <c r="AF102" s="635"/>
      <c r="AG102" s="635"/>
      <c r="AH102" s="635"/>
      <c r="AI102" s="635"/>
      <c r="AJ102" s="635"/>
      <c r="AK102" s="635"/>
      <c r="AL102" s="635"/>
      <c r="AM102" s="635"/>
      <c r="AN102" s="635"/>
      <c r="AO102" s="635"/>
      <c r="AP102" s="635"/>
      <c r="AQ102" s="635"/>
      <c r="AR102" s="635"/>
      <c r="AS102" s="635"/>
      <c r="AT102" s="635"/>
      <c r="AU102" s="635"/>
      <c r="AV102" s="635"/>
      <c r="AW102" s="635"/>
      <c r="AX102" s="635"/>
      <c r="AY102" s="635"/>
      <c r="AZ102" s="635"/>
      <c r="BA102" s="635"/>
      <c r="BB102" s="635"/>
      <c r="BC102" s="638"/>
      <c r="BD102" s="635"/>
      <c r="BE102" s="635"/>
      <c r="BF102" s="635"/>
      <c r="BG102" s="635"/>
      <c r="BH102" s="635"/>
      <c r="BI102" s="638"/>
      <c r="BJ102" s="635"/>
      <c r="BK102" s="634"/>
      <c r="BL102" s="688"/>
      <c r="BM102" s="639">
        <v>6.1249999999999999E-2</v>
      </c>
      <c r="BN102" s="770">
        <f>BM102</f>
        <v>6.1249999999999999E-2</v>
      </c>
      <c r="BO102" s="638"/>
      <c r="BP102" s="635"/>
      <c r="BQ102" s="640">
        <f>BN102</f>
        <v>6.1249999999999999E-2</v>
      </c>
      <c r="BR102" s="639">
        <f>BQ102</f>
        <v>6.1249999999999999E-2</v>
      </c>
      <c r="BS102" s="639">
        <f t="shared" si="32"/>
        <v>6.1249999999999999E-2</v>
      </c>
      <c r="BT102" s="770">
        <f t="shared" si="32"/>
        <v>6.1249999999999999E-2</v>
      </c>
      <c r="BU102" s="638"/>
      <c r="BV102" s="635"/>
      <c r="BW102" s="640">
        <f>BT102</f>
        <v>6.1249999999999999E-2</v>
      </c>
      <c r="BX102" s="639">
        <f t="shared" si="33"/>
        <v>6.1249999999999999E-2</v>
      </c>
      <c r="BY102" s="639">
        <f t="shared" si="33"/>
        <v>6.1249999999999999E-2</v>
      </c>
      <c r="BZ102" s="639">
        <f t="shared" si="33"/>
        <v>6.1249999999999999E-2</v>
      </c>
      <c r="CA102" s="638"/>
      <c r="CB102" s="11"/>
      <c r="CC102" s="640">
        <f>BZ102</f>
        <v>6.1249999999999999E-2</v>
      </c>
      <c r="CD102" s="639">
        <f t="shared" si="34"/>
        <v>6.1249999999999999E-2</v>
      </c>
      <c r="CE102" s="639">
        <f t="shared" si="34"/>
        <v>6.1249999999999999E-2</v>
      </c>
      <c r="CF102" s="639"/>
      <c r="CG102" s="608"/>
      <c r="CH102" s="11"/>
      <c r="CI102" s="233"/>
      <c r="CJ102" s="11"/>
      <c r="CK102" s="11"/>
      <c r="CL102" s="11"/>
      <c r="CM102" s="608"/>
      <c r="CW102" s="289"/>
    </row>
    <row r="103" spans="1:101" x14ac:dyDescent="0.2">
      <c r="A103" s="634" t="s">
        <v>292</v>
      </c>
      <c r="B103" s="635"/>
      <c r="C103" s="635"/>
      <c r="D103" s="635"/>
      <c r="E103" s="635"/>
      <c r="F103" s="635"/>
      <c r="G103" s="635"/>
      <c r="H103" s="635"/>
      <c r="I103" s="635"/>
      <c r="J103" s="635"/>
      <c r="K103" s="635"/>
      <c r="L103" s="635"/>
      <c r="M103" s="635"/>
      <c r="N103" s="635"/>
      <c r="O103" s="635"/>
      <c r="P103" s="635"/>
      <c r="Q103" s="635"/>
      <c r="R103" s="635"/>
      <c r="S103" s="635"/>
      <c r="T103" s="635"/>
      <c r="U103" s="635"/>
      <c r="V103" s="635"/>
      <c r="W103" s="635"/>
      <c r="X103" s="635"/>
      <c r="Y103" s="635"/>
      <c r="Z103" s="635"/>
      <c r="AA103" s="635"/>
      <c r="AB103" s="635"/>
      <c r="AC103" s="635"/>
      <c r="AD103" s="635"/>
      <c r="AE103" s="635"/>
      <c r="AF103" s="635"/>
      <c r="AG103" s="635"/>
      <c r="AH103" s="635"/>
      <c r="AI103" s="635"/>
      <c r="AJ103" s="635"/>
      <c r="AK103" s="635"/>
      <c r="AL103" s="635"/>
      <c r="AM103" s="635"/>
      <c r="AN103" s="635"/>
      <c r="AO103" s="635"/>
      <c r="AP103" s="635"/>
      <c r="AQ103" s="635"/>
      <c r="AR103" s="635"/>
      <c r="AS103" s="635"/>
      <c r="AT103" s="635"/>
      <c r="AU103" s="635"/>
      <c r="AV103" s="635"/>
      <c r="AW103" s="635"/>
      <c r="AX103" s="635"/>
      <c r="AY103" s="635"/>
      <c r="AZ103" s="635"/>
      <c r="BA103" s="635"/>
      <c r="BB103" s="635"/>
      <c r="BC103" s="638"/>
      <c r="BD103" s="635"/>
      <c r="BE103" s="635"/>
      <c r="BF103" s="635"/>
      <c r="BG103" s="635"/>
      <c r="BH103" s="635"/>
      <c r="BI103" s="638"/>
      <c r="BJ103" s="635"/>
      <c r="BK103" s="634"/>
      <c r="BL103" s="688"/>
      <c r="BM103" s="641">
        <v>176.5</v>
      </c>
      <c r="BN103" s="771">
        <f>BM103</f>
        <v>176.5</v>
      </c>
      <c r="BO103" s="638"/>
      <c r="BP103" s="635"/>
      <c r="BQ103" s="642">
        <f>BN103</f>
        <v>176.5</v>
      </c>
      <c r="BR103" s="641">
        <f>BQ103</f>
        <v>176.5</v>
      </c>
      <c r="BS103" s="641">
        <f t="shared" si="32"/>
        <v>176.5</v>
      </c>
      <c r="BT103" s="771">
        <f t="shared" si="32"/>
        <v>176.5</v>
      </c>
      <c r="BU103" s="638"/>
      <c r="BV103" s="635"/>
      <c r="BW103" s="642">
        <f>BT103</f>
        <v>176.5</v>
      </c>
      <c r="BX103" s="641">
        <f t="shared" si="33"/>
        <v>176.5</v>
      </c>
      <c r="BY103" s="641">
        <f t="shared" si="33"/>
        <v>176.5</v>
      </c>
      <c r="BZ103" s="641">
        <f t="shared" si="33"/>
        <v>176.5</v>
      </c>
      <c r="CA103" s="638"/>
      <c r="CB103" s="11"/>
      <c r="CC103" s="642">
        <f>BZ103</f>
        <v>176.5</v>
      </c>
      <c r="CD103" s="641">
        <f t="shared" si="34"/>
        <v>176.5</v>
      </c>
      <c r="CE103" s="641">
        <f t="shared" si="34"/>
        <v>176.5</v>
      </c>
      <c r="CF103" s="641"/>
      <c r="CG103" s="608"/>
      <c r="CH103" s="11"/>
      <c r="CI103" s="233"/>
      <c r="CJ103" s="11"/>
      <c r="CK103" s="11"/>
      <c r="CL103" s="11"/>
      <c r="CM103" s="608"/>
      <c r="CW103" s="289"/>
    </row>
    <row r="104" spans="1:101" x14ac:dyDescent="0.2">
      <c r="A104" s="634" t="s">
        <v>293</v>
      </c>
      <c r="B104" s="635"/>
      <c r="C104" s="635"/>
      <c r="D104" s="635"/>
      <c r="E104" s="635"/>
      <c r="F104" s="635"/>
      <c r="G104" s="635"/>
      <c r="H104" s="635"/>
      <c r="I104" s="635"/>
      <c r="J104" s="635"/>
      <c r="K104" s="635"/>
      <c r="L104" s="635"/>
      <c r="M104" s="635"/>
      <c r="N104" s="635"/>
      <c r="O104" s="635"/>
      <c r="P104" s="635"/>
      <c r="Q104" s="635"/>
      <c r="R104" s="635"/>
      <c r="S104" s="635"/>
      <c r="T104" s="635"/>
      <c r="U104" s="635"/>
      <c r="V104" s="635"/>
      <c r="W104" s="635"/>
      <c r="X104" s="635"/>
      <c r="Y104" s="635"/>
      <c r="Z104" s="635"/>
      <c r="AA104" s="635"/>
      <c r="AB104" s="635"/>
      <c r="AC104" s="635"/>
      <c r="AD104" s="635"/>
      <c r="AE104" s="635"/>
      <c r="AF104" s="635"/>
      <c r="AG104" s="635"/>
      <c r="AH104" s="635"/>
      <c r="AI104" s="635"/>
      <c r="AJ104" s="635"/>
      <c r="AK104" s="635"/>
      <c r="AL104" s="635"/>
      <c r="AM104" s="635"/>
      <c r="AN104" s="635"/>
      <c r="AO104" s="635"/>
      <c r="AP104" s="635"/>
      <c r="AQ104" s="635"/>
      <c r="AR104" s="635"/>
      <c r="AS104" s="635"/>
      <c r="AT104" s="635"/>
      <c r="AU104" s="635"/>
      <c r="AV104" s="635"/>
      <c r="AW104" s="635"/>
      <c r="AX104" s="635"/>
      <c r="AY104" s="635"/>
      <c r="AZ104" s="635"/>
      <c r="BA104" s="635"/>
      <c r="BB104" s="635"/>
      <c r="BC104" s="638"/>
      <c r="BD104" s="635"/>
      <c r="BE104" s="635"/>
      <c r="BF104" s="635"/>
      <c r="BG104" s="635"/>
      <c r="BH104" s="635"/>
      <c r="BI104" s="638"/>
      <c r="BJ104" s="635"/>
      <c r="BK104" s="634"/>
      <c r="BL104" s="688"/>
      <c r="BM104" s="641">
        <f>BM103*1.2</f>
        <v>211.79999999999998</v>
      </c>
      <c r="BN104" s="771">
        <f>BN103*1.2</f>
        <v>211.79999999999998</v>
      </c>
      <c r="BO104" s="638"/>
      <c r="BP104" s="635"/>
      <c r="BQ104" s="642">
        <f>BQ103*1.2</f>
        <v>211.79999999999998</v>
      </c>
      <c r="BR104" s="641">
        <f>BQ104</f>
        <v>211.79999999999998</v>
      </c>
      <c r="BS104" s="641">
        <f>BR104</f>
        <v>211.79999999999998</v>
      </c>
      <c r="BT104" s="771">
        <f>BS104</f>
        <v>211.79999999999998</v>
      </c>
      <c r="BU104" s="638"/>
      <c r="BV104" s="635"/>
      <c r="BW104" s="642">
        <f>BT104</f>
        <v>211.79999999999998</v>
      </c>
      <c r="BX104" s="641">
        <f t="shared" si="33"/>
        <v>211.79999999999998</v>
      </c>
      <c r="BY104" s="641">
        <f t="shared" si="33"/>
        <v>211.79999999999998</v>
      </c>
      <c r="BZ104" s="641">
        <f t="shared" si="33"/>
        <v>211.79999999999998</v>
      </c>
      <c r="CA104" s="638"/>
      <c r="CB104" s="11"/>
      <c r="CC104" s="642">
        <f>BZ104</f>
        <v>211.79999999999998</v>
      </c>
      <c r="CD104" s="641">
        <f t="shared" si="34"/>
        <v>211.79999999999998</v>
      </c>
      <c r="CE104" s="641">
        <f t="shared" si="34"/>
        <v>211.79999999999998</v>
      </c>
      <c r="CF104" s="641"/>
      <c r="CG104" s="608"/>
      <c r="CH104" s="11"/>
      <c r="CI104" s="233"/>
      <c r="CJ104" s="11"/>
      <c r="CK104" s="11"/>
      <c r="CL104" s="11"/>
      <c r="CM104" s="608"/>
      <c r="CW104" s="289"/>
    </row>
    <row r="105" spans="1:101" x14ac:dyDescent="0.2">
      <c r="A105" s="634" t="s">
        <v>294</v>
      </c>
      <c r="B105" s="635"/>
      <c r="C105" s="635"/>
      <c r="D105" s="635"/>
      <c r="E105" s="635"/>
      <c r="F105" s="635"/>
      <c r="G105" s="635"/>
      <c r="H105" s="635"/>
      <c r="I105" s="635"/>
      <c r="J105" s="635"/>
      <c r="K105" s="635"/>
      <c r="L105" s="635"/>
      <c r="M105" s="635"/>
      <c r="N105" s="635"/>
      <c r="O105" s="635"/>
      <c r="P105" s="635"/>
      <c r="Q105" s="635"/>
      <c r="R105" s="635"/>
      <c r="S105" s="635"/>
      <c r="T105" s="635"/>
      <c r="U105" s="635"/>
      <c r="V105" s="635"/>
      <c r="W105" s="635"/>
      <c r="X105" s="635"/>
      <c r="Y105" s="635"/>
      <c r="Z105" s="635"/>
      <c r="AA105" s="635"/>
      <c r="AB105" s="635"/>
      <c r="AC105" s="635"/>
      <c r="AD105" s="635"/>
      <c r="AE105" s="635"/>
      <c r="AF105" s="635"/>
      <c r="AG105" s="635"/>
      <c r="AH105" s="635"/>
      <c r="AI105" s="635"/>
      <c r="AJ105" s="635"/>
      <c r="AK105" s="635"/>
      <c r="AL105" s="635"/>
      <c r="AM105" s="635"/>
      <c r="AN105" s="635"/>
      <c r="AO105" s="635"/>
      <c r="AP105" s="635"/>
      <c r="AQ105" s="635"/>
      <c r="AR105" s="635"/>
      <c r="AS105" s="635"/>
      <c r="AT105" s="635"/>
      <c r="AU105" s="635"/>
      <c r="AV105" s="635"/>
      <c r="AW105" s="635"/>
      <c r="AX105" s="635"/>
      <c r="AY105" s="635"/>
      <c r="AZ105" s="635"/>
      <c r="BA105" s="635"/>
      <c r="BB105" s="635"/>
      <c r="BC105" s="638"/>
      <c r="BD105" s="635"/>
      <c r="BE105" s="635"/>
      <c r="BF105" s="635"/>
      <c r="BG105" s="635"/>
      <c r="BH105" s="635"/>
      <c r="BI105" s="638"/>
      <c r="BJ105" s="635"/>
      <c r="BK105" s="634"/>
      <c r="BL105" s="688"/>
      <c r="BM105" s="641">
        <v>176.5</v>
      </c>
      <c r="BN105" s="771">
        <f>BN65</f>
        <v>200.11</v>
      </c>
      <c r="BO105" s="638"/>
      <c r="BP105" s="635"/>
      <c r="BQ105" s="642">
        <f>BQ65</f>
        <v>214.66587761904756</v>
      </c>
      <c r="BR105" s="641">
        <f>BR65</f>
        <v>218.58237092568152</v>
      </c>
      <c r="BS105" s="641">
        <f>BS65</f>
        <v>222.57031909040023</v>
      </c>
      <c r="BT105" s="771">
        <f>BT65</f>
        <v>226.63102577858601</v>
      </c>
      <c r="BU105" s="638"/>
      <c r="BV105" s="635"/>
      <c r="BW105" s="642">
        <f>BW65</f>
        <v>230.76581844047604</v>
      </c>
      <c r="BX105" s="641">
        <f>BX65</f>
        <v>234.97604874510753</v>
      </c>
      <c r="BY105" s="641">
        <f>BY65</f>
        <v>239.26309302218016</v>
      </c>
      <c r="BZ105" s="641">
        <f>BZ65</f>
        <v>243.62835271197986</v>
      </c>
      <c r="CA105" s="638"/>
      <c r="CB105" s="11"/>
      <c r="CC105" s="642">
        <f>CC65</f>
        <v>248.07325482351163</v>
      </c>
      <c r="CD105" s="641">
        <f>CD65</f>
        <v>252.59925240099051</v>
      </c>
      <c r="CE105" s="641">
        <f>CE65</f>
        <v>257.20782499884359</v>
      </c>
      <c r="CF105" s="641"/>
      <c r="CG105" s="608"/>
      <c r="CH105" s="11"/>
      <c r="CI105" s="233"/>
      <c r="CJ105" s="11"/>
      <c r="CK105" s="11"/>
      <c r="CL105" s="11"/>
      <c r="CM105" s="608"/>
      <c r="CW105" s="289"/>
    </row>
    <row r="106" spans="1:101" x14ac:dyDescent="0.2">
      <c r="A106" s="643" t="s">
        <v>295</v>
      </c>
      <c r="B106" s="260"/>
      <c r="C106" s="260"/>
      <c r="D106" s="260"/>
      <c r="E106" s="260"/>
      <c r="F106" s="260"/>
      <c r="G106" s="260"/>
      <c r="H106" s="260"/>
      <c r="I106" s="260"/>
      <c r="J106" s="260"/>
      <c r="K106" s="260"/>
      <c r="L106" s="260"/>
      <c r="M106" s="260"/>
      <c r="N106" s="260"/>
      <c r="O106" s="260"/>
      <c r="P106" s="260"/>
      <c r="Q106" s="260"/>
      <c r="R106" s="260"/>
      <c r="S106" s="260"/>
      <c r="T106" s="260"/>
      <c r="U106" s="260"/>
      <c r="V106" s="260"/>
      <c r="W106" s="260"/>
      <c r="X106" s="260"/>
      <c r="Y106" s="260"/>
      <c r="Z106" s="260"/>
      <c r="AA106" s="260"/>
      <c r="AB106" s="260"/>
      <c r="AC106" s="260"/>
      <c r="AD106" s="260"/>
      <c r="AE106" s="260"/>
      <c r="AF106" s="260"/>
      <c r="AG106" s="260"/>
      <c r="AH106" s="260"/>
      <c r="AI106" s="260"/>
      <c r="AJ106" s="260"/>
      <c r="AK106" s="260"/>
      <c r="AL106" s="260"/>
      <c r="AM106" s="260"/>
      <c r="AN106" s="260"/>
      <c r="AO106" s="260"/>
      <c r="AP106" s="260"/>
      <c r="AQ106" s="260"/>
      <c r="AR106" s="260"/>
      <c r="AS106" s="260"/>
      <c r="AT106" s="260"/>
      <c r="AU106" s="260"/>
      <c r="AV106" s="260"/>
      <c r="AW106" s="260"/>
      <c r="AX106" s="260"/>
      <c r="AY106" s="260"/>
      <c r="AZ106" s="260"/>
      <c r="BA106" s="260"/>
      <c r="BB106" s="260"/>
      <c r="BC106" s="644"/>
      <c r="BD106" s="260"/>
      <c r="BE106" s="260"/>
      <c r="BF106" s="260"/>
      <c r="BG106" s="260"/>
      <c r="BH106" s="260"/>
      <c r="BI106" s="644"/>
      <c r="BJ106" s="260"/>
      <c r="BK106" s="643"/>
      <c r="BL106" s="260"/>
      <c r="BM106" s="260"/>
      <c r="BN106" s="675"/>
      <c r="BO106" s="644"/>
      <c r="BP106" s="260"/>
      <c r="BQ106" s="643"/>
      <c r="BR106" s="260"/>
      <c r="BS106" s="260"/>
      <c r="BT106" s="675"/>
      <c r="BU106" s="644"/>
      <c r="BV106" s="260"/>
      <c r="BW106" s="643"/>
      <c r="BX106" s="260"/>
      <c r="BY106" s="260"/>
      <c r="BZ106" s="260"/>
      <c r="CA106" s="644"/>
      <c r="CB106" s="260"/>
      <c r="CC106" s="643"/>
      <c r="CD106" s="260"/>
      <c r="CE106" s="260"/>
      <c r="CF106" s="260"/>
      <c r="CG106" s="644"/>
      <c r="CH106" s="260"/>
      <c r="CI106" s="643"/>
      <c r="CJ106" s="260"/>
      <c r="CK106" s="260"/>
      <c r="CL106" s="260"/>
      <c r="CM106" s="644"/>
      <c r="CW106" s="289"/>
    </row>
    <row r="107" spans="1:101" x14ac:dyDescent="0.2">
      <c r="A107" s="233" t="s">
        <v>296</v>
      </c>
      <c r="B107" s="635"/>
      <c r="C107" s="635"/>
      <c r="D107" s="635"/>
      <c r="E107" s="635"/>
      <c r="F107" s="635"/>
      <c r="G107" s="635"/>
      <c r="H107" s="635"/>
      <c r="I107" s="635"/>
      <c r="J107" s="635"/>
      <c r="K107" s="635"/>
      <c r="L107" s="635"/>
      <c r="M107" s="635"/>
      <c r="N107" s="635"/>
      <c r="O107" s="635"/>
      <c r="P107" s="635"/>
      <c r="Q107" s="635"/>
      <c r="R107" s="635"/>
      <c r="S107" s="635"/>
      <c r="T107" s="635"/>
      <c r="U107" s="635"/>
      <c r="V107" s="635"/>
      <c r="W107" s="635"/>
      <c r="X107" s="635"/>
      <c r="Y107" s="635"/>
      <c r="Z107" s="635"/>
      <c r="AA107" s="635"/>
      <c r="AB107" s="635"/>
      <c r="AC107" s="635"/>
      <c r="AD107" s="635"/>
      <c r="AE107" s="635"/>
      <c r="AF107" s="635"/>
      <c r="AG107" s="635"/>
      <c r="AH107" s="635"/>
      <c r="AI107" s="635"/>
      <c r="AJ107" s="635"/>
      <c r="AK107" s="635"/>
      <c r="AL107" s="635"/>
      <c r="AM107" s="635"/>
      <c r="AN107" s="635"/>
      <c r="AO107" s="635"/>
      <c r="AP107" s="635"/>
      <c r="AQ107" s="635"/>
      <c r="AR107" s="635"/>
      <c r="AS107" s="635"/>
      <c r="AT107" s="635"/>
      <c r="AU107" s="635"/>
      <c r="AV107" s="635"/>
      <c r="AW107" s="635"/>
      <c r="AX107" s="635"/>
      <c r="AY107" s="635"/>
      <c r="AZ107" s="635"/>
      <c r="BA107" s="635"/>
      <c r="BB107" s="635"/>
      <c r="BC107" s="638"/>
      <c r="BD107" s="635"/>
      <c r="BE107" s="635"/>
      <c r="BF107" s="635"/>
      <c r="BG107" s="635"/>
      <c r="BH107" s="635"/>
      <c r="BI107" s="638"/>
      <c r="BJ107" s="635"/>
      <c r="BK107" s="634"/>
      <c r="BL107" s="688"/>
      <c r="BM107" s="636">
        <f>BM101*BM102/4</f>
        <v>38.28125</v>
      </c>
      <c r="BN107" s="670">
        <f>BN101*BN102/4</f>
        <v>38.28125</v>
      </c>
      <c r="BO107" s="638"/>
      <c r="BP107" s="635"/>
      <c r="BQ107" s="637">
        <f>BQ101*BQ102/4</f>
        <v>38.28125</v>
      </c>
      <c r="BR107" s="636">
        <f>BR101*BR102/4</f>
        <v>38.28125</v>
      </c>
      <c r="BS107" s="636">
        <f>BS101*BS102/4</f>
        <v>38.28125</v>
      </c>
      <c r="BT107" s="670">
        <f>BT101*BT102/4</f>
        <v>38.28125</v>
      </c>
      <c r="BU107" s="678">
        <f>SUM(BQ107:BT107)</f>
        <v>153.125</v>
      </c>
      <c r="BV107" s="635"/>
      <c r="BW107" s="637">
        <f>BW101*BW102/4</f>
        <v>38.28125</v>
      </c>
      <c r="BX107" s="636">
        <f>BX101*BX102/4</f>
        <v>38.28125</v>
      </c>
      <c r="BY107" s="636">
        <f>BY101*BY102/4</f>
        <v>38.28125</v>
      </c>
      <c r="BZ107" s="636">
        <f>BZ101*BZ102/4</f>
        <v>38.28125</v>
      </c>
      <c r="CA107" s="638">
        <f>SUM(BW107:BZ107)</f>
        <v>153.125</v>
      </c>
      <c r="CB107" s="11"/>
      <c r="CC107" s="637">
        <f>CC101*CC102/4</f>
        <v>38.28125</v>
      </c>
      <c r="CD107" s="636">
        <f>CD101*CD102/4</f>
        <v>38.28125</v>
      </c>
      <c r="CE107" s="636"/>
      <c r="CF107" s="636"/>
      <c r="CG107" s="608"/>
      <c r="CH107" s="11"/>
      <c r="CI107" s="233"/>
      <c r="CJ107" s="11"/>
      <c r="CK107" s="11"/>
      <c r="CL107" s="11"/>
      <c r="CM107" s="608"/>
      <c r="CW107" s="289"/>
    </row>
    <row r="108" spans="1:101" x14ac:dyDescent="0.2">
      <c r="A108" s="634" t="s">
        <v>59</v>
      </c>
      <c r="B108" s="635"/>
      <c r="C108" s="635"/>
      <c r="D108" s="635"/>
      <c r="E108" s="635"/>
      <c r="F108" s="635"/>
      <c r="G108" s="635"/>
      <c r="H108" s="635"/>
      <c r="I108" s="635"/>
      <c r="J108" s="635"/>
      <c r="K108" s="635"/>
      <c r="L108" s="635"/>
      <c r="M108" s="635"/>
      <c r="N108" s="635"/>
      <c r="O108" s="635"/>
      <c r="P108" s="635"/>
      <c r="Q108" s="635"/>
      <c r="R108" s="635"/>
      <c r="S108" s="635"/>
      <c r="T108" s="635"/>
      <c r="U108" s="635"/>
      <c r="V108" s="635"/>
      <c r="W108" s="635"/>
      <c r="X108" s="635"/>
      <c r="Y108" s="635"/>
      <c r="Z108" s="635"/>
      <c r="AA108" s="635"/>
      <c r="AB108" s="635"/>
      <c r="AC108" s="635"/>
      <c r="AD108" s="635"/>
      <c r="AE108" s="635"/>
      <c r="AF108" s="635"/>
      <c r="AG108" s="635"/>
      <c r="AH108" s="635"/>
      <c r="AI108" s="635"/>
      <c r="AJ108" s="635"/>
      <c r="AK108" s="635"/>
      <c r="AL108" s="635"/>
      <c r="AM108" s="635"/>
      <c r="AN108" s="635"/>
      <c r="AO108" s="635"/>
      <c r="AP108" s="635"/>
      <c r="AQ108" s="635"/>
      <c r="AR108" s="635"/>
      <c r="AS108" s="635"/>
      <c r="AT108" s="635"/>
      <c r="AU108" s="635"/>
      <c r="AV108" s="635"/>
      <c r="AW108" s="635"/>
      <c r="AX108" s="635"/>
      <c r="AY108" s="635"/>
      <c r="AZ108" s="635"/>
      <c r="BA108" s="635"/>
      <c r="BB108" s="635"/>
      <c r="BC108" s="638"/>
      <c r="BD108" s="635"/>
      <c r="BE108" s="635"/>
      <c r="BF108" s="635"/>
      <c r="BG108" s="635"/>
      <c r="BH108" s="635"/>
      <c r="BI108" s="638"/>
      <c r="BJ108" s="635"/>
      <c r="BK108" s="634"/>
      <c r="BL108" s="688"/>
      <c r="BM108" s="636">
        <f>BM112-BM107</f>
        <v>498.71875</v>
      </c>
      <c r="BN108" s="670">
        <f>BN112-BN107</f>
        <v>486.20874999999978</v>
      </c>
      <c r="BO108" s="638"/>
      <c r="BP108" s="635"/>
      <c r="BQ108" s="637">
        <f>BQ112-BQ107</f>
        <v>505.71875</v>
      </c>
      <c r="BR108" s="636">
        <f>BR112-BR107</f>
        <v>720.64156323674979</v>
      </c>
      <c r="BS108" s="636">
        <f>BS112-BS107</f>
        <v>807.46339095954636</v>
      </c>
      <c r="BT108" s="670">
        <f>BT112-BT107</f>
        <v>798.74169753702017</v>
      </c>
      <c r="BU108" s="638"/>
      <c r="BV108" s="635"/>
      <c r="BW108" s="637">
        <f>BW112-BW107</f>
        <v>818.05275438339436</v>
      </c>
      <c r="BX108" s="636">
        <f>BX112-BX107</f>
        <v>854.1959693428289</v>
      </c>
      <c r="BY108" s="636">
        <f>BY112-BY107</f>
        <v>892.62481459775563</v>
      </c>
      <c r="BZ108" s="636">
        <f>BZ112-BZ107</f>
        <v>881.72643883894693</v>
      </c>
      <c r="CA108" s="638"/>
      <c r="CB108" s="11"/>
      <c r="CC108" s="637">
        <f>CC112-CC107</f>
        <v>935.80331048917958</v>
      </c>
      <c r="CD108" s="636">
        <f>CD112-CD107</f>
        <v>974.88717023511265</v>
      </c>
      <c r="CE108" s="636"/>
      <c r="CF108" s="636"/>
      <c r="CG108" s="608"/>
      <c r="CH108" s="11"/>
      <c r="CI108" s="233"/>
      <c r="CJ108" s="11"/>
      <c r="CK108" s="11"/>
      <c r="CL108" s="11"/>
      <c r="CM108" s="608"/>
      <c r="CW108" s="289"/>
    </row>
    <row r="109" spans="1:101" x14ac:dyDescent="0.2">
      <c r="A109" s="233" t="s">
        <v>71</v>
      </c>
      <c r="B109" s="635"/>
      <c r="C109" s="635"/>
      <c r="D109" s="635"/>
      <c r="E109" s="635"/>
      <c r="F109" s="635"/>
      <c r="G109" s="635"/>
      <c r="H109" s="635"/>
      <c r="I109" s="635"/>
      <c r="J109" s="635"/>
      <c r="K109" s="635"/>
      <c r="L109" s="635"/>
      <c r="M109" s="635"/>
      <c r="N109" s="635"/>
      <c r="O109" s="635"/>
      <c r="P109" s="635"/>
      <c r="Q109" s="635"/>
      <c r="R109" s="635"/>
      <c r="S109" s="635"/>
      <c r="T109" s="635"/>
      <c r="U109" s="635"/>
      <c r="V109" s="635"/>
      <c r="W109" s="635"/>
      <c r="X109" s="635"/>
      <c r="Y109" s="635"/>
      <c r="Z109" s="635"/>
      <c r="AA109" s="635"/>
      <c r="AB109" s="635"/>
      <c r="AC109" s="635"/>
      <c r="AD109" s="635"/>
      <c r="AE109" s="635"/>
      <c r="AF109" s="635"/>
      <c r="AG109" s="635"/>
      <c r="AH109" s="635"/>
      <c r="AI109" s="635"/>
      <c r="AJ109" s="635"/>
      <c r="AK109" s="635"/>
      <c r="AL109" s="635"/>
      <c r="AM109" s="635"/>
      <c r="AN109" s="635"/>
      <c r="AO109" s="635"/>
      <c r="AP109" s="635"/>
      <c r="AQ109" s="635"/>
      <c r="AR109" s="635"/>
      <c r="AS109" s="635"/>
      <c r="AT109" s="635"/>
      <c r="AU109" s="635"/>
      <c r="AV109" s="635"/>
      <c r="AW109" s="635"/>
      <c r="AX109" s="635"/>
      <c r="AY109" s="635"/>
      <c r="AZ109" s="635"/>
      <c r="BA109" s="635"/>
      <c r="BB109" s="635"/>
      <c r="BC109" s="638"/>
      <c r="BD109" s="635"/>
      <c r="BE109" s="635"/>
      <c r="BF109" s="635"/>
      <c r="BG109" s="635"/>
      <c r="BH109" s="635"/>
      <c r="BI109" s="638"/>
      <c r="BJ109" s="635"/>
      <c r="BK109" s="634"/>
      <c r="BL109" s="688"/>
      <c r="BM109" s="645">
        <f>BM78+BM79</f>
        <v>220.80699999999999</v>
      </c>
      <c r="BN109" s="659">
        <f>BN78+BN79</f>
        <v>234.59686283499997</v>
      </c>
      <c r="BO109" s="638"/>
      <c r="BP109" s="635"/>
      <c r="BQ109" s="646">
        <f>BQ78+BQ79</f>
        <v>230.03800000000001</v>
      </c>
      <c r="BR109" s="645">
        <f>BR78+BR79</f>
        <v>275.03952875317526</v>
      </c>
      <c r="BS109" s="645">
        <f>BS78+BS79</f>
        <v>275.14100028605441</v>
      </c>
      <c r="BT109" s="659">
        <f>BT78+BT79</f>
        <v>275.34394744541783</v>
      </c>
      <c r="BU109" s="638"/>
      <c r="BV109" s="635"/>
      <c r="BW109" s="646">
        <f>BW78+BW79</f>
        <v>275.15529162478759</v>
      </c>
      <c r="BX109" s="645">
        <f>BX78+BX79</f>
        <v>275.66037644614238</v>
      </c>
      <c r="BY109" s="645">
        <f>BY78+BY79</f>
        <v>276.16744835707851</v>
      </c>
      <c r="BZ109" s="645">
        <f>BZ78+BZ79</f>
        <v>276.67452793838601</v>
      </c>
      <c r="CA109" s="638"/>
      <c r="CB109" s="11"/>
      <c r="CC109" s="646">
        <f>CC78+CC79</f>
        <v>277.68727386261349</v>
      </c>
      <c r="CD109" s="645">
        <f>CD78+CD79</f>
        <v>278.49931697082633</v>
      </c>
      <c r="CE109" s="645"/>
      <c r="CF109" s="645"/>
      <c r="CG109" s="608"/>
      <c r="CH109" s="11"/>
      <c r="CI109" s="233"/>
      <c r="CJ109" s="11"/>
      <c r="CK109" s="11"/>
      <c r="CL109" s="11"/>
      <c r="CM109" s="608"/>
      <c r="CW109" s="289"/>
    </row>
    <row r="110" spans="1:101" x14ac:dyDescent="0.2">
      <c r="A110" s="233" t="s">
        <v>297</v>
      </c>
      <c r="B110" s="635"/>
      <c r="C110" s="635"/>
      <c r="D110" s="635"/>
      <c r="E110" s="635"/>
      <c r="F110" s="635"/>
      <c r="G110" s="635"/>
      <c r="H110" s="635"/>
      <c r="I110" s="635"/>
      <c r="J110" s="635"/>
      <c r="K110" s="635"/>
      <c r="L110" s="635"/>
      <c r="M110" s="635"/>
      <c r="N110" s="635"/>
      <c r="O110" s="635"/>
      <c r="P110" s="635"/>
      <c r="Q110" s="635"/>
      <c r="R110" s="635"/>
      <c r="S110" s="635"/>
      <c r="T110" s="635"/>
      <c r="U110" s="635"/>
      <c r="V110" s="635"/>
      <c r="W110" s="635"/>
      <c r="X110" s="635"/>
      <c r="Y110" s="635"/>
      <c r="Z110" s="635"/>
      <c r="AA110" s="635"/>
      <c r="AB110" s="635"/>
      <c r="AC110" s="635"/>
      <c r="AD110" s="635"/>
      <c r="AE110" s="635"/>
      <c r="AF110" s="635"/>
      <c r="AG110" s="635"/>
      <c r="AH110" s="635"/>
      <c r="AI110" s="635"/>
      <c r="AJ110" s="635"/>
      <c r="AK110" s="635"/>
      <c r="AL110" s="635"/>
      <c r="AM110" s="635"/>
      <c r="AN110" s="635"/>
      <c r="AO110" s="635"/>
      <c r="AP110" s="635"/>
      <c r="AQ110" s="635"/>
      <c r="AR110" s="635"/>
      <c r="AS110" s="635"/>
      <c r="AT110" s="635"/>
      <c r="AU110" s="635"/>
      <c r="AV110" s="635"/>
      <c r="AW110" s="635"/>
      <c r="AX110" s="635"/>
      <c r="AY110" s="635"/>
      <c r="AZ110" s="635"/>
      <c r="BA110" s="635"/>
      <c r="BB110" s="635"/>
      <c r="BC110" s="638"/>
      <c r="BD110" s="635"/>
      <c r="BE110" s="635"/>
      <c r="BF110" s="635"/>
      <c r="BG110" s="635"/>
      <c r="BH110" s="635"/>
      <c r="BI110" s="638"/>
      <c r="BJ110" s="635"/>
      <c r="BK110" s="634"/>
      <c r="BL110" s="688"/>
      <c r="BM110" s="641">
        <f>BM108/BM109</f>
        <v>2.2586183861924667</v>
      </c>
      <c r="BN110" s="771">
        <f>BN108/BN109</f>
        <v>2.0725287803271568</v>
      </c>
      <c r="BO110" s="638"/>
      <c r="BP110" s="635"/>
      <c r="BQ110" s="642">
        <f>BQ108/BQ109</f>
        <v>2.1984139576939463</v>
      </c>
      <c r="BR110" s="641">
        <f>BR108/BR109</f>
        <v>2.6201381543358617</v>
      </c>
      <c r="BS110" s="641">
        <f>BS108/BS109</f>
        <v>2.934725795574106</v>
      </c>
      <c r="BT110" s="771">
        <f>BT108/BT109</f>
        <v>2.9008870721422229</v>
      </c>
      <c r="BU110" s="638"/>
      <c r="BV110" s="635"/>
      <c r="BW110" s="642">
        <f>BW108/BW109</f>
        <v>2.9730584120436352</v>
      </c>
      <c r="BX110" s="641">
        <f>BX108/BX109</f>
        <v>3.0987259770709881</v>
      </c>
      <c r="BY110" s="641">
        <f>BY108/BY109</f>
        <v>3.2321869210436818</v>
      </c>
      <c r="BZ110" s="641">
        <f>BZ108/BZ109</f>
        <v>3.1868724794040415</v>
      </c>
      <c r="CA110" s="638"/>
      <c r="CB110" s="11"/>
      <c r="CC110" s="642">
        <f>CC108/CC109</f>
        <v>3.3699899079716946</v>
      </c>
      <c r="CD110" s="641">
        <f>CD108/CD109</f>
        <v>3.5005011173411069</v>
      </c>
      <c r="CE110" s="641"/>
      <c r="CF110" s="641"/>
      <c r="CG110" s="608"/>
      <c r="CH110" s="11"/>
      <c r="CI110" s="233"/>
      <c r="CJ110" s="11"/>
      <c r="CK110" s="11"/>
      <c r="CL110" s="11"/>
      <c r="CM110" s="608"/>
      <c r="CW110" s="289"/>
    </row>
    <row r="111" spans="1:101" x14ac:dyDescent="0.2">
      <c r="A111" s="643" t="s">
        <v>298</v>
      </c>
      <c r="B111" s="260"/>
      <c r="C111" s="260"/>
      <c r="D111" s="260"/>
      <c r="E111" s="260"/>
      <c r="F111" s="260"/>
      <c r="G111" s="260"/>
      <c r="H111" s="260"/>
      <c r="I111" s="260"/>
      <c r="J111" s="260"/>
      <c r="K111" s="260"/>
      <c r="L111" s="260"/>
      <c r="M111" s="260"/>
      <c r="N111" s="260"/>
      <c r="O111" s="260"/>
      <c r="P111" s="260"/>
      <c r="Q111" s="260"/>
      <c r="R111" s="260"/>
      <c r="S111" s="260"/>
      <c r="T111" s="260"/>
      <c r="U111" s="260"/>
      <c r="V111" s="260"/>
      <c r="W111" s="260"/>
      <c r="X111" s="260"/>
      <c r="Y111" s="260"/>
      <c r="Z111" s="260"/>
      <c r="AA111" s="260"/>
      <c r="AB111" s="260"/>
      <c r="AC111" s="260"/>
      <c r="AD111" s="260"/>
      <c r="AE111" s="260"/>
      <c r="AF111" s="260"/>
      <c r="AG111" s="260"/>
      <c r="AH111" s="260"/>
      <c r="AI111" s="260"/>
      <c r="AJ111" s="260"/>
      <c r="AK111" s="260"/>
      <c r="AL111" s="260"/>
      <c r="AM111" s="260"/>
      <c r="AN111" s="260"/>
      <c r="AO111" s="260"/>
      <c r="AP111" s="260"/>
      <c r="AQ111" s="260"/>
      <c r="AR111" s="260"/>
      <c r="AS111" s="260"/>
      <c r="AT111" s="260"/>
      <c r="AU111" s="260"/>
      <c r="AV111" s="260"/>
      <c r="AW111" s="260"/>
      <c r="AX111" s="260"/>
      <c r="AY111" s="260"/>
      <c r="AZ111" s="260"/>
      <c r="BA111" s="260"/>
      <c r="BB111" s="260"/>
      <c r="BC111" s="644"/>
      <c r="BD111" s="260"/>
      <c r="BE111" s="260"/>
      <c r="BF111" s="260"/>
      <c r="BG111" s="260"/>
      <c r="BH111" s="260"/>
      <c r="BI111" s="644"/>
      <c r="BJ111" s="260"/>
      <c r="BK111" s="643"/>
      <c r="BL111" s="260"/>
      <c r="BM111" s="260"/>
      <c r="BN111" s="675"/>
      <c r="BO111" s="644"/>
      <c r="BP111" s="260"/>
      <c r="BQ111" s="643"/>
      <c r="BR111" s="260"/>
      <c r="BS111" s="260"/>
      <c r="BT111" s="675"/>
      <c r="BU111" s="644"/>
      <c r="BV111" s="260"/>
      <c r="BW111" s="643"/>
      <c r="BX111" s="260"/>
      <c r="BY111" s="260"/>
      <c r="BZ111" s="260"/>
      <c r="CA111" s="644"/>
      <c r="CB111" s="260"/>
      <c r="CC111" s="643"/>
      <c r="CD111" s="260"/>
      <c r="CE111" s="260"/>
      <c r="CF111" s="260"/>
      <c r="CG111" s="644"/>
      <c r="CH111" s="260"/>
      <c r="CI111" s="643"/>
      <c r="CJ111" s="260"/>
      <c r="CK111" s="260"/>
      <c r="CL111" s="260"/>
      <c r="CM111" s="644"/>
      <c r="CW111" s="289"/>
    </row>
    <row r="112" spans="1:101" x14ac:dyDescent="0.2">
      <c r="A112" s="634" t="s">
        <v>58</v>
      </c>
      <c r="B112" s="635"/>
      <c r="C112" s="635"/>
      <c r="D112" s="635"/>
      <c r="E112" s="635"/>
      <c r="F112" s="635"/>
      <c r="G112" s="635"/>
      <c r="H112" s="635"/>
      <c r="I112" s="635"/>
      <c r="J112" s="635"/>
      <c r="K112" s="635"/>
      <c r="L112" s="635"/>
      <c r="M112" s="635"/>
      <c r="N112" s="635"/>
      <c r="O112" s="635"/>
      <c r="P112" s="635"/>
      <c r="Q112" s="635"/>
      <c r="R112" s="635"/>
      <c r="S112" s="635"/>
      <c r="T112" s="635"/>
      <c r="U112" s="635"/>
      <c r="V112" s="635"/>
      <c r="W112" s="635"/>
      <c r="X112" s="635"/>
      <c r="Y112" s="635"/>
      <c r="Z112" s="635"/>
      <c r="AA112" s="635"/>
      <c r="AB112" s="635"/>
      <c r="AC112" s="635"/>
      <c r="AD112" s="635"/>
      <c r="AE112" s="635"/>
      <c r="AF112" s="635"/>
      <c r="AG112" s="635"/>
      <c r="AH112" s="635"/>
      <c r="AI112" s="635"/>
      <c r="AJ112" s="635"/>
      <c r="AK112" s="635"/>
      <c r="AL112" s="635"/>
      <c r="AM112" s="635"/>
      <c r="AN112" s="635"/>
      <c r="AO112" s="635"/>
      <c r="AP112" s="635"/>
      <c r="AQ112" s="635"/>
      <c r="AR112" s="635"/>
      <c r="AS112" s="635"/>
      <c r="AT112" s="635"/>
      <c r="AU112" s="635"/>
      <c r="AV112" s="635"/>
      <c r="AW112" s="635"/>
      <c r="AX112" s="635"/>
      <c r="AY112" s="635"/>
      <c r="AZ112" s="635"/>
      <c r="BA112" s="635"/>
      <c r="BB112" s="635"/>
      <c r="BC112" s="638"/>
      <c r="BD112" s="635"/>
      <c r="BE112" s="635"/>
      <c r="BF112" s="635"/>
      <c r="BG112" s="635"/>
      <c r="BH112" s="635"/>
      <c r="BI112" s="638"/>
      <c r="BJ112" s="635"/>
      <c r="BK112" s="634"/>
      <c r="BL112" s="688"/>
      <c r="BM112" s="647">
        <f>IS!BM26</f>
        <v>537</v>
      </c>
      <c r="BN112" s="772">
        <f>IS!BN26</f>
        <v>524.48999999999978</v>
      </c>
      <c r="BO112" s="638"/>
      <c r="BP112" s="635"/>
      <c r="BQ112" s="648">
        <f>IS!BQ26</f>
        <v>544</v>
      </c>
      <c r="BR112" s="647">
        <f>IS!BR26</f>
        <v>758.92281323674979</v>
      </c>
      <c r="BS112" s="647">
        <f>IS!BS26</f>
        <v>845.74464095954636</v>
      </c>
      <c r="BT112" s="772">
        <f>IS!BT26</f>
        <v>837.02294753702017</v>
      </c>
      <c r="BU112" s="638"/>
      <c r="BV112" s="635"/>
      <c r="BW112" s="648">
        <f>IS!BW26</f>
        <v>856.33400438339436</v>
      </c>
      <c r="BX112" s="647">
        <f>IS!BX26</f>
        <v>892.4772193428289</v>
      </c>
      <c r="BY112" s="647">
        <f>IS!BY26</f>
        <v>930.90606459775563</v>
      </c>
      <c r="BZ112" s="647">
        <f>IS!BZ26</f>
        <v>920.00768883894693</v>
      </c>
      <c r="CA112" s="638"/>
      <c r="CB112" s="11"/>
      <c r="CC112" s="648">
        <f>IS!CC26</f>
        <v>974.08456048917958</v>
      </c>
      <c r="CD112" s="647">
        <f>IS!CD26</f>
        <v>1013.1684202351126</v>
      </c>
      <c r="CE112" s="647"/>
      <c r="CF112" s="647"/>
      <c r="CG112" s="608"/>
      <c r="CH112" s="11"/>
      <c r="CI112" s="233"/>
      <c r="CJ112" s="11"/>
      <c r="CK112" s="11"/>
      <c r="CL112" s="11"/>
      <c r="CM112" s="608"/>
      <c r="CW112" s="289"/>
    </row>
    <row r="113" spans="1:101" x14ac:dyDescent="0.2">
      <c r="A113" s="634" t="s">
        <v>71</v>
      </c>
      <c r="B113" s="635"/>
      <c r="C113" s="635"/>
      <c r="D113" s="635"/>
      <c r="E113" s="635"/>
      <c r="F113" s="635"/>
      <c r="G113" s="635"/>
      <c r="H113" s="635"/>
      <c r="I113" s="635"/>
      <c r="J113" s="635"/>
      <c r="K113" s="635"/>
      <c r="L113" s="635"/>
      <c r="M113" s="635"/>
      <c r="N113" s="635"/>
      <c r="O113" s="635"/>
      <c r="P113" s="635"/>
      <c r="Q113" s="635"/>
      <c r="R113" s="635"/>
      <c r="S113" s="635"/>
      <c r="T113" s="635"/>
      <c r="U113" s="635"/>
      <c r="V113" s="635"/>
      <c r="W113" s="635"/>
      <c r="X113" s="635"/>
      <c r="Y113" s="635"/>
      <c r="Z113" s="635"/>
      <c r="AA113" s="635"/>
      <c r="AB113" s="635"/>
      <c r="AC113" s="635"/>
      <c r="AD113" s="635"/>
      <c r="AE113" s="635"/>
      <c r="AF113" s="635"/>
      <c r="AG113" s="635"/>
      <c r="AH113" s="635"/>
      <c r="AI113" s="635"/>
      <c r="AJ113" s="635"/>
      <c r="AK113" s="635"/>
      <c r="AL113" s="635"/>
      <c r="AM113" s="635"/>
      <c r="AN113" s="635"/>
      <c r="AO113" s="635"/>
      <c r="AP113" s="635"/>
      <c r="AQ113" s="635"/>
      <c r="AR113" s="635"/>
      <c r="AS113" s="635"/>
      <c r="AT113" s="635"/>
      <c r="AU113" s="635"/>
      <c r="AV113" s="635"/>
      <c r="AW113" s="635"/>
      <c r="AX113" s="635"/>
      <c r="AY113" s="635"/>
      <c r="AZ113" s="635"/>
      <c r="BA113" s="635"/>
      <c r="BB113" s="635"/>
      <c r="BC113" s="638"/>
      <c r="BD113" s="635"/>
      <c r="BE113" s="635"/>
      <c r="BF113" s="635"/>
      <c r="BG113" s="635"/>
      <c r="BH113" s="635"/>
      <c r="BI113" s="638"/>
      <c r="BJ113" s="635"/>
      <c r="BK113" s="634"/>
      <c r="BL113" s="688"/>
      <c r="BM113" s="645">
        <f>BM78+BM79</f>
        <v>220.80699999999999</v>
      </c>
      <c r="BN113" s="659">
        <f>BN78+BN79</f>
        <v>234.59686283499997</v>
      </c>
      <c r="BO113" s="638"/>
      <c r="BP113" s="635"/>
      <c r="BQ113" s="646">
        <f>BQ78+BQ79</f>
        <v>230.03800000000001</v>
      </c>
      <c r="BR113" s="645">
        <f>BR78+BR79</f>
        <v>275.03952875317526</v>
      </c>
      <c r="BS113" s="645">
        <f>BS78+BS79</f>
        <v>275.14100028605441</v>
      </c>
      <c r="BT113" s="659">
        <f>BT78+BT79</f>
        <v>275.34394744541783</v>
      </c>
      <c r="BU113" s="638"/>
      <c r="BV113" s="635"/>
      <c r="BW113" s="646">
        <f>BW78+BW79</f>
        <v>275.15529162478759</v>
      </c>
      <c r="BX113" s="645">
        <f>BX78+BX79</f>
        <v>275.66037644614238</v>
      </c>
      <c r="BY113" s="645">
        <f>BY78+BY79</f>
        <v>276.16744835707851</v>
      </c>
      <c r="BZ113" s="645">
        <f>BZ78+BZ79</f>
        <v>276.67452793838601</v>
      </c>
      <c r="CA113" s="638"/>
      <c r="CB113" s="11"/>
      <c r="CC113" s="646">
        <f>CC78+CC79</f>
        <v>277.68727386261349</v>
      </c>
      <c r="CD113" s="645">
        <f>CD78+CD79</f>
        <v>278.49931697082633</v>
      </c>
      <c r="CE113" s="645"/>
      <c r="CF113" s="645"/>
      <c r="CG113" s="608"/>
      <c r="CH113" s="11"/>
      <c r="CI113" s="233"/>
      <c r="CJ113" s="11"/>
      <c r="CK113" s="11"/>
      <c r="CL113" s="11"/>
      <c r="CM113" s="608"/>
      <c r="CW113" s="289"/>
    </row>
    <row r="114" spans="1:101" x14ac:dyDescent="0.2">
      <c r="A114" s="634" t="s">
        <v>299</v>
      </c>
      <c r="B114" s="635"/>
      <c r="C114" s="635"/>
      <c r="D114" s="635"/>
      <c r="E114" s="635"/>
      <c r="F114" s="635"/>
      <c r="G114" s="635"/>
      <c r="H114" s="635"/>
      <c r="I114" s="635"/>
      <c r="J114" s="635"/>
      <c r="K114" s="635"/>
      <c r="L114" s="635"/>
      <c r="M114" s="635"/>
      <c r="N114" s="635"/>
      <c r="O114" s="635"/>
      <c r="P114" s="635"/>
      <c r="Q114" s="635"/>
      <c r="R114" s="635"/>
      <c r="S114" s="635"/>
      <c r="T114" s="635"/>
      <c r="U114" s="635"/>
      <c r="V114" s="635"/>
      <c r="W114" s="635"/>
      <c r="X114" s="635"/>
      <c r="Y114" s="635"/>
      <c r="Z114" s="635"/>
      <c r="AA114" s="635"/>
      <c r="AB114" s="635"/>
      <c r="AC114" s="635"/>
      <c r="AD114" s="635"/>
      <c r="AE114" s="635"/>
      <c r="AF114" s="635"/>
      <c r="AG114" s="635"/>
      <c r="AH114" s="635"/>
      <c r="AI114" s="635"/>
      <c r="AJ114" s="635"/>
      <c r="AK114" s="635"/>
      <c r="AL114" s="635"/>
      <c r="AM114" s="635"/>
      <c r="AN114" s="635"/>
      <c r="AO114" s="635"/>
      <c r="AP114" s="635"/>
      <c r="AQ114" s="635"/>
      <c r="AR114" s="635"/>
      <c r="AS114" s="635"/>
      <c r="AT114" s="635"/>
      <c r="AU114" s="635"/>
      <c r="AV114" s="635"/>
      <c r="AW114" s="635"/>
      <c r="AX114" s="635"/>
      <c r="AY114" s="635"/>
      <c r="AZ114" s="635"/>
      <c r="BA114" s="635"/>
      <c r="BB114" s="635"/>
      <c r="BC114" s="638"/>
      <c r="BD114" s="635"/>
      <c r="BE114" s="635"/>
      <c r="BF114" s="635"/>
      <c r="BG114" s="635"/>
      <c r="BH114" s="635"/>
      <c r="BI114" s="638"/>
      <c r="BJ114" s="635"/>
      <c r="BK114" s="634"/>
      <c r="BL114" s="688"/>
      <c r="BM114" s="645">
        <f>MAX(BM101/BM104,MIN(BM101/BM103,BM101/BM105))</f>
        <v>14.164305949008499</v>
      </c>
      <c r="BN114" s="659">
        <f>MAX(BN101/BN104,MIN(BN101/BN103,BN101/BN105))</f>
        <v>12.493128779171455</v>
      </c>
      <c r="BO114" s="638"/>
      <c r="BP114" s="635"/>
      <c r="BQ114" s="646">
        <f>MAX(BQ101/BQ104,MIN(BQ101/BQ103,BQ101/BQ105))</f>
        <v>11.803588290840416</v>
      </c>
      <c r="BR114" s="645">
        <f>MAX(BR101/BR104,MIN(BR101/BR103,BR101/BR105))</f>
        <v>11.803588290840416</v>
      </c>
      <c r="BS114" s="645">
        <f>MAX(BS101/BS104,MIN(BS101/BS103,BS101/BS105))</f>
        <v>11.803588290840416</v>
      </c>
      <c r="BT114" s="659">
        <f>MAX(BT101/BT104,MIN(BT101/BT103,BT101/BT105))</f>
        <v>11.803588290840416</v>
      </c>
      <c r="BU114" s="638"/>
      <c r="BV114" s="635"/>
      <c r="BW114" s="646">
        <f>MAX(BW101/BW104,MIN(BW101/BW103,BW101/BW105))</f>
        <v>11.803588290840416</v>
      </c>
      <c r="BX114" s="645">
        <f>MAX(BX101/BX104,MIN(BX101/BX103,BX101/BX105))</f>
        <v>11.803588290840416</v>
      </c>
      <c r="BY114" s="645">
        <f>MAX(BY101/BY104,MIN(BY101/BY103,BY101/BY105))</f>
        <v>11.803588290840416</v>
      </c>
      <c r="BZ114" s="645">
        <f>MAX(BZ101/BZ104,MIN(BZ101/BZ103,BZ101/BZ105))</f>
        <v>11.803588290840416</v>
      </c>
      <c r="CA114" s="638"/>
      <c r="CB114" s="11"/>
      <c r="CC114" s="646">
        <f>MAX(CC101/CC104,MIN(CC101/CC103,CC101/CC105))</f>
        <v>11.803588290840416</v>
      </c>
      <c r="CD114" s="645">
        <f>MAX(CD101/CD104,MIN(CD101/CD103,CD101/CD105))</f>
        <v>11.803588290840416</v>
      </c>
      <c r="CE114" s="645">
        <f>MAX(CE101/CE104,MIN(CE101/CE103,CE101/CE105))</f>
        <v>11.803588290840416</v>
      </c>
      <c r="CF114" s="645"/>
      <c r="CG114" s="608"/>
      <c r="CH114" s="11"/>
      <c r="CI114" s="233"/>
      <c r="CJ114" s="11"/>
      <c r="CK114" s="11"/>
      <c r="CL114" s="11"/>
      <c r="CM114" s="608"/>
      <c r="CW114" s="289"/>
    </row>
    <row r="115" spans="1:101" x14ac:dyDescent="0.2">
      <c r="A115" s="233" t="s">
        <v>297</v>
      </c>
      <c r="B115" s="635"/>
      <c r="C115" s="635"/>
      <c r="D115" s="635"/>
      <c r="E115" s="635"/>
      <c r="F115" s="635"/>
      <c r="G115" s="635"/>
      <c r="H115" s="635"/>
      <c r="I115" s="635"/>
      <c r="J115" s="635"/>
      <c r="K115" s="635"/>
      <c r="L115" s="635"/>
      <c r="M115" s="635"/>
      <c r="N115" s="635"/>
      <c r="O115" s="635"/>
      <c r="P115" s="635"/>
      <c r="Q115" s="635"/>
      <c r="R115" s="635"/>
      <c r="S115" s="635"/>
      <c r="T115" s="635"/>
      <c r="U115" s="635"/>
      <c r="V115" s="635"/>
      <c r="W115" s="635"/>
      <c r="X115" s="635"/>
      <c r="Y115" s="635"/>
      <c r="Z115" s="635"/>
      <c r="AA115" s="635"/>
      <c r="AB115" s="635"/>
      <c r="AC115" s="635"/>
      <c r="AD115" s="635"/>
      <c r="AE115" s="635"/>
      <c r="AF115" s="635"/>
      <c r="AG115" s="635"/>
      <c r="AH115" s="635"/>
      <c r="AI115" s="635"/>
      <c r="AJ115" s="635"/>
      <c r="AK115" s="635"/>
      <c r="AL115" s="635"/>
      <c r="AM115" s="635"/>
      <c r="AN115" s="635"/>
      <c r="AO115" s="635"/>
      <c r="AP115" s="635"/>
      <c r="AQ115" s="635"/>
      <c r="AR115" s="635"/>
      <c r="AS115" s="635"/>
      <c r="AT115" s="635"/>
      <c r="AU115" s="635"/>
      <c r="AV115" s="635"/>
      <c r="AW115" s="635"/>
      <c r="AX115" s="635"/>
      <c r="AY115" s="635"/>
      <c r="AZ115" s="635"/>
      <c r="BA115" s="635"/>
      <c r="BB115" s="635"/>
      <c r="BC115" s="638"/>
      <c r="BD115" s="635"/>
      <c r="BE115" s="635"/>
      <c r="BF115" s="635"/>
      <c r="BG115" s="635"/>
      <c r="BH115" s="635"/>
      <c r="BI115" s="638"/>
      <c r="BJ115" s="635"/>
      <c r="BK115" s="634"/>
      <c r="BL115" s="688"/>
      <c r="BM115" s="641">
        <f>BM112/SUM(BM113:BM114)</f>
        <v>2.2853854338986195</v>
      </c>
      <c r="BN115" s="771">
        <f>BN112/SUM(BN113:BN114)</f>
        <v>2.1226679258583072</v>
      </c>
      <c r="BO115" s="638"/>
      <c r="BP115" s="635"/>
      <c r="BQ115" s="642">
        <f>BQ112/SUM(BQ113:BQ114)</f>
        <v>2.2494063318248707</v>
      </c>
      <c r="BR115" s="641">
        <f>BR112/SUM(BR113:BR114)</f>
        <v>2.6457766219305658</v>
      </c>
      <c r="BS115" s="641">
        <f>BS112/SUM(BS113:BS114)</f>
        <v>2.947414499621781</v>
      </c>
      <c r="BT115" s="771">
        <f>BT112/SUM(BT113:BT114)</f>
        <v>2.9149577947477714</v>
      </c>
      <c r="BU115" s="638"/>
      <c r="BV115" s="635"/>
      <c r="BW115" s="642">
        <f>BW112/SUM(BW113:BW114)</f>
        <v>2.9841697341276725</v>
      </c>
      <c r="BX115" s="641">
        <f>BX112/SUM(BX113:BX114)</f>
        <v>3.1046577269586026</v>
      </c>
      <c r="BY115" s="641">
        <f>BY112/SUM(BY113:BY114)</f>
        <v>3.2326378216150475</v>
      </c>
      <c r="BZ115" s="641">
        <f>BZ112/SUM(BZ113:BZ114)</f>
        <v>3.189176707282376</v>
      </c>
      <c r="CA115" s="638"/>
      <c r="CB115" s="11"/>
      <c r="CC115" s="642">
        <f>CC112/SUM(CC113:CC114)</f>
        <v>3.3648197157008526</v>
      </c>
      <c r="CD115" s="641">
        <f>CD112/SUM(CD113:CD114)</f>
        <v>3.4900388589700317</v>
      </c>
      <c r="CE115" s="641"/>
      <c r="CF115" s="641"/>
      <c r="CG115" s="608"/>
      <c r="CH115" s="11"/>
      <c r="CI115" s="233"/>
      <c r="CJ115" s="11"/>
      <c r="CK115" s="11"/>
      <c r="CL115" s="11"/>
      <c r="CM115" s="608"/>
      <c r="CW115" s="289"/>
    </row>
    <row r="116" spans="1:101" x14ac:dyDescent="0.2">
      <c r="A116" s="634"/>
      <c r="B116" s="635"/>
      <c r="C116" s="635"/>
      <c r="D116" s="635"/>
      <c r="E116" s="635"/>
      <c r="F116" s="635"/>
      <c r="G116" s="635"/>
      <c r="H116" s="635"/>
      <c r="I116" s="635"/>
      <c r="J116" s="635"/>
      <c r="K116" s="635"/>
      <c r="L116" s="635"/>
      <c r="M116" s="635"/>
      <c r="N116" s="635"/>
      <c r="O116" s="635"/>
      <c r="P116" s="635"/>
      <c r="Q116" s="635"/>
      <c r="R116" s="635"/>
      <c r="S116" s="635"/>
      <c r="T116" s="635"/>
      <c r="U116" s="635"/>
      <c r="V116" s="635"/>
      <c r="W116" s="635"/>
      <c r="X116" s="635"/>
      <c r="Y116" s="635"/>
      <c r="Z116" s="635"/>
      <c r="AA116" s="635"/>
      <c r="AB116" s="635"/>
      <c r="AC116" s="635"/>
      <c r="AD116" s="635"/>
      <c r="AE116" s="635"/>
      <c r="AF116" s="635"/>
      <c r="AG116" s="635"/>
      <c r="AH116" s="635"/>
      <c r="AI116" s="635"/>
      <c r="AJ116" s="635"/>
      <c r="AK116" s="635"/>
      <c r="AL116" s="635"/>
      <c r="AM116" s="635"/>
      <c r="AN116" s="635"/>
      <c r="AO116" s="635"/>
      <c r="AP116" s="635"/>
      <c r="AQ116" s="635"/>
      <c r="AR116" s="635"/>
      <c r="AS116" s="635"/>
      <c r="AT116" s="635"/>
      <c r="AU116" s="635"/>
      <c r="AV116" s="635"/>
      <c r="AW116" s="635"/>
      <c r="AX116" s="635"/>
      <c r="AY116" s="635"/>
      <c r="AZ116" s="635"/>
      <c r="BA116" s="635"/>
      <c r="BB116" s="635"/>
      <c r="BC116" s="638"/>
      <c r="BD116" s="635"/>
      <c r="BE116" s="635"/>
      <c r="BF116" s="635"/>
      <c r="BG116" s="635"/>
      <c r="BH116" s="635"/>
      <c r="BI116" s="638"/>
      <c r="BJ116" s="635"/>
      <c r="BK116" s="634"/>
      <c r="BL116" s="688"/>
      <c r="BM116" s="688"/>
      <c r="BN116" s="658"/>
      <c r="BO116" s="638"/>
      <c r="BP116" s="635"/>
      <c r="BQ116" s="634"/>
      <c r="BR116" s="688"/>
      <c r="BS116" s="688"/>
      <c r="BT116" s="658"/>
      <c r="BU116" s="638"/>
      <c r="BV116" s="635"/>
      <c r="BW116" s="634"/>
      <c r="BX116" s="635"/>
      <c r="BY116" s="635"/>
      <c r="BZ116" s="635"/>
      <c r="CA116" s="638"/>
      <c r="CB116" s="11"/>
      <c r="CC116" s="233"/>
      <c r="CD116" s="11"/>
      <c r="CE116" s="11"/>
      <c r="CF116" s="11"/>
      <c r="CG116" s="608"/>
      <c r="CH116" s="11"/>
      <c r="CI116" s="233"/>
      <c r="CJ116" s="11"/>
      <c r="CK116" s="11"/>
      <c r="CL116" s="11"/>
      <c r="CM116" s="608"/>
      <c r="CW116" s="289"/>
    </row>
    <row r="117" spans="1:101" x14ac:dyDescent="0.2">
      <c r="A117" s="649" t="s">
        <v>297</v>
      </c>
      <c r="B117" s="650"/>
      <c r="C117" s="650"/>
      <c r="D117" s="650"/>
      <c r="E117" s="650"/>
      <c r="F117" s="650"/>
      <c r="G117" s="650"/>
      <c r="H117" s="650"/>
      <c r="I117" s="650"/>
      <c r="J117" s="650"/>
      <c r="K117" s="650"/>
      <c r="L117" s="650"/>
      <c r="M117" s="650"/>
      <c r="N117" s="650"/>
      <c r="O117" s="650"/>
      <c r="P117" s="650"/>
      <c r="Q117" s="650"/>
      <c r="R117" s="650"/>
      <c r="S117" s="650"/>
      <c r="T117" s="650"/>
      <c r="U117" s="650"/>
      <c r="V117" s="650"/>
      <c r="W117" s="650"/>
      <c r="X117" s="650"/>
      <c r="Y117" s="650"/>
      <c r="Z117" s="650"/>
      <c r="AA117" s="650"/>
      <c r="AB117" s="650"/>
      <c r="AC117" s="650"/>
      <c r="AD117" s="650"/>
      <c r="AE117" s="650"/>
      <c r="AF117" s="650"/>
      <c r="AG117" s="650"/>
      <c r="AH117" s="650"/>
      <c r="AI117" s="650"/>
      <c r="AJ117" s="650"/>
      <c r="AK117" s="650"/>
      <c r="AL117" s="650"/>
      <c r="AM117" s="650"/>
      <c r="AN117" s="650"/>
      <c r="AO117" s="650"/>
      <c r="AP117" s="650"/>
      <c r="AQ117" s="650"/>
      <c r="AR117" s="650"/>
      <c r="AS117" s="650"/>
      <c r="AT117" s="650"/>
      <c r="AU117" s="650"/>
      <c r="AV117" s="650"/>
      <c r="AW117" s="650"/>
      <c r="AX117" s="650"/>
      <c r="AY117" s="650"/>
      <c r="AZ117" s="650"/>
      <c r="BA117" s="650"/>
      <c r="BB117" s="650"/>
      <c r="BC117" s="653"/>
      <c r="BD117" s="650"/>
      <c r="BE117" s="650"/>
      <c r="BF117" s="650"/>
      <c r="BG117" s="650"/>
      <c r="BH117" s="650"/>
      <c r="BI117" s="653"/>
      <c r="BJ117" s="650"/>
      <c r="BK117" s="649"/>
      <c r="BL117" s="689"/>
      <c r="BM117" s="651">
        <f>MIN(BM115,BM110)</f>
        <v>2.2586183861924667</v>
      </c>
      <c r="BN117" s="773">
        <f>MIN(BN115,BN110)</f>
        <v>2.0725287803271568</v>
      </c>
      <c r="BO117" s="653"/>
      <c r="BP117" s="650"/>
      <c r="BQ117" s="652">
        <f>MIN(BQ115,BQ110)</f>
        <v>2.1984139576939463</v>
      </c>
      <c r="BR117" s="651">
        <f>MIN(BR115,BR110)</f>
        <v>2.6201381543358617</v>
      </c>
      <c r="BS117" s="651">
        <f>MIN(BS115,BS110)</f>
        <v>2.934725795574106</v>
      </c>
      <c r="BT117" s="773">
        <f>MIN(BT115,BT110)</f>
        <v>2.9008870721422229</v>
      </c>
      <c r="BU117" s="653"/>
      <c r="BV117" s="650"/>
      <c r="BW117" s="652">
        <f>MIN(BW115,BW110)</f>
        <v>2.9730584120436352</v>
      </c>
      <c r="BX117" s="651">
        <f>MIN(BX115,BX110)</f>
        <v>3.0987259770709881</v>
      </c>
      <c r="BY117" s="651">
        <f>MIN(BY115,BY110)</f>
        <v>3.2321869210436818</v>
      </c>
      <c r="BZ117" s="651">
        <f>MIN(BZ115,BZ110)</f>
        <v>3.1868724794040415</v>
      </c>
      <c r="CA117" s="653"/>
      <c r="CB117" s="5"/>
      <c r="CC117" s="652">
        <f>MIN(CC115,CC110)</f>
        <v>3.3648197157008526</v>
      </c>
      <c r="CD117" s="651">
        <f>MIN(CD115,CD110)</f>
        <v>3.4900388589700317</v>
      </c>
      <c r="CE117" s="651"/>
      <c r="CF117" s="651"/>
      <c r="CG117" s="654"/>
      <c r="CH117" s="5"/>
      <c r="CI117" s="241"/>
      <c r="CJ117" s="5"/>
      <c r="CK117" s="5"/>
      <c r="CL117" s="5"/>
      <c r="CM117" s="654"/>
      <c r="CW117" s="289"/>
    </row>
    <row r="118" spans="1:101" x14ac:dyDescent="0.2">
      <c r="BV118" s="11"/>
    </row>
    <row r="119" spans="1:101" x14ac:dyDescent="0.2">
      <c r="BV119" s="11"/>
    </row>
    <row r="120" spans="1:101" x14ac:dyDescent="0.2">
      <c r="BV120" s="11"/>
    </row>
    <row r="121" spans="1:101" customFormat="1" hidden="1" outlineLevel="1" x14ac:dyDescent="0.2"/>
    <row r="122" spans="1:101" collapsed="1" x14ac:dyDescent="0.2"/>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D43"/>
  <sheetViews>
    <sheetView workbookViewId="0">
      <selection activeCell="B42" sqref="B42"/>
    </sheetView>
  </sheetViews>
  <sheetFormatPr defaultRowHeight="12.75" x14ac:dyDescent="0.2"/>
  <cols>
    <col min="1" max="1" width="29.5703125" style="774" bestFit="1" customWidth="1"/>
    <col min="2" max="2" width="19.85546875" style="800" customWidth="1"/>
    <col min="3" max="3" width="12" style="774" bestFit="1" customWidth="1"/>
    <col min="4" max="256" width="9.140625" style="774"/>
    <col min="257" max="257" width="29.5703125" style="774" bestFit="1" customWidth="1"/>
    <col min="258" max="258" width="19.85546875" style="774" customWidth="1"/>
    <col min="259" max="259" width="12" style="774" bestFit="1" customWidth="1"/>
    <col min="260" max="512" width="9.140625" style="774"/>
    <col min="513" max="513" width="29.5703125" style="774" bestFit="1" customWidth="1"/>
    <col min="514" max="514" width="19.85546875" style="774" customWidth="1"/>
    <col min="515" max="515" width="12" style="774" bestFit="1" customWidth="1"/>
    <col min="516" max="768" width="9.140625" style="774"/>
    <col min="769" max="769" width="29.5703125" style="774" bestFit="1" customWidth="1"/>
    <col min="770" max="770" width="19.85546875" style="774" customWidth="1"/>
    <col min="771" max="771" width="12" style="774" bestFit="1" customWidth="1"/>
    <col min="772" max="1024" width="9.140625" style="774"/>
    <col min="1025" max="1025" width="29.5703125" style="774" bestFit="1" customWidth="1"/>
    <col min="1026" max="1026" width="19.85546875" style="774" customWidth="1"/>
    <col min="1027" max="1027" width="12" style="774" bestFit="1" customWidth="1"/>
    <col min="1028" max="1280" width="9.140625" style="774"/>
    <col min="1281" max="1281" width="29.5703125" style="774" bestFit="1" customWidth="1"/>
    <col min="1282" max="1282" width="19.85546875" style="774" customWidth="1"/>
    <col min="1283" max="1283" width="12" style="774" bestFit="1" customWidth="1"/>
    <col min="1284" max="1536" width="9.140625" style="774"/>
    <col min="1537" max="1537" width="29.5703125" style="774" bestFit="1" customWidth="1"/>
    <col min="1538" max="1538" width="19.85546875" style="774" customWidth="1"/>
    <col min="1539" max="1539" width="12" style="774" bestFit="1" customWidth="1"/>
    <col min="1540" max="1792" width="9.140625" style="774"/>
    <col min="1793" max="1793" width="29.5703125" style="774" bestFit="1" customWidth="1"/>
    <col min="1794" max="1794" width="19.85546875" style="774" customWidth="1"/>
    <col min="1795" max="1795" width="12" style="774" bestFit="1" customWidth="1"/>
    <col min="1796" max="2048" width="9.140625" style="774"/>
    <col min="2049" max="2049" width="29.5703125" style="774" bestFit="1" customWidth="1"/>
    <col min="2050" max="2050" width="19.85546875" style="774" customWidth="1"/>
    <col min="2051" max="2051" width="12" style="774" bestFit="1" customWidth="1"/>
    <col min="2052" max="2304" width="9.140625" style="774"/>
    <col min="2305" max="2305" width="29.5703125" style="774" bestFit="1" customWidth="1"/>
    <col min="2306" max="2306" width="19.85546875" style="774" customWidth="1"/>
    <col min="2307" max="2307" width="12" style="774" bestFit="1" customWidth="1"/>
    <col min="2308" max="2560" width="9.140625" style="774"/>
    <col min="2561" max="2561" width="29.5703125" style="774" bestFit="1" customWidth="1"/>
    <col min="2562" max="2562" width="19.85546875" style="774" customWidth="1"/>
    <col min="2563" max="2563" width="12" style="774" bestFit="1" customWidth="1"/>
    <col min="2564" max="2816" width="9.140625" style="774"/>
    <col min="2817" max="2817" width="29.5703125" style="774" bestFit="1" customWidth="1"/>
    <col min="2818" max="2818" width="19.85546875" style="774" customWidth="1"/>
    <col min="2819" max="2819" width="12" style="774" bestFit="1" customWidth="1"/>
    <col min="2820" max="3072" width="9.140625" style="774"/>
    <col min="3073" max="3073" width="29.5703125" style="774" bestFit="1" customWidth="1"/>
    <col min="3074" max="3074" width="19.85546875" style="774" customWidth="1"/>
    <col min="3075" max="3075" width="12" style="774" bestFit="1" customWidth="1"/>
    <col min="3076" max="3328" width="9.140625" style="774"/>
    <col min="3329" max="3329" width="29.5703125" style="774" bestFit="1" customWidth="1"/>
    <col min="3330" max="3330" width="19.85546875" style="774" customWidth="1"/>
    <col min="3331" max="3331" width="12" style="774" bestFit="1" customWidth="1"/>
    <col min="3332" max="3584" width="9.140625" style="774"/>
    <col min="3585" max="3585" width="29.5703125" style="774" bestFit="1" customWidth="1"/>
    <col min="3586" max="3586" width="19.85546875" style="774" customWidth="1"/>
    <col min="3587" max="3587" width="12" style="774" bestFit="1" customWidth="1"/>
    <col min="3588" max="3840" width="9.140625" style="774"/>
    <col min="3841" max="3841" width="29.5703125" style="774" bestFit="1" customWidth="1"/>
    <col min="3842" max="3842" width="19.85546875" style="774" customWidth="1"/>
    <col min="3843" max="3843" width="12" style="774" bestFit="1" customWidth="1"/>
    <col min="3844" max="4096" width="9.140625" style="774"/>
    <col min="4097" max="4097" width="29.5703125" style="774" bestFit="1" customWidth="1"/>
    <col min="4098" max="4098" width="19.85546875" style="774" customWidth="1"/>
    <col min="4099" max="4099" width="12" style="774" bestFit="1" customWidth="1"/>
    <col min="4100" max="4352" width="9.140625" style="774"/>
    <col min="4353" max="4353" width="29.5703125" style="774" bestFit="1" customWidth="1"/>
    <col min="4354" max="4354" width="19.85546875" style="774" customWidth="1"/>
    <col min="4355" max="4355" width="12" style="774" bestFit="1" customWidth="1"/>
    <col min="4356" max="4608" width="9.140625" style="774"/>
    <col min="4609" max="4609" width="29.5703125" style="774" bestFit="1" customWidth="1"/>
    <col min="4610" max="4610" width="19.85546875" style="774" customWidth="1"/>
    <col min="4611" max="4611" width="12" style="774" bestFit="1" customWidth="1"/>
    <col min="4612" max="4864" width="9.140625" style="774"/>
    <col min="4865" max="4865" width="29.5703125" style="774" bestFit="1" customWidth="1"/>
    <col min="4866" max="4866" width="19.85546875" style="774" customWidth="1"/>
    <col min="4867" max="4867" width="12" style="774" bestFit="1" customWidth="1"/>
    <col min="4868" max="5120" width="9.140625" style="774"/>
    <col min="5121" max="5121" width="29.5703125" style="774" bestFit="1" customWidth="1"/>
    <col min="5122" max="5122" width="19.85546875" style="774" customWidth="1"/>
    <col min="5123" max="5123" width="12" style="774" bestFit="1" customWidth="1"/>
    <col min="5124" max="5376" width="9.140625" style="774"/>
    <col min="5377" max="5377" width="29.5703125" style="774" bestFit="1" customWidth="1"/>
    <col min="5378" max="5378" width="19.85546875" style="774" customWidth="1"/>
    <col min="5379" max="5379" width="12" style="774" bestFit="1" customWidth="1"/>
    <col min="5380" max="5632" width="9.140625" style="774"/>
    <col min="5633" max="5633" width="29.5703125" style="774" bestFit="1" customWidth="1"/>
    <col min="5634" max="5634" width="19.85546875" style="774" customWidth="1"/>
    <col min="5635" max="5635" width="12" style="774" bestFit="1" customWidth="1"/>
    <col min="5636" max="5888" width="9.140625" style="774"/>
    <col min="5889" max="5889" width="29.5703125" style="774" bestFit="1" customWidth="1"/>
    <col min="5890" max="5890" width="19.85546875" style="774" customWidth="1"/>
    <col min="5891" max="5891" width="12" style="774" bestFit="1" customWidth="1"/>
    <col min="5892" max="6144" width="9.140625" style="774"/>
    <col min="6145" max="6145" width="29.5703125" style="774" bestFit="1" customWidth="1"/>
    <col min="6146" max="6146" width="19.85546875" style="774" customWidth="1"/>
    <col min="6147" max="6147" width="12" style="774" bestFit="1" customWidth="1"/>
    <col min="6148" max="6400" width="9.140625" style="774"/>
    <col min="6401" max="6401" width="29.5703125" style="774" bestFit="1" customWidth="1"/>
    <col min="6402" max="6402" width="19.85546875" style="774" customWidth="1"/>
    <col min="6403" max="6403" width="12" style="774" bestFit="1" customWidth="1"/>
    <col min="6404" max="6656" width="9.140625" style="774"/>
    <col min="6657" max="6657" width="29.5703125" style="774" bestFit="1" customWidth="1"/>
    <col min="6658" max="6658" width="19.85546875" style="774" customWidth="1"/>
    <col min="6659" max="6659" width="12" style="774" bestFit="1" customWidth="1"/>
    <col min="6660" max="6912" width="9.140625" style="774"/>
    <col min="6913" max="6913" width="29.5703125" style="774" bestFit="1" customWidth="1"/>
    <col min="6914" max="6914" width="19.85546875" style="774" customWidth="1"/>
    <col min="6915" max="6915" width="12" style="774" bestFit="1" customWidth="1"/>
    <col min="6916" max="7168" width="9.140625" style="774"/>
    <col min="7169" max="7169" width="29.5703125" style="774" bestFit="1" customWidth="1"/>
    <col min="7170" max="7170" width="19.85546875" style="774" customWidth="1"/>
    <col min="7171" max="7171" width="12" style="774" bestFit="1" customWidth="1"/>
    <col min="7172" max="7424" width="9.140625" style="774"/>
    <col min="7425" max="7425" width="29.5703125" style="774" bestFit="1" customWidth="1"/>
    <col min="7426" max="7426" width="19.85546875" style="774" customWidth="1"/>
    <col min="7427" max="7427" width="12" style="774" bestFit="1" customWidth="1"/>
    <col min="7428" max="7680" width="9.140625" style="774"/>
    <col min="7681" max="7681" width="29.5703125" style="774" bestFit="1" customWidth="1"/>
    <col min="7682" max="7682" width="19.85546875" style="774" customWidth="1"/>
    <col min="7683" max="7683" width="12" style="774" bestFit="1" customWidth="1"/>
    <col min="7684" max="7936" width="9.140625" style="774"/>
    <col min="7937" max="7937" width="29.5703125" style="774" bestFit="1" customWidth="1"/>
    <col min="7938" max="7938" width="19.85546875" style="774" customWidth="1"/>
    <col min="7939" max="7939" width="12" style="774" bestFit="1" customWidth="1"/>
    <col min="7940" max="8192" width="9.140625" style="774"/>
    <col min="8193" max="8193" width="29.5703125" style="774" bestFit="1" customWidth="1"/>
    <col min="8194" max="8194" width="19.85546875" style="774" customWidth="1"/>
    <col min="8195" max="8195" width="12" style="774" bestFit="1" customWidth="1"/>
    <col min="8196" max="8448" width="9.140625" style="774"/>
    <col min="8449" max="8449" width="29.5703125" style="774" bestFit="1" customWidth="1"/>
    <col min="8450" max="8450" width="19.85546875" style="774" customWidth="1"/>
    <col min="8451" max="8451" width="12" style="774" bestFit="1" customWidth="1"/>
    <col min="8452" max="8704" width="9.140625" style="774"/>
    <col min="8705" max="8705" width="29.5703125" style="774" bestFit="1" customWidth="1"/>
    <col min="8706" max="8706" width="19.85546875" style="774" customWidth="1"/>
    <col min="8707" max="8707" width="12" style="774" bestFit="1" customWidth="1"/>
    <col min="8708" max="8960" width="9.140625" style="774"/>
    <col min="8961" max="8961" width="29.5703125" style="774" bestFit="1" customWidth="1"/>
    <col min="8962" max="8962" width="19.85546875" style="774" customWidth="1"/>
    <col min="8963" max="8963" width="12" style="774" bestFit="1" customWidth="1"/>
    <col min="8964" max="9216" width="9.140625" style="774"/>
    <col min="9217" max="9217" width="29.5703125" style="774" bestFit="1" customWidth="1"/>
    <col min="9218" max="9218" width="19.85546875" style="774" customWidth="1"/>
    <col min="9219" max="9219" width="12" style="774" bestFit="1" customWidth="1"/>
    <col min="9220" max="9472" width="9.140625" style="774"/>
    <col min="9473" max="9473" width="29.5703125" style="774" bestFit="1" customWidth="1"/>
    <col min="9474" max="9474" width="19.85546875" style="774" customWidth="1"/>
    <col min="9475" max="9475" width="12" style="774" bestFit="1" customWidth="1"/>
    <col min="9476" max="9728" width="9.140625" style="774"/>
    <col min="9729" max="9729" width="29.5703125" style="774" bestFit="1" customWidth="1"/>
    <col min="9730" max="9730" width="19.85546875" style="774" customWidth="1"/>
    <col min="9731" max="9731" width="12" style="774" bestFit="1" customWidth="1"/>
    <col min="9732" max="9984" width="9.140625" style="774"/>
    <col min="9985" max="9985" width="29.5703125" style="774" bestFit="1" customWidth="1"/>
    <col min="9986" max="9986" width="19.85546875" style="774" customWidth="1"/>
    <col min="9987" max="9987" width="12" style="774" bestFit="1" customWidth="1"/>
    <col min="9988" max="10240" width="9.140625" style="774"/>
    <col min="10241" max="10241" width="29.5703125" style="774" bestFit="1" customWidth="1"/>
    <col min="10242" max="10242" width="19.85546875" style="774" customWidth="1"/>
    <col min="10243" max="10243" width="12" style="774" bestFit="1" customWidth="1"/>
    <col min="10244" max="10496" width="9.140625" style="774"/>
    <col min="10497" max="10497" width="29.5703125" style="774" bestFit="1" customWidth="1"/>
    <col min="10498" max="10498" width="19.85546875" style="774" customWidth="1"/>
    <col min="10499" max="10499" width="12" style="774" bestFit="1" customWidth="1"/>
    <col min="10500" max="10752" width="9.140625" style="774"/>
    <col min="10753" max="10753" width="29.5703125" style="774" bestFit="1" customWidth="1"/>
    <col min="10754" max="10754" width="19.85546875" style="774" customWidth="1"/>
    <col min="10755" max="10755" width="12" style="774" bestFit="1" customWidth="1"/>
    <col min="10756" max="11008" width="9.140625" style="774"/>
    <col min="11009" max="11009" width="29.5703125" style="774" bestFit="1" customWidth="1"/>
    <col min="11010" max="11010" width="19.85546875" style="774" customWidth="1"/>
    <col min="11011" max="11011" width="12" style="774" bestFit="1" customWidth="1"/>
    <col min="11012" max="11264" width="9.140625" style="774"/>
    <col min="11265" max="11265" width="29.5703125" style="774" bestFit="1" customWidth="1"/>
    <col min="11266" max="11266" width="19.85546875" style="774" customWidth="1"/>
    <col min="11267" max="11267" width="12" style="774" bestFit="1" customWidth="1"/>
    <col min="11268" max="11520" width="9.140625" style="774"/>
    <col min="11521" max="11521" width="29.5703125" style="774" bestFit="1" customWidth="1"/>
    <col min="11522" max="11522" width="19.85546875" style="774" customWidth="1"/>
    <col min="11523" max="11523" width="12" style="774" bestFit="1" customWidth="1"/>
    <col min="11524" max="11776" width="9.140625" style="774"/>
    <col min="11777" max="11777" width="29.5703125" style="774" bestFit="1" customWidth="1"/>
    <col min="11778" max="11778" width="19.85546875" style="774" customWidth="1"/>
    <col min="11779" max="11779" width="12" style="774" bestFit="1" customWidth="1"/>
    <col min="11780" max="12032" width="9.140625" style="774"/>
    <col min="12033" max="12033" width="29.5703125" style="774" bestFit="1" customWidth="1"/>
    <col min="12034" max="12034" width="19.85546875" style="774" customWidth="1"/>
    <col min="12035" max="12035" width="12" style="774" bestFit="1" customWidth="1"/>
    <col min="12036" max="12288" width="9.140625" style="774"/>
    <col min="12289" max="12289" width="29.5703125" style="774" bestFit="1" customWidth="1"/>
    <col min="12290" max="12290" width="19.85546875" style="774" customWidth="1"/>
    <col min="12291" max="12291" width="12" style="774" bestFit="1" customWidth="1"/>
    <col min="12292" max="12544" width="9.140625" style="774"/>
    <col min="12545" max="12545" width="29.5703125" style="774" bestFit="1" customWidth="1"/>
    <col min="12546" max="12546" width="19.85546875" style="774" customWidth="1"/>
    <col min="12547" max="12547" width="12" style="774" bestFit="1" customWidth="1"/>
    <col min="12548" max="12800" width="9.140625" style="774"/>
    <col min="12801" max="12801" width="29.5703125" style="774" bestFit="1" customWidth="1"/>
    <col min="12802" max="12802" width="19.85546875" style="774" customWidth="1"/>
    <col min="12803" max="12803" width="12" style="774" bestFit="1" customWidth="1"/>
    <col min="12804" max="13056" width="9.140625" style="774"/>
    <col min="13057" max="13057" width="29.5703125" style="774" bestFit="1" customWidth="1"/>
    <col min="13058" max="13058" width="19.85546875" style="774" customWidth="1"/>
    <col min="13059" max="13059" width="12" style="774" bestFit="1" customWidth="1"/>
    <col min="13060" max="13312" width="9.140625" style="774"/>
    <col min="13313" max="13313" width="29.5703125" style="774" bestFit="1" customWidth="1"/>
    <col min="13314" max="13314" width="19.85546875" style="774" customWidth="1"/>
    <col min="13315" max="13315" width="12" style="774" bestFit="1" customWidth="1"/>
    <col min="13316" max="13568" width="9.140625" style="774"/>
    <col min="13569" max="13569" width="29.5703125" style="774" bestFit="1" customWidth="1"/>
    <col min="13570" max="13570" width="19.85546875" style="774" customWidth="1"/>
    <col min="13571" max="13571" width="12" style="774" bestFit="1" customWidth="1"/>
    <col min="13572" max="13824" width="9.140625" style="774"/>
    <col min="13825" max="13825" width="29.5703125" style="774" bestFit="1" customWidth="1"/>
    <col min="13826" max="13826" width="19.85546875" style="774" customWidth="1"/>
    <col min="13827" max="13827" width="12" style="774" bestFit="1" customWidth="1"/>
    <col min="13828" max="14080" width="9.140625" style="774"/>
    <col min="14081" max="14081" width="29.5703125" style="774" bestFit="1" customWidth="1"/>
    <col min="14082" max="14082" width="19.85546875" style="774" customWidth="1"/>
    <col min="14083" max="14083" width="12" style="774" bestFit="1" customWidth="1"/>
    <col min="14084" max="14336" width="9.140625" style="774"/>
    <col min="14337" max="14337" width="29.5703125" style="774" bestFit="1" customWidth="1"/>
    <col min="14338" max="14338" width="19.85546875" style="774" customWidth="1"/>
    <col min="14339" max="14339" width="12" style="774" bestFit="1" customWidth="1"/>
    <col min="14340" max="14592" width="9.140625" style="774"/>
    <col min="14593" max="14593" width="29.5703125" style="774" bestFit="1" customWidth="1"/>
    <col min="14594" max="14594" width="19.85546875" style="774" customWidth="1"/>
    <col min="14595" max="14595" width="12" style="774" bestFit="1" customWidth="1"/>
    <col min="14596" max="14848" width="9.140625" style="774"/>
    <col min="14849" max="14849" width="29.5703125" style="774" bestFit="1" customWidth="1"/>
    <col min="14850" max="14850" width="19.85546875" style="774" customWidth="1"/>
    <col min="14851" max="14851" width="12" style="774" bestFit="1" customWidth="1"/>
    <col min="14852" max="15104" width="9.140625" style="774"/>
    <col min="15105" max="15105" width="29.5703125" style="774" bestFit="1" customWidth="1"/>
    <col min="15106" max="15106" width="19.85546875" style="774" customWidth="1"/>
    <col min="15107" max="15107" width="12" style="774" bestFit="1" customWidth="1"/>
    <col min="15108" max="15360" width="9.140625" style="774"/>
    <col min="15361" max="15361" width="29.5703125" style="774" bestFit="1" customWidth="1"/>
    <col min="15362" max="15362" width="19.85546875" style="774" customWidth="1"/>
    <col min="15363" max="15363" width="12" style="774" bestFit="1" customWidth="1"/>
    <col min="15364" max="15616" width="9.140625" style="774"/>
    <col min="15617" max="15617" width="29.5703125" style="774" bestFit="1" customWidth="1"/>
    <col min="15618" max="15618" width="19.85546875" style="774" customWidth="1"/>
    <col min="15619" max="15619" width="12" style="774" bestFit="1" customWidth="1"/>
    <col min="15620" max="15872" width="9.140625" style="774"/>
    <col min="15873" max="15873" width="29.5703125" style="774" bestFit="1" customWidth="1"/>
    <col min="15874" max="15874" width="19.85546875" style="774" customWidth="1"/>
    <col min="15875" max="15875" width="12" style="774" bestFit="1" customWidth="1"/>
    <col min="15876" max="16128" width="9.140625" style="774"/>
    <col min="16129" max="16129" width="29.5703125" style="774" bestFit="1" customWidth="1"/>
    <col min="16130" max="16130" width="19.85546875" style="774" customWidth="1"/>
    <col min="16131" max="16131" width="12" style="774" bestFit="1" customWidth="1"/>
    <col min="16132" max="16384" width="9.140625" style="774"/>
  </cols>
  <sheetData>
    <row r="1" spans="1:2" x14ac:dyDescent="0.2">
      <c r="A1" s="774" t="s">
        <v>617</v>
      </c>
      <c r="B1" s="799">
        <v>6.1</v>
      </c>
    </row>
    <row r="2" spans="1:2" x14ac:dyDescent="0.2">
      <c r="A2" s="774" t="s">
        <v>618</v>
      </c>
      <c r="B2" s="803">
        <v>43204.789560185185</v>
      </c>
    </row>
    <row r="3" spans="1:2" x14ac:dyDescent="0.2">
      <c r="A3" s="774" t="s">
        <v>619</v>
      </c>
      <c r="B3" s="800" t="s">
        <v>317</v>
      </c>
    </row>
    <row r="4" spans="1:2" x14ac:dyDescent="0.2">
      <c r="A4" s="774" t="s">
        <v>620</v>
      </c>
      <c r="B4" s="800" t="s">
        <v>621</v>
      </c>
    </row>
    <row r="5" spans="1:2" x14ac:dyDescent="0.2">
      <c r="A5" s="774" t="s">
        <v>622</v>
      </c>
      <c r="B5" s="800" t="s">
        <v>623</v>
      </c>
    </row>
    <row r="6" spans="1:2" x14ac:dyDescent="0.2">
      <c r="A6" s="774" t="s">
        <v>624</v>
      </c>
    </row>
    <row r="7" spans="1:2" x14ac:dyDescent="0.2">
      <c r="A7" s="774" t="s">
        <v>625</v>
      </c>
      <c r="B7" s="800" t="s">
        <v>26</v>
      </c>
    </row>
    <row r="8" spans="1:2" x14ac:dyDescent="0.2">
      <c r="A8" s="774" t="s">
        <v>626</v>
      </c>
      <c r="B8" s="800" t="s">
        <v>627</v>
      </c>
    </row>
    <row r="9" spans="1:2" x14ac:dyDescent="0.2">
      <c r="A9" s="774" t="s">
        <v>628</v>
      </c>
      <c r="B9" s="800" t="s">
        <v>665</v>
      </c>
    </row>
    <row r="10" spans="1:2" x14ac:dyDescent="0.2">
      <c r="A10" s="774" t="s">
        <v>629</v>
      </c>
    </row>
    <row r="11" spans="1:2" x14ac:dyDescent="0.2">
      <c r="A11" s="774" t="s">
        <v>630</v>
      </c>
    </row>
    <row r="12" spans="1:2" x14ac:dyDescent="0.2">
      <c r="A12" s="774" t="s">
        <v>631</v>
      </c>
    </row>
    <row r="13" spans="1:2" x14ac:dyDescent="0.2">
      <c r="A13" s="774" t="s">
        <v>632</v>
      </c>
    </row>
    <row r="14" spans="1:2" x14ac:dyDescent="0.2">
      <c r="A14" s="774" t="s">
        <v>633</v>
      </c>
    </row>
    <row r="15" spans="1:2" x14ac:dyDescent="0.2">
      <c r="A15" s="774" t="s">
        <v>634</v>
      </c>
    </row>
    <row r="16" spans="1:2" x14ac:dyDescent="0.2">
      <c r="A16" s="774" t="s">
        <v>635</v>
      </c>
    </row>
    <row r="17" spans="1:4" x14ac:dyDescent="0.2">
      <c r="A17" s="774" t="s">
        <v>636</v>
      </c>
      <c r="B17" s="800" t="s">
        <v>666</v>
      </c>
    </row>
    <row r="18" spans="1:4" x14ac:dyDescent="0.2">
      <c r="A18" s="774" t="s">
        <v>637</v>
      </c>
      <c r="B18" s="800" t="s">
        <v>669</v>
      </c>
    </row>
    <row r="19" spans="1:4" x14ac:dyDescent="0.2">
      <c r="A19" s="774" t="s">
        <v>638</v>
      </c>
      <c r="B19" s="800" t="s">
        <v>27</v>
      </c>
    </row>
    <row r="20" spans="1:4" x14ac:dyDescent="0.2">
      <c r="A20" s="774" t="s">
        <v>639</v>
      </c>
      <c r="B20" s="801">
        <v>75887109</v>
      </c>
    </row>
    <row r="21" spans="1:4" x14ac:dyDescent="0.2">
      <c r="A21" s="774" t="s">
        <v>640</v>
      </c>
      <c r="B21" s="800" t="s">
        <v>27</v>
      </c>
    </row>
    <row r="22" spans="1:4" x14ac:dyDescent="0.2">
      <c r="A22" s="774" t="s">
        <v>641</v>
      </c>
      <c r="B22" s="801">
        <v>2087807</v>
      </c>
    </row>
    <row r="23" spans="1:4" x14ac:dyDescent="0.2">
      <c r="A23" s="774" t="s">
        <v>294</v>
      </c>
      <c r="B23" s="799">
        <v>225.45</v>
      </c>
    </row>
    <row r="24" spans="1:4" x14ac:dyDescent="0.2">
      <c r="A24" s="774" t="s">
        <v>303</v>
      </c>
      <c r="B24" s="800" t="s">
        <v>302</v>
      </c>
      <c r="D24" s="774" t="s">
        <v>33</v>
      </c>
    </row>
    <row r="25" spans="1:4" x14ac:dyDescent="0.2">
      <c r="A25" s="774" t="s">
        <v>642</v>
      </c>
      <c r="B25" s="800" t="s">
        <v>670</v>
      </c>
    </row>
    <row r="26" spans="1:4" x14ac:dyDescent="0.2">
      <c r="A26" s="774" t="s">
        <v>643</v>
      </c>
      <c r="B26" s="800">
        <v>0</v>
      </c>
    </row>
    <row r="27" spans="1:4" x14ac:dyDescent="0.2">
      <c r="A27" s="774" t="s">
        <v>644</v>
      </c>
      <c r="B27" s="800" t="s">
        <v>645</v>
      </c>
    </row>
    <row r="28" spans="1:4" x14ac:dyDescent="0.2">
      <c r="A28" s="774" t="s">
        <v>646</v>
      </c>
      <c r="B28" s="800" t="s">
        <v>647</v>
      </c>
    </row>
    <row r="29" spans="1:4" x14ac:dyDescent="0.2">
      <c r="A29" s="774" t="s">
        <v>648</v>
      </c>
    </row>
    <row r="30" spans="1:4" x14ac:dyDescent="0.2">
      <c r="A30" s="774" t="s">
        <v>649</v>
      </c>
    </row>
    <row r="31" spans="1:4" x14ac:dyDescent="0.2">
      <c r="A31" s="774" t="s">
        <v>650</v>
      </c>
    </row>
    <row r="32" spans="1:4" x14ac:dyDescent="0.2">
      <c r="A32" s="774" t="s">
        <v>651</v>
      </c>
      <c r="B32" s="799"/>
    </row>
    <row r="33" spans="1:2" x14ac:dyDescent="0.2">
      <c r="A33" s="774" t="s">
        <v>652</v>
      </c>
      <c r="B33" s="799"/>
    </row>
    <row r="34" spans="1:2" x14ac:dyDescent="0.2">
      <c r="A34" s="774" t="s">
        <v>653</v>
      </c>
      <c r="B34" s="799"/>
    </row>
    <row r="35" spans="1:2" x14ac:dyDescent="0.2">
      <c r="A35" s="774" t="s">
        <v>654</v>
      </c>
      <c r="B35" s="800">
        <v>1000000</v>
      </c>
    </row>
    <row r="36" spans="1:2" x14ac:dyDescent="0.2">
      <c r="A36" s="774" t="s">
        <v>655</v>
      </c>
      <c r="B36" s="800" t="s">
        <v>667</v>
      </c>
    </row>
    <row r="37" spans="1:2" x14ac:dyDescent="0.2">
      <c r="A37" s="774" t="s">
        <v>656</v>
      </c>
      <c r="B37" s="800" t="s">
        <v>657</v>
      </c>
    </row>
    <row r="38" spans="1:2" x14ac:dyDescent="0.2">
      <c r="A38" s="774" t="s">
        <v>658</v>
      </c>
      <c r="B38" s="800" t="s">
        <v>659</v>
      </c>
    </row>
    <row r="39" spans="1:2" x14ac:dyDescent="0.2">
      <c r="A39" s="774" t="s">
        <v>660</v>
      </c>
      <c r="B39" s="800" t="s">
        <v>668</v>
      </c>
    </row>
    <row r="40" spans="1:2" x14ac:dyDescent="0.2">
      <c r="A40" s="774" t="s">
        <v>661</v>
      </c>
      <c r="B40" s="800">
        <v>1500005486</v>
      </c>
    </row>
    <row r="41" spans="1:2" x14ac:dyDescent="0.2">
      <c r="A41" s="774" t="s">
        <v>662</v>
      </c>
      <c r="B41" s="800">
        <v>1</v>
      </c>
    </row>
    <row r="42" spans="1:2" x14ac:dyDescent="0.2">
      <c r="A42" s="802" t="s">
        <v>663</v>
      </c>
    </row>
    <row r="43" spans="1:2" x14ac:dyDescent="0.2">
      <c r="A43" s="774" t="s">
        <v>664</v>
      </c>
    </row>
  </sheetData>
  <pageMargins left="0.75" right="0.75" top="1" bottom="1" header="0.5" footer="0.5"/>
  <pageSetup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A13"/>
  <sheetViews>
    <sheetView workbookViewId="0">
      <selection activeCell="E11" sqref="E11"/>
    </sheetView>
  </sheetViews>
  <sheetFormatPr defaultRowHeight="12.75" x14ac:dyDescent="0.2"/>
  <cols>
    <col min="1" max="1" width="28.5703125" style="774" bestFit="1" customWidth="1"/>
    <col min="2" max="256" width="9.140625" style="774"/>
    <col min="257" max="257" width="28.5703125" style="774" bestFit="1" customWidth="1"/>
    <col min="258" max="512" width="9.140625" style="774"/>
    <col min="513" max="513" width="28.5703125" style="774" bestFit="1" customWidth="1"/>
    <col min="514" max="768" width="9.140625" style="774"/>
    <col min="769" max="769" width="28.5703125" style="774" bestFit="1" customWidth="1"/>
    <col min="770" max="1024" width="9.140625" style="774"/>
    <col min="1025" max="1025" width="28.5703125" style="774" bestFit="1" customWidth="1"/>
    <col min="1026" max="1280" width="9.140625" style="774"/>
    <col min="1281" max="1281" width="28.5703125" style="774" bestFit="1" customWidth="1"/>
    <col min="1282" max="1536" width="9.140625" style="774"/>
    <col min="1537" max="1537" width="28.5703125" style="774" bestFit="1" customWidth="1"/>
    <col min="1538" max="1792" width="9.140625" style="774"/>
    <col min="1793" max="1793" width="28.5703125" style="774" bestFit="1" customWidth="1"/>
    <col min="1794" max="2048" width="9.140625" style="774"/>
    <col min="2049" max="2049" width="28.5703125" style="774" bestFit="1" customWidth="1"/>
    <col min="2050" max="2304" width="9.140625" style="774"/>
    <col min="2305" max="2305" width="28.5703125" style="774" bestFit="1" customWidth="1"/>
    <col min="2306" max="2560" width="9.140625" style="774"/>
    <col min="2561" max="2561" width="28.5703125" style="774" bestFit="1" customWidth="1"/>
    <col min="2562" max="2816" width="9.140625" style="774"/>
    <col min="2817" max="2817" width="28.5703125" style="774" bestFit="1" customWidth="1"/>
    <col min="2818" max="3072" width="9.140625" style="774"/>
    <col min="3073" max="3073" width="28.5703125" style="774" bestFit="1" customWidth="1"/>
    <col min="3074" max="3328" width="9.140625" style="774"/>
    <col min="3329" max="3329" width="28.5703125" style="774" bestFit="1" customWidth="1"/>
    <col min="3330" max="3584" width="9.140625" style="774"/>
    <col min="3585" max="3585" width="28.5703125" style="774" bestFit="1" customWidth="1"/>
    <col min="3586" max="3840" width="9.140625" style="774"/>
    <col min="3841" max="3841" width="28.5703125" style="774" bestFit="1" customWidth="1"/>
    <col min="3842" max="4096" width="9.140625" style="774"/>
    <col min="4097" max="4097" width="28.5703125" style="774" bestFit="1" customWidth="1"/>
    <col min="4098" max="4352" width="9.140625" style="774"/>
    <col min="4353" max="4353" width="28.5703125" style="774" bestFit="1" customWidth="1"/>
    <col min="4354" max="4608" width="9.140625" style="774"/>
    <col min="4609" max="4609" width="28.5703125" style="774" bestFit="1" customWidth="1"/>
    <col min="4610" max="4864" width="9.140625" style="774"/>
    <col min="4865" max="4865" width="28.5703125" style="774" bestFit="1" customWidth="1"/>
    <col min="4866" max="5120" width="9.140625" style="774"/>
    <col min="5121" max="5121" width="28.5703125" style="774" bestFit="1" customWidth="1"/>
    <col min="5122" max="5376" width="9.140625" style="774"/>
    <col min="5377" max="5377" width="28.5703125" style="774" bestFit="1" customWidth="1"/>
    <col min="5378" max="5632" width="9.140625" style="774"/>
    <col min="5633" max="5633" width="28.5703125" style="774" bestFit="1" customWidth="1"/>
    <col min="5634" max="5888" width="9.140625" style="774"/>
    <col min="5889" max="5889" width="28.5703125" style="774" bestFit="1" customWidth="1"/>
    <col min="5890" max="6144" width="9.140625" style="774"/>
    <col min="6145" max="6145" width="28.5703125" style="774" bestFit="1" customWidth="1"/>
    <col min="6146" max="6400" width="9.140625" style="774"/>
    <col min="6401" max="6401" width="28.5703125" style="774" bestFit="1" customWidth="1"/>
    <col min="6402" max="6656" width="9.140625" style="774"/>
    <col min="6657" max="6657" width="28.5703125" style="774" bestFit="1" customWidth="1"/>
    <col min="6658" max="6912" width="9.140625" style="774"/>
    <col min="6913" max="6913" width="28.5703125" style="774" bestFit="1" customWidth="1"/>
    <col min="6914" max="7168" width="9.140625" style="774"/>
    <col min="7169" max="7169" width="28.5703125" style="774" bestFit="1" customWidth="1"/>
    <col min="7170" max="7424" width="9.140625" style="774"/>
    <col min="7425" max="7425" width="28.5703125" style="774" bestFit="1" customWidth="1"/>
    <col min="7426" max="7680" width="9.140625" style="774"/>
    <col min="7681" max="7681" width="28.5703125" style="774" bestFit="1" customWidth="1"/>
    <col min="7682" max="7936" width="9.140625" style="774"/>
    <col min="7937" max="7937" width="28.5703125" style="774" bestFit="1" customWidth="1"/>
    <col min="7938" max="8192" width="9.140625" style="774"/>
    <col min="8193" max="8193" width="28.5703125" style="774" bestFit="1" customWidth="1"/>
    <col min="8194" max="8448" width="9.140625" style="774"/>
    <col min="8449" max="8449" width="28.5703125" style="774" bestFit="1" customWidth="1"/>
    <col min="8450" max="8704" width="9.140625" style="774"/>
    <col min="8705" max="8705" width="28.5703125" style="774" bestFit="1" customWidth="1"/>
    <col min="8706" max="8960" width="9.140625" style="774"/>
    <col min="8961" max="8961" width="28.5703125" style="774" bestFit="1" customWidth="1"/>
    <col min="8962" max="9216" width="9.140625" style="774"/>
    <col min="9217" max="9217" width="28.5703125" style="774" bestFit="1" customWidth="1"/>
    <col min="9218" max="9472" width="9.140625" style="774"/>
    <col min="9473" max="9473" width="28.5703125" style="774" bestFit="1" customWidth="1"/>
    <col min="9474" max="9728" width="9.140625" style="774"/>
    <col min="9729" max="9729" width="28.5703125" style="774" bestFit="1" customWidth="1"/>
    <col min="9730" max="9984" width="9.140625" style="774"/>
    <col min="9985" max="9985" width="28.5703125" style="774" bestFit="1" customWidth="1"/>
    <col min="9986" max="10240" width="9.140625" style="774"/>
    <col min="10241" max="10241" width="28.5703125" style="774" bestFit="1" customWidth="1"/>
    <col min="10242" max="10496" width="9.140625" style="774"/>
    <col min="10497" max="10497" width="28.5703125" style="774" bestFit="1" customWidth="1"/>
    <col min="10498" max="10752" width="9.140625" style="774"/>
    <col min="10753" max="10753" width="28.5703125" style="774" bestFit="1" customWidth="1"/>
    <col min="10754" max="11008" width="9.140625" style="774"/>
    <col min="11009" max="11009" width="28.5703125" style="774" bestFit="1" customWidth="1"/>
    <col min="11010" max="11264" width="9.140625" style="774"/>
    <col min="11265" max="11265" width="28.5703125" style="774" bestFit="1" customWidth="1"/>
    <col min="11266" max="11520" width="9.140625" style="774"/>
    <col min="11521" max="11521" width="28.5703125" style="774" bestFit="1" customWidth="1"/>
    <col min="11522" max="11776" width="9.140625" style="774"/>
    <col min="11777" max="11777" width="28.5703125" style="774" bestFit="1" customWidth="1"/>
    <col min="11778" max="12032" width="9.140625" style="774"/>
    <col min="12033" max="12033" width="28.5703125" style="774" bestFit="1" customWidth="1"/>
    <col min="12034" max="12288" width="9.140625" style="774"/>
    <col min="12289" max="12289" width="28.5703125" style="774" bestFit="1" customWidth="1"/>
    <col min="12290" max="12544" width="9.140625" style="774"/>
    <col min="12545" max="12545" width="28.5703125" style="774" bestFit="1" customWidth="1"/>
    <col min="12546" max="12800" width="9.140625" style="774"/>
    <col min="12801" max="12801" width="28.5703125" style="774" bestFit="1" customWidth="1"/>
    <col min="12802" max="13056" width="9.140625" style="774"/>
    <col min="13057" max="13057" width="28.5703125" style="774" bestFit="1" customWidth="1"/>
    <col min="13058" max="13312" width="9.140625" style="774"/>
    <col min="13313" max="13313" width="28.5703125" style="774" bestFit="1" customWidth="1"/>
    <col min="13314" max="13568" width="9.140625" style="774"/>
    <col min="13569" max="13569" width="28.5703125" style="774" bestFit="1" customWidth="1"/>
    <col min="13570" max="13824" width="9.140625" style="774"/>
    <col min="13825" max="13825" width="28.5703125" style="774" bestFit="1" customWidth="1"/>
    <col min="13826" max="14080" width="9.140625" style="774"/>
    <col min="14081" max="14081" width="28.5703125" style="774" bestFit="1" customWidth="1"/>
    <col min="14082" max="14336" width="9.140625" style="774"/>
    <col min="14337" max="14337" width="28.5703125" style="774" bestFit="1" customWidth="1"/>
    <col min="14338" max="14592" width="9.140625" style="774"/>
    <col min="14593" max="14593" width="28.5703125" style="774" bestFit="1" customWidth="1"/>
    <col min="14594" max="14848" width="9.140625" style="774"/>
    <col min="14849" max="14849" width="28.5703125" style="774" bestFit="1" customWidth="1"/>
    <col min="14850" max="15104" width="9.140625" style="774"/>
    <col min="15105" max="15105" width="28.5703125" style="774" bestFit="1" customWidth="1"/>
    <col min="15106" max="15360" width="9.140625" style="774"/>
    <col min="15361" max="15361" width="28.5703125" style="774" bestFit="1" customWidth="1"/>
    <col min="15362" max="15616" width="9.140625" style="774"/>
    <col min="15617" max="15617" width="28.5703125" style="774" bestFit="1" customWidth="1"/>
    <col min="15618" max="15872" width="9.140625" style="774"/>
    <col min="15873" max="15873" width="28.5703125" style="774" bestFit="1" customWidth="1"/>
    <col min="15874" max="16128" width="9.140625" style="774"/>
    <col min="16129" max="16129" width="28.5703125" style="774" bestFit="1" customWidth="1"/>
    <col min="16130" max="16384" width="9.140625" style="774"/>
  </cols>
  <sheetData>
    <row r="1" spans="1:1" x14ac:dyDescent="0.2">
      <c r="A1" s="804" t="s">
        <v>671</v>
      </c>
    </row>
    <row r="2" spans="1:1" x14ac:dyDescent="0.2">
      <c r="A2" s="804" t="s">
        <v>676</v>
      </c>
    </row>
    <row r="3" spans="1:1" x14ac:dyDescent="0.2">
      <c r="A3" s="804" t="s">
        <v>677</v>
      </c>
    </row>
    <row r="4" spans="1:1" x14ac:dyDescent="0.2">
      <c r="A4" s="804" t="s">
        <v>678</v>
      </c>
    </row>
    <row r="5" spans="1:1" x14ac:dyDescent="0.2">
      <c r="A5" s="804" t="s">
        <v>679</v>
      </c>
    </row>
    <row r="6" spans="1:1" x14ac:dyDescent="0.2">
      <c r="A6" s="804" t="s">
        <v>672</v>
      </c>
    </row>
    <row r="7" spans="1:1" x14ac:dyDescent="0.2">
      <c r="A7" s="804" t="s">
        <v>680</v>
      </c>
    </row>
    <row r="8" spans="1:1" x14ac:dyDescent="0.2">
      <c r="A8" s="804" t="s">
        <v>681</v>
      </c>
    </row>
    <row r="9" spans="1:1" x14ac:dyDescent="0.2">
      <c r="A9" s="804" t="s">
        <v>682</v>
      </c>
    </row>
    <row r="10" spans="1:1" x14ac:dyDescent="0.2">
      <c r="A10" s="804" t="s">
        <v>673</v>
      </c>
    </row>
    <row r="11" spans="1:1" x14ac:dyDescent="0.2">
      <c r="A11" s="804" t="s">
        <v>683</v>
      </c>
    </row>
    <row r="12" spans="1:1" x14ac:dyDescent="0.2">
      <c r="A12" s="804" t="s">
        <v>674</v>
      </c>
    </row>
    <row r="13" spans="1:1" x14ac:dyDescent="0.2">
      <c r="A13" s="804" t="s">
        <v>675</v>
      </c>
    </row>
  </sheetData>
  <pageMargins left="0.75" right="0.75" top="1" bottom="1" header="0.5" footer="0.5"/>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F2"/>
  <sheetViews>
    <sheetView workbookViewId="0"/>
  </sheetViews>
  <sheetFormatPr defaultRowHeight="12.75" x14ac:dyDescent="0.2"/>
  <sheetData>
    <row r="1" spans="1:6" x14ac:dyDescent="0.2">
      <c r="A1" t="s">
        <v>308</v>
      </c>
    </row>
    <row r="2" spans="1:6" x14ac:dyDescent="0.2">
      <c r="A2" s="683" t="s">
        <v>305</v>
      </c>
      <c r="B2" s="683" t="s">
        <v>302</v>
      </c>
      <c r="C2" s="683" t="s">
        <v>306</v>
      </c>
      <c r="D2" s="683" t="s">
        <v>309</v>
      </c>
      <c r="E2" s="683" t="s">
        <v>307</v>
      </c>
      <c r="F2" s="683" t="s">
        <v>316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73</vt:i4>
      </vt:variant>
    </vt:vector>
  </HeadingPairs>
  <TitlesOfParts>
    <vt:vector size="84" baseType="lpstr">
      <vt:lpstr>ImportantDisclosures</vt:lpstr>
      <vt:lpstr>TOC</vt:lpstr>
      <vt:lpstr>IS</vt:lpstr>
      <vt:lpstr>BDX</vt:lpstr>
      <vt:lpstr>Med</vt:lpstr>
      <vt:lpstr>LS</vt:lpstr>
      <vt:lpstr>Int</vt:lpstr>
      <vt:lpstr>BS</vt:lpstr>
      <vt:lpstr>CFS</vt:lpstr>
      <vt:lpstr>IndexInformation</vt:lpstr>
      <vt:lpstr>ModPubIndex</vt:lpstr>
      <vt:lpstr>AdditionalInstructions</vt:lpstr>
      <vt:lpstr>ImportantDisclosures!Address</vt:lpstr>
      <vt:lpstr>ModPubIndex!ANA</vt:lpstr>
      <vt:lpstr>ImportantDisclosures!Authors</vt:lpstr>
      <vt:lpstr>IndexInformation!Authors</vt:lpstr>
      <vt:lpstr>ModPubIndex!BRO</vt:lpstr>
      <vt:lpstr>CopyrightStamp</vt:lpstr>
      <vt:lpstr>ModPubIndex!COU</vt:lpstr>
      <vt:lpstr>IndexInformation!CQEnd</vt:lpstr>
      <vt:lpstr>IndexInformation!Currency</vt:lpstr>
      <vt:lpstr>IndexInformation!CurrentStockPrice</vt:lpstr>
      <vt:lpstr>IndexInformation!CurrQtrEPS</vt:lpstr>
      <vt:lpstr>IndexInformation!CurrYearEPS</vt:lpstr>
      <vt:lpstr>IndexInformation!CurrYearTotalRevenue</vt:lpstr>
      <vt:lpstr>IndexInformation!CurrYearTotalRevenueActual</vt:lpstr>
      <vt:lpstr>IndexInformation!CUSIP</vt:lpstr>
      <vt:lpstr>IndexInformation!CYEnd</vt:lpstr>
      <vt:lpstr>ImportantDisclosures!Date</vt:lpstr>
      <vt:lpstr>IndexInformation!Deleted</vt:lpstr>
      <vt:lpstr>IndexInformation!Description</vt:lpstr>
      <vt:lpstr>IndexInformation!Discipline</vt:lpstr>
      <vt:lpstr>ModPubIndex!DISCIPLINE</vt:lpstr>
      <vt:lpstr>DisclosuresText</vt:lpstr>
      <vt:lpstr>IndexInformation!Distribution</vt:lpstr>
      <vt:lpstr>ModPubIndex!DOCDAT</vt:lpstr>
      <vt:lpstr>ModPubIndex!DOCTIME</vt:lpstr>
      <vt:lpstr>IndexInformation!DocType</vt:lpstr>
      <vt:lpstr>ModPubIndex!EMAIL_ALERT</vt:lpstr>
      <vt:lpstr>IndexInformation!EmailAlert</vt:lpstr>
      <vt:lpstr>IndexInformation!FiveYearGrowthRate</vt:lpstr>
      <vt:lpstr>IndexInformation!FollowingYearEPS</vt:lpstr>
      <vt:lpstr>IndexInformation!FollowingYearTotalRevenue</vt:lpstr>
      <vt:lpstr>IndexInformation!FollowingYearTotalRevenueActual</vt:lpstr>
      <vt:lpstr>ModPubIndex!HL</vt:lpstr>
      <vt:lpstr>ModPubIndex!IND</vt:lpstr>
      <vt:lpstr>ImportantDisclosures!Industry</vt:lpstr>
      <vt:lpstr>IndustryId</vt:lpstr>
      <vt:lpstr>ImportantDisclosures!IndustryRating</vt:lpstr>
      <vt:lpstr>IndexInformation!KeepVersions</vt:lpstr>
      <vt:lpstr>LanguageCode</vt:lpstr>
      <vt:lpstr>ImportantDisclosures!LastCell</vt:lpstr>
      <vt:lpstr>Linking_1</vt:lpstr>
      <vt:lpstr>Linking_2</vt:lpstr>
      <vt:lpstr>Linking_3</vt:lpstr>
      <vt:lpstr>Linking_4</vt:lpstr>
      <vt:lpstr>IndexInformation!MacroVersion</vt:lpstr>
      <vt:lpstr>ImportantDisclosures!ModelPrice</vt:lpstr>
      <vt:lpstr>IndexInformation!Multiplier</vt:lpstr>
      <vt:lpstr>IndexInformation!NextYearEPS</vt:lpstr>
      <vt:lpstr>IndexInformation!NextYearTotalRevenue</vt:lpstr>
      <vt:lpstr>IndexInformation!NextYearTotalRevenueActual</vt:lpstr>
      <vt:lpstr>ObjectType</vt:lpstr>
      <vt:lpstr>ModPubIndex!PANA</vt:lpstr>
      <vt:lpstr>IndexInformation!PathName</vt:lpstr>
      <vt:lpstr>ModPubIndex!PRODUCT</vt:lpstr>
      <vt:lpstr>ModPubIndex!PSYM</vt:lpstr>
      <vt:lpstr>IndexInformation!PublishDate</vt:lpstr>
      <vt:lpstr>IndexInformation!Rating</vt:lpstr>
      <vt:lpstr>ImportantDisclosures!RatingsDefined</vt:lpstr>
      <vt:lpstr>IndexInformation!ResearchTopic</vt:lpstr>
      <vt:lpstr>IndexInformation!RIC</vt:lpstr>
      <vt:lpstr>IndexInformation!SEDOL</vt:lpstr>
      <vt:lpstr>ImportantDisclosures!SourceDefined</vt:lpstr>
      <vt:lpstr>ImportantDisclosures!StockRating</vt:lpstr>
      <vt:lpstr>IndexInformation!SubjectCode</vt:lpstr>
      <vt:lpstr>SubmitterUserId</vt:lpstr>
      <vt:lpstr>ModPubIndex!SUPPRESSED</vt:lpstr>
      <vt:lpstr>ImportantDisclosures!TargetPrice</vt:lpstr>
      <vt:lpstr>TemplateRegion</vt:lpstr>
      <vt:lpstr>ImportantDisclosures!Ticker</vt:lpstr>
      <vt:lpstr>TickerRegion</vt:lpstr>
      <vt:lpstr>IndexInformation!Tickers</vt:lpstr>
      <vt:lpstr>IndexInformation!UpdateReason</vt:lpstr>
    </vt:vector>
  </TitlesOfParts>
  <Company>Morgan Stanley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2018-02-04T20:57:24Z</dcterms:created>
  <dc:creator>Wang, Scott S (Research)</dc:creator>
  <cp:lastModifiedBy>Kuchibhatla, Varun (Capital Markets)</cp:lastModifiedBy>
  <cp:lastPrinted>2018-04-11T16:47:31Z</cp:lastPrinted>
  <dcterms:modified xsi:type="dcterms:W3CDTF">2018-04-14T22:56:59Z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LinkingAutoNameNumberLinking_Range_" pid="2">
    <vt:lpwstr>52</vt:lpwstr>
  </property>
  <property fmtid="{D5CDD505-2E9C-101B-9397-08002B2CF9AE}" name="ERModPubTicket" pid="3">
    <vt:lpwstr>NA</vt:lpwstr>
  </property>
  <property fmtid="{D5CDD505-2E9C-101B-9397-08002B2CF9AE}" name="ERCompanyUploadState" pid="4">
    <vt:lpwstr>P</vt:lpwstr>
  </property>
  <property fmtid="{D5CDD505-2E9C-101B-9397-08002B2CF9AE}" name="ModelId" pid="5">
    <vt:lpwstr>761701</vt:lpwstr>
  </property>
  <property fmtid="{D5CDD505-2E9C-101B-9397-08002B2CF9AE}" name="ERModPubCompanyName" pid="6">
    <vt:lpwstr>Becton Dickinson</vt:lpwstr>
  </property>
  <property fmtid="{D5CDD505-2E9C-101B-9397-08002B2CF9AE}" name="MSDH34TAG" pid="7">
    <vt:lpwstr>.TEZUF76X5TAHATHESADREYAK-00-INB160+*94600-06=272037fc/-4037/-11e8/-b3f7/-7a79cfe26848,MD=20180415155320/-0400,ZZ=000Z-5b1e.</vt:lpwstr>
  </property>
</Properties>
</file>